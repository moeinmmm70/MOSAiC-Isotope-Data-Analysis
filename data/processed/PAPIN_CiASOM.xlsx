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ASOM\PhD\07.Manuscripts\#2.Snow Surface\Precipitation_PAPIN\"/>
    </mc:Choice>
  </mc:AlternateContent>
  <xr:revisionPtr revIDLastSave="0" documentId="13_ncr:1_{CBAE6A28-AF7C-45C1-8DEC-2513AF31DD23}" xr6:coauthVersionLast="36" xr6:coauthVersionMax="36" xr10:uidLastSave="{00000000-0000-0000-0000-000000000000}"/>
  <bookViews>
    <workbookView xWindow="0" yWindow="0" windowWidth="19200" windowHeight="6930" activeTab="15" xr2:uid="{CFF196AF-A315-4D8E-AE19-1622FBDF6774}"/>
  </bookViews>
  <sheets>
    <sheet name="All" sheetId="23" r:id="rId1"/>
    <sheet name="Pallas" sheetId="1" r:id="rId2"/>
    <sheet name="Oulanka" sheetId="2" r:id="rId3"/>
    <sheet name="Kevo" sheetId="3" r:id="rId4"/>
    <sheet name="Abisko" sheetId="4" r:id="rId5"/>
    <sheet name="Krycklan" sheetId="19" r:id="rId6"/>
    <sheet name="Ny-Ålesund" sheetId="5" r:id="rId7"/>
    <sheet name="Nuuk" sheetId="6" r:id="rId8"/>
    <sheet name="Disko" sheetId="7" r:id="rId9"/>
    <sheet name="Sudurnes" sheetId="8" r:id="rId10"/>
    <sheet name="Arkhangelsk" sheetId="10" r:id="rId11"/>
    <sheet name="NarianMar" sheetId="11" r:id="rId12"/>
    <sheet name="Anmangynda" sheetId="12" r:id="rId13"/>
    <sheet name="Toolik Lake" sheetId="13" r:id="rId14"/>
    <sheet name="Anchorage" sheetId="14" r:id="rId15"/>
    <sheet name="Tiksi" sheetId="18" r:id="rId16"/>
    <sheet name="Samoylov" sheetId="21" r:id="rId17"/>
    <sheet name="Table 2" sheetId="24" r:id="rId18"/>
  </sheets>
  <definedNames>
    <definedName name="_Hlk122081559" localSheetId="17">'Table 2'!$A$1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8" l="1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922" i="23" l="1"/>
  <c r="P921" i="23"/>
  <c r="P920" i="23"/>
  <c r="P919" i="23"/>
  <c r="P918" i="23"/>
  <c r="P917" i="23"/>
  <c r="P916" i="23"/>
  <c r="P915" i="23"/>
  <c r="P914" i="23"/>
  <c r="P913" i="23"/>
  <c r="P912" i="23"/>
  <c r="P911" i="23"/>
  <c r="P910" i="23"/>
  <c r="P909" i="23"/>
  <c r="P908" i="23"/>
  <c r="P907" i="23"/>
  <c r="P906" i="23"/>
  <c r="P905" i="23"/>
  <c r="P904" i="23"/>
  <c r="P903" i="23"/>
  <c r="P902" i="23"/>
  <c r="P901" i="23"/>
  <c r="P900" i="23"/>
  <c r="P899" i="23"/>
  <c r="P898" i="23"/>
  <c r="P897" i="23"/>
  <c r="P896" i="23"/>
  <c r="P895" i="23"/>
  <c r="P894" i="23"/>
  <c r="P893" i="23"/>
  <c r="P892" i="23"/>
  <c r="P891" i="23"/>
  <c r="P890" i="23"/>
  <c r="P889" i="23"/>
  <c r="P888" i="23"/>
  <c r="P887" i="23"/>
  <c r="P886" i="23"/>
  <c r="P885" i="23"/>
  <c r="P884" i="23"/>
  <c r="P883" i="23"/>
  <c r="P882" i="23"/>
  <c r="P881" i="23"/>
  <c r="P880" i="23"/>
  <c r="P879" i="23"/>
  <c r="P878" i="23"/>
  <c r="P877" i="23"/>
  <c r="P876" i="23"/>
  <c r="P875" i="23"/>
  <c r="P874" i="23"/>
  <c r="P873" i="23"/>
  <c r="P872" i="23"/>
  <c r="P871" i="23"/>
  <c r="P870" i="23"/>
  <c r="P869" i="23"/>
  <c r="P868" i="23"/>
  <c r="P867" i="23"/>
  <c r="P866" i="23"/>
  <c r="P865" i="23"/>
  <c r="P864" i="23"/>
  <c r="P863" i="23"/>
  <c r="P862" i="23"/>
  <c r="P861" i="23"/>
  <c r="P860" i="23"/>
  <c r="P859" i="23"/>
  <c r="P858" i="23"/>
  <c r="P857" i="23"/>
  <c r="P856" i="23"/>
  <c r="P855" i="23"/>
  <c r="P854" i="23"/>
  <c r="P853" i="23"/>
  <c r="P852" i="23"/>
  <c r="P851" i="23"/>
  <c r="P850" i="23"/>
  <c r="P849" i="23"/>
  <c r="P848" i="23"/>
  <c r="P847" i="23"/>
  <c r="P846" i="23"/>
  <c r="P845" i="23"/>
  <c r="P844" i="23"/>
  <c r="P843" i="23"/>
  <c r="P842" i="23"/>
  <c r="P841" i="23"/>
  <c r="P840" i="23"/>
  <c r="P839" i="23"/>
  <c r="P838" i="23"/>
  <c r="P837" i="23"/>
  <c r="P836" i="23"/>
  <c r="P835" i="23"/>
  <c r="P834" i="23"/>
  <c r="P833" i="23"/>
  <c r="P832" i="23"/>
  <c r="P831" i="23"/>
  <c r="P830" i="23"/>
  <c r="P829" i="23"/>
  <c r="P828" i="23"/>
  <c r="P827" i="23"/>
  <c r="P826" i="23"/>
  <c r="P825" i="23"/>
  <c r="P824" i="23"/>
  <c r="P823" i="23"/>
  <c r="P822" i="23"/>
  <c r="P821" i="23"/>
  <c r="P820" i="23"/>
  <c r="P819" i="23"/>
  <c r="P818" i="23"/>
  <c r="P817" i="23"/>
  <c r="P816" i="23"/>
  <c r="P815" i="23"/>
  <c r="P814" i="23"/>
  <c r="P813" i="23"/>
  <c r="P812" i="23"/>
  <c r="P811" i="23"/>
  <c r="P810" i="23"/>
  <c r="P809" i="23"/>
  <c r="P808" i="23"/>
  <c r="P807" i="23"/>
  <c r="P806" i="23"/>
  <c r="P805" i="23"/>
  <c r="P804" i="23"/>
  <c r="P803" i="23"/>
  <c r="P802" i="23"/>
  <c r="P801" i="23"/>
  <c r="P800" i="23"/>
  <c r="P799" i="23"/>
  <c r="P798" i="23"/>
  <c r="P797" i="23"/>
  <c r="P796" i="23"/>
  <c r="P795" i="23"/>
  <c r="P794" i="23"/>
  <c r="P793" i="23"/>
  <c r="P792" i="23"/>
  <c r="P791" i="23"/>
  <c r="P790" i="23"/>
  <c r="P789" i="23"/>
  <c r="P788" i="23"/>
  <c r="P787" i="23"/>
  <c r="P786" i="23"/>
  <c r="P785" i="23"/>
  <c r="P784" i="23"/>
  <c r="P783" i="23"/>
  <c r="P782" i="23"/>
  <c r="P781" i="23"/>
  <c r="P780" i="23"/>
  <c r="P779" i="23"/>
  <c r="P778" i="23"/>
  <c r="P777" i="23"/>
  <c r="P776" i="23"/>
  <c r="P775" i="23"/>
  <c r="P774" i="23"/>
  <c r="P773" i="23"/>
  <c r="P772" i="23"/>
  <c r="P771" i="23"/>
  <c r="P770" i="23"/>
  <c r="P769" i="23"/>
  <c r="P768" i="23"/>
  <c r="P767" i="23"/>
  <c r="P766" i="23"/>
  <c r="P765" i="23"/>
  <c r="P764" i="23"/>
  <c r="P763" i="23"/>
  <c r="P762" i="23"/>
  <c r="P761" i="23"/>
  <c r="P760" i="23"/>
  <c r="P759" i="23"/>
  <c r="P758" i="23"/>
  <c r="P757" i="23"/>
  <c r="P756" i="23"/>
  <c r="P755" i="23"/>
  <c r="P754" i="23"/>
  <c r="P753" i="23"/>
  <c r="P752" i="23"/>
  <c r="P751" i="23"/>
  <c r="P750" i="23"/>
  <c r="P749" i="23"/>
  <c r="P748" i="23"/>
  <c r="P747" i="23"/>
  <c r="P746" i="23"/>
  <c r="P745" i="23"/>
  <c r="P744" i="23"/>
  <c r="P743" i="23"/>
  <c r="P742" i="23"/>
  <c r="P741" i="23"/>
  <c r="P740" i="23"/>
  <c r="P739" i="23"/>
  <c r="P738" i="23"/>
  <c r="P737" i="23"/>
  <c r="P736" i="23"/>
  <c r="P735" i="23"/>
  <c r="P734" i="23"/>
  <c r="P733" i="23"/>
  <c r="P732" i="23"/>
  <c r="P731" i="23"/>
  <c r="P730" i="23"/>
  <c r="P729" i="23"/>
  <c r="P728" i="23"/>
  <c r="P727" i="23"/>
  <c r="P726" i="23"/>
  <c r="P725" i="23"/>
  <c r="P724" i="23"/>
  <c r="P723" i="23"/>
  <c r="P722" i="23"/>
  <c r="P721" i="23"/>
  <c r="P720" i="23"/>
  <c r="P719" i="23"/>
  <c r="P718" i="23"/>
  <c r="P717" i="23"/>
  <c r="P716" i="23"/>
  <c r="P715" i="23"/>
  <c r="P714" i="23"/>
  <c r="P713" i="23"/>
  <c r="P712" i="23"/>
  <c r="P711" i="23"/>
  <c r="P710" i="23"/>
  <c r="P709" i="23"/>
  <c r="P708" i="23"/>
  <c r="P707" i="23"/>
  <c r="P706" i="23"/>
  <c r="P705" i="23"/>
  <c r="P704" i="23"/>
  <c r="P703" i="23"/>
  <c r="P702" i="23"/>
  <c r="P701" i="23"/>
  <c r="P700" i="23"/>
  <c r="P699" i="23"/>
  <c r="P698" i="23"/>
  <c r="P697" i="23"/>
  <c r="P696" i="23"/>
  <c r="P695" i="23"/>
  <c r="P694" i="23"/>
  <c r="P693" i="23"/>
  <c r="P692" i="23"/>
  <c r="P691" i="23"/>
  <c r="P690" i="23"/>
  <c r="P689" i="23"/>
  <c r="P688" i="23"/>
  <c r="P687" i="23"/>
  <c r="P686" i="23"/>
  <c r="P685" i="23"/>
  <c r="P684" i="23"/>
  <c r="P683" i="23"/>
  <c r="P682" i="23"/>
  <c r="P681" i="23"/>
  <c r="P680" i="23"/>
  <c r="P679" i="23"/>
  <c r="P678" i="23"/>
  <c r="P677" i="23"/>
  <c r="P676" i="23"/>
  <c r="P675" i="23"/>
  <c r="P674" i="23"/>
  <c r="P673" i="23"/>
  <c r="P672" i="23"/>
  <c r="P671" i="23"/>
  <c r="P670" i="23"/>
  <c r="P669" i="23"/>
  <c r="P668" i="23"/>
  <c r="P667" i="23"/>
  <c r="P666" i="23"/>
  <c r="P665" i="23"/>
  <c r="P664" i="23"/>
  <c r="P663" i="23"/>
  <c r="P662" i="23"/>
  <c r="P661" i="23"/>
  <c r="P660" i="23"/>
  <c r="P659" i="23"/>
  <c r="P658" i="23"/>
  <c r="P657" i="23"/>
  <c r="P656" i="23"/>
  <c r="P655" i="23"/>
  <c r="P654" i="23"/>
  <c r="P653" i="23"/>
  <c r="P652" i="23"/>
  <c r="P651" i="23"/>
  <c r="P650" i="23"/>
  <c r="P649" i="23"/>
  <c r="P648" i="23"/>
  <c r="P647" i="23"/>
  <c r="P646" i="23"/>
  <c r="P645" i="23"/>
  <c r="P644" i="23"/>
  <c r="P643" i="23"/>
  <c r="P642" i="23"/>
  <c r="P641" i="23"/>
  <c r="P640" i="23"/>
  <c r="P639" i="23"/>
  <c r="P638" i="23"/>
  <c r="P637" i="23"/>
  <c r="P636" i="23"/>
  <c r="P635" i="23"/>
  <c r="P634" i="23"/>
  <c r="P633" i="23"/>
  <c r="P632" i="23"/>
  <c r="P631" i="23"/>
  <c r="P630" i="23"/>
  <c r="P629" i="23"/>
  <c r="P628" i="23"/>
  <c r="P627" i="23"/>
  <c r="P626" i="23"/>
  <c r="P625" i="23"/>
  <c r="P624" i="23"/>
  <c r="P623" i="23"/>
  <c r="P622" i="23"/>
  <c r="P621" i="23"/>
  <c r="P620" i="23"/>
  <c r="P619" i="23"/>
  <c r="P618" i="23"/>
  <c r="P617" i="23"/>
  <c r="P616" i="23"/>
  <c r="P615" i="23"/>
  <c r="P614" i="23"/>
  <c r="P613" i="23"/>
  <c r="P612" i="23"/>
  <c r="P611" i="23"/>
  <c r="P610" i="23"/>
  <c r="P609" i="23"/>
  <c r="P608" i="23"/>
  <c r="P607" i="23"/>
  <c r="P606" i="23"/>
  <c r="P605" i="23"/>
  <c r="P604" i="23"/>
  <c r="P603" i="23"/>
  <c r="P602" i="23"/>
  <c r="P601" i="23"/>
  <c r="P600" i="23"/>
  <c r="P599" i="23"/>
  <c r="P598" i="23"/>
  <c r="P597" i="23"/>
  <c r="P596" i="23"/>
  <c r="P595" i="23"/>
  <c r="P594" i="23"/>
  <c r="P593" i="23"/>
  <c r="P592" i="23"/>
  <c r="P591" i="23"/>
  <c r="P590" i="23"/>
  <c r="P589" i="23"/>
  <c r="P588" i="23"/>
  <c r="R587" i="23"/>
  <c r="P587" i="23"/>
  <c r="R586" i="23"/>
  <c r="P586" i="23"/>
  <c r="R585" i="23"/>
  <c r="P585" i="23"/>
  <c r="R584" i="23"/>
  <c r="P584" i="23"/>
  <c r="R583" i="23"/>
  <c r="P583" i="23"/>
  <c r="P582" i="23"/>
  <c r="P581" i="23"/>
  <c r="P580" i="23"/>
  <c r="P579" i="23"/>
  <c r="P578" i="23"/>
  <c r="P577" i="23"/>
  <c r="P576" i="23"/>
  <c r="P575" i="23"/>
  <c r="P574" i="23"/>
  <c r="P573" i="23"/>
  <c r="P572" i="23"/>
  <c r="P571" i="23"/>
  <c r="P570" i="23"/>
  <c r="P569" i="23"/>
  <c r="P568" i="23"/>
  <c r="P567" i="23"/>
  <c r="P566" i="23"/>
  <c r="P565" i="23"/>
  <c r="P564" i="23"/>
  <c r="P563" i="23"/>
  <c r="P562" i="23"/>
  <c r="P561" i="23"/>
  <c r="P560" i="23"/>
  <c r="P559" i="23"/>
  <c r="P558" i="23"/>
  <c r="P557" i="23"/>
  <c r="P556" i="23"/>
  <c r="P555" i="23"/>
  <c r="P554" i="23"/>
  <c r="P553" i="23"/>
  <c r="P552" i="23"/>
  <c r="P551" i="23"/>
  <c r="P550" i="23"/>
  <c r="P549" i="23"/>
  <c r="P548" i="23"/>
  <c r="P547" i="23"/>
  <c r="P546" i="23"/>
  <c r="P545" i="23"/>
  <c r="P544" i="23"/>
  <c r="P543" i="23"/>
  <c r="P542" i="23"/>
  <c r="P541" i="23"/>
  <c r="P540" i="23"/>
  <c r="P539" i="23"/>
  <c r="P538" i="23"/>
  <c r="P537" i="23"/>
  <c r="P536" i="23"/>
  <c r="P535" i="23"/>
  <c r="P534" i="23"/>
  <c r="P533" i="23"/>
  <c r="P532" i="23"/>
  <c r="P531" i="23"/>
  <c r="P530" i="23"/>
  <c r="P529" i="23"/>
  <c r="P528" i="23"/>
  <c r="P527" i="23"/>
  <c r="P526" i="23"/>
  <c r="P525" i="23"/>
  <c r="P524" i="23"/>
  <c r="P523" i="23"/>
  <c r="P522" i="23"/>
  <c r="P521" i="23"/>
  <c r="P520" i="23"/>
  <c r="P519" i="23"/>
  <c r="P518" i="23"/>
  <c r="P517" i="23"/>
  <c r="P516" i="23"/>
  <c r="P515" i="23"/>
  <c r="P514" i="23"/>
  <c r="P513" i="23"/>
  <c r="P512" i="23"/>
  <c r="P511" i="23"/>
  <c r="P510" i="23"/>
  <c r="P509" i="23"/>
  <c r="P508" i="23"/>
  <c r="P507" i="23"/>
  <c r="P506" i="23"/>
  <c r="P505" i="23"/>
  <c r="P504" i="23"/>
  <c r="P503" i="23"/>
  <c r="P502" i="23"/>
  <c r="P501" i="23"/>
  <c r="P500" i="23"/>
  <c r="P499" i="23"/>
  <c r="P498" i="23"/>
  <c r="P497" i="23"/>
  <c r="P496" i="23"/>
  <c r="P495" i="23"/>
  <c r="P494" i="23"/>
  <c r="P493" i="23"/>
  <c r="P492" i="23"/>
  <c r="P491" i="23"/>
  <c r="P490" i="23"/>
  <c r="P489" i="23"/>
  <c r="P488" i="23"/>
  <c r="P487" i="23"/>
  <c r="P486" i="23"/>
  <c r="P485" i="23"/>
  <c r="P484" i="23"/>
  <c r="P483" i="23"/>
  <c r="P482" i="23"/>
  <c r="P481" i="23"/>
  <c r="P480" i="23"/>
  <c r="P479" i="23"/>
  <c r="P478" i="23"/>
  <c r="P477" i="23"/>
  <c r="P476" i="23"/>
  <c r="P475" i="23"/>
  <c r="P474" i="23"/>
  <c r="P473" i="23"/>
  <c r="P472" i="23"/>
  <c r="P471" i="23"/>
  <c r="P470" i="23"/>
  <c r="P469" i="23"/>
  <c r="P468" i="23"/>
  <c r="P467" i="23"/>
  <c r="P466" i="23"/>
  <c r="P465" i="23"/>
  <c r="P464" i="23"/>
  <c r="P463" i="23"/>
  <c r="P462" i="23"/>
  <c r="P461" i="23"/>
  <c r="P460" i="23"/>
  <c r="P459" i="23"/>
  <c r="P458" i="23"/>
  <c r="P457" i="23"/>
  <c r="P456" i="23"/>
  <c r="P455" i="23"/>
  <c r="P454" i="23"/>
  <c r="P453" i="23"/>
  <c r="P452" i="23"/>
  <c r="P451" i="23"/>
  <c r="P450" i="23"/>
  <c r="P449" i="23"/>
  <c r="P448" i="23"/>
  <c r="P447" i="23"/>
  <c r="P446" i="23"/>
  <c r="P445" i="23"/>
  <c r="P444" i="23"/>
  <c r="P443" i="23"/>
  <c r="P442" i="23"/>
  <c r="P441" i="23"/>
  <c r="P440" i="23"/>
  <c r="P439" i="23"/>
  <c r="P438" i="23"/>
  <c r="P437" i="23"/>
  <c r="P436" i="23"/>
  <c r="P435" i="23"/>
  <c r="P434" i="23"/>
  <c r="P433" i="23"/>
  <c r="P432" i="23"/>
  <c r="P431" i="23"/>
  <c r="P430" i="23"/>
  <c r="P429" i="23"/>
  <c r="P428" i="23"/>
  <c r="P427" i="23"/>
  <c r="P426" i="23"/>
  <c r="P425" i="23"/>
  <c r="P424" i="23"/>
  <c r="P423" i="23"/>
  <c r="P422" i="23"/>
  <c r="P421" i="23"/>
  <c r="P420" i="23"/>
  <c r="P419" i="23"/>
  <c r="P418" i="23"/>
  <c r="P417" i="23"/>
  <c r="P416" i="23"/>
  <c r="P415" i="23"/>
  <c r="P414" i="23"/>
  <c r="P413" i="23"/>
  <c r="P412" i="23"/>
  <c r="P411" i="23"/>
  <c r="P410" i="23"/>
  <c r="P409" i="23"/>
  <c r="P408" i="23"/>
  <c r="P407" i="23"/>
  <c r="P406" i="23"/>
  <c r="P405" i="23"/>
  <c r="P404" i="23"/>
  <c r="P403" i="23"/>
  <c r="P402" i="23"/>
  <c r="P401" i="23"/>
  <c r="P400" i="23"/>
  <c r="P399" i="23"/>
  <c r="P398" i="23"/>
  <c r="P397" i="23"/>
  <c r="P396" i="23"/>
  <c r="P395" i="23"/>
  <c r="P394" i="23"/>
  <c r="P393" i="23"/>
  <c r="P392" i="23"/>
  <c r="P391" i="23"/>
  <c r="P390" i="23"/>
  <c r="P389" i="23"/>
  <c r="P388" i="23"/>
  <c r="P387" i="23"/>
  <c r="P386" i="23"/>
  <c r="P385" i="23"/>
  <c r="P384" i="23"/>
  <c r="P383" i="23"/>
  <c r="P382" i="23"/>
  <c r="P381" i="23"/>
  <c r="P380" i="23"/>
  <c r="P379" i="23"/>
  <c r="P378" i="23"/>
  <c r="P377" i="23"/>
  <c r="P376" i="23"/>
  <c r="P375" i="23"/>
  <c r="P374" i="23"/>
  <c r="P373" i="23"/>
  <c r="P372" i="23"/>
  <c r="P371" i="23"/>
  <c r="P370" i="23"/>
  <c r="P369" i="23"/>
  <c r="P368" i="23"/>
  <c r="P367" i="23"/>
  <c r="P366" i="23"/>
  <c r="P365" i="23"/>
  <c r="P364" i="23"/>
  <c r="P363" i="23"/>
  <c r="P362" i="23"/>
  <c r="P361" i="23"/>
  <c r="P360" i="23"/>
  <c r="P359" i="23"/>
  <c r="P358" i="23"/>
  <c r="P357" i="23"/>
  <c r="P356" i="23"/>
  <c r="P355" i="23"/>
  <c r="P354" i="23"/>
  <c r="P353" i="23"/>
  <c r="P352" i="23"/>
  <c r="P351" i="23"/>
  <c r="P350" i="23"/>
  <c r="P349" i="23"/>
  <c r="P348" i="23"/>
  <c r="P347" i="23"/>
  <c r="P346" i="23"/>
  <c r="P345" i="23"/>
  <c r="P344" i="23"/>
  <c r="P343" i="23"/>
  <c r="P342" i="23"/>
  <c r="P341" i="23"/>
  <c r="P340" i="23"/>
  <c r="P339" i="23"/>
  <c r="P338" i="23"/>
  <c r="P337" i="23"/>
  <c r="P336" i="23"/>
  <c r="P335" i="23"/>
  <c r="P334" i="23"/>
  <c r="P333" i="23"/>
  <c r="P332" i="23"/>
  <c r="P331" i="23"/>
  <c r="P330" i="23"/>
  <c r="P329" i="23"/>
  <c r="P328" i="23"/>
  <c r="P327" i="23"/>
  <c r="P326" i="23"/>
  <c r="P325" i="23"/>
  <c r="P324" i="23"/>
  <c r="P323" i="23"/>
  <c r="P322" i="23"/>
  <c r="P321" i="23"/>
  <c r="P320" i="23"/>
  <c r="P319" i="23"/>
  <c r="P318" i="23"/>
  <c r="P317" i="23"/>
  <c r="P316" i="23"/>
  <c r="P315" i="23"/>
  <c r="P314" i="23"/>
  <c r="P313" i="23"/>
  <c r="P312" i="23"/>
  <c r="P311" i="23"/>
  <c r="P310" i="23"/>
  <c r="P309" i="23"/>
  <c r="P308" i="23"/>
  <c r="P307" i="23"/>
  <c r="P306" i="23"/>
  <c r="P305" i="23"/>
  <c r="P304" i="23"/>
  <c r="P303" i="23"/>
  <c r="P302" i="23"/>
  <c r="P301" i="23"/>
  <c r="P300" i="23"/>
  <c r="P299" i="23"/>
  <c r="P298" i="23"/>
  <c r="P297" i="23"/>
  <c r="P296" i="23"/>
  <c r="P295" i="23"/>
  <c r="P294" i="23"/>
  <c r="P293" i="23"/>
  <c r="P292" i="23"/>
  <c r="P291" i="23"/>
  <c r="P290" i="23"/>
  <c r="P289" i="23"/>
  <c r="P288" i="23"/>
  <c r="P287" i="23"/>
  <c r="P286" i="23"/>
  <c r="P285" i="23"/>
  <c r="P284" i="23"/>
  <c r="P283" i="23"/>
  <c r="P282" i="23"/>
  <c r="P281" i="23"/>
  <c r="P280" i="23"/>
  <c r="P279" i="23"/>
  <c r="P278" i="23"/>
  <c r="P277" i="23"/>
  <c r="P276" i="23"/>
  <c r="P275" i="23"/>
  <c r="P274" i="23"/>
  <c r="P273" i="23"/>
  <c r="P272" i="23"/>
  <c r="P271" i="23"/>
  <c r="P270" i="23"/>
  <c r="P269" i="23"/>
  <c r="P268" i="23"/>
  <c r="P267" i="23"/>
  <c r="P266" i="23"/>
  <c r="P265" i="23"/>
  <c r="P264" i="23"/>
  <c r="P263" i="23"/>
  <c r="P262" i="23"/>
  <c r="P261" i="23"/>
  <c r="P260" i="23"/>
  <c r="P259" i="23"/>
  <c r="P258" i="23"/>
  <c r="P257" i="23"/>
  <c r="P256" i="23"/>
  <c r="P255" i="23"/>
  <c r="P254" i="23"/>
  <c r="P253" i="23"/>
  <c r="P252" i="23"/>
  <c r="P251" i="23"/>
  <c r="P250" i="23"/>
  <c r="P249" i="23"/>
  <c r="P248" i="23"/>
  <c r="P247" i="23"/>
  <c r="P246" i="23"/>
  <c r="P245" i="23"/>
  <c r="P244" i="23"/>
  <c r="P243" i="23"/>
  <c r="P242" i="23"/>
  <c r="P241" i="23"/>
  <c r="P240" i="23"/>
  <c r="P239" i="23"/>
  <c r="P238" i="23"/>
  <c r="P237" i="23"/>
  <c r="P236" i="23"/>
  <c r="P235" i="23"/>
  <c r="P234" i="23"/>
  <c r="P233" i="23"/>
  <c r="P232" i="23"/>
  <c r="P231" i="23"/>
  <c r="P230" i="23"/>
  <c r="P229" i="23"/>
  <c r="P228" i="23"/>
  <c r="P227" i="23"/>
  <c r="P226" i="23"/>
  <c r="P225" i="23"/>
  <c r="P224" i="23"/>
  <c r="P223" i="23"/>
  <c r="P222" i="23"/>
  <c r="P221" i="23"/>
  <c r="P220" i="23"/>
  <c r="P219" i="23"/>
  <c r="P218" i="23"/>
  <c r="P217" i="23"/>
  <c r="P216" i="23"/>
  <c r="P215" i="23"/>
  <c r="P214" i="23"/>
  <c r="P213" i="23"/>
  <c r="P212" i="23"/>
  <c r="P211" i="23"/>
  <c r="P210" i="23"/>
  <c r="P209" i="23"/>
  <c r="P208" i="23"/>
  <c r="P207" i="23"/>
  <c r="P206" i="23"/>
  <c r="P205" i="23"/>
  <c r="P204" i="23"/>
  <c r="P203" i="23"/>
  <c r="P202" i="23"/>
  <c r="P201" i="23"/>
  <c r="P200" i="23"/>
  <c r="P199" i="23"/>
  <c r="P198" i="23"/>
  <c r="P197" i="23"/>
  <c r="P196" i="23"/>
  <c r="P195" i="23"/>
  <c r="P194" i="23"/>
  <c r="P193" i="23"/>
  <c r="P192" i="23"/>
  <c r="P191" i="23"/>
  <c r="P190" i="23"/>
  <c r="P189" i="23"/>
  <c r="P188" i="23"/>
  <c r="P187" i="23"/>
  <c r="P186" i="23"/>
  <c r="P185" i="23"/>
  <c r="P184" i="23"/>
  <c r="P183" i="23"/>
  <c r="P182" i="23"/>
  <c r="P181" i="23"/>
  <c r="P180" i="23"/>
  <c r="P179" i="23"/>
  <c r="P178" i="23"/>
  <c r="P177" i="23"/>
  <c r="P176" i="23"/>
  <c r="P175" i="23"/>
  <c r="P174" i="23"/>
  <c r="P173" i="23"/>
  <c r="P172" i="23"/>
  <c r="P171" i="23"/>
  <c r="P170" i="23"/>
  <c r="P169" i="23"/>
  <c r="P168" i="23"/>
  <c r="P167" i="23"/>
  <c r="P166" i="23"/>
  <c r="P165" i="23"/>
  <c r="P164" i="23"/>
  <c r="Q163" i="23"/>
  <c r="P163" i="23"/>
  <c r="Q162" i="23"/>
  <c r="P162" i="23"/>
  <c r="Q161" i="23"/>
  <c r="P161" i="23"/>
  <c r="Q160" i="23"/>
  <c r="P160" i="23"/>
  <c r="P159" i="23"/>
  <c r="P158" i="23"/>
  <c r="P157" i="23"/>
  <c r="P156" i="23"/>
  <c r="P155" i="23"/>
  <c r="P154" i="23"/>
  <c r="P153" i="23"/>
  <c r="P152" i="23"/>
  <c r="P151" i="23"/>
  <c r="P150" i="23"/>
  <c r="P149" i="23"/>
  <c r="P148" i="23"/>
  <c r="P147" i="23"/>
  <c r="P146" i="23"/>
  <c r="P145" i="23"/>
  <c r="P144" i="23"/>
  <c r="P143" i="23"/>
  <c r="P142" i="23"/>
  <c r="P141" i="23"/>
  <c r="P140" i="23"/>
  <c r="P139" i="23"/>
  <c r="P138" i="23"/>
  <c r="P137" i="23"/>
  <c r="P136" i="23"/>
  <c r="P135" i="23"/>
  <c r="P134" i="23"/>
  <c r="P133" i="23"/>
  <c r="P132" i="23"/>
  <c r="P131" i="23"/>
  <c r="P130" i="23"/>
  <c r="P129" i="23"/>
  <c r="P128" i="23"/>
  <c r="P127" i="23"/>
  <c r="P126" i="23"/>
  <c r="P125" i="23"/>
  <c r="P124" i="23"/>
  <c r="P123" i="23"/>
  <c r="P122" i="23"/>
  <c r="P121" i="23"/>
  <c r="P120" i="23"/>
  <c r="P119" i="23"/>
  <c r="P118" i="23"/>
  <c r="P117" i="23"/>
  <c r="P116" i="23"/>
  <c r="P115" i="23"/>
  <c r="P114" i="23"/>
  <c r="P113" i="23"/>
  <c r="P112" i="23"/>
  <c r="P111" i="23"/>
  <c r="P110" i="23"/>
  <c r="P109" i="23"/>
  <c r="P108" i="23"/>
  <c r="P107" i="23"/>
  <c r="P106" i="23"/>
  <c r="P105" i="23"/>
  <c r="P104" i="23"/>
  <c r="P103" i="23"/>
  <c r="P102" i="23"/>
  <c r="P101" i="23"/>
  <c r="P100" i="23"/>
  <c r="P99" i="23"/>
  <c r="P98" i="23"/>
  <c r="P97" i="23"/>
  <c r="P96" i="23"/>
  <c r="P95" i="23"/>
  <c r="P94" i="23"/>
  <c r="P93" i="23"/>
  <c r="P92" i="23"/>
  <c r="P91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9" i="23"/>
  <c r="P8" i="23"/>
  <c r="P7" i="23"/>
  <c r="P6" i="23"/>
  <c r="P5" i="23"/>
  <c r="P4" i="23"/>
  <c r="P3" i="23"/>
  <c r="P2" i="23"/>
  <c r="O116" i="21"/>
  <c r="P116" i="21"/>
  <c r="N116" i="21"/>
  <c r="O115" i="21"/>
  <c r="P115" i="21"/>
  <c r="N115" i="21"/>
  <c r="O114" i="21"/>
  <c r="P114" i="21"/>
  <c r="N114" i="21"/>
  <c r="O113" i="21"/>
  <c r="P113" i="21"/>
  <c r="N113" i="21"/>
  <c r="P88" i="3"/>
  <c r="N101" i="3"/>
  <c r="N98" i="3"/>
  <c r="P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2" i="21"/>
  <c r="P113" i="18" l="1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146" i="18"/>
  <c r="P147" i="18"/>
  <c r="P148" i="18"/>
  <c r="P149" i="18"/>
  <c r="P150" i="18"/>
  <c r="P151" i="18"/>
  <c r="O74" i="14" l="1"/>
  <c r="P74" i="14"/>
  <c r="O75" i="14"/>
  <c r="P75" i="14"/>
  <c r="O76" i="14"/>
  <c r="P76" i="14"/>
  <c r="O77" i="14"/>
  <c r="P77" i="14"/>
  <c r="N77" i="14"/>
  <c r="N76" i="14"/>
  <c r="N75" i="14"/>
  <c r="N74" i="14"/>
  <c r="O42" i="13"/>
  <c r="P42" i="13"/>
  <c r="O43" i="13"/>
  <c r="P43" i="13"/>
  <c r="O44" i="13"/>
  <c r="P44" i="13"/>
  <c r="O45" i="13"/>
  <c r="P45" i="13"/>
  <c r="N45" i="13"/>
  <c r="N44" i="13"/>
  <c r="N43" i="13"/>
  <c r="N42" i="13"/>
  <c r="O9" i="12"/>
  <c r="P9" i="12"/>
  <c r="O10" i="12"/>
  <c r="P10" i="12"/>
  <c r="O11" i="12"/>
  <c r="P11" i="12"/>
  <c r="O12" i="12"/>
  <c r="P12" i="12"/>
  <c r="N12" i="12"/>
  <c r="N11" i="12"/>
  <c r="N10" i="12"/>
  <c r="N9" i="12"/>
  <c r="O13" i="11"/>
  <c r="P13" i="11"/>
  <c r="O14" i="11"/>
  <c r="P14" i="11"/>
  <c r="O15" i="11"/>
  <c r="P15" i="11"/>
  <c r="O16" i="11"/>
  <c r="P16" i="11"/>
  <c r="N16" i="11"/>
  <c r="N15" i="11"/>
  <c r="N14" i="11"/>
  <c r="N13" i="11"/>
  <c r="O14" i="10"/>
  <c r="P14" i="10"/>
  <c r="O15" i="10"/>
  <c r="P15" i="10"/>
  <c r="O16" i="10"/>
  <c r="P16" i="10"/>
  <c r="O17" i="10"/>
  <c r="P17" i="10"/>
  <c r="N17" i="10"/>
  <c r="N16" i="10"/>
  <c r="N15" i="10"/>
  <c r="N14" i="10"/>
  <c r="O9" i="8"/>
  <c r="P9" i="8"/>
  <c r="O10" i="8"/>
  <c r="P10" i="8"/>
  <c r="O11" i="8"/>
  <c r="P11" i="8"/>
  <c r="O12" i="8"/>
  <c r="P12" i="8"/>
  <c r="N12" i="8"/>
  <c r="N11" i="8"/>
  <c r="N10" i="8"/>
  <c r="N9" i="8"/>
  <c r="O25" i="7"/>
  <c r="P25" i="7"/>
  <c r="O26" i="7"/>
  <c r="P26" i="7"/>
  <c r="O27" i="7"/>
  <c r="P27" i="7"/>
  <c r="O28" i="7"/>
  <c r="P28" i="7"/>
  <c r="N28" i="7"/>
  <c r="N27" i="7"/>
  <c r="N26" i="7"/>
  <c r="N25" i="7"/>
  <c r="O84" i="6"/>
  <c r="P84" i="6"/>
  <c r="O85" i="6"/>
  <c r="P85" i="6"/>
  <c r="O86" i="6"/>
  <c r="P86" i="6"/>
  <c r="O87" i="6"/>
  <c r="P87" i="6"/>
  <c r="N87" i="6"/>
  <c r="N86" i="6"/>
  <c r="N85" i="6"/>
  <c r="N84" i="6"/>
  <c r="O29" i="5"/>
  <c r="O30" i="5"/>
  <c r="O31" i="5"/>
  <c r="O32" i="5"/>
  <c r="N32" i="5"/>
  <c r="N31" i="5"/>
  <c r="N30" i="5"/>
  <c r="N29" i="5"/>
  <c r="O75" i="19"/>
  <c r="P75" i="19"/>
  <c r="O76" i="19"/>
  <c r="P76" i="19"/>
  <c r="O77" i="19"/>
  <c r="P77" i="19"/>
  <c r="O78" i="19"/>
  <c r="P78" i="19"/>
  <c r="N78" i="19"/>
  <c r="N77" i="19"/>
  <c r="N76" i="19"/>
  <c r="N75" i="19"/>
  <c r="O135" i="4"/>
  <c r="O136" i="4"/>
  <c r="O137" i="4"/>
  <c r="O138" i="4"/>
  <c r="N138" i="4"/>
  <c r="N137" i="4"/>
  <c r="N136" i="4"/>
  <c r="N135" i="4"/>
  <c r="O98" i="3"/>
  <c r="O99" i="3"/>
  <c r="O100" i="3"/>
  <c r="O101" i="3"/>
  <c r="N100" i="3"/>
  <c r="N99" i="3"/>
  <c r="O55" i="2"/>
  <c r="O56" i="2"/>
  <c r="O57" i="2"/>
  <c r="O58" i="2"/>
  <c r="N58" i="2"/>
  <c r="N57" i="2"/>
  <c r="N56" i="2"/>
  <c r="N55" i="2"/>
  <c r="O111" i="1"/>
  <c r="O112" i="1"/>
  <c r="O113" i="1"/>
  <c r="O114" i="1"/>
  <c r="N114" i="1"/>
  <c r="N113" i="1"/>
  <c r="N112" i="1"/>
  <c r="N111" i="1"/>
  <c r="P71" i="14" l="1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2" i="14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2" i="13"/>
  <c r="P7" i="12"/>
  <c r="P10" i="10"/>
  <c r="P9" i="10"/>
  <c r="P8" i="10"/>
  <c r="P7" i="10"/>
  <c r="P6" i="10"/>
  <c r="P5" i="10"/>
  <c r="P4" i="10"/>
  <c r="P3" i="10"/>
  <c r="P2" i="10"/>
  <c r="R6" i="8"/>
  <c r="P6" i="8"/>
  <c r="R5" i="8"/>
  <c r="P5" i="8"/>
  <c r="R4" i="8"/>
  <c r="P4" i="8"/>
  <c r="R3" i="8"/>
  <c r="P3" i="8"/>
  <c r="R2" i="8"/>
  <c r="P2" i="8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3" i="19"/>
  <c r="P2" i="19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137" i="4" l="1"/>
  <c r="P136" i="4"/>
  <c r="P138" i="4"/>
  <c r="P135" i="4"/>
  <c r="P56" i="2"/>
  <c r="P57" i="2"/>
  <c r="P58" i="2"/>
  <c r="P55" i="2"/>
  <c r="P111" i="1"/>
  <c r="P112" i="1"/>
  <c r="P113" i="1"/>
  <c r="P114" i="1"/>
  <c r="P6" i="12" l="1"/>
  <c r="P5" i="12"/>
  <c r="P4" i="12"/>
  <c r="P3" i="12"/>
  <c r="P2" i="12"/>
  <c r="P10" i="11"/>
  <c r="P9" i="11"/>
  <c r="P8" i="11"/>
  <c r="P7" i="11"/>
  <c r="P6" i="11"/>
  <c r="P5" i="11"/>
  <c r="P4" i="11"/>
  <c r="P3" i="11"/>
  <c r="P2" i="11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95" i="3"/>
  <c r="P94" i="3"/>
  <c r="P93" i="3"/>
  <c r="P92" i="3"/>
  <c r="P91" i="3"/>
  <c r="P90" i="3"/>
  <c r="P89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Q5" i="3"/>
  <c r="P5" i="3"/>
  <c r="Q4" i="3"/>
  <c r="P4" i="3"/>
  <c r="Q3" i="3"/>
  <c r="P3" i="3"/>
  <c r="Q2" i="3"/>
  <c r="P2" i="3"/>
  <c r="P99" i="3" l="1"/>
  <c r="P32" i="5"/>
  <c r="P29" i="5"/>
  <c r="P30" i="5"/>
  <c r="P31" i="5"/>
  <c r="P98" i="3"/>
  <c r="P101" i="3"/>
  <c r="P100" i="3"/>
</calcChain>
</file>

<file path=xl/sharedStrings.xml><?xml version="1.0" encoding="utf-8"?>
<sst xmlns="http://schemas.openxmlformats.org/spreadsheetml/2006/main" count="10716" uniqueCount="965">
  <si>
    <t>Group</t>
  </si>
  <si>
    <t>Project</t>
  </si>
  <si>
    <t>Site</t>
  </si>
  <si>
    <t>Country</t>
  </si>
  <si>
    <t>Latitude</t>
  </si>
  <si>
    <t>Longitude</t>
  </si>
  <si>
    <t>Altitude (m)</t>
  </si>
  <si>
    <t>Type of Site</t>
  </si>
  <si>
    <t>Sample Name</t>
  </si>
  <si>
    <t>Media Type</t>
  </si>
  <si>
    <t>Date</t>
  </si>
  <si>
    <t>Begin of Period</t>
  </si>
  <si>
    <t>End of Period</t>
  </si>
  <si>
    <t>Calibrated d(18_16) Mean</t>
  </si>
  <si>
    <t>Calibrated d(D_H) Mean</t>
  </si>
  <si>
    <t>d-excess</t>
  </si>
  <si>
    <t>Precipitation Amount (mm)</t>
  </si>
  <si>
    <t>Air Temperature (°C)</t>
  </si>
  <si>
    <t>Vapour Pressure</t>
  </si>
  <si>
    <t>Humidity</t>
  </si>
  <si>
    <t>Eurasian</t>
  </si>
  <si>
    <t>PAPIN</t>
  </si>
  <si>
    <t>Pallas-Sodankylä Research Station</t>
  </si>
  <si>
    <t>Finland</t>
  </si>
  <si>
    <t>PALLAS_Lumikerain_piha_311019</t>
  </si>
  <si>
    <t>PALLAS_Lumikerain_piha_04119</t>
  </si>
  <si>
    <t>PALLAS_Lumikerain_piha_11119</t>
  </si>
  <si>
    <t>PALLAS_Lumikerain_piha_13119</t>
  </si>
  <si>
    <t>PALLAS_Lumikerain_piha_14119</t>
  </si>
  <si>
    <t>PALLAS_Lumikerain_piha_18119</t>
  </si>
  <si>
    <t>PALLAS_Lumikerain_piha_19119</t>
  </si>
  <si>
    <t>PALLAS_Lumikerain_piha_20119</t>
  </si>
  <si>
    <t>PALLAS_Lumikerain_piha_22119</t>
  </si>
  <si>
    <t>PALLAS_Lumikerain_piha_25119</t>
  </si>
  <si>
    <t>PALLAS_Lumikerain_piha_021219</t>
  </si>
  <si>
    <t>PALLAS_Lumikerain_piha_031219</t>
  </si>
  <si>
    <t>PALLAS_Rain_270820_280820</t>
  </si>
  <si>
    <t>PALLAS_rain_15.09.20_22.09.20_8.30_8.00</t>
  </si>
  <si>
    <t>PALLAS_rain_22.09.20_25.09.20_8.00_13.00</t>
  </si>
  <si>
    <t>PALLAS_rain_25.09.20_29.09.20_13.00_8.00</t>
  </si>
  <si>
    <t>Oulanka Research Station</t>
  </si>
  <si>
    <t>Rain</t>
  </si>
  <si>
    <t>OULANKA_sade_25112019</t>
  </si>
  <si>
    <t>OULANKA_sade_27112019_1</t>
  </si>
  <si>
    <t>OULANKA_sade_27112019_2</t>
  </si>
  <si>
    <t>OULANKA_sade_28112019</t>
  </si>
  <si>
    <t>OULANKA_sade_29112019</t>
  </si>
  <si>
    <t>OULANKA_sade_02122019</t>
  </si>
  <si>
    <t>OULANKA_sade_03122019</t>
  </si>
  <si>
    <t>OULANKA_sade_04122019</t>
  </si>
  <si>
    <t>OULANKA_sade_05122019</t>
  </si>
  <si>
    <t>OULANKA_sade_05122019_09122019</t>
  </si>
  <si>
    <t>OULANKA_sade_10122019</t>
  </si>
  <si>
    <t>OULANKA_sade_12122019</t>
  </si>
  <si>
    <t>OULANKA_sade_13122019</t>
  </si>
  <si>
    <t>OULANKA_sade_13122019_16122019</t>
  </si>
  <si>
    <t>OULANKA_sade_17122019</t>
  </si>
  <si>
    <t>OULANKA_sade_20122019_23122019</t>
  </si>
  <si>
    <t>OULANKA_sade_23122019_27122019</t>
  </si>
  <si>
    <t>OULANKA_sade_27122019_30122019</t>
  </si>
  <si>
    <t>OULANKA_sade_31122019</t>
  </si>
  <si>
    <t>OULANKA_sade_31122019_02012020</t>
  </si>
  <si>
    <t>OULANKA_sade_03122020_07012020</t>
  </si>
  <si>
    <t>OULANKA_sade_10012020_13012020</t>
  </si>
  <si>
    <t>OULANKA_sade_15012020</t>
  </si>
  <si>
    <t>OULANKA_sade_15012020_16012020</t>
  </si>
  <si>
    <t>OULANKA_sade_17012020</t>
  </si>
  <si>
    <t>OULANKA_sade_20012020</t>
  </si>
  <si>
    <t>OULANKA_sade_21012020</t>
  </si>
  <si>
    <t>OULANKA_sade_24012020</t>
  </si>
  <si>
    <t>OULANKA_sade_2401020_27012020</t>
  </si>
  <si>
    <t>OULANKA_sade_29012020</t>
  </si>
  <si>
    <t>OULANKA_sade_30012020</t>
  </si>
  <si>
    <t>OULANKA_sade_31012020_03022020</t>
  </si>
  <si>
    <t>OULANKA_sade_05022020_07022020</t>
  </si>
  <si>
    <t>OULANKA_sade_07022020_10022020</t>
  </si>
  <si>
    <t>OULANKA_sade_11022020</t>
  </si>
  <si>
    <t>OULANKA_sade_14022020</t>
  </si>
  <si>
    <t>OULANKA_sade_19022020</t>
  </si>
  <si>
    <t>OULANKA_sade_21022020_24022020</t>
  </si>
  <si>
    <t>OULANKA_sade_25022020</t>
  </si>
  <si>
    <t>OULANKA_sade_05032020</t>
  </si>
  <si>
    <t>OULANKA_sade_06032020_09032020</t>
  </si>
  <si>
    <t>OULANKA_sade_13032020</t>
  </si>
  <si>
    <t>OULANKA_sade_13032020_16032020</t>
  </si>
  <si>
    <t>OULANKA_sade_18032020</t>
  </si>
  <si>
    <t>OULANKA_sade_27032020_30032020</t>
  </si>
  <si>
    <t>OULANKA_sade_01042020</t>
  </si>
  <si>
    <t>Oulanka_sade_16.9.20</t>
  </si>
  <si>
    <t>Oulanka_sade_22.9.20</t>
  </si>
  <si>
    <t>Oulanka_sade_24.9.20</t>
  </si>
  <si>
    <t>Oulanka_sade_28.9.20</t>
  </si>
  <si>
    <t>Oulanka_sade_29.9.20</t>
  </si>
  <si>
    <t>Kevo Subarctic Research Institute</t>
  </si>
  <si>
    <t>Snow, Sleet, Rain</t>
  </si>
  <si>
    <t>PAPIN_KEVO_Finland_01102019</t>
  </si>
  <si>
    <t>KEVO_Finland_07102019</t>
  </si>
  <si>
    <t>KEVO_Finland_09102019</t>
  </si>
  <si>
    <t>PAPIN_KEVO_Finland_10102019</t>
  </si>
  <si>
    <t>PAPIN_KEVO_Finland_11102019</t>
  </si>
  <si>
    <t>Snow</t>
  </si>
  <si>
    <t>PAPIN_KEVO_Finland_16102019</t>
  </si>
  <si>
    <t>PAPIN_Kevo_23.10.19_Snow_1DayPrior</t>
  </si>
  <si>
    <t>PAPIN_Kevo_24.10.19_Snow_1DayPrior</t>
  </si>
  <si>
    <t>PAPIN_Kevo_25.10.19_Snow_1DayPrior</t>
  </si>
  <si>
    <t>PAPIN_Kevo_13.11.19_Snow_2DaysPrior_Composite</t>
  </si>
  <si>
    <t>PAPIN_Kevo_15.11.19_Snow_2DaysPrior_Composite</t>
  </si>
  <si>
    <t>PAPIN_Kevo_18.11.19_Snow_3DaysPrior_Composite</t>
  </si>
  <si>
    <t>PAPIN_Kevo_19.11.19_Snow_1DayPrior</t>
  </si>
  <si>
    <t>PAPIN_Kevo_25.11.19_Snow_3DaysPrior_Composite</t>
  </si>
  <si>
    <t>PAPIN_Kevo_27.11.19_Snow_1DayPrior</t>
  </si>
  <si>
    <t>PAPIN_Kevo_2.12.19_Snow_4DaysPrior_Composite</t>
  </si>
  <si>
    <t>PAPIN_Kevo_3.12.19_Snow_1DayPrior</t>
  </si>
  <si>
    <t>PAPIN_Kevo_9.12.19_Snow_3DaysPrior_Composite</t>
  </si>
  <si>
    <t>PAPIN_Kevo_13.12.19_Snow_2DaysPrior_Composite</t>
  </si>
  <si>
    <t>PAPIN_Kevo_16.12.19_Snow_1DayPrior</t>
  </si>
  <si>
    <t>PAPIN_Kevo_18.12.19_Snow_2DaysPrior_Composite</t>
  </si>
  <si>
    <t>PAPIN_Kevo_20.12.19_Snow_1DayPrior</t>
  </si>
  <si>
    <t>PAPIN_Kevo_8.1.20_Snow_2DaysPrior_Composite</t>
  </si>
  <si>
    <t>PAPIN_Kevo_13.1.20_Snow_3DaysPrior_Composite</t>
  </si>
  <si>
    <t>PAPIN_Kevo_15.1.20_Snow_1DayPrior</t>
  </si>
  <si>
    <t>PAPIN_Kevo_27.1.20_Snow_3DaysPrior_Composite</t>
  </si>
  <si>
    <t>PAPIN_Kevo_31.1.20_Snow_3DaysPrior_Composite</t>
  </si>
  <si>
    <t>PAPIN_Kevo_4.2.20_Snow_3DaysPrior_Composite</t>
  </si>
  <si>
    <t>PAPIN_Kevo_10.2.20_Snow_6DaysPrior_Composite</t>
  </si>
  <si>
    <t>PAPIN_Kevo_18.2.20_Snow_2DaysPrior_Composite</t>
  </si>
  <si>
    <t>PAPIN_KEVO_Finland_21022020</t>
  </si>
  <si>
    <t>PAPIN_KEVO_Finland_27022020</t>
  </si>
  <si>
    <t>PAPIN_KEVO_Finland_02032020</t>
  </si>
  <si>
    <t>PAPIN_KEVO_Finland_04032020</t>
  </si>
  <si>
    <t>PAPIN_KEVO_Finland_06032020</t>
  </si>
  <si>
    <t>PAPIN_KEVO_Finland_18032020</t>
  </si>
  <si>
    <t>Sleet</t>
  </si>
  <si>
    <t>PAPIN_KEVO_Finland_20032020</t>
  </si>
  <si>
    <t>PAPIN_KEVO_Finland_26032020</t>
  </si>
  <si>
    <t>PAPIN_KEVO_Finland_30032020</t>
  </si>
  <si>
    <t>PAPIN_KEVO_Finland_01042020</t>
  </si>
  <si>
    <t>PAPIN_KEVO_Finland_07042020</t>
  </si>
  <si>
    <t>PAPIN_KEVO_Finland_08042020</t>
  </si>
  <si>
    <t>PAPIN_KEVO_Finland_09042020</t>
  </si>
  <si>
    <t>PAPIN_KEVO_Finland_14042020</t>
  </si>
  <si>
    <t>PAPIN_KEVO_Finland_15042020</t>
  </si>
  <si>
    <t>PAPIN_KEVO_Finland_20042020</t>
  </si>
  <si>
    <t>PAPIN_KEVO_Finland_27042020</t>
  </si>
  <si>
    <t>PAPIN_KEVO_Finland_29042020</t>
  </si>
  <si>
    <t>PAPIN_KEVO_Finland_04052020</t>
  </si>
  <si>
    <t>PAPIN_KEVO_Finland_05052020</t>
  </si>
  <si>
    <t>PAPIN_KEVO_Finland_12052020</t>
  </si>
  <si>
    <t>PAPIN_KEVO_Finland_15052020</t>
  </si>
  <si>
    <t>PAPIN_KEVO_Finland_18052020</t>
  </si>
  <si>
    <t>PAPIN_KEVO_Finland_19052020</t>
  </si>
  <si>
    <t>Sleet, Rain</t>
  </si>
  <si>
    <t>PAPIN_KEVO_Finland_27052020</t>
  </si>
  <si>
    <t>PAPIN_KEVO_Finland_01062020</t>
  </si>
  <si>
    <t>PAPIN_KEVO_Finland_03062020</t>
  </si>
  <si>
    <t>PAPIN_KEVO_Finland_08062020</t>
  </si>
  <si>
    <t>PAPIN_KEVO_Finland_09062020</t>
  </si>
  <si>
    <t>PAPIN_KEVO_Finland_15062020</t>
  </si>
  <si>
    <t>PAPIN_KEVO_Finland_26062020</t>
  </si>
  <si>
    <t>PAPIN_KEVO_Finland_30062020</t>
  </si>
  <si>
    <t>PAPIN_KEVO_Finland_02072020</t>
  </si>
  <si>
    <t>KEVO_Finland_precipitation_06072020</t>
  </si>
  <si>
    <t>KEVO_Finland_precipitation_07072020</t>
  </si>
  <si>
    <t>KEVO_Finland_precipitation_08072020</t>
  </si>
  <si>
    <t>KEVO_Finland_precipitation_09072020</t>
  </si>
  <si>
    <t>KEVO_Finland_precipitation_13072020</t>
  </si>
  <si>
    <t>KEVO_Finland_precipitation_16072020</t>
  </si>
  <si>
    <t>KEVO_Finland_precipitation_17072020</t>
  </si>
  <si>
    <t>KEVO_Finland_precipitation_19072020</t>
  </si>
  <si>
    <t>KEVO_Finland_precipitation_20072020</t>
  </si>
  <si>
    <t>KEVO_Finland_precipitation_21072020</t>
  </si>
  <si>
    <t>KEVO_Finland_precipitation_22072020</t>
  </si>
  <si>
    <t>KEVO_Finland_precipitation_23072020</t>
  </si>
  <si>
    <t>KEVO_Finland_precipitation_24072020</t>
  </si>
  <si>
    <t>KEVO_Finland_precipitation_27072020</t>
  </si>
  <si>
    <t>KEVO_Finland_precipitation_03082020</t>
  </si>
  <si>
    <t>KEVO_Finland_precipitation_10082020</t>
  </si>
  <si>
    <t>KEVO_Finland_precipitation_14082020</t>
  </si>
  <si>
    <t>KEVO_Finland_precipitation_17082020</t>
  </si>
  <si>
    <t>KEVO_Finland_precipitation_18082020</t>
  </si>
  <si>
    <t>KEVO_Finland_precipitation_20082020</t>
  </si>
  <si>
    <t>KEVO_Finland_precipitation_24082020</t>
  </si>
  <si>
    <t>KEVO_Finland_precipitation_28082020</t>
  </si>
  <si>
    <t>KEVO_Finland_precipitation_31082020</t>
  </si>
  <si>
    <t>KEVO_Finland_precipitation_01092020</t>
  </si>
  <si>
    <t>KEVO_Finland_precipitation_06092020</t>
  </si>
  <si>
    <t>KEVO_Finland_precipitation_10092020</t>
  </si>
  <si>
    <t>KEVO_Finland_precipitation_14092020</t>
  </si>
  <si>
    <t>KEVO_Finland_precipitation_16092020</t>
  </si>
  <si>
    <t>Kevo_21.9.20_-1.1C</t>
  </si>
  <si>
    <t>Kevo_22.9.20_6.1C</t>
  </si>
  <si>
    <t>Kevo_25.9.20_4C</t>
  </si>
  <si>
    <t>Abisko Scientific Research Station</t>
  </si>
  <si>
    <t>Sweden</t>
  </si>
  <si>
    <t>PAPIN_Abisko_1.10.2019</t>
  </si>
  <si>
    <t>PAPIN_Abisko_2.10.2019</t>
  </si>
  <si>
    <t>PAPIN_Abisko_14.10.2019</t>
  </si>
  <si>
    <t>PAPIN_Abisko_16.10.2019</t>
  </si>
  <si>
    <t>PAPIN_Abisko_23.10.2019</t>
  </si>
  <si>
    <t>PAPIN_Abisko_24.10.2019</t>
  </si>
  <si>
    <t>PAPIN_Abisko_25.10.2019</t>
  </si>
  <si>
    <t>PAPIN_Abisko_28.10.2019</t>
  </si>
  <si>
    <t>PAPIN_Abisko_29.10.2019</t>
  </si>
  <si>
    <t>PAPIN_Abisko_31.10.2019</t>
  </si>
  <si>
    <t>PAPIN_Abisko_1.11.2019</t>
  </si>
  <si>
    <t>PAPIN_Abisko_4.11.2019</t>
  </si>
  <si>
    <t>PAPIN_Abisko_5.11.2019</t>
  </si>
  <si>
    <t>PAPIN_Abisko_13.11.2019</t>
  </si>
  <si>
    <t>PAPIN_Abisko_19.11.2019</t>
  </si>
  <si>
    <t>PAPIN_Abisko_25.11.2019</t>
  </si>
  <si>
    <t>PAPIN_Abisko_26.11.2019</t>
  </si>
  <si>
    <t>PAPIN_Abisko_2.12.2019_Snow</t>
  </si>
  <si>
    <t>PAPIN_Abisko_3.12.2019_Snow</t>
  </si>
  <si>
    <t>PAPIN_Abisko_4.12.2019_Snow_Rain</t>
  </si>
  <si>
    <t>Snow, Rain</t>
  </si>
  <si>
    <t>PAPIN_Abisko_5.12.2019_Rain</t>
  </si>
  <si>
    <t>PAPIN_Abisko_6.12.2019_Snow</t>
  </si>
  <si>
    <t>PAPIN_Abisko_9.12.2019_Snow</t>
  </si>
  <si>
    <t>PAPIN_Abisko_10.12.2019_Snow</t>
  </si>
  <si>
    <t>PAPIN_Abisko_11.12.2019_Snow</t>
  </si>
  <si>
    <t>PAPIN_Abisko_12.12.2019_Snow</t>
  </si>
  <si>
    <t>PAPIN_Abisko_17.12.2019_Snow</t>
  </si>
  <si>
    <t>PAPIN_Abisko_18.12.2019_Snow</t>
  </si>
  <si>
    <t>PAPIN_Abisko_19.12.2019_Snow</t>
  </si>
  <si>
    <t>PAPIN_Abisko_20.12.2019_Snow</t>
  </si>
  <si>
    <t>PAPIN_Abisko_23.12.2019</t>
  </si>
  <si>
    <t>PAPIN_Abisko_27.12.2019</t>
  </si>
  <si>
    <t>PAPIN_Abisko_30.12.2019_Snow_Rain</t>
  </si>
  <si>
    <t>PAPIN_Abisko_2.1.2020</t>
  </si>
  <si>
    <t>PAPIN_Abisko_3.1.2020_Snow_Rain</t>
  </si>
  <si>
    <t>PAPIN_Abisko_7.1.2020_Snow</t>
  </si>
  <si>
    <t>PAPIN_Abisko_8.1.2020_Snow_Rain</t>
  </si>
  <si>
    <t>PAPIN_Abisko_9.1.2020_Snow_Rain</t>
  </si>
  <si>
    <t>PAPIN_Abisko_10.1.2020_Snow_Rain</t>
  </si>
  <si>
    <t>PAPIN_Abisko_13.1.2020_Snow</t>
  </si>
  <si>
    <t>PAPIN_Abisko_15.1.2020_Snow</t>
  </si>
  <si>
    <t>PAPIN_Abisko_16.1.2020_Snow</t>
  </si>
  <si>
    <t>PAPIN_Abisko_17.1.2020_Snow</t>
  </si>
  <si>
    <t>PAPIN_Abisko_20.1.2020_Snow</t>
  </si>
  <si>
    <t>ABISKO_precip_20200121</t>
  </si>
  <si>
    <t>ABISKO_precip_20200122</t>
  </si>
  <si>
    <t>ABISKO_precip_20200123</t>
  </si>
  <si>
    <t>ABISKO_precip_20200124</t>
  </si>
  <si>
    <t>ABISKO_precip_20200127</t>
  </si>
  <si>
    <t>ABISKO_Precip_20200128</t>
  </si>
  <si>
    <t>ABISKO_precip_20200129</t>
  </si>
  <si>
    <t>ABISKO_precip_20200203</t>
  </si>
  <si>
    <t>ABISKO_precip_20200205</t>
  </si>
  <si>
    <t>ABISKO_precip_20200206</t>
  </si>
  <si>
    <t>ABISKO_precip_20200207</t>
  </si>
  <si>
    <t>ABISKO_precip_20200210</t>
  </si>
  <si>
    <t>ABISKO_precip_20200211</t>
  </si>
  <si>
    <t>ABISKO_precip_20200213</t>
  </si>
  <si>
    <t>ABISKO_precip_20200217</t>
  </si>
  <si>
    <t>ABISKO_precip_20200218</t>
  </si>
  <si>
    <t>ABISKO_precip_20200219</t>
  </si>
  <si>
    <t>ABISKO_precip_20200224</t>
  </si>
  <si>
    <t>ABISKO_precip_20200225</t>
  </si>
  <si>
    <t>ABISKO_precip_20200226</t>
  </si>
  <si>
    <t>ABISKO_precip_20200227</t>
  </si>
  <si>
    <t>ABISKO_precip_20200302</t>
  </si>
  <si>
    <t>ABISKO_precip_20200306</t>
  </si>
  <si>
    <t>ABISKO_precip_20200309</t>
  </si>
  <si>
    <t>ABISKO_precip_20200310</t>
  </si>
  <si>
    <t>ABISKO_Precip_20200311</t>
  </si>
  <si>
    <t>ABISKO_precip_20200312</t>
  </si>
  <si>
    <t>ABISKO_precip_20200313</t>
  </si>
  <si>
    <t>ABISKO_precip_20200316</t>
  </si>
  <si>
    <t>ABISKO_Precip_20200317</t>
  </si>
  <si>
    <t>ABISKO_precip_20200318</t>
  </si>
  <si>
    <t>ABISKO_precip_20200319</t>
  </si>
  <si>
    <t>ABISKO_precip_20200325</t>
  </si>
  <si>
    <t>ABISKO_precip_20200327</t>
  </si>
  <si>
    <t>ABISKO_precip_20200330</t>
  </si>
  <si>
    <t>ABISKO_precip_20200331</t>
  </si>
  <si>
    <t>ABISKO_precip_20200401</t>
  </si>
  <si>
    <t>ABISKO_precip_20200403</t>
  </si>
  <si>
    <t>ABISKO_precip_20200408</t>
  </si>
  <si>
    <t>ABISKO_precip_20200409</t>
  </si>
  <si>
    <t>ABISKO_precip_20200414</t>
  </si>
  <si>
    <t>ABISKO_precip_20200415</t>
  </si>
  <si>
    <t>ABISKO_Precip_20200427</t>
  </si>
  <si>
    <t>ABISKO_precip_20200504</t>
  </si>
  <si>
    <t>ABISKO_Precip_20200505</t>
  </si>
  <si>
    <t>ABISKO_precip_20200511</t>
  </si>
  <si>
    <t>ABISKO_precip_20200515</t>
  </si>
  <si>
    <t>ABISKO_precip_20200518</t>
  </si>
  <si>
    <t>ABISKO_precip_20200519</t>
  </si>
  <si>
    <t>ABISKO_precip_20200529</t>
  </si>
  <si>
    <t>ABISKO_precip_20200608</t>
  </si>
  <si>
    <t>ABISKO_precip_20200609</t>
  </si>
  <si>
    <t>ABISKO_precip_20200625</t>
  </si>
  <si>
    <t>ABISKO_precip_20200630</t>
  </si>
  <si>
    <t>ABISKO_precip_20200701</t>
  </si>
  <si>
    <t>ABISKO_precip_20200702</t>
  </si>
  <si>
    <t>ABISKO_precip_20200709</t>
  </si>
  <si>
    <t>ABISKO_precip_20200710</t>
  </si>
  <si>
    <t>ABISKO_precip_20200713</t>
  </si>
  <si>
    <t>ABISKO_precip_20200714</t>
  </si>
  <si>
    <t>ABISKO_Precip_20200716</t>
  </si>
  <si>
    <t>ABISKO_precip_20200720</t>
  </si>
  <si>
    <t>ABISKO_precip_20200721</t>
  </si>
  <si>
    <t>ABISKO_precip_20200722</t>
  </si>
  <si>
    <t>ABISKO_precip_20200723</t>
  </si>
  <si>
    <t>ABISKO_precip_20200724</t>
  </si>
  <si>
    <t>ABISKO_precip_20200727</t>
  </si>
  <si>
    <t>ABISKO_precip_20200728</t>
  </si>
  <si>
    <t>ABISKO_precip_20200729</t>
  </si>
  <si>
    <t>ABISKO_precip_20200730</t>
  </si>
  <si>
    <t>ABISKO_precip_20200804</t>
  </si>
  <si>
    <t>ABISKO_precip_20200805</t>
  </si>
  <si>
    <t>ABISKO_precip_20200810</t>
  </si>
  <si>
    <t>ABISKO_precip_20200814</t>
  </si>
  <si>
    <t>ABISKO_precip_20200817</t>
  </si>
  <si>
    <t>ABISKO_precip_20200824</t>
  </si>
  <si>
    <t>ABISKO_precip_20200831</t>
  </si>
  <si>
    <t>ABISKO_precip_20200904</t>
  </si>
  <si>
    <t>ABISKO_precip_20200907</t>
  </si>
  <si>
    <t>ABISKO_precip_20200911</t>
  </si>
  <si>
    <t>ABISKO_precip_20200914</t>
  </si>
  <si>
    <t>ABISKO_precip_20200916</t>
  </si>
  <si>
    <t>ABISKO_precip_20200918</t>
  </si>
  <si>
    <t>ABISKO_precip_20200921</t>
  </si>
  <si>
    <t>ABISKO_precip_20200922</t>
  </si>
  <si>
    <t>ABISKO_precip_20200923</t>
  </si>
  <si>
    <t>ABISKO_precip_20200925</t>
  </si>
  <si>
    <t>ABISKO_Precip_20200928</t>
  </si>
  <si>
    <t>Atlantic</t>
  </si>
  <si>
    <t>Ny-Ålesund Research Station-Sverdrup</t>
  </si>
  <si>
    <t>Norway</t>
  </si>
  <si>
    <t>SVALBARD_20200526_R</t>
  </si>
  <si>
    <t>SVALBARD_20200527_R</t>
  </si>
  <si>
    <t>SVALBARD_20200528_C5</t>
  </si>
  <si>
    <t>SVALBARD_20200602_R</t>
  </si>
  <si>
    <t>SVALBARD_20200607_R</t>
  </si>
  <si>
    <t>SVALBARD_20200611</t>
  </si>
  <si>
    <t>SVALBARD_20200625_R</t>
  </si>
  <si>
    <t>SVALBARD_20200703_R</t>
  </si>
  <si>
    <t>SVALBARD_20200704_R</t>
  </si>
  <si>
    <t>SVALBARD_20200708_R</t>
  </si>
  <si>
    <t>SVALBARD_20200711</t>
  </si>
  <si>
    <t>SVALBARD_20200716_R</t>
  </si>
  <si>
    <t>NYALESUND_20200722</t>
  </si>
  <si>
    <t>NYALESUND_20200808</t>
  </si>
  <si>
    <t>NYALESUND_20200810</t>
  </si>
  <si>
    <t>NYALESUND_20200814</t>
  </si>
  <si>
    <t>NYALESUND_20200820</t>
  </si>
  <si>
    <t>NYALESUND_20200827</t>
  </si>
  <si>
    <t>NYALESUND_20200828</t>
  </si>
  <si>
    <t>NYALESUND_20200829</t>
  </si>
  <si>
    <t>NYALESUND_20200831</t>
  </si>
  <si>
    <t>NYALESUND_20200901</t>
  </si>
  <si>
    <t>NYALESUND_20200903_R</t>
  </si>
  <si>
    <t>NYALESUND_20200906_R</t>
  </si>
  <si>
    <t>NYALESUND_20200907</t>
  </si>
  <si>
    <t>Greenland Institute of Natural Resources</t>
  </si>
  <si>
    <t>Greenland</t>
  </si>
  <si>
    <t>PAPIN_Nuuk_11.10.19</t>
  </si>
  <si>
    <t>PAPIN_Nuuk_18.10.19</t>
  </si>
  <si>
    <t>PAPIN_Nuuk_31.10.19</t>
  </si>
  <si>
    <t>PAPIN_Nuuk_1.11.19</t>
  </si>
  <si>
    <t>PAPIN_Nuuk_12.11.19_21hprior</t>
  </si>
  <si>
    <t>Rain, Snow</t>
  </si>
  <si>
    <t>PAPIN_Nuuk_12.11.19_4hprior</t>
  </si>
  <si>
    <t>PAPIN_Nuuk_13.11.19</t>
  </si>
  <si>
    <t>PAPIN_Nuuk_15.11.19_Composite</t>
  </si>
  <si>
    <t>PAPIN_Nuuk_18.11.19</t>
  </si>
  <si>
    <t>PAPIN_Nuuk_20.11.19</t>
  </si>
  <si>
    <t>PAPIN_Nuuk_30.11.19</t>
  </si>
  <si>
    <t>PAPIN_Nuuk_2.12.19</t>
  </si>
  <si>
    <t>PAPIN_Nuuk_5.12.19_Composite</t>
  </si>
  <si>
    <t>PAPIN_Nuuk_10.12.19_8hprior</t>
  </si>
  <si>
    <t>PAPIN_Nuuk_10.12.19_5hprior</t>
  </si>
  <si>
    <t>PAPIN_Nuuk_11.12.19</t>
  </si>
  <si>
    <t>PAPIN_Nuuk_20.12.19</t>
  </si>
  <si>
    <t>PAPIN_Nuuk_2.1.20</t>
  </si>
  <si>
    <t>PAPIN_Nuuk_6.1.20_Composite</t>
  </si>
  <si>
    <t>PAPIN_Nuuk_7.1.20</t>
  </si>
  <si>
    <t>PAPIN_Nuuk_8.1.20</t>
  </si>
  <si>
    <t>PAPIN_Nuuk_9.1.20</t>
  </si>
  <si>
    <t>PAPIN_Nuuk_13.1.20</t>
  </si>
  <si>
    <t>PAPIN_Nuuk_14.1.20</t>
  </si>
  <si>
    <t>PAPIN_Nuuk_15.1.20</t>
  </si>
  <si>
    <t>PAPIN_Nuuk_17.1.20</t>
  </si>
  <si>
    <t>PAPIN_Nuuk_21.1.20</t>
  </si>
  <si>
    <t>PAPIN_Nuuk_22.1.20_17hprior</t>
  </si>
  <si>
    <t>PAPIN_Nuuk_22.1.20_5hprior</t>
  </si>
  <si>
    <t>PAPIN_Nuuk_24.1.20</t>
  </si>
  <si>
    <t>PAPIN_Nuuk_27.1.20_Composite</t>
  </si>
  <si>
    <t>PAPIN_Nuuk_31.1.20</t>
  </si>
  <si>
    <t>PAPIN_Nuuk_3.2.20_Composite</t>
  </si>
  <si>
    <t>PAPIN_Nuuk_4.2.20</t>
  </si>
  <si>
    <t>PAPIN_Nuuk_7.2.20</t>
  </si>
  <si>
    <t>PAPIN_Nuuk_10.2.20</t>
  </si>
  <si>
    <t>PAPIN_Nuuk_11.2.20</t>
  </si>
  <si>
    <t>NUUK_17022020</t>
  </si>
  <si>
    <t>NUUK_18022020</t>
  </si>
  <si>
    <t>NUUK_24022020</t>
  </si>
  <si>
    <t>NUUK_25022020</t>
  </si>
  <si>
    <t>NUUK_04052020</t>
  </si>
  <si>
    <t>NUUK_08052020</t>
  </si>
  <si>
    <t>NUUK_13052020</t>
  </si>
  <si>
    <t>NUUK_25052020</t>
  </si>
  <si>
    <t>NUUK_27052020</t>
  </si>
  <si>
    <t>Nuuk_29052020_4C</t>
  </si>
  <si>
    <t>NUUK_02062020</t>
  </si>
  <si>
    <t>NUUK_04062020</t>
  </si>
  <si>
    <t>NUUK_09062020</t>
  </si>
  <si>
    <t>NUUK_12062020</t>
  </si>
  <si>
    <t>NUUK_15062020</t>
  </si>
  <si>
    <t>NUUK_16062020</t>
  </si>
  <si>
    <t>NUUK_17062020</t>
  </si>
  <si>
    <t>NUUK_22062020</t>
  </si>
  <si>
    <t>NUUK_26062020</t>
  </si>
  <si>
    <t>NUUK_06072020</t>
  </si>
  <si>
    <t>NUUK_07072020</t>
  </si>
  <si>
    <t>NUUK_08072020</t>
  </si>
  <si>
    <t>NUUK_10072020</t>
  </si>
  <si>
    <t>NUUK_21072020</t>
  </si>
  <si>
    <t>NUUK_27072020</t>
  </si>
  <si>
    <t>NUUK_28072020</t>
  </si>
  <si>
    <t>NUUK_03082020</t>
  </si>
  <si>
    <t>NUUK_05082020</t>
  </si>
  <si>
    <t>NUUK_10082020</t>
  </si>
  <si>
    <t>NUUK_11082020</t>
  </si>
  <si>
    <t>NUUK_12082020</t>
  </si>
  <si>
    <t>Nuuk_12.8.20_Rain</t>
  </si>
  <si>
    <t>Nuuk_4.9.20_Rain_12hoursprior</t>
  </si>
  <si>
    <t>Nuuk_7.9.20_Rain_27hoursprior</t>
  </si>
  <si>
    <t>Nuuk_7.9.20_Rain_3hoursprior</t>
  </si>
  <si>
    <t>Nuuk_9.9.20_Rain_17hoursprior</t>
  </si>
  <si>
    <t>Nuuk_15.9.20_Rain_11hoursprior</t>
  </si>
  <si>
    <t>Nuuk_17.9.20_Rain_14hoursprior</t>
  </si>
  <si>
    <t>Nuuk_18.9.20_Rain_4hoursprior</t>
  </si>
  <si>
    <t>Nuuk_19.9.20_Rain_1hourprior</t>
  </si>
  <si>
    <t>Nuuk_23.9.20_RainSnow_22hoursprior</t>
  </si>
  <si>
    <t>Nuuk_28.9.20_RainSnow_17hoursprior</t>
  </si>
  <si>
    <t>Arctic Station</t>
  </si>
  <si>
    <t>PAPIN_Disko_AS_8.10.19_17days_0.455inch_-1.8C_Rain</t>
  </si>
  <si>
    <t>PAPIN_Disko_AS_15.10.19_7days_0.085inch_-2C_Snow</t>
  </si>
  <si>
    <t>PAPIN_Disko_AS_19.10.19_4days_0.61inch_1.5C_Rain</t>
  </si>
  <si>
    <t>PAPIN_Disko_AS_30.11.19_3C_Snow</t>
  </si>
  <si>
    <t>PAPIN_Disko_AS_14.12.19_7.9C_Snow</t>
  </si>
  <si>
    <t>PAPIN_GREENLAND_As_07022020_S</t>
  </si>
  <si>
    <t>PAPIN_GREENLAND_As_10022020_S</t>
  </si>
  <si>
    <t>PAPIN_GREENLAND_As_17022020_S</t>
  </si>
  <si>
    <t>PAPIN_GREENLAND_As_19022020_S</t>
  </si>
  <si>
    <t>PAPIN_GREENLAND_As_08032020_S</t>
  </si>
  <si>
    <t>PAPIN_GREENLAND_As_14032020_S</t>
  </si>
  <si>
    <t>PAPIN_GREENLAND_As_26032020_S</t>
  </si>
  <si>
    <t>PAPIN_GREENLAND_As_29032020_S</t>
  </si>
  <si>
    <t>PAPIN_GREENLAND_As_13042020_S</t>
  </si>
  <si>
    <t>PAPIN_GREENLAND_As_14042020_S</t>
  </si>
  <si>
    <t>PAPIN_GREENLAND_As_28042020_S</t>
  </si>
  <si>
    <t>PAPIN_GREENLAND_As_04052020_S</t>
  </si>
  <si>
    <t>PAPIN_GREENLAND_As_04062020_R</t>
  </si>
  <si>
    <t>PAPIN_GREENLAND_As_07062020_R</t>
  </si>
  <si>
    <t>PAPIN_GREENLAND_As_14062020_S_R</t>
  </si>
  <si>
    <t>Snow and Rain</t>
  </si>
  <si>
    <t>PAPIN_GREENLAND_As_07072020_R</t>
  </si>
  <si>
    <t>Precipitation (Inch)</t>
  </si>
  <si>
    <t>Sudurnes Science &amp; Learning Centre</t>
  </si>
  <si>
    <t>Iceland</t>
  </si>
  <si>
    <t>PAPIN_Sudurnes_8.10.19_Rain_Composite</t>
  </si>
  <si>
    <t>PAPIN_Sudurnes_1.11.19_Rain_Composite</t>
  </si>
  <si>
    <t>PAPIN_Sudurnes_4.11.19_Rain_Composite</t>
  </si>
  <si>
    <t>PAPIN_Sudurnes_13.11.19_Rain_Composite</t>
  </si>
  <si>
    <t>PAPIN_Sudurnes_20.11.19_Rain_Composite</t>
  </si>
  <si>
    <t>Russia</t>
  </si>
  <si>
    <t>Precipitation</t>
  </si>
  <si>
    <t>Arkhangelsk</t>
  </si>
  <si>
    <t>PAPIN_Arghangelsk_45_300919_141019_rain</t>
  </si>
  <si>
    <t>PAPIN_Arghangelsk_46_141019_281019_rain</t>
  </si>
  <si>
    <t>PAPIN_Arghangelsk_47_141119_snow</t>
  </si>
  <si>
    <t>PAPIN_Arghangelsk_49_141119_061219_ice</t>
  </si>
  <si>
    <t>Ice</t>
  </si>
  <si>
    <t>PAPIN_Arghangelsk_48_141119_061219_snow</t>
  </si>
  <si>
    <t>PAPIN_Arghangelsk_50_061219_271219_snow_ice</t>
  </si>
  <si>
    <t>PAPIN_Arghangelsk_20_121218_291219_snow</t>
  </si>
  <si>
    <t>PAPIN_Arghangelsk_51_271219_200120_snow</t>
  </si>
  <si>
    <t>PAPIN_Arghangelsk_52_200120_130220_snow</t>
  </si>
  <si>
    <t>NarianMar</t>
  </si>
  <si>
    <t>PAPIN_NarianMar_48_050919_rain</t>
  </si>
  <si>
    <t>PAPIN_NarianMar_49_040919_050919_rain</t>
  </si>
  <si>
    <t>PAPIN_NarianMar_53_030919_060919_rain</t>
  </si>
  <si>
    <t>PAPIN_NarianMar_50_230919_250919_rain</t>
  </si>
  <si>
    <t>PAPIN_NarianMar_51_250919_300919_rain</t>
  </si>
  <si>
    <t>PAPIN_NarianMar_52_011019_021019_rain</t>
  </si>
  <si>
    <t>PAPIN_NarianMar_54_121019_rain</t>
  </si>
  <si>
    <t>PAPIN_NarianMar_55_181019_141119_snow</t>
  </si>
  <si>
    <t>PAPIN_NarianMar_56_141119_221219_snow</t>
  </si>
  <si>
    <t>Anmangynda River</t>
  </si>
  <si>
    <t>NaN</t>
  </si>
  <si>
    <t>Monthly</t>
  </si>
  <si>
    <t>North American</t>
  </si>
  <si>
    <t>Toolik Lake</t>
  </si>
  <si>
    <t>USA</t>
  </si>
  <si>
    <t>Toolik_10.7.19_20F</t>
  </si>
  <si>
    <t>Toolik_10.22.19_16F</t>
  </si>
  <si>
    <t>Toolik_10.30.19_18F</t>
  </si>
  <si>
    <t>Toolik_11.2.19_11F</t>
  </si>
  <si>
    <t>Toolik_11.23.19_5F</t>
  </si>
  <si>
    <t>Toolik_12.31.19_21F</t>
  </si>
  <si>
    <t>Toolik_2.5.20_-30F</t>
  </si>
  <si>
    <t>Toolik_2.19.20_9F</t>
  </si>
  <si>
    <t>Toolik_2.23.20_-9F</t>
  </si>
  <si>
    <t>Toolik_3.16.20_16F</t>
  </si>
  <si>
    <t>Toolik_3.16.20_22F</t>
  </si>
  <si>
    <t>Toolik_3.18.20_24F</t>
  </si>
  <si>
    <t>Toolik_3.20.20_NLakeArea</t>
  </si>
  <si>
    <t>Toolik_3.21.20_6F_NWStorm</t>
  </si>
  <si>
    <t>Toolik_3.23.20_14F</t>
  </si>
  <si>
    <t>Anchorage</t>
  </si>
  <si>
    <t>TD_10.1.19_46F</t>
  </si>
  <si>
    <t>TD_10.2.19_40F</t>
  </si>
  <si>
    <t>TD_10.4.19_49F</t>
  </si>
  <si>
    <t>TD_10.9.19_45F</t>
  </si>
  <si>
    <t>TD_10.10.19_38F</t>
  </si>
  <si>
    <t>TD_10.17.19_37F</t>
  </si>
  <si>
    <t>TD_10.23.19_50F</t>
  </si>
  <si>
    <t>Tideview_10.24.19_44F</t>
  </si>
  <si>
    <t>TD_10.25.19_41F</t>
  </si>
  <si>
    <t>TD_10.27.19_45F</t>
  </si>
  <si>
    <t>TD_10.28.19_45F</t>
  </si>
  <si>
    <t>TD_11.6.19_39F</t>
  </si>
  <si>
    <t>TD_11.7.19_41F</t>
  </si>
  <si>
    <t>TD_11.8.19_41F</t>
  </si>
  <si>
    <t>TD_11.16.19_34F</t>
  </si>
  <si>
    <t>TD_11.17.19_28F</t>
  </si>
  <si>
    <t>11.22.19_46F</t>
  </si>
  <si>
    <t>TD_11.23.19_34F</t>
  </si>
  <si>
    <t>TD_11.24.19_31F</t>
  </si>
  <si>
    <t>TD_11.15.19_36F</t>
  </si>
  <si>
    <t>TD_11.28.19_44F</t>
  </si>
  <si>
    <t>12.1.19_33F</t>
  </si>
  <si>
    <t>TD_12.3.19_24F</t>
  </si>
  <si>
    <t>TD_12.4.19_20F</t>
  </si>
  <si>
    <t>TD_12.6.19_20F</t>
  </si>
  <si>
    <t>12.9.19_42F</t>
  </si>
  <si>
    <t>TD_12.10.19_37F</t>
  </si>
  <si>
    <t>TD_12.25.19_24F</t>
  </si>
  <si>
    <t>12.28.19</t>
  </si>
  <si>
    <t>1.1.20_14F</t>
  </si>
  <si>
    <t>TD_1.3.20_8F</t>
  </si>
  <si>
    <t>TD_1.13.20_13F</t>
  </si>
  <si>
    <t>TD_1.20.20_22F</t>
  </si>
  <si>
    <t>1.22.20_20F</t>
  </si>
  <si>
    <t>Tideview_2.6.20_30F</t>
  </si>
  <si>
    <t>Research Station Samoylov Island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</si>
  <si>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</si>
  <si>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</si>
  <si>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</si>
  <si>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</si>
  <si>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</si>
  <si>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</si>
  <si>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</si>
  <si>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</si>
  <si>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</si>
  <si>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</si>
  <si>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</si>
  <si>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</si>
  <si>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</si>
  <si>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</si>
  <si>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</si>
  <si>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</si>
  <si>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</si>
  <si>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 (13./15.11.2019)</t>
  </si>
  <si>
    <t>S585</t>
  </si>
  <si>
    <t>S586</t>
  </si>
  <si>
    <t>S587</t>
  </si>
  <si>
    <t>S588</t>
  </si>
  <si>
    <t>S589</t>
  </si>
  <si>
    <t>S590</t>
  </si>
  <si>
    <t>Lumikerain</t>
  </si>
  <si>
    <t>Rainfall</t>
  </si>
  <si>
    <t>Krycklan Svartberget Research Station</t>
  </si>
  <si>
    <t>SVP-2020-001</t>
  </si>
  <si>
    <t>SVP-2020-002</t>
  </si>
  <si>
    <t>SVP-2020-003</t>
  </si>
  <si>
    <t>SVP-2020-004</t>
  </si>
  <si>
    <t>SVP-2020-005</t>
  </si>
  <si>
    <t>SVP-2020-006</t>
  </si>
  <si>
    <t>SVP-2020-007</t>
  </si>
  <si>
    <t>SVP-2020-008</t>
  </si>
  <si>
    <t>SVP-2020-009</t>
  </si>
  <si>
    <t>SVP-2020-010</t>
  </si>
  <si>
    <t>SVP-2020-011</t>
  </si>
  <si>
    <t>SVP-2020-012</t>
  </si>
  <si>
    <t>SVP-2020-013</t>
  </si>
  <si>
    <t>SVP-2020-014</t>
  </si>
  <si>
    <t>SVP-2020-015</t>
  </si>
  <si>
    <t>SVP-2020-016</t>
  </si>
  <si>
    <t>SVP-2020-017</t>
  </si>
  <si>
    <t>SVP-2020-018</t>
  </si>
  <si>
    <t>SVP-2020-019</t>
  </si>
  <si>
    <t>SVP-2020-020</t>
  </si>
  <si>
    <t>SVP-2020-021</t>
  </si>
  <si>
    <t>SVP-2020-022</t>
  </si>
  <si>
    <t>SVP-2020-023</t>
  </si>
  <si>
    <t>SVP-2020-024</t>
  </si>
  <si>
    <t>SVP-2020-025</t>
  </si>
  <si>
    <t>SVP-2020-026</t>
  </si>
  <si>
    <t>SVP-2020-027</t>
  </si>
  <si>
    <t>SVP-2020-028</t>
  </si>
  <si>
    <t>SVP-2020-029</t>
  </si>
  <si>
    <t>SVP-2020-030</t>
  </si>
  <si>
    <t>SVP-2020-031</t>
  </si>
  <si>
    <t>SVP-2020-032</t>
  </si>
  <si>
    <t>SVP-2020-033</t>
  </si>
  <si>
    <t>SVP-2020-034</t>
  </si>
  <si>
    <t>SVP-2020-035</t>
  </si>
  <si>
    <t>SVP-2020-036</t>
  </si>
  <si>
    <t>SVP-2020-037</t>
  </si>
  <si>
    <t>SVP-2020-038</t>
  </si>
  <si>
    <t>SVP-2020-039</t>
  </si>
  <si>
    <t>SVP-2020-040</t>
  </si>
  <si>
    <t>SVP-2020-041</t>
  </si>
  <si>
    <t>SVP-2020-042</t>
  </si>
  <si>
    <t>SVP-2020-043</t>
  </si>
  <si>
    <t>SVP-2020-044</t>
  </si>
  <si>
    <t>SVP-2020-045</t>
  </si>
  <si>
    <t>SVP-2020-046</t>
  </si>
  <si>
    <t>SVP-2020-047</t>
  </si>
  <si>
    <t>SVP-2020-048</t>
  </si>
  <si>
    <t>SVP-2020-049</t>
  </si>
  <si>
    <t>SVP-2020-050</t>
  </si>
  <si>
    <t>SVP-2020-051</t>
  </si>
  <si>
    <t>SVP-2020-052</t>
  </si>
  <si>
    <t>SVP-2020-053</t>
  </si>
  <si>
    <t>SVP-2020-054</t>
  </si>
  <si>
    <t>SVP-2020-055</t>
  </si>
  <si>
    <t>SVP-2020-056</t>
  </si>
  <si>
    <t>SVP-2020-057</t>
  </si>
  <si>
    <t>SVP-2020-058</t>
  </si>
  <si>
    <t>SVP-2020-059</t>
  </si>
  <si>
    <t>SVP-2020-061</t>
  </si>
  <si>
    <t>SVP-2020-062</t>
  </si>
  <si>
    <t>SVP-2020-063</t>
  </si>
  <si>
    <t>SVP-2020-064</t>
  </si>
  <si>
    <t>SVP-2020-065</t>
  </si>
  <si>
    <t>SVP-2020-066</t>
  </si>
  <si>
    <t>SVP-2020-067</t>
  </si>
  <si>
    <t>SVP-2020-068</t>
  </si>
  <si>
    <t>SVP-2020-069</t>
  </si>
  <si>
    <t>SVP-2020-070</t>
  </si>
  <si>
    <t>SVP-2020-071</t>
  </si>
  <si>
    <t>SVP-2020-072</t>
  </si>
  <si>
    <t>ToolikSnow2_4.16.20_snow</t>
  </si>
  <si>
    <t>ToolikSnow1_4.21.20_snow</t>
  </si>
  <si>
    <t>TL20-1_ToolikLake_5.28.20_rain</t>
  </si>
  <si>
    <t>TL20-2_ToolikLake_6.4.20_rain</t>
  </si>
  <si>
    <t>TL20-3_ToolikLake_6.5.20_rain</t>
  </si>
  <si>
    <t>TL20-4_ToolikLake_6.7.20_rain</t>
  </si>
  <si>
    <t>TL20-5_ToolikLake_6.8.20_rain</t>
  </si>
  <si>
    <t>TL20-6_ToolikLake_6.13.20_rain</t>
  </si>
  <si>
    <t>TL20-7_ToolikLake_6.16.20_rain</t>
  </si>
  <si>
    <t>TL20-8_ToolikLake_6.18.20_rain</t>
  </si>
  <si>
    <t>TL20-9_ToolikLake_6.24.20_rain</t>
  </si>
  <si>
    <t>TL20-10_ToolikLake_6.27.20_rain</t>
  </si>
  <si>
    <t>TL20-11_ToolikLake_6.28.20_rain</t>
  </si>
  <si>
    <t>TL20-12_ToolikLake_6.30.20_rain</t>
  </si>
  <si>
    <t>TL20-13_ToolikLake_7.1.20_rain</t>
  </si>
  <si>
    <t>TL20-14_ToolikLake_7.13.20_rain</t>
  </si>
  <si>
    <t>TL20-15_ToolikLake_7.14.20_rain</t>
  </si>
  <si>
    <t>TL20-16_ToolikLake_7.19.20_rain</t>
  </si>
  <si>
    <t>TL20-17_ToolikLake_7.21.20_rain</t>
  </si>
  <si>
    <t>TL20-18_ToolikLake_7.25.20_rain</t>
  </si>
  <si>
    <t>TL20-19_ToolikLake_7.26.20_rain</t>
  </si>
  <si>
    <t>TL20-20_ToolikLake_7.27.20_rain</t>
  </si>
  <si>
    <t>TL20-21_ToolikLake_7.28.20_rain</t>
  </si>
  <si>
    <t>TD20-1_Tideview_12.2.19_snow</t>
  </si>
  <si>
    <t>TD20-2_Tideview_2.5.20_snow</t>
  </si>
  <si>
    <t>TD20-3_Tideview_2.12.20_snow</t>
  </si>
  <si>
    <t>TD20-4_Tideview_2.19.20_snow</t>
  </si>
  <si>
    <t>TD20-5_Tideview_2.21.20_snow</t>
  </si>
  <si>
    <t>TD20-6_Tideview_2.22.20_snow</t>
  </si>
  <si>
    <t>TD20-7_Tideview_3.1.20_snow</t>
  </si>
  <si>
    <t>TD20-8_Tideview_4.2.20_snow</t>
  </si>
  <si>
    <t>TD20-9_Tideview_4.3.20_SnowOvernight</t>
  </si>
  <si>
    <t>TD20-10_Tideview_4.13.20_rain</t>
  </si>
  <si>
    <t>TD20-11_Tideview_4.15.20_rain</t>
  </si>
  <si>
    <t>TD20-12_Tideview_4.17.20_rain</t>
  </si>
  <si>
    <t>TD20-13_Tideview_5.24.20_rain</t>
  </si>
  <si>
    <t>TD20-22_Tideview_5.25.20_rain</t>
  </si>
  <si>
    <t>TD20-23_Tideview_6.7.20_rain</t>
  </si>
  <si>
    <t>TD20-24_Tideview_6.8.20_rain</t>
  </si>
  <si>
    <t>TD20-25_Tideview_6.9.20_RainOvernight</t>
  </si>
  <si>
    <t>TD20-26_Tideview_6.19.20_rain</t>
  </si>
  <si>
    <t>TD20-27_Tideview_6.27.20_rain</t>
  </si>
  <si>
    <t>TD20-28_Tideview_6.29.20_rain</t>
  </si>
  <si>
    <t>TD20-29_Tideview_7.8.20_rain</t>
  </si>
  <si>
    <t>TD20-30_Tideview_7.20.20_rain</t>
  </si>
  <si>
    <t>TD20-31_Tideview_7.21.20_rain</t>
  </si>
  <si>
    <t>TD20-32_Tideview_7.25.20_rain</t>
  </si>
  <si>
    <t>TD20-33_Tideview_8.1.20_RainOvernight</t>
  </si>
  <si>
    <t>TD20-34_Tideview_8.9.20_rain</t>
  </si>
  <si>
    <t>TD20-35_Tideview_8.11.20_rain</t>
  </si>
  <si>
    <t>TD20-36_Tideview_8.23.20_rain</t>
  </si>
  <si>
    <t>TD20-37_Tideview_8.24.20_rain</t>
  </si>
  <si>
    <t>TD20-38_Tideview_8.25.20_rain</t>
  </si>
  <si>
    <t>TD20-39_Tideview_8.26.20_RainOvernight</t>
  </si>
  <si>
    <t>TD20-40_Tideview_8.26.20_rain</t>
  </si>
  <si>
    <t>TD20-41_Tideview_8.31.20_rain</t>
  </si>
  <si>
    <t>TD20-42_Tideview_9.1.20_rain</t>
  </si>
  <si>
    <t>TD20-43_Tideview_9.30.20_rain</t>
  </si>
  <si>
    <t>Mean</t>
  </si>
  <si>
    <t>Min</t>
  </si>
  <si>
    <t>Max</t>
  </si>
  <si>
    <t>SD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</si>
  <si>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</si>
  <si>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</si>
  <si>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</si>
  <si>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</si>
  <si>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</si>
  <si>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</si>
  <si>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</si>
  <si>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</si>
  <si>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</si>
  <si>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</si>
  <si>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</si>
  <si>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</si>
  <si>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</si>
  <si>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</si>
  <si>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 (7.-8.03.20)</t>
  </si>
  <si>
    <t>T473</t>
  </si>
  <si>
    <t>T474</t>
  </si>
  <si>
    <t>T475</t>
  </si>
  <si>
    <t>T476 (23.-24.03.20)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</si>
  <si>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</si>
  <si>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</si>
  <si>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</si>
  <si>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</si>
  <si>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</si>
  <si>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</si>
  <si>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</si>
  <si>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</si>
  <si>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</si>
  <si>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</si>
  <si>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</si>
  <si>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</si>
  <si>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</si>
  <si>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</si>
  <si>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</si>
  <si>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</si>
  <si>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</si>
  <si>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</si>
  <si>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</si>
  <si>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</si>
  <si>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</si>
  <si>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</si>
  <si>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</si>
  <si>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</si>
  <si>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</si>
  <si>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</si>
  <si>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</si>
  <si>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</si>
  <si>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</si>
  <si>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</si>
  <si>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</si>
  <si>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</si>
  <si>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</si>
  <si>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</si>
  <si>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</si>
  <si>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</si>
  <si>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</si>
  <si>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</si>
  <si>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</si>
  <si>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</si>
  <si>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</si>
  <si>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</si>
  <si>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</si>
  <si>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</si>
  <si>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</si>
  <si>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</si>
  <si>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</si>
  <si>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</si>
  <si>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</si>
  <si>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</si>
  <si>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</si>
  <si>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</si>
  <si>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</si>
  <si>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</si>
  <si>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</si>
  <si>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</si>
  <si>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</si>
  <si>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</si>
  <si>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</si>
  <si>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</si>
  <si>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</si>
  <si>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</si>
  <si>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</si>
  <si>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</si>
  <si>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</si>
  <si>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</si>
  <si>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</si>
  <si>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</si>
  <si>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</si>
  <si>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</si>
  <si>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</si>
  <si>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</si>
  <si>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</si>
  <si>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</si>
  <si>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</si>
  <si>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</si>
  <si>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</si>
  <si>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</si>
  <si>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</si>
  <si>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</si>
  <si>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</si>
  <si>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</si>
  <si>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</si>
  <si>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</si>
  <si>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</si>
  <si>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</si>
  <si>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</si>
  <si>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</si>
  <si>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</si>
  <si>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</si>
  <si>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</si>
  <si>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</si>
  <si>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</si>
  <si>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</si>
  <si>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</si>
  <si>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</si>
  <si>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</si>
  <si>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</si>
  <si>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</si>
  <si>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</si>
  <si>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</si>
  <si>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</si>
  <si>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</si>
  <si>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</si>
  <si>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</si>
  <si>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</si>
  <si>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</si>
  <si>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</si>
  <si>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</si>
  <si>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</si>
  <si>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</si>
  <si>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</si>
  <si>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</si>
  <si>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</si>
  <si>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</si>
  <si>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</si>
  <si>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</si>
  <si>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</si>
  <si>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</si>
  <si>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</si>
  <si>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</si>
  <si>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</si>
  <si>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</si>
  <si>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</si>
  <si>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</si>
  <si>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</si>
  <si>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</si>
  <si>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</si>
  <si>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</si>
  <si>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</si>
  <si>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</si>
  <si>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</si>
  <si>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</si>
  <si>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</si>
  <si>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</si>
  <si>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</si>
  <si>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</si>
  <si>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</si>
  <si>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</si>
  <si>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</si>
  <si>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</si>
  <si>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</si>
  <si>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</si>
  <si>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</si>
  <si>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</si>
  <si>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</si>
  <si>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</si>
  <si>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</si>
  <si>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</si>
  <si>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</si>
  <si>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</si>
  <si>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</si>
  <si>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</si>
  <si>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</si>
  <si>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</si>
  <si>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</si>
  <si>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</si>
  <si>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</si>
  <si>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</si>
  <si>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</si>
  <si>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Station</t>
  </si>
  <si>
    <t>δ¹⁸O (‰)</t>
  </si>
  <si>
    <t>δD (‰)</t>
  </si>
  <si>
    <t>d-excess (‰)</t>
  </si>
  <si>
    <t>N</t>
  </si>
  <si>
    <t>Pallas</t>
  </si>
  <si>
    <t>Oulanka</t>
  </si>
  <si>
    <t>Kevo</t>
  </si>
  <si>
    <t>Abisko</t>
  </si>
  <si>
    <t>Krycklan</t>
  </si>
  <si>
    <t>Ny-Ålesund</t>
  </si>
  <si>
    <t>Nuuk</t>
  </si>
  <si>
    <t>Disko</t>
  </si>
  <si>
    <t>Sudurnes</t>
  </si>
  <si>
    <t>Narian Mar</t>
  </si>
  <si>
    <t>Anmangynda</t>
  </si>
  <si>
    <t>Tiksi</t>
  </si>
  <si>
    <t>Samoylov Island</t>
  </si>
  <si>
    <t>Co-isotope Relationship</t>
  </si>
  <si>
    <t>Slope</t>
  </si>
  <si>
    <t>Intercept</t>
  </si>
  <si>
    <r>
      <t>R</t>
    </r>
    <r>
      <rPr>
        <vertAlign val="superscript"/>
        <sz val="10"/>
        <color rgb="FF000000"/>
        <rFont val="Cambria"/>
        <family val="1"/>
      </rPr>
      <t>2</t>
    </r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</si>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</sst>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[$-809]dd\ mmmm\ yyyy;@"/>
    <numFmt numFmtId="166" formatCode="[$-809]d\ mmmm\ yyyy;@"/>
    <numFmt numFmtId="167" formatCode="dd/mm/yy;@"/>
    <numFmt numFmtId="168" formatCode="0.0"/>
    <numFmt numFmtId="169" formatCode="[$-809]dd\ mmmm\ yyyy"/>
    <numFmt numFmtId="170" formatCode="dd&quot; &quot;mmmm&quot; &quot;yyyy"/>
    <numFmt numFmtId="171" formatCode="d&quot; &quot;mmmm&quot; &quot;yyyy"/>
    <numFmt numFmtId="172" formatCode="[$-809]d\ mmmm\ yyyy"/>
    <numFmt numFmtId="173" formatCode="[$-409]d\-mmm\-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mbria"/>
      <family val="1"/>
    </font>
    <font>
      <b/>
      <i/>
      <sz val="10"/>
      <color rgb="FF000000"/>
      <name val="Cambria"/>
      <family val="1"/>
    </font>
    <font>
      <sz val="10"/>
      <color rgb="FF000000"/>
      <name val="Cambria"/>
      <family val="1"/>
    </font>
    <font>
      <i/>
      <sz val="10"/>
      <color rgb="FF000000"/>
      <name val="Cambria"/>
      <family val="1"/>
    </font>
    <font>
      <vertAlign val="superscript"/>
      <sz val="10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69" fontId="0" fillId="0" borderId="0" xfId="0" applyNumberFormat="1" applyFont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17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71" fontId="0" fillId="0" borderId="0" xfId="0" applyNumberFormat="1" applyFont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72" fontId="0" fillId="0" borderId="0" xfId="0" applyNumberFormat="1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172" fontId="0" fillId="0" borderId="0" xfId="0" applyNumberFormat="1" applyFont="1" applyFill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73" fontId="2" fillId="2" borderId="0" xfId="0" applyNumberFormat="1" applyFont="1" applyFill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173" fontId="5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73" fontId="7" fillId="0" borderId="0" xfId="2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0" fillId="0" borderId="0" xfId="0" applyNumberFormat="1" applyFont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3" fontId="0" fillId="0" borderId="0" xfId="3" applyNumberFormat="1" applyFont="1" applyFill="1" applyAlignment="1">
      <alignment horizontal="center" vertical="center"/>
    </xf>
    <xf numFmtId="168" fontId="8" fillId="0" borderId="0" xfId="0" applyNumberFormat="1" applyFont="1" applyFill="1" applyAlignment="1">
      <alignment horizontal="center" vertical="center"/>
    </xf>
    <xf numFmtId="167" fontId="10" fillId="0" borderId="0" xfId="0" applyNumberFormat="1" applyFont="1" applyFill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4">
    <cellStyle name="Comma" xfId="1" builtinId="3"/>
    <cellStyle name="Explanatory Text" xfId="2" builtinId="53"/>
    <cellStyle name="Normal" xfId="0" builtinId="0"/>
    <cellStyle name="Standard 2" xfId="3" xr:uid="{59DD8A46-DF5A-498E-82CC-189BE96E2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61D8-19AC-415F-9F17-1D753B39829C}">
  <dimension ref="A1:U922"/>
  <sheetViews>
    <sheetView zoomScale="85" zoomScaleNormal="85" workbookViewId="0"/>
  </sheetViews>
  <sheetFormatPr defaultRowHeight="14.5" x14ac:dyDescent="0.35"/>
  <cols>
    <col min="1" max="1" width="14.7265625" bestFit="1" customWidth="1"/>
    <col min="2" max="2" width="6.81640625" bestFit="1" customWidth="1"/>
    <col min="3" max="3" width="38.26953125" bestFit="1" customWidth="1"/>
    <col min="4" max="4" width="10.36328125" bestFit="1" customWidth="1"/>
    <col min="5" max="5" width="7.7265625" bestFit="1" customWidth="1"/>
    <col min="6" max="6" width="9.08984375" bestFit="1" customWidth="1"/>
    <col min="7" max="7" width="10.90625" bestFit="1" customWidth="1"/>
    <col min="8" max="8" width="10.54296875" bestFit="1" customWidth="1"/>
    <col min="9" max="9" width="49.1796875" bestFit="1" customWidth="1"/>
    <col min="10" max="10" width="16.36328125" bestFit="1" customWidth="1"/>
    <col min="11" max="13" width="17.54296875" bestFit="1" customWidth="1"/>
    <col min="14" max="14" width="22.81640625" bestFit="1" customWidth="1"/>
    <col min="15" max="15" width="21.36328125" bestFit="1" customWidth="1"/>
    <col min="16" max="16" width="8" bestFit="1" customWidth="1"/>
    <col min="17" max="17" width="24.08984375" bestFit="1" customWidth="1"/>
    <col min="18" max="18" width="18.36328125" bestFit="1" customWidth="1"/>
    <col min="19" max="19" width="14.81640625" bestFit="1" customWidth="1"/>
    <col min="20" max="20" width="8.453125" bestFit="1" customWidth="1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s="5" customFormat="1" ht="14.25" customHeight="1" x14ac:dyDescent="0.35">
      <c r="A2" s="5" t="s">
        <v>20</v>
      </c>
      <c r="B2" s="6" t="s">
        <v>21</v>
      </c>
      <c r="C2" s="6" t="s">
        <v>22</v>
      </c>
      <c r="D2" s="6" t="s">
        <v>23</v>
      </c>
      <c r="E2" s="7">
        <v>67.966667000000001</v>
      </c>
      <c r="F2" s="7">
        <v>24.116667</v>
      </c>
      <c r="G2" s="7">
        <v>342</v>
      </c>
      <c r="I2" s="5" t="s">
        <v>24</v>
      </c>
      <c r="J2" s="6" t="s">
        <v>100</v>
      </c>
      <c r="K2" s="8">
        <v>43769</v>
      </c>
      <c r="L2" s="8"/>
      <c r="M2" s="8"/>
      <c r="N2" s="9">
        <v>-20.76</v>
      </c>
      <c r="O2" s="41">
        <v>-149.63999999999999</v>
      </c>
      <c r="P2" s="41">
        <f t="shared" ref="P2:P108" si="0">O2-(8*N2)</f>
        <v>16.440000000000026</v>
      </c>
      <c r="Q2" s="7">
        <v>-1</v>
      </c>
      <c r="R2" s="7">
        <v>-10.237500000000001</v>
      </c>
      <c r="S2" s="7">
        <v>1009.2583333333333</v>
      </c>
      <c r="T2" s="7">
        <v>91.25</v>
      </c>
    </row>
    <row r="3" spans="1:20" s="5" customFormat="1" ht="14.25" customHeight="1" x14ac:dyDescent="0.35">
      <c r="A3" s="5" t="s">
        <v>20</v>
      </c>
      <c r="B3" s="6" t="s">
        <v>21</v>
      </c>
      <c r="C3" s="6" t="s">
        <v>22</v>
      </c>
      <c r="D3" s="6" t="s">
        <v>23</v>
      </c>
      <c r="E3" s="7">
        <v>67.966667000000001</v>
      </c>
      <c r="F3" s="7">
        <v>24.116667</v>
      </c>
      <c r="G3" s="7">
        <v>342</v>
      </c>
      <c r="I3" s="5" t="s">
        <v>25</v>
      </c>
      <c r="J3" s="6" t="s">
        <v>100</v>
      </c>
      <c r="K3" s="8">
        <v>43773</v>
      </c>
      <c r="L3" s="8"/>
      <c r="M3" s="8"/>
      <c r="N3" s="9">
        <v>-19.7</v>
      </c>
      <c r="O3" s="41">
        <v>-142.12</v>
      </c>
      <c r="P3" s="41">
        <f t="shared" si="0"/>
        <v>15.47999999999999</v>
      </c>
      <c r="Q3" s="7">
        <v>-1</v>
      </c>
      <c r="R3" s="7">
        <v>-10.608333333333331</v>
      </c>
      <c r="S3" s="7">
        <v>1003.8333333333334</v>
      </c>
      <c r="T3" s="7">
        <v>90.625</v>
      </c>
    </row>
    <row r="4" spans="1:20" s="5" customFormat="1" ht="14.25" customHeight="1" x14ac:dyDescent="0.35">
      <c r="A4" s="5" t="s">
        <v>20</v>
      </c>
      <c r="B4" s="6" t="s">
        <v>21</v>
      </c>
      <c r="C4" s="6" t="s">
        <v>22</v>
      </c>
      <c r="D4" s="6" t="s">
        <v>23</v>
      </c>
      <c r="E4" s="7">
        <v>67.966667000000001</v>
      </c>
      <c r="F4" s="7">
        <v>24.116667</v>
      </c>
      <c r="G4" s="7">
        <v>342</v>
      </c>
      <c r="I4" s="5" t="s">
        <v>26</v>
      </c>
      <c r="J4" s="6" t="s">
        <v>100</v>
      </c>
      <c r="K4" s="8">
        <v>43780</v>
      </c>
      <c r="L4" s="8"/>
      <c r="M4" s="8"/>
      <c r="N4" s="9">
        <v>-18.36</v>
      </c>
      <c r="O4" s="41">
        <v>-125.39</v>
      </c>
      <c r="P4" s="41">
        <f t="shared" si="0"/>
        <v>21.489999999999995</v>
      </c>
      <c r="Q4" s="7">
        <v>4.3</v>
      </c>
      <c r="R4" s="7">
        <v>-11.75</v>
      </c>
      <c r="S4" s="7">
        <v>1021.3208333333332</v>
      </c>
      <c r="T4" s="7">
        <v>89.958333333333329</v>
      </c>
    </row>
    <row r="5" spans="1:20" s="5" customFormat="1" ht="14.25" customHeight="1" x14ac:dyDescent="0.35">
      <c r="A5" s="5" t="s">
        <v>20</v>
      </c>
      <c r="B5" s="6" t="s">
        <v>21</v>
      </c>
      <c r="C5" s="6" t="s">
        <v>22</v>
      </c>
      <c r="D5" s="6" t="s">
        <v>23</v>
      </c>
      <c r="E5" s="7">
        <v>67.966667000000001</v>
      </c>
      <c r="F5" s="7">
        <v>24.116667</v>
      </c>
      <c r="G5" s="7">
        <v>342</v>
      </c>
      <c r="I5" s="5" t="s">
        <v>26</v>
      </c>
      <c r="J5" s="6" t="s">
        <v>100</v>
      </c>
      <c r="K5" s="8">
        <v>43780</v>
      </c>
      <c r="L5" s="8"/>
      <c r="M5" s="8"/>
      <c r="N5" s="9">
        <v>-16.79</v>
      </c>
      <c r="O5" s="41">
        <v>-113.44</v>
      </c>
      <c r="P5" s="41">
        <f t="shared" si="0"/>
        <v>20.879999999999995</v>
      </c>
      <c r="Q5" s="7">
        <v>4.3</v>
      </c>
      <c r="R5" s="7">
        <v>-11.75</v>
      </c>
      <c r="S5" s="7">
        <v>1021.3208333333332</v>
      </c>
      <c r="T5" s="7">
        <v>89.958333333333329</v>
      </c>
    </row>
    <row r="6" spans="1:20" s="5" customFormat="1" ht="14.25" customHeight="1" x14ac:dyDescent="0.35">
      <c r="A6" s="5" t="s">
        <v>20</v>
      </c>
      <c r="B6" s="6" t="s">
        <v>21</v>
      </c>
      <c r="C6" s="6" t="s">
        <v>22</v>
      </c>
      <c r="D6" s="6" t="s">
        <v>23</v>
      </c>
      <c r="E6" s="7">
        <v>67.966667000000001</v>
      </c>
      <c r="F6" s="7">
        <v>24.116667</v>
      </c>
      <c r="G6" s="7">
        <v>342</v>
      </c>
      <c r="I6" s="5" t="s">
        <v>573</v>
      </c>
      <c r="J6" s="6" t="s">
        <v>100</v>
      </c>
      <c r="K6" s="8">
        <v>43781</v>
      </c>
      <c r="L6" s="8"/>
      <c r="M6" s="8"/>
      <c r="N6" s="9">
        <v>-28.44</v>
      </c>
      <c r="O6" s="39">
        <v>-211.4</v>
      </c>
      <c r="P6" s="41">
        <f t="shared" si="0"/>
        <v>16.120000000000005</v>
      </c>
      <c r="Q6" s="7">
        <v>4.2</v>
      </c>
      <c r="R6" s="7">
        <v>-9.5</v>
      </c>
      <c r="S6" s="7"/>
      <c r="T6" s="7"/>
    </row>
    <row r="7" spans="1:20" s="5" customFormat="1" ht="14.25" customHeight="1" x14ac:dyDescent="0.35">
      <c r="A7" s="5" t="s">
        <v>20</v>
      </c>
      <c r="B7" s="6" t="s">
        <v>21</v>
      </c>
      <c r="C7" s="6" t="s">
        <v>22</v>
      </c>
      <c r="D7" s="6" t="s">
        <v>23</v>
      </c>
      <c r="E7" s="7">
        <v>67.966667000000001</v>
      </c>
      <c r="F7" s="7">
        <v>24.116667</v>
      </c>
      <c r="G7" s="7">
        <v>342</v>
      </c>
      <c r="I7" s="5" t="s">
        <v>27</v>
      </c>
      <c r="J7" s="6" t="s">
        <v>100</v>
      </c>
      <c r="K7" s="8">
        <v>43782</v>
      </c>
      <c r="L7" s="8"/>
      <c r="M7" s="8"/>
      <c r="N7" s="9">
        <v>-21.47</v>
      </c>
      <c r="O7" s="41">
        <v>-154.87</v>
      </c>
      <c r="P7" s="41">
        <f t="shared" si="0"/>
        <v>16.889999999999986</v>
      </c>
      <c r="Q7" s="7">
        <v>9.6</v>
      </c>
      <c r="R7" s="7">
        <v>-3.9208333333333343</v>
      </c>
      <c r="S7" s="7">
        <v>1009.9625</v>
      </c>
      <c r="T7" s="7">
        <v>96.5</v>
      </c>
    </row>
    <row r="8" spans="1:20" s="5" customFormat="1" ht="14.25" customHeight="1" x14ac:dyDescent="0.35">
      <c r="A8" s="5" t="s">
        <v>20</v>
      </c>
      <c r="B8" s="6" t="s">
        <v>21</v>
      </c>
      <c r="C8" s="6" t="s">
        <v>22</v>
      </c>
      <c r="D8" s="6" t="s">
        <v>23</v>
      </c>
      <c r="E8" s="7">
        <v>67.966667000000001</v>
      </c>
      <c r="F8" s="7">
        <v>24.116667</v>
      </c>
      <c r="G8" s="7">
        <v>342</v>
      </c>
      <c r="I8" s="5" t="s">
        <v>28</v>
      </c>
      <c r="J8" s="6" t="s">
        <v>100</v>
      </c>
      <c r="K8" s="8">
        <v>43783</v>
      </c>
      <c r="L8" s="8"/>
      <c r="M8" s="8"/>
      <c r="N8" s="9">
        <v>-23.26</v>
      </c>
      <c r="O8" s="41">
        <v>-171.81</v>
      </c>
      <c r="P8" s="41">
        <f t="shared" si="0"/>
        <v>14.27000000000001</v>
      </c>
      <c r="Q8" s="7">
        <v>1</v>
      </c>
      <c r="R8" s="7">
        <v>-2.4333333333333336</v>
      </c>
      <c r="S8" s="7">
        <v>1007.3916666666665</v>
      </c>
      <c r="T8" s="7">
        <v>97.583333333333329</v>
      </c>
    </row>
    <row r="9" spans="1:20" s="5" customFormat="1" ht="14.25" customHeight="1" x14ac:dyDescent="0.35">
      <c r="A9" s="5" t="s">
        <v>20</v>
      </c>
      <c r="B9" s="6" t="s">
        <v>21</v>
      </c>
      <c r="C9" s="6" t="s">
        <v>22</v>
      </c>
      <c r="D9" s="6" t="s">
        <v>23</v>
      </c>
      <c r="E9" s="7">
        <v>67.966667000000001</v>
      </c>
      <c r="F9" s="7">
        <v>24.116667</v>
      </c>
      <c r="G9" s="7">
        <v>342</v>
      </c>
      <c r="I9" s="5" t="s">
        <v>29</v>
      </c>
      <c r="J9" s="6" t="s">
        <v>100</v>
      </c>
      <c r="K9" s="8">
        <v>43787</v>
      </c>
      <c r="L9" s="8"/>
      <c r="M9" s="8"/>
      <c r="N9" s="9">
        <v>-18</v>
      </c>
      <c r="O9" s="41">
        <v>-128.21</v>
      </c>
      <c r="P9" s="41">
        <f t="shared" si="0"/>
        <v>15.789999999999992</v>
      </c>
      <c r="Q9" s="7">
        <v>0.2</v>
      </c>
      <c r="R9" s="7">
        <v>-7.2416666666666671</v>
      </c>
      <c r="S9" s="7">
        <v>1027.3583333333333</v>
      </c>
      <c r="T9" s="7">
        <v>93.75</v>
      </c>
    </row>
    <row r="10" spans="1:20" s="5" customFormat="1" ht="14.25" customHeight="1" x14ac:dyDescent="0.35">
      <c r="A10" s="5" t="s">
        <v>20</v>
      </c>
      <c r="B10" s="6" t="s">
        <v>21</v>
      </c>
      <c r="C10" s="6" t="s">
        <v>22</v>
      </c>
      <c r="D10" s="6" t="s">
        <v>23</v>
      </c>
      <c r="E10" s="7">
        <v>67.966667000000001</v>
      </c>
      <c r="F10" s="7">
        <v>24.116667</v>
      </c>
      <c r="G10" s="7">
        <v>342</v>
      </c>
      <c r="I10" s="5" t="s">
        <v>30</v>
      </c>
      <c r="J10" s="6" t="s">
        <v>100</v>
      </c>
      <c r="K10" s="8">
        <v>43788</v>
      </c>
      <c r="L10" s="8"/>
      <c r="M10" s="8"/>
      <c r="N10" s="9">
        <v>-27.99</v>
      </c>
      <c r="O10" s="41">
        <v>-211.62</v>
      </c>
      <c r="P10" s="41">
        <f t="shared" si="0"/>
        <v>12.299999999999983</v>
      </c>
      <c r="Q10" s="7">
        <v>1.4</v>
      </c>
      <c r="R10" s="7">
        <v>-2.3458333333333337</v>
      </c>
      <c r="S10" s="7">
        <v>1027.0916666666667</v>
      </c>
      <c r="T10" s="7">
        <v>98</v>
      </c>
    </row>
    <row r="11" spans="1:20" s="5" customFormat="1" ht="14.25" customHeight="1" x14ac:dyDescent="0.35">
      <c r="A11" s="5" t="s">
        <v>20</v>
      </c>
      <c r="B11" s="6" t="s">
        <v>21</v>
      </c>
      <c r="C11" s="6" t="s">
        <v>22</v>
      </c>
      <c r="D11" s="6" t="s">
        <v>23</v>
      </c>
      <c r="E11" s="7">
        <v>67.966667000000001</v>
      </c>
      <c r="F11" s="7">
        <v>24.116667</v>
      </c>
      <c r="G11" s="7">
        <v>342</v>
      </c>
      <c r="I11" s="5" t="s">
        <v>31</v>
      </c>
      <c r="J11" s="6" t="s">
        <v>100</v>
      </c>
      <c r="K11" s="8">
        <v>43789</v>
      </c>
      <c r="L11" s="8"/>
      <c r="M11" s="8"/>
      <c r="N11" s="9">
        <v>-13.73</v>
      </c>
      <c r="O11" s="41">
        <v>-96.49</v>
      </c>
      <c r="P11" s="41">
        <f t="shared" si="0"/>
        <v>13.350000000000009</v>
      </c>
      <c r="Q11" s="7">
        <v>1.7</v>
      </c>
      <c r="R11" s="7">
        <v>-0.25833333333333336</v>
      </c>
      <c r="S11" s="7">
        <v>1023.4666666666668</v>
      </c>
      <c r="T11" s="7">
        <v>99.666666666666671</v>
      </c>
    </row>
    <row r="12" spans="1:20" s="5" customFormat="1" ht="14.25" customHeight="1" x14ac:dyDescent="0.35">
      <c r="A12" s="5" t="s">
        <v>20</v>
      </c>
      <c r="B12" s="6" t="s">
        <v>21</v>
      </c>
      <c r="C12" s="6" t="s">
        <v>22</v>
      </c>
      <c r="D12" s="6" t="s">
        <v>23</v>
      </c>
      <c r="E12" s="7">
        <v>67.966667000000001</v>
      </c>
      <c r="F12" s="7">
        <v>24.116667</v>
      </c>
      <c r="G12" s="7">
        <v>342</v>
      </c>
      <c r="I12" s="5" t="s">
        <v>32</v>
      </c>
      <c r="J12" s="6" t="s">
        <v>100</v>
      </c>
      <c r="K12" s="8">
        <v>43794</v>
      </c>
      <c r="L12" s="8"/>
      <c r="M12" s="8"/>
      <c r="N12" s="9">
        <v>-14.57</v>
      </c>
      <c r="O12" s="41">
        <v>-105.41</v>
      </c>
      <c r="P12" s="41">
        <f t="shared" si="0"/>
        <v>11.150000000000006</v>
      </c>
      <c r="Q12" s="7">
        <v>-1</v>
      </c>
      <c r="R12" s="7">
        <v>-3.7250000000000001</v>
      </c>
      <c r="S12" s="7">
        <v>1013.3166666666667</v>
      </c>
      <c r="T12" s="7">
        <v>96.5</v>
      </c>
    </row>
    <row r="13" spans="1:20" s="5" customFormat="1" ht="14.25" customHeight="1" x14ac:dyDescent="0.35">
      <c r="A13" s="5" t="s">
        <v>20</v>
      </c>
      <c r="B13" s="6" t="s">
        <v>21</v>
      </c>
      <c r="C13" s="6" t="s">
        <v>22</v>
      </c>
      <c r="D13" s="6" t="s">
        <v>23</v>
      </c>
      <c r="E13" s="7">
        <v>67.966667000000001</v>
      </c>
      <c r="F13" s="7">
        <v>24.116667</v>
      </c>
      <c r="G13" s="7">
        <v>342</v>
      </c>
      <c r="I13" s="5" t="s">
        <v>33</v>
      </c>
      <c r="J13" s="6" t="s">
        <v>100</v>
      </c>
      <c r="K13" s="8">
        <v>43794</v>
      </c>
      <c r="L13" s="8"/>
      <c r="M13" s="8"/>
      <c r="N13" s="9">
        <v>-24.83</v>
      </c>
      <c r="O13" s="41">
        <v>-186.48</v>
      </c>
      <c r="P13" s="41">
        <f t="shared" si="0"/>
        <v>12.159999999999997</v>
      </c>
      <c r="Q13" s="7">
        <v>-1</v>
      </c>
      <c r="R13" s="7">
        <v>-3.7250000000000001</v>
      </c>
      <c r="S13" s="7">
        <v>1013.3166666666667</v>
      </c>
      <c r="T13" s="7">
        <v>96.5</v>
      </c>
    </row>
    <row r="14" spans="1:20" s="5" customFormat="1" ht="14.25" customHeight="1" x14ac:dyDescent="0.35">
      <c r="A14" s="5" t="s">
        <v>20</v>
      </c>
      <c r="B14" s="6" t="s">
        <v>21</v>
      </c>
      <c r="C14" s="6" t="s">
        <v>22</v>
      </c>
      <c r="D14" s="6" t="s">
        <v>23</v>
      </c>
      <c r="E14" s="7">
        <v>67.966667000000001</v>
      </c>
      <c r="F14" s="7">
        <v>24.116667</v>
      </c>
      <c r="G14" s="7">
        <v>342</v>
      </c>
      <c r="I14" s="5" t="s">
        <v>34</v>
      </c>
      <c r="J14" s="6" t="s">
        <v>100</v>
      </c>
      <c r="K14" s="8">
        <v>43801</v>
      </c>
      <c r="L14" s="8"/>
      <c r="M14" s="8"/>
      <c r="N14" s="9">
        <v>-17.96</v>
      </c>
      <c r="O14" s="41">
        <v>-134.37</v>
      </c>
      <c r="P14" s="41">
        <f t="shared" si="0"/>
        <v>9.3100000000000023</v>
      </c>
      <c r="Q14" s="7">
        <v>2.6</v>
      </c>
      <c r="R14" s="7">
        <v>-4.458333333333333</v>
      </c>
      <c r="S14" s="7">
        <v>989.47499999999991</v>
      </c>
      <c r="T14" s="7">
        <v>89.125</v>
      </c>
    </row>
    <row r="15" spans="1:20" s="5" customFormat="1" ht="14.25" customHeight="1" x14ac:dyDescent="0.35">
      <c r="A15" s="5" t="s">
        <v>20</v>
      </c>
      <c r="B15" s="6" t="s">
        <v>21</v>
      </c>
      <c r="C15" s="6" t="s">
        <v>22</v>
      </c>
      <c r="D15" s="6" t="s">
        <v>23</v>
      </c>
      <c r="E15" s="7">
        <v>67.966667000000001</v>
      </c>
      <c r="F15" s="7">
        <v>24.116667</v>
      </c>
      <c r="G15" s="7">
        <v>342</v>
      </c>
      <c r="I15" s="5" t="s">
        <v>35</v>
      </c>
      <c r="J15" s="6" t="s">
        <v>100</v>
      </c>
      <c r="K15" s="8">
        <v>43802</v>
      </c>
      <c r="L15" s="8"/>
      <c r="M15" s="8"/>
      <c r="N15" s="9">
        <v>-13.94</v>
      </c>
      <c r="O15" s="41">
        <v>-100.65</v>
      </c>
      <c r="P15" s="41">
        <f t="shared" si="0"/>
        <v>10.86999999999999</v>
      </c>
      <c r="Q15" s="7">
        <v>2.5</v>
      </c>
      <c r="R15" s="7">
        <v>-5.9041666666666659</v>
      </c>
      <c r="S15" s="7">
        <v>995.1</v>
      </c>
      <c r="T15" s="7">
        <v>88.291666666666671</v>
      </c>
    </row>
    <row r="16" spans="1:20" s="5" customFormat="1" x14ac:dyDescent="0.35">
      <c r="A16" s="5" t="s">
        <v>20</v>
      </c>
      <c r="B16" s="6" t="s">
        <v>21</v>
      </c>
      <c r="C16" s="6" t="s">
        <v>22</v>
      </c>
      <c r="D16" s="6" t="s">
        <v>23</v>
      </c>
      <c r="E16" s="7">
        <v>67.966667000000001</v>
      </c>
      <c r="F16" s="7">
        <v>24.116667</v>
      </c>
      <c r="G16" s="7">
        <v>342</v>
      </c>
      <c r="I16" s="5" t="s">
        <v>573</v>
      </c>
      <c r="J16" s="6" t="s">
        <v>100</v>
      </c>
      <c r="K16" s="8">
        <v>43803</v>
      </c>
      <c r="L16" s="8"/>
      <c r="M16" s="8"/>
      <c r="N16" s="9">
        <v>-22.82</v>
      </c>
      <c r="O16" s="39">
        <v>-174.6</v>
      </c>
      <c r="P16" s="41">
        <f t="shared" si="0"/>
        <v>7.960000000000008</v>
      </c>
      <c r="Q16" s="7">
        <v>2.5</v>
      </c>
      <c r="R16" s="7">
        <v>-1.2</v>
      </c>
      <c r="S16" s="7"/>
      <c r="T16" s="7"/>
    </row>
    <row r="17" spans="1:20" s="5" customFormat="1" x14ac:dyDescent="0.35">
      <c r="A17" s="5" t="s">
        <v>20</v>
      </c>
      <c r="B17" s="6" t="s">
        <v>21</v>
      </c>
      <c r="C17" s="6" t="s">
        <v>22</v>
      </c>
      <c r="D17" s="6" t="s">
        <v>23</v>
      </c>
      <c r="E17" s="7">
        <v>67.966667000000001</v>
      </c>
      <c r="F17" s="7">
        <v>24.116667</v>
      </c>
      <c r="G17" s="7">
        <v>342</v>
      </c>
      <c r="I17" s="5" t="s">
        <v>573</v>
      </c>
      <c r="J17" s="6" t="s">
        <v>100</v>
      </c>
      <c r="K17" s="8">
        <v>43803</v>
      </c>
      <c r="L17" s="8"/>
      <c r="M17" s="8"/>
      <c r="N17" s="9">
        <v>-22.03</v>
      </c>
      <c r="O17" s="39">
        <v>-171.06</v>
      </c>
      <c r="P17" s="41">
        <f t="shared" si="0"/>
        <v>5.1800000000000068</v>
      </c>
      <c r="Q17" s="7">
        <v>2.5</v>
      </c>
      <c r="R17" s="7">
        <v>-1.2</v>
      </c>
      <c r="S17" s="7"/>
      <c r="T17" s="7"/>
    </row>
    <row r="18" spans="1:20" s="5" customFormat="1" x14ac:dyDescent="0.35">
      <c r="A18" s="5" t="s">
        <v>20</v>
      </c>
      <c r="B18" s="6" t="s">
        <v>21</v>
      </c>
      <c r="C18" s="6" t="s">
        <v>22</v>
      </c>
      <c r="D18" s="6" t="s">
        <v>23</v>
      </c>
      <c r="E18" s="7">
        <v>67.966667000000001</v>
      </c>
      <c r="F18" s="7">
        <v>24.116667</v>
      </c>
      <c r="G18" s="7">
        <v>342</v>
      </c>
      <c r="I18" s="5" t="s">
        <v>573</v>
      </c>
      <c r="J18" s="6" t="s">
        <v>100</v>
      </c>
      <c r="K18" s="8">
        <v>43808</v>
      </c>
      <c r="L18" s="8"/>
      <c r="M18" s="8"/>
      <c r="N18" s="9">
        <v>-12.96</v>
      </c>
      <c r="O18" s="39">
        <v>-90.15</v>
      </c>
      <c r="P18" s="41">
        <f t="shared" si="0"/>
        <v>13.530000000000001</v>
      </c>
      <c r="Q18" s="7">
        <v>0.7</v>
      </c>
      <c r="R18" s="7">
        <v>-11</v>
      </c>
      <c r="S18" s="7"/>
      <c r="T18" s="7"/>
    </row>
    <row r="19" spans="1:20" s="5" customFormat="1" x14ac:dyDescent="0.35">
      <c r="A19" s="5" t="s">
        <v>20</v>
      </c>
      <c r="B19" s="6" t="s">
        <v>21</v>
      </c>
      <c r="C19" s="6" t="s">
        <v>22</v>
      </c>
      <c r="D19" s="6" t="s">
        <v>23</v>
      </c>
      <c r="E19" s="7">
        <v>67.966667000000001</v>
      </c>
      <c r="F19" s="7">
        <v>24.116667</v>
      </c>
      <c r="G19" s="7">
        <v>342</v>
      </c>
      <c r="I19" s="5" t="s">
        <v>573</v>
      </c>
      <c r="J19" s="6" t="s">
        <v>100</v>
      </c>
      <c r="K19" s="8">
        <v>43811</v>
      </c>
      <c r="L19" s="8"/>
      <c r="M19" s="8"/>
      <c r="N19" s="9">
        <v>-20.39</v>
      </c>
      <c r="O19" s="39">
        <v>-152.51</v>
      </c>
      <c r="P19" s="41">
        <f t="shared" si="0"/>
        <v>10.610000000000014</v>
      </c>
      <c r="Q19" s="7">
        <v>1.6</v>
      </c>
      <c r="R19" s="7">
        <v>-1.9</v>
      </c>
      <c r="S19" s="7"/>
      <c r="T19" s="7"/>
    </row>
    <row r="20" spans="1:20" s="5" customFormat="1" x14ac:dyDescent="0.35">
      <c r="A20" s="5" t="s">
        <v>20</v>
      </c>
      <c r="B20" s="6" t="s">
        <v>21</v>
      </c>
      <c r="C20" s="6" t="s">
        <v>22</v>
      </c>
      <c r="D20" s="6" t="s">
        <v>23</v>
      </c>
      <c r="E20" s="7">
        <v>67.966667000000001</v>
      </c>
      <c r="F20" s="7">
        <v>24.116667</v>
      </c>
      <c r="G20" s="7">
        <v>342</v>
      </c>
      <c r="I20" s="5" t="s">
        <v>573</v>
      </c>
      <c r="J20" s="6" t="s">
        <v>100</v>
      </c>
      <c r="K20" s="8">
        <v>43812</v>
      </c>
      <c r="L20" s="8"/>
      <c r="M20" s="8"/>
      <c r="N20" s="9">
        <v>-12.77</v>
      </c>
      <c r="O20" s="39">
        <v>-94.61</v>
      </c>
      <c r="P20" s="41">
        <f t="shared" si="0"/>
        <v>7.5499999999999972</v>
      </c>
      <c r="Q20" s="7">
        <v>1.1000000000000001</v>
      </c>
      <c r="R20" s="7">
        <v>-1.5</v>
      </c>
      <c r="S20" s="7"/>
      <c r="T20" s="7"/>
    </row>
    <row r="21" spans="1:20" s="5" customFormat="1" x14ac:dyDescent="0.35">
      <c r="A21" s="5" t="s">
        <v>20</v>
      </c>
      <c r="B21" s="6" t="s">
        <v>21</v>
      </c>
      <c r="C21" s="6" t="s">
        <v>22</v>
      </c>
      <c r="D21" s="6" t="s">
        <v>23</v>
      </c>
      <c r="E21" s="7">
        <v>67.966667000000001</v>
      </c>
      <c r="F21" s="7">
        <v>24.116667</v>
      </c>
      <c r="G21" s="7">
        <v>342</v>
      </c>
      <c r="I21" s="5" t="s">
        <v>573</v>
      </c>
      <c r="J21" s="6" t="s">
        <v>100</v>
      </c>
      <c r="K21" s="8">
        <v>43812</v>
      </c>
      <c r="L21" s="8"/>
      <c r="M21" s="8"/>
      <c r="N21" s="9">
        <v>-22.8</v>
      </c>
      <c r="O21" s="39">
        <v>-176.1</v>
      </c>
      <c r="P21" s="41">
        <f t="shared" si="0"/>
        <v>6.3000000000000114</v>
      </c>
      <c r="Q21" s="7">
        <v>1.1000000000000001</v>
      </c>
      <c r="R21" s="7">
        <v>-1.5</v>
      </c>
      <c r="S21" s="7"/>
      <c r="T21" s="7"/>
    </row>
    <row r="22" spans="1:20" s="5" customFormat="1" x14ac:dyDescent="0.35">
      <c r="A22" s="5" t="s">
        <v>20</v>
      </c>
      <c r="B22" s="6" t="s">
        <v>21</v>
      </c>
      <c r="C22" s="6" t="s">
        <v>22</v>
      </c>
      <c r="D22" s="6" t="s">
        <v>23</v>
      </c>
      <c r="E22" s="7">
        <v>67.966667000000001</v>
      </c>
      <c r="F22" s="7">
        <v>24.116667</v>
      </c>
      <c r="G22" s="7">
        <v>342</v>
      </c>
      <c r="I22" s="5" t="s">
        <v>573</v>
      </c>
      <c r="J22" s="6" t="s">
        <v>100</v>
      </c>
      <c r="K22" s="8">
        <v>43815</v>
      </c>
      <c r="L22" s="8"/>
      <c r="M22" s="8"/>
      <c r="N22" s="9">
        <v>-18.079999999999998</v>
      </c>
      <c r="O22" s="39">
        <v>-131.02000000000001</v>
      </c>
      <c r="P22" s="41">
        <f t="shared" si="0"/>
        <v>13.619999999999976</v>
      </c>
      <c r="Q22" s="7">
        <v>7.2</v>
      </c>
      <c r="R22" s="7">
        <v>-3.5</v>
      </c>
      <c r="S22" s="7"/>
      <c r="T22" s="7"/>
    </row>
    <row r="23" spans="1:20" s="5" customFormat="1" x14ac:dyDescent="0.35">
      <c r="A23" s="5" t="s">
        <v>20</v>
      </c>
      <c r="B23" s="6" t="s">
        <v>21</v>
      </c>
      <c r="C23" s="6" t="s">
        <v>22</v>
      </c>
      <c r="D23" s="6" t="s">
        <v>23</v>
      </c>
      <c r="E23" s="7">
        <v>67.966667000000001</v>
      </c>
      <c r="F23" s="7">
        <v>24.116667</v>
      </c>
      <c r="G23" s="7">
        <v>342</v>
      </c>
      <c r="I23" s="5" t="s">
        <v>573</v>
      </c>
      <c r="J23" s="6" t="s">
        <v>100</v>
      </c>
      <c r="K23" s="8">
        <v>43815</v>
      </c>
      <c r="L23" s="8"/>
      <c r="M23" s="8"/>
      <c r="N23" s="9">
        <v>-24.11</v>
      </c>
      <c r="O23" s="39">
        <v>-179.47</v>
      </c>
      <c r="P23" s="41">
        <f t="shared" si="0"/>
        <v>13.409999999999997</v>
      </c>
      <c r="Q23" s="7">
        <v>7.2</v>
      </c>
      <c r="R23" s="7">
        <v>-3.5</v>
      </c>
      <c r="S23" s="7"/>
      <c r="T23" s="7"/>
    </row>
    <row r="24" spans="1:20" s="5" customFormat="1" x14ac:dyDescent="0.35">
      <c r="A24" s="5" t="s">
        <v>20</v>
      </c>
      <c r="B24" s="6" t="s">
        <v>21</v>
      </c>
      <c r="C24" s="6" t="s">
        <v>22</v>
      </c>
      <c r="D24" s="6" t="s">
        <v>23</v>
      </c>
      <c r="E24" s="7">
        <v>67.966667000000001</v>
      </c>
      <c r="F24" s="7">
        <v>24.116667</v>
      </c>
      <c r="G24" s="7">
        <v>342</v>
      </c>
      <c r="I24" s="5" t="s">
        <v>573</v>
      </c>
      <c r="J24" s="6" t="s">
        <v>100</v>
      </c>
      <c r="K24" s="8">
        <v>43816</v>
      </c>
      <c r="L24" s="8"/>
      <c r="M24" s="8"/>
      <c r="N24" s="9">
        <v>-23.49</v>
      </c>
      <c r="O24" s="39">
        <v>-173.23</v>
      </c>
      <c r="P24" s="41">
        <f t="shared" si="0"/>
        <v>14.689999999999998</v>
      </c>
      <c r="Q24" s="7">
        <v>8.4</v>
      </c>
      <c r="R24" s="7">
        <v>-5.6</v>
      </c>
      <c r="S24" s="7"/>
      <c r="T24" s="7"/>
    </row>
    <row r="25" spans="1:20" s="5" customFormat="1" x14ac:dyDescent="0.35">
      <c r="A25" s="5" t="s">
        <v>20</v>
      </c>
      <c r="B25" s="6" t="s">
        <v>21</v>
      </c>
      <c r="C25" s="6" t="s">
        <v>22</v>
      </c>
      <c r="D25" s="6" t="s">
        <v>23</v>
      </c>
      <c r="E25" s="7">
        <v>67.966667000000001</v>
      </c>
      <c r="F25" s="7">
        <v>24.116667</v>
      </c>
      <c r="G25" s="7">
        <v>342</v>
      </c>
      <c r="I25" s="5" t="s">
        <v>573</v>
      </c>
      <c r="J25" s="6" t="s">
        <v>100</v>
      </c>
      <c r="K25" s="8">
        <v>43816</v>
      </c>
      <c r="L25" s="8"/>
      <c r="M25" s="8"/>
      <c r="N25" s="9">
        <v>-30.62</v>
      </c>
      <c r="O25" s="39">
        <v>-233.84</v>
      </c>
      <c r="P25" s="41">
        <f t="shared" si="0"/>
        <v>11.120000000000005</v>
      </c>
      <c r="Q25" s="7">
        <v>8.4</v>
      </c>
      <c r="R25" s="7">
        <v>-5.6</v>
      </c>
      <c r="S25" s="7"/>
      <c r="T25" s="7"/>
    </row>
    <row r="26" spans="1:20" s="5" customFormat="1" x14ac:dyDescent="0.35">
      <c r="A26" s="5" t="s">
        <v>20</v>
      </c>
      <c r="B26" s="6" t="s">
        <v>21</v>
      </c>
      <c r="C26" s="6" t="s">
        <v>22</v>
      </c>
      <c r="D26" s="6" t="s">
        <v>23</v>
      </c>
      <c r="E26" s="7">
        <v>67.966667000000001</v>
      </c>
      <c r="F26" s="7">
        <v>24.116667</v>
      </c>
      <c r="G26" s="7">
        <v>342</v>
      </c>
      <c r="I26" s="5" t="s">
        <v>573</v>
      </c>
      <c r="J26" s="6" t="s">
        <v>100</v>
      </c>
      <c r="K26" s="8">
        <v>43817</v>
      </c>
      <c r="L26" s="8"/>
      <c r="M26" s="8"/>
      <c r="N26" s="9">
        <v>-24.37</v>
      </c>
      <c r="O26" s="39">
        <v>-181.47</v>
      </c>
      <c r="P26" s="41">
        <f t="shared" si="0"/>
        <v>13.490000000000009</v>
      </c>
      <c r="Q26" s="7">
        <v>3.2</v>
      </c>
      <c r="R26" s="7">
        <v>-8.1999999999999993</v>
      </c>
      <c r="S26" s="7"/>
      <c r="T26" s="7"/>
    </row>
    <row r="27" spans="1:20" s="5" customFormat="1" x14ac:dyDescent="0.35">
      <c r="A27" s="5" t="s">
        <v>20</v>
      </c>
      <c r="B27" s="6" t="s">
        <v>21</v>
      </c>
      <c r="C27" s="6" t="s">
        <v>22</v>
      </c>
      <c r="D27" s="6" t="s">
        <v>23</v>
      </c>
      <c r="E27" s="7">
        <v>67.966667000000001</v>
      </c>
      <c r="F27" s="7">
        <v>24.116667</v>
      </c>
      <c r="G27" s="7">
        <v>342</v>
      </c>
      <c r="I27" s="5" t="s">
        <v>573</v>
      </c>
      <c r="J27" s="6" t="s">
        <v>100</v>
      </c>
      <c r="K27" s="8">
        <v>43817</v>
      </c>
      <c r="L27" s="8"/>
      <c r="M27" s="8"/>
      <c r="N27" s="9">
        <v>-25.59</v>
      </c>
      <c r="O27" s="39">
        <v>-194.75</v>
      </c>
      <c r="P27" s="41">
        <f t="shared" si="0"/>
        <v>9.9699999999999989</v>
      </c>
      <c r="Q27" s="7">
        <v>3.2</v>
      </c>
      <c r="R27" s="7">
        <v>-8.1999999999999993</v>
      </c>
      <c r="S27" s="7"/>
      <c r="T27" s="7"/>
    </row>
    <row r="28" spans="1:20" s="5" customFormat="1" x14ac:dyDescent="0.35">
      <c r="A28" s="5" t="s">
        <v>20</v>
      </c>
      <c r="B28" s="6" t="s">
        <v>21</v>
      </c>
      <c r="C28" s="6" t="s">
        <v>22</v>
      </c>
      <c r="D28" s="6" t="s">
        <v>23</v>
      </c>
      <c r="E28" s="7">
        <v>67.966667000000001</v>
      </c>
      <c r="F28" s="7">
        <v>24.116667</v>
      </c>
      <c r="G28" s="7">
        <v>342</v>
      </c>
      <c r="I28" s="5" t="s">
        <v>573</v>
      </c>
      <c r="J28" s="6" t="s">
        <v>100</v>
      </c>
      <c r="K28" s="8">
        <v>43822</v>
      </c>
      <c r="L28" s="8"/>
      <c r="M28" s="8"/>
      <c r="N28" s="9">
        <v>-18.190000000000001</v>
      </c>
      <c r="O28" s="39">
        <v>-134.02000000000001</v>
      </c>
      <c r="P28" s="41">
        <f t="shared" si="0"/>
        <v>11.5</v>
      </c>
      <c r="Q28" s="7">
        <v>0.9</v>
      </c>
      <c r="R28" s="7">
        <v>-4</v>
      </c>
      <c r="S28" s="7"/>
      <c r="T28" s="7"/>
    </row>
    <row r="29" spans="1:20" s="5" customFormat="1" x14ac:dyDescent="0.35">
      <c r="A29" s="5" t="s">
        <v>20</v>
      </c>
      <c r="B29" s="6" t="s">
        <v>21</v>
      </c>
      <c r="C29" s="6" t="s">
        <v>22</v>
      </c>
      <c r="D29" s="6" t="s">
        <v>23</v>
      </c>
      <c r="E29" s="7">
        <v>67.966667000000001</v>
      </c>
      <c r="F29" s="7">
        <v>24.116667</v>
      </c>
      <c r="G29" s="7">
        <v>342</v>
      </c>
      <c r="I29" s="5" t="s">
        <v>573</v>
      </c>
      <c r="J29" s="6" t="s">
        <v>100</v>
      </c>
      <c r="K29" s="8">
        <v>43822</v>
      </c>
      <c r="L29" s="8"/>
      <c r="M29" s="8"/>
      <c r="N29" s="9">
        <v>-17.63</v>
      </c>
      <c r="O29" s="39">
        <v>-129.96</v>
      </c>
      <c r="P29" s="41">
        <f t="shared" si="0"/>
        <v>11.079999999999984</v>
      </c>
      <c r="Q29" s="7">
        <v>0.9</v>
      </c>
      <c r="R29" s="7">
        <v>-4</v>
      </c>
      <c r="S29" s="7"/>
      <c r="T29" s="7"/>
    </row>
    <row r="30" spans="1:20" s="5" customFormat="1" x14ac:dyDescent="0.35">
      <c r="A30" s="5" t="s">
        <v>20</v>
      </c>
      <c r="B30" s="6" t="s">
        <v>21</v>
      </c>
      <c r="C30" s="6" t="s">
        <v>22</v>
      </c>
      <c r="D30" s="6" t="s">
        <v>23</v>
      </c>
      <c r="E30" s="7">
        <v>67.966667000000001</v>
      </c>
      <c r="F30" s="7">
        <v>24.116667</v>
      </c>
      <c r="G30" s="7">
        <v>342</v>
      </c>
      <c r="I30" s="5" t="s">
        <v>573</v>
      </c>
      <c r="J30" s="6" t="s">
        <v>100</v>
      </c>
      <c r="K30" s="8">
        <v>43829</v>
      </c>
      <c r="L30" s="8"/>
      <c r="M30" s="8"/>
      <c r="N30" s="9">
        <v>-21.74</v>
      </c>
      <c r="O30" s="39">
        <v>-167.65</v>
      </c>
      <c r="P30" s="41">
        <f t="shared" si="0"/>
        <v>6.2699999999999818</v>
      </c>
      <c r="Q30" s="7">
        <v>4.5999999999999996</v>
      </c>
      <c r="R30" s="7">
        <v>-3.9</v>
      </c>
      <c r="S30" s="7"/>
      <c r="T30" s="7"/>
    </row>
    <row r="31" spans="1:20" s="5" customFormat="1" x14ac:dyDescent="0.35">
      <c r="A31" s="5" t="s">
        <v>20</v>
      </c>
      <c r="B31" s="6" t="s">
        <v>21</v>
      </c>
      <c r="C31" s="6" t="s">
        <v>22</v>
      </c>
      <c r="D31" s="6" t="s">
        <v>23</v>
      </c>
      <c r="E31" s="7">
        <v>67.966667000000001</v>
      </c>
      <c r="F31" s="7">
        <v>24.116667</v>
      </c>
      <c r="G31" s="7">
        <v>342</v>
      </c>
      <c r="I31" s="5" t="s">
        <v>573</v>
      </c>
      <c r="J31" s="6" t="s">
        <v>100</v>
      </c>
      <c r="K31" s="8">
        <v>43830</v>
      </c>
      <c r="L31" s="8"/>
      <c r="M31" s="8"/>
      <c r="N31" s="9">
        <v>-20.75</v>
      </c>
      <c r="O31" s="39">
        <v>-159.41</v>
      </c>
      <c r="P31" s="41">
        <f t="shared" si="0"/>
        <v>6.5900000000000034</v>
      </c>
      <c r="Q31" s="7">
        <v>1</v>
      </c>
      <c r="R31" s="7">
        <v>-8.1</v>
      </c>
      <c r="S31" s="7"/>
      <c r="T31" s="7"/>
    </row>
    <row r="32" spans="1:20" s="5" customFormat="1" x14ac:dyDescent="0.35">
      <c r="A32" s="5" t="s">
        <v>20</v>
      </c>
      <c r="B32" s="6" t="s">
        <v>21</v>
      </c>
      <c r="C32" s="6" t="s">
        <v>22</v>
      </c>
      <c r="D32" s="6" t="s">
        <v>23</v>
      </c>
      <c r="E32" s="7">
        <v>67.966667000000001</v>
      </c>
      <c r="F32" s="7">
        <v>24.116667</v>
      </c>
      <c r="G32" s="7">
        <v>342</v>
      </c>
      <c r="I32" s="5" t="s">
        <v>573</v>
      </c>
      <c r="J32" s="6" t="s">
        <v>100</v>
      </c>
      <c r="K32" s="8">
        <v>43832</v>
      </c>
      <c r="L32" s="8"/>
      <c r="M32" s="8"/>
      <c r="N32" s="9">
        <v>-20.3</v>
      </c>
      <c r="O32" s="39">
        <v>-154.82</v>
      </c>
      <c r="P32" s="41">
        <f t="shared" si="0"/>
        <v>7.5800000000000125</v>
      </c>
      <c r="Q32" s="7">
        <v>3.5</v>
      </c>
      <c r="R32" s="7">
        <v>0.1</v>
      </c>
      <c r="S32" s="7"/>
      <c r="T32" s="7"/>
    </row>
    <row r="33" spans="1:20" s="5" customFormat="1" x14ac:dyDescent="0.35">
      <c r="A33" s="5" t="s">
        <v>20</v>
      </c>
      <c r="B33" s="6" t="s">
        <v>21</v>
      </c>
      <c r="C33" s="6" t="s">
        <v>22</v>
      </c>
      <c r="D33" s="6" t="s">
        <v>23</v>
      </c>
      <c r="E33" s="7">
        <v>67.966667000000001</v>
      </c>
      <c r="F33" s="7">
        <v>24.116667</v>
      </c>
      <c r="G33" s="7">
        <v>342</v>
      </c>
      <c r="I33" s="5" t="s">
        <v>573</v>
      </c>
      <c r="J33" s="6" t="s">
        <v>100</v>
      </c>
      <c r="K33" s="8">
        <v>43837</v>
      </c>
      <c r="L33" s="8"/>
      <c r="M33" s="8"/>
      <c r="N33" s="9">
        <v>-15.8</v>
      </c>
      <c r="O33" s="39">
        <v>-117.87</v>
      </c>
      <c r="P33" s="41">
        <f t="shared" si="0"/>
        <v>8.5300000000000011</v>
      </c>
      <c r="Q33" s="7">
        <v>4.2</v>
      </c>
      <c r="R33" s="7">
        <v>-3.4</v>
      </c>
      <c r="S33" s="7"/>
      <c r="T33" s="7"/>
    </row>
    <row r="34" spans="1:20" s="5" customFormat="1" x14ac:dyDescent="0.35">
      <c r="A34" s="5" t="s">
        <v>20</v>
      </c>
      <c r="B34" s="6" t="s">
        <v>21</v>
      </c>
      <c r="C34" s="6" t="s">
        <v>22</v>
      </c>
      <c r="D34" s="6" t="s">
        <v>23</v>
      </c>
      <c r="E34" s="7">
        <v>67.966667000000001</v>
      </c>
      <c r="F34" s="7">
        <v>24.116667</v>
      </c>
      <c r="G34" s="7">
        <v>342</v>
      </c>
      <c r="I34" s="5" t="s">
        <v>573</v>
      </c>
      <c r="J34" s="6" t="s">
        <v>100</v>
      </c>
      <c r="K34" s="8">
        <v>43838</v>
      </c>
      <c r="L34" s="8"/>
      <c r="M34" s="8"/>
      <c r="N34" s="9">
        <v>-16.5</v>
      </c>
      <c r="O34" s="39">
        <v>-126.18</v>
      </c>
      <c r="P34" s="41">
        <f t="shared" si="0"/>
        <v>5.8199999999999932</v>
      </c>
      <c r="Q34" s="7">
        <v>3</v>
      </c>
      <c r="R34" s="7">
        <v>-1.3</v>
      </c>
      <c r="S34" s="7"/>
      <c r="T34" s="7"/>
    </row>
    <row r="35" spans="1:20" s="5" customFormat="1" x14ac:dyDescent="0.35">
      <c r="A35" s="5" t="s">
        <v>20</v>
      </c>
      <c r="B35" s="6" t="s">
        <v>21</v>
      </c>
      <c r="C35" s="6" t="s">
        <v>22</v>
      </c>
      <c r="D35" s="6" t="s">
        <v>23</v>
      </c>
      <c r="E35" s="7">
        <v>67.966667000000001</v>
      </c>
      <c r="F35" s="7">
        <v>24.116667</v>
      </c>
      <c r="G35" s="7">
        <v>342</v>
      </c>
      <c r="I35" s="5" t="s">
        <v>573</v>
      </c>
      <c r="J35" s="6" t="s">
        <v>100</v>
      </c>
      <c r="K35" s="8">
        <v>43839</v>
      </c>
      <c r="L35" s="8"/>
      <c r="M35" s="8"/>
      <c r="N35" s="9">
        <v>-15.91</v>
      </c>
      <c r="O35" s="39">
        <v>-124.78</v>
      </c>
      <c r="P35" s="41">
        <f t="shared" si="0"/>
        <v>2.5</v>
      </c>
      <c r="Q35" s="7">
        <v>1</v>
      </c>
      <c r="R35" s="7">
        <v>-2.8</v>
      </c>
      <c r="S35" s="7"/>
      <c r="T35" s="7"/>
    </row>
    <row r="36" spans="1:20" s="5" customFormat="1" x14ac:dyDescent="0.35">
      <c r="A36" s="5" t="s">
        <v>20</v>
      </c>
      <c r="B36" s="6" t="s">
        <v>21</v>
      </c>
      <c r="C36" s="6" t="s">
        <v>22</v>
      </c>
      <c r="D36" s="6" t="s">
        <v>23</v>
      </c>
      <c r="E36" s="7">
        <v>67.966667000000001</v>
      </c>
      <c r="F36" s="7">
        <v>24.116667</v>
      </c>
      <c r="G36" s="7">
        <v>342</v>
      </c>
      <c r="I36" s="5" t="s">
        <v>573</v>
      </c>
      <c r="J36" s="6" t="s">
        <v>100</v>
      </c>
      <c r="K36" s="8">
        <v>43843</v>
      </c>
      <c r="L36" s="8"/>
      <c r="M36" s="8"/>
      <c r="N36" s="9">
        <v>-23.76</v>
      </c>
      <c r="O36" s="39">
        <v>-186.96</v>
      </c>
      <c r="P36" s="41">
        <f t="shared" si="0"/>
        <v>3.1200000000000045</v>
      </c>
      <c r="Q36" s="7">
        <v>1</v>
      </c>
      <c r="R36" s="7">
        <v>-8.3000000000000007</v>
      </c>
      <c r="S36" s="7"/>
      <c r="T36" s="7"/>
    </row>
    <row r="37" spans="1:20" s="5" customFormat="1" x14ac:dyDescent="0.35">
      <c r="A37" s="5" t="s">
        <v>20</v>
      </c>
      <c r="B37" s="6" t="s">
        <v>21</v>
      </c>
      <c r="C37" s="6" t="s">
        <v>22</v>
      </c>
      <c r="D37" s="6" t="s">
        <v>23</v>
      </c>
      <c r="E37" s="7">
        <v>67.966667000000001</v>
      </c>
      <c r="F37" s="7">
        <v>24.116667</v>
      </c>
      <c r="G37" s="7">
        <v>342</v>
      </c>
      <c r="I37" s="5" t="s">
        <v>573</v>
      </c>
      <c r="J37" s="6" t="s">
        <v>100</v>
      </c>
      <c r="K37" s="8">
        <v>43845</v>
      </c>
      <c r="L37" s="8"/>
      <c r="M37" s="8"/>
      <c r="N37" s="9">
        <v>-19.7</v>
      </c>
      <c r="O37" s="39">
        <v>-150.55000000000001</v>
      </c>
      <c r="P37" s="41">
        <f t="shared" si="0"/>
        <v>7.0499999999999829</v>
      </c>
      <c r="Q37" s="7">
        <v>0.6</v>
      </c>
      <c r="R37" s="7">
        <v>-8.3000000000000007</v>
      </c>
      <c r="S37" s="7"/>
      <c r="T37" s="7"/>
    </row>
    <row r="38" spans="1:20" s="5" customFormat="1" x14ac:dyDescent="0.35">
      <c r="A38" s="5" t="s">
        <v>20</v>
      </c>
      <c r="B38" s="6" t="s">
        <v>21</v>
      </c>
      <c r="C38" s="6" t="s">
        <v>22</v>
      </c>
      <c r="D38" s="6" t="s">
        <v>23</v>
      </c>
      <c r="E38" s="7">
        <v>67.966667000000001</v>
      </c>
      <c r="F38" s="7">
        <v>24.116667</v>
      </c>
      <c r="G38" s="7">
        <v>342</v>
      </c>
      <c r="I38" s="5" t="s">
        <v>573</v>
      </c>
      <c r="J38" s="6" t="s">
        <v>100</v>
      </c>
      <c r="K38" s="8">
        <v>43846</v>
      </c>
      <c r="L38" s="8"/>
      <c r="M38" s="8"/>
      <c r="N38" s="9">
        <v>-17.36</v>
      </c>
      <c r="O38" s="39">
        <v>-129.02000000000001</v>
      </c>
      <c r="P38" s="41">
        <f t="shared" si="0"/>
        <v>9.8599999999999852</v>
      </c>
      <c r="Q38" s="7">
        <v>0.9</v>
      </c>
      <c r="R38" s="7">
        <v>-6.3</v>
      </c>
      <c r="S38" s="7"/>
      <c r="T38" s="7"/>
    </row>
    <row r="39" spans="1:20" s="5" customFormat="1" x14ac:dyDescent="0.35">
      <c r="A39" s="5" t="s">
        <v>20</v>
      </c>
      <c r="B39" s="6" t="s">
        <v>21</v>
      </c>
      <c r="C39" s="6" t="s">
        <v>22</v>
      </c>
      <c r="D39" s="6" t="s">
        <v>23</v>
      </c>
      <c r="E39" s="7">
        <v>67.966667000000001</v>
      </c>
      <c r="F39" s="7">
        <v>24.116667</v>
      </c>
      <c r="G39" s="7">
        <v>342</v>
      </c>
      <c r="I39" s="5" t="s">
        <v>573</v>
      </c>
      <c r="J39" s="6" t="s">
        <v>100</v>
      </c>
      <c r="K39" s="8">
        <v>43847</v>
      </c>
      <c r="L39" s="8"/>
      <c r="M39" s="8"/>
      <c r="N39" s="9">
        <v>-16.77</v>
      </c>
      <c r="O39" s="39">
        <v>-122.69</v>
      </c>
      <c r="P39" s="41">
        <f t="shared" si="0"/>
        <v>11.469999999999999</v>
      </c>
      <c r="Q39" s="7">
        <v>-1</v>
      </c>
      <c r="R39" s="7">
        <v>-10.4</v>
      </c>
      <c r="S39" s="7"/>
      <c r="T39" s="7"/>
    </row>
    <row r="40" spans="1:20" s="5" customFormat="1" x14ac:dyDescent="0.35">
      <c r="A40" s="5" t="s">
        <v>20</v>
      </c>
      <c r="B40" s="6" t="s">
        <v>21</v>
      </c>
      <c r="C40" s="6" t="s">
        <v>22</v>
      </c>
      <c r="D40" s="6" t="s">
        <v>23</v>
      </c>
      <c r="E40" s="7">
        <v>67.966667000000001</v>
      </c>
      <c r="F40" s="7">
        <v>24.116667</v>
      </c>
      <c r="G40" s="7">
        <v>342</v>
      </c>
      <c r="I40" s="5" t="s">
        <v>573</v>
      </c>
      <c r="J40" s="6" t="s">
        <v>100</v>
      </c>
      <c r="K40" s="8">
        <v>43850</v>
      </c>
      <c r="L40" s="8"/>
      <c r="M40" s="8"/>
      <c r="N40" s="9">
        <v>-19.350000000000001</v>
      </c>
      <c r="O40" s="39">
        <v>-146.29</v>
      </c>
      <c r="P40" s="41">
        <f t="shared" si="0"/>
        <v>8.5100000000000193</v>
      </c>
      <c r="Q40" s="7">
        <v>1.4</v>
      </c>
      <c r="R40" s="7">
        <v>-5.2</v>
      </c>
      <c r="S40" s="7"/>
      <c r="T40" s="7"/>
    </row>
    <row r="41" spans="1:20" s="5" customFormat="1" x14ac:dyDescent="0.35">
      <c r="A41" s="5" t="s">
        <v>20</v>
      </c>
      <c r="B41" s="6" t="s">
        <v>21</v>
      </c>
      <c r="C41" s="6" t="s">
        <v>22</v>
      </c>
      <c r="D41" s="6" t="s">
        <v>23</v>
      </c>
      <c r="E41" s="7">
        <v>67.966667000000001</v>
      </c>
      <c r="F41" s="7">
        <v>24.116667</v>
      </c>
      <c r="G41" s="7">
        <v>342</v>
      </c>
      <c r="I41" s="5" t="s">
        <v>573</v>
      </c>
      <c r="J41" s="6" t="s">
        <v>100</v>
      </c>
      <c r="K41" s="8">
        <v>43850</v>
      </c>
      <c r="L41" s="8"/>
      <c r="M41" s="8"/>
      <c r="N41" s="9">
        <v>-17.45</v>
      </c>
      <c r="O41" s="39">
        <v>-132.69999999999999</v>
      </c>
      <c r="P41" s="41">
        <f t="shared" si="0"/>
        <v>6.9000000000000057</v>
      </c>
      <c r="Q41" s="7">
        <v>1.4</v>
      </c>
      <c r="R41" s="7">
        <v>-5.2</v>
      </c>
      <c r="S41" s="7"/>
      <c r="T41" s="7"/>
    </row>
    <row r="42" spans="1:20" s="5" customFormat="1" x14ac:dyDescent="0.35">
      <c r="A42" s="5" t="s">
        <v>20</v>
      </c>
      <c r="B42" s="6" t="s">
        <v>21</v>
      </c>
      <c r="C42" s="6" t="s">
        <v>22</v>
      </c>
      <c r="D42" s="6" t="s">
        <v>23</v>
      </c>
      <c r="E42" s="7">
        <v>67.966667000000001</v>
      </c>
      <c r="F42" s="7">
        <v>24.116667</v>
      </c>
      <c r="G42" s="7">
        <v>342</v>
      </c>
      <c r="I42" s="5" t="s">
        <v>573</v>
      </c>
      <c r="J42" s="6" t="s">
        <v>100</v>
      </c>
      <c r="K42" s="8">
        <v>43851</v>
      </c>
      <c r="L42" s="8"/>
      <c r="M42" s="8"/>
      <c r="N42" s="9">
        <v>-17.25</v>
      </c>
      <c r="O42" s="39">
        <v>-135.29</v>
      </c>
      <c r="P42" s="41">
        <f t="shared" si="0"/>
        <v>2.710000000000008</v>
      </c>
      <c r="Q42" s="7">
        <v>0.4</v>
      </c>
      <c r="R42" s="7">
        <v>-4</v>
      </c>
      <c r="S42" s="7"/>
      <c r="T42" s="7"/>
    </row>
    <row r="43" spans="1:20" s="5" customFormat="1" x14ac:dyDescent="0.35">
      <c r="A43" s="5" t="s">
        <v>20</v>
      </c>
      <c r="B43" s="6" t="s">
        <v>21</v>
      </c>
      <c r="C43" s="6" t="s">
        <v>22</v>
      </c>
      <c r="D43" s="6" t="s">
        <v>23</v>
      </c>
      <c r="E43" s="7">
        <v>67.966667000000001</v>
      </c>
      <c r="F43" s="7">
        <v>24.116667</v>
      </c>
      <c r="G43" s="7">
        <v>342</v>
      </c>
      <c r="I43" s="5" t="s">
        <v>573</v>
      </c>
      <c r="J43" s="6" t="s">
        <v>100</v>
      </c>
      <c r="K43" s="8">
        <v>43854</v>
      </c>
      <c r="L43" s="8"/>
      <c r="M43" s="8"/>
      <c r="N43" s="9">
        <v>-19.32</v>
      </c>
      <c r="O43" s="39">
        <v>-147.63999999999999</v>
      </c>
      <c r="P43" s="41">
        <f t="shared" si="0"/>
        <v>6.9200000000000159</v>
      </c>
      <c r="Q43" s="7">
        <v>1</v>
      </c>
      <c r="R43" s="7">
        <v>-7.5</v>
      </c>
      <c r="S43" s="7"/>
      <c r="T43" s="7"/>
    </row>
    <row r="44" spans="1:20" s="5" customFormat="1" x14ac:dyDescent="0.35">
      <c r="A44" s="5" t="s">
        <v>20</v>
      </c>
      <c r="B44" s="6" t="s">
        <v>21</v>
      </c>
      <c r="C44" s="6" t="s">
        <v>22</v>
      </c>
      <c r="D44" s="6" t="s">
        <v>23</v>
      </c>
      <c r="E44" s="7">
        <v>67.966667000000001</v>
      </c>
      <c r="F44" s="7">
        <v>24.116667</v>
      </c>
      <c r="G44" s="7">
        <v>342</v>
      </c>
      <c r="I44" s="5" t="s">
        <v>573</v>
      </c>
      <c r="J44" s="6" t="s">
        <v>100</v>
      </c>
      <c r="K44" s="8">
        <v>43857</v>
      </c>
      <c r="L44" s="8"/>
      <c r="M44" s="8"/>
      <c r="N44" s="9">
        <v>-13.57</v>
      </c>
      <c r="O44" s="39">
        <v>-82.63</v>
      </c>
      <c r="P44" s="41">
        <f t="shared" si="0"/>
        <v>25.930000000000007</v>
      </c>
      <c r="Q44" s="7">
        <v>0.1</v>
      </c>
      <c r="R44" s="7">
        <v>-21.9</v>
      </c>
      <c r="S44" s="7"/>
      <c r="T44" s="7"/>
    </row>
    <row r="45" spans="1:20" s="5" customFormat="1" x14ac:dyDescent="0.35">
      <c r="A45" s="5" t="s">
        <v>20</v>
      </c>
      <c r="B45" s="6" t="s">
        <v>21</v>
      </c>
      <c r="C45" s="6" t="s">
        <v>22</v>
      </c>
      <c r="D45" s="6" t="s">
        <v>23</v>
      </c>
      <c r="E45" s="7">
        <v>67.966667000000001</v>
      </c>
      <c r="F45" s="7">
        <v>24.116667</v>
      </c>
      <c r="G45" s="7">
        <v>342</v>
      </c>
      <c r="I45" s="5" t="s">
        <v>573</v>
      </c>
      <c r="J45" s="6" t="s">
        <v>100</v>
      </c>
      <c r="K45" s="8">
        <v>43858</v>
      </c>
      <c r="L45" s="8"/>
      <c r="M45" s="8"/>
      <c r="N45" s="9">
        <v>-19.940000000000001</v>
      </c>
      <c r="O45" s="39">
        <v>-139.41</v>
      </c>
      <c r="P45" s="41">
        <f t="shared" si="0"/>
        <v>20.110000000000014</v>
      </c>
      <c r="Q45" s="7">
        <v>6.7</v>
      </c>
      <c r="R45" s="7">
        <v>-16.8</v>
      </c>
      <c r="S45" s="7"/>
      <c r="T45" s="7"/>
    </row>
    <row r="46" spans="1:20" s="5" customFormat="1" x14ac:dyDescent="0.35">
      <c r="A46" s="5" t="s">
        <v>20</v>
      </c>
      <c r="B46" s="6" t="s">
        <v>21</v>
      </c>
      <c r="C46" s="6" t="s">
        <v>22</v>
      </c>
      <c r="D46" s="6" t="s">
        <v>23</v>
      </c>
      <c r="E46" s="7">
        <v>67.966667000000001</v>
      </c>
      <c r="F46" s="7">
        <v>24.116667</v>
      </c>
      <c r="G46" s="7">
        <v>342</v>
      </c>
      <c r="I46" s="5" t="s">
        <v>573</v>
      </c>
      <c r="J46" s="6" t="s">
        <v>100</v>
      </c>
      <c r="K46" s="8">
        <v>43859</v>
      </c>
      <c r="L46" s="8"/>
      <c r="M46" s="8"/>
      <c r="N46" s="9">
        <v>-19.02</v>
      </c>
      <c r="O46" s="39">
        <v>-139.52000000000001</v>
      </c>
      <c r="P46" s="41">
        <f t="shared" si="0"/>
        <v>12.639999999999986</v>
      </c>
      <c r="Q46" s="7">
        <v>2.4</v>
      </c>
      <c r="R46" s="7">
        <v>-12.3</v>
      </c>
      <c r="S46" s="7"/>
      <c r="T46" s="7"/>
    </row>
    <row r="47" spans="1:20" s="5" customFormat="1" x14ac:dyDescent="0.35">
      <c r="A47" s="5" t="s">
        <v>20</v>
      </c>
      <c r="B47" s="6" t="s">
        <v>21</v>
      </c>
      <c r="C47" s="6" t="s">
        <v>22</v>
      </c>
      <c r="D47" s="6" t="s">
        <v>23</v>
      </c>
      <c r="E47" s="7">
        <v>67.966667000000001</v>
      </c>
      <c r="F47" s="7">
        <v>24.116667</v>
      </c>
      <c r="G47" s="7">
        <v>342</v>
      </c>
      <c r="I47" s="5" t="s">
        <v>573</v>
      </c>
      <c r="J47" s="6" t="s">
        <v>100</v>
      </c>
      <c r="K47" s="8">
        <v>43860</v>
      </c>
      <c r="L47" s="8"/>
      <c r="M47" s="8"/>
      <c r="N47" s="9">
        <v>-18.14</v>
      </c>
      <c r="O47" s="39">
        <v>-131.86000000000001</v>
      </c>
      <c r="P47" s="41">
        <f t="shared" si="0"/>
        <v>13.259999999999991</v>
      </c>
      <c r="Q47" s="7">
        <v>3.8</v>
      </c>
      <c r="R47" s="7">
        <v>-9.8000000000000007</v>
      </c>
      <c r="S47" s="7"/>
      <c r="T47" s="7"/>
    </row>
    <row r="48" spans="1:20" s="5" customFormat="1" x14ac:dyDescent="0.35">
      <c r="A48" s="5" t="s">
        <v>20</v>
      </c>
      <c r="B48" s="6" t="s">
        <v>21</v>
      </c>
      <c r="C48" s="6" t="s">
        <v>22</v>
      </c>
      <c r="D48" s="6" t="s">
        <v>23</v>
      </c>
      <c r="E48" s="7">
        <v>67.966667000000001</v>
      </c>
      <c r="F48" s="7">
        <v>24.116667</v>
      </c>
      <c r="G48" s="7">
        <v>342</v>
      </c>
      <c r="I48" s="5" t="s">
        <v>573</v>
      </c>
      <c r="J48" s="6" t="s">
        <v>100</v>
      </c>
      <c r="K48" s="8">
        <v>43861</v>
      </c>
      <c r="L48" s="8"/>
      <c r="M48" s="8"/>
      <c r="N48" s="9">
        <v>-18.53</v>
      </c>
      <c r="O48" s="39">
        <v>-135.5</v>
      </c>
      <c r="P48" s="41">
        <f t="shared" si="0"/>
        <v>12.740000000000009</v>
      </c>
      <c r="Q48" s="7">
        <v>2.5</v>
      </c>
      <c r="R48" s="7">
        <v>-10.7</v>
      </c>
      <c r="S48" s="7"/>
      <c r="T48" s="7"/>
    </row>
    <row r="49" spans="1:20" s="5" customFormat="1" x14ac:dyDescent="0.35">
      <c r="A49" s="5" t="s">
        <v>20</v>
      </c>
      <c r="B49" s="6" t="s">
        <v>21</v>
      </c>
      <c r="C49" s="6" t="s">
        <v>22</v>
      </c>
      <c r="D49" s="6" t="s">
        <v>23</v>
      </c>
      <c r="E49" s="7">
        <v>67.966667000000001</v>
      </c>
      <c r="F49" s="7">
        <v>24.116667</v>
      </c>
      <c r="G49" s="7">
        <v>342</v>
      </c>
      <c r="I49" s="5" t="s">
        <v>573</v>
      </c>
      <c r="J49" s="6" t="s">
        <v>100</v>
      </c>
      <c r="K49" s="8">
        <v>43861</v>
      </c>
      <c r="L49" s="8"/>
      <c r="M49" s="8"/>
      <c r="N49" s="9">
        <v>-19.54</v>
      </c>
      <c r="O49" s="39">
        <v>-144.93</v>
      </c>
      <c r="P49" s="41">
        <f t="shared" si="0"/>
        <v>11.389999999999986</v>
      </c>
      <c r="Q49" s="7">
        <v>2.5</v>
      </c>
      <c r="R49" s="7">
        <v>-10.7</v>
      </c>
      <c r="S49" s="7"/>
      <c r="T49" s="7"/>
    </row>
    <row r="50" spans="1:20" s="5" customFormat="1" x14ac:dyDescent="0.35">
      <c r="A50" s="5" t="s">
        <v>20</v>
      </c>
      <c r="B50" s="6" t="s">
        <v>21</v>
      </c>
      <c r="C50" s="6" t="s">
        <v>22</v>
      </c>
      <c r="D50" s="6" t="s">
        <v>23</v>
      </c>
      <c r="E50" s="7">
        <v>67.966667000000001</v>
      </c>
      <c r="F50" s="7">
        <v>24.116667</v>
      </c>
      <c r="G50" s="7">
        <v>342</v>
      </c>
      <c r="I50" s="5" t="s">
        <v>573</v>
      </c>
      <c r="J50" s="6" t="s">
        <v>100</v>
      </c>
      <c r="K50" s="8">
        <v>43864</v>
      </c>
      <c r="L50" s="8"/>
      <c r="M50" s="8"/>
      <c r="N50" s="9">
        <v>-21.02</v>
      </c>
      <c r="O50" s="39">
        <v>-159.52000000000001</v>
      </c>
      <c r="P50" s="41">
        <f t="shared" si="0"/>
        <v>8.6399999999999864</v>
      </c>
      <c r="Q50" s="7">
        <v>1</v>
      </c>
      <c r="R50" s="7">
        <v>-8.5</v>
      </c>
      <c r="S50" s="7"/>
      <c r="T50" s="7"/>
    </row>
    <row r="51" spans="1:20" s="5" customFormat="1" x14ac:dyDescent="0.35">
      <c r="A51" s="5" t="s">
        <v>20</v>
      </c>
      <c r="B51" s="6" t="s">
        <v>21</v>
      </c>
      <c r="C51" s="6" t="s">
        <v>22</v>
      </c>
      <c r="D51" s="6" t="s">
        <v>23</v>
      </c>
      <c r="E51" s="7">
        <v>67.966667000000001</v>
      </c>
      <c r="F51" s="7">
        <v>24.116667</v>
      </c>
      <c r="G51" s="7">
        <v>342</v>
      </c>
      <c r="I51" s="5" t="s">
        <v>573</v>
      </c>
      <c r="J51" s="6" t="s">
        <v>100</v>
      </c>
      <c r="K51" s="8">
        <v>43868</v>
      </c>
      <c r="L51" s="8"/>
      <c r="M51" s="8"/>
      <c r="N51" s="9">
        <v>-16.87</v>
      </c>
      <c r="O51" s="39">
        <v>-129.32</v>
      </c>
      <c r="P51" s="41">
        <f t="shared" si="0"/>
        <v>5.6400000000000148</v>
      </c>
      <c r="Q51" s="7">
        <v>3.9</v>
      </c>
      <c r="R51" s="7">
        <v>-7.1</v>
      </c>
      <c r="S51" s="7"/>
      <c r="T51" s="7"/>
    </row>
    <row r="52" spans="1:20" s="5" customFormat="1" x14ac:dyDescent="0.35">
      <c r="A52" s="5" t="s">
        <v>20</v>
      </c>
      <c r="B52" s="6" t="s">
        <v>21</v>
      </c>
      <c r="C52" s="6" t="s">
        <v>22</v>
      </c>
      <c r="D52" s="6" t="s">
        <v>23</v>
      </c>
      <c r="E52" s="7">
        <v>67.966667000000001</v>
      </c>
      <c r="F52" s="7">
        <v>24.116667</v>
      </c>
      <c r="G52" s="7">
        <v>342</v>
      </c>
      <c r="I52" s="5" t="s">
        <v>573</v>
      </c>
      <c r="J52" s="6" t="s">
        <v>100</v>
      </c>
      <c r="K52" s="8">
        <v>43871</v>
      </c>
      <c r="L52" s="8"/>
      <c r="M52" s="8"/>
      <c r="N52" s="9">
        <v>-19.39</v>
      </c>
      <c r="O52" s="39">
        <v>-154.91999999999999</v>
      </c>
      <c r="P52" s="41">
        <f t="shared" si="0"/>
        <v>0.20000000000001705</v>
      </c>
      <c r="Q52" s="7">
        <v>10.1</v>
      </c>
      <c r="R52" s="7">
        <v>-0.9</v>
      </c>
      <c r="S52" s="7"/>
      <c r="T52" s="7"/>
    </row>
    <row r="53" spans="1:20" s="5" customFormat="1" x14ac:dyDescent="0.35">
      <c r="A53" s="5" t="s">
        <v>20</v>
      </c>
      <c r="B53" s="6" t="s">
        <v>21</v>
      </c>
      <c r="C53" s="6" t="s">
        <v>22</v>
      </c>
      <c r="D53" s="6" t="s">
        <v>23</v>
      </c>
      <c r="E53" s="7">
        <v>67.966667000000001</v>
      </c>
      <c r="F53" s="7">
        <v>24.116667</v>
      </c>
      <c r="G53" s="7">
        <v>342</v>
      </c>
      <c r="I53" s="5" t="s">
        <v>573</v>
      </c>
      <c r="J53" s="6" t="s">
        <v>100</v>
      </c>
      <c r="K53" s="8">
        <v>40220</v>
      </c>
      <c r="L53" s="8"/>
      <c r="M53" s="8"/>
      <c r="N53" s="9">
        <v>-14.74</v>
      </c>
      <c r="O53" s="39">
        <v>-117.37</v>
      </c>
      <c r="P53" s="41">
        <f t="shared" si="0"/>
        <v>0.54999999999999716</v>
      </c>
      <c r="Q53" s="7">
        <v>1</v>
      </c>
      <c r="R53" s="7">
        <v>-2.6</v>
      </c>
      <c r="S53" s="7"/>
      <c r="T53" s="7"/>
    </row>
    <row r="54" spans="1:20" s="5" customFormat="1" x14ac:dyDescent="0.35">
      <c r="A54" s="5" t="s">
        <v>20</v>
      </c>
      <c r="B54" s="6" t="s">
        <v>21</v>
      </c>
      <c r="C54" s="6" t="s">
        <v>22</v>
      </c>
      <c r="D54" s="6" t="s">
        <v>23</v>
      </c>
      <c r="E54" s="7">
        <v>67.966667000000001</v>
      </c>
      <c r="F54" s="7">
        <v>24.116667</v>
      </c>
      <c r="G54" s="7">
        <v>342</v>
      </c>
      <c r="I54" s="5" t="s">
        <v>573</v>
      </c>
      <c r="J54" s="6" t="s">
        <v>100</v>
      </c>
      <c r="K54" s="8">
        <v>43874</v>
      </c>
      <c r="L54" s="8"/>
      <c r="M54" s="8"/>
      <c r="N54" s="9">
        <v>-14.08</v>
      </c>
      <c r="O54" s="39">
        <v>-104.51</v>
      </c>
      <c r="P54" s="41">
        <f t="shared" si="0"/>
        <v>8.1299999999999955</v>
      </c>
      <c r="Q54" s="7">
        <v>1</v>
      </c>
      <c r="R54" s="7">
        <v>-9.4</v>
      </c>
      <c r="S54" s="7"/>
      <c r="T54" s="7"/>
    </row>
    <row r="55" spans="1:20" s="5" customFormat="1" x14ac:dyDescent="0.35">
      <c r="A55" s="5" t="s">
        <v>20</v>
      </c>
      <c r="B55" s="6" t="s">
        <v>21</v>
      </c>
      <c r="C55" s="6" t="s">
        <v>22</v>
      </c>
      <c r="D55" s="6" t="s">
        <v>23</v>
      </c>
      <c r="E55" s="7">
        <v>67.966667000000001</v>
      </c>
      <c r="F55" s="7">
        <v>24.116667</v>
      </c>
      <c r="G55" s="7">
        <v>342</v>
      </c>
      <c r="I55" s="5" t="s">
        <v>573</v>
      </c>
      <c r="J55" s="6" t="s">
        <v>100</v>
      </c>
      <c r="K55" s="8">
        <v>43878</v>
      </c>
      <c r="L55" s="8"/>
      <c r="M55" s="8"/>
      <c r="N55" s="9">
        <v>-17.739999999999998</v>
      </c>
      <c r="O55" s="39">
        <v>-136.36000000000001</v>
      </c>
      <c r="P55" s="41">
        <f t="shared" si="0"/>
        <v>5.5599999999999739</v>
      </c>
      <c r="Q55" s="7">
        <v>0.1</v>
      </c>
      <c r="R55" s="7">
        <v>-3.8</v>
      </c>
      <c r="S55" s="7"/>
      <c r="T55" s="7"/>
    </row>
    <row r="56" spans="1:20" s="5" customFormat="1" x14ac:dyDescent="0.35">
      <c r="A56" s="5" t="s">
        <v>20</v>
      </c>
      <c r="B56" s="6" t="s">
        <v>21</v>
      </c>
      <c r="C56" s="6" t="s">
        <v>22</v>
      </c>
      <c r="D56" s="6" t="s">
        <v>23</v>
      </c>
      <c r="E56" s="7">
        <v>67.966667000000001</v>
      </c>
      <c r="F56" s="7">
        <v>24.116667</v>
      </c>
      <c r="G56" s="7">
        <v>342</v>
      </c>
      <c r="I56" s="5" t="s">
        <v>573</v>
      </c>
      <c r="J56" s="6" t="s">
        <v>100</v>
      </c>
      <c r="K56" s="8">
        <v>43880</v>
      </c>
      <c r="L56" s="8"/>
      <c r="M56" s="8"/>
      <c r="N56" s="9">
        <v>-17.52</v>
      </c>
      <c r="O56" s="39">
        <v>-133.63999999999999</v>
      </c>
      <c r="P56" s="41">
        <f t="shared" si="0"/>
        <v>6.5200000000000102</v>
      </c>
      <c r="Q56" s="7">
        <v>1.2</v>
      </c>
      <c r="R56" s="7">
        <v>-6.6</v>
      </c>
      <c r="S56" s="7"/>
      <c r="T56" s="7"/>
    </row>
    <row r="57" spans="1:20" s="5" customFormat="1" x14ac:dyDescent="0.35">
      <c r="A57" s="5" t="s">
        <v>20</v>
      </c>
      <c r="B57" s="6" t="s">
        <v>21</v>
      </c>
      <c r="C57" s="6" t="s">
        <v>22</v>
      </c>
      <c r="D57" s="6" t="s">
        <v>23</v>
      </c>
      <c r="E57" s="7">
        <v>67.966667000000001</v>
      </c>
      <c r="F57" s="7">
        <v>24.116667</v>
      </c>
      <c r="G57" s="7">
        <v>342</v>
      </c>
      <c r="I57" s="5" t="s">
        <v>573</v>
      </c>
      <c r="J57" s="6" t="s">
        <v>100</v>
      </c>
      <c r="K57" s="8">
        <v>43882</v>
      </c>
      <c r="L57" s="8"/>
      <c r="M57" s="8"/>
      <c r="N57" s="9">
        <v>-14.19</v>
      </c>
      <c r="O57" s="39">
        <v>-105.64</v>
      </c>
      <c r="P57" s="41">
        <f t="shared" si="0"/>
        <v>7.8799999999999955</v>
      </c>
      <c r="Q57" s="7">
        <v>3.1</v>
      </c>
      <c r="R57" s="7">
        <v>-2.8</v>
      </c>
      <c r="S57" s="7"/>
      <c r="T57" s="7"/>
    </row>
    <row r="58" spans="1:20" s="5" customFormat="1" x14ac:dyDescent="0.35">
      <c r="A58" s="5" t="s">
        <v>20</v>
      </c>
      <c r="B58" s="6" t="s">
        <v>21</v>
      </c>
      <c r="C58" s="6" t="s">
        <v>22</v>
      </c>
      <c r="D58" s="6" t="s">
        <v>23</v>
      </c>
      <c r="E58" s="7">
        <v>67.966667000000001</v>
      </c>
      <c r="F58" s="7">
        <v>24.116667</v>
      </c>
      <c r="G58" s="7">
        <v>342</v>
      </c>
      <c r="I58" s="5" t="s">
        <v>573</v>
      </c>
      <c r="J58" s="6" t="s">
        <v>100</v>
      </c>
      <c r="K58" s="8">
        <v>43885</v>
      </c>
      <c r="L58" s="8"/>
      <c r="M58" s="8"/>
      <c r="N58" s="9">
        <v>-15.36</v>
      </c>
      <c r="O58" s="39">
        <v>-121.08</v>
      </c>
      <c r="P58" s="41">
        <f t="shared" si="0"/>
        <v>1.7999999999999972</v>
      </c>
      <c r="Q58" s="7">
        <v>0.7</v>
      </c>
      <c r="R58" s="7">
        <v>-5.5</v>
      </c>
      <c r="S58" s="7"/>
      <c r="T58" s="7"/>
    </row>
    <row r="59" spans="1:20" s="5" customFormat="1" x14ac:dyDescent="0.35">
      <c r="A59" s="5" t="s">
        <v>20</v>
      </c>
      <c r="B59" s="6" t="s">
        <v>21</v>
      </c>
      <c r="C59" s="6" t="s">
        <v>22</v>
      </c>
      <c r="D59" s="6" t="s">
        <v>23</v>
      </c>
      <c r="E59" s="7">
        <v>67.966667000000001</v>
      </c>
      <c r="F59" s="7">
        <v>24.116667</v>
      </c>
      <c r="G59" s="7">
        <v>342</v>
      </c>
      <c r="I59" s="5" t="s">
        <v>573</v>
      </c>
      <c r="J59" s="6" t="s">
        <v>100</v>
      </c>
      <c r="K59" s="8">
        <v>43899</v>
      </c>
      <c r="L59" s="8"/>
      <c r="M59" s="8"/>
      <c r="N59" s="9">
        <v>-14.78</v>
      </c>
      <c r="O59" s="39">
        <v>-112.55</v>
      </c>
      <c r="P59" s="41">
        <f t="shared" si="0"/>
        <v>5.6899999999999977</v>
      </c>
      <c r="Q59" s="7">
        <v>1.4</v>
      </c>
      <c r="R59" s="7">
        <v>0.9</v>
      </c>
      <c r="S59" s="7"/>
      <c r="T59" s="7"/>
    </row>
    <row r="60" spans="1:20" s="5" customFormat="1" x14ac:dyDescent="0.35">
      <c r="A60" s="5" t="s">
        <v>20</v>
      </c>
      <c r="B60" s="6" t="s">
        <v>21</v>
      </c>
      <c r="C60" s="6" t="s">
        <v>22</v>
      </c>
      <c r="D60" s="6" t="s">
        <v>23</v>
      </c>
      <c r="E60" s="7">
        <v>67.966667000000001</v>
      </c>
      <c r="F60" s="7">
        <v>24.116667</v>
      </c>
      <c r="G60" s="7">
        <v>342</v>
      </c>
      <c r="I60" s="5" t="s">
        <v>573</v>
      </c>
      <c r="J60" s="6" t="s">
        <v>100</v>
      </c>
      <c r="K60" s="8">
        <v>43901</v>
      </c>
      <c r="L60" s="8"/>
      <c r="M60" s="8"/>
      <c r="N60" s="9">
        <v>-10.65</v>
      </c>
      <c r="O60" s="39">
        <v>-78.17</v>
      </c>
      <c r="P60" s="41">
        <f t="shared" si="0"/>
        <v>7.0300000000000011</v>
      </c>
      <c r="Q60" s="7">
        <v>0.5</v>
      </c>
      <c r="R60" s="7">
        <v>-2.4</v>
      </c>
      <c r="S60" s="7"/>
      <c r="T60" s="7"/>
    </row>
    <row r="61" spans="1:20" s="5" customFormat="1" x14ac:dyDescent="0.35">
      <c r="A61" s="5" t="s">
        <v>20</v>
      </c>
      <c r="B61" s="6" t="s">
        <v>21</v>
      </c>
      <c r="C61" s="6" t="s">
        <v>22</v>
      </c>
      <c r="D61" s="6" t="s">
        <v>23</v>
      </c>
      <c r="E61" s="7">
        <v>67.966667000000001</v>
      </c>
      <c r="F61" s="7">
        <v>24.116667</v>
      </c>
      <c r="G61" s="7">
        <v>342</v>
      </c>
      <c r="I61" s="5" t="s">
        <v>573</v>
      </c>
      <c r="J61" s="6" t="s">
        <v>100</v>
      </c>
      <c r="K61" s="8">
        <v>43902</v>
      </c>
      <c r="L61" s="8"/>
      <c r="M61" s="8"/>
      <c r="N61" s="9">
        <v>-12.12</v>
      </c>
      <c r="O61" s="39">
        <v>-91.97</v>
      </c>
      <c r="P61" s="41">
        <f t="shared" si="0"/>
        <v>4.9899999999999949</v>
      </c>
      <c r="Q61" s="7">
        <v>2.1</v>
      </c>
      <c r="R61" s="7">
        <v>-6.6</v>
      </c>
      <c r="S61" s="7"/>
      <c r="T61" s="7"/>
    </row>
    <row r="62" spans="1:20" s="5" customFormat="1" x14ac:dyDescent="0.35">
      <c r="A62" s="5" t="s">
        <v>20</v>
      </c>
      <c r="B62" s="6" t="s">
        <v>21</v>
      </c>
      <c r="C62" s="6" t="s">
        <v>22</v>
      </c>
      <c r="D62" s="6" t="s">
        <v>23</v>
      </c>
      <c r="E62" s="7">
        <v>67.966667000000001</v>
      </c>
      <c r="F62" s="7">
        <v>24.116667</v>
      </c>
      <c r="G62" s="7">
        <v>342</v>
      </c>
      <c r="I62" s="5" t="s">
        <v>573</v>
      </c>
      <c r="J62" s="6" t="s">
        <v>100</v>
      </c>
      <c r="K62" s="8">
        <v>43903</v>
      </c>
      <c r="L62" s="8"/>
      <c r="M62" s="8"/>
      <c r="N62" s="9">
        <v>-15.55</v>
      </c>
      <c r="O62" s="39">
        <v>-119.25</v>
      </c>
      <c r="P62" s="41">
        <f t="shared" si="0"/>
        <v>5.1500000000000057</v>
      </c>
      <c r="Q62" s="7">
        <v>5.4</v>
      </c>
      <c r="R62" s="7">
        <v>-2.4</v>
      </c>
      <c r="S62" s="7"/>
      <c r="T62" s="7"/>
    </row>
    <row r="63" spans="1:20" s="5" customFormat="1" x14ac:dyDescent="0.35">
      <c r="A63" s="5" t="s">
        <v>20</v>
      </c>
      <c r="B63" s="6" t="s">
        <v>21</v>
      </c>
      <c r="C63" s="6" t="s">
        <v>22</v>
      </c>
      <c r="D63" s="6" t="s">
        <v>23</v>
      </c>
      <c r="E63" s="7">
        <v>67.966667000000001</v>
      </c>
      <c r="F63" s="7">
        <v>24.116667</v>
      </c>
      <c r="G63" s="7">
        <v>342</v>
      </c>
      <c r="I63" s="5" t="s">
        <v>573</v>
      </c>
      <c r="J63" s="6" t="s">
        <v>100</v>
      </c>
      <c r="K63" s="8">
        <v>43906</v>
      </c>
      <c r="L63" s="8"/>
      <c r="M63" s="8"/>
      <c r="N63" s="9">
        <v>-20.67</v>
      </c>
      <c r="O63" s="39">
        <v>-157.43</v>
      </c>
      <c r="P63" s="41">
        <f t="shared" si="0"/>
        <v>7.9300000000000068</v>
      </c>
      <c r="Q63" s="7">
        <v>3.5</v>
      </c>
      <c r="R63" s="7">
        <v>-5.5</v>
      </c>
      <c r="S63" s="7"/>
      <c r="T63" s="7"/>
    </row>
    <row r="64" spans="1:20" s="5" customFormat="1" x14ac:dyDescent="0.35">
      <c r="A64" s="5" t="s">
        <v>20</v>
      </c>
      <c r="B64" s="6" t="s">
        <v>21</v>
      </c>
      <c r="C64" s="6" t="s">
        <v>22</v>
      </c>
      <c r="D64" s="6" t="s">
        <v>23</v>
      </c>
      <c r="E64" s="7">
        <v>67.966667000000001</v>
      </c>
      <c r="F64" s="7">
        <v>24.116667</v>
      </c>
      <c r="G64" s="7">
        <v>342</v>
      </c>
      <c r="I64" s="5" t="s">
        <v>573</v>
      </c>
      <c r="J64" s="6" t="s">
        <v>100</v>
      </c>
      <c r="K64" s="8">
        <v>43908</v>
      </c>
      <c r="L64" s="8"/>
      <c r="M64" s="8"/>
      <c r="N64" s="9">
        <v>-15.86</v>
      </c>
      <c r="O64" s="39">
        <v>-123.32</v>
      </c>
      <c r="P64" s="41">
        <f t="shared" si="0"/>
        <v>3.5600000000000023</v>
      </c>
      <c r="Q64" s="7">
        <v>1.3</v>
      </c>
      <c r="R64" s="7">
        <v>-3.2</v>
      </c>
      <c r="S64" s="7"/>
      <c r="T64" s="7"/>
    </row>
    <row r="65" spans="1:20" s="5" customFormat="1" x14ac:dyDescent="0.35">
      <c r="A65" s="5" t="s">
        <v>20</v>
      </c>
      <c r="B65" s="6" t="s">
        <v>21</v>
      </c>
      <c r="C65" s="6" t="s">
        <v>22</v>
      </c>
      <c r="D65" s="6" t="s">
        <v>23</v>
      </c>
      <c r="E65" s="7">
        <v>67.966667000000001</v>
      </c>
      <c r="F65" s="7">
        <v>24.116667</v>
      </c>
      <c r="G65" s="7">
        <v>342</v>
      </c>
      <c r="I65" s="5" t="s">
        <v>573</v>
      </c>
      <c r="J65" s="6" t="s">
        <v>100</v>
      </c>
      <c r="K65" s="8">
        <v>43920</v>
      </c>
      <c r="L65" s="8"/>
      <c r="M65" s="8"/>
      <c r="N65" s="9">
        <v>-8.6999999999999993</v>
      </c>
      <c r="O65" s="39">
        <v>-76.17</v>
      </c>
      <c r="P65" s="41">
        <f t="shared" si="0"/>
        <v>-6.5700000000000074</v>
      </c>
      <c r="Q65" s="7">
        <v>1.6</v>
      </c>
      <c r="R65" s="7">
        <v>-7.3</v>
      </c>
      <c r="S65" s="7"/>
      <c r="T65" s="7"/>
    </row>
    <row r="66" spans="1:20" s="5" customFormat="1" x14ac:dyDescent="0.35">
      <c r="A66" s="5" t="s">
        <v>20</v>
      </c>
      <c r="B66" s="6" t="s">
        <v>21</v>
      </c>
      <c r="C66" s="6" t="s">
        <v>22</v>
      </c>
      <c r="D66" s="6" t="s">
        <v>23</v>
      </c>
      <c r="E66" s="7">
        <v>67.966667000000001</v>
      </c>
      <c r="F66" s="7">
        <v>24.116667</v>
      </c>
      <c r="G66" s="7">
        <v>342</v>
      </c>
      <c r="I66" s="5" t="s">
        <v>573</v>
      </c>
      <c r="J66" s="6" t="s">
        <v>100</v>
      </c>
      <c r="K66" s="8">
        <v>43922</v>
      </c>
      <c r="L66" s="8"/>
      <c r="M66" s="8"/>
      <c r="N66" s="9">
        <v>-23.87</v>
      </c>
      <c r="O66" s="39">
        <v>-189.46</v>
      </c>
      <c r="P66" s="41">
        <f t="shared" si="0"/>
        <v>1.5</v>
      </c>
      <c r="Q66" s="7">
        <v>4.8</v>
      </c>
      <c r="R66" s="7">
        <v>-4.4000000000000004</v>
      </c>
      <c r="S66" s="7"/>
      <c r="T66" s="7"/>
    </row>
    <row r="67" spans="1:20" s="5" customFormat="1" x14ac:dyDescent="0.35">
      <c r="A67" s="5" t="s">
        <v>20</v>
      </c>
      <c r="B67" s="6" t="s">
        <v>21</v>
      </c>
      <c r="C67" s="6" t="s">
        <v>22</v>
      </c>
      <c r="D67" s="6" t="s">
        <v>23</v>
      </c>
      <c r="E67" s="7">
        <v>67.966667000000001</v>
      </c>
      <c r="F67" s="7">
        <v>24.116667</v>
      </c>
      <c r="G67" s="7">
        <v>342</v>
      </c>
      <c r="I67" s="5" t="s">
        <v>100</v>
      </c>
      <c r="J67" s="6" t="s">
        <v>100</v>
      </c>
      <c r="K67" s="8">
        <v>43949</v>
      </c>
      <c r="L67" s="8"/>
      <c r="M67" s="8"/>
      <c r="N67" s="9">
        <v>-7.72</v>
      </c>
      <c r="O67" s="39">
        <v>-59.94</v>
      </c>
      <c r="P67" s="41">
        <f t="shared" si="0"/>
        <v>1.8200000000000003</v>
      </c>
      <c r="Q67" s="7">
        <v>0.9</v>
      </c>
      <c r="R67" s="7">
        <v>-2.6</v>
      </c>
      <c r="S67" s="7"/>
      <c r="T67" s="7"/>
    </row>
    <row r="68" spans="1:20" s="5" customFormat="1" x14ac:dyDescent="0.35">
      <c r="A68" s="5" t="s">
        <v>20</v>
      </c>
      <c r="B68" s="6" t="s">
        <v>21</v>
      </c>
      <c r="C68" s="6" t="s">
        <v>22</v>
      </c>
      <c r="D68" s="6" t="s">
        <v>23</v>
      </c>
      <c r="E68" s="7">
        <v>67.966667000000001</v>
      </c>
      <c r="F68" s="7">
        <v>24.116667</v>
      </c>
      <c r="G68" s="7">
        <v>342</v>
      </c>
      <c r="I68" s="5" t="s">
        <v>41</v>
      </c>
      <c r="J68" s="6" t="s">
        <v>41</v>
      </c>
      <c r="K68" s="8">
        <v>43955</v>
      </c>
      <c r="L68" s="8">
        <v>43954</v>
      </c>
      <c r="M68" s="8">
        <v>43955</v>
      </c>
      <c r="N68" s="9">
        <v>-8.59</v>
      </c>
      <c r="O68" s="39">
        <v>-66.010000000000005</v>
      </c>
      <c r="P68" s="41">
        <f t="shared" si="0"/>
        <v>2.7099999999999937</v>
      </c>
      <c r="Q68" s="7">
        <v>2.9</v>
      </c>
      <c r="R68" s="7">
        <v>1.2</v>
      </c>
      <c r="S68" s="7"/>
      <c r="T68" s="7"/>
    </row>
    <row r="69" spans="1:20" s="5" customFormat="1" x14ac:dyDescent="0.35">
      <c r="A69" s="5" t="s">
        <v>20</v>
      </c>
      <c r="B69" s="6" t="s">
        <v>21</v>
      </c>
      <c r="C69" s="6" t="s">
        <v>22</v>
      </c>
      <c r="D69" s="6" t="s">
        <v>23</v>
      </c>
      <c r="E69" s="7">
        <v>67.966667000000001</v>
      </c>
      <c r="F69" s="7">
        <v>24.116667</v>
      </c>
      <c r="G69" s="7">
        <v>342</v>
      </c>
      <c r="I69" s="5" t="s">
        <v>574</v>
      </c>
      <c r="J69" s="6" t="s">
        <v>41</v>
      </c>
      <c r="K69" s="8">
        <v>43988</v>
      </c>
      <c r="L69" s="8">
        <v>43987</v>
      </c>
      <c r="M69" s="8">
        <v>43988</v>
      </c>
      <c r="N69" s="9">
        <v>-9.91</v>
      </c>
      <c r="O69" s="39">
        <v>-73.75</v>
      </c>
      <c r="P69" s="41">
        <f t="shared" si="0"/>
        <v>5.5300000000000011</v>
      </c>
      <c r="Q69" s="7">
        <v>9.3000000000000007</v>
      </c>
      <c r="R69" s="7">
        <v>9.9</v>
      </c>
      <c r="S69" s="7"/>
      <c r="T69" s="7"/>
    </row>
    <row r="70" spans="1:20" s="5" customFormat="1" x14ac:dyDescent="0.35">
      <c r="A70" s="5" t="s">
        <v>20</v>
      </c>
      <c r="B70" s="6" t="s">
        <v>21</v>
      </c>
      <c r="C70" s="6" t="s">
        <v>22</v>
      </c>
      <c r="D70" s="6" t="s">
        <v>23</v>
      </c>
      <c r="E70" s="7">
        <v>67.966667000000001</v>
      </c>
      <c r="F70" s="7">
        <v>24.116667</v>
      </c>
      <c r="G70" s="7">
        <v>342</v>
      </c>
      <c r="I70" s="5" t="s">
        <v>574</v>
      </c>
      <c r="J70" s="6" t="s">
        <v>41</v>
      </c>
      <c r="K70" s="8">
        <v>43989</v>
      </c>
      <c r="L70" s="8">
        <v>43988</v>
      </c>
      <c r="M70" s="8">
        <v>43989</v>
      </c>
      <c r="N70" s="9">
        <v>-15.12</v>
      </c>
      <c r="O70" s="39">
        <v>-112.02</v>
      </c>
      <c r="P70" s="41">
        <f t="shared" si="0"/>
        <v>8.9399999999999977</v>
      </c>
      <c r="Q70" s="7">
        <v>10.199999999999999</v>
      </c>
      <c r="R70" s="7">
        <v>10.1</v>
      </c>
      <c r="S70" s="7"/>
      <c r="T70" s="7"/>
    </row>
    <row r="71" spans="1:20" s="5" customFormat="1" x14ac:dyDescent="0.35">
      <c r="A71" s="5" t="s">
        <v>20</v>
      </c>
      <c r="B71" s="6" t="s">
        <v>21</v>
      </c>
      <c r="C71" s="6" t="s">
        <v>22</v>
      </c>
      <c r="D71" s="6" t="s">
        <v>23</v>
      </c>
      <c r="E71" s="7">
        <v>67.966667000000001</v>
      </c>
      <c r="F71" s="7">
        <v>24.116667</v>
      </c>
      <c r="G71" s="7">
        <v>342</v>
      </c>
      <c r="I71" s="5" t="s">
        <v>574</v>
      </c>
      <c r="J71" s="6" t="s">
        <v>41</v>
      </c>
      <c r="K71" s="8">
        <v>43998</v>
      </c>
      <c r="L71" s="8">
        <v>43997</v>
      </c>
      <c r="M71" s="8">
        <v>43998</v>
      </c>
      <c r="N71" s="9">
        <v>-4.53</v>
      </c>
      <c r="O71" s="39">
        <v>-50.31</v>
      </c>
      <c r="P71" s="41">
        <f t="shared" si="0"/>
        <v>-14.07</v>
      </c>
      <c r="Q71" s="7">
        <v>0.3</v>
      </c>
      <c r="R71" s="7">
        <v>12.5</v>
      </c>
      <c r="S71" s="7"/>
      <c r="T71" s="7"/>
    </row>
    <row r="72" spans="1:20" s="5" customFormat="1" x14ac:dyDescent="0.35">
      <c r="A72" s="5" t="s">
        <v>20</v>
      </c>
      <c r="B72" s="6" t="s">
        <v>21</v>
      </c>
      <c r="C72" s="6" t="s">
        <v>22</v>
      </c>
      <c r="D72" s="6" t="s">
        <v>23</v>
      </c>
      <c r="E72" s="7">
        <v>67.966667000000001</v>
      </c>
      <c r="F72" s="7">
        <v>24.116667</v>
      </c>
      <c r="G72" s="7">
        <v>342</v>
      </c>
      <c r="I72" s="5" t="s">
        <v>574</v>
      </c>
      <c r="J72" s="6" t="s">
        <v>41</v>
      </c>
      <c r="K72" s="8">
        <v>44012</v>
      </c>
      <c r="L72" s="8">
        <v>43998</v>
      </c>
      <c r="M72" s="8">
        <v>44012</v>
      </c>
      <c r="N72" s="9">
        <v>-14.54</v>
      </c>
      <c r="O72" s="39">
        <v>-103.89</v>
      </c>
      <c r="P72" s="41">
        <f t="shared" si="0"/>
        <v>12.429999999999993</v>
      </c>
      <c r="Q72" s="7">
        <v>19</v>
      </c>
      <c r="R72" s="7">
        <v>6.9</v>
      </c>
      <c r="S72" s="7"/>
      <c r="T72" s="7"/>
    </row>
    <row r="73" spans="1:20" s="5" customFormat="1" x14ac:dyDescent="0.35">
      <c r="A73" s="5" t="s">
        <v>20</v>
      </c>
      <c r="B73" s="6" t="s">
        <v>21</v>
      </c>
      <c r="C73" s="6" t="s">
        <v>22</v>
      </c>
      <c r="D73" s="6" t="s">
        <v>23</v>
      </c>
      <c r="E73" s="7">
        <v>67.966667000000001</v>
      </c>
      <c r="F73" s="7">
        <v>24.116667</v>
      </c>
      <c r="G73" s="7">
        <v>342</v>
      </c>
      <c r="I73" s="5" t="s">
        <v>574</v>
      </c>
      <c r="J73" s="6" t="s">
        <v>41</v>
      </c>
      <c r="K73" s="8">
        <v>44014</v>
      </c>
      <c r="L73" s="8">
        <v>44012</v>
      </c>
      <c r="M73" s="8">
        <v>44014</v>
      </c>
      <c r="N73" s="9">
        <v>-14.85</v>
      </c>
      <c r="O73" s="39">
        <v>-111.49</v>
      </c>
      <c r="P73" s="41">
        <f t="shared" si="0"/>
        <v>7.3100000000000023</v>
      </c>
      <c r="Q73" s="7">
        <v>0.2</v>
      </c>
      <c r="R73" s="7">
        <v>9.1999999999999993</v>
      </c>
      <c r="S73" s="7"/>
      <c r="T73" s="7"/>
    </row>
    <row r="74" spans="1:20" s="5" customFormat="1" x14ac:dyDescent="0.35">
      <c r="A74" s="5" t="s">
        <v>20</v>
      </c>
      <c r="B74" s="6" t="s">
        <v>21</v>
      </c>
      <c r="C74" s="6" t="s">
        <v>22</v>
      </c>
      <c r="D74" s="6" t="s">
        <v>23</v>
      </c>
      <c r="E74" s="7">
        <v>67.966667000000001</v>
      </c>
      <c r="F74" s="7">
        <v>24.116667</v>
      </c>
      <c r="G74" s="7">
        <v>342</v>
      </c>
      <c r="I74" s="5" t="s">
        <v>574</v>
      </c>
      <c r="J74" s="6" t="s">
        <v>41</v>
      </c>
      <c r="K74" s="8">
        <v>44015</v>
      </c>
      <c r="L74" s="8">
        <v>44014</v>
      </c>
      <c r="M74" s="8">
        <v>44015</v>
      </c>
      <c r="N74" s="9">
        <v>-12.23</v>
      </c>
      <c r="O74" s="39">
        <v>-107.96</v>
      </c>
      <c r="P74" s="41">
        <f t="shared" si="0"/>
        <v>-10.11999999999999</v>
      </c>
      <c r="Q74" s="7">
        <v>10.8</v>
      </c>
      <c r="R74" s="7">
        <v>8.9</v>
      </c>
      <c r="S74" s="7"/>
      <c r="T74" s="7"/>
    </row>
    <row r="75" spans="1:20" s="5" customFormat="1" x14ac:dyDescent="0.35">
      <c r="A75" s="5" t="s">
        <v>20</v>
      </c>
      <c r="B75" s="6" t="s">
        <v>21</v>
      </c>
      <c r="C75" s="6" t="s">
        <v>22</v>
      </c>
      <c r="D75" s="6" t="s">
        <v>23</v>
      </c>
      <c r="E75" s="7">
        <v>67.966667000000001</v>
      </c>
      <c r="F75" s="7">
        <v>24.116667</v>
      </c>
      <c r="G75" s="7">
        <v>342</v>
      </c>
      <c r="I75" s="5" t="s">
        <v>574</v>
      </c>
      <c r="J75" s="6" t="s">
        <v>41</v>
      </c>
      <c r="K75" s="8">
        <v>44018</v>
      </c>
      <c r="L75" s="8">
        <v>44015</v>
      </c>
      <c r="M75" s="8">
        <v>44018</v>
      </c>
      <c r="N75" s="9">
        <v>-17.27</v>
      </c>
      <c r="O75" s="39">
        <v>-126.43</v>
      </c>
      <c r="P75" s="41">
        <f t="shared" si="0"/>
        <v>11.72999999999999</v>
      </c>
      <c r="Q75" s="7">
        <v>0.3</v>
      </c>
      <c r="R75" s="7">
        <v>10.5</v>
      </c>
      <c r="S75" s="7"/>
      <c r="T75" s="7"/>
    </row>
    <row r="76" spans="1:20" s="5" customFormat="1" x14ac:dyDescent="0.35">
      <c r="A76" s="5" t="s">
        <v>20</v>
      </c>
      <c r="B76" s="6" t="s">
        <v>21</v>
      </c>
      <c r="C76" s="6" t="s">
        <v>22</v>
      </c>
      <c r="D76" s="6" t="s">
        <v>23</v>
      </c>
      <c r="E76" s="7">
        <v>67.966667000000001</v>
      </c>
      <c r="F76" s="7">
        <v>24.116667</v>
      </c>
      <c r="G76" s="7">
        <v>342</v>
      </c>
      <c r="I76" s="5" t="s">
        <v>574</v>
      </c>
      <c r="J76" s="6" t="s">
        <v>41</v>
      </c>
      <c r="K76" s="8">
        <v>44019</v>
      </c>
      <c r="L76" s="8">
        <v>44018</v>
      </c>
      <c r="M76" s="8">
        <v>44019</v>
      </c>
      <c r="N76" s="9">
        <v>-10.16</v>
      </c>
      <c r="O76" s="39">
        <v>-80.53</v>
      </c>
      <c r="P76" s="41">
        <f t="shared" si="0"/>
        <v>0.75</v>
      </c>
      <c r="Q76" s="7">
        <v>2</v>
      </c>
      <c r="R76" s="7">
        <v>12.6</v>
      </c>
      <c r="S76" s="7"/>
      <c r="T76" s="7"/>
    </row>
    <row r="77" spans="1:20" s="5" customFormat="1" x14ac:dyDescent="0.35">
      <c r="A77" s="5" t="s">
        <v>20</v>
      </c>
      <c r="B77" s="6" t="s">
        <v>21</v>
      </c>
      <c r="C77" s="6" t="s">
        <v>22</v>
      </c>
      <c r="D77" s="6" t="s">
        <v>23</v>
      </c>
      <c r="E77" s="7">
        <v>67.966667000000001</v>
      </c>
      <c r="F77" s="7">
        <v>24.116667</v>
      </c>
      <c r="G77" s="7">
        <v>342</v>
      </c>
      <c r="I77" s="5" t="s">
        <v>574</v>
      </c>
      <c r="J77" s="6" t="s">
        <v>41</v>
      </c>
      <c r="K77" s="8">
        <v>44020</v>
      </c>
      <c r="L77" s="8">
        <v>44019</v>
      </c>
      <c r="M77" s="8">
        <v>44020</v>
      </c>
      <c r="N77" s="9">
        <v>-15.02</v>
      </c>
      <c r="O77" s="39">
        <v>-111.09</v>
      </c>
      <c r="P77" s="41">
        <f t="shared" si="0"/>
        <v>9.0699999999999932</v>
      </c>
      <c r="Q77" s="7">
        <v>3.5</v>
      </c>
      <c r="R77" s="7">
        <v>11.8</v>
      </c>
      <c r="S77" s="7"/>
      <c r="T77" s="7"/>
    </row>
    <row r="78" spans="1:20" s="5" customFormat="1" x14ac:dyDescent="0.35">
      <c r="A78" s="5" t="s">
        <v>20</v>
      </c>
      <c r="B78" s="6" t="s">
        <v>21</v>
      </c>
      <c r="C78" s="6" t="s">
        <v>22</v>
      </c>
      <c r="D78" s="6" t="s">
        <v>23</v>
      </c>
      <c r="E78" s="7">
        <v>67.966667000000001</v>
      </c>
      <c r="F78" s="7">
        <v>24.116667</v>
      </c>
      <c r="G78" s="7">
        <v>342</v>
      </c>
      <c r="I78" s="5" t="s">
        <v>574</v>
      </c>
      <c r="J78" s="6" t="s">
        <v>41</v>
      </c>
      <c r="K78" s="8">
        <v>44021</v>
      </c>
      <c r="L78" s="8">
        <v>44020</v>
      </c>
      <c r="M78" s="8">
        <v>44021</v>
      </c>
      <c r="N78" s="9">
        <v>-15.46</v>
      </c>
      <c r="O78" s="39">
        <v>-118.47</v>
      </c>
      <c r="P78" s="41">
        <f t="shared" si="0"/>
        <v>5.210000000000008</v>
      </c>
      <c r="Q78" s="7">
        <v>14.6</v>
      </c>
      <c r="R78" s="7">
        <v>12.3</v>
      </c>
      <c r="S78" s="7"/>
      <c r="T78" s="7"/>
    </row>
    <row r="79" spans="1:20" s="5" customFormat="1" x14ac:dyDescent="0.35">
      <c r="A79" s="5" t="s">
        <v>20</v>
      </c>
      <c r="B79" s="6" t="s">
        <v>21</v>
      </c>
      <c r="C79" s="6" t="s">
        <v>22</v>
      </c>
      <c r="D79" s="6" t="s">
        <v>23</v>
      </c>
      <c r="E79" s="7">
        <v>67.966667000000001</v>
      </c>
      <c r="F79" s="7">
        <v>24.116667</v>
      </c>
      <c r="G79" s="7">
        <v>342</v>
      </c>
      <c r="I79" s="5" t="s">
        <v>574</v>
      </c>
      <c r="J79" s="6" t="s">
        <v>41</v>
      </c>
      <c r="K79" s="8">
        <v>44022</v>
      </c>
      <c r="L79" s="8">
        <v>44021</v>
      </c>
      <c r="M79" s="8">
        <v>44022</v>
      </c>
      <c r="N79" s="9">
        <v>-12.99</v>
      </c>
      <c r="O79" s="39">
        <v>-99.82</v>
      </c>
      <c r="P79" s="41">
        <f t="shared" si="0"/>
        <v>4.1000000000000085</v>
      </c>
      <c r="Q79" s="7">
        <v>7.1</v>
      </c>
      <c r="R79" s="7">
        <v>7.6</v>
      </c>
      <c r="S79" s="7"/>
      <c r="T79" s="7"/>
    </row>
    <row r="80" spans="1:20" s="5" customFormat="1" x14ac:dyDescent="0.35">
      <c r="A80" s="5" t="s">
        <v>20</v>
      </c>
      <c r="B80" s="6" t="s">
        <v>21</v>
      </c>
      <c r="C80" s="6" t="s">
        <v>22</v>
      </c>
      <c r="D80" s="6" t="s">
        <v>23</v>
      </c>
      <c r="E80" s="7">
        <v>67.966667000000001</v>
      </c>
      <c r="F80" s="7">
        <v>24.116667</v>
      </c>
      <c r="G80" s="7">
        <v>342</v>
      </c>
      <c r="I80" s="5" t="s">
        <v>574</v>
      </c>
      <c r="J80" s="6" t="s">
        <v>41</v>
      </c>
      <c r="K80" s="11">
        <v>44025</v>
      </c>
      <c r="L80" s="8">
        <v>44022</v>
      </c>
      <c r="M80" s="8">
        <v>44025</v>
      </c>
      <c r="N80" s="9">
        <v>-12.73</v>
      </c>
      <c r="O80" s="39">
        <v>-98.56</v>
      </c>
      <c r="P80" s="41">
        <f t="shared" si="0"/>
        <v>3.2800000000000011</v>
      </c>
      <c r="Q80" s="7">
        <v>1</v>
      </c>
      <c r="R80" s="7">
        <v>12.8</v>
      </c>
      <c r="S80" s="7"/>
      <c r="T80" s="7"/>
    </row>
    <row r="81" spans="1:20" s="5" customFormat="1" x14ac:dyDescent="0.35">
      <c r="A81" s="5" t="s">
        <v>20</v>
      </c>
      <c r="B81" s="6" t="s">
        <v>21</v>
      </c>
      <c r="C81" s="6" t="s">
        <v>22</v>
      </c>
      <c r="D81" s="6" t="s">
        <v>23</v>
      </c>
      <c r="E81" s="7">
        <v>67.966667000000001</v>
      </c>
      <c r="F81" s="7">
        <v>24.116667</v>
      </c>
      <c r="G81" s="7">
        <v>342</v>
      </c>
      <c r="I81" s="5" t="s">
        <v>574</v>
      </c>
      <c r="J81" s="6" t="s">
        <v>41</v>
      </c>
      <c r="K81" s="8">
        <v>44027</v>
      </c>
      <c r="L81" s="8">
        <v>44025</v>
      </c>
      <c r="M81" s="8">
        <v>44027</v>
      </c>
      <c r="N81" s="9">
        <v>-9.93</v>
      </c>
      <c r="O81" s="39">
        <v>-77.319999999999993</v>
      </c>
      <c r="P81" s="41">
        <f t="shared" si="0"/>
        <v>2.1200000000000045</v>
      </c>
      <c r="Q81" s="7">
        <v>3.7</v>
      </c>
      <c r="R81" s="7">
        <v>12.3</v>
      </c>
      <c r="S81" s="7"/>
      <c r="T81" s="7"/>
    </row>
    <row r="82" spans="1:20" s="5" customFormat="1" x14ac:dyDescent="0.35">
      <c r="A82" s="5" t="s">
        <v>20</v>
      </c>
      <c r="B82" s="6" t="s">
        <v>21</v>
      </c>
      <c r="C82" s="6" t="s">
        <v>22</v>
      </c>
      <c r="D82" s="6" t="s">
        <v>23</v>
      </c>
      <c r="E82" s="7">
        <v>67.966667000000001</v>
      </c>
      <c r="F82" s="7">
        <v>24.116667</v>
      </c>
      <c r="G82" s="7">
        <v>342</v>
      </c>
      <c r="I82" s="5" t="s">
        <v>574</v>
      </c>
      <c r="J82" s="6" t="s">
        <v>41</v>
      </c>
      <c r="K82" s="8">
        <v>44029</v>
      </c>
      <c r="L82" s="8">
        <v>44027</v>
      </c>
      <c r="M82" s="8">
        <v>44029</v>
      </c>
      <c r="N82" s="9">
        <v>-11.34</v>
      </c>
      <c r="O82" s="39">
        <v>-93.58</v>
      </c>
      <c r="P82" s="41">
        <f t="shared" si="0"/>
        <v>-2.8599999999999994</v>
      </c>
      <c r="Q82" s="7">
        <v>1.4</v>
      </c>
      <c r="R82" s="7">
        <v>17.7</v>
      </c>
      <c r="S82" s="7"/>
      <c r="T82" s="7"/>
    </row>
    <row r="83" spans="1:20" s="5" customFormat="1" x14ac:dyDescent="0.35">
      <c r="A83" s="5" t="s">
        <v>20</v>
      </c>
      <c r="B83" s="6" t="s">
        <v>21</v>
      </c>
      <c r="C83" s="6" t="s">
        <v>22</v>
      </c>
      <c r="D83" s="6" t="s">
        <v>23</v>
      </c>
      <c r="E83" s="7">
        <v>67.966667000000001</v>
      </c>
      <c r="F83" s="7">
        <v>24.116667</v>
      </c>
      <c r="G83" s="7">
        <v>342</v>
      </c>
      <c r="I83" s="5" t="s">
        <v>574</v>
      </c>
      <c r="J83" s="6" t="s">
        <v>41</v>
      </c>
      <c r="K83" s="8">
        <v>44032</v>
      </c>
      <c r="L83" s="8">
        <v>44029</v>
      </c>
      <c r="M83" s="8">
        <v>44032</v>
      </c>
      <c r="N83" s="9">
        <v>-6.05</v>
      </c>
      <c r="O83" s="39">
        <v>-40.04</v>
      </c>
      <c r="P83" s="41">
        <f t="shared" si="0"/>
        <v>8.36</v>
      </c>
      <c r="Q83" s="7">
        <v>0.8</v>
      </c>
      <c r="R83" s="7">
        <v>17.600000000000001</v>
      </c>
      <c r="S83" s="7"/>
      <c r="T83" s="7"/>
    </row>
    <row r="84" spans="1:20" s="5" customFormat="1" x14ac:dyDescent="0.35">
      <c r="A84" s="5" t="s">
        <v>20</v>
      </c>
      <c r="B84" s="6" t="s">
        <v>21</v>
      </c>
      <c r="C84" s="6" t="s">
        <v>22</v>
      </c>
      <c r="D84" s="6" t="s">
        <v>23</v>
      </c>
      <c r="E84" s="7">
        <v>67.966667000000001</v>
      </c>
      <c r="F84" s="7">
        <v>24.116667</v>
      </c>
      <c r="G84" s="7">
        <v>342</v>
      </c>
      <c r="I84" s="5" t="s">
        <v>574</v>
      </c>
      <c r="J84" s="6" t="s">
        <v>41</v>
      </c>
      <c r="K84" s="8">
        <v>44033</v>
      </c>
      <c r="L84" s="8">
        <v>44032</v>
      </c>
      <c r="M84" s="8">
        <v>44033</v>
      </c>
      <c r="N84" s="9">
        <v>-7</v>
      </c>
      <c r="O84" s="39">
        <v>-51</v>
      </c>
      <c r="P84" s="41">
        <f t="shared" si="0"/>
        <v>5</v>
      </c>
      <c r="Q84" s="7">
        <v>11.8</v>
      </c>
      <c r="R84" s="7">
        <v>16.3</v>
      </c>
      <c r="S84" s="7"/>
      <c r="T84" s="7"/>
    </row>
    <row r="85" spans="1:20" s="5" customFormat="1" x14ac:dyDescent="0.35">
      <c r="A85" s="5" t="s">
        <v>20</v>
      </c>
      <c r="B85" s="6" t="s">
        <v>21</v>
      </c>
      <c r="C85" s="6" t="s">
        <v>22</v>
      </c>
      <c r="D85" s="6" t="s">
        <v>23</v>
      </c>
      <c r="E85" s="7">
        <v>67.966667000000001</v>
      </c>
      <c r="F85" s="7">
        <v>24.116667</v>
      </c>
      <c r="G85" s="7">
        <v>342</v>
      </c>
      <c r="I85" s="5" t="s">
        <v>574</v>
      </c>
      <c r="J85" s="6" t="s">
        <v>41</v>
      </c>
      <c r="K85" s="8">
        <v>44034</v>
      </c>
      <c r="L85" s="8">
        <v>44033</v>
      </c>
      <c r="M85" s="8">
        <v>44034</v>
      </c>
      <c r="N85" s="9">
        <v>-9.91</v>
      </c>
      <c r="O85" s="39">
        <v>-69.81</v>
      </c>
      <c r="P85" s="41">
        <f t="shared" si="0"/>
        <v>9.4699999999999989</v>
      </c>
      <c r="Q85" s="7">
        <v>8.1999999999999993</v>
      </c>
      <c r="R85" s="7">
        <v>12.9</v>
      </c>
      <c r="S85" s="7"/>
      <c r="T85" s="7"/>
    </row>
    <row r="86" spans="1:20" s="5" customFormat="1" x14ac:dyDescent="0.35">
      <c r="A86" s="5" t="s">
        <v>20</v>
      </c>
      <c r="B86" s="6" t="s">
        <v>21</v>
      </c>
      <c r="C86" s="6" t="s">
        <v>22</v>
      </c>
      <c r="D86" s="6" t="s">
        <v>23</v>
      </c>
      <c r="E86" s="7">
        <v>67.966667000000001</v>
      </c>
      <c r="F86" s="7">
        <v>24.116667</v>
      </c>
      <c r="G86" s="7">
        <v>342</v>
      </c>
      <c r="I86" s="5" t="s">
        <v>574</v>
      </c>
      <c r="J86" s="6" t="s">
        <v>41</v>
      </c>
      <c r="K86" s="8">
        <v>44035</v>
      </c>
      <c r="L86" s="8">
        <v>44034</v>
      </c>
      <c r="M86" s="8">
        <v>44035</v>
      </c>
      <c r="N86" s="9">
        <v>-8.69</v>
      </c>
      <c r="O86" s="39">
        <v>-57.37</v>
      </c>
      <c r="P86" s="41">
        <f t="shared" si="0"/>
        <v>12.149999999999999</v>
      </c>
      <c r="Q86" s="7">
        <v>11.2</v>
      </c>
      <c r="R86" s="7">
        <v>11.4</v>
      </c>
      <c r="S86" s="7"/>
      <c r="T86" s="7"/>
    </row>
    <row r="87" spans="1:20" s="5" customFormat="1" x14ac:dyDescent="0.35">
      <c r="A87" s="5" t="s">
        <v>20</v>
      </c>
      <c r="B87" s="6" t="s">
        <v>21</v>
      </c>
      <c r="C87" s="6" t="s">
        <v>22</v>
      </c>
      <c r="D87" s="6" t="s">
        <v>23</v>
      </c>
      <c r="E87" s="7">
        <v>67.966667000000001</v>
      </c>
      <c r="F87" s="7">
        <v>24.116667</v>
      </c>
      <c r="G87" s="7">
        <v>342</v>
      </c>
      <c r="I87" s="5" t="s">
        <v>574</v>
      </c>
      <c r="J87" s="6" t="s">
        <v>41</v>
      </c>
      <c r="K87" s="8">
        <v>44036</v>
      </c>
      <c r="L87" s="8">
        <v>44035</v>
      </c>
      <c r="M87" s="8">
        <v>44036</v>
      </c>
      <c r="N87" s="9">
        <v>-9.76</v>
      </c>
      <c r="O87" s="39">
        <v>-68.78</v>
      </c>
      <c r="P87" s="41">
        <f t="shared" si="0"/>
        <v>9.2999999999999972</v>
      </c>
      <c r="Q87" s="7">
        <v>14.3</v>
      </c>
      <c r="R87" s="7">
        <v>13.6</v>
      </c>
      <c r="S87" s="7"/>
      <c r="T87" s="7"/>
    </row>
    <row r="88" spans="1:20" s="5" customFormat="1" x14ac:dyDescent="0.35">
      <c r="A88" s="5" t="s">
        <v>20</v>
      </c>
      <c r="B88" s="6" t="s">
        <v>21</v>
      </c>
      <c r="C88" s="6" t="s">
        <v>22</v>
      </c>
      <c r="D88" s="6" t="s">
        <v>23</v>
      </c>
      <c r="E88" s="7">
        <v>67.966667000000001</v>
      </c>
      <c r="F88" s="7">
        <v>24.116667</v>
      </c>
      <c r="G88" s="7">
        <v>342</v>
      </c>
      <c r="I88" s="5" t="s">
        <v>574</v>
      </c>
      <c r="J88" s="6" t="s">
        <v>41</v>
      </c>
      <c r="K88" s="8">
        <v>44039</v>
      </c>
      <c r="L88" s="8">
        <v>44036</v>
      </c>
      <c r="M88" s="8">
        <v>44039</v>
      </c>
      <c r="N88" s="9">
        <v>-13.01</v>
      </c>
      <c r="O88" s="39">
        <v>-93.88</v>
      </c>
      <c r="P88" s="41">
        <f t="shared" si="0"/>
        <v>10.200000000000003</v>
      </c>
      <c r="Q88" s="7">
        <v>0.6</v>
      </c>
      <c r="R88" s="7">
        <v>14</v>
      </c>
      <c r="S88" s="7"/>
      <c r="T88" s="7"/>
    </row>
    <row r="89" spans="1:20" s="5" customFormat="1" x14ac:dyDescent="0.35">
      <c r="A89" s="5" t="s">
        <v>20</v>
      </c>
      <c r="B89" s="6" t="s">
        <v>21</v>
      </c>
      <c r="C89" s="6" t="s">
        <v>22</v>
      </c>
      <c r="D89" s="6" t="s">
        <v>23</v>
      </c>
      <c r="E89" s="7">
        <v>67.966667000000001</v>
      </c>
      <c r="F89" s="7">
        <v>24.116667</v>
      </c>
      <c r="G89" s="7">
        <v>342</v>
      </c>
      <c r="I89" s="5" t="s">
        <v>574</v>
      </c>
      <c r="J89" s="6" t="s">
        <v>41</v>
      </c>
      <c r="K89" s="8">
        <v>44049</v>
      </c>
      <c r="L89" s="8">
        <v>44039</v>
      </c>
      <c r="M89" s="8">
        <v>44049</v>
      </c>
      <c r="N89" s="9">
        <v>-11.21</v>
      </c>
      <c r="O89" s="39">
        <v>-89.64</v>
      </c>
      <c r="P89" s="41">
        <f t="shared" si="0"/>
        <v>4.0000000000006253E-2</v>
      </c>
      <c r="Q89" s="7">
        <v>1.7</v>
      </c>
      <c r="R89" s="7">
        <v>14.5</v>
      </c>
      <c r="S89" s="7"/>
      <c r="T89" s="7"/>
    </row>
    <row r="90" spans="1:20" s="5" customFormat="1" x14ac:dyDescent="0.35">
      <c r="A90" s="5" t="s">
        <v>20</v>
      </c>
      <c r="B90" s="6" t="s">
        <v>21</v>
      </c>
      <c r="C90" s="6" t="s">
        <v>22</v>
      </c>
      <c r="D90" s="6" t="s">
        <v>23</v>
      </c>
      <c r="E90" s="7">
        <v>67.966667000000001</v>
      </c>
      <c r="F90" s="7">
        <v>24.116667</v>
      </c>
      <c r="G90" s="7">
        <v>342</v>
      </c>
      <c r="I90" s="5" t="s">
        <v>574</v>
      </c>
      <c r="J90" s="6" t="s">
        <v>41</v>
      </c>
      <c r="K90" s="8">
        <v>44053</v>
      </c>
      <c r="L90" s="8">
        <v>44049</v>
      </c>
      <c r="M90" s="8">
        <v>44053</v>
      </c>
      <c r="N90" s="9">
        <v>-9.4600000000000009</v>
      </c>
      <c r="O90" s="39">
        <v>-67.3</v>
      </c>
      <c r="P90" s="41">
        <f t="shared" si="0"/>
        <v>8.3800000000000097</v>
      </c>
      <c r="Q90" s="7">
        <v>0.1</v>
      </c>
      <c r="R90" s="7">
        <v>17.5</v>
      </c>
      <c r="S90" s="7"/>
      <c r="T90" s="7"/>
    </row>
    <row r="91" spans="1:20" s="5" customFormat="1" x14ac:dyDescent="0.35">
      <c r="A91" s="5" t="s">
        <v>20</v>
      </c>
      <c r="B91" s="6" t="s">
        <v>21</v>
      </c>
      <c r="C91" s="6" t="s">
        <v>22</v>
      </c>
      <c r="D91" s="6" t="s">
        <v>23</v>
      </c>
      <c r="E91" s="7">
        <v>67.966667000000001</v>
      </c>
      <c r="F91" s="7">
        <v>24.116667</v>
      </c>
      <c r="G91" s="7">
        <v>342</v>
      </c>
      <c r="I91" s="5" t="s">
        <v>574</v>
      </c>
      <c r="J91" s="6" t="s">
        <v>41</v>
      </c>
      <c r="K91" s="8">
        <v>44054</v>
      </c>
      <c r="L91" s="8">
        <v>44053</v>
      </c>
      <c r="M91" s="8">
        <v>44054</v>
      </c>
      <c r="N91" s="9">
        <v>-7.25</v>
      </c>
      <c r="O91" s="39">
        <v>-60.73</v>
      </c>
      <c r="P91" s="41">
        <f t="shared" si="0"/>
        <v>-2.7299999999999969</v>
      </c>
      <c r="Q91" s="7">
        <v>7</v>
      </c>
      <c r="R91" s="7">
        <v>13.8</v>
      </c>
      <c r="S91" s="7"/>
      <c r="T91" s="7"/>
    </row>
    <row r="92" spans="1:20" s="5" customFormat="1" x14ac:dyDescent="0.35">
      <c r="A92" s="5" t="s">
        <v>20</v>
      </c>
      <c r="B92" s="6" t="s">
        <v>21</v>
      </c>
      <c r="C92" s="6" t="s">
        <v>22</v>
      </c>
      <c r="D92" s="6" t="s">
        <v>23</v>
      </c>
      <c r="E92" s="7">
        <v>67.966667000000001</v>
      </c>
      <c r="F92" s="7">
        <v>24.116667</v>
      </c>
      <c r="G92" s="7">
        <v>342</v>
      </c>
      <c r="I92" s="5" t="s">
        <v>574</v>
      </c>
      <c r="J92" s="6" t="s">
        <v>41</v>
      </c>
      <c r="K92" s="8">
        <v>44060</v>
      </c>
      <c r="L92" s="8">
        <v>44054</v>
      </c>
      <c r="M92" s="8">
        <v>44060</v>
      </c>
      <c r="N92" s="9">
        <v>-8.7899999999999991</v>
      </c>
      <c r="O92" s="39">
        <v>-66.209999999999994</v>
      </c>
      <c r="P92" s="41">
        <f t="shared" si="0"/>
        <v>4.1099999999999994</v>
      </c>
      <c r="Q92" s="7">
        <v>0.3</v>
      </c>
      <c r="R92" s="7">
        <v>8.3000000000000007</v>
      </c>
      <c r="S92" s="7"/>
      <c r="T92" s="7"/>
    </row>
    <row r="93" spans="1:20" s="5" customFormat="1" x14ac:dyDescent="0.35">
      <c r="A93" s="5" t="s">
        <v>20</v>
      </c>
      <c r="B93" s="6" t="s">
        <v>21</v>
      </c>
      <c r="C93" s="6" t="s">
        <v>22</v>
      </c>
      <c r="D93" s="6" t="s">
        <v>23</v>
      </c>
      <c r="E93" s="7">
        <v>67.966667000000001</v>
      </c>
      <c r="F93" s="7">
        <v>24.116667</v>
      </c>
      <c r="G93" s="7">
        <v>342</v>
      </c>
      <c r="I93" s="5" t="s">
        <v>574</v>
      </c>
      <c r="J93" s="6" t="s">
        <v>41</v>
      </c>
      <c r="K93" s="8">
        <v>44061</v>
      </c>
      <c r="L93" s="8">
        <v>44060</v>
      </c>
      <c r="M93" s="8">
        <v>44061</v>
      </c>
      <c r="N93" s="9">
        <v>-8.77</v>
      </c>
      <c r="O93" s="39">
        <v>-70.92</v>
      </c>
      <c r="P93" s="41">
        <f t="shared" si="0"/>
        <v>-0.76000000000000512</v>
      </c>
      <c r="Q93" s="7">
        <v>0.5</v>
      </c>
      <c r="R93" s="7">
        <v>10.4</v>
      </c>
      <c r="S93" s="7"/>
      <c r="T93" s="7"/>
    </row>
    <row r="94" spans="1:20" s="5" customFormat="1" x14ac:dyDescent="0.35">
      <c r="A94" s="5" t="s">
        <v>20</v>
      </c>
      <c r="B94" s="6" t="s">
        <v>21</v>
      </c>
      <c r="C94" s="6" t="s">
        <v>22</v>
      </c>
      <c r="D94" s="6" t="s">
        <v>23</v>
      </c>
      <c r="E94" s="7">
        <v>67.966667000000001</v>
      </c>
      <c r="F94" s="7">
        <v>24.116667</v>
      </c>
      <c r="G94" s="7">
        <v>342</v>
      </c>
      <c r="I94" s="5" t="s">
        <v>574</v>
      </c>
      <c r="J94" s="6" t="s">
        <v>41</v>
      </c>
      <c r="K94" s="8">
        <v>44063</v>
      </c>
      <c r="L94" s="8">
        <v>44061</v>
      </c>
      <c r="M94" s="8">
        <v>44063</v>
      </c>
      <c r="N94" s="9">
        <v>-10.73</v>
      </c>
      <c r="O94" s="39">
        <v>-81.34</v>
      </c>
      <c r="P94" s="41">
        <f t="shared" si="0"/>
        <v>4.5</v>
      </c>
      <c r="Q94" s="7">
        <v>4.5</v>
      </c>
      <c r="R94" s="7">
        <v>10.7</v>
      </c>
      <c r="S94" s="7"/>
      <c r="T94" s="7"/>
    </row>
    <row r="95" spans="1:20" s="5" customFormat="1" x14ac:dyDescent="0.35">
      <c r="A95" s="5" t="s">
        <v>20</v>
      </c>
      <c r="B95" s="6" t="s">
        <v>21</v>
      </c>
      <c r="C95" s="6" t="s">
        <v>22</v>
      </c>
      <c r="D95" s="6" t="s">
        <v>23</v>
      </c>
      <c r="E95" s="7">
        <v>67.966667000000001</v>
      </c>
      <c r="F95" s="7">
        <v>24.116667</v>
      </c>
      <c r="G95" s="7">
        <v>342</v>
      </c>
      <c r="I95" s="5" t="s">
        <v>574</v>
      </c>
      <c r="J95" s="6" t="s">
        <v>41</v>
      </c>
      <c r="K95" s="8">
        <v>44064</v>
      </c>
      <c r="L95" s="8">
        <v>44063</v>
      </c>
      <c r="M95" s="8">
        <v>44064</v>
      </c>
      <c r="N95" s="9">
        <v>-8.23</v>
      </c>
      <c r="O95" s="39">
        <v>-56.92</v>
      </c>
      <c r="P95" s="41">
        <f t="shared" si="0"/>
        <v>8.9200000000000017</v>
      </c>
      <c r="Q95" s="7">
        <v>0.7</v>
      </c>
      <c r="R95" s="7">
        <v>13.4</v>
      </c>
      <c r="S95" s="7"/>
      <c r="T95" s="7"/>
    </row>
    <row r="96" spans="1:20" s="5" customFormat="1" x14ac:dyDescent="0.35">
      <c r="A96" s="5" t="s">
        <v>20</v>
      </c>
      <c r="B96" s="6" t="s">
        <v>21</v>
      </c>
      <c r="C96" s="6" t="s">
        <v>22</v>
      </c>
      <c r="D96" s="6" t="s">
        <v>23</v>
      </c>
      <c r="E96" s="7">
        <v>67.966667000000001</v>
      </c>
      <c r="F96" s="7">
        <v>24.116667</v>
      </c>
      <c r="G96" s="7">
        <v>342</v>
      </c>
      <c r="I96" s="5" t="s">
        <v>574</v>
      </c>
      <c r="J96" s="6" t="s">
        <v>41</v>
      </c>
      <c r="K96" s="8">
        <v>44067</v>
      </c>
      <c r="L96" s="8">
        <v>44064</v>
      </c>
      <c r="M96" s="8">
        <v>44067</v>
      </c>
      <c r="N96" s="9">
        <v>-8.85</v>
      </c>
      <c r="O96" s="39">
        <v>-68.14</v>
      </c>
      <c r="P96" s="41">
        <f t="shared" si="0"/>
        <v>2.6599999999999966</v>
      </c>
      <c r="Q96" s="7">
        <v>7.4</v>
      </c>
      <c r="R96" s="7">
        <v>10.3</v>
      </c>
      <c r="S96" s="7"/>
      <c r="T96" s="7"/>
    </row>
    <row r="97" spans="1:20" s="5" customFormat="1" x14ac:dyDescent="0.35">
      <c r="A97" s="5" t="s">
        <v>20</v>
      </c>
      <c r="B97" s="6" t="s">
        <v>21</v>
      </c>
      <c r="C97" s="6" t="s">
        <v>22</v>
      </c>
      <c r="D97" s="6" t="s">
        <v>23</v>
      </c>
      <c r="E97" s="7">
        <v>67.966667000000001</v>
      </c>
      <c r="F97" s="7">
        <v>24.116667</v>
      </c>
      <c r="G97" s="7">
        <v>342</v>
      </c>
      <c r="I97" s="5" t="s">
        <v>574</v>
      </c>
      <c r="J97" s="6" t="s">
        <v>41</v>
      </c>
      <c r="K97" s="8">
        <v>44068</v>
      </c>
      <c r="L97" s="8">
        <v>44067</v>
      </c>
      <c r="M97" s="8">
        <v>44068</v>
      </c>
      <c r="N97" s="9">
        <v>-13.86</v>
      </c>
      <c r="O97" s="39">
        <v>-106.33</v>
      </c>
      <c r="P97" s="41">
        <f t="shared" si="0"/>
        <v>4.5499999999999972</v>
      </c>
      <c r="Q97" s="7">
        <v>2.2000000000000002</v>
      </c>
      <c r="R97" s="7">
        <v>9.1</v>
      </c>
      <c r="S97" s="7"/>
      <c r="T97" s="7"/>
    </row>
    <row r="98" spans="1:20" s="5" customFormat="1" x14ac:dyDescent="0.35">
      <c r="A98" s="5" t="s">
        <v>20</v>
      </c>
      <c r="B98" s="6" t="s">
        <v>21</v>
      </c>
      <c r="C98" s="6" t="s">
        <v>22</v>
      </c>
      <c r="D98" s="6" t="s">
        <v>23</v>
      </c>
      <c r="E98" s="7">
        <v>67.966667000000001</v>
      </c>
      <c r="F98" s="7">
        <v>24.116667</v>
      </c>
      <c r="G98" s="7">
        <v>342</v>
      </c>
      <c r="I98" s="5" t="s">
        <v>574</v>
      </c>
      <c r="J98" s="6" t="s">
        <v>41</v>
      </c>
      <c r="K98" s="8">
        <v>44069</v>
      </c>
      <c r="L98" s="8">
        <v>44068</v>
      </c>
      <c r="M98" s="8">
        <v>44069</v>
      </c>
      <c r="N98" s="9">
        <v>-12.56</v>
      </c>
      <c r="O98" s="39">
        <v>-91.82</v>
      </c>
      <c r="P98" s="41">
        <f t="shared" si="0"/>
        <v>8.6600000000000108</v>
      </c>
      <c r="Q98" s="7">
        <v>1</v>
      </c>
      <c r="R98" s="7">
        <v>8.1</v>
      </c>
      <c r="S98" s="7"/>
      <c r="T98" s="7"/>
    </row>
    <row r="99" spans="1:20" s="5" customFormat="1" x14ac:dyDescent="0.35">
      <c r="A99" s="5" t="s">
        <v>20</v>
      </c>
      <c r="B99" s="6" t="s">
        <v>21</v>
      </c>
      <c r="C99" s="6" t="s">
        <v>22</v>
      </c>
      <c r="D99" s="6" t="s">
        <v>23</v>
      </c>
      <c r="E99" s="7">
        <v>67.966667000000001</v>
      </c>
      <c r="F99" s="7">
        <v>24.116667</v>
      </c>
      <c r="G99" s="7">
        <v>342</v>
      </c>
      <c r="I99" s="5" t="s">
        <v>574</v>
      </c>
      <c r="J99" s="6" t="s">
        <v>41</v>
      </c>
      <c r="K99" s="8">
        <v>44070</v>
      </c>
      <c r="L99" s="8">
        <v>44069</v>
      </c>
      <c r="M99" s="8">
        <v>44070</v>
      </c>
      <c r="N99" s="9">
        <v>-13.12</v>
      </c>
      <c r="O99" s="39">
        <v>-95.98</v>
      </c>
      <c r="P99" s="41">
        <f t="shared" si="0"/>
        <v>8.9799999999999898</v>
      </c>
      <c r="Q99" s="7">
        <v>1</v>
      </c>
      <c r="R99" s="7">
        <v>6.9</v>
      </c>
      <c r="S99" s="7"/>
      <c r="T99" s="7"/>
    </row>
    <row r="100" spans="1:20" s="5" customFormat="1" x14ac:dyDescent="0.35">
      <c r="A100" s="5" t="s">
        <v>20</v>
      </c>
      <c r="B100" s="6" t="s">
        <v>21</v>
      </c>
      <c r="C100" s="6" t="s">
        <v>22</v>
      </c>
      <c r="D100" s="6" t="s">
        <v>23</v>
      </c>
      <c r="E100" s="7">
        <v>67.966667000000001</v>
      </c>
      <c r="F100" s="7">
        <v>24.116667</v>
      </c>
      <c r="G100" s="7">
        <v>342</v>
      </c>
      <c r="I100" s="5" t="s">
        <v>36</v>
      </c>
      <c r="J100" s="6" t="s">
        <v>41</v>
      </c>
      <c r="K100" s="8">
        <v>44071</v>
      </c>
      <c r="L100" s="8">
        <v>44070</v>
      </c>
      <c r="M100" s="8">
        <v>44071</v>
      </c>
      <c r="N100" s="9">
        <v>-8.0554900350348131</v>
      </c>
      <c r="O100" s="41">
        <v>-61.544841593174851</v>
      </c>
      <c r="P100" s="41">
        <f t="shared" si="0"/>
        <v>2.8990786871036534</v>
      </c>
      <c r="Q100" s="7">
        <v>1</v>
      </c>
      <c r="R100" s="7">
        <v>7</v>
      </c>
      <c r="S100" s="7"/>
      <c r="T100" s="7"/>
    </row>
    <row r="101" spans="1:20" s="5" customFormat="1" x14ac:dyDescent="0.35">
      <c r="A101" s="5" t="s">
        <v>20</v>
      </c>
      <c r="B101" s="6" t="s">
        <v>21</v>
      </c>
      <c r="C101" s="6" t="s">
        <v>22</v>
      </c>
      <c r="D101" s="6" t="s">
        <v>23</v>
      </c>
      <c r="E101" s="7">
        <v>67.966667000000001</v>
      </c>
      <c r="F101" s="7">
        <v>24.116667</v>
      </c>
      <c r="G101" s="7">
        <v>342</v>
      </c>
      <c r="I101" s="5" t="s">
        <v>574</v>
      </c>
      <c r="J101" s="6" t="s">
        <v>41</v>
      </c>
      <c r="K101" s="8">
        <v>44074</v>
      </c>
      <c r="L101" s="8">
        <v>44071</v>
      </c>
      <c r="M101" s="8">
        <v>44074</v>
      </c>
      <c r="N101" s="9">
        <v>-10.89</v>
      </c>
      <c r="O101" s="39">
        <v>-71.989999999999995</v>
      </c>
      <c r="P101" s="41">
        <f t="shared" si="0"/>
        <v>15.13000000000001</v>
      </c>
      <c r="Q101" s="7">
        <v>0.6</v>
      </c>
      <c r="R101" s="7">
        <v>9.1</v>
      </c>
      <c r="S101" s="7"/>
      <c r="T101" s="7"/>
    </row>
    <row r="102" spans="1:20" s="5" customFormat="1" x14ac:dyDescent="0.35">
      <c r="A102" s="5" t="s">
        <v>20</v>
      </c>
      <c r="B102" s="6" t="s">
        <v>21</v>
      </c>
      <c r="C102" s="6" t="s">
        <v>22</v>
      </c>
      <c r="D102" s="6" t="s">
        <v>23</v>
      </c>
      <c r="E102" s="7">
        <v>67.966667000000001</v>
      </c>
      <c r="F102" s="7">
        <v>24.116667</v>
      </c>
      <c r="G102" s="7">
        <v>342</v>
      </c>
      <c r="I102" s="5" t="s">
        <v>574</v>
      </c>
      <c r="J102" s="6" t="s">
        <v>41</v>
      </c>
      <c r="K102" s="8">
        <v>44082</v>
      </c>
      <c r="L102" s="8">
        <v>44074</v>
      </c>
      <c r="M102" s="8">
        <v>44082</v>
      </c>
      <c r="N102" s="9">
        <v>-11.07</v>
      </c>
      <c r="O102" s="39">
        <v>-79.64</v>
      </c>
      <c r="P102" s="41">
        <f t="shared" si="0"/>
        <v>8.9200000000000017</v>
      </c>
      <c r="Q102" s="7">
        <v>0.7</v>
      </c>
      <c r="R102" s="7">
        <v>8.6</v>
      </c>
      <c r="S102" s="7"/>
      <c r="T102" s="7"/>
    </row>
    <row r="103" spans="1:20" s="5" customFormat="1" x14ac:dyDescent="0.35">
      <c r="A103" s="5" t="s">
        <v>20</v>
      </c>
      <c r="B103" s="6" t="s">
        <v>21</v>
      </c>
      <c r="C103" s="6" t="s">
        <v>22</v>
      </c>
      <c r="D103" s="6" t="s">
        <v>23</v>
      </c>
      <c r="E103" s="7">
        <v>67.966667000000001</v>
      </c>
      <c r="F103" s="7">
        <v>24.116667</v>
      </c>
      <c r="G103" s="7">
        <v>342</v>
      </c>
      <c r="I103" s="5" t="s">
        <v>574</v>
      </c>
      <c r="J103" s="6" t="s">
        <v>41</v>
      </c>
      <c r="K103" s="8">
        <v>44083</v>
      </c>
      <c r="L103" s="8">
        <v>44082</v>
      </c>
      <c r="M103" s="8">
        <v>44083</v>
      </c>
      <c r="N103" s="9">
        <v>-11.14</v>
      </c>
      <c r="O103" s="39">
        <v>-85.37</v>
      </c>
      <c r="P103" s="41">
        <f t="shared" si="0"/>
        <v>3.75</v>
      </c>
      <c r="Q103" s="7">
        <v>0.3</v>
      </c>
      <c r="R103" s="7">
        <v>8</v>
      </c>
      <c r="S103" s="7"/>
      <c r="T103" s="7"/>
    </row>
    <row r="104" spans="1:20" s="5" customFormat="1" x14ac:dyDescent="0.35">
      <c r="A104" s="5" t="s">
        <v>20</v>
      </c>
      <c r="B104" s="6" t="s">
        <v>21</v>
      </c>
      <c r="C104" s="6" t="s">
        <v>22</v>
      </c>
      <c r="D104" s="6" t="s">
        <v>23</v>
      </c>
      <c r="E104" s="7">
        <v>67.966667000000001</v>
      </c>
      <c r="F104" s="7">
        <v>24.116667</v>
      </c>
      <c r="G104" s="7">
        <v>342</v>
      </c>
      <c r="I104" s="5" t="s">
        <v>574</v>
      </c>
      <c r="J104" s="6" t="s">
        <v>41</v>
      </c>
      <c r="K104" s="8">
        <v>44084</v>
      </c>
      <c r="L104" s="8">
        <v>44083</v>
      </c>
      <c r="M104" s="8">
        <v>44084</v>
      </c>
      <c r="N104" s="9">
        <v>-9.86</v>
      </c>
      <c r="O104" s="39">
        <v>-77.53</v>
      </c>
      <c r="P104" s="41">
        <f t="shared" si="0"/>
        <v>1.3499999999999943</v>
      </c>
      <c r="Q104" s="7">
        <v>1</v>
      </c>
      <c r="R104" s="7">
        <v>6.3</v>
      </c>
      <c r="S104" s="7"/>
      <c r="T104" s="7"/>
    </row>
    <row r="105" spans="1:20" s="5" customFormat="1" x14ac:dyDescent="0.35">
      <c r="A105" s="5" t="s">
        <v>20</v>
      </c>
      <c r="B105" s="6" t="s">
        <v>21</v>
      </c>
      <c r="C105" s="6" t="s">
        <v>22</v>
      </c>
      <c r="D105" s="6" t="s">
        <v>23</v>
      </c>
      <c r="E105" s="7">
        <v>67.966667000000001</v>
      </c>
      <c r="F105" s="7">
        <v>24.116667</v>
      </c>
      <c r="G105" s="7">
        <v>342</v>
      </c>
      <c r="I105" s="5" t="s">
        <v>574</v>
      </c>
      <c r="J105" s="6" t="s">
        <v>41</v>
      </c>
      <c r="K105" s="8">
        <v>44089</v>
      </c>
      <c r="L105" s="8">
        <v>44084</v>
      </c>
      <c r="M105" s="8">
        <v>44089</v>
      </c>
      <c r="N105" s="9">
        <v>-13.26</v>
      </c>
      <c r="O105" s="39">
        <v>-96.8</v>
      </c>
      <c r="P105" s="41">
        <f t="shared" si="0"/>
        <v>9.2800000000000011</v>
      </c>
      <c r="Q105" s="12">
        <v>3.6</v>
      </c>
      <c r="R105" s="12">
        <v>6.8</v>
      </c>
      <c r="S105" s="7"/>
      <c r="T105" s="7"/>
    </row>
    <row r="106" spans="1:20" s="5" customFormat="1" ht="14.25" customHeight="1" x14ac:dyDescent="0.35">
      <c r="A106" s="5" t="s">
        <v>20</v>
      </c>
      <c r="B106" s="6" t="s">
        <v>21</v>
      </c>
      <c r="C106" s="6" t="s">
        <v>22</v>
      </c>
      <c r="D106" s="6" t="s">
        <v>23</v>
      </c>
      <c r="E106" s="7">
        <v>67.966667000000001</v>
      </c>
      <c r="F106" s="7">
        <v>24.116667</v>
      </c>
      <c r="G106" s="7">
        <v>342</v>
      </c>
      <c r="I106" s="5" t="s">
        <v>37</v>
      </c>
      <c r="J106" s="6" t="s">
        <v>41</v>
      </c>
      <c r="K106" s="8">
        <v>44096</v>
      </c>
      <c r="L106" s="8">
        <v>44089</v>
      </c>
      <c r="M106" s="8">
        <v>44096</v>
      </c>
      <c r="N106" s="9">
        <v>-16.493553866059877</v>
      </c>
      <c r="O106" s="41">
        <v>-123.83307967824798</v>
      </c>
      <c r="P106" s="41">
        <f t="shared" si="0"/>
        <v>8.1153512502310292</v>
      </c>
      <c r="Q106" s="7">
        <v>15</v>
      </c>
      <c r="R106" s="5">
        <v>5.3</v>
      </c>
      <c r="S106" s="7"/>
      <c r="T106" s="7"/>
    </row>
    <row r="107" spans="1:20" s="5" customFormat="1" ht="14.25" customHeight="1" x14ac:dyDescent="0.35">
      <c r="A107" s="5" t="s">
        <v>20</v>
      </c>
      <c r="B107" s="6" t="s">
        <v>21</v>
      </c>
      <c r="C107" s="6" t="s">
        <v>22</v>
      </c>
      <c r="D107" s="6" t="s">
        <v>23</v>
      </c>
      <c r="E107" s="7">
        <v>67.966667000000001</v>
      </c>
      <c r="F107" s="7">
        <v>24.116667</v>
      </c>
      <c r="G107" s="7">
        <v>342</v>
      </c>
      <c r="I107" s="5" t="s">
        <v>38</v>
      </c>
      <c r="J107" s="6" t="s">
        <v>41</v>
      </c>
      <c r="K107" s="8">
        <v>44099</v>
      </c>
      <c r="L107" s="8">
        <v>44096</v>
      </c>
      <c r="M107" s="8">
        <v>44099</v>
      </c>
      <c r="N107" s="9">
        <v>-7.6249672600722809</v>
      </c>
      <c r="O107" s="41">
        <v>-49.729390624811586</v>
      </c>
      <c r="P107" s="41">
        <f t="shared" si="0"/>
        <v>11.270347455766661</v>
      </c>
      <c r="Q107" s="7">
        <v>0.9</v>
      </c>
      <c r="R107" s="5">
        <v>8.3000000000000007</v>
      </c>
      <c r="S107" s="7"/>
      <c r="T107" s="7"/>
    </row>
    <row r="108" spans="1:20" s="5" customFormat="1" ht="14.25" customHeight="1" x14ac:dyDescent="0.35">
      <c r="A108" s="5" t="s">
        <v>20</v>
      </c>
      <c r="B108" s="6" t="s">
        <v>21</v>
      </c>
      <c r="C108" s="6" t="s">
        <v>22</v>
      </c>
      <c r="D108" s="6" t="s">
        <v>23</v>
      </c>
      <c r="E108" s="7">
        <v>67.966667000000001</v>
      </c>
      <c r="F108" s="7">
        <v>24.116667</v>
      </c>
      <c r="G108" s="7">
        <v>342</v>
      </c>
      <c r="I108" s="5" t="s">
        <v>39</v>
      </c>
      <c r="J108" s="6" t="s">
        <v>41</v>
      </c>
      <c r="K108" s="8">
        <v>44103</v>
      </c>
      <c r="L108" s="8">
        <v>44099</v>
      </c>
      <c r="M108" s="8">
        <v>44103</v>
      </c>
      <c r="N108" s="9">
        <v>-10.474012082273683</v>
      </c>
      <c r="O108" s="41">
        <v>-69.634324236321334</v>
      </c>
      <c r="P108" s="41">
        <f t="shared" si="0"/>
        <v>14.157772421868131</v>
      </c>
      <c r="Q108" s="7">
        <v>1.2</v>
      </c>
      <c r="R108" s="7">
        <v>7.2</v>
      </c>
      <c r="S108" s="7"/>
      <c r="T108" s="7"/>
    </row>
    <row r="109" spans="1:20" s="5" customFormat="1" ht="14.25" customHeight="1" x14ac:dyDescent="0.35">
      <c r="A109" s="5" t="s">
        <v>20</v>
      </c>
      <c r="B109" s="6" t="s">
        <v>21</v>
      </c>
      <c r="C109" s="6" t="s">
        <v>40</v>
      </c>
      <c r="D109" s="6" t="s">
        <v>23</v>
      </c>
      <c r="E109" s="7">
        <v>66.37</v>
      </c>
      <c r="F109" s="7">
        <v>29.32</v>
      </c>
      <c r="G109" s="7">
        <v>222</v>
      </c>
      <c r="I109" s="5" t="s">
        <v>42</v>
      </c>
      <c r="J109" s="6" t="s">
        <v>41</v>
      </c>
      <c r="K109" s="8">
        <v>43794</v>
      </c>
      <c r="L109" s="8"/>
      <c r="M109" s="8"/>
      <c r="N109" s="7">
        <v>-15.25</v>
      </c>
      <c r="O109" s="35">
        <v>-106.19</v>
      </c>
      <c r="P109" s="35">
        <f t="shared" ref="P109:P172" si="1">O109-(8*N109)</f>
        <v>15.810000000000002</v>
      </c>
      <c r="Q109" s="5">
        <v>0.1</v>
      </c>
      <c r="R109" s="7">
        <v>-0.82500000000000007</v>
      </c>
      <c r="S109" s="7"/>
      <c r="T109" s="7">
        <v>93.458333333333329</v>
      </c>
    </row>
    <row r="110" spans="1:20" s="5" customFormat="1" ht="14.25" customHeight="1" x14ac:dyDescent="0.35">
      <c r="A110" s="5" t="s">
        <v>20</v>
      </c>
      <c r="B110" s="6" t="s">
        <v>21</v>
      </c>
      <c r="C110" s="6" t="s">
        <v>40</v>
      </c>
      <c r="D110" s="6" t="s">
        <v>23</v>
      </c>
      <c r="E110" s="7">
        <v>66.37</v>
      </c>
      <c r="F110" s="7">
        <v>29.32</v>
      </c>
      <c r="G110" s="7">
        <v>222</v>
      </c>
      <c r="I110" s="5" t="s">
        <v>43</v>
      </c>
      <c r="J110" s="6" t="s">
        <v>41</v>
      </c>
      <c r="K110" s="8">
        <v>43796</v>
      </c>
      <c r="L110" s="8"/>
      <c r="M110" s="8"/>
      <c r="N110" s="7">
        <v>-13.26</v>
      </c>
      <c r="O110" s="35">
        <v>-99.6</v>
      </c>
      <c r="P110" s="35">
        <f t="shared" si="1"/>
        <v>6.480000000000004</v>
      </c>
      <c r="Q110" s="5">
        <v>0.5</v>
      </c>
      <c r="R110" s="7">
        <v>-15.22083333333333</v>
      </c>
      <c r="S110" s="7"/>
      <c r="T110" s="7">
        <v>87.125</v>
      </c>
    </row>
    <row r="111" spans="1:20" s="5" customFormat="1" ht="14.25" customHeight="1" x14ac:dyDescent="0.35">
      <c r="A111" s="5" t="s">
        <v>20</v>
      </c>
      <c r="B111" s="6" t="s">
        <v>21</v>
      </c>
      <c r="C111" s="6" t="s">
        <v>40</v>
      </c>
      <c r="D111" s="6" t="s">
        <v>23</v>
      </c>
      <c r="E111" s="7">
        <v>66.37</v>
      </c>
      <c r="F111" s="7">
        <v>29.32</v>
      </c>
      <c r="G111" s="7">
        <v>222</v>
      </c>
      <c r="I111" s="5" t="s">
        <v>44</v>
      </c>
      <c r="J111" s="6" t="s">
        <v>41</v>
      </c>
      <c r="K111" s="8">
        <v>43796</v>
      </c>
      <c r="L111" s="8"/>
      <c r="M111" s="8"/>
      <c r="N111" s="7">
        <v>-9.36</v>
      </c>
      <c r="O111" s="35">
        <v>-67.41</v>
      </c>
      <c r="P111" s="35">
        <f t="shared" si="1"/>
        <v>7.4699999999999989</v>
      </c>
      <c r="Q111" s="5">
        <v>0.5</v>
      </c>
      <c r="R111" s="7">
        <v>-15.22083333333333</v>
      </c>
      <c r="S111" s="7"/>
      <c r="T111" s="7">
        <v>87.125</v>
      </c>
    </row>
    <row r="112" spans="1:20" s="5" customFormat="1" ht="14.25" customHeight="1" x14ac:dyDescent="0.35">
      <c r="A112" s="5" t="s">
        <v>20</v>
      </c>
      <c r="B112" s="6" t="s">
        <v>21</v>
      </c>
      <c r="C112" s="6" t="s">
        <v>40</v>
      </c>
      <c r="D112" s="6" t="s">
        <v>23</v>
      </c>
      <c r="E112" s="7">
        <v>66.37</v>
      </c>
      <c r="F112" s="7">
        <v>29.32</v>
      </c>
      <c r="G112" s="7">
        <v>222</v>
      </c>
      <c r="I112" s="5" t="s">
        <v>45</v>
      </c>
      <c r="J112" s="6" t="s">
        <v>41</v>
      </c>
      <c r="K112" s="8">
        <v>43797</v>
      </c>
      <c r="L112" s="8"/>
      <c r="M112" s="8"/>
      <c r="N112" s="7">
        <v>-12.6</v>
      </c>
      <c r="O112" s="35">
        <v>-93.84</v>
      </c>
      <c r="P112" s="35">
        <f t="shared" si="1"/>
        <v>6.9599999999999937</v>
      </c>
      <c r="Q112" s="5">
        <v>11.2</v>
      </c>
      <c r="R112" s="7">
        <v>-12.383333333333335</v>
      </c>
      <c r="S112" s="7"/>
      <c r="T112" s="7">
        <v>89.208333333333329</v>
      </c>
    </row>
    <row r="113" spans="1:20" s="5" customFormat="1" ht="14.25" customHeight="1" x14ac:dyDescent="0.35">
      <c r="A113" s="5" t="s">
        <v>20</v>
      </c>
      <c r="B113" s="6" t="s">
        <v>21</v>
      </c>
      <c r="C113" s="6" t="s">
        <v>40</v>
      </c>
      <c r="D113" s="6" t="s">
        <v>23</v>
      </c>
      <c r="E113" s="7">
        <v>66.37</v>
      </c>
      <c r="F113" s="7">
        <v>29.32</v>
      </c>
      <c r="G113" s="7">
        <v>222</v>
      </c>
      <c r="I113" s="5" t="s">
        <v>46</v>
      </c>
      <c r="J113" s="6" t="s">
        <v>41</v>
      </c>
      <c r="K113" s="8">
        <v>43798</v>
      </c>
      <c r="L113" s="8"/>
      <c r="M113" s="8"/>
      <c r="N113" s="7">
        <v>-23.13</v>
      </c>
      <c r="O113" s="35">
        <v>-173.79</v>
      </c>
      <c r="P113" s="35">
        <f t="shared" si="1"/>
        <v>11.25</v>
      </c>
      <c r="Q113" s="5">
        <v>2.6</v>
      </c>
      <c r="R113" s="7">
        <v>-4.6499999999999995</v>
      </c>
      <c r="S113" s="7"/>
      <c r="T113" s="7">
        <v>93.75</v>
      </c>
    </row>
    <row r="114" spans="1:20" s="5" customFormat="1" ht="14.25" customHeight="1" x14ac:dyDescent="0.35">
      <c r="A114" s="5" t="s">
        <v>20</v>
      </c>
      <c r="B114" s="6" t="s">
        <v>21</v>
      </c>
      <c r="C114" s="6" t="s">
        <v>40</v>
      </c>
      <c r="D114" s="6" t="s">
        <v>23</v>
      </c>
      <c r="E114" s="7">
        <v>66.37</v>
      </c>
      <c r="F114" s="7">
        <v>29.32</v>
      </c>
      <c r="G114" s="7">
        <v>222</v>
      </c>
      <c r="I114" s="5" t="s">
        <v>47</v>
      </c>
      <c r="J114" s="6" t="s">
        <v>41</v>
      </c>
      <c r="K114" s="8">
        <v>43801</v>
      </c>
      <c r="L114" s="8"/>
      <c r="M114" s="8"/>
      <c r="N114" s="7">
        <v>-21.48</v>
      </c>
      <c r="O114" s="35">
        <v>-161.51</v>
      </c>
      <c r="P114" s="35">
        <f t="shared" si="1"/>
        <v>10.330000000000013</v>
      </c>
      <c r="Q114" s="5">
        <v>1.2</v>
      </c>
      <c r="R114" s="7">
        <v>-5.0750000000000011</v>
      </c>
      <c r="S114" s="7"/>
      <c r="T114" s="7">
        <v>88.958333333333329</v>
      </c>
    </row>
    <row r="115" spans="1:20" s="5" customFormat="1" ht="14.25" customHeight="1" x14ac:dyDescent="0.35">
      <c r="A115" s="5" t="s">
        <v>20</v>
      </c>
      <c r="B115" s="6" t="s">
        <v>21</v>
      </c>
      <c r="C115" s="6" t="s">
        <v>40</v>
      </c>
      <c r="D115" s="6" t="s">
        <v>23</v>
      </c>
      <c r="E115" s="7">
        <v>66.37</v>
      </c>
      <c r="F115" s="7">
        <v>29.32</v>
      </c>
      <c r="G115" s="7">
        <v>222</v>
      </c>
      <c r="I115" s="5" t="s">
        <v>48</v>
      </c>
      <c r="J115" s="6" t="s">
        <v>41</v>
      </c>
      <c r="K115" s="8">
        <v>43802</v>
      </c>
      <c r="L115" s="8"/>
      <c r="M115" s="8"/>
      <c r="N115" s="7">
        <v>-21.4</v>
      </c>
      <c r="O115" s="35">
        <v>-163.13</v>
      </c>
      <c r="P115" s="35">
        <f t="shared" si="1"/>
        <v>8.0699999999999932</v>
      </c>
      <c r="Q115" s="5">
        <v>2</v>
      </c>
      <c r="R115" s="7">
        <v>-8.6</v>
      </c>
      <c r="S115" s="7"/>
      <c r="T115" s="7">
        <v>89.375</v>
      </c>
    </row>
    <row r="116" spans="1:20" s="5" customFormat="1" ht="14.25" customHeight="1" x14ac:dyDescent="0.35">
      <c r="A116" s="5" t="s">
        <v>20</v>
      </c>
      <c r="B116" s="6" t="s">
        <v>21</v>
      </c>
      <c r="C116" s="6" t="s">
        <v>40</v>
      </c>
      <c r="D116" s="6" t="s">
        <v>23</v>
      </c>
      <c r="E116" s="7">
        <v>66.37</v>
      </c>
      <c r="F116" s="7">
        <v>29.32</v>
      </c>
      <c r="G116" s="7">
        <v>222</v>
      </c>
      <c r="I116" s="5" t="s">
        <v>49</v>
      </c>
      <c r="J116" s="6" t="s">
        <v>41</v>
      </c>
      <c r="K116" s="8">
        <v>43803</v>
      </c>
      <c r="L116" s="8"/>
      <c r="M116" s="8"/>
      <c r="N116" s="7">
        <v>-22.48</v>
      </c>
      <c r="O116" s="35">
        <v>-169.27</v>
      </c>
      <c r="P116" s="35">
        <f t="shared" si="1"/>
        <v>10.569999999999993</v>
      </c>
      <c r="Q116" s="5">
        <v>6.1</v>
      </c>
      <c r="R116" s="7">
        <v>-6.1416666666666684</v>
      </c>
      <c r="S116" s="7"/>
      <c r="T116" s="7">
        <v>94.958333333333329</v>
      </c>
    </row>
    <row r="117" spans="1:20" s="5" customFormat="1" ht="14.25" customHeight="1" x14ac:dyDescent="0.35">
      <c r="A117" s="5" t="s">
        <v>20</v>
      </c>
      <c r="B117" s="6" t="s">
        <v>21</v>
      </c>
      <c r="C117" s="6" t="s">
        <v>40</v>
      </c>
      <c r="D117" s="6" t="s">
        <v>23</v>
      </c>
      <c r="E117" s="7">
        <v>66.37</v>
      </c>
      <c r="F117" s="7">
        <v>29.32</v>
      </c>
      <c r="G117" s="7">
        <v>222</v>
      </c>
      <c r="I117" s="5" t="s">
        <v>50</v>
      </c>
      <c r="J117" s="6" t="s">
        <v>41</v>
      </c>
      <c r="K117" s="8">
        <v>43804</v>
      </c>
      <c r="L117" s="8"/>
      <c r="M117" s="8"/>
      <c r="N117" s="7">
        <v>-16.14</v>
      </c>
      <c r="O117" s="35">
        <v>-120.68</v>
      </c>
      <c r="P117" s="35">
        <f t="shared" si="1"/>
        <v>8.4399999999999977</v>
      </c>
      <c r="Q117" s="5">
        <v>1.3</v>
      </c>
      <c r="R117" s="7">
        <v>0.92083333333333328</v>
      </c>
      <c r="S117" s="7"/>
      <c r="T117" s="7">
        <v>94.25</v>
      </c>
    </row>
    <row r="118" spans="1:20" s="5" customFormat="1" ht="14.25" customHeight="1" x14ac:dyDescent="0.35">
      <c r="A118" s="5" t="s">
        <v>20</v>
      </c>
      <c r="B118" s="6" t="s">
        <v>21</v>
      </c>
      <c r="C118" s="6" t="s">
        <v>40</v>
      </c>
      <c r="D118" s="6" t="s">
        <v>23</v>
      </c>
      <c r="E118" s="7">
        <v>66.37</v>
      </c>
      <c r="F118" s="7">
        <v>29.32</v>
      </c>
      <c r="G118" s="7">
        <v>222</v>
      </c>
      <c r="I118" s="5" t="s">
        <v>51</v>
      </c>
      <c r="J118" s="6" t="s">
        <v>41</v>
      </c>
      <c r="K118" s="8">
        <v>43808</v>
      </c>
      <c r="L118" s="8">
        <v>43804</v>
      </c>
      <c r="M118" s="8">
        <v>43808</v>
      </c>
      <c r="N118" s="7">
        <v>-11.95</v>
      </c>
      <c r="O118" s="35">
        <v>-83.03</v>
      </c>
      <c r="P118" s="35">
        <f t="shared" si="1"/>
        <v>12.569999999999993</v>
      </c>
      <c r="Q118" s="5">
        <v>0.1</v>
      </c>
      <c r="R118" s="7">
        <v>-5.958333333333333</v>
      </c>
      <c r="S118" s="7"/>
      <c r="T118" s="7">
        <v>92.333333333333329</v>
      </c>
    </row>
    <row r="119" spans="1:20" s="5" customFormat="1" ht="14.25" customHeight="1" x14ac:dyDescent="0.35">
      <c r="A119" s="5" t="s">
        <v>20</v>
      </c>
      <c r="B119" s="6" t="s">
        <v>21</v>
      </c>
      <c r="C119" s="6" t="s">
        <v>40</v>
      </c>
      <c r="D119" s="6" t="s">
        <v>23</v>
      </c>
      <c r="E119" s="7">
        <v>66.37</v>
      </c>
      <c r="F119" s="7">
        <v>29.32</v>
      </c>
      <c r="G119" s="7">
        <v>222</v>
      </c>
      <c r="I119" s="5" t="s">
        <v>52</v>
      </c>
      <c r="J119" s="6" t="s">
        <v>41</v>
      </c>
      <c r="K119" s="8">
        <v>43809</v>
      </c>
      <c r="L119" s="8"/>
      <c r="M119" s="8"/>
      <c r="N119" s="7">
        <v>-26.51</v>
      </c>
      <c r="O119" s="35">
        <v>-202.86</v>
      </c>
      <c r="P119" s="35">
        <f t="shared" si="1"/>
        <v>9.2199999999999989</v>
      </c>
      <c r="Q119" s="5">
        <v>2.2000000000000002</v>
      </c>
      <c r="R119" s="7">
        <v>-15.170833333333333</v>
      </c>
      <c r="S119" s="7"/>
      <c r="T119" s="7">
        <v>85.208333333333329</v>
      </c>
    </row>
    <row r="120" spans="1:20" s="5" customFormat="1" ht="14.25" customHeight="1" x14ac:dyDescent="0.35">
      <c r="A120" s="5" t="s">
        <v>20</v>
      </c>
      <c r="B120" s="6" t="s">
        <v>21</v>
      </c>
      <c r="C120" s="6" t="s">
        <v>40</v>
      </c>
      <c r="D120" s="6" t="s">
        <v>23</v>
      </c>
      <c r="E120" s="7">
        <v>66.37</v>
      </c>
      <c r="F120" s="7">
        <v>29.32</v>
      </c>
      <c r="G120" s="7">
        <v>222</v>
      </c>
      <c r="I120" s="5" t="s">
        <v>53</v>
      </c>
      <c r="J120" s="6" t="s">
        <v>41</v>
      </c>
      <c r="K120" s="8">
        <v>43811</v>
      </c>
      <c r="L120" s="8"/>
      <c r="M120" s="8"/>
      <c r="N120" s="7">
        <v>-20.04</v>
      </c>
      <c r="O120" s="35">
        <v>-152.4</v>
      </c>
      <c r="P120" s="35">
        <f t="shared" si="1"/>
        <v>7.9199999999999875</v>
      </c>
      <c r="Q120" s="5">
        <v>0.4</v>
      </c>
      <c r="R120" s="7">
        <v>0.89583333333333315</v>
      </c>
      <c r="S120" s="7"/>
      <c r="T120" s="7">
        <v>92.041666666666671</v>
      </c>
    </row>
    <row r="121" spans="1:20" s="5" customFormat="1" ht="14.25" customHeight="1" x14ac:dyDescent="0.35">
      <c r="A121" s="5" t="s">
        <v>20</v>
      </c>
      <c r="B121" s="6" t="s">
        <v>21</v>
      </c>
      <c r="C121" s="6" t="s">
        <v>40</v>
      </c>
      <c r="D121" s="6" t="s">
        <v>23</v>
      </c>
      <c r="E121" s="7">
        <v>66.37</v>
      </c>
      <c r="F121" s="7">
        <v>29.32</v>
      </c>
      <c r="G121" s="7">
        <v>222</v>
      </c>
      <c r="I121" s="5" t="s">
        <v>54</v>
      </c>
      <c r="J121" s="6" t="s">
        <v>41</v>
      </c>
      <c r="K121" s="8">
        <v>43812</v>
      </c>
      <c r="L121" s="8"/>
      <c r="M121" s="8"/>
      <c r="N121" s="7">
        <v>-15.88</v>
      </c>
      <c r="O121" s="35">
        <v>-115.96</v>
      </c>
      <c r="P121" s="35">
        <f t="shared" si="1"/>
        <v>11.080000000000013</v>
      </c>
      <c r="Q121" s="5">
        <v>0.5</v>
      </c>
      <c r="R121" s="7">
        <v>-0.71666666666666679</v>
      </c>
      <c r="S121" s="7"/>
      <c r="T121" s="7">
        <v>90.375</v>
      </c>
    </row>
    <row r="122" spans="1:20" s="5" customFormat="1" ht="14.25" customHeight="1" x14ac:dyDescent="0.35">
      <c r="A122" s="5" t="s">
        <v>20</v>
      </c>
      <c r="B122" s="6" t="s">
        <v>21</v>
      </c>
      <c r="C122" s="6" t="s">
        <v>40</v>
      </c>
      <c r="D122" s="6" t="s">
        <v>23</v>
      </c>
      <c r="E122" s="7">
        <v>66.37</v>
      </c>
      <c r="F122" s="7">
        <v>29.32</v>
      </c>
      <c r="G122" s="7">
        <v>222</v>
      </c>
      <c r="I122" s="5" t="s">
        <v>55</v>
      </c>
      <c r="J122" s="6" t="s">
        <v>41</v>
      </c>
      <c r="K122" s="8">
        <v>43815</v>
      </c>
      <c r="L122" s="8">
        <v>43812</v>
      </c>
      <c r="M122" s="8">
        <v>43815</v>
      </c>
      <c r="N122" s="7">
        <v>-16.78</v>
      </c>
      <c r="O122" s="35">
        <v>-119.01</v>
      </c>
      <c r="P122" s="35">
        <f t="shared" si="1"/>
        <v>15.230000000000004</v>
      </c>
      <c r="Q122" s="5">
        <v>11.9</v>
      </c>
      <c r="R122" s="7">
        <v>-2.2374999999999998</v>
      </c>
      <c r="S122" s="7"/>
      <c r="T122" s="7">
        <v>97.541666666666671</v>
      </c>
    </row>
    <row r="123" spans="1:20" s="5" customFormat="1" ht="14.25" customHeight="1" x14ac:dyDescent="0.35">
      <c r="A123" s="5" t="s">
        <v>20</v>
      </c>
      <c r="B123" s="6" t="s">
        <v>21</v>
      </c>
      <c r="C123" s="6" t="s">
        <v>40</v>
      </c>
      <c r="D123" s="6" t="s">
        <v>23</v>
      </c>
      <c r="E123" s="7">
        <v>66.37</v>
      </c>
      <c r="F123" s="7">
        <v>29.32</v>
      </c>
      <c r="G123" s="7">
        <v>222</v>
      </c>
      <c r="I123" s="5" t="s">
        <v>56</v>
      </c>
      <c r="J123" s="6" t="s">
        <v>41</v>
      </c>
      <c r="K123" s="8">
        <v>43816</v>
      </c>
      <c r="L123" s="8"/>
      <c r="M123" s="8"/>
      <c r="N123" s="7">
        <v>-26.74</v>
      </c>
      <c r="O123" s="35">
        <v>-199.28</v>
      </c>
      <c r="P123" s="35">
        <f t="shared" si="1"/>
        <v>14.639999999999986</v>
      </c>
      <c r="Q123" s="5">
        <v>0.1</v>
      </c>
      <c r="R123" s="7">
        <v>-2.6708333333333338</v>
      </c>
      <c r="S123" s="7"/>
      <c r="T123" s="7">
        <v>96.416666666666671</v>
      </c>
    </row>
    <row r="124" spans="1:20" s="5" customFormat="1" ht="14.25" customHeight="1" x14ac:dyDescent="0.35">
      <c r="A124" s="5" t="s">
        <v>20</v>
      </c>
      <c r="B124" s="6" t="s">
        <v>21</v>
      </c>
      <c r="C124" s="6" t="s">
        <v>40</v>
      </c>
      <c r="D124" s="6" t="s">
        <v>23</v>
      </c>
      <c r="E124" s="7">
        <v>66.37</v>
      </c>
      <c r="F124" s="7">
        <v>29.32</v>
      </c>
      <c r="G124" s="7">
        <v>222</v>
      </c>
      <c r="I124" s="5" t="s">
        <v>57</v>
      </c>
      <c r="J124" s="6" t="s">
        <v>41</v>
      </c>
      <c r="K124" s="8">
        <v>43822</v>
      </c>
      <c r="L124" s="8">
        <v>43819</v>
      </c>
      <c r="M124" s="8">
        <v>43822</v>
      </c>
      <c r="N124" s="7">
        <v>-18.36</v>
      </c>
      <c r="O124" s="35">
        <v>-134.93</v>
      </c>
      <c r="P124" s="35">
        <f t="shared" si="1"/>
        <v>11.949999999999989</v>
      </c>
      <c r="Q124" s="5">
        <v>3.8</v>
      </c>
      <c r="R124" s="7">
        <v>-1.3625000000000005</v>
      </c>
      <c r="S124" s="7"/>
      <c r="T124" s="7">
        <v>97.541666666666671</v>
      </c>
    </row>
    <row r="125" spans="1:20" s="5" customFormat="1" ht="14.25" customHeight="1" x14ac:dyDescent="0.35">
      <c r="A125" s="5" t="s">
        <v>20</v>
      </c>
      <c r="B125" s="6" t="s">
        <v>21</v>
      </c>
      <c r="C125" s="6" t="s">
        <v>40</v>
      </c>
      <c r="D125" s="6" t="s">
        <v>23</v>
      </c>
      <c r="E125" s="7">
        <v>66.37</v>
      </c>
      <c r="F125" s="7">
        <v>29.32</v>
      </c>
      <c r="G125" s="7">
        <v>222</v>
      </c>
      <c r="I125" s="5" t="s">
        <v>58</v>
      </c>
      <c r="J125" s="6" t="s">
        <v>41</v>
      </c>
      <c r="K125" s="8">
        <v>43826</v>
      </c>
      <c r="L125" s="8">
        <v>43822</v>
      </c>
      <c r="M125" s="8">
        <v>43826</v>
      </c>
      <c r="N125" s="7">
        <v>-16.28</v>
      </c>
      <c r="O125" s="35">
        <v>-120.4</v>
      </c>
      <c r="P125" s="35">
        <f t="shared" si="1"/>
        <v>9.8400000000000034</v>
      </c>
      <c r="Q125" s="5">
        <v>0.1</v>
      </c>
      <c r="R125" s="7">
        <v>-16.095833333333331</v>
      </c>
      <c r="S125" s="7"/>
      <c r="T125" s="7">
        <v>86.458333333333329</v>
      </c>
    </row>
    <row r="126" spans="1:20" s="5" customFormat="1" ht="14.25" customHeight="1" x14ac:dyDescent="0.35">
      <c r="A126" s="5" t="s">
        <v>20</v>
      </c>
      <c r="B126" s="6" t="s">
        <v>21</v>
      </c>
      <c r="C126" s="6" t="s">
        <v>40</v>
      </c>
      <c r="D126" s="6" t="s">
        <v>23</v>
      </c>
      <c r="E126" s="7">
        <v>66.37</v>
      </c>
      <c r="F126" s="7">
        <v>29.32</v>
      </c>
      <c r="G126" s="7">
        <v>222</v>
      </c>
      <c r="I126" s="5" t="s">
        <v>59</v>
      </c>
      <c r="J126" s="6" t="s">
        <v>41</v>
      </c>
      <c r="K126" s="8">
        <v>43829</v>
      </c>
      <c r="L126" s="8">
        <v>43826</v>
      </c>
      <c r="M126" s="8">
        <v>43829</v>
      </c>
      <c r="N126" s="7">
        <v>-23.52</v>
      </c>
      <c r="O126" s="35">
        <v>-179.79</v>
      </c>
      <c r="P126" s="35">
        <f t="shared" si="1"/>
        <v>8.3700000000000045</v>
      </c>
      <c r="Q126" s="5">
        <v>7.5</v>
      </c>
      <c r="R126" s="7">
        <v>0.16666666666666674</v>
      </c>
      <c r="S126" s="7"/>
      <c r="T126" s="7">
        <v>95.166666666666671</v>
      </c>
    </row>
    <row r="127" spans="1:20" s="5" customFormat="1" ht="14.25" customHeight="1" x14ac:dyDescent="0.35">
      <c r="A127" s="5" t="s">
        <v>20</v>
      </c>
      <c r="B127" s="6" t="s">
        <v>21</v>
      </c>
      <c r="C127" s="6" t="s">
        <v>40</v>
      </c>
      <c r="D127" s="6" t="s">
        <v>23</v>
      </c>
      <c r="E127" s="7">
        <v>66.37</v>
      </c>
      <c r="F127" s="7">
        <v>29.32</v>
      </c>
      <c r="G127" s="7">
        <v>222</v>
      </c>
      <c r="I127" s="5" t="s">
        <v>60</v>
      </c>
      <c r="J127" s="6" t="s">
        <v>41</v>
      </c>
      <c r="K127" s="8">
        <v>43830</v>
      </c>
      <c r="L127" s="8"/>
      <c r="M127" s="8"/>
      <c r="N127" s="7">
        <v>-19.170000000000002</v>
      </c>
      <c r="O127" s="35">
        <v>-145.18</v>
      </c>
      <c r="P127" s="35">
        <f t="shared" si="1"/>
        <v>8.1800000000000068</v>
      </c>
      <c r="Q127" s="5">
        <v>3.3</v>
      </c>
      <c r="R127" s="7">
        <v>-11.270833333333334</v>
      </c>
      <c r="S127" s="7"/>
      <c r="T127" s="7">
        <v>90.25</v>
      </c>
    </row>
    <row r="128" spans="1:20" s="5" customFormat="1" ht="14.25" customHeight="1" x14ac:dyDescent="0.35">
      <c r="A128" s="5" t="s">
        <v>20</v>
      </c>
      <c r="B128" s="6" t="s">
        <v>21</v>
      </c>
      <c r="C128" s="6" t="s">
        <v>40</v>
      </c>
      <c r="D128" s="6" t="s">
        <v>23</v>
      </c>
      <c r="E128" s="7">
        <v>66.37</v>
      </c>
      <c r="F128" s="7">
        <v>29.32</v>
      </c>
      <c r="G128" s="7">
        <v>222</v>
      </c>
      <c r="I128" s="5" t="s">
        <v>61</v>
      </c>
      <c r="J128" s="6" t="s">
        <v>41</v>
      </c>
      <c r="K128" s="8">
        <v>43832</v>
      </c>
      <c r="L128" s="8">
        <v>43830</v>
      </c>
      <c r="M128" s="8">
        <v>43832</v>
      </c>
      <c r="N128" s="7">
        <v>-15.72</v>
      </c>
      <c r="O128" s="35">
        <v>-117.51</v>
      </c>
      <c r="P128" s="35">
        <f t="shared" si="1"/>
        <v>8.25</v>
      </c>
      <c r="Q128" s="5">
        <v>0.4</v>
      </c>
      <c r="R128" s="7">
        <v>0.80833333333333313</v>
      </c>
      <c r="S128" s="7"/>
      <c r="T128" s="7">
        <v>92.875</v>
      </c>
    </row>
    <row r="129" spans="1:20" s="5" customFormat="1" ht="14.25" customHeight="1" x14ac:dyDescent="0.35">
      <c r="A129" s="5" t="s">
        <v>20</v>
      </c>
      <c r="B129" s="6" t="s">
        <v>21</v>
      </c>
      <c r="C129" s="6" t="s">
        <v>40</v>
      </c>
      <c r="D129" s="6" t="s">
        <v>23</v>
      </c>
      <c r="E129" s="7">
        <v>66.37</v>
      </c>
      <c r="F129" s="7">
        <v>29.32</v>
      </c>
      <c r="G129" s="7">
        <v>222</v>
      </c>
      <c r="I129" s="5" t="s">
        <v>62</v>
      </c>
      <c r="J129" s="6" t="s">
        <v>41</v>
      </c>
      <c r="K129" s="8">
        <v>43837</v>
      </c>
      <c r="L129" s="8">
        <v>43833</v>
      </c>
      <c r="M129" s="8">
        <v>43837</v>
      </c>
      <c r="N129" s="7">
        <v>-16.36</v>
      </c>
      <c r="O129" s="35">
        <v>-123.33</v>
      </c>
      <c r="P129" s="35">
        <f t="shared" si="1"/>
        <v>7.5499999999999972</v>
      </c>
      <c r="Q129" s="5">
        <v>0.9</v>
      </c>
      <c r="R129" s="7">
        <v>7.0833333333333096E-2</v>
      </c>
      <c r="S129" s="7"/>
      <c r="T129" s="7">
        <v>96.666666666666671</v>
      </c>
    </row>
    <row r="130" spans="1:20" s="5" customFormat="1" ht="14.25" customHeight="1" x14ac:dyDescent="0.35">
      <c r="A130" s="5" t="s">
        <v>20</v>
      </c>
      <c r="B130" s="6" t="s">
        <v>21</v>
      </c>
      <c r="C130" s="6" t="s">
        <v>40</v>
      </c>
      <c r="D130" s="6" t="s">
        <v>23</v>
      </c>
      <c r="E130" s="7">
        <v>66.37</v>
      </c>
      <c r="F130" s="7">
        <v>29.32</v>
      </c>
      <c r="G130" s="7">
        <v>222</v>
      </c>
      <c r="I130" s="5" t="s">
        <v>63</v>
      </c>
      <c r="J130" s="6" t="s">
        <v>41</v>
      </c>
      <c r="K130" s="8">
        <v>43843</v>
      </c>
      <c r="L130" s="8">
        <v>43840</v>
      </c>
      <c r="M130" s="8">
        <v>43843</v>
      </c>
      <c r="N130" s="7">
        <v>-14.03</v>
      </c>
      <c r="O130" s="35">
        <v>-104.69</v>
      </c>
      <c r="P130" s="35">
        <f t="shared" si="1"/>
        <v>7.5499999999999972</v>
      </c>
      <c r="Q130" s="5">
        <v>0.8</v>
      </c>
      <c r="R130" s="7">
        <v>-5.6749999999999998</v>
      </c>
      <c r="S130" s="7"/>
      <c r="T130" s="7">
        <v>92.583333333333329</v>
      </c>
    </row>
    <row r="131" spans="1:20" s="5" customFormat="1" ht="14.25" customHeight="1" x14ac:dyDescent="0.35">
      <c r="A131" s="5" t="s">
        <v>20</v>
      </c>
      <c r="B131" s="6" t="s">
        <v>21</v>
      </c>
      <c r="C131" s="6" t="s">
        <v>40</v>
      </c>
      <c r="D131" s="6" t="s">
        <v>23</v>
      </c>
      <c r="E131" s="7">
        <v>66.37</v>
      </c>
      <c r="F131" s="7">
        <v>29.32</v>
      </c>
      <c r="G131" s="7">
        <v>222</v>
      </c>
      <c r="I131" s="5" t="s">
        <v>64</v>
      </c>
      <c r="J131" s="6" t="s">
        <v>41</v>
      </c>
      <c r="K131" s="8">
        <v>43845</v>
      </c>
      <c r="L131" s="8"/>
      <c r="M131" s="8"/>
      <c r="N131" s="7">
        <v>-18.8</v>
      </c>
      <c r="O131" s="35">
        <v>-144.04</v>
      </c>
      <c r="P131" s="35">
        <f t="shared" si="1"/>
        <v>6.3600000000000136</v>
      </c>
      <c r="Q131" s="5">
        <v>1.5</v>
      </c>
      <c r="R131" s="7">
        <v>0.10833333333333323</v>
      </c>
      <c r="S131" s="7"/>
      <c r="T131" s="7">
        <v>95.791666666666671</v>
      </c>
    </row>
    <row r="132" spans="1:20" s="5" customFormat="1" ht="14.25" customHeight="1" x14ac:dyDescent="0.35">
      <c r="A132" s="5" t="s">
        <v>20</v>
      </c>
      <c r="B132" s="6" t="s">
        <v>21</v>
      </c>
      <c r="C132" s="6" t="s">
        <v>40</v>
      </c>
      <c r="D132" s="6" t="s">
        <v>23</v>
      </c>
      <c r="E132" s="7">
        <v>66.37</v>
      </c>
      <c r="F132" s="7">
        <v>29.32</v>
      </c>
      <c r="G132" s="7">
        <v>222</v>
      </c>
      <c r="I132" s="5" t="s">
        <v>65</v>
      </c>
      <c r="J132" s="6" t="s">
        <v>41</v>
      </c>
      <c r="K132" s="8">
        <v>43846</v>
      </c>
      <c r="L132" s="8">
        <v>43845</v>
      </c>
      <c r="M132" s="8">
        <v>43846</v>
      </c>
      <c r="N132" s="7">
        <v>-14.31</v>
      </c>
      <c r="O132" s="35">
        <v>-109.23</v>
      </c>
      <c r="P132" s="35">
        <f t="shared" si="1"/>
        <v>5.25</v>
      </c>
      <c r="Q132" s="5">
        <v>1.1000000000000001</v>
      </c>
      <c r="R132" s="7">
        <v>-5.7749999999999995</v>
      </c>
      <c r="S132" s="7"/>
      <c r="T132" s="7">
        <v>94.875</v>
      </c>
    </row>
    <row r="133" spans="1:20" s="5" customFormat="1" ht="14.25" customHeight="1" x14ac:dyDescent="0.35">
      <c r="A133" s="5" t="s">
        <v>20</v>
      </c>
      <c r="B133" s="6" t="s">
        <v>21</v>
      </c>
      <c r="C133" s="6" t="s">
        <v>40</v>
      </c>
      <c r="D133" s="6" t="s">
        <v>23</v>
      </c>
      <c r="E133" s="7">
        <v>66.37</v>
      </c>
      <c r="F133" s="7">
        <v>29.32</v>
      </c>
      <c r="G133" s="7">
        <v>222</v>
      </c>
      <c r="I133" s="5" t="s">
        <v>66</v>
      </c>
      <c r="J133" s="6" t="s">
        <v>41</v>
      </c>
      <c r="K133" s="8">
        <v>43847</v>
      </c>
      <c r="L133" s="8"/>
      <c r="M133" s="8"/>
      <c r="N133" s="7">
        <v>-13.4</v>
      </c>
      <c r="O133" s="35">
        <v>-98.54</v>
      </c>
      <c r="P133" s="35">
        <f t="shared" si="1"/>
        <v>8.6599999999999966</v>
      </c>
      <c r="Q133" s="5">
        <v>1.1000000000000001</v>
      </c>
      <c r="R133" s="7">
        <v>-8.2000000000000011</v>
      </c>
      <c r="S133" s="7"/>
      <c r="T133" s="7">
        <v>92.25</v>
      </c>
    </row>
    <row r="134" spans="1:20" s="5" customFormat="1" ht="14.25" customHeight="1" x14ac:dyDescent="0.35">
      <c r="A134" s="5" t="s">
        <v>20</v>
      </c>
      <c r="B134" s="6" t="s">
        <v>21</v>
      </c>
      <c r="C134" s="6" t="s">
        <v>40</v>
      </c>
      <c r="D134" s="6" t="s">
        <v>23</v>
      </c>
      <c r="E134" s="7">
        <v>66.37</v>
      </c>
      <c r="F134" s="7">
        <v>29.32</v>
      </c>
      <c r="G134" s="7">
        <v>222</v>
      </c>
      <c r="I134" s="5" t="s">
        <v>67</v>
      </c>
      <c r="J134" s="6" t="s">
        <v>41</v>
      </c>
      <c r="K134" s="8">
        <v>43850</v>
      </c>
      <c r="L134" s="8"/>
      <c r="M134" s="8"/>
      <c r="N134" s="7">
        <v>-17.75</v>
      </c>
      <c r="O134" s="35">
        <v>-133.31</v>
      </c>
      <c r="P134" s="35">
        <f t="shared" si="1"/>
        <v>8.6899999999999977</v>
      </c>
      <c r="Q134" s="5">
        <v>1.3</v>
      </c>
      <c r="R134" s="7">
        <v>-2.4541666666666666</v>
      </c>
      <c r="S134" s="7"/>
      <c r="T134" s="7">
        <v>94.166666666666671</v>
      </c>
    </row>
    <row r="135" spans="1:20" s="5" customFormat="1" ht="14.25" customHeight="1" x14ac:dyDescent="0.35">
      <c r="A135" s="5" t="s">
        <v>20</v>
      </c>
      <c r="B135" s="6" t="s">
        <v>21</v>
      </c>
      <c r="C135" s="6" t="s">
        <v>40</v>
      </c>
      <c r="D135" s="6" t="s">
        <v>23</v>
      </c>
      <c r="E135" s="7">
        <v>66.37</v>
      </c>
      <c r="F135" s="7">
        <v>29.32</v>
      </c>
      <c r="G135" s="7">
        <v>222</v>
      </c>
      <c r="I135" s="5" t="s">
        <v>68</v>
      </c>
      <c r="J135" s="6" t="s">
        <v>41</v>
      </c>
      <c r="K135" s="8">
        <v>43851</v>
      </c>
      <c r="L135" s="8"/>
      <c r="M135" s="8"/>
      <c r="N135" s="7">
        <v>-12.62</v>
      </c>
      <c r="O135" s="35">
        <v>-98.28</v>
      </c>
      <c r="P135" s="35">
        <f t="shared" si="1"/>
        <v>2.6799999999999926</v>
      </c>
      <c r="Q135" s="5">
        <v>1</v>
      </c>
      <c r="R135" s="7">
        <v>-1.6958333333333335</v>
      </c>
      <c r="S135" s="7"/>
      <c r="T135" s="7">
        <v>91.208333333333329</v>
      </c>
    </row>
    <row r="136" spans="1:20" s="5" customFormat="1" ht="14.25" customHeight="1" x14ac:dyDescent="0.35">
      <c r="A136" s="5" t="s">
        <v>20</v>
      </c>
      <c r="B136" s="6" t="s">
        <v>21</v>
      </c>
      <c r="C136" s="6" t="s">
        <v>40</v>
      </c>
      <c r="D136" s="6" t="s">
        <v>23</v>
      </c>
      <c r="E136" s="7">
        <v>66.37</v>
      </c>
      <c r="F136" s="7">
        <v>29.32</v>
      </c>
      <c r="G136" s="7">
        <v>222</v>
      </c>
      <c r="I136" s="5" t="s">
        <v>69</v>
      </c>
      <c r="J136" s="6" t="s">
        <v>41</v>
      </c>
      <c r="K136" s="8">
        <v>43854</v>
      </c>
      <c r="L136" s="8"/>
      <c r="M136" s="8"/>
      <c r="N136" s="7">
        <v>-18.190000000000001</v>
      </c>
      <c r="O136" s="35">
        <v>-141.52000000000001</v>
      </c>
      <c r="P136" s="35">
        <f t="shared" si="1"/>
        <v>4</v>
      </c>
      <c r="Q136" s="5">
        <v>3.5</v>
      </c>
      <c r="R136" s="7">
        <v>-9.3916666666666675</v>
      </c>
      <c r="S136" s="7"/>
      <c r="T136" s="7">
        <v>91.583333333333329</v>
      </c>
    </row>
    <row r="137" spans="1:20" s="5" customFormat="1" ht="14.25" customHeight="1" x14ac:dyDescent="0.35">
      <c r="A137" s="5" t="s">
        <v>20</v>
      </c>
      <c r="B137" s="6" t="s">
        <v>21</v>
      </c>
      <c r="C137" s="6" t="s">
        <v>40</v>
      </c>
      <c r="D137" s="6" t="s">
        <v>23</v>
      </c>
      <c r="E137" s="7">
        <v>66.37</v>
      </c>
      <c r="F137" s="7">
        <v>29.32</v>
      </c>
      <c r="G137" s="7">
        <v>222</v>
      </c>
      <c r="I137" s="5" t="s">
        <v>70</v>
      </c>
      <c r="J137" s="6" t="s">
        <v>41</v>
      </c>
      <c r="K137" s="8">
        <v>43857</v>
      </c>
      <c r="L137" s="8">
        <v>43854</v>
      </c>
      <c r="M137" s="8">
        <v>43857</v>
      </c>
      <c r="N137" s="7">
        <v>-16.850000000000001</v>
      </c>
      <c r="O137" s="35">
        <v>-126.61</v>
      </c>
      <c r="P137" s="35">
        <f t="shared" si="1"/>
        <v>8.1900000000000119</v>
      </c>
      <c r="Q137" s="5">
        <v>1.3</v>
      </c>
      <c r="R137" s="7">
        <v>-30.629166666666666</v>
      </c>
      <c r="S137" s="7"/>
      <c r="T137" s="7">
        <v>71.291666666666671</v>
      </c>
    </row>
    <row r="138" spans="1:20" s="5" customFormat="1" ht="14.25" customHeight="1" x14ac:dyDescent="0.35">
      <c r="A138" s="5" t="s">
        <v>20</v>
      </c>
      <c r="B138" s="6" t="s">
        <v>21</v>
      </c>
      <c r="C138" s="6" t="s">
        <v>40</v>
      </c>
      <c r="D138" s="6" t="s">
        <v>23</v>
      </c>
      <c r="E138" s="7">
        <v>66.37</v>
      </c>
      <c r="F138" s="7">
        <v>29.32</v>
      </c>
      <c r="G138" s="7">
        <v>222</v>
      </c>
      <c r="I138" s="5" t="s">
        <v>71</v>
      </c>
      <c r="J138" s="6" t="s">
        <v>41</v>
      </c>
      <c r="K138" s="8">
        <v>43859</v>
      </c>
      <c r="L138" s="8"/>
      <c r="M138" s="8"/>
      <c r="N138" s="7">
        <v>-24.54</v>
      </c>
      <c r="O138" s="35">
        <v>-187.75</v>
      </c>
      <c r="P138" s="35">
        <f t="shared" si="1"/>
        <v>8.5699999999999932</v>
      </c>
      <c r="Q138" s="5">
        <v>0.4</v>
      </c>
      <c r="R138" s="7">
        <v>-11.029166666666667</v>
      </c>
      <c r="S138" s="7"/>
      <c r="T138" s="7">
        <v>89.208333333333329</v>
      </c>
    </row>
    <row r="139" spans="1:20" s="5" customFormat="1" ht="14.25" customHeight="1" x14ac:dyDescent="0.35">
      <c r="A139" s="5" t="s">
        <v>20</v>
      </c>
      <c r="B139" s="6" t="s">
        <v>21</v>
      </c>
      <c r="C139" s="6" t="s">
        <v>40</v>
      </c>
      <c r="D139" s="6" t="s">
        <v>23</v>
      </c>
      <c r="E139" s="7">
        <v>66.37</v>
      </c>
      <c r="F139" s="7">
        <v>29.32</v>
      </c>
      <c r="G139" s="7">
        <v>222</v>
      </c>
      <c r="I139" s="5" t="s">
        <v>72</v>
      </c>
      <c r="J139" s="6" t="s">
        <v>41</v>
      </c>
      <c r="K139" s="8">
        <v>43860</v>
      </c>
      <c r="L139" s="8"/>
      <c r="M139" s="8"/>
      <c r="N139" s="7">
        <v>-15.59</v>
      </c>
      <c r="O139" s="35">
        <v>-117.21</v>
      </c>
      <c r="P139" s="35">
        <f t="shared" si="1"/>
        <v>7.5100000000000051</v>
      </c>
      <c r="Q139" s="5">
        <v>0.1</v>
      </c>
      <c r="R139" s="7">
        <v>-9.0083333333333329</v>
      </c>
      <c r="S139" s="7"/>
      <c r="T139" s="7">
        <v>88.708333333333329</v>
      </c>
    </row>
    <row r="140" spans="1:20" s="5" customFormat="1" ht="14.25" customHeight="1" x14ac:dyDescent="0.35">
      <c r="A140" s="5" t="s">
        <v>20</v>
      </c>
      <c r="B140" s="6" t="s">
        <v>21</v>
      </c>
      <c r="C140" s="6" t="s">
        <v>40</v>
      </c>
      <c r="D140" s="6" t="s">
        <v>23</v>
      </c>
      <c r="E140" s="7">
        <v>66.37</v>
      </c>
      <c r="F140" s="7">
        <v>29.32</v>
      </c>
      <c r="G140" s="7">
        <v>222</v>
      </c>
      <c r="I140" s="5" t="s">
        <v>73</v>
      </c>
      <c r="J140" s="6" t="s">
        <v>41</v>
      </c>
      <c r="K140" s="8">
        <v>43864</v>
      </c>
      <c r="L140" s="8">
        <v>43861</v>
      </c>
      <c r="M140" s="8">
        <v>43864</v>
      </c>
      <c r="N140" s="7">
        <v>-24.52</v>
      </c>
      <c r="O140" s="35">
        <v>-188.09</v>
      </c>
      <c r="P140" s="35">
        <f t="shared" si="1"/>
        <v>8.0699999999999932</v>
      </c>
      <c r="Q140" s="5">
        <v>0.1</v>
      </c>
      <c r="R140" s="7">
        <v>-8.4</v>
      </c>
      <c r="S140" s="7"/>
      <c r="T140" s="7">
        <v>88.416666666666671</v>
      </c>
    </row>
    <row r="141" spans="1:20" s="5" customFormat="1" ht="14.25" customHeight="1" x14ac:dyDescent="0.35">
      <c r="A141" s="5" t="s">
        <v>20</v>
      </c>
      <c r="B141" s="6" t="s">
        <v>21</v>
      </c>
      <c r="C141" s="6" t="s">
        <v>40</v>
      </c>
      <c r="D141" s="6" t="s">
        <v>23</v>
      </c>
      <c r="E141" s="7">
        <v>66.37</v>
      </c>
      <c r="F141" s="7">
        <v>29.32</v>
      </c>
      <c r="G141" s="7">
        <v>222</v>
      </c>
      <c r="I141" s="5" t="s">
        <v>74</v>
      </c>
      <c r="J141" s="6" t="s">
        <v>41</v>
      </c>
      <c r="K141" s="8">
        <v>43868</v>
      </c>
      <c r="L141" s="8">
        <v>43866</v>
      </c>
      <c r="M141" s="8">
        <v>43868</v>
      </c>
      <c r="N141" s="7">
        <v>-17.25</v>
      </c>
      <c r="O141" s="35">
        <v>-115.4</v>
      </c>
      <c r="P141" s="35">
        <f t="shared" si="1"/>
        <v>22.599999999999994</v>
      </c>
      <c r="Q141" s="5">
        <v>1.6</v>
      </c>
      <c r="R141" s="7">
        <v>-12.966666666666661</v>
      </c>
      <c r="S141" s="7"/>
      <c r="T141" s="7">
        <v>87.875</v>
      </c>
    </row>
    <row r="142" spans="1:20" s="5" customFormat="1" ht="14.25" customHeight="1" x14ac:dyDescent="0.35">
      <c r="A142" s="5" t="s">
        <v>20</v>
      </c>
      <c r="B142" s="6" t="s">
        <v>21</v>
      </c>
      <c r="C142" s="6" t="s">
        <v>40</v>
      </c>
      <c r="D142" s="6" t="s">
        <v>23</v>
      </c>
      <c r="E142" s="7">
        <v>66.37</v>
      </c>
      <c r="F142" s="7">
        <v>29.32</v>
      </c>
      <c r="G142" s="7">
        <v>222</v>
      </c>
      <c r="I142" s="5" t="s">
        <v>75</v>
      </c>
      <c r="J142" s="6" t="s">
        <v>41</v>
      </c>
      <c r="K142" s="8">
        <v>43871</v>
      </c>
      <c r="L142" s="8">
        <v>43868</v>
      </c>
      <c r="M142" s="8">
        <v>43871</v>
      </c>
      <c r="N142" s="7">
        <v>-14.02</v>
      </c>
      <c r="O142" s="35">
        <v>-108.12</v>
      </c>
      <c r="P142" s="35">
        <f t="shared" si="1"/>
        <v>4.039999999999992</v>
      </c>
      <c r="Q142" s="5">
        <v>2</v>
      </c>
      <c r="R142" s="7">
        <v>1.2583333333333333</v>
      </c>
      <c r="S142" s="7"/>
      <c r="T142" s="7">
        <v>93</v>
      </c>
    </row>
    <row r="143" spans="1:20" s="5" customFormat="1" ht="14.25" customHeight="1" x14ac:dyDescent="0.35">
      <c r="A143" s="5" t="s">
        <v>20</v>
      </c>
      <c r="B143" s="6" t="s">
        <v>21</v>
      </c>
      <c r="C143" s="6" t="s">
        <v>40</v>
      </c>
      <c r="D143" s="6" t="s">
        <v>23</v>
      </c>
      <c r="E143" s="7">
        <v>66.37</v>
      </c>
      <c r="F143" s="7">
        <v>29.32</v>
      </c>
      <c r="G143" s="7">
        <v>222</v>
      </c>
      <c r="I143" s="5" t="s">
        <v>76</v>
      </c>
      <c r="J143" s="6" t="s">
        <v>41</v>
      </c>
      <c r="K143" s="8">
        <v>43872</v>
      </c>
      <c r="L143" s="8"/>
      <c r="M143" s="8"/>
      <c r="N143" s="7">
        <v>-14.58</v>
      </c>
      <c r="O143" s="35">
        <v>-112.65</v>
      </c>
      <c r="P143" s="35">
        <f t="shared" si="1"/>
        <v>3.9899999999999949</v>
      </c>
      <c r="Q143" s="5">
        <v>1.5</v>
      </c>
      <c r="R143" s="7">
        <v>0.99583333333333302</v>
      </c>
      <c r="S143" s="7"/>
      <c r="T143" s="7">
        <v>92.791666666666671</v>
      </c>
    </row>
    <row r="144" spans="1:20" s="5" customFormat="1" ht="14.25" customHeight="1" x14ac:dyDescent="0.35">
      <c r="A144" s="5" t="s">
        <v>20</v>
      </c>
      <c r="B144" s="6" t="s">
        <v>21</v>
      </c>
      <c r="C144" s="6" t="s">
        <v>40</v>
      </c>
      <c r="D144" s="6" t="s">
        <v>23</v>
      </c>
      <c r="E144" s="7">
        <v>66.37</v>
      </c>
      <c r="F144" s="7">
        <v>29.32</v>
      </c>
      <c r="G144" s="7">
        <v>222</v>
      </c>
      <c r="I144" s="5" t="s">
        <v>77</v>
      </c>
      <c r="J144" s="6" t="s">
        <v>41</v>
      </c>
      <c r="K144" s="8">
        <v>43875</v>
      </c>
      <c r="L144" s="8"/>
      <c r="M144" s="8"/>
      <c r="N144" s="7">
        <v>-14.94</v>
      </c>
      <c r="O144" s="35">
        <v>-109.44</v>
      </c>
      <c r="P144" s="35">
        <f t="shared" si="1"/>
        <v>10.079999999999998</v>
      </c>
      <c r="Q144" s="5">
        <v>1.2</v>
      </c>
      <c r="R144" s="7">
        <v>-2.9833333333333329</v>
      </c>
      <c r="S144" s="7"/>
      <c r="T144" s="7">
        <v>94.166666666666671</v>
      </c>
    </row>
    <row r="145" spans="1:21" s="5" customFormat="1" ht="14.25" customHeight="1" x14ac:dyDescent="0.35">
      <c r="A145" s="5" t="s">
        <v>20</v>
      </c>
      <c r="B145" s="6" t="s">
        <v>21</v>
      </c>
      <c r="C145" s="6" t="s">
        <v>40</v>
      </c>
      <c r="D145" s="6" t="s">
        <v>23</v>
      </c>
      <c r="E145" s="7">
        <v>66.37</v>
      </c>
      <c r="F145" s="7">
        <v>29.32</v>
      </c>
      <c r="G145" s="7">
        <v>222</v>
      </c>
      <c r="I145" s="5" t="s">
        <v>78</v>
      </c>
      <c r="J145" s="6" t="s">
        <v>41</v>
      </c>
      <c r="K145" s="8">
        <v>43880</v>
      </c>
      <c r="L145" s="8"/>
      <c r="M145" s="8"/>
      <c r="N145" s="7">
        <v>-14.2</v>
      </c>
      <c r="O145" s="35">
        <v>-104.99</v>
      </c>
      <c r="P145" s="35">
        <f t="shared" si="1"/>
        <v>8.61</v>
      </c>
      <c r="Q145" s="5">
        <v>6.7</v>
      </c>
      <c r="R145" s="7">
        <v>-6.958333333333333</v>
      </c>
      <c r="S145" s="7"/>
      <c r="T145" s="7">
        <v>89.291666666666671</v>
      </c>
    </row>
    <row r="146" spans="1:21" s="5" customFormat="1" ht="14.25" customHeight="1" x14ac:dyDescent="0.35">
      <c r="A146" s="5" t="s">
        <v>20</v>
      </c>
      <c r="B146" s="6" t="s">
        <v>21</v>
      </c>
      <c r="C146" s="6" t="s">
        <v>40</v>
      </c>
      <c r="D146" s="6" t="s">
        <v>23</v>
      </c>
      <c r="E146" s="7">
        <v>66.37</v>
      </c>
      <c r="F146" s="7">
        <v>29.32</v>
      </c>
      <c r="G146" s="7">
        <v>222</v>
      </c>
      <c r="I146" s="5" t="s">
        <v>79</v>
      </c>
      <c r="J146" s="6" t="s">
        <v>41</v>
      </c>
      <c r="K146" s="8">
        <v>43885</v>
      </c>
      <c r="L146" s="8">
        <v>43882</v>
      </c>
      <c r="M146" s="8">
        <v>43885</v>
      </c>
      <c r="N146" s="7">
        <v>-17.53</v>
      </c>
      <c r="O146" s="35">
        <v>-136.63</v>
      </c>
      <c r="P146" s="35">
        <f t="shared" si="1"/>
        <v>3.6100000000000136</v>
      </c>
      <c r="Q146" s="5">
        <v>1.9</v>
      </c>
      <c r="R146" s="7">
        <v>-5.0874999999999995</v>
      </c>
      <c r="S146" s="7"/>
      <c r="T146" s="7">
        <v>93.875</v>
      </c>
    </row>
    <row r="147" spans="1:21" s="5" customFormat="1" ht="14.25" customHeight="1" x14ac:dyDescent="0.35">
      <c r="A147" s="5" t="s">
        <v>20</v>
      </c>
      <c r="B147" s="6" t="s">
        <v>21</v>
      </c>
      <c r="C147" s="6" t="s">
        <v>40</v>
      </c>
      <c r="D147" s="6" t="s">
        <v>23</v>
      </c>
      <c r="E147" s="7">
        <v>66.37</v>
      </c>
      <c r="F147" s="7">
        <v>29.32</v>
      </c>
      <c r="G147" s="7">
        <v>222</v>
      </c>
      <c r="I147" s="5" t="s">
        <v>80</v>
      </c>
      <c r="J147" s="6" t="s">
        <v>41</v>
      </c>
      <c r="K147" s="8">
        <v>43886</v>
      </c>
      <c r="L147" s="8"/>
      <c r="M147" s="8"/>
      <c r="N147" s="7">
        <v>-16.829999999999998</v>
      </c>
      <c r="O147" s="35">
        <v>-124.49</v>
      </c>
      <c r="P147" s="35">
        <f t="shared" si="1"/>
        <v>10.149999999999991</v>
      </c>
      <c r="Q147" s="5">
        <v>1.6</v>
      </c>
      <c r="R147" s="7">
        <v>-9.1999999999999993</v>
      </c>
      <c r="S147" s="7"/>
      <c r="T147" s="7">
        <v>88.666666666666671</v>
      </c>
    </row>
    <row r="148" spans="1:21" s="5" customFormat="1" ht="14.25" customHeight="1" x14ac:dyDescent="0.35">
      <c r="A148" s="5" t="s">
        <v>20</v>
      </c>
      <c r="B148" s="6" t="s">
        <v>21</v>
      </c>
      <c r="C148" s="6" t="s">
        <v>40</v>
      </c>
      <c r="D148" s="6" t="s">
        <v>23</v>
      </c>
      <c r="E148" s="7">
        <v>66.37</v>
      </c>
      <c r="F148" s="7">
        <v>29.32</v>
      </c>
      <c r="G148" s="7">
        <v>222</v>
      </c>
      <c r="I148" s="5" t="s">
        <v>81</v>
      </c>
      <c r="J148" s="6" t="s">
        <v>41</v>
      </c>
      <c r="K148" s="8">
        <v>43895</v>
      </c>
      <c r="L148" s="8"/>
      <c r="M148" s="8"/>
      <c r="N148" s="7">
        <v>-22.9</v>
      </c>
      <c r="O148" s="35">
        <v>-178.05</v>
      </c>
      <c r="P148" s="35">
        <f t="shared" si="1"/>
        <v>5.1499999999999773</v>
      </c>
      <c r="Q148" s="5">
        <v>4.9000000000000004</v>
      </c>
      <c r="R148" s="7">
        <v>-5.5833333333333348</v>
      </c>
      <c r="S148" s="7"/>
      <c r="T148" s="7">
        <v>92.083333333333329</v>
      </c>
    </row>
    <row r="149" spans="1:21" s="5" customFormat="1" ht="14.25" customHeight="1" x14ac:dyDescent="0.35">
      <c r="A149" s="5" t="s">
        <v>20</v>
      </c>
      <c r="B149" s="6" t="s">
        <v>21</v>
      </c>
      <c r="C149" s="6" t="s">
        <v>40</v>
      </c>
      <c r="D149" s="6" t="s">
        <v>23</v>
      </c>
      <c r="E149" s="7">
        <v>66.37</v>
      </c>
      <c r="F149" s="7">
        <v>29.32</v>
      </c>
      <c r="G149" s="7">
        <v>222</v>
      </c>
      <c r="I149" s="5" t="s">
        <v>82</v>
      </c>
      <c r="J149" s="6" t="s">
        <v>41</v>
      </c>
      <c r="K149" s="8">
        <v>43899</v>
      </c>
      <c r="L149" s="8">
        <v>43896</v>
      </c>
      <c r="M149" s="8">
        <v>43899</v>
      </c>
      <c r="N149" s="7">
        <v>-19.55</v>
      </c>
      <c r="O149" s="35">
        <v>-154.06</v>
      </c>
      <c r="P149" s="35">
        <f t="shared" si="1"/>
        <v>2.3400000000000034</v>
      </c>
      <c r="Q149" s="5">
        <v>0.4</v>
      </c>
      <c r="R149" s="7">
        <v>2.4499999999999997</v>
      </c>
      <c r="S149" s="7"/>
      <c r="T149" s="7">
        <v>89.666666666666671</v>
      </c>
    </row>
    <row r="150" spans="1:21" s="5" customFormat="1" ht="14.25" customHeight="1" x14ac:dyDescent="0.35">
      <c r="A150" s="5" t="s">
        <v>20</v>
      </c>
      <c r="B150" s="6" t="s">
        <v>21</v>
      </c>
      <c r="C150" s="6" t="s">
        <v>40</v>
      </c>
      <c r="D150" s="6" t="s">
        <v>23</v>
      </c>
      <c r="E150" s="7">
        <v>66.37</v>
      </c>
      <c r="F150" s="7">
        <v>29.32</v>
      </c>
      <c r="G150" s="7">
        <v>222</v>
      </c>
      <c r="I150" s="5" t="s">
        <v>83</v>
      </c>
      <c r="J150" s="6" t="s">
        <v>41</v>
      </c>
      <c r="K150" s="8">
        <v>43903</v>
      </c>
      <c r="L150" s="8"/>
      <c r="M150" s="8"/>
      <c r="N150" s="7">
        <v>-18.059999999999999</v>
      </c>
      <c r="O150" s="35">
        <v>-139.91999999999999</v>
      </c>
      <c r="P150" s="35">
        <f t="shared" si="1"/>
        <v>4.5600000000000023</v>
      </c>
      <c r="Q150" s="5">
        <v>5.4</v>
      </c>
      <c r="R150" s="7">
        <v>-5.0041666666666664</v>
      </c>
      <c r="S150" s="7"/>
      <c r="T150" s="7">
        <v>87.875</v>
      </c>
    </row>
    <row r="151" spans="1:21" s="5" customFormat="1" ht="14.25" customHeight="1" x14ac:dyDescent="0.35">
      <c r="A151" s="5" t="s">
        <v>20</v>
      </c>
      <c r="B151" s="6" t="s">
        <v>21</v>
      </c>
      <c r="C151" s="6" t="s">
        <v>40</v>
      </c>
      <c r="D151" s="6" t="s">
        <v>23</v>
      </c>
      <c r="E151" s="7">
        <v>66.37</v>
      </c>
      <c r="F151" s="7">
        <v>29.32</v>
      </c>
      <c r="G151" s="7">
        <v>222</v>
      </c>
      <c r="I151" s="5" t="s">
        <v>84</v>
      </c>
      <c r="J151" s="6" t="s">
        <v>41</v>
      </c>
      <c r="K151" s="8">
        <v>43906</v>
      </c>
      <c r="L151" s="8">
        <v>43903</v>
      </c>
      <c r="M151" s="8">
        <v>43906</v>
      </c>
      <c r="N151" s="7">
        <v>-18.21</v>
      </c>
      <c r="O151" s="35">
        <v>-137.71</v>
      </c>
      <c r="P151" s="35">
        <f t="shared" si="1"/>
        <v>7.9699999999999989</v>
      </c>
      <c r="Q151" s="5">
        <v>0.2</v>
      </c>
      <c r="R151" s="7">
        <v>-2.4708333333333332</v>
      </c>
      <c r="S151" s="7"/>
      <c r="T151" s="7">
        <v>77.25</v>
      </c>
    </row>
    <row r="152" spans="1:21" s="5" customFormat="1" ht="14.25" customHeight="1" x14ac:dyDescent="0.35">
      <c r="A152" s="5" t="s">
        <v>20</v>
      </c>
      <c r="B152" s="6" t="s">
        <v>21</v>
      </c>
      <c r="C152" s="6" t="s">
        <v>40</v>
      </c>
      <c r="D152" s="6" t="s">
        <v>23</v>
      </c>
      <c r="E152" s="7">
        <v>66.37</v>
      </c>
      <c r="F152" s="7">
        <v>29.32</v>
      </c>
      <c r="G152" s="7">
        <v>222</v>
      </c>
      <c r="I152" s="5" t="s">
        <v>85</v>
      </c>
      <c r="J152" s="6" t="s">
        <v>41</v>
      </c>
      <c r="K152" s="8">
        <v>43908</v>
      </c>
      <c r="L152" s="8"/>
      <c r="M152" s="8"/>
      <c r="N152" s="7">
        <v>-17.190000000000001</v>
      </c>
      <c r="O152" s="35">
        <v>-134.47999999999999</v>
      </c>
      <c r="P152" s="35">
        <f t="shared" si="1"/>
        <v>3.0400000000000205</v>
      </c>
      <c r="Q152" s="5">
        <v>1.4</v>
      </c>
      <c r="R152" s="7">
        <v>-0.39583333333333331</v>
      </c>
      <c r="S152" s="7"/>
      <c r="T152" s="7">
        <v>83.083333333333329</v>
      </c>
    </row>
    <row r="153" spans="1:21" s="5" customFormat="1" ht="14.25" customHeight="1" x14ac:dyDescent="0.35">
      <c r="A153" s="5" t="s">
        <v>20</v>
      </c>
      <c r="B153" s="6" t="s">
        <v>21</v>
      </c>
      <c r="C153" s="6" t="s">
        <v>40</v>
      </c>
      <c r="D153" s="6" t="s">
        <v>23</v>
      </c>
      <c r="E153" s="7">
        <v>66.37</v>
      </c>
      <c r="F153" s="7">
        <v>29.32</v>
      </c>
      <c r="G153" s="7">
        <v>222</v>
      </c>
      <c r="I153" s="5" t="s">
        <v>86</v>
      </c>
      <c r="J153" s="6" t="s">
        <v>41</v>
      </c>
      <c r="K153" s="8">
        <v>43920</v>
      </c>
      <c r="L153" s="8">
        <v>43917</v>
      </c>
      <c r="M153" s="8">
        <v>43920</v>
      </c>
      <c r="N153" s="7">
        <v>-16.149999999999999</v>
      </c>
      <c r="O153" s="35">
        <v>-121.12</v>
      </c>
      <c r="P153" s="35">
        <f t="shared" si="1"/>
        <v>8.0799999999999841</v>
      </c>
      <c r="Q153" s="5">
        <v>2</v>
      </c>
      <c r="R153" s="7">
        <v>-8.5375000000000014</v>
      </c>
      <c r="S153" s="7"/>
      <c r="T153" s="7">
        <v>61.125</v>
      </c>
    </row>
    <row r="154" spans="1:21" s="5" customFormat="1" ht="14.25" customHeight="1" x14ac:dyDescent="0.35">
      <c r="A154" s="5" t="s">
        <v>20</v>
      </c>
      <c r="B154" s="6" t="s">
        <v>21</v>
      </c>
      <c r="C154" s="6" t="s">
        <v>40</v>
      </c>
      <c r="D154" s="6" t="s">
        <v>23</v>
      </c>
      <c r="E154" s="7">
        <v>66.37</v>
      </c>
      <c r="F154" s="7">
        <v>29.32</v>
      </c>
      <c r="G154" s="7">
        <v>222</v>
      </c>
      <c r="I154" s="5" t="s">
        <v>87</v>
      </c>
      <c r="J154" s="6" t="s">
        <v>41</v>
      </c>
      <c r="K154" s="8">
        <v>43922</v>
      </c>
      <c r="L154" s="8"/>
      <c r="M154" s="8"/>
      <c r="N154" s="7">
        <v>-20.079999999999998</v>
      </c>
      <c r="O154" s="35">
        <v>-154.69999999999999</v>
      </c>
      <c r="P154" s="35">
        <f t="shared" si="1"/>
        <v>5.9399999999999977</v>
      </c>
      <c r="Q154" s="5">
        <v>3.2</v>
      </c>
      <c r="R154" s="7">
        <v>-5.0333333333333341</v>
      </c>
      <c r="S154" s="7"/>
      <c r="T154" s="7">
        <v>84.083333333333329</v>
      </c>
    </row>
    <row r="155" spans="1:21" s="5" customFormat="1" ht="14.25" customHeight="1" x14ac:dyDescent="0.35">
      <c r="A155" s="5" t="s">
        <v>20</v>
      </c>
      <c r="B155" s="6" t="s">
        <v>21</v>
      </c>
      <c r="C155" s="6" t="s">
        <v>40</v>
      </c>
      <c r="D155" s="6" t="s">
        <v>23</v>
      </c>
      <c r="E155" s="7">
        <v>66.37</v>
      </c>
      <c r="F155" s="7">
        <v>29.32</v>
      </c>
      <c r="G155" s="7">
        <v>222</v>
      </c>
      <c r="I155" s="5" t="s">
        <v>88</v>
      </c>
      <c r="J155" s="6"/>
      <c r="K155" s="8">
        <v>44090</v>
      </c>
      <c r="L155" s="8"/>
      <c r="M155" s="8"/>
      <c r="N155" s="7">
        <v>-14.778845156787041</v>
      </c>
      <c r="O155" s="35">
        <v>-111.21380876958536</v>
      </c>
      <c r="P155" s="35">
        <f t="shared" si="1"/>
        <v>7.0169524847109699</v>
      </c>
      <c r="Q155" s="7">
        <v>7.2</v>
      </c>
      <c r="R155" s="7">
        <v>6</v>
      </c>
      <c r="S155" s="7"/>
      <c r="T155" s="7"/>
    </row>
    <row r="156" spans="1:21" s="5" customFormat="1" ht="14" customHeight="1" x14ac:dyDescent="0.35">
      <c r="A156" s="5" t="s">
        <v>20</v>
      </c>
      <c r="B156" s="6" t="s">
        <v>21</v>
      </c>
      <c r="C156" s="6" t="s">
        <v>40</v>
      </c>
      <c r="D156" s="6" t="s">
        <v>23</v>
      </c>
      <c r="E156" s="7">
        <v>66.37</v>
      </c>
      <c r="F156" s="7">
        <v>29.32</v>
      </c>
      <c r="G156" s="7">
        <v>222</v>
      </c>
      <c r="I156" s="5" t="s">
        <v>89</v>
      </c>
      <c r="J156" s="6"/>
      <c r="K156" s="8">
        <v>44096</v>
      </c>
      <c r="L156" s="8"/>
      <c r="M156" s="8"/>
      <c r="N156" s="7">
        <v>-13.465267302238052</v>
      </c>
      <c r="O156" s="35">
        <v>-98.08030116342313</v>
      </c>
      <c r="P156" s="35">
        <f t="shared" si="1"/>
        <v>9.6418372544812883</v>
      </c>
      <c r="Q156" s="7">
        <v>3.7</v>
      </c>
      <c r="R156" s="7">
        <v>6.7</v>
      </c>
      <c r="S156" s="7"/>
      <c r="T156" s="7"/>
    </row>
    <row r="157" spans="1:21" s="5" customFormat="1" ht="14.25" customHeight="1" x14ac:dyDescent="0.35">
      <c r="A157" s="5" t="s">
        <v>20</v>
      </c>
      <c r="B157" s="6" t="s">
        <v>21</v>
      </c>
      <c r="C157" s="6" t="s">
        <v>40</v>
      </c>
      <c r="D157" s="6" t="s">
        <v>23</v>
      </c>
      <c r="E157" s="7">
        <v>66.37</v>
      </c>
      <c r="F157" s="7">
        <v>29.32</v>
      </c>
      <c r="G157" s="7">
        <v>222</v>
      </c>
      <c r="I157" s="5" t="s">
        <v>90</v>
      </c>
      <c r="J157" s="6"/>
      <c r="K157" s="8">
        <v>44098</v>
      </c>
      <c r="L157" s="8"/>
      <c r="M157" s="8"/>
      <c r="N157" s="7">
        <v>-9.5805446593449357</v>
      </c>
      <c r="O157" s="35">
        <v>-70.595162300618483</v>
      </c>
      <c r="P157" s="35">
        <f t="shared" si="1"/>
        <v>6.0491949741410025</v>
      </c>
      <c r="Q157" s="7">
        <v>10.9</v>
      </c>
      <c r="R157" s="7">
        <v>9.4</v>
      </c>
      <c r="S157" s="7"/>
      <c r="T157" s="7"/>
    </row>
    <row r="158" spans="1:21" s="5" customFormat="1" ht="14.25" customHeight="1" x14ac:dyDescent="0.35">
      <c r="A158" s="5" t="s">
        <v>20</v>
      </c>
      <c r="B158" s="6" t="s">
        <v>21</v>
      </c>
      <c r="C158" s="6" t="s">
        <v>40</v>
      </c>
      <c r="D158" s="6" t="s">
        <v>23</v>
      </c>
      <c r="E158" s="7">
        <v>66.37</v>
      </c>
      <c r="F158" s="7">
        <v>29.32</v>
      </c>
      <c r="G158" s="7">
        <v>222</v>
      </c>
      <c r="I158" s="5" t="s">
        <v>91</v>
      </c>
      <c r="J158" s="6"/>
      <c r="K158" s="8">
        <v>44102</v>
      </c>
      <c r="L158" s="8"/>
      <c r="M158" s="8"/>
      <c r="N158" s="7">
        <v>-9.9835797630302476</v>
      </c>
      <c r="O158" s="35">
        <v>-65.840661187349454</v>
      </c>
      <c r="P158" s="35">
        <f t="shared" si="1"/>
        <v>14.027976916892527</v>
      </c>
      <c r="Q158" s="7">
        <v>9.5</v>
      </c>
      <c r="R158" s="7">
        <v>5.7</v>
      </c>
      <c r="S158" s="7"/>
      <c r="T158" s="7"/>
    </row>
    <row r="159" spans="1:21" s="5" customFormat="1" ht="14.25" customHeight="1" x14ac:dyDescent="0.35">
      <c r="A159" s="5" t="s">
        <v>20</v>
      </c>
      <c r="B159" s="6" t="s">
        <v>21</v>
      </c>
      <c r="C159" s="6" t="s">
        <v>40</v>
      </c>
      <c r="D159" s="6" t="s">
        <v>23</v>
      </c>
      <c r="E159" s="7">
        <v>66.37</v>
      </c>
      <c r="F159" s="7">
        <v>29.32</v>
      </c>
      <c r="G159" s="7">
        <v>222</v>
      </c>
      <c r="I159" s="5" t="s">
        <v>92</v>
      </c>
      <c r="J159" s="6"/>
      <c r="K159" s="8">
        <v>44103</v>
      </c>
      <c r="L159" s="8"/>
      <c r="M159" s="8"/>
      <c r="N159" s="7">
        <v>-9.1889552655528011</v>
      </c>
      <c r="O159" s="35">
        <v>-59.886886005812237</v>
      </c>
      <c r="P159" s="35">
        <f t="shared" si="1"/>
        <v>13.624756118610172</v>
      </c>
      <c r="Q159" s="7">
        <v>4</v>
      </c>
      <c r="R159" s="7">
        <v>6.1</v>
      </c>
      <c r="S159" s="7"/>
      <c r="T159" s="7"/>
    </row>
    <row r="160" spans="1:21" s="5" customFormat="1" x14ac:dyDescent="0.35">
      <c r="A160" s="5" t="s">
        <v>20</v>
      </c>
      <c r="B160" s="5" t="s">
        <v>21</v>
      </c>
      <c r="C160" s="5" t="s">
        <v>93</v>
      </c>
      <c r="D160" s="5" t="s">
        <v>23</v>
      </c>
      <c r="E160" s="7">
        <v>69.75</v>
      </c>
      <c r="F160" s="7">
        <v>27.016667000000002</v>
      </c>
      <c r="G160" s="7">
        <v>80</v>
      </c>
      <c r="I160" s="5" t="s">
        <v>95</v>
      </c>
      <c r="J160" s="5" t="s">
        <v>41</v>
      </c>
      <c r="K160" s="42">
        <v>43739</v>
      </c>
      <c r="L160" s="43"/>
      <c r="M160" s="43"/>
      <c r="N160" s="44">
        <v>-8.6142872246227977</v>
      </c>
      <c r="O160" s="45">
        <v>-60.072516988865864</v>
      </c>
      <c r="P160" s="35">
        <f t="shared" si="1"/>
        <v>8.8417808081165177</v>
      </c>
      <c r="Q160" s="7">
        <f>25.4*0.08</f>
        <v>2.032</v>
      </c>
      <c r="R160" s="7">
        <v>3.7</v>
      </c>
      <c r="S160" s="7">
        <v>1007.0958333333332</v>
      </c>
      <c r="T160" s="7">
        <v>87.166666666666671</v>
      </c>
      <c r="U160" s="7"/>
    </row>
    <row r="161" spans="1:21" s="5" customFormat="1" x14ac:dyDescent="0.35">
      <c r="A161" s="5" t="s">
        <v>20</v>
      </c>
      <c r="B161" s="5" t="s">
        <v>21</v>
      </c>
      <c r="C161" s="5" t="s">
        <v>93</v>
      </c>
      <c r="D161" s="5" t="s">
        <v>23</v>
      </c>
      <c r="E161" s="7">
        <v>69.75</v>
      </c>
      <c r="F161" s="7">
        <v>27.016667000000002</v>
      </c>
      <c r="G161" s="7">
        <v>80</v>
      </c>
      <c r="I161" s="5" t="s">
        <v>96</v>
      </c>
      <c r="J161" s="5" t="s">
        <v>41</v>
      </c>
      <c r="K161" s="42">
        <v>43745</v>
      </c>
      <c r="L161" s="43">
        <v>43743</v>
      </c>
      <c r="M161" s="43">
        <v>43745</v>
      </c>
      <c r="N161" s="44">
        <v>-4.3360423188611126</v>
      </c>
      <c r="O161" s="45">
        <v>-35.615479846825409</v>
      </c>
      <c r="P161" s="35">
        <f t="shared" si="1"/>
        <v>-0.92714129593650796</v>
      </c>
      <c r="Q161" s="7">
        <f>25.4*0.01</f>
        <v>0.254</v>
      </c>
      <c r="R161" s="7">
        <v>2.6</v>
      </c>
      <c r="S161" s="7">
        <v>1016.9875000000001</v>
      </c>
      <c r="T161" s="7">
        <v>94</v>
      </c>
      <c r="U161" s="7"/>
    </row>
    <row r="162" spans="1:21" s="5" customFormat="1" x14ac:dyDescent="0.35">
      <c r="A162" s="5" t="s">
        <v>20</v>
      </c>
      <c r="B162" s="5" t="s">
        <v>21</v>
      </c>
      <c r="C162" s="5" t="s">
        <v>93</v>
      </c>
      <c r="D162" s="5" t="s">
        <v>23</v>
      </c>
      <c r="E162" s="7">
        <v>69.75</v>
      </c>
      <c r="F162" s="7">
        <v>27.016667000000002</v>
      </c>
      <c r="G162" s="7">
        <v>80</v>
      </c>
      <c r="I162" s="5" t="s">
        <v>97</v>
      </c>
      <c r="J162" s="5" t="s">
        <v>41</v>
      </c>
      <c r="K162" s="42">
        <v>43747</v>
      </c>
      <c r="L162" s="43"/>
      <c r="M162" s="43"/>
      <c r="N162" s="44">
        <v>-6.3562438026772465</v>
      </c>
      <c r="O162" s="45">
        <v>-44.272800729278295</v>
      </c>
      <c r="P162" s="35">
        <f t="shared" si="1"/>
        <v>6.5771496921396775</v>
      </c>
      <c r="Q162" s="7">
        <f>25.4*0.02</f>
        <v>0.50800000000000001</v>
      </c>
      <c r="R162" s="7">
        <v>3</v>
      </c>
      <c r="S162" s="7">
        <v>1027.5083333333334</v>
      </c>
      <c r="T162" s="7">
        <v>84.541666666666671</v>
      </c>
      <c r="U162" s="7"/>
    </row>
    <row r="163" spans="1:21" s="5" customFormat="1" x14ac:dyDescent="0.35">
      <c r="A163" s="5" t="s">
        <v>20</v>
      </c>
      <c r="B163" s="5" t="s">
        <v>21</v>
      </c>
      <c r="C163" s="5" t="s">
        <v>93</v>
      </c>
      <c r="D163" s="5" t="s">
        <v>23</v>
      </c>
      <c r="E163" s="7">
        <v>69.75</v>
      </c>
      <c r="F163" s="7">
        <v>27.016667000000002</v>
      </c>
      <c r="G163" s="7">
        <v>80</v>
      </c>
      <c r="I163" s="5" t="s">
        <v>98</v>
      </c>
      <c r="J163" s="5" t="s">
        <v>41</v>
      </c>
      <c r="K163" s="42">
        <v>43748</v>
      </c>
      <c r="L163" s="43"/>
      <c r="M163" s="43"/>
      <c r="N163" s="44">
        <v>-7.7230176205992791</v>
      </c>
      <c r="O163" s="45">
        <v>-49.486529956733833</v>
      </c>
      <c r="P163" s="35">
        <f t="shared" si="1"/>
        <v>12.2976110080604</v>
      </c>
      <c r="Q163" s="7">
        <f>25.4*0.03</f>
        <v>0.7619999999999999</v>
      </c>
      <c r="R163" s="7">
        <v>-3</v>
      </c>
      <c r="S163" s="7">
        <v>1027.8583333333333</v>
      </c>
      <c r="T163" s="7">
        <v>76.083333333333329</v>
      </c>
      <c r="U163" s="7"/>
    </row>
    <row r="164" spans="1:21" s="5" customFormat="1" x14ac:dyDescent="0.35">
      <c r="A164" s="5" t="s">
        <v>20</v>
      </c>
      <c r="B164" s="5" t="s">
        <v>21</v>
      </c>
      <c r="C164" s="5" t="s">
        <v>93</v>
      </c>
      <c r="D164" s="5" t="s">
        <v>23</v>
      </c>
      <c r="E164" s="7">
        <v>69.75</v>
      </c>
      <c r="F164" s="7">
        <v>27.016667000000002</v>
      </c>
      <c r="G164" s="7">
        <v>80</v>
      </c>
      <c r="I164" s="5" t="s">
        <v>99</v>
      </c>
      <c r="J164" s="5" t="s">
        <v>100</v>
      </c>
      <c r="K164" s="42">
        <v>43749</v>
      </c>
      <c r="L164" s="43"/>
      <c r="M164" s="43"/>
      <c r="N164" s="44">
        <v>-12.79119830700574</v>
      </c>
      <c r="O164" s="45">
        <v>-87.511171302899214</v>
      </c>
      <c r="P164" s="35">
        <f t="shared" si="1"/>
        <v>14.818415153146702</v>
      </c>
      <c r="Q164" s="7">
        <v>2</v>
      </c>
      <c r="R164" s="7">
        <v>-0.2</v>
      </c>
      <c r="S164" s="7">
        <v>1025.4333333333334</v>
      </c>
      <c r="T164" s="7">
        <v>76.375</v>
      </c>
      <c r="U164" s="7"/>
    </row>
    <row r="165" spans="1:21" s="5" customFormat="1" x14ac:dyDescent="0.35">
      <c r="A165" s="5" t="s">
        <v>20</v>
      </c>
      <c r="B165" s="5" t="s">
        <v>21</v>
      </c>
      <c r="C165" s="5" t="s">
        <v>93</v>
      </c>
      <c r="D165" s="5" t="s">
        <v>23</v>
      </c>
      <c r="E165" s="7">
        <v>69.75</v>
      </c>
      <c r="F165" s="7">
        <v>27.016667000000002</v>
      </c>
      <c r="G165" s="7">
        <v>80</v>
      </c>
      <c r="I165" s="5" t="s">
        <v>101</v>
      </c>
      <c r="J165" s="5" t="s">
        <v>100</v>
      </c>
      <c r="K165" s="42">
        <v>43754</v>
      </c>
      <c r="L165" s="43"/>
      <c r="M165" s="43"/>
      <c r="N165" s="44">
        <v>-16.106613852093222</v>
      </c>
      <c r="O165" s="45">
        <v>-118.22370291357554</v>
      </c>
      <c r="P165" s="35">
        <f t="shared" si="1"/>
        <v>10.62920790317024</v>
      </c>
      <c r="Q165" s="7">
        <v>10</v>
      </c>
      <c r="R165" s="7">
        <v>-0.9</v>
      </c>
      <c r="S165" s="7">
        <v>1025.1208333333334</v>
      </c>
      <c r="T165" s="7">
        <v>92.25</v>
      </c>
      <c r="U165" s="7"/>
    </row>
    <row r="166" spans="1:21" s="5" customFormat="1" x14ac:dyDescent="0.35">
      <c r="A166" s="5" t="s">
        <v>20</v>
      </c>
      <c r="B166" s="5" t="s">
        <v>21</v>
      </c>
      <c r="C166" s="5" t="s">
        <v>93</v>
      </c>
      <c r="D166" s="5" t="s">
        <v>23</v>
      </c>
      <c r="E166" s="7">
        <v>69.75</v>
      </c>
      <c r="F166" s="7">
        <v>27.016667000000002</v>
      </c>
      <c r="G166" s="7">
        <v>80</v>
      </c>
      <c r="I166" s="5" t="s">
        <v>102</v>
      </c>
      <c r="J166" s="5" t="s">
        <v>100</v>
      </c>
      <c r="K166" s="42">
        <v>43761</v>
      </c>
      <c r="L166" s="43">
        <v>43760</v>
      </c>
      <c r="M166" s="43">
        <v>43761</v>
      </c>
      <c r="N166" s="44">
        <v>-26.26</v>
      </c>
      <c r="O166" s="45">
        <v>-203.54</v>
      </c>
      <c r="P166" s="35">
        <f t="shared" si="1"/>
        <v>6.5400000000000205</v>
      </c>
      <c r="Q166" s="7">
        <v>28</v>
      </c>
      <c r="R166" s="7">
        <v>-1.5</v>
      </c>
      <c r="S166" s="7">
        <v>1021.8166666666669</v>
      </c>
      <c r="T166" s="7">
        <v>95.541666666666671</v>
      </c>
      <c r="U166" s="7"/>
    </row>
    <row r="167" spans="1:21" s="5" customFormat="1" x14ac:dyDescent="0.35">
      <c r="A167" s="5" t="s">
        <v>20</v>
      </c>
      <c r="B167" s="5" t="s">
        <v>21</v>
      </c>
      <c r="C167" s="5" t="s">
        <v>93</v>
      </c>
      <c r="D167" s="5" t="s">
        <v>23</v>
      </c>
      <c r="E167" s="7">
        <v>69.75</v>
      </c>
      <c r="F167" s="7">
        <v>27.016667000000002</v>
      </c>
      <c r="G167" s="7">
        <v>80</v>
      </c>
      <c r="I167" s="5" t="s">
        <v>103</v>
      </c>
      <c r="J167" s="5" t="s">
        <v>100</v>
      </c>
      <c r="K167" s="42">
        <v>43762</v>
      </c>
      <c r="L167" s="43">
        <v>43761</v>
      </c>
      <c r="M167" s="43">
        <v>43762</v>
      </c>
      <c r="N167" s="44">
        <v>-20.72</v>
      </c>
      <c r="O167" s="45">
        <v>-151.07</v>
      </c>
      <c r="P167" s="35">
        <f t="shared" si="1"/>
        <v>14.689999999999998</v>
      </c>
      <c r="Q167" s="7">
        <v>58</v>
      </c>
      <c r="R167" s="7">
        <v>-8.5</v>
      </c>
      <c r="S167" s="7">
        <v>1017.0708333333333</v>
      </c>
      <c r="T167" s="7">
        <v>96.708333333333329</v>
      </c>
      <c r="U167" s="7"/>
    </row>
    <row r="168" spans="1:21" s="5" customFormat="1" x14ac:dyDescent="0.35">
      <c r="A168" s="5" t="s">
        <v>20</v>
      </c>
      <c r="B168" s="5" t="s">
        <v>21</v>
      </c>
      <c r="C168" s="5" t="s">
        <v>93</v>
      </c>
      <c r="D168" s="5" t="s">
        <v>23</v>
      </c>
      <c r="E168" s="7">
        <v>69.75</v>
      </c>
      <c r="F168" s="7">
        <v>27.016667000000002</v>
      </c>
      <c r="G168" s="7">
        <v>80</v>
      </c>
      <c r="I168" s="5" t="s">
        <v>104</v>
      </c>
      <c r="J168" s="5" t="s">
        <v>100</v>
      </c>
      <c r="K168" s="42">
        <v>43763</v>
      </c>
      <c r="L168" s="43">
        <v>43762</v>
      </c>
      <c r="M168" s="43">
        <v>43763</v>
      </c>
      <c r="N168" s="44">
        <v>-22.75</v>
      </c>
      <c r="O168" s="45">
        <v>-173.42</v>
      </c>
      <c r="P168" s="35">
        <f t="shared" si="1"/>
        <v>8.5800000000000125</v>
      </c>
      <c r="Q168" s="7">
        <v>62</v>
      </c>
      <c r="R168" s="7">
        <v>-1.7</v>
      </c>
      <c r="S168" s="7">
        <v>1011.0916666666667</v>
      </c>
      <c r="T168" s="7">
        <v>95.875</v>
      </c>
      <c r="U168" s="7"/>
    </row>
    <row r="169" spans="1:21" s="5" customFormat="1" x14ac:dyDescent="0.35">
      <c r="A169" s="5" t="s">
        <v>20</v>
      </c>
      <c r="B169" s="5" t="s">
        <v>21</v>
      </c>
      <c r="C169" s="5" t="s">
        <v>93</v>
      </c>
      <c r="D169" s="5" t="s">
        <v>23</v>
      </c>
      <c r="E169" s="7">
        <v>69.75</v>
      </c>
      <c r="F169" s="7">
        <v>27.016667000000002</v>
      </c>
      <c r="G169" s="7">
        <v>80</v>
      </c>
      <c r="I169" s="5" t="s">
        <v>105</v>
      </c>
      <c r="J169" s="5" t="s">
        <v>100</v>
      </c>
      <c r="K169" s="42">
        <v>43782</v>
      </c>
      <c r="L169" s="43">
        <v>43780</v>
      </c>
      <c r="M169" s="43">
        <v>43782</v>
      </c>
      <c r="N169" s="44">
        <v>-19.59</v>
      </c>
      <c r="O169" s="45">
        <v>-131.93</v>
      </c>
      <c r="P169" s="35">
        <f t="shared" si="1"/>
        <v>24.789999999999992</v>
      </c>
      <c r="Q169" s="7">
        <v>8</v>
      </c>
      <c r="R169" s="7">
        <v>-7.9</v>
      </c>
      <c r="S169" s="7">
        <v>1013.2458333333331</v>
      </c>
      <c r="T169" s="7">
        <v>96.208333333333329</v>
      </c>
      <c r="U169" s="7"/>
    </row>
    <row r="170" spans="1:21" s="5" customFormat="1" x14ac:dyDescent="0.35">
      <c r="A170" s="5" t="s">
        <v>20</v>
      </c>
      <c r="B170" s="5" t="s">
        <v>21</v>
      </c>
      <c r="C170" s="5" t="s">
        <v>93</v>
      </c>
      <c r="D170" s="5" t="s">
        <v>23</v>
      </c>
      <c r="E170" s="7">
        <v>69.75</v>
      </c>
      <c r="F170" s="7">
        <v>27.016667000000002</v>
      </c>
      <c r="G170" s="7">
        <v>80</v>
      </c>
      <c r="I170" s="5" t="s">
        <v>106</v>
      </c>
      <c r="J170" s="5" t="s">
        <v>100</v>
      </c>
      <c r="K170" s="42">
        <v>43784</v>
      </c>
      <c r="L170" s="43">
        <v>43782</v>
      </c>
      <c r="M170" s="43">
        <v>43784</v>
      </c>
      <c r="N170" s="44">
        <v>-25.91</v>
      </c>
      <c r="O170" s="45">
        <v>-194.16</v>
      </c>
      <c r="P170" s="35">
        <f t="shared" si="1"/>
        <v>13.120000000000005</v>
      </c>
      <c r="Q170" s="7">
        <v>87</v>
      </c>
      <c r="R170" s="7">
        <v>-1.8</v>
      </c>
      <c r="S170" s="7">
        <v>1014.0749999999999</v>
      </c>
      <c r="T170" s="7">
        <v>96.166666666666671</v>
      </c>
      <c r="U170" s="7"/>
    </row>
    <row r="171" spans="1:21" s="5" customFormat="1" x14ac:dyDescent="0.35">
      <c r="A171" s="5" t="s">
        <v>20</v>
      </c>
      <c r="B171" s="5" t="s">
        <v>21</v>
      </c>
      <c r="C171" s="5" t="s">
        <v>93</v>
      </c>
      <c r="D171" s="5" t="s">
        <v>23</v>
      </c>
      <c r="E171" s="7">
        <v>69.75</v>
      </c>
      <c r="F171" s="7">
        <v>27.016667000000002</v>
      </c>
      <c r="G171" s="7">
        <v>80</v>
      </c>
      <c r="I171" s="5" t="s">
        <v>107</v>
      </c>
      <c r="J171" s="5" t="s">
        <v>100</v>
      </c>
      <c r="K171" s="42">
        <v>43787</v>
      </c>
      <c r="L171" s="43">
        <v>43784</v>
      </c>
      <c r="M171" s="43">
        <v>43787</v>
      </c>
      <c r="N171" s="44">
        <v>-19.25</v>
      </c>
      <c r="O171" s="45">
        <v>-139.51</v>
      </c>
      <c r="P171" s="35">
        <f t="shared" si="1"/>
        <v>14.490000000000009</v>
      </c>
      <c r="Q171" s="7">
        <v>3</v>
      </c>
      <c r="R171" s="7">
        <v>-10.9</v>
      </c>
      <c r="S171" s="7">
        <v>1028.2541666666668</v>
      </c>
      <c r="T171" s="7">
        <v>94.166666666666671</v>
      </c>
      <c r="U171" s="7"/>
    </row>
    <row r="172" spans="1:21" s="5" customFormat="1" x14ac:dyDescent="0.35">
      <c r="A172" s="5" t="s">
        <v>20</v>
      </c>
      <c r="B172" s="5" t="s">
        <v>21</v>
      </c>
      <c r="C172" s="5" t="s">
        <v>93</v>
      </c>
      <c r="D172" s="5" t="s">
        <v>23</v>
      </c>
      <c r="E172" s="7">
        <v>69.75</v>
      </c>
      <c r="F172" s="7">
        <v>27.016667000000002</v>
      </c>
      <c r="G172" s="7">
        <v>80</v>
      </c>
      <c r="I172" s="5" t="s">
        <v>108</v>
      </c>
      <c r="J172" s="5" t="s">
        <v>100</v>
      </c>
      <c r="K172" s="42">
        <v>43788</v>
      </c>
      <c r="L172" s="43">
        <v>43787</v>
      </c>
      <c r="M172" s="43">
        <v>43788</v>
      </c>
      <c r="N172" s="44">
        <v>-15.8</v>
      </c>
      <c r="O172" s="45">
        <v>-114.6</v>
      </c>
      <c r="P172" s="35">
        <f t="shared" si="1"/>
        <v>11.800000000000011</v>
      </c>
      <c r="Q172" s="7">
        <v>1</v>
      </c>
      <c r="R172" s="7">
        <v>-1.9</v>
      </c>
      <c r="S172" s="7">
        <v>1027.7041666666667</v>
      </c>
      <c r="T172" s="7">
        <v>98.166666666666671</v>
      </c>
      <c r="U172" s="7"/>
    </row>
    <row r="173" spans="1:21" s="5" customFormat="1" x14ac:dyDescent="0.35">
      <c r="A173" s="5" t="s">
        <v>20</v>
      </c>
      <c r="B173" s="5" t="s">
        <v>21</v>
      </c>
      <c r="C173" s="5" t="s">
        <v>93</v>
      </c>
      <c r="D173" s="5" t="s">
        <v>23</v>
      </c>
      <c r="E173" s="7">
        <v>69.75</v>
      </c>
      <c r="F173" s="7">
        <v>27.016667000000002</v>
      </c>
      <c r="G173" s="7">
        <v>80</v>
      </c>
      <c r="I173" s="5" t="s">
        <v>109</v>
      </c>
      <c r="J173" s="5" t="s">
        <v>100</v>
      </c>
      <c r="K173" s="42">
        <v>43794</v>
      </c>
      <c r="L173" s="43">
        <v>43791</v>
      </c>
      <c r="M173" s="43">
        <v>43794</v>
      </c>
      <c r="N173" s="44">
        <v>-13.39</v>
      </c>
      <c r="O173" s="45">
        <v>-93.13</v>
      </c>
      <c r="P173" s="35">
        <f t="shared" ref="P173:P236" si="2">O173-(8*N173)</f>
        <v>13.990000000000009</v>
      </c>
      <c r="Q173" s="7">
        <v>5</v>
      </c>
      <c r="R173" s="7">
        <v>-6.3</v>
      </c>
      <c r="S173" s="7">
        <v>1011.0916666666667</v>
      </c>
      <c r="T173" s="7">
        <v>95.875</v>
      </c>
      <c r="U173" s="7"/>
    </row>
    <row r="174" spans="1:21" s="5" customFormat="1" x14ac:dyDescent="0.35">
      <c r="A174" s="5" t="s">
        <v>20</v>
      </c>
      <c r="B174" s="5" t="s">
        <v>21</v>
      </c>
      <c r="C174" s="5" t="s">
        <v>93</v>
      </c>
      <c r="D174" s="5" t="s">
        <v>23</v>
      </c>
      <c r="E174" s="7">
        <v>69.75</v>
      </c>
      <c r="F174" s="7">
        <v>27.016667000000002</v>
      </c>
      <c r="G174" s="7">
        <v>80</v>
      </c>
      <c r="I174" s="5" t="s">
        <v>110</v>
      </c>
      <c r="J174" s="5" t="s">
        <v>100</v>
      </c>
      <c r="K174" s="42">
        <v>43796</v>
      </c>
      <c r="L174" s="43">
        <v>43795</v>
      </c>
      <c r="M174" s="43">
        <v>43796</v>
      </c>
      <c r="N174" s="44">
        <v>-14.85</v>
      </c>
      <c r="O174" s="45">
        <v>-103.97</v>
      </c>
      <c r="P174" s="35">
        <f t="shared" si="2"/>
        <v>14.829999999999998</v>
      </c>
      <c r="Q174" s="7">
        <v>7</v>
      </c>
      <c r="R174" s="7">
        <v>-9.8000000000000007</v>
      </c>
      <c r="S174" s="7">
        <v>1006.7999999999998</v>
      </c>
      <c r="T174" s="7">
        <v>90.166666666666671</v>
      </c>
      <c r="U174" s="7"/>
    </row>
    <row r="175" spans="1:21" s="5" customFormat="1" x14ac:dyDescent="0.35">
      <c r="A175" s="5" t="s">
        <v>20</v>
      </c>
      <c r="B175" s="5" t="s">
        <v>21</v>
      </c>
      <c r="C175" s="5" t="s">
        <v>93</v>
      </c>
      <c r="D175" s="5" t="s">
        <v>23</v>
      </c>
      <c r="E175" s="7">
        <v>69.75</v>
      </c>
      <c r="F175" s="7">
        <v>27.016667000000002</v>
      </c>
      <c r="G175" s="7">
        <v>80</v>
      </c>
      <c r="I175" s="5" t="s">
        <v>111</v>
      </c>
      <c r="J175" s="5" t="s">
        <v>100</v>
      </c>
      <c r="K175" s="42">
        <v>43801</v>
      </c>
      <c r="L175" s="43">
        <v>43798</v>
      </c>
      <c r="M175" s="43">
        <v>43801</v>
      </c>
      <c r="N175" s="44">
        <v>-24.22</v>
      </c>
      <c r="O175" s="45">
        <v>-181.32</v>
      </c>
      <c r="P175" s="35">
        <f t="shared" si="2"/>
        <v>12.439999999999998</v>
      </c>
      <c r="Q175" s="7">
        <v>138</v>
      </c>
      <c r="R175" s="7">
        <v>-5.0999999999999996</v>
      </c>
      <c r="S175" s="7">
        <v>983.15416666666658</v>
      </c>
      <c r="T175" s="7">
        <v>94.083333333333329</v>
      </c>
      <c r="U175" s="7"/>
    </row>
    <row r="176" spans="1:21" s="5" customFormat="1" x14ac:dyDescent="0.35">
      <c r="A176" s="5" t="s">
        <v>20</v>
      </c>
      <c r="B176" s="5" t="s">
        <v>21</v>
      </c>
      <c r="C176" s="5" t="s">
        <v>93</v>
      </c>
      <c r="D176" s="5" t="s">
        <v>23</v>
      </c>
      <c r="E176" s="7">
        <v>69.75</v>
      </c>
      <c r="F176" s="7">
        <v>27.016667000000002</v>
      </c>
      <c r="G176" s="7">
        <v>80</v>
      </c>
      <c r="I176" s="5" t="s">
        <v>112</v>
      </c>
      <c r="J176" s="5" t="s">
        <v>100</v>
      </c>
      <c r="K176" s="42">
        <v>43802</v>
      </c>
      <c r="L176" s="43">
        <v>43801</v>
      </c>
      <c r="M176" s="43">
        <v>43802</v>
      </c>
      <c r="N176" s="44">
        <v>-11.57</v>
      </c>
      <c r="O176" s="45">
        <v>-79.650000000000006</v>
      </c>
      <c r="P176" s="35">
        <f t="shared" si="2"/>
        <v>12.909999999999997</v>
      </c>
      <c r="Q176" s="7">
        <v>15</v>
      </c>
      <c r="R176" s="7">
        <v>-6.1</v>
      </c>
      <c r="S176" s="7">
        <v>993.1875</v>
      </c>
      <c r="T176" s="7">
        <v>91.625</v>
      </c>
      <c r="U176" s="7"/>
    </row>
    <row r="177" spans="1:21" s="5" customFormat="1" x14ac:dyDescent="0.35">
      <c r="A177" s="5" t="s">
        <v>20</v>
      </c>
      <c r="B177" s="5" t="s">
        <v>21</v>
      </c>
      <c r="C177" s="5" t="s">
        <v>93</v>
      </c>
      <c r="D177" s="5" t="s">
        <v>23</v>
      </c>
      <c r="E177" s="7">
        <v>69.75</v>
      </c>
      <c r="F177" s="7">
        <v>27.016667000000002</v>
      </c>
      <c r="G177" s="7">
        <v>80</v>
      </c>
      <c r="I177" s="5" t="s">
        <v>113</v>
      </c>
      <c r="J177" s="5" t="s">
        <v>100</v>
      </c>
      <c r="K177" s="42">
        <v>43808</v>
      </c>
      <c r="L177" s="43">
        <v>43805</v>
      </c>
      <c r="M177" s="43">
        <v>43808</v>
      </c>
      <c r="N177" s="44">
        <v>-20.38</v>
      </c>
      <c r="O177" s="45">
        <v>-156.13</v>
      </c>
      <c r="P177" s="35">
        <f t="shared" si="2"/>
        <v>6.9099999999999966</v>
      </c>
      <c r="Q177" s="7">
        <v>175</v>
      </c>
      <c r="R177" s="7">
        <v>-27</v>
      </c>
      <c r="S177" s="7">
        <v>984.9458333333331</v>
      </c>
      <c r="T177" s="7">
        <v>77.458333333333329</v>
      </c>
      <c r="U177" s="7"/>
    </row>
    <row r="178" spans="1:21" s="5" customFormat="1" x14ac:dyDescent="0.35">
      <c r="A178" s="5" t="s">
        <v>20</v>
      </c>
      <c r="B178" s="5" t="s">
        <v>21</v>
      </c>
      <c r="C178" s="5" t="s">
        <v>93</v>
      </c>
      <c r="D178" s="5" t="s">
        <v>23</v>
      </c>
      <c r="E178" s="7">
        <v>69.75</v>
      </c>
      <c r="F178" s="7">
        <v>27.016667000000002</v>
      </c>
      <c r="G178" s="7">
        <v>80</v>
      </c>
      <c r="I178" s="5" t="s">
        <v>114</v>
      </c>
      <c r="J178" s="5" t="s">
        <v>100</v>
      </c>
      <c r="K178" s="42">
        <v>43812</v>
      </c>
      <c r="L178" s="43">
        <v>43810</v>
      </c>
      <c r="M178" s="43">
        <v>43812</v>
      </c>
      <c r="N178" s="44">
        <v>-23.46</v>
      </c>
      <c r="O178" s="45">
        <v>-181.69</v>
      </c>
      <c r="P178" s="35">
        <f t="shared" si="2"/>
        <v>5.9900000000000091</v>
      </c>
      <c r="Q178" s="7">
        <v>36</v>
      </c>
      <c r="R178" s="7">
        <v>0.3</v>
      </c>
      <c r="S178" s="7">
        <v>993.11249999999984</v>
      </c>
      <c r="T178" s="7">
        <v>91.833333333333329</v>
      </c>
      <c r="U178" s="7"/>
    </row>
    <row r="179" spans="1:21" s="5" customFormat="1" x14ac:dyDescent="0.35">
      <c r="A179" s="5" t="s">
        <v>20</v>
      </c>
      <c r="B179" s="5" t="s">
        <v>21</v>
      </c>
      <c r="C179" s="5" t="s">
        <v>93</v>
      </c>
      <c r="D179" s="5" t="s">
        <v>23</v>
      </c>
      <c r="E179" s="7">
        <v>69.75</v>
      </c>
      <c r="F179" s="7">
        <v>27.016667000000002</v>
      </c>
      <c r="G179" s="7">
        <v>80</v>
      </c>
      <c r="I179" s="5" t="s">
        <v>115</v>
      </c>
      <c r="J179" s="5" t="s">
        <v>100</v>
      </c>
      <c r="K179" s="42">
        <v>43815</v>
      </c>
      <c r="L179" s="43">
        <v>43814</v>
      </c>
      <c r="M179" s="43">
        <v>43815</v>
      </c>
      <c r="N179" s="44">
        <v>-12</v>
      </c>
      <c r="O179" s="45">
        <v>-85.92</v>
      </c>
      <c r="P179" s="35">
        <f t="shared" si="2"/>
        <v>10.079999999999998</v>
      </c>
      <c r="Q179" s="7">
        <v>2</v>
      </c>
      <c r="R179" s="7">
        <v>-1.1000000000000001</v>
      </c>
      <c r="S179" s="7">
        <v>998.72500000000025</v>
      </c>
      <c r="T179" s="7">
        <v>94.375</v>
      </c>
      <c r="U179" s="7"/>
    </row>
    <row r="180" spans="1:21" s="5" customFormat="1" x14ac:dyDescent="0.35">
      <c r="A180" s="5" t="s">
        <v>20</v>
      </c>
      <c r="B180" s="5" t="s">
        <v>21</v>
      </c>
      <c r="C180" s="5" t="s">
        <v>93</v>
      </c>
      <c r="D180" s="5" t="s">
        <v>23</v>
      </c>
      <c r="E180" s="7">
        <v>69.75</v>
      </c>
      <c r="F180" s="7">
        <v>27.016667000000002</v>
      </c>
      <c r="G180" s="7">
        <v>80</v>
      </c>
      <c r="I180" s="5" t="s">
        <v>116</v>
      </c>
      <c r="J180" s="5" t="s">
        <v>100</v>
      </c>
      <c r="K180" s="42">
        <v>43817</v>
      </c>
      <c r="L180" s="43">
        <v>43815</v>
      </c>
      <c r="M180" s="43">
        <v>43817</v>
      </c>
      <c r="N180" s="44">
        <v>-19.79</v>
      </c>
      <c r="O180" s="45">
        <v>-146.22</v>
      </c>
      <c r="P180" s="35">
        <f t="shared" si="2"/>
        <v>12.099999999999994</v>
      </c>
      <c r="Q180" s="7">
        <v>58</v>
      </c>
      <c r="R180" s="7">
        <v>-10</v>
      </c>
      <c r="S180" s="7">
        <v>994.29166666666686</v>
      </c>
      <c r="T180" s="7">
        <v>93.75</v>
      </c>
      <c r="U180" s="7"/>
    </row>
    <row r="181" spans="1:21" s="5" customFormat="1" x14ac:dyDescent="0.35">
      <c r="A181" s="5" t="s">
        <v>20</v>
      </c>
      <c r="B181" s="5" t="s">
        <v>21</v>
      </c>
      <c r="C181" s="5" t="s">
        <v>93</v>
      </c>
      <c r="D181" s="5" t="s">
        <v>23</v>
      </c>
      <c r="E181" s="7">
        <v>69.75</v>
      </c>
      <c r="F181" s="7">
        <v>27.016667000000002</v>
      </c>
      <c r="G181" s="7">
        <v>80</v>
      </c>
      <c r="I181" s="5" t="s">
        <v>117</v>
      </c>
      <c r="J181" s="5" t="s">
        <v>100</v>
      </c>
      <c r="K181" s="42">
        <v>43819</v>
      </c>
      <c r="L181" s="43">
        <v>43818</v>
      </c>
      <c r="M181" s="43">
        <v>43819</v>
      </c>
      <c r="N181" s="44">
        <v>-21.5</v>
      </c>
      <c r="O181" s="45">
        <v>-156.66999999999999</v>
      </c>
      <c r="P181" s="35">
        <f t="shared" si="2"/>
        <v>15.330000000000013</v>
      </c>
      <c r="Q181" s="7">
        <v>45</v>
      </c>
      <c r="R181" s="7">
        <v>-21.3</v>
      </c>
      <c r="S181" s="7">
        <v>1008.0166666666669</v>
      </c>
      <c r="T181" s="7">
        <v>90.291666666666671</v>
      </c>
      <c r="U181" s="7"/>
    </row>
    <row r="182" spans="1:21" s="5" customFormat="1" x14ac:dyDescent="0.35">
      <c r="A182" s="5" t="s">
        <v>20</v>
      </c>
      <c r="B182" s="5" t="s">
        <v>21</v>
      </c>
      <c r="C182" s="5" t="s">
        <v>93</v>
      </c>
      <c r="D182" s="5" t="s">
        <v>23</v>
      </c>
      <c r="E182" s="7">
        <v>69.75</v>
      </c>
      <c r="F182" s="7">
        <v>27.016667000000002</v>
      </c>
      <c r="G182" s="7">
        <v>80</v>
      </c>
      <c r="I182" s="5" t="s">
        <v>118</v>
      </c>
      <c r="J182" s="5" t="s">
        <v>100</v>
      </c>
      <c r="K182" s="42">
        <v>43838</v>
      </c>
      <c r="L182" s="43">
        <v>43836</v>
      </c>
      <c r="M182" s="43">
        <v>43838</v>
      </c>
      <c r="N182" s="44">
        <v>-17.510000000000002</v>
      </c>
      <c r="O182" s="45">
        <v>-133.58000000000001</v>
      </c>
      <c r="P182" s="35">
        <f t="shared" si="2"/>
        <v>6.5</v>
      </c>
      <c r="Q182" s="7">
        <v>40</v>
      </c>
      <c r="R182" s="7">
        <v>0.1</v>
      </c>
      <c r="S182" s="7">
        <v>974.4</v>
      </c>
      <c r="T182" s="7">
        <v>97.333333333333329</v>
      </c>
      <c r="U182" s="7"/>
    </row>
    <row r="183" spans="1:21" s="5" customFormat="1" x14ac:dyDescent="0.35">
      <c r="A183" s="5" t="s">
        <v>20</v>
      </c>
      <c r="B183" s="5" t="s">
        <v>21</v>
      </c>
      <c r="C183" s="5" t="s">
        <v>93</v>
      </c>
      <c r="D183" s="5" t="s">
        <v>23</v>
      </c>
      <c r="E183" s="7">
        <v>69.75</v>
      </c>
      <c r="F183" s="7">
        <v>27.016667000000002</v>
      </c>
      <c r="G183" s="7">
        <v>80</v>
      </c>
      <c r="I183" s="5" t="s">
        <v>119</v>
      </c>
      <c r="J183" s="5" t="s">
        <v>100</v>
      </c>
      <c r="K183" s="42">
        <v>43843</v>
      </c>
      <c r="L183" s="43">
        <v>43840</v>
      </c>
      <c r="M183" s="43">
        <v>43843</v>
      </c>
      <c r="N183" s="44">
        <v>-17.32</v>
      </c>
      <c r="O183" s="45">
        <v>-125.95</v>
      </c>
      <c r="P183" s="35">
        <f t="shared" si="2"/>
        <v>12.61</v>
      </c>
      <c r="Q183" s="7">
        <v>90</v>
      </c>
      <c r="R183" s="7">
        <v>-17.100000000000001</v>
      </c>
      <c r="S183" s="7">
        <v>986.14999999999975</v>
      </c>
      <c r="T183" s="7">
        <v>87.125</v>
      </c>
      <c r="U183" s="7"/>
    </row>
    <row r="184" spans="1:21" s="5" customFormat="1" x14ac:dyDescent="0.35">
      <c r="A184" s="5" t="s">
        <v>20</v>
      </c>
      <c r="B184" s="5" t="s">
        <v>21</v>
      </c>
      <c r="C184" s="5" t="s">
        <v>93</v>
      </c>
      <c r="D184" s="5" t="s">
        <v>23</v>
      </c>
      <c r="E184" s="7">
        <v>69.75</v>
      </c>
      <c r="F184" s="7">
        <v>27.016667000000002</v>
      </c>
      <c r="G184" s="7">
        <v>80</v>
      </c>
      <c r="I184" s="5" t="s">
        <v>120</v>
      </c>
      <c r="J184" s="5" t="s">
        <v>100</v>
      </c>
      <c r="K184" s="42">
        <v>43845</v>
      </c>
      <c r="L184" s="43">
        <v>43844</v>
      </c>
      <c r="M184" s="43">
        <v>43845</v>
      </c>
      <c r="N184" s="44">
        <v>-25.52</v>
      </c>
      <c r="O184" s="45">
        <v>-197.63</v>
      </c>
      <c r="P184" s="35">
        <f t="shared" si="2"/>
        <v>6.5300000000000011</v>
      </c>
      <c r="Q184" s="7">
        <v>20</v>
      </c>
      <c r="R184" s="7">
        <v>-4.8</v>
      </c>
      <c r="S184" s="7">
        <v>985.5916666666667</v>
      </c>
      <c r="T184" s="7">
        <v>93.666666666666671</v>
      </c>
      <c r="U184" s="7"/>
    </row>
    <row r="185" spans="1:21" s="5" customFormat="1" x14ac:dyDescent="0.35">
      <c r="A185" s="5" t="s">
        <v>20</v>
      </c>
      <c r="B185" s="5" t="s">
        <v>21</v>
      </c>
      <c r="C185" s="5" t="s">
        <v>93</v>
      </c>
      <c r="D185" s="5" t="s">
        <v>23</v>
      </c>
      <c r="E185" s="7">
        <v>69.75</v>
      </c>
      <c r="F185" s="7">
        <v>27.016667000000002</v>
      </c>
      <c r="G185" s="7">
        <v>80</v>
      </c>
      <c r="I185" s="5" t="s">
        <v>121</v>
      </c>
      <c r="J185" s="5" t="s">
        <v>100</v>
      </c>
      <c r="K185" s="42">
        <v>43857</v>
      </c>
      <c r="L185" s="43">
        <v>43854</v>
      </c>
      <c r="M185" s="43">
        <v>43857</v>
      </c>
      <c r="N185" s="44">
        <v>-16.13</v>
      </c>
      <c r="O185" s="45">
        <v>-115.39</v>
      </c>
      <c r="P185" s="35">
        <f t="shared" si="2"/>
        <v>13.649999999999991</v>
      </c>
      <c r="Q185" s="7">
        <v>150</v>
      </c>
      <c r="R185" s="7">
        <v>-31.3</v>
      </c>
      <c r="S185" s="7">
        <v>1018.7916666666666</v>
      </c>
      <c r="T185" s="7">
        <v>73.291666666666671</v>
      </c>
      <c r="U185" s="7"/>
    </row>
    <row r="186" spans="1:21" s="5" customFormat="1" x14ac:dyDescent="0.35">
      <c r="A186" s="5" t="s">
        <v>20</v>
      </c>
      <c r="B186" s="5" t="s">
        <v>21</v>
      </c>
      <c r="C186" s="5" t="s">
        <v>93</v>
      </c>
      <c r="D186" s="5" t="s">
        <v>23</v>
      </c>
      <c r="E186" s="7">
        <v>69.75</v>
      </c>
      <c r="F186" s="7">
        <v>27.016667000000002</v>
      </c>
      <c r="G186" s="7">
        <v>80</v>
      </c>
      <c r="I186" s="5" t="s">
        <v>122</v>
      </c>
      <c r="J186" s="5" t="s">
        <v>100</v>
      </c>
      <c r="K186" s="42">
        <v>43861</v>
      </c>
      <c r="L186" s="43">
        <v>43858</v>
      </c>
      <c r="M186" s="43">
        <v>43861</v>
      </c>
      <c r="N186" s="44">
        <v>-18.39</v>
      </c>
      <c r="O186" s="45">
        <v>-134.94</v>
      </c>
      <c r="P186" s="35">
        <f t="shared" si="2"/>
        <v>12.180000000000007</v>
      </c>
      <c r="Q186" s="7">
        <v>18</v>
      </c>
      <c r="R186" s="7">
        <v>-10.199999999999999</v>
      </c>
      <c r="S186" s="7">
        <v>1006.2791666666667</v>
      </c>
      <c r="T186" s="7">
        <v>85.25</v>
      </c>
      <c r="U186" s="7"/>
    </row>
    <row r="187" spans="1:21" s="5" customFormat="1" x14ac:dyDescent="0.35">
      <c r="A187" s="5" t="s">
        <v>20</v>
      </c>
      <c r="B187" s="5" t="s">
        <v>21</v>
      </c>
      <c r="C187" s="5" t="s">
        <v>93</v>
      </c>
      <c r="D187" s="5" t="s">
        <v>23</v>
      </c>
      <c r="E187" s="7">
        <v>69.75</v>
      </c>
      <c r="F187" s="7">
        <v>27.016667000000002</v>
      </c>
      <c r="G187" s="7">
        <v>80</v>
      </c>
      <c r="I187" s="5" t="s">
        <v>123</v>
      </c>
      <c r="J187" s="5" t="s">
        <v>100</v>
      </c>
      <c r="K187" s="42">
        <v>43865</v>
      </c>
      <c r="L187" s="43">
        <v>43862</v>
      </c>
      <c r="M187" s="43">
        <v>43834</v>
      </c>
      <c r="N187" s="44">
        <v>-25.25</v>
      </c>
      <c r="O187" s="45">
        <v>-194.45</v>
      </c>
      <c r="P187" s="35">
        <f t="shared" si="2"/>
        <v>7.5500000000000114</v>
      </c>
      <c r="Q187" s="7">
        <v>70</v>
      </c>
      <c r="R187" s="7">
        <v>-20.2</v>
      </c>
      <c r="S187" s="7">
        <v>995.93333333333305</v>
      </c>
      <c r="T187" s="7">
        <v>86.333333333333329</v>
      </c>
      <c r="U187" s="7"/>
    </row>
    <row r="188" spans="1:21" s="5" customFormat="1" x14ac:dyDescent="0.35">
      <c r="A188" s="5" t="s">
        <v>20</v>
      </c>
      <c r="B188" s="5" t="s">
        <v>21</v>
      </c>
      <c r="C188" s="5" t="s">
        <v>93</v>
      </c>
      <c r="D188" s="5" t="s">
        <v>23</v>
      </c>
      <c r="E188" s="7">
        <v>69.75</v>
      </c>
      <c r="F188" s="7">
        <v>27.016667000000002</v>
      </c>
      <c r="G188" s="7">
        <v>80</v>
      </c>
      <c r="I188" s="5" t="s">
        <v>124</v>
      </c>
      <c r="J188" s="5" t="s">
        <v>100</v>
      </c>
      <c r="K188" s="42">
        <v>43871</v>
      </c>
      <c r="L188" s="43">
        <v>43865</v>
      </c>
      <c r="M188" s="43">
        <v>43867</v>
      </c>
      <c r="N188" s="44">
        <v>-29.44</v>
      </c>
      <c r="O188" s="45">
        <v>-230.65</v>
      </c>
      <c r="P188" s="35">
        <f t="shared" si="2"/>
        <v>4.8700000000000045</v>
      </c>
      <c r="Q188" s="7">
        <v>28</v>
      </c>
      <c r="R188" s="7">
        <v>-1.1000000000000001</v>
      </c>
      <c r="S188" s="7">
        <v>953.17499999999984</v>
      </c>
      <c r="T188" s="7">
        <v>96.541666666666671</v>
      </c>
      <c r="U188" s="7"/>
    </row>
    <row r="189" spans="1:21" s="5" customFormat="1" x14ac:dyDescent="0.35">
      <c r="A189" s="5" t="s">
        <v>20</v>
      </c>
      <c r="B189" s="5" t="s">
        <v>21</v>
      </c>
      <c r="C189" s="5" t="s">
        <v>93</v>
      </c>
      <c r="D189" s="5" t="s">
        <v>23</v>
      </c>
      <c r="E189" s="7">
        <v>69.75</v>
      </c>
      <c r="F189" s="7">
        <v>27.016667000000002</v>
      </c>
      <c r="G189" s="7">
        <v>80</v>
      </c>
      <c r="I189" s="5" t="s">
        <v>125</v>
      </c>
      <c r="J189" s="5" t="s">
        <v>100</v>
      </c>
      <c r="K189" s="42">
        <v>43879</v>
      </c>
      <c r="L189" s="43">
        <v>43877</v>
      </c>
      <c r="M189" s="43">
        <v>43879</v>
      </c>
      <c r="N189" s="44">
        <v>-21.72</v>
      </c>
      <c r="O189" s="45">
        <v>-169.66</v>
      </c>
      <c r="P189" s="35">
        <f t="shared" si="2"/>
        <v>4.0999999999999943</v>
      </c>
      <c r="Q189" s="7">
        <v>56</v>
      </c>
      <c r="R189" s="7">
        <v>-3.5</v>
      </c>
      <c r="S189" s="7">
        <v>976.0291666666667</v>
      </c>
      <c r="T189" s="7">
        <v>85</v>
      </c>
      <c r="U189" s="7"/>
    </row>
    <row r="190" spans="1:21" s="5" customFormat="1" x14ac:dyDescent="0.35">
      <c r="A190" s="5" t="s">
        <v>20</v>
      </c>
      <c r="B190" s="5" t="s">
        <v>21</v>
      </c>
      <c r="C190" s="5" t="s">
        <v>93</v>
      </c>
      <c r="D190" s="5" t="s">
        <v>23</v>
      </c>
      <c r="E190" s="7">
        <v>69.75</v>
      </c>
      <c r="F190" s="7">
        <v>27.016667000000002</v>
      </c>
      <c r="G190" s="7">
        <v>80</v>
      </c>
      <c r="I190" s="5" t="s">
        <v>126</v>
      </c>
      <c r="J190" s="5" t="s">
        <v>100</v>
      </c>
      <c r="K190" s="42">
        <v>43882</v>
      </c>
      <c r="L190" s="43"/>
      <c r="M190" s="43"/>
      <c r="N190" s="44">
        <v>-23.157417872506848</v>
      </c>
      <c r="O190" s="45">
        <v>-185.72105547568131</v>
      </c>
      <c r="P190" s="35">
        <f t="shared" si="2"/>
        <v>-0.46171249562652861</v>
      </c>
      <c r="Q190" s="7">
        <v>8</v>
      </c>
      <c r="R190" s="7">
        <v>0.1</v>
      </c>
      <c r="S190" s="7">
        <v>980.53749999999991</v>
      </c>
      <c r="T190" s="7">
        <v>85.958333333333329</v>
      </c>
      <c r="U190" s="7"/>
    </row>
    <row r="191" spans="1:21" s="5" customFormat="1" x14ac:dyDescent="0.35">
      <c r="A191" s="5" t="s">
        <v>20</v>
      </c>
      <c r="B191" s="5" t="s">
        <v>21</v>
      </c>
      <c r="C191" s="5" t="s">
        <v>93</v>
      </c>
      <c r="D191" s="5" t="s">
        <v>23</v>
      </c>
      <c r="E191" s="7">
        <v>69.75</v>
      </c>
      <c r="F191" s="7">
        <v>27.016667000000002</v>
      </c>
      <c r="G191" s="7">
        <v>80</v>
      </c>
      <c r="I191" s="5" t="s">
        <v>127</v>
      </c>
      <c r="J191" s="5" t="s">
        <v>100</v>
      </c>
      <c r="K191" s="42">
        <v>43888</v>
      </c>
      <c r="L191" s="43"/>
      <c r="M191" s="43"/>
      <c r="N191" s="44">
        <v>-22.343600508408294</v>
      </c>
      <c r="O191" s="45">
        <v>-169.38600930325984</v>
      </c>
      <c r="P191" s="35">
        <f t="shared" si="2"/>
        <v>9.3627947640065088</v>
      </c>
      <c r="Q191" s="7">
        <v>21</v>
      </c>
      <c r="R191" s="7">
        <v>-19</v>
      </c>
      <c r="S191" s="7">
        <v>994.25416666666661</v>
      </c>
      <c r="T191" s="7">
        <v>82.583333333333329</v>
      </c>
      <c r="U191" s="7"/>
    </row>
    <row r="192" spans="1:21" s="5" customFormat="1" x14ac:dyDescent="0.35">
      <c r="A192" s="5" t="s">
        <v>20</v>
      </c>
      <c r="B192" s="5" t="s">
        <v>21</v>
      </c>
      <c r="C192" s="5" t="s">
        <v>93</v>
      </c>
      <c r="D192" s="5" t="s">
        <v>23</v>
      </c>
      <c r="E192" s="7">
        <v>69.75</v>
      </c>
      <c r="F192" s="7">
        <v>27.016667000000002</v>
      </c>
      <c r="G192" s="7">
        <v>80</v>
      </c>
      <c r="I192" s="5" t="s">
        <v>128</v>
      </c>
      <c r="J192" s="5" t="s">
        <v>100</v>
      </c>
      <c r="K192" s="42">
        <v>43892</v>
      </c>
      <c r="L192" s="43"/>
      <c r="M192" s="43"/>
      <c r="N192" s="44">
        <v>-11.150059569097312</v>
      </c>
      <c r="O192" s="45">
        <v>-64.576930273584836</v>
      </c>
      <c r="P192" s="35">
        <f t="shared" si="2"/>
        <v>24.623546279193661</v>
      </c>
      <c r="Q192" s="7">
        <v>28</v>
      </c>
      <c r="R192" s="7">
        <v>-25.1</v>
      </c>
      <c r="S192" s="7">
        <v>998.41666666666686</v>
      </c>
      <c r="T192" s="7">
        <v>84.208333333333329</v>
      </c>
      <c r="U192" s="7"/>
    </row>
    <row r="193" spans="1:21" s="5" customFormat="1" x14ac:dyDescent="0.35">
      <c r="A193" s="5" t="s">
        <v>20</v>
      </c>
      <c r="B193" s="5" t="s">
        <v>21</v>
      </c>
      <c r="C193" s="5" t="s">
        <v>93</v>
      </c>
      <c r="D193" s="5" t="s">
        <v>23</v>
      </c>
      <c r="E193" s="7">
        <v>69.75</v>
      </c>
      <c r="F193" s="7">
        <v>27.016667000000002</v>
      </c>
      <c r="G193" s="7">
        <v>80</v>
      </c>
      <c r="I193" s="5" t="s">
        <v>129</v>
      </c>
      <c r="J193" s="5" t="s">
        <v>100</v>
      </c>
      <c r="K193" s="42">
        <v>43894</v>
      </c>
      <c r="L193" s="43"/>
      <c r="M193" s="43"/>
      <c r="N193" s="44">
        <v>-8.7105673018807597</v>
      </c>
      <c r="O193" s="45">
        <v>-51.423914465029817</v>
      </c>
      <c r="P193" s="35">
        <f t="shared" si="2"/>
        <v>18.26062395001626</v>
      </c>
      <c r="Q193" s="7">
        <v>4</v>
      </c>
      <c r="R193" s="7">
        <v>-22.7</v>
      </c>
      <c r="S193" s="7">
        <v>1026.0416666666665</v>
      </c>
      <c r="T193" s="7">
        <v>82.083333333333329</v>
      </c>
      <c r="U193" s="7"/>
    </row>
    <row r="194" spans="1:21" s="5" customFormat="1" x14ac:dyDescent="0.35">
      <c r="A194" s="5" t="s">
        <v>20</v>
      </c>
      <c r="B194" s="5" t="s">
        <v>21</v>
      </c>
      <c r="C194" s="5" t="s">
        <v>93</v>
      </c>
      <c r="D194" s="5" t="s">
        <v>23</v>
      </c>
      <c r="E194" s="7">
        <v>69.75</v>
      </c>
      <c r="F194" s="7">
        <v>27.016667000000002</v>
      </c>
      <c r="G194" s="7">
        <v>80</v>
      </c>
      <c r="I194" s="5" t="s">
        <v>130</v>
      </c>
      <c r="J194" s="5" t="s">
        <v>100</v>
      </c>
      <c r="K194" s="42">
        <v>43896</v>
      </c>
      <c r="L194" s="43"/>
      <c r="M194" s="43"/>
      <c r="N194" s="44">
        <v>-22.659132346144279</v>
      </c>
      <c r="O194" s="45">
        <v>-175.42586037686826</v>
      </c>
      <c r="P194" s="35">
        <f t="shared" si="2"/>
        <v>5.8471983922859749</v>
      </c>
      <c r="Q194" s="7">
        <v>40</v>
      </c>
      <c r="R194" s="7">
        <v>-14.4</v>
      </c>
      <c r="S194" s="7">
        <v>989.89583333333314</v>
      </c>
      <c r="T194" s="7">
        <v>90</v>
      </c>
      <c r="U194" s="7"/>
    </row>
    <row r="195" spans="1:21" s="5" customFormat="1" x14ac:dyDescent="0.35">
      <c r="A195" s="5" t="s">
        <v>20</v>
      </c>
      <c r="B195" s="5" t="s">
        <v>21</v>
      </c>
      <c r="C195" s="5" t="s">
        <v>93</v>
      </c>
      <c r="D195" s="5" t="s">
        <v>23</v>
      </c>
      <c r="E195" s="7">
        <v>69.75</v>
      </c>
      <c r="F195" s="7">
        <v>27.016667000000002</v>
      </c>
      <c r="G195" s="7">
        <v>80</v>
      </c>
      <c r="I195" s="5" t="s">
        <v>131</v>
      </c>
      <c r="J195" s="5" t="s">
        <v>132</v>
      </c>
      <c r="K195" s="42">
        <v>43908</v>
      </c>
      <c r="L195" s="43"/>
      <c r="M195" s="43"/>
      <c r="N195" s="44">
        <v>-15.527573861414304</v>
      </c>
      <c r="O195" s="45">
        <v>-121.1612387461887</v>
      </c>
      <c r="P195" s="35">
        <f t="shared" si="2"/>
        <v>3.0593521451257288</v>
      </c>
      <c r="Q195" s="7">
        <v>2</v>
      </c>
      <c r="R195" s="7">
        <v>-0.9</v>
      </c>
      <c r="S195" s="7">
        <v>991.71666666666681</v>
      </c>
      <c r="T195" s="7">
        <v>88.083333333333329</v>
      </c>
      <c r="U195" s="7"/>
    </row>
    <row r="196" spans="1:21" s="5" customFormat="1" x14ac:dyDescent="0.35">
      <c r="A196" s="5" t="s">
        <v>20</v>
      </c>
      <c r="B196" s="5" t="s">
        <v>21</v>
      </c>
      <c r="C196" s="5" t="s">
        <v>93</v>
      </c>
      <c r="D196" s="5" t="s">
        <v>23</v>
      </c>
      <c r="E196" s="7">
        <v>69.75</v>
      </c>
      <c r="F196" s="7">
        <v>27.016667000000002</v>
      </c>
      <c r="G196" s="7">
        <v>80</v>
      </c>
      <c r="I196" s="5" t="s">
        <v>133</v>
      </c>
      <c r="J196" s="5" t="s">
        <v>100</v>
      </c>
      <c r="K196" s="42">
        <v>43910</v>
      </c>
      <c r="L196" s="43"/>
      <c r="M196" s="43"/>
      <c r="N196" s="44">
        <v>-11.635116276175919</v>
      </c>
      <c r="O196" s="45">
        <v>-64.095662335989388</v>
      </c>
      <c r="P196" s="35">
        <f t="shared" si="2"/>
        <v>28.985267873417968</v>
      </c>
      <c r="Q196" s="7">
        <v>15</v>
      </c>
      <c r="R196" s="7">
        <v>-6.3</v>
      </c>
      <c r="S196" s="7">
        <v>1017.6791666666668</v>
      </c>
      <c r="T196" s="7">
        <v>79.791666666666671</v>
      </c>
      <c r="U196" s="7"/>
    </row>
    <row r="197" spans="1:21" s="5" customFormat="1" x14ac:dyDescent="0.35">
      <c r="A197" s="5" t="s">
        <v>20</v>
      </c>
      <c r="B197" s="5" t="s">
        <v>21</v>
      </c>
      <c r="C197" s="5" t="s">
        <v>93</v>
      </c>
      <c r="D197" s="5" t="s">
        <v>23</v>
      </c>
      <c r="E197" s="7">
        <v>69.75</v>
      </c>
      <c r="F197" s="7">
        <v>27.016667000000002</v>
      </c>
      <c r="G197" s="7">
        <v>80</v>
      </c>
      <c r="I197" s="5" t="s">
        <v>134</v>
      </c>
      <c r="J197" s="5" t="s">
        <v>100</v>
      </c>
      <c r="K197" s="42">
        <v>43916</v>
      </c>
      <c r="L197" s="43"/>
      <c r="M197" s="43"/>
      <c r="N197" s="44">
        <v>-2.5062003697524471</v>
      </c>
      <c r="O197" s="45">
        <v>-26.87996673412249</v>
      </c>
      <c r="P197" s="35">
        <f t="shared" si="2"/>
        <v>-6.8303637761029137</v>
      </c>
      <c r="Q197" s="7">
        <v>2</v>
      </c>
      <c r="R197" s="7">
        <v>1.8</v>
      </c>
      <c r="S197" s="7">
        <v>1010.5708333333336</v>
      </c>
      <c r="T197" s="7">
        <v>70.375</v>
      </c>
      <c r="U197" s="7"/>
    </row>
    <row r="198" spans="1:21" s="5" customFormat="1" x14ac:dyDescent="0.35">
      <c r="A198" s="5" t="s">
        <v>20</v>
      </c>
      <c r="B198" s="5" t="s">
        <v>21</v>
      </c>
      <c r="C198" s="5" t="s">
        <v>93</v>
      </c>
      <c r="D198" s="5" t="s">
        <v>23</v>
      </c>
      <c r="E198" s="7">
        <v>69.75</v>
      </c>
      <c r="F198" s="7">
        <v>27.016667000000002</v>
      </c>
      <c r="G198" s="7">
        <v>80</v>
      </c>
      <c r="I198" s="5" t="s">
        <v>135</v>
      </c>
      <c r="J198" s="5" t="s">
        <v>100</v>
      </c>
      <c r="K198" s="42">
        <v>43920</v>
      </c>
      <c r="L198" s="43"/>
      <c r="M198" s="43"/>
      <c r="N198" s="44">
        <v>-16.678481139118997</v>
      </c>
      <c r="O198" s="45">
        <v>-122.2589235204793</v>
      </c>
      <c r="P198" s="35">
        <f t="shared" si="2"/>
        <v>11.168925592472675</v>
      </c>
      <c r="Q198" s="7">
        <v>150</v>
      </c>
      <c r="R198" s="7">
        <v>-5.5</v>
      </c>
      <c r="S198" s="7">
        <v>1015.4875000000001</v>
      </c>
      <c r="T198" s="7">
        <v>80.875</v>
      </c>
      <c r="U198" s="7"/>
    </row>
    <row r="199" spans="1:21" s="5" customFormat="1" x14ac:dyDescent="0.35">
      <c r="A199" s="5" t="s">
        <v>20</v>
      </c>
      <c r="B199" s="5" t="s">
        <v>21</v>
      </c>
      <c r="C199" s="5" t="s">
        <v>93</v>
      </c>
      <c r="D199" s="5" t="s">
        <v>23</v>
      </c>
      <c r="E199" s="7">
        <v>69.75</v>
      </c>
      <c r="F199" s="7">
        <v>27.016667000000002</v>
      </c>
      <c r="G199" s="7">
        <v>80</v>
      </c>
      <c r="I199" s="5" t="s">
        <v>136</v>
      </c>
      <c r="J199" s="5" t="s">
        <v>100</v>
      </c>
      <c r="K199" s="42">
        <v>43922</v>
      </c>
      <c r="L199" s="43"/>
      <c r="M199" s="43"/>
      <c r="N199" s="44">
        <v>-23.155213069292856</v>
      </c>
      <c r="O199" s="45">
        <v>-186.49329973155696</v>
      </c>
      <c r="P199" s="35">
        <f t="shared" si="2"/>
        <v>-1.2515951772141136</v>
      </c>
      <c r="Q199" s="7">
        <v>10</v>
      </c>
      <c r="R199" s="7">
        <v>-4.9000000000000004</v>
      </c>
      <c r="S199" s="7">
        <v>995.03333333333364</v>
      </c>
      <c r="T199" s="7">
        <v>81.541666666666671</v>
      </c>
      <c r="U199" s="7"/>
    </row>
    <row r="200" spans="1:21" s="5" customFormat="1" x14ac:dyDescent="0.35">
      <c r="A200" s="5" t="s">
        <v>20</v>
      </c>
      <c r="B200" s="5" t="s">
        <v>21</v>
      </c>
      <c r="C200" s="5" t="s">
        <v>93</v>
      </c>
      <c r="D200" s="5" t="s">
        <v>23</v>
      </c>
      <c r="E200" s="7">
        <v>69.75</v>
      </c>
      <c r="F200" s="7">
        <v>27.016667000000002</v>
      </c>
      <c r="G200" s="7">
        <v>80</v>
      </c>
      <c r="I200" s="5" t="s">
        <v>137</v>
      </c>
      <c r="J200" s="5" t="s">
        <v>100</v>
      </c>
      <c r="K200" s="42">
        <v>43928</v>
      </c>
      <c r="L200" s="43"/>
      <c r="M200" s="43"/>
      <c r="N200" s="44">
        <v>-21.262511999146735</v>
      </c>
      <c r="O200" s="45">
        <v>-165.96962237847742</v>
      </c>
      <c r="P200" s="35">
        <f t="shared" si="2"/>
        <v>4.1304736146964558</v>
      </c>
      <c r="Q200" s="7">
        <v>7.5</v>
      </c>
      <c r="R200" s="7">
        <v>0.6</v>
      </c>
      <c r="S200" s="7">
        <v>1006.5125000000002</v>
      </c>
      <c r="T200" s="7">
        <v>81.333333333333329</v>
      </c>
      <c r="U200" s="7"/>
    </row>
    <row r="201" spans="1:21" s="5" customFormat="1" x14ac:dyDescent="0.35">
      <c r="A201" s="5" t="s">
        <v>20</v>
      </c>
      <c r="B201" s="5" t="s">
        <v>21</v>
      </c>
      <c r="C201" s="5" t="s">
        <v>93</v>
      </c>
      <c r="D201" s="5" t="s">
        <v>23</v>
      </c>
      <c r="E201" s="7">
        <v>69.75</v>
      </c>
      <c r="F201" s="7">
        <v>27.016667000000002</v>
      </c>
      <c r="G201" s="7">
        <v>80</v>
      </c>
      <c r="I201" s="5" t="s">
        <v>138</v>
      </c>
      <c r="J201" s="5" t="s">
        <v>100</v>
      </c>
      <c r="K201" s="42">
        <v>43929</v>
      </c>
      <c r="L201" s="43"/>
      <c r="M201" s="43"/>
      <c r="N201" s="44">
        <v>-14.460204127706477</v>
      </c>
      <c r="O201" s="45">
        <v>-113.19902382363762</v>
      </c>
      <c r="P201" s="35">
        <f t="shared" si="2"/>
        <v>2.4826091980142024</v>
      </c>
      <c r="Q201" s="7">
        <v>15</v>
      </c>
      <c r="R201" s="7">
        <v>2.4</v>
      </c>
      <c r="S201" s="7">
        <v>993.92083333333323</v>
      </c>
      <c r="T201" s="7">
        <v>72.25</v>
      </c>
      <c r="U201" s="7"/>
    </row>
    <row r="202" spans="1:21" s="5" customFormat="1" x14ac:dyDescent="0.35">
      <c r="A202" s="5" t="s">
        <v>20</v>
      </c>
      <c r="B202" s="5" t="s">
        <v>21</v>
      </c>
      <c r="C202" s="5" t="s">
        <v>93</v>
      </c>
      <c r="D202" s="5" t="s">
        <v>23</v>
      </c>
      <c r="E202" s="7">
        <v>69.75</v>
      </c>
      <c r="F202" s="7">
        <v>27.016667000000002</v>
      </c>
      <c r="G202" s="7">
        <v>80</v>
      </c>
      <c r="I202" s="5" t="s">
        <v>139</v>
      </c>
      <c r="J202" s="5" t="s">
        <v>100</v>
      </c>
      <c r="K202" s="42">
        <v>43930</v>
      </c>
      <c r="L202" s="43"/>
      <c r="M202" s="43"/>
      <c r="N202" s="44">
        <v>-18.077061311195649</v>
      </c>
      <c r="O202" s="45">
        <v>-136.49780780613588</v>
      </c>
      <c r="P202" s="35">
        <f t="shared" si="2"/>
        <v>8.1186826834293129</v>
      </c>
      <c r="Q202" s="7">
        <v>30</v>
      </c>
      <c r="R202" s="7">
        <v>-3.8</v>
      </c>
      <c r="S202" s="7">
        <v>1002.6541666666667</v>
      </c>
      <c r="T202" s="7">
        <v>80.666666666666671</v>
      </c>
      <c r="U202" s="7"/>
    </row>
    <row r="203" spans="1:21" s="5" customFormat="1" x14ac:dyDescent="0.35">
      <c r="A203" s="5" t="s">
        <v>20</v>
      </c>
      <c r="B203" s="5" t="s">
        <v>21</v>
      </c>
      <c r="C203" s="5" t="s">
        <v>93</v>
      </c>
      <c r="D203" s="5" t="s">
        <v>23</v>
      </c>
      <c r="E203" s="7">
        <v>69.75</v>
      </c>
      <c r="F203" s="7">
        <v>27.016667000000002</v>
      </c>
      <c r="G203" s="7">
        <v>80</v>
      </c>
      <c r="I203" s="5" t="s">
        <v>140</v>
      </c>
      <c r="J203" s="5" t="s">
        <v>100</v>
      </c>
      <c r="K203" s="42">
        <v>43935</v>
      </c>
      <c r="L203" s="43">
        <v>43930</v>
      </c>
      <c r="M203" s="43">
        <v>43935</v>
      </c>
      <c r="N203" s="44">
        <v>-24.674322483734496</v>
      </c>
      <c r="O203" s="45">
        <v>-194.86662332714354</v>
      </c>
      <c r="P203" s="35">
        <f t="shared" si="2"/>
        <v>2.5279565427324258</v>
      </c>
      <c r="Q203" s="7">
        <v>20</v>
      </c>
      <c r="R203" s="7">
        <v>1.5</v>
      </c>
      <c r="S203" s="7">
        <v>999.87499999999966</v>
      </c>
      <c r="T203" s="7">
        <v>84.916666666666671</v>
      </c>
      <c r="U203" s="7"/>
    </row>
    <row r="204" spans="1:21" s="5" customFormat="1" x14ac:dyDescent="0.35">
      <c r="A204" s="5" t="s">
        <v>20</v>
      </c>
      <c r="B204" s="5" t="s">
        <v>21</v>
      </c>
      <c r="C204" s="5" t="s">
        <v>93</v>
      </c>
      <c r="D204" s="5" t="s">
        <v>23</v>
      </c>
      <c r="E204" s="7">
        <v>69.75</v>
      </c>
      <c r="F204" s="7">
        <v>27.016667000000002</v>
      </c>
      <c r="G204" s="7">
        <v>80</v>
      </c>
      <c r="I204" s="5" t="s">
        <v>141</v>
      </c>
      <c r="J204" s="5" t="s">
        <v>132</v>
      </c>
      <c r="K204" s="42">
        <v>43936</v>
      </c>
      <c r="L204" s="43"/>
      <c r="M204" s="43"/>
      <c r="N204" s="44">
        <v>-8.678230188075517</v>
      </c>
      <c r="O204" s="45">
        <v>-58.144679664156911</v>
      </c>
      <c r="P204" s="35">
        <f t="shared" si="2"/>
        <v>11.281161840447226</v>
      </c>
      <c r="Q204" s="7">
        <v>10</v>
      </c>
      <c r="R204" s="7">
        <v>3</v>
      </c>
      <c r="S204" s="7">
        <v>991.92499999999984</v>
      </c>
      <c r="T204" s="7">
        <v>78.083333333333329</v>
      </c>
      <c r="U204" s="7"/>
    </row>
    <row r="205" spans="1:21" s="5" customFormat="1" x14ac:dyDescent="0.35">
      <c r="A205" s="5" t="s">
        <v>20</v>
      </c>
      <c r="B205" s="5" t="s">
        <v>21</v>
      </c>
      <c r="C205" s="5" t="s">
        <v>93</v>
      </c>
      <c r="D205" s="5" t="s">
        <v>23</v>
      </c>
      <c r="E205" s="7">
        <v>69.75</v>
      </c>
      <c r="F205" s="7">
        <v>27.016667000000002</v>
      </c>
      <c r="G205" s="7">
        <v>80</v>
      </c>
      <c r="I205" s="5" t="s">
        <v>142</v>
      </c>
      <c r="J205" s="5" t="s">
        <v>94</v>
      </c>
      <c r="K205" s="42">
        <v>43941</v>
      </c>
      <c r="L205" s="43">
        <v>43938</v>
      </c>
      <c r="M205" s="43">
        <v>43941</v>
      </c>
      <c r="N205" s="44">
        <v>-6.061128773065029</v>
      </c>
      <c r="O205" s="45">
        <v>-45.691040945478449</v>
      </c>
      <c r="P205" s="35">
        <f t="shared" si="2"/>
        <v>2.7979892390417831</v>
      </c>
      <c r="Q205" s="7">
        <v>20</v>
      </c>
      <c r="R205" s="7">
        <v>4.0999999999999996</v>
      </c>
      <c r="S205" s="7">
        <v>1020.4958333333334</v>
      </c>
      <c r="T205" s="7">
        <v>69.166666666666671</v>
      </c>
      <c r="U205" s="7"/>
    </row>
    <row r="206" spans="1:21" s="5" customFormat="1" x14ac:dyDescent="0.35">
      <c r="A206" s="5" t="s">
        <v>20</v>
      </c>
      <c r="B206" s="5" t="s">
        <v>21</v>
      </c>
      <c r="C206" s="5" t="s">
        <v>93</v>
      </c>
      <c r="D206" s="5" t="s">
        <v>23</v>
      </c>
      <c r="E206" s="7">
        <v>69.75</v>
      </c>
      <c r="F206" s="7">
        <v>27.016667000000002</v>
      </c>
      <c r="G206" s="7">
        <v>80</v>
      </c>
      <c r="I206" s="5" t="s">
        <v>143</v>
      </c>
      <c r="J206" s="5" t="s">
        <v>100</v>
      </c>
      <c r="K206" s="42">
        <v>43948</v>
      </c>
      <c r="L206" s="43">
        <v>43945</v>
      </c>
      <c r="M206" s="43">
        <v>43948</v>
      </c>
      <c r="N206" s="44">
        <v>-7.7093416645927428</v>
      </c>
      <c r="O206" s="45">
        <v>-58.255703623162312</v>
      </c>
      <c r="P206" s="35">
        <f t="shared" si="2"/>
        <v>3.4190296935796312</v>
      </c>
      <c r="Q206" s="7">
        <v>2</v>
      </c>
      <c r="R206" s="7">
        <v>-0.4</v>
      </c>
      <c r="S206" s="7">
        <v>1014.6458333333334</v>
      </c>
      <c r="T206" s="7">
        <v>78.166666666666671</v>
      </c>
      <c r="U206" s="7"/>
    </row>
    <row r="207" spans="1:21" s="5" customFormat="1" x14ac:dyDescent="0.35">
      <c r="A207" s="5" t="s">
        <v>20</v>
      </c>
      <c r="B207" s="5" t="s">
        <v>21</v>
      </c>
      <c r="C207" s="5" t="s">
        <v>93</v>
      </c>
      <c r="D207" s="5" t="s">
        <v>23</v>
      </c>
      <c r="E207" s="7">
        <v>69.75</v>
      </c>
      <c r="F207" s="7">
        <v>27.016667000000002</v>
      </c>
      <c r="G207" s="7">
        <v>80</v>
      </c>
      <c r="I207" s="5" t="s">
        <v>144</v>
      </c>
      <c r="J207" s="5" t="s">
        <v>100</v>
      </c>
      <c r="K207" s="42">
        <v>43950</v>
      </c>
      <c r="L207" s="43"/>
      <c r="M207" s="43"/>
      <c r="N207" s="44">
        <v>-7.2615216340171385</v>
      </c>
      <c r="O207" s="45">
        <v>-45.12902831042453</v>
      </c>
      <c r="P207" s="35">
        <f t="shared" si="2"/>
        <v>12.963144761712577</v>
      </c>
      <c r="Q207" s="7">
        <v>1</v>
      </c>
      <c r="R207" s="7">
        <v>-1.1000000000000001</v>
      </c>
      <c r="S207" s="7">
        <v>1019.2249999999999</v>
      </c>
      <c r="T207" s="7">
        <v>72.625</v>
      </c>
      <c r="U207" s="7"/>
    </row>
    <row r="208" spans="1:21" s="5" customFormat="1" x14ac:dyDescent="0.35">
      <c r="A208" s="5" t="s">
        <v>20</v>
      </c>
      <c r="B208" s="5" t="s">
        <v>21</v>
      </c>
      <c r="C208" s="5" t="s">
        <v>93</v>
      </c>
      <c r="D208" s="5" t="s">
        <v>23</v>
      </c>
      <c r="E208" s="7">
        <v>69.75</v>
      </c>
      <c r="F208" s="7">
        <v>27.016667000000002</v>
      </c>
      <c r="G208" s="7">
        <v>80</v>
      </c>
      <c r="I208" s="5" t="s">
        <v>145</v>
      </c>
      <c r="J208" s="5" t="s">
        <v>132</v>
      </c>
      <c r="K208" s="42">
        <v>43955</v>
      </c>
      <c r="L208" s="43">
        <v>43951</v>
      </c>
      <c r="M208" s="43">
        <v>43955</v>
      </c>
      <c r="N208" s="44">
        <v>-19.868831389767848</v>
      </c>
      <c r="O208" s="45">
        <v>-146.12242803947066</v>
      </c>
      <c r="P208" s="35">
        <f t="shared" si="2"/>
        <v>12.828223078672124</v>
      </c>
      <c r="Q208" s="7">
        <v>100</v>
      </c>
      <c r="R208" s="7">
        <v>1.8</v>
      </c>
      <c r="S208" s="7">
        <v>1005.4333333333334</v>
      </c>
      <c r="T208" s="7">
        <v>92.875</v>
      </c>
      <c r="U208" s="7"/>
    </row>
    <row r="209" spans="1:21" s="5" customFormat="1" x14ac:dyDescent="0.35">
      <c r="A209" s="5" t="s">
        <v>20</v>
      </c>
      <c r="B209" s="5" t="s">
        <v>21</v>
      </c>
      <c r="C209" s="5" t="s">
        <v>93</v>
      </c>
      <c r="D209" s="5" t="s">
        <v>23</v>
      </c>
      <c r="E209" s="7">
        <v>69.75</v>
      </c>
      <c r="F209" s="7">
        <v>27.016667000000002</v>
      </c>
      <c r="G209" s="7">
        <v>80</v>
      </c>
      <c r="I209" s="5" t="s">
        <v>146</v>
      </c>
      <c r="J209" s="5" t="s">
        <v>132</v>
      </c>
      <c r="K209" s="42">
        <v>43956</v>
      </c>
      <c r="L209" s="43"/>
      <c r="M209" s="43"/>
      <c r="N209" s="44">
        <v>-14.825711504959651</v>
      </c>
      <c r="O209" s="45">
        <v>-108.13967924386178</v>
      </c>
      <c r="P209" s="35">
        <f t="shared" si="2"/>
        <v>10.466012795815431</v>
      </c>
      <c r="Q209" s="7">
        <v>30</v>
      </c>
      <c r="R209" s="7">
        <v>5.4</v>
      </c>
      <c r="S209" s="7">
        <v>1007.5500000000001</v>
      </c>
      <c r="T209" s="7">
        <v>68.958333333333329</v>
      </c>
      <c r="U209" s="7"/>
    </row>
    <row r="210" spans="1:21" s="5" customFormat="1" x14ac:dyDescent="0.35">
      <c r="A210" s="5" t="s">
        <v>20</v>
      </c>
      <c r="B210" s="5" t="s">
        <v>21</v>
      </c>
      <c r="C210" s="5" t="s">
        <v>93</v>
      </c>
      <c r="D210" s="5" t="s">
        <v>23</v>
      </c>
      <c r="E210" s="7">
        <v>69.75</v>
      </c>
      <c r="F210" s="7">
        <v>27.016667000000002</v>
      </c>
      <c r="G210" s="7">
        <v>80</v>
      </c>
      <c r="I210" s="5" t="s">
        <v>147</v>
      </c>
      <c r="J210" s="5" t="s">
        <v>100</v>
      </c>
      <c r="K210" s="42">
        <v>43963</v>
      </c>
      <c r="L210" s="43"/>
      <c r="M210" s="43"/>
      <c r="N210" s="44">
        <v>-19.980786397411745</v>
      </c>
      <c r="O210" s="45">
        <v>-152.39491246398836</v>
      </c>
      <c r="P210" s="35">
        <f t="shared" si="2"/>
        <v>7.4513787153055944</v>
      </c>
      <c r="Q210" s="7">
        <v>8</v>
      </c>
      <c r="R210" s="7">
        <v>-0.9</v>
      </c>
      <c r="S210" s="7">
        <v>992.35416666666663</v>
      </c>
      <c r="T210" s="7">
        <v>72.5</v>
      </c>
      <c r="U210" s="7"/>
    </row>
    <row r="211" spans="1:21" s="5" customFormat="1" x14ac:dyDescent="0.35">
      <c r="A211" s="5" t="s">
        <v>20</v>
      </c>
      <c r="B211" s="5" t="s">
        <v>21</v>
      </c>
      <c r="C211" s="5" t="s">
        <v>93</v>
      </c>
      <c r="D211" s="5" t="s">
        <v>23</v>
      </c>
      <c r="E211" s="7">
        <v>69.75</v>
      </c>
      <c r="F211" s="7">
        <v>27.016667000000002</v>
      </c>
      <c r="G211" s="7">
        <v>80</v>
      </c>
      <c r="I211" s="5" t="s">
        <v>148</v>
      </c>
      <c r="J211" s="5" t="s">
        <v>100</v>
      </c>
      <c r="K211" s="42">
        <v>43966</v>
      </c>
      <c r="L211" s="43"/>
      <c r="M211" s="43"/>
      <c r="N211" s="44">
        <v>-16.311839860102808</v>
      </c>
      <c r="O211" s="45">
        <v>-122.70789338083344</v>
      </c>
      <c r="P211" s="35">
        <f t="shared" si="2"/>
        <v>7.7868254999890212</v>
      </c>
      <c r="Q211" s="7">
        <v>80</v>
      </c>
      <c r="R211" s="7">
        <v>4.5</v>
      </c>
      <c r="S211" s="7">
        <v>993.62083333333328</v>
      </c>
      <c r="T211" s="7">
        <v>68.875</v>
      </c>
      <c r="U211" s="7"/>
    </row>
    <row r="212" spans="1:21" s="5" customFormat="1" x14ac:dyDescent="0.35">
      <c r="A212" s="5" t="s">
        <v>20</v>
      </c>
      <c r="B212" s="5" t="s">
        <v>21</v>
      </c>
      <c r="C212" s="5" t="s">
        <v>93</v>
      </c>
      <c r="D212" s="5" t="s">
        <v>23</v>
      </c>
      <c r="E212" s="7">
        <v>69.75</v>
      </c>
      <c r="F212" s="7">
        <v>27.016667000000002</v>
      </c>
      <c r="G212" s="7">
        <v>80</v>
      </c>
      <c r="I212" s="5" t="s">
        <v>149</v>
      </c>
      <c r="J212" s="5" t="s">
        <v>94</v>
      </c>
      <c r="K212" s="42">
        <v>43969</v>
      </c>
      <c r="L212" s="43">
        <v>43967</v>
      </c>
      <c r="M212" s="43">
        <v>43969</v>
      </c>
      <c r="N212" s="44">
        <v>-14.922371928708957</v>
      </c>
      <c r="O212" s="45">
        <v>-107.29878501621246</v>
      </c>
      <c r="P212" s="35">
        <f t="shared" si="2"/>
        <v>12.080190413459192</v>
      </c>
      <c r="Q212" s="7">
        <v>8</v>
      </c>
      <c r="R212" s="7">
        <v>3.4</v>
      </c>
      <c r="S212" s="7">
        <v>1009.2208333333333</v>
      </c>
      <c r="T212" s="7">
        <v>79.583333333333329</v>
      </c>
      <c r="U212" s="7"/>
    </row>
    <row r="213" spans="1:21" s="5" customFormat="1" x14ac:dyDescent="0.35">
      <c r="A213" s="5" t="s">
        <v>20</v>
      </c>
      <c r="B213" s="5" t="s">
        <v>21</v>
      </c>
      <c r="C213" s="5" t="s">
        <v>93</v>
      </c>
      <c r="D213" s="5" t="s">
        <v>23</v>
      </c>
      <c r="E213" s="7">
        <v>69.75</v>
      </c>
      <c r="F213" s="7">
        <v>27.016667000000002</v>
      </c>
      <c r="G213" s="7">
        <v>80</v>
      </c>
      <c r="I213" s="5" t="s">
        <v>150</v>
      </c>
      <c r="J213" s="5" t="s">
        <v>151</v>
      </c>
      <c r="K213" s="42">
        <v>43970</v>
      </c>
      <c r="L213" s="43"/>
      <c r="M213" s="43"/>
      <c r="N213" s="44">
        <v>-11.5100451133132</v>
      </c>
      <c r="O213" s="45">
        <v>-90.998511536379553</v>
      </c>
      <c r="P213" s="35">
        <f t="shared" si="2"/>
        <v>1.0818493701260508</v>
      </c>
      <c r="Q213" s="7">
        <v>75</v>
      </c>
      <c r="R213" s="7">
        <v>4.5</v>
      </c>
      <c r="S213" s="7">
        <v>1015.4874999999998</v>
      </c>
      <c r="T213" s="7">
        <v>77.916666666666671</v>
      </c>
      <c r="U213" s="7"/>
    </row>
    <row r="214" spans="1:21" s="5" customFormat="1" x14ac:dyDescent="0.35">
      <c r="A214" s="5" t="s">
        <v>20</v>
      </c>
      <c r="B214" s="5" t="s">
        <v>21</v>
      </c>
      <c r="C214" s="5" t="s">
        <v>93</v>
      </c>
      <c r="D214" s="5" t="s">
        <v>23</v>
      </c>
      <c r="E214" s="7">
        <v>69.75</v>
      </c>
      <c r="F214" s="7">
        <v>27.016667000000002</v>
      </c>
      <c r="G214" s="7">
        <v>80</v>
      </c>
      <c r="I214" s="5" t="s">
        <v>152</v>
      </c>
      <c r="J214" s="5" t="s">
        <v>41</v>
      </c>
      <c r="K214" s="42">
        <v>43978</v>
      </c>
      <c r="L214" s="43"/>
      <c r="M214" s="43"/>
      <c r="N214" s="44">
        <v>-8.3691367883701648</v>
      </c>
      <c r="O214" s="45">
        <v>-77.000394218846793</v>
      </c>
      <c r="P214" s="35">
        <f t="shared" si="2"/>
        <v>-10.047299911885474</v>
      </c>
      <c r="Q214" s="7">
        <v>0.63</v>
      </c>
      <c r="R214" s="7">
        <v>10.3</v>
      </c>
      <c r="S214" s="7">
        <v>1017.9916666666667</v>
      </c>
      <c r="T214" s="7">
        <v>68.875</v>
      </c>
      <c r="U214" s="7"/>
    </row>
    <row r="215" spans="1:21" s="5" customFormat="1" x14ac:dyDescent="0.35">
      <c r="A215" s="5" t="s">
        <v>20</v>
      </c>
      <c r="B215" s="5" t="s">
        <v>21</v>
      </c>
      <c r="C215" s="5" t="s">
        <v>93</v>
      </c>
      <c r="D215" s="5" t="s">
        <v>23</v>
      </c>
      <c r="E215" s="7">
        <v>69.75</v>
      </c>
      <c r="F215" s="7">
        <v>27.016667000000002</v>
      </c>
      <c r="G215" s="7">
        <v>80</v>
      </c>
      <c r="I215" s="5" t="s">
        <v>153</v>
      </c>
      <c r="J215" s="5" t="s">
        <v>41</v>
      </c>
      <c r="K215" s="42">
        <v>43983</v>
      </c>
      <c r="L215" s="43">
        <v>43980</v>
      </c>
      <c r="M215" s="43">
        <v>43983</v>
      </c>
      <c r="N215" s="44">
        <v>-7.1551780333139057</v>
      </c>
      <c r="O215" s="45">
        <v>-48.093179927166076</v>
      </c>
      <c r="P215" s="35">
        <f t="shared" si="2"/>
        <v>9.1482443393451689</v>
      </c>
      <c r="Q215" s="7">
        <v>7.85</v>
      </c>
      <c r="R215" s="7">
        <v>17.7</v>
      </c>
      <c r="S215" s="7">
        <v>1024.7875000000001</v>
      </c>
      <c r="T215" s="7">
        <v>58.291666666666664</v>
      </c>
      <c r="U215" s="7"/>
    </row>
    <row r="216" spans="1:21" s="5" customFormat="1" x14ac:dyDescent="0.35">
      <c r="A216" s="5" t="s">
        <v>20</v>
      </c>
      <c r="B216" s="5" t="s">
        <v>21</v>
      </c>
      <c r="C216" s="5" t="s">
        <v>93</v>
      </c>
      <c r="D216" s="5" t="s">
        <v>23</v>
      </c>
      <c r="E216" s="7">
        <v>69.75</v>
      </c>
      <c r="F216" s="7">
        <v>27.016667000000002</v>
      </c>
      <c r="G216" s="7">
        <v>80</v>
      </c>
      <c r="I216" s="5" t="s">
        <v>154</v>
      </c>
      <c r="J216" s="5" t="s">
        <v>41</v>
      </c>
      <c r="K216" s="42">
        <v>43985</v>
      </c>
      <c r="L216" s="43"/>
      <c r="M216" s="43"/>
      <c r="N216" s="44">
        <v>-8.2683589811527405</v>
      </c>
      <c r="O216" s="45">
        <v>-64.152743422544248</v>
      </c>
      <c r="P216" s="35">
        <f t="shared" si="2"/>
        <v>1.9941284266776762</v>
      </c>
      <c r="Q216" s="7">
        <v>8.6</v>
      </c>
      <c r="R216" s="7">
        <v>1.8</v>
      </c>
      <c r="S216" s="7">
        <v>1016.6041666666665</v>
      </c>
      <c r="T216" s="7">
        <v>82.291666666666671</v>
      </c>
      <c r="U216" s="7"/>
    </row>
    <row r="217" spans="1:21" s="5" customFormat="1" x14ac:dyDescent="0.35">
      <c r="A217" s="5" t="s">
        <v>20</v>
      </c>
      <c r="B217" s="5" t="s">
        <v>21</v>
      </c>
      <c r="C217" s="5" t="s">
        <v>93</v>
      </c>
      <c r="D217" s="5" t="s">
        <v>23</v>
      </c>
      <c r="E217" s="7">
        <v>69.75</v>
      </c>
      <c r="F217" s="7">
        <v>27.016667000000002</v>
      </c>
      <c r="G217" s="7">
        <v>80</v>
      </c>
      <c r="I217" s="5" t="s">
        <v>155</v>
      </c>
      <c r="J217" s="5" t="s">
        <v>41</v>
      </c>
      <c r="K217" s="42">
        <v>43990</v>
      </c>
      <c r="L217" s="43"/>
      <c r="M217" s="43"/>
      <c r="N217" s="44">
        <v>-11.501038401073961</v>
      </c>
      <c r="O217" s="45">
        <v>-87.947561408209623</v>
      </c>
      <c r="P217" s="35">
        <f t="shared" si="2"/>
        <v>4.0607458003820653</v>
      </c>
      <c r="Q217" s="7">
        <v>10.6</v>
      </c>
      <c r="R217" s="7">
        <v>5.0999999999999996</v>
      </c>
      <c r="S217" s="7">
        <v>1003.7083333333334</v>
      </c>
      <c r="T217" s="7">
        <v>64.416666666666671</v>
      </c>
      <c r="U217" s="7"/>
    </row>
    <row r="218" spans="1:21" s="5" customFormat="1" x14ac:dyDescent="0.35">
      <c r="A218" s="5" t="s">
        <v>20</v>
      </c>
      <c r="B218" s="5" t="s">
        <v>21</v>
      </c>
      <c r="C218" s="5" t="s">
        <v>93</v>
      </c>
      <c r="D218" s="5" t="s">
        <v>23</v>
      </c>
      <c r="E218" s="7">
        <v>69.75</v>
      </c>
      <c r="F218" s="7">
        <v>27.016667000000002</v>
      </c>
      <c r="G218" s="7">
        <v>80</v>
      </c>
      <c r="I218" s="5" t="s">
        <v>156</v>
      </c>
      <c r="J218" s="5" t="s">
        <v>41</v>
      </c>
      <c r="K218" s="42">
        <v>43991</v>
      </c>
      <c r="L218" s="43"/>
      <c r="M218" s="43"/>
      <c r="N218" s="44">
        <v>-10.937510324483778</v>
      </c>
      <c r="O218" s="45">
        <v>-81.409007369093644</v>
      </c>
      <c r="P218" s="35">
        <f t="shared" si="2"/>
        <v>6.0910752267765815</v>
      </c>
      <c r="Q218" s="7">
        <v>7.4</v>
      </c>
      <c r="R218" s="7">
        <v>9.65</v>
      </c>
      <c r="S218" s="7">
        <v>1019.5250000000001</v>
      </c>
      <c r="T218" s="7">
        <v>76.666666666666671</v>
      </c>
      <c r="U218" s="7"/>
    </row>
    <row r="219" spans="1:21" s="5" customFormat="1" x14ac:dyDescent="0.35">
      <c r="A219" s="5" t="s">
        <v>20</v>
      </c>
      <c r="B219" s="5" t="s">
        <v>21</v>
      </c>
      <c r="C219" s="5" t="s">
        <v>93</v>
      </c>
      <c r="D219" s="5" t="s">
        <v>23</v>
      </c>
      <c r="E219" s="7">
        <v>69.75</v>
      </c>
      <c r="F219" s="7">
        <v>27.016667000000002</v>
      </c>
      <c r="G219" s="7">
        <v>80</v>
      </c>
      <c r="I219" s="5" t="s">
        <v>157</v>
      </c>
      <c r="J219" s="5" t="s">
        <v>41</v>
      </c>
      <c r="K219" s="42">
        <v>43997</v>
      </c>
      <c r="L219" s="43"/>
      <c r="M219" s="43"/>
      <c r="N219" s="44">
        <v>-5.2450247646300339</v>
      </c>
      <c r="O219" s="45">
        <v>-55.63542610674719</v>
      </c>
      <c r="P219" s="35">
        <f t="shared" si="2"/>
        <v>-13.675227989706919</v>
      </c>
      <c r="Q219" s="7">
        <v>10.7</v>
      </c>
      <c r="R219" s="7">
        <v>0.75</v>
      </c>
      <c r="S219" s="7">
        <v>1016.7958333333336</v>
      </c>
      <c r="T219" s="7">
        <v>60.791666666666664</v>
      </c>
      <c r="U219" s="7"/>
    </row>
    <row r="220" spans="1:21" s="5" customFormat="1" x14ac:dyDescent="0.35">
      <c r="A220" s="5" t="s">
        <v>20</v>
      </c>
      <c r="B220" s="5" t="s">
        <v>21</v>
      </c>
      <c r="C220" s="5" t="s">
        <v>93</v>
      </c>
      <c r="D220" s="5" t="s">
        <v>23</v>
      </c>
      <c r="E220" s="7">
        <v>69.75</v>
      </c>
      <c r="F220" s="7">
        <v>27.016667000000002</v>
      </c>
      <c r="G220" s="7">
        <v>80</v>
      </c>
      <c r="I220" s="5" t="s">
        <v>158</v>
      </c>
      <c r="J220" s="5" t="s">
        <v>41</v>
      </c>
      <c r="K220" s="42">
        <v>44008</v>
      </c>
      <c r="L220" s="43"/>
      <c r="M220" s="43"/>
      <c r="N220" s="44">
        <v>-7.2574163884620164</v>
      </c>
      <c r="O220" s="45">
        <v>-53.488850788058016</v>
      </c>
      <c r="P220" s="35">
        <f t="shared" si="2"/>
        <v>4.570480319638115</v>
      </c>
      <c r="Q220" s="7">
        <v>14.5</v>
      </c>
      <c r="R220" s="7">
        <v>6.1</v>
      </c>
      <c r="S220" s="7">
        <v>1015.0500000000001</v>
      </c>
      <c r="T220" s="7">
        <v>70.833333333333329</v>
      </c>
      <c r="U220" s="7"/>
    </row>
    <row r="221" spans="1:21" s="5" customFormat="1" x14ac:dyDescent="0.35">
      <c r="A221" s="5" t="s">
        <v>20</v>
      </c>
      <c r="B221" s="5" t="s">
        <v>21</v>
      </c>
      <c r="C221" s="5" t="s">
        <v>93</v>
      </c>
      <c r="D221" s="5" t="s">
        <v>23</v>
      </c>
      <c r="E221" s="7">
        <v>69.75</v>
      </c>
      <c r="F221" s="7">
        <v>27.016667000000002</v>
      </c>
      <c r="G221" s="7">
        <v>80</v>
      </c>
      <c r="I221" s="5" t="s">
        <v>159</v>
      </c>
      <c r="J221" s="5" t="s">
        <v>41</v>
      </c>
      <c r="K221" s="42">
        <v>44012</v>
      </c>
      <c r="L221" s="43"/>
      <c r="M221" s="43"/>
      <c r="N221" s="44">
        <v>-12.721326197163199</v>
      </c>
      <c r="O221" s="45">
        <v>-90.531769005546636</v>
      </c>
      <c r="P221" s="35">
        <f t="shared" si="2"/>
        <v>11.238840571758956</v>
      </c>
      <c r="Q221" s="7">
        <v>5.7</v>
      </c>
      <c r="R221" s="7">
        <v>18.8</v>
      </c>
      <c r="S221" s="7">
        <v>996.23333333333346</v>
      </c>
      <c r="T221" s="7">
        <v>95.875</v>
      </c>
      <c r="U221" s="7"/>
    </row>
    <row r="222" spans="1:21" s="5" customFormat="1" x14ac:dyDescent="0.35">
      <c r="A222" s="5" t="s">
        <v>20</v>
      </c>
      <c r="B222" s="5" t="s">
        <v>21</v>
      </c>
      <c r="C222" s="5" t="s">
        <v>93</v>
      </c>
      <c r="D222" s="5" t="s">
        <v>23</v>
      </c>
      <c r="E222" s="7">
        <v>69.75</v>
      </c>
      <c r="F222" s="7">
        <v>27.016667000000002</v>
      </c>
      <c r="G222" s="7">
        <v>80</v>
      </c>
      <c r="I222" s="5" t="s">
        <v>160</v>
      </c>
      <c r="J222" s="5" t="s">
        <v>41</v>
      </c>
      <c r="K222" s="42">
        <v>44014</v>
      </c>
      <c r="L222" s="43">
        <v>44012</v>
      </c>
      <c r="M222" s="43">
        <v>44014</v>
      </c>
      <c r="N222" s="44">
        <v>-12.480822637910022</v>
      </c>
      <c r="O222" s="45">
        <v>-91.865214254797309</v>
      </c>
      <c r="P222" s="35">
        <f t="shared" si="2"/>
        <v>7.9813668484828639</v>
      </c>
      <c r="Q222" s="7">
        <v>8.6</v>
      </c>
      <c r="R222" s="7">
        <v>18.3</v>
      </c>
      <c r="S222" s="7">
        <v>993.95416666666677</v>
      </c>
      <c r="T222" s="7">
        <v>79.791666666666671</v>
      </c>
      <c r="U222" s="7"/>
    </row>
    <row r="223" spans="1:21" s="5" customFormat="1" x14ac:dyDescent="0.35">
      <c r="A223" s="5" t="s">
        <v>20</v>
      </c>
      <c r="B223" s="5" t="s">
        <v>21</v>
      </c>
      <c r="C223" s="5" t="s">
        <v>93</v>
      </c>
      <c r="D223" s="5" t="s">
        <v>23</v>
      </c>
      <c r="E223" s="7">
        <v>69.75</v>
      </c>
      <c r="F223" s="7">
        <v>27.016667000000002</v>
      </c>
      <c r="G223" s="7">
        <v>80</v>
      </c>
      <c r="I223" s="5" t="s">
        <v>161</v>
      </c>
      <c r="J223" s="5" t="s">
        <v>41</v>
      </c>
      <c r="K223" s="42">
        <v>44018</v>
      </c>
      <c r="L223" s="43">
        <v>44015</v>
      </c>
      <c r="M223" s="43">
        <v>44018</v>
      </c>
      <c r="N223" s="44">
        <v>-13.634856068972889</v>
      </c>
      <c r="O223" s="45">
        <v>-99.353489449406666</v>
      </c>
      <c r="P223" s="35">
        <f t="shared" si="2"/>
        <v>9.7253591023764443</v>
      </c>
      <c r="Q223" s="7">
        <v>16.256</v>
      </c>
      <c r="R223" s="7">
        <v>10.199999999999999</v>
      </c>
      <c r="S223" s="7"/>
      <c r="T223" s="7"/>
      <c r="U223" s="7"/>
    </row>
    <row r="224" spans="1:21" s="5" customFormat="1" x14ac:dyDescent="0.35">
      <c r="A224" s="5" t="s">
        <v>20</v>
      </c>
      <c r="B224" s="5" t="s">
        <v>21</v>
      </c>
      <c r="C224" s="5" t="s">
        <v>93</v>
      </c>
      <c r="D224" s="5" t="s">
        <v>23</v>
      </c>
      <c r="E224" s="7">
        <v>69.75</v>
      </c>
      <c r="F224" s="7">
        <v>27.016667000000002</v>
      </c>
      <c r="G224" s="7">
        <v>80</v>
      </c>
      <c r="I224" s="5" t="s">
        <v>162</v>
      </c>
      <c r="J224" s="5" t="s">
        <v>41</v>
      </c>
      <c r="K224" s="42">
        <v>44019</v>
      </c>
      <c r="L224" s="43"/>
      <c r="M224" s="43"/>
      <c r="N224" s="44">
        <v>-14.641096387473727</v>
      </c>
      <c r="O224" s="45">
        <v>-111.88617887603438</v>
      </c>
      <c r="P224" s="35">
        <f t="shared" si="2"/>
        <v>5.2425922237554374</v>
      </c>
      <c r="Q224" s="7">
        <v>3.556</v>
      </c>
      <c r="R224" s="7">
        <v>11.4</v>
      </c>
      <c r="S224" s="7"/>
      <c r="T224" s="7"/>
      <c r="U224" s="7"/>
    </row>
    <row r="225" spans="1:21" s="5" customFormat="1" x14ac:dyDescent="0.35">
      <c r="A225" s="5" t="s">
        <v>20</v>
      </c>
      <c r="B225" s="5" t="s">
        <v>21</v>
      </c>
      <c r="C225" s="5" t="s">
        <v>93</v>
      </c>
      <c r="D225" s="5" t="s">
        <v>23</v>
      </c>
      <c r="E225" s="7">
        <v>69.75</v>
      </c>
      <c r="F225" s="7">
        <v>27.016667000000002</v>
      </c>
      <c r="G225" s="7">
        <v>80</v>
      </c>
      <c r="I225" s="5" t="s">
        <v>163</v>
      </c>
      <c r="J225" s="5" t="s">
        <v>41</v>
      </c>
      <c r="K225" s="42">
        <v>44020</v>
      </c>
      <c r="L225" s="43"/>
      <c r="M225" s="43"/>
      <c r="N225" s="44">
        <v>-14.601573408386477</v>
      </c>
      <c r="O225" s="45">
        <v>-107.39383117736476</v>
      </c>
      <c r="P225" s="35">
        <f t="shared" si="2"/>
        <v>9.4187560897270544</v>
      </c>
      <c r="Q225" s="7">
        <v>10.16</v>
      </c>
      <c r="R225" s="7">
        <v>13.8</v>
      </c>
      <c r="S225" s="7"/>
      <c r="T225" s="7"/>
      <c r="U225" s="7"/>
    </row>
    <row r="226" spans="1:21" s="5" customFormat="1" x14ac:dyDescent="0.35">
      <c r="A226" s="5" t="s">
        <v>20</v>
      </c>
      <c r="B226" s="5" t="s">
        <v>21</v>
      </c>
      <c r="C226" s="5" t="s">
        <v>93</v>
      </c>
      <c r="D226" s="5" t="s">
        <v>23</v>
      </c>
      <c r="E226" s="7">
        <v>69.75</v>
      </c>
      <c r="F226" s="7">
        <v>27.016667000000002</v>
      </c>
      <c r="G226" s="7">
        <v>80</v>
      </c>
      <c r="I226" s="5" t="s">
        <v>164</v>
      </c>
      <c r="J226" s="5" t="s">
        <v>41</v>
      </c>
      <c r="K226" s="42">
        <v>44021</v>
      </c>
      <c r="L226" s="43"/>
      <c r="M226" s="43"/>
      <c r="N226" s="44">
        <v>-12.693178132459298</v>
      </c>
      <c r="O226" s="45">
        <v>-91.396865266929808</v>
      </c>
      <c r="P226" s="35">
        <f t="shared" si="2"/>
        <v>10.148559792744578</v>
      </c>
      <c r="Q226" s="7">
        <v>20.065999999999999</v>
      </c>
      <c r="R226" s="7">
        <v>12.2</v>
      </c>
      <c r="S226" s="7"/>
      <c r="T226" s="7"/>
      <c r="U226" s="7"/>
    </row>
    <row r="227" spans="1:21" s="5" customFormat="1" x14ac:dyDescent="0.35">
      <c r="A227" s="5" t="s">
        <v>20</v>
      </c>
      <c r="B227" s="5" t="s">
        <v>21</v>
      </c>
      <c r="C227" s="5" t="s">
        <v>93</v>
      </c>
      <c r="D227" s="5" t="s">
        <v>23</v>
      </c>
      <c r="E227" s="7">
        <v>69.75</v>
      </c>
      <c r="F227" s="7">
        <v>27.016667000000002</v>
      </c>
      <c r="G227" s="7">
        <v>80</v>
      </c>
      <c r="I227" s="5" t="s">
        <v>165</v>
      </c>
      <c r="J227" s="5" t="s">
        <v>41</v>
      </c>
      <c r="K227" s="42">
        <v>44025</v>
      </c>
      <c r="L227" s="43">
        <v>44022</v>
      </c>
      <c r="M227" s="43">
        <v>44025</v>
      </c>
      <c r="N227" s="44">
        <v>-10.975524190387972</v>
      </c>
      <c r="O227" s="45">
        <v>-86.325656427823617</v>
      </c>
      <c r="P227" s="35">
        <f t="shared" si="2"/>
        <v>1.47853709528016</v>
      </c>
      <c r="Q227" s="7">
        <v>3.556</v>
      </c>
      <c r="R227" s="7">
        <v>9.6</v>
      </c>
      <c r="S227" s="7"/>
      <c r="T227" s="7"/>
      <c r="U227" s="7"/>
    </row>
    <row r="228" spans="1:21" s="5" customFormat="1" x14ac:dyDescent="0.35">
      <c r="A228" s="5" t="s">
        <v>20</v>
      </c>
      <c r="B228" s="5" t="s">
        <v>21</v>
      </c>
      <c r="C228" s="5" t="s">
        <v>93</v>
      </c>
      <c r="D228" s="5" t="s">
        <v>23</v>
      </c>
      <c r="E228" s="7">
        <v>69.75</v>
      </c>
      <c r="F228" s="7">
        <v>27.016667000000002</v>
      </c>
      <c r="G228" s="7">
        <v>80</v>
      </c>
      <c r="I228" s="5" t="s">
        <v>166</v>
      </c>
      <c r="J228" s="5" t="s">
        <v>41</v>
      </c>
      <c r="K228" s="42">
        <v>44028</v>
      </c>
      <c r="L228" s="43"/>
      <c r="M228" s="43"/>
      <c r="N228" s="44">
        <v>-13.867329740995405</v>
      </c>
      <c r="O228" s="45">
        <v>-107.41309362145779</v>
      </c>
      <c r="P228" s="35">
        <f t="shared" si="2"/>
        <v>3.5255443065054521</v>
      </c>
      <c r="Q228" s="7">
        <v>4.3180000000000005</v>
      </c>
      <c r="R228" s="7">
        <v>16.899999999999999</v>
      </c>
      <c r="S228" s="7"/>
      <c r="T228" s="7"/>
      <c r="U228" s="7"/>
    </row>
    <row r="229" spans="1:21" s="5" customFormat="1" x14ac:dyDescent="0.35">
      <c r="A229" s="5" t="s">
        <v>20</v>
      </c>
      <c r="B229" s="5" t="s">
        <v>21</v>
      </c>
      <c r="C229" s="5" t="s">
        <v>93</v>
      </c>
      <c r="D229" s="5" t="s">
        <v>23</v>
      </c>
      <c r="E229" s="7">
        <v>69.75</v>
      </c>
      <c r="F229" s="7">
        <v>27.016667000000002</v>
      </c>
      <c r="G229" s="7">
        <v>80</v>
      </c>
      <c r="I229" s="5" t="s">
        <v>167</v>
      </c>
      <c r="J229" s="5" t="s">
        <v>41</v>
      </c>
      <c r="K229" s="42">
        <v>44029</v>
      </c>
      <c r="L229" s="43"/>
      <c r="M229" s="43"/>
      <c r="N229" s="44">
        <v>-15.675321920980441</v>
      </c>
      <c r="O229" s="45">
        <v>-116.48076570104391</v>
      </c>
      <c r="P229" s="35">
        <f t="shared" si="2"/>
        <v>8.9218096667996178</v>
      </c>
      <c r="Q229" s="7">
        <v>5.8419999999999996</v>
      </c>
      <c r="R229" s="7">
        <v>22.1</v>
      </c>
      <c r="S229" s="7"/>
      <c r="T229" s="7"/>
      <c r="U229" s="7"/>
    </row>
    <row r="230" spans="1:21" s="5" customFormat="1" x14ac:dyDescent="0.35">
      <c r="A230" s="5" t="s">
        <v>20</v>
      </c>
      <c r="B230" s="5" t="s">
        <v>21</v>
      </c>
      <c r="C230" s="5" t="s">
        <v>93</v>
      </c>
      <c r="D230" s="5" t="s">
        <v>23</v>
      </c>
      <c r="E230" s="7">
        <v>69.75</v>
      </c>
      <c r="F230" s="7">
        <v>27.016667000000002</v>
      </c>
      <c r="G230" s="7">
        <v>80</v>
      </c>
      <c r="I230" s="5" t="s">
        <v>168</v>
      </c>
      <c r="J230" s="5" t="s">
        <v>41</v>
      </c>
      <c r="K230" s="42">
        <v>44031</v>
      </c>
      <c r="L230" s="43">
        <v>44030</v>
      </c>
      <c r="M230" s="43">
        <v>44031</v>
      </c>
      <c r="N230" s="44">
        <v>-10.758516031921337</v>
      </c>
      <c r="O230" s="45">
        <v>-77.579272037532689</v>
      </c>
      <c r="P230" s="35">
        <f t="shared" si="2"/>
        <v>8.4888562178380056</v>
      </c>
      <c r="Q230" s="7">
        <v>5.3339999999999996</v>
      </c>
      <c r="R230" s="7">
        <v>16.8</v>
      </c>
      <c r="S230" s="7"/>
      <c r="T230" s="7"/>
      <c r="U230" s="7"/>
    </row>
    <row r="231" spans="1:21" s="5" customFormat="1" x14ac:dyDescent="0.35">
      <c r="A231" s="5" t="s">
        <v>20</v>
      </c>
      <c r="B231" s="5" t="s">
        <v>21</v>
      </c>
      <c r="C231" s="5" t="s">
        <v>93</v>
      </c>
      <c r="D231" s="5" t="s">
        <v>23</v>
      </c>
      <c r="E231" s="7">
        <v>69.75</v>
      </c>
      <c r="F231" s="7">
        <v>27.016667000000002</v>
      </c>
      <c r="G231" s="7">
        <v>80</v>
      </c>
      <c r="I231" s="5" t="s">
        <v>169</v>
      </c>
      <c r="J231" s="5" t="s">
        <v>41</v>
      </c>
      <c r="K231" s="42">
        <v>44032</v>
      </c>
      <c r="L231" s="43">
        <v>44031</v>
      </c>
      <c r="M231" s="43">
        <v>44032</v>
      </c>
      <c r="N231" s="44">
        <v>-8.6058638355481136</v>
      </c>
      <c r="O231" s="45">
        <v>-63.825393046289456</v>
      </c>
      <c r="P231" s="35">
        <f t="shared" si="2"/>
        <v>5.0215176380954532</v>
      </c>
      <c r="Q231" s="7">
        <v>12.446</v>
      </c>
      <c r="R231" s="7">
        <v>14.9</v>
      </c>
      <c r="S231" s="7"/>
      <c r="T231" s="7"/>
      <c r="U231" s="7"/>
    </row>
    <row r="232" spans="1:21" s="5" customFormat="1" x14ac:dyDescent="0.35">
      <c r="A232" s="5" t="s">
        <v>20</v>
      </c>
      <c r="B232" s="5" t="s">
        <v>21</v>
      </c>
      <c r="C232" s="5" t="s">
        <v>93</v>
      </c>
      <c r="D232" s="5" t="s">
        <v>23</v>
      </c>
      <c r="E232" s="7">
        <v>69.75</v>
      </c>
      <c r="F232" s="7">
        <v>27.016667000000002</v>
      </c>
      <c r="G232" s="7">
        <v>80</v>
      </c>
      <c r="I232" s="5" t="s">
        <v>170</v>
      </c>
      <c r="J232" s="5" t="s">
        <v>41</v>
      </c>
      <c r="K232" s="42">
        <v>44033</v>
      </c>
      <c r="L232" s="43">
        <v>44032</v>
      </c>
      <c r="M232" s="43">
        <v>44033</v>
      </c>
      <c r="N232" s="44">
        <v>-7.3740234066051515</v>
      </c>
      <c r="O232" s="45">
        <v>-53.710140353336463</v>
      </c>
      <c r="P232" s="35">
        <f t="shared" si="2"/>
        <v>5.2820468995047491</v>
      </c>
      <c r="Q232" s="7">
        <v>13.462</v>
      </c>
      <c r="R232" s="7">
        <v>15.1</v>
      </c>
      <c r="S232" s="7"/>
      <c r="T232" s="7"/>
      <c r="U232" s="7"/>
    </row>
    <row r="233" spans="1:21" s="5" customFormat="1" x14ac:dyDescent="0.35">
      <c r="A233" s="5" t="s">
        <v>20</v>
      </c>
      <c r="B233" s="5" t="s">
        <v>21</v>
      </c>
      <c r="C233" s="5" t="s">
        <v>93</v>
      </c>
      <c r="D233" s="5" t="s">
        <v>23</v>
      </c>
      <c r="E233" s="7">
        <v>69.75</v>
      </c>
      <c r="F233" s="7">
        <v>27.016667000000002</v>
      </c>
      <c r="G233" s="7">
        <v>80</v>
      </c>
      <c r="I233" s="5" t="s">
        <v>171</v>
      </c>
      <c r="J233" s="5" t="s">
        <v>41</v>
      </c>
      <c r="K233" s="42">
        <v>44034</v>
      </c>
      <c r="L233" s="43">
        <v>44033</v>
      </c>
      <c r="M233" s="43">
        <v>44034</v>
      </c>
      <c r="N233" s="44">
        <v>-8.6993933699098669</v>
      </c>
      <c r="O233" s="45">
        <v>-63.977516963742062</v>
      </c>
      <c r="P233" s="35">
        <f t="shared" si="2"/>
        <v>5.6176299955368734</v>
      </c>
      <c r="Q233" s="7">
        <v>5.3339999999999996</v>
      </c>
      <c r="R233" s="7">
        <v>14.7</v>
      </c>
      <c r="S233" s="7"/>
      <c r="T233" s="7"/>
      <c r="U233" s="7"/>
    </row>
    <row r="234" spans="1:21" s="5" customFormat="1" x14ac:dyDescent="0.35">
      <c r="A234" s="5" t="s">
        <v>20</v>
      </c>
      <c r="B234" s="5" t="s">
        <v>21</v>
      </c>
      <c r="C234" s="5" t="s">
        <v>93</v>
      </c>
      <c r="D234" s="5" t="s">
        <v>23</v>
      </c>
      <c r="E234" s="7">
        <v>69.75</v>
      </c>
      <c r="F234" s="7">
        <v>27.016667000000002</v>
      </c>
      <c r="G234" s="7">
        <v>80</v>
      </c>
      <c r="I234" s="5" t="s">
        <v>172</v>
      </c>
      <c r="J234" s="5" t="s">
        <v>41</v>
      </c>
      <c r="K234" s="42">
        <v>44035</v>
      </c>
      <c r="L234" s="43">
        <v>44034</v>
      </c>
      <c r="M234" s="43">
        <v>44035</v>
      </c>
      <c r="N234" s="44">
        <v>-7.8225232997256766</v>
      </c>
      <c r="O234" s="45">
        <v>-55.539578633351006</v>
      </c>
      <c r="P234" s="35">
        <f t="shared" si="2"/>
        <v>7.0406077644544069</v>
      </c>
      <c r="Q234" s="7">
        <v>5.3339999999999996</v>
      </c>
      <c r="R234" s="7">
        <v>11.1</v>
      </c>
      <c r="S234" s="7"/>
      <c r="T234" s="7"/>
      <c r="U234" s="7"/>
    </row>
    <row r="235" spans="1:21" s="5" customFormat="1" x14ac:dyDescent="0.35">
      <c r="A235" s="5" t="s">
        <v>20</v>
      </c>
      <c r="B235" s="5" t="s">
        <v>21</v>
      </c>
      <c r="C235" s="5" t="s">
        <v>93</v>
      </c>
      <c r="D235" s="5" t="s">
        <v>23</v>
      </c>
      <c r="E235" s="7">
        <v>69.75</v>
      </c>
      <c r="F235" s="7">
        <v>27.016667000000002</v>
      </c>
      <c r="G235" s="7">
        <v>80</v>
      </c>
      <c r="I235" s="5" t="s">
        <v>173</v>
      </c>
      <c r="J235" s="5" t="s">
        <v>41</v>
      </c>
      <c r="K235" s="42">
        <v>44036</v>
      </c>
      <c r="L235" s="43">
        <v>44035</v>
      </c>
      <c r="M235" s="43">
        <v>44036</v>
      </c>
      <c r="N235" s="44">
        <v>-7.5070759200541524</v>
      </c>
      <c r="O235" s="45">
        <v>-55.966315856334965</v>
      </c>
      <c r="P235" s="35">
        <f t="shared" si="2"/>
        <v>4.0902915040982535</v>
      </c>
      <c r="Q235" s="7">
        <v>0.254</v>
      </c>
      <c r="R235" s="7">
        <v>13.9</v>
      </c>
      <c r="S235" s="7"/>
      <c r="T235" s="7"/>
      <c r="U235" s="7"/>
    </row>
    <row r="236" spans="1:21" s="5" customFormat="1" x14ac:dyDescent="0.35">
      <c r="A236" s="5" t="s">
        <v>20</v>
      </c>
      <c r="B236" s="5" t="s">
        <v>21</v>
      </c>
      <c r="C236" s="5" t="s">
        <v>93</v>
      </c>
      <c r="D236" s="5" t="s">
        <v>23</v>
      </c>
      <c r="E236" s="7">
        <v>69.75</v>
      </c>
      <c r="F236" s="7">
        <v>27.016667000000002</v>
      </c>
      <c r="G236" s="7">
        <v>80</v>
      </c>
      <c r="I236" s="5" t="s">
        <v>174</v>
      </c>
      <c r="J236" s="5" t="s">
        <v>41</v>
      </c>
      <c r="K236" s="42">
        <v>44039</v>
      </c>
      <c r="L236" s="43">
        <v>44038</v>
      </c>
      <c r="M236" s="43">
        <v>44039</v>
      </c>
      <c r="N236" s="44">
        <v>-6.8005719833268019</v>
      </c>
      <c r="O236" s="45">
        <v>-56.39083048961588</v>
      </c>
      <c r="P236" s="35">
        <f t="shared" si="2"/>
        <v>-1.9862546230014644</v>
      </c>
      <c r="Q236" s="7">
        <v>0.38099999999999995</v>
      </c>
      <c r="R236" s="7">
        <v>14.3</v>
      </c>
      <c r="S236" s="7"/>
      <c r="T236" s="7"/>
      <c r="U236" s="7"/>
    </row>
    <row r="237" spans="1:21" s="5" customFormat="1" x14ac:dyDescent="0.35">
      <c r="A237" s="5" t="s">
        <v>20</v>
      </c>
      <c r="B237" s="5" t="s">
        <v>21</v>
      </c>
      <c r="C237" s="5" t="s">
        <v>93</v>
      </c>
      <c r="D237" s="5" t="s">
        <v>23</v>
      </c>
      <c r="E237" s="7">
        <v>69.75</v>
      </c>
      <c r="F237" s="7">
        <v>27.016667000000002</v>
      </c>
      <c r="G237" s="7">
        <v>80</v>
      </c>
      <c r="I237" s="5" t="s">
        <v>175</v>
      </c>
      <c r="J237" s="5" t="s">
        <v>41</v>
      </c>
      <c r="K237" s="42">
        <v>44046</v>
      </c>
      <c r="L237" s="43"/>
      <c r="M237" s="43"/>
      <c r="N237" s="44">
        <v>-12.791617353664186</v>
      </c>
      <c r="O237" s="45">
        <v>-98.822290510379759</v>
      </c>
      <c r="P237" s="35">
        <f t="shared" ref="P237:P300" si="3">O237-(8*N237)</f>
        <v>3.5106483189337325</v>
      </c>
      <c r="Q237" s="7">
        <v>0.50800000000000001</v>
      </c>
      <c r="R237" s="7">
        <v>9</v>
      </c>
      <c r="S237" s="7"/>
      <c r="T237" s="7"/>
      <c r="U237" s="7"/>
    </row>
    <row r="238" spans="1:21" s="5" customFormat="1" x14ac:dyDescent="0.35">
      <c r="A238" s="5" t="s">
        <v>20</v>
      </c>
      <c r="B238" s="5" t="s">
        <v>21</v>
      </c>
      <c r="C238" s="5" t="s">
        <v>93</v>
      </c>
      <c r="D238" s="5" t="s">
        <v>23</v>
      </c>
      <c r="E238" s="7">
        <v>69.75</v>
      </c>
      <c r="F238" s="7">
        <v>27.016667000000002</v>
      </c>
      <c r="G238" s="7">
        <v>80</v>
      </c>
      <c r="I238" s="5" t="s">
        <v>176</v>
      </c>
      <c r="J238" s="5" t="s">
        <v>41</v>
      </c>
      <c r="K238" s="42">
        <v>44053</v>
      </c>
      <c r="L238" s="43"/>
      <c r="M238" s="43"/>
      <c r="N238" s="44">
        <v>-10.256009583526311</v>
      </c>
      <c r="O238" s="45">
        <v>-71.135737534004164</v>
      </c>
      <c r="P238" s="35">
        <f t="shared" si="3"/>
        <v>10.91233913420632</v>
      </c>
      <c r="Q238" s="7">
        <v>19.812000000000001</v>
      </c>
      <c r="R238" s="7">
        <v>11.1</v>
      </c>
      <c r="S238" s="7"/>
      <c r="T238" s="7"/>
      <c r="U238" s="7"/>
    </row>
    <row r="239" spans="1:21" s="5" customFormat="1" x14ac:dyDescent="0.35">
      <c r="A239" s="5" t="s">
        <v>20</v>
      </c>
      <c r="B239" s="5" t="s">
        <v>21</v>
      </c>
      <c r="C239" s="5" t="s">
        <v>93</v>
      </c>
      <c r="D239" s="5" t="s">
        <v>23</v>
      </c>
      <c r="E239" s="7">
        <v>69.75</v>
      </c>
      <c r="F239" s="7">
        <v>27.016667000000002</v>
      </c>
      <c r="G239" s="7">
        <v>80</v>
      </c>
      <c r="I239" s="5" t="s">
        <v>177</v>
      </c>
      <c r="J239" s="5" t="s">
        <v>41</v>
      </c>
      <c r="K239" s="42">
        <v>44057</v>
      </c>
      <c r="L239" s="43"/>
      <c r="M239" s="43"/>
      <c r="N239" s="44">
        <v>-14.092684367095373</v>
      </c>
      <c r="O239" s="45">
        <v>-105.59353351790119</v>
      </c>
      <c r="P239" s="35">
        <f t="shared" si="3"/>
        <v>7.1479414188617909</v>
      </c>
      <c r="Q239" s="7">
        <v>6.35</v>
      </c>
      <c r="R239" s="7">
        <v>11</v>
      </c>
      <c r="S239" s="7"/>
      <c r="T239" s="7"/>
      <c r="U239" s="7"/>
    </row>
    <row r="240" spans="1:21" s="5" customFormat="1" x14ac:dyDescent="0.35">
      <c r="A240" s="5" t="s">
        <v>20</v>
      </c>
      <c r="B240" s="5" t="s">
        <v>21</v>
      </c>
      <c r="C240" s="5" t="s">
        <v>93</v>
      </c>
      <c r="D240" s="5" t="s">
        <v>23</v>
      </c>
      <c r="E240" s="7">
        <v>69.75</v>
      </c>
      <c r="F240" s="7">
        <v>27.016667000000002</v>
      </c>
      <c r="G240" s="7">
        <v>80</v>
      </c>
      <c r="I240" s="5" t="s">
        <v>178</v>
      </c>
      <c r="J240" s="5" t="s">
        <v>41</v>
      </c>
      <c r="K240" s="42">
        <v>44060</v>
      </c>
      <c r="L240" s="43">
        <v>44058</v>
      </c>
      <c r="M240" s="43">
        <v>44060</v>
      </c>
      <c r="N240" s="44">
        <v>-9.5</v>
      </c>
      <c r="O240" s="45">
        <v>-69.81</v>
      </c>
      <c r="P240" s="35">
        <f t="shared" si="3"/>
        <v>6.1899999999999977</v>
      </c>
      <c r="Q240" s="7">
        <v>16.001999999999999</v>
      </c>
      <c r="R240" s="7">
        <v>7.1</v>
      </c>
      <c r="S240" s="7"/>
      <c r="T240" s="7"/>
      <c r="U240" s="7"/>
    </row>
    <row r="241" spans="1:21" s="5" customFormat="1" x14ac:dyDescent="0.35">
      <c r="A241" s="5" t="s">
        <v>20</v>
      </c>
      <c r="B241" s="5" t="s">
        <v>21</v>
      </c>
      <c r="C241" s="5" t="s">
        <v>93</v>
      </c>
      <c r="D241" s="5" t="s">
        <v>23</v>
      </c>
      <c r="E241" s="7">
        <v>69.75</v>
      </c>
      <c r="F241" s="7">
        <v>27.016667000000002</v>
      </c>
      <c r="G241" s="7">
        <v>80</v>
      </c>
      <c r="I241" s="5" t="s">
        <v>179</v>
      </c>
      <c r="J241" s="5" t="s">
        <v>41</v>
      </c>
      <c r="K241" s="42">
        <v>44061</v>
      </c>
      <c r="L241" s="43"/>
      <c r="M241" s="43"/>
      <c r="N241" s="44">
        <v>-7.28</v>
      </c>
      <c r="O241" s="45">
        <v>-52.86</v>
      </c>
      <c r="P241" s="35">
        <f t="shared" si="3"/>
        <v>5.3800000000000026</v>
      </c>
      <c r="Q241" s="7">
        <v>17.779999999999998</v>
      </c>
      <c r="R241" s="7">
        <v>8.1999999999999993</v>
      </c>
      <c r="S241" s="7"/>
      <c r="T241" s="7"/>
      <c r="U241" s="7"/>
    </row>
    <row r="242" spans="1:21" s="5" customFormat="1" x14ac:dyDescent="0.35">
      <c r="A242" s="5" t="s">
        <v>20</v>
      </c>
      <c r="B242" s="5" t="s">
        <v>21</v>
      </c>
      <c r="C242" s="5" t="s">
        <v>93</v>
      </c>
      <c r="D242" s="5" t="s">
        <v>23</v>
      </c>
      <c r="E242" s="7">
        <v>69.75</v>
      </c>
      <c r="F242" s="7">
        <v>27.016667000000002</v>
      </c>
      <c r="G242" s="7">
        <v>80</v>
      </c>
      <c r="I242" s="5" t="s">
        <v>180</v>
      </c>
      <c r="J242" s="5" t="s">
        <v>41</v>
      </c>
      <c r="K242" s="42">
        <v>44063</v>
      </c>
      <c r="L242" s="43">
        <v>44062</v>
      </c>
      <c r="M242" s="43">
        <v>44063</v>
      </c>
      <c r="N242" s="44">
        <v>-9.7041607823577625</v>
      </c>
      <c r="O242" s="45">
        <v>-67.147917697924939</v>
      </c>
      <c r="P242" s="35">
        <f t="shared" si="3"/>
        <v>10.485368560937161</v>
      </c>
      <c r="Q242" s="7">
        <v>2.794</v>
      </c>
      <c r="R242" s="7">
        <v>10.7</v>
      </c>
      <c r="S242" s="7"/>
      <c r="T242" s="7"/>
      <c r="U242" s="7"/>
    </row>
    <row r="243" spans="1:21" s="5" customFormat="1" x14ac:dyDescent="0.35">
      <c r="A243" s="5" t="s">
        <v>20</v>
      </c>
      <c r="B243" s="5" t="s">
        <v>21</v>
      </c>
      <c r="C243" s="5" t="s">
        <v>93</v>
      </c>
      <c r="D243" s="5" t="s">
        <v>23</v>
      </c>
      <c r="E243" s="7">
        <v>69.75</v>
      </c>
      <c r="F243" s="7">
        <v>27.016667000000002</v>
      </c>
      <c r="G243" s="7">
        <v>80</v>
      </c>
      <c r="I243" s="5" t="s">
        <v>181</v>
      </c>
      <c r="J243" s="5" t="s">
        <v>41</v>
      </c>
      <c r="K243" s="42">
        <v>44067</v>
      </c>
      <c r="L243" s="43">
        <v>44064</v>
      </c>
      <c r="M243" s="43">
        <v>44067</v>
      </c>
      <c r="N243" s="44">
        <v>-7.8343065481492049</v>
      </c>
      <c r="O243" s="45">
        <v>-61.612187610883097</v>
      </c>
      <c r="P243" s="35">
        <f t="shared" si="3"/>
        <v>1.0622647743105418</v>
      </c>
      <c r="Q243" s="7">
        <v>2.8702000000000001</v>
      </c>
      <c r="R243" s="7">
        <v>12.4</v>
      </c>
      <c r="S243" s="7"/>
      <c r="T243" s="7"/>
      <c r="U243" s="7"/>
    </row>
    <row r="244" spans="1:21" s="5" customFormat="1" x14ac:dyDescent="0.35">
      <c r="A244" s="5" t="s">
        <v>20</v>
      </c>
      <c r="B244" s="5" t="s">
        <v>21</v>
      </c>
      <c r="C244" s="5" t="s">
        <v>93</v>
      </c>
      <c r="D244" s="5" t="s">
        <v>23</v>
      </c>
      <c r="E244" s="7">
        <v>69.75</v>
      </c>
      <c r="F244" s="7">
        <v>27.016667000000002</v>
      </c>
      <c r="G244" s="7">
        <v>80</v>
      </c>
      <c r="I244" s="5" t="s">
        <v>182</v>
      </c>
      <c r="J244" s="5" t="s">
        <v>41</v>
      </c>
      <c r="K244" s="42">
        <v>44071</v>
      </c>
      <c r="L244" s="43"/>
      <c r="M244" s="43"/>
      <c r="N244" s="44">
        <v>-1.9</v>
      </c>
      <c r="O244" s="45">
        <v>-2</v>
      </c>
      <c r="P244" s="35">
        <f t="shared" si="3"/>
        <v>13.2</v>
      </c>
      <c r="Q244" s="7">
        <v>0.254</v>
      </c>
      <c r="R244" s="7">
        <v>4.2</v>
      </c>
      <c r="S244" s="7"/>
      <c r="T244" s="7"/>
      <c r="U244" s="7"/>
    </row>
    <row r="245" spans="1:21" s="5" customFormat="1" x14ac:dyDescent="0.35">
      <c r="A245" s="5" t="s">
        <v>20</v>
      </c>
      <c r="B245" s="5" t="s">
        <v>21</v>
      </c>
      <c r="C245" s="5" t="s">
        <v>93</v>
      </c>
      <c r="D245" s="5" t="s">
        <v>23</v>
      </c>
      <c r="E245" s="7">
        <v>69.75</v>
      </c>
      <c r="F245" s="7">
        <v>27.016667000000002</v>
      </c>
      <c r="G245" s="7">
        <v>80</v>
      </c>
      <c r="I245" s="5" t="s">
        <v>183</v>
      </c>
      <c r="J245" s="5" t="s">
        <v>41</v>
      </c>
      <c r="K245" s="42">
        <v>44074</v>
      </c>
      <c r="L245" s="43">
        <v>44069</v>
      </c>
      <c r="M245" s="43">
        <v>44074</v>
      </c>
      <c r="N245" s="44">
        <v>-9.1999999999999993</v>
      </c>
      <c r="O245" s="45">
        <v>-59.83</v>
      </c>
      <c r="P245" s="35">
        <f t="shared" si="3"/>
        <v>13.769999999999996</v>
      </c>
      <c r="Q245" s="7">
        <v>6.35</v>
      </c>
      <c r="R245" s="7">
        <v>3.7</v>
      </c>
      <c r="S245" s="7"/>
      <c r="T245" s="7"/>
      <c r="U245" s="7"/>
    </row>
    <row r="246" spans="1:21" s="5" customFormat="1" x14ac:dyDescent="0.35">
      <c r="A246" s="5" t="s">
        <v>20</v>
      </c>
      <c r="B246" s="5" t="s">
        <v>21</v>
      </c>
      <c r="C246" s="5" t="s">
        <v>93</v>
      </c>
      <c r="D246" s="5" t="s">
        <v>23</v>
      </c>
      <c r="E246" s="7">
        <v>69.75</v>
      </c>
      <c r="F246" s="7">
        <v>27.016667000000002</v>
      </c>
      <c r="G246" s="7">
        <v>80</v>
      </c>
      <c r="I246" s="5" t="s">
        <v>184</v>
      </c>
      <c r="J246" s="5" t="s">
        <v>41</v>
      </c>
      <c r="K246" s="42">
        <v>44075</v>
      </c>
      <c r="L246" s="43"/>
      <c r="M246" s="43"/>
      <c r="N246" s="44">
        <v>-10.633319017421355</v>
      </c>
      <c r="O246" s="45">
        <v>-83.495064963794633</v>
      </c>
      <c r="P246" s="35">
        <f>O246-(8*N246)</f>
        <v>1.571487175576209</v>
      </c>
      <c r="Q246" s="7">
        <v>1.27</v>
      </c>
      <c r="R246" s="7">
        <v>9.5</v>
      </c>
      <c r="S246" s="7"/>
      <c r="T246" s="7"/>
      <c r="U246" s="7"/>
    </row>
    <row r="247" spans="1:21" s="5" customFormat="1" x14ac:dyDescent="0.35">
      <c r="A247" s="5" t="s">
        <v>20</v>
      </c>
      <c r="B247" s="5" t="s">
        <v>21</v>
      </c>
      <c r="C247" s="5" t="s">
        <v>93</v>
      </c>
      <c r="D247" s="5" t="s">
        <v>23</v>
      </c>
      <c r="E247" s="7">
        <v>69.75</v>
      </c>
      <c r="F247" s="7">
        <v>27.016667000000002</v>
      </c>
      <c r="G247" s="7">
        <v>80</v>
      </c>
      <c r="I247" s="5" t="s">
        <v>185</v>
      </c>
      <c r="J247" s="5" t="s">
        <v>41</v>
      </c>
      <c r="K247" s="42">
        <v>44080</v>
      </c>
      <c r="L247" s="43"/>
      <c r="M247" s="43"/>
      <c r="N247" s="44">
        <v>-8.2381282909971851</v>
      </c>
      <c r="O247" s="45">
        <v>-60.134165458360542</v>
      </c>
      <c r="P247" s="35">
        <f t="shared" si="3"/>
        <v>5.7708608696169392</v>
      </c>
      <c r="Q247" s="7">
        <v>1.016</v>
      </c>
      <c r="R247" s="7">
        <v>12.6</v>
      </c>
      <c r="S247" s="7"/>
      <c r="T247" s="7"/>
      <c r="U247" s="7"/>
    </row>
    <row r="248" spans="1:21" s="5" customFormat="1" x14ac:dyDescent="0.35">
      <c r="A248" s="5" t="s">
        <v>20</v>
      </c>
      <c r="B248" s="5" t="s">
        <v>21</v>
      </c>
      <c r="C248" s="5" t="s">
        <v>93</v>
      </c>
      <c r="D248" s="5" t="s">
        <v>23</v>
      </c>
      <c r="E248" s="7">
        <v>69.75</v>
      </c>
      <c r="F248" s="7">
        <v>27.016667000000002</v>
      </c>
      <c r="G248" s="7">
        <v>80</v>
      </c>
      <c r="I248" s="5" t="s">
        <v>186</v>
      </c>
      <c r="J248" s="5" t="s">
        <v>41</v>
      </c>
      <c r="K248" s="42">
        <v>44084</v>
      </c>
      <c r="L248" s="43"/>
      <c r="M248" s="43"/>
      <c r="N248" s="44">
        <v>-10.971841925255621</v>
      </c>
      <c r="O248" s="45">
        <v>-86.101915731050795</v>
      </c>
      <c r="P248" s="35">
        <f t="shared" si="3"/>
        <v>1.6728196709941727</v>
      </c>
      <c r="Q248" s="7">
        <v>1.778</v>
      </c>
      <c r="R248" s="7">
        <v>3.1</v>
      </c>
      <c r="S248" s="7"/>
      <c r="T248" s="7"/>
      <c r="U248" s="7"/>
    </row>
    <row r="249" spans="1:21" s="5" customFormat="1" x14ac:dyDescent="0.35">
      <c r="A249" s="5" t="s">
        <v>20</v>
      </c>
      <c r="B249" s="5" t="s">
        <v>21</v>
      </c>
      <c r="C249" s="5" t="s">
        <v>93</v>
      </c>
      <c r="D249" s="5" t="s">
        <v>23</v>
      </c>
      <c r="E249" s="7">
        <v>69.75</v>
      </c>
      <c r="F249" s="7">
        <v>27.016667000000002</v>
      </c>
      <c r="G249" s="7">
        <v>80</v>
      </c>
      <c r="I249" s="5" t="s">
        <v>187</v>
      </c>
      <c r="J249" s="5" t="s">
        <v>41</v>
      </c>
      <c r="K249" s="42">
        <v>44088</v>
      </c>
      <c r="L249" s="43">
        <v>44085</v>
      </c>
      <c r="M249" s="43">
        <v>44088</v>
      </c>
      <c r="N249" s="44">
        <v>-12.301630606719156</v>
      </c>
      <c r="O249" s="45">
        <v>-90.289768640403722</v>
      </c>
      <c r="P249" s="35">
        <f t="shared" si="3"/>
        <v>8.1232762133495271</v>
      </c>
      <c r="Q249" s="7">
        <v>0.38099999999999995</v>
      </c>
      <c r="R249" s="7">
        <v>4.2</v>
      </c>
      <c r="S249" s="7"/>
      <c r="T249" s="7"/>
      <c r="U249" s="7"/>
    </row>
    <row r="250" spans="1:21" s="5" customFormat="1" x14ac:dyDescent="0.35">
      <c r="A250" s="5" t="s">
        <v>20</v>
      </c>
      <c r="B250" s="5" t="s">
        <v>21</v>
      </c>
      <c r="C250" s="5" t="s">
        <v>93</v>
      </c>
      <c r="D250" s="5" t="s">
        <v>23</v>
      </c>
      <c r="E250" s="7">
        <v>69.75</v>
      </c>
      <c r="F250" s="7">
        <v>27.016667000000002</v>
      </c>
      <c r="G250" s="7">
        <v>80</v>
      </c>
      <c r="I250" s="5" t="s">
        <v>188</v>
      </c>
      <c r="J250" s="5" t="s">
        <v>41</v>
      </c>
      <c r="K250" s="42">
        <v>44090</v>
      </c>
      <c r="L250" s="43"/>
      <c r="M250" s="43"/>
      <c r="N250" s="44">
        <v>-12.777379261819091</v>
      </c>
      <c r="O250" s="45">
        <v>-99.139133020268901</v>
      </c>
      <c r="P250" s="35">
        <f t="shared" si="3"/>
        <v>3.0799010742838249</v>
      </c>
      <c r="Q250" s="7">
        <v>1.397</v>
      </c>
      <c r="R250" s="7">
        <v>2.9</v>
      </c>
      <c r="S250" s="7"/>
      <c r="T250" s="7"/>
      <c r="U250" s="7"/>
    </row>
    <row r="251" spans="1:21" s="5" customFormat="1" x14ac:dyDescent="0.35">
      <c r="A251" s="5" t="s">
        <v>20</v>
      </c>
      <c r="B251" s="5" t="s">
        <v>21</v>
      </c>
      <c r="C251" s="5" t="s">
        <v>93</v>
      </c>
      <c r="D251" s="5" t="s">
        <v>23</v>
      </c>
      <c r="E251" s="7">
        <v>69.75</v>
      </c>
      <c r="F251" s="7">
        <v>27.016667000000002</v>
      </c>
      <c r="G251" s="7">
        <v>80</v>
      </c>
      <c r="I251" s="5" t="s">
        <v>189</v>
      </c>
      <c r="K251" s="42">
        <v>44095</v>
      </c>
      <c r="L251" s="43"/>
      <c r="M251" s="43"/>
      <c r="N251" s="44">
        <v>-12.377756446106755</v>
      </c>
      <c r="O251" s="45">
        <v>-91.624898616412239</v>
      </c>
      <c r="P251" s="35">
        <f t="shared" si="3"/>
        <v>7.3971529524418003</v>
      </c>
      <c r="Q251" s="7">
        <v>2</v>
      </c>
      <c r="R251" s="7">
        <v>3.1</v>
      </c>
      <c r="S251" s="7"/>
      <c r="T251" s="7"/>
      <c r="U251" s="7"/>
    </row>
    <row r="252" spans="1:21" s="5" customFormat="1" x14ac:dyDescent="0.35">
      <c r="A252" s="5" t="s">
        <v>20</v>
      </c>
      <c r="B252" s="5" t="s">
        <v>21</v>
      </c>
      <c r="C252" s="5" t="s">
        <v>93</v>
      </c>
      <c r="D252" s="5" t="s">
        <v>23</v>
      </c>
      <c r="E252" s="7">
        <v>69.75</v>
      </c>
      <c r="F252" s="7">
        <v>27.016667000000002</v>
      </c>
      <c r="G252" s="7">
        <v>80</v>
      </c>
      <c r="I252" s="5" t="s">
        <v>190</v>
      </c>
      <c r="K252" s="42">
        <v>44096</v>
      </c>
      <c r="L252" s="43"/>
      <c r="M252" s="43"/>
      <c r="N252" s="44">
        <v>-17.740242195425317</v>
      </c>
      <c r="O252" s="45">
        <v>-134.84336832061072</v>
      </c>
      <c r="P252" s="35">
        <f t="shared" si="3"/>
        <v>7.078569242791815</v>
      </c>
      <c r="Q252" s="7">
        <v>0.2</v>
      </c>
      <c r="R252" s="7">
        <v>5.8</v>
      </c>
      <c r="S252" s="7"/>
      <c r="T252" s="7"/>
      <c r="U252" s="7"/>
    </row>
    <row r="253" spans="1:21" s="5" customFormat="1" x14ac:dyDescent="0.35">
      <c r="A253" s="5" t="s">
        <v>20</v>
      </c>
      <c r="B253" s="5" t="s">
        <v>21</v>
      </c>
      <c r="C253" s="5" t="s">
        <v>93</v>
      </c>
      <c r="D253" s="5" t="s">
        <v>23</v>
      </c>
      <c r="E253" s="7">
        <v>69.75</v>
      </c>
      <c r="F253" s="7">
        <v>27.016667000000002</v>
      </c>
      <c r="G253" s="7">
        <v>80</v>
      </c>
      <c r="I253" s="5" t="s">
        <v>191</v>
      </c>
      <c r="K253" s="42">
        <v>44099</v>
      </c>
      <c r="L253" s="43"/>
      <c r="M253" s="43"/>
      <c r="N253" s="44">
        <v>-9.0334296761208659</v>
      </c>
      <c r="O253" s="45">
        <v>-58.746133760929169</v>
      </c>
      <c r="P253" s="35">
        <f t="shared" si="3"/>
        <v>13.521303648037758</v>
      </c>
      <c r="Q253" s="7">
        <v>0.2</v>
      </c>
      <c r="R253" s="7">
        <v>5.5</v>
      </c>
      <c r="S253" s="7"/>
      <c r="T253" s="7"/>
      <c r="U253" s="7"/>
    </row>
    <row r="254" spans="1:21" s="5" customFormat="1" ht="14.25" customHeight="1" x14ac:dyDescent="0.35">
      <c r="A254" s="5" t="s">
        <v>20</v>
      </c>
      <c r="B254" s="5" t="s">
        <v>21</v>
      </c>
      <c r="C254" s="5" t="s">
        <v>192</v>
      </c>
      <c r="D254" s="5" t="s">
        <v>193</v>
      </c>
      <c r="E254" s="7">
        <v>68.354393000000002</v>
      </c>
      <c r="F254" s="7">
        <v>18.815747999999999</v>
      </c>
      <c r="G254" s="7">
        <v>376</v>
      </c>
      <c r="I254" s="5" t="s">
        <v>194</v>
      </c>
      <c r="K254" s="8">
        <v>43739</v>
      </c>
      <c r="N254" s="7">
        <v>-22.85</v>
      </c>
      <c r="O254" s="35">
        <v>-170.58</v>
      </c>
      <c r="P254" s="35">
        <f t="shared" si="3"/>
        <v>12.219999999999999</v>
      </c>
      <c r="Q254" s="7">
        <v>28</v>
      </c>
    </row>
    <row r="255" spans="1:21" s="5" customFormat="1" ht="14.25" customHeight="1" x14ac:dyDescent="0.35">
      <c r="A255" s="5" t="s">
        <v>20</v>
      </c>
      <c r="B255" s="5" t="s">
        <v>21</v>
      </c>
      <c r="C255" s="5" t="s">
        <v>192</v>
      </c>
      <c r="D255" s="5" t="s">
        <v>193</v>
      </c>
      <c r="E255" s="7">
        <v>68.354393000000002</v>
      </c>
      <c r="F255" s="7">
        <v>18.815747999999999</v>
      </c>
      <c r="G255" s="7">
        <v>376</v>
      </c>
      <c r="I255" s="5" t="s">
        <v>195</v>
      </c>
      <c r="K255" s="8">
        <v>43740</v>
      </c>
      <c r="N255" s="7">
        <v>-14.24</v>
      </c>
      <c r="O255" s="35">
        <v>-107.54</v>
      </c>
      <c r="P255" s="35">
        <f t="shared" si="3"/>
        <v>6.3799999999999955</v>
      </c>
      <c r="Q255" s="7">
        <v>7.4</v>
      </c>
    </row>
    <row r="256" spans="1:21" s="5" customFormat="1" ht="14.25" customHeight="1" x14ac:dyDescent="0.35">
      <c r="A256" s="5" t="s">
        <v>20</v>
      </c>
      <c r="B256" s="5" t="s">
        <v>21</v>
      </c>
      <c r="C256" s="5" t="s">
        <v>192</v>
      </c>
      <c r="D256" s="5" t="s">
        <v>193</v>
      </c>
      <c r="E256" s="7">
        <v>68.354393000000002</v>
      </c>
      <c r="F256" s="7">
        <v>18.815747999999999</v>
      </c>
      <c r="G256" s="7">
        <v>376</v>
      </c>
      <c r="I256" s="5" t="s">
        <v>196</v>
      </c>
      <c r="K256" s="8">
        <v>43752</v>
      </c>
      <c r="N256" s="7">
        <v>-18.55</v>
      </c>
      <c r="O256" s="35">
        <v>-143.24</v>
      </c>
      <c r="P256" s="35">
        <f t="shared" si="3"/>
        <v>5.1599999999999966</v>
      </c>
      <c r="Q256" s="7">
        <v>0.5</v>
      </c>
    </row>
    <row r="257" spans="1:17" s="5" customFormat="1" ht="14.25" customHeight="1" x14ac:dyDescent="0.35">
      <c r="A257" s="5" t="s">
        <v>20</v>
      </c>
      <c r="B257" s="5" t="s">
        <v>21</v>
      </c>
      <c r="C257" s="5" t="s">
        <v>192</v>
      </c>
      <c r="D257" s="5" t="s">
        <v>193</v>
      </c>
      <c r="E257" s="7">
        <v>68.354393000000002</v>
      </c>
      <c r="F257" s="7">
        <v>18.815747999999999</v>
      </c>
      <c r="G257" s="7">
        <v>376</v>
      </c>
      <c r="I257" s="5" t="s">
        <v>197</v>
      </c>
      <c r="K257" s="8">
        <v>43754</v>
      </c>
      <c r="N257" s="7">
        <v>-21.21</v>
      </c>
      <c r="O257" s="35">
        <v>-154.44</v>
      </c>
      <c r="P257" s="35">
        <f t="shared" si="3"/>
        <v>15.240000000000009</v>
      </c>
      <c r="Q257" s="7">
        <v>1.6</v>
      </c>
    </row>
    <row r="258" spans="1:17" s="5" customFormat="1" ht="14.25" customHeight="1" x14ac:dyDescent="0.35">
      <c r="A258" s="5" t="s">
        <v>20</v>
      </c>
      <c r="B258" s="5" t="s">
        <v>21</v>
      </c>
      <c r="C258" s="5" t="s">
        <v>192</v>
      </c>
      <c r="D258" s="5" t="s">
        <v>193</v>
      </c>
      <c r="E258" s="7">
        <v>68.354393000000002</v>
      </c>
      <c r="F258" s="7">
        <v>18.815747999999999</v>
      </c>
      <c r="G258" s="7">
        <v>376</v>
      </c>
      <c r="I258" s="5" t="s">
        <v>198</v>
      </c>
      <c r="K258" s="8">
        <v>43761</v>
      </c>
      <c r="N258" s="7">
        <v>-19.25</v>
      </c>
      <c r="O258" s="35">
        <v>-142.28</v>
      </c>
      <c r="P258" s="35">
        <f t="shared" si="3"/>
        <v>11.719999999999999</v>
      </c>
      <c r="Q258" s="7">
        <v>5.3</v>
      </c>
    </row>
    <row r="259" spans="1:17" s="5" customFormat="1" ht="14.25" customHeight="1" x14ac:dyDescent="0.35">
      <c r="A259" s="5" t="s">
        <v>20</v>
      </c>
      <c r="B259" s="5" t="s">
        <v>21</v>
      </c>
      <c r="C259" s="5" t="s">
        <v>192</v>
      </c>
      <c r="D259" s="5" t="s">
        <v>193</v>
      </c>
      <c r="E259" s="7">
        <v>68.354393000000002</v>
      </c>
      <c r="F259" s="7">
        <v>18.815747999999999</v>
      </c>
      <c r="G259" s="7">
        <v>376</v>
      </c>
      <c r="I259" s="5" t="s">
        <v>199</v>
      </c>
      <c r="K259" s="8">
        <v>43762</v>
      </c>
      <c r="N259" s="7">
        <v>-14.26</v>
      </c>
      <c r="O259" s="35">
        <v>-101.03</v>
      </c>
      <c r="P259" s="35">
        <f t="shared" si="3"/>
        <v>13.049999999999997</v>
      </c>
      <c r="Q259" s="7">
        <v>1.8</v>
      </c>
    </row>
    <row r="260" spans="1:17" s="5" customFormat="1" ht="14.25" customHeight="1" x14ac:dyDescent="0.35">
      <c r="A260" s="5" t="s">
        <v>20</v>
      </c>
      <c r="B260" s="5" t="s">
        <v>21</v>
      </c>
      <c r="C260" s="5" t="s">
        <v>192</v>
      </c>
      <c r="D260" s="5" t="s">
        <v>193</v>
      </c>
      <c r="E260" s="7">
        <v>68.354393000000002</v>
      </c>
      <c r="F260" s="7">
        <v>18.815747999999999</v>
      </c>
      <c r="G260" s="7">
        <v>376</v>
      </c>
      <c r="I260" s="5" t="s">
        <v>200</v>
      </c>
      <c r="K260" s="8">
        <v>43763</v>
      </c>
      <c r="N260" s="7">
        <v>-22.34</v>
      </c>
      <c r="O260" s="35">
        <v>-169.87</v>
      </c>
      <c r="P260" s="35">
        <f t="shared" si="3"/>
        <v>8.8499999999999943</v>
      </c>
      <c r="Q260" s="7">
        <v>1.8</v>
      </c>
    </row>
    <row r="261" spans="1:17" s="5" customFormat="1" ht="14.25" customHeight="1" x14ac:dyDescent="0.35">
      <c r="A261" s="5" t="s">
        <v>20</v>
      </c>
      <c r="B261" s="5" t="s">
        <v>21</v>
      </c>
      <c r="C261" s="5" t="s">
        <v>192</v>
      </c>
      <c r="D261" s="5" t="s">
        <v>193</v>
      </c>
      <c r="E261" s="7">
        <v>68.354393000000002</v>
      </c>
      <c r="F261" s="7">
        <v>18.815747999999999</v>
      </c>
      <c r="G261" s="7">
        <v>376</v>
      </c>
      <c r="I261" s="5" t="s">
        <v>201</v>
      </c>
      <c r="K261" s="8">
        <v>43766</v>
      </c>
      <c r="N261" s="7">
        <v>-14.89</v>
      </c>
      <c r="O261" s="35">
        <v>-111.28</v>
      </c>
      <c r="P261" s="35">
        <f t="shared" si="3"/>
        <v>7.8400000000000034</v>
      </c>
      <c r="Q261" s="7">
        <v>0.6</v>
      </c>
    </row>
    <row r="262" spans="1:17" s="5" customFormat="1" ht="14.25" customHeight="1" x14ac:dyDescent="0.35">
      <c r="A262" s="5" t="s">
        <v>20</v>
      </c>
      <c r="B262" s="5" t="s">
        <v>21</v>
      </c>
      <c r="C262" s="5" t="s">
        <v>192</v>
      </c>
      <c r="D262" s="5" t="s">
        <v>193</v>
      </c>
      <c r="E262" s="7">
        <v>68.354393000000002</v>
      </c>
      <c r="F262" s="7">
        <v>18.815747999999999</v>
      </c>
      <c r="G262" s="7">
        <v>376</v>
      </c>
      <c r="I262" s="5" t="s">
        <v>202</v>
      </c>
      <c r="K262" s="8">
        <v>43767</v>
      </c>
      <c r="N262" s="7">
        <v>-16.260000000000002</v>
      </c>
      <c r="O262" s="35">
        <v>-111.39</v>
      </c>
      <c r="P262" s="35">
        <f t="shared" si="3"/>
        <v>18.690000000000012</v>
      </c>
      <c r="Q262" s="7">
        <v>3.3</v>
      </c>
    </row>
    <row r="263" spans="1:17" s="5" customFormat="1" ht="14.25" customHeight="1" x14ac:dyDescent="0.35">
      <c r="A263" s="5" t="s">
        <v>20</v>
      </c>
      <c r="B263" s="5" t="s">
        <v>21</v>
      </c>
      <c r="C263" s="5" t="s">
        <v>192</v>
      </c>
      <c r="D263" s="5" t="s">
        <v>193</v>
      </c>
      <c r="E263" s="7">
        <v>68.354393000000002</v>
      </c>
      <c r="F263" s="7">
        <v>18.815747999999999</v>
      </c>
      <c r="G263" s="7">
        <v>376</v>
      </c>
      <c r="I263" s="5" t="s">
        <v>203</v>
      </c>
      <c r="K263" s="8">
        <v>43769</v>
      </c>
      <c r="N263" s="7">
        <v>-27.06</v>
      </c>
      <c r="O263" s="35">
        <v>-205.11</v>
      </c>
      <c r="P263" s="35">
        <f t="shared" si="3"/>
        <v>11.369999999999976</v>
      </c>
      <c r="Q263" s="7">
        <v>1.1000000000000001</v>
      </c>
    </row>
    <row r="264" spans="1:17" s="5" customFormat="1" ht="14.25" customHeight="1" x14ac:dyDescent="0.35">
      <c r="A264" s="5" t="s">
        <v>20</v>
      </c>
      <c r="B264" s="5" t="s">
        <v>21</v>
      </c>
      <c r="C264" s="5" t="s">
        <v>192</v>
      </c>
      <c r="D264" s="5" t="s">
        <v>193</v>
      </c>
      <c r="E264" s="7">
        <v>68.354393000000002</v>
      </c>
      <c r="F264" s="7">
        <v>18.815747999999999</v>
      </c>
      <c r="G264" s="7">
        <v>376</v>
      </c>
      <c r="I264" s="5" t="s">
        <v>204</v>
      </c>
      <c r="K264" s="8">
        <v>43770</v>
      </c>
      <c r="N264" s="7">
        <v>-15.38</v>
      </c>
      <c r="O264" s="35">
        <v>-106.79</v>
      </c>
      <c r="P264" s="35">
        <f t="shared" si="3"/>
        <v>16.25</v>
      </c>
      <c r="Q264" s="7">
        <v>1.8</v>
      </c>
    </row>
    <row r="265" spans="1:17" s="5" customFormat="1" ht="14.25" customHeight="1" x14ac:dyDescent="0.35">
      <c r="A265" s="5" t="s">
        <v>20</v>
      </c>
      <c r="B265" s="5" t="s">
        <v>21</v>
      </c>
      <c r="C265" s="5" t="s">
        <v>192</v>
      </c>
      <c r="D265" s="5" t="s">
        <v>193</v>
      </c>
      <c r="E265" s="7">
        <v>68.354393000000002</v>
      </c>
      <c r="F265" s="7">
        <v>18.815747999999999</v>
      </c>
      <c r="G265" s="7">
        <v>376</v>
      </c>
      <c r="I265" s="5" t="s">
        <v>205</v>
      </c>
      <c r="K265" s="8">
        <v>43773</v>
      </c>
      <c r="N265" s="7">
        <v>-14.17</v>
      </c>
      <c r="O265" s="35">
        <v>-99.17</v>
      </c>
      <c r="P265" s="35">
        <f t="shared" si="3"/>
        <v>14.189999999999998</v>
      </c>
      <c r="Q265" s="7">
        <v>6.2</v>
      </c>
    </row>
    <row r="266" spans="1:17" s="5" customFormat="1" ht="14.25" customHeight="1" x14ac:dyDescent="0.35">
      <c r="A266" s="5" t="s">
        <v>20</v>
      </c>
      <c r="B266" s="5" t="s">
        <v>21</v>
      </c>
      <c r="C266" s="5" t="s">
        <v>192</v>
      </c>
      <c r="D266" s="5" t="s">
        <v>193</v>
      </c>
      <c r="E266" s="7">
        <v>68.354393000000002</v>
      </c>
      <c r="F266" s="7">
        <v>18.815747999999999</v>
      </c>
      <c r="G266" s="7">
        <v>376</v>
      </c>
      <c r="I266" s="5" t="s">
        <v>206</v>
      </c>
      <c r="K266" s="8">
        <v>43774</v>
      </c>
      <c r="N266" s="7">
        <v>-11.28</v>
      </c>
      <c r="O266" s="35">
        <v>-82.79</v>
      </c>
      <c r="P266" s="35">
        <f t="shared" si="3"/>
        <v>7.4499999999999886</v>
      </c>
      <c r="Q266" s="7">
        <v>0.3</v>
      </c>
    </row>
    <row r="267" spans="1:17" s="5" customFormat="1" ht="14.25" customHeight="1" x14ac:dyDescent="0.35">
      <c r="A267" s="5" t="s">
        <v>20</v>
      </c>
      <c r="B267" s="5" t="s">
        <v>21</v>
      </c>
      <c r="C267" s="5" t="s">
        <v>192</v>
      </c>
      <c r="D267" s="5" t="s">
        <v>193</v>
      </c>
      <c r="E267" s="7">
        <v>68.354393000000002</v>
      </c>
      <c r="F267" s="7">
        <v>18.815747999999999</v>
      </c>
      <c r="G267" s="7">
        <v>376</v>
      </c>
      <c r="I267" s="5" t="s">
        <v>207</v>
      </c>
      <c r="K267" s="8">
        <v>43782</v>
      </c>
      <c r="N267" s="7">
        <v>-25.22</v>
      </c>
      <c r="O267" s="35">
        <v>-194.52</v>
      </c>
      <c r="P267" s="35">
        <f t="shared" si="3"/>
        <v>7.2399999999999807</v>
      </c>
      <c r="Q267" s="7">
        <v>0.3</v>
      </c>
    </row>
    <row r="268" spans="1:17" s="5" customFormat="1" ht="14.25" customHeight="1" x14ac:dyDescent="0.35">
      <c r="A268" s="5" t="s">
        <v>20</v>
      </c>
      <c r="B268" s="5" t="s">
        <v>21</v>
      </c>
      <c r="C268" s="5" t="s">
        <v>192</v>
      </c>
      <c r="D268" s="5" t="s">
        <v>193</v>
      </c>
      <c r="E268" s="7">
        <v>68.354393000000002</v>
      </c>
      <c r="F268" s="7">
        <v>18.815747999999999</v>
      </c>
      <c r="G268" s="7">
        <v>376</v>
      </c>
      <c r="I268" s="5" t="s">
        <v>208</v>
      </c>
      <c r="K268" s="8">
        <v>43788</v>
      </c>
      <c r="N268" s="7">
        <v>-17.010000000000002</v>
      </c>
      <c r="O268" s="35">
        <v>-121.6</v>
      </c>
      <c r="P268" s="35">
        <f t="shared" si="3"/>
        <v>14.480000000000018</v>
      </c>
      <c r="Q268" s="7">
        <v>1.6</v>
      </c>
    </row>
    <row r="269" spans="1:17" s="5" customFormat="1" ht="14.25" customHeight="1" x14ac:dyDescent="0.35">
      <c r="A269" s="5" t="s">
        <v>20</v>
      </c>
      <c r="B269" s="5" t="s">
        <v>21</v>
      </c>
      <c r="C269" s="5" t="s">
        <v>192</v>
      </c>
      <c r="D269" s="5" t="s">
        <v>193</v>
      </c>
      <c r="E269" s="7">
        <v>68.354393000000002</v>
      </c>
      <c r="F269" s="7">
        <v>18.815747999999999</v>
      </c>
      <c r="G269" s="7">
        <v>376</v>
      </c>
      <c r="I269" s="5" t="s">
        <v>209</v>
      </c>
      <c r="K269" s="8">
        <v>43794</v>
      </c>
      <c r="N269" s="7">
        <v>-13.9</v>
      </c>
      <c r="O269" s="35">
        <v>-96.91</v>
      </c>
      <c r="P269" s="35">
        <f t="shared" si="3"/>
        <v>14.290000000000006</v>
      </c>
      <c r="Q269" s="7">
        <v>0.5</v>
      </c>
    </row>
    <row r="270" spans="1:17" s="5" customFormat="1" ht="14.25" customHeight="1" x14ac:dyDescent="0.35">
      <c r="A270" s="5" t="s">
        <v>20</v>
      </c>
      <c r="B270" s="5" t="s">
        <v>21</v>
      </c>
      <c r="C270" s="5" t="s">
        <v>192</v>
      </c>
      <c r="D270" s="5" t="s">
        <v>193</v>
      </c>
      <c r="E270" s="7">
        <v>68.354393000000002</v>
      </c>
      <c r="F270" s="7">
        <v>18.815747999999999</v>
      </c>
      <c r="G270" s="7">
        <v>376</v>
      </c>
      <c r="I270" s="5" t="s">
        <v>210</v>
      </c>
      <c r="K270" s="8">
        <v>43795</v>
      </c>
      <c r="N270" s="7">
        <v>-13.19</v>
      </c>
      <c r="O270" s="35">
        <v>-94.86</v>
      </c>
      <c r="P270" s="35">
        <f t="shared" si="3"/>
        <v>10.659999999999997</v>
      </c>
      <c r="Q270" s="7">
        <v>0.1</v>
      </c>
    </row>
    <row r="271" spans="1:17" s="5" customFormat="1" ht="14.25" customHeight="1" x14ac:dyDescent="0.35">
      <c r="A271" s="5" t="s">
        <v>20</v>
      </c>
      <c r="B271" s="5" t="s">
        <v>21</v>
      </c>
      <c r="C271" s="5" t="s">
        <v>192</v>
      </c>
      <c r="D271" s="5" t="s">
        <v>193</v>
      </c>
      <c r="E271" s="7">
        <v>68.354393000000002</v>
      </c>
      <c r="F271" s="7">
        <v>18.815747999999999</v>
      </c>
      <c r="G271" s="7">
        <v>376</v>
      </c>
      <c r="I271" s="5" t="s">
        <v>211</v>
      </c>
      <c r="J271" s="5" t="s">
        <v>100</v>
      </c>
      <c r="K271" s="8">
        <v>43801</v>
      </c>
      <c r="N271" s="7">
        <v>-15.31</v>
      </c>
      <c r="O271" s="35">
        <v>-104.56</v>
      </c>
      <c r="P271" s="35">
        <f t="shared" si="3"/>
        <v>17.920000000000002</v>
      </c>
      <c r="Q271" s="7">
        <v>20.6</v>
      </c>
    </row>
    <row r="272" spans="1:17" s="5" customFormat="1" ht="14.25" customHeight="1" x14ac:dyDescent="0.35">
      <c r="A272" s="5" t="s">
        <v>20</v>
      </c>
      <c r="B272" s="5" t="s">
        <v>21</v>
      </c>
      <c r="C272" s="5" t="s">
        <v>192</v>
      </c>
      <c r="D272" s="5" t="s">
        <v>193</v>
      </c>
      <c r="E272" s="7">
        <v>68.354393000000002</v>
      </c>
      <c r="F272" s="7">
        <v>18.815747999999999</v>
      </c>
      <c r="G272" s="7">
        <v>376</v>
      </c>
      <c r="I272" s="5" t="s">
        <v>212</v>
      </c>
      <c r="J272" s="5" t="s">
        <v>100</v>
      </c>
      <c r="K272" s="8">
        <v>43802</v>
      </c>
      <c r="N272" s="7">
        <v>-11.8</v>
      </c>
      <c r="O272" s="35">
        <v>-78.53</v>
      </c>
      <c r="P272" s="35">
        <f t="shared" si="3"/>
        <v>15.870000000000005</v>
      </c>
      <c r="Q272" s="7">
        <v>1.8</v>
      </c>
    </row>
    <row r="273" spans="1:17" s="5" customFormat="1" ht="14.25" customHeight="1" x14ac:dyDescent="0.35">
      <c r="A273" s="5" t="s">
        <v>20</v>
      </c>
      <c r="B273" s="5" t="s">
        <v>21</v>
      </c>
      <c r="C273" s="5" t="s">
        <v>192</v>
      </c>
      <c r="D273" s="5" t="s">
        <v>193</v>
      </c>
      <c r="E273" s="7">
        <v>68.354393000000002</v>
      </c>
      <c r="F273" s="7">
        <v>18.815747999999999</v>
      </c>
      <c r="G273" s="7">
        <v>376</v>
      </c>
      <c r="I273" s="5" t="s">
        <v>213</v>
      </c>
      <c r="J273" s="5" t="s">
        <v>214</v>
      </c>
      <c r="K273" s="8">
        <v>43803</v>
      </c>
      <c r="N273" s="7">
        <v>-19.940000000000001</v>
      </c>
      <c r="O273" s="35">
        <v>-150.49</v>
      </c>
      <c r="P273" s="35">
        <f t="shared" si="3"/>
        <v>9.0300000000000011</v>
      </c>
      <c r="Q273" s="7">
        <v>10.6</v>
      </c>
    </row>
    <row r="274" spans="1:17" s="5" customFormat="1" ht="14.25" customHeight="1" x14ac:dyDescent="0.35">
      <c r="A274" s="5" t="s">
        <v>20</v>
      </c>
      <c r="B274" s="5" t="s">
        <v>21</v>
      </c>
      <c r="C274" s="5" t="s">
        <v>192</v>
      </c>
      <c r="D274" s="5" t="s">
        <v>193</v>
      </c>
      <c r="E274" s="7">
        <v>68.354393000000002</v>
      </c>
      <c r="F274" s="7">
        <v>18.815747999999999</v>
      </c>
      <c r="G274" s="7">
        <v>376</v>
      </c>
      <c r="I274" s="5" t="s">
        <v>215</v>
      </c>
      <c r="J274" s="5" t="s">
        <v>41</v>
      </c>
      <c r="K274" s="8">
        <v>43804</v>
      </c>
      <c r="N274" s="7">
        <v>-9.89</v>
      </c>
      <c r="O274" s="35">
        <v>-83.82</v>
      </c>
      <c r="P274" s="35">
        <f t="shared" si="3"/>
        <v>-4.6999999999999886</v>
      </c>
      <c r="Q274" s="7">
        <v>0.6</v>
      </c>
    </row>
    <row r="275" spans="1:17" s="5" customFormat="1" ht="14.25" customHeight="1" x14ac:dyDescent="0.35">
      <c r="A275" s="5" t="s">
        <v>20</v>
      </c>
      <c r="B275" s="5" t="s">
        <v>21</v>
      </c>
      <c r="C275" s="5" t="s">
        <v>192</v>
      </c>
      <c r="D275" s="5" t="s">
        <v>193</v>
      </c>
      <c r="E275" s="7">
        <v>68.354393000000002</v>
      </c>
      <c r="F275" s="7">
        <v>18.815747999999999</v>
      </c>
      <c r="G275" s="7">
        <v>376</v>
      </c>
      <c r="I275" s="5" t="s">
        <v>216</v>
      </c>
      <c r="J275" s="5" t="s">
        <v>100</v>
      </c>
      <c r="K275" s="8">
        <v>43805</v>
      </c>
      <c r="N275" s="7">
        <v>-13.87</v>
      </c>
      <c r="O275" s="35">
        <v>-108.88</v>
      </c>
      <c r="P275" s="35">
        <f t="shared" si="3"/>
        <v>2.0799999999999983</v>
      </c>
      <c r="Q275" s="7">
        <v>0.2</v>
      </c>
    </row>
    <row r="276" spans="1:17" s="5" customFormat="1" ht="14.25" customHeight="1" x14ac:dyDescent="0.35">
      <c r="A276" s="5" t="s">
        <v>20</v>
      </c>
      <c r="B276" s="5" t="s">
        <v>21</v>
      </c>
      <c r="C276" s="5" t="s">
        <v>192</v>
      </c>
      <c r="D276" s="5" t="s">
        <v>193</v>
      </c>
      <c r="E276" s="7">
        <v>68.354393000000002</v>
      </c>
      <c r="F276" s="7">
        <v>18.815747999999999</v>
      </c>
      <c r="G276" s="7">
        <v>376</v>
      </c>
      <c r="I276" s="5" t="s">
        <v>217</v>
      </c>
      <c r="J276" s="5" t="s">
        <v>100</v>
      </c>
      <c r="K276" s="8">
        <v>43808</v>
      </c>
      <c r="N276" s="7">
        <v>-20.93</v>
      </c>
      <c r="O276" s="35">
        <v>-161.07</v>
      </c>
      <c r="P276" s="35">
        <f t="shared" si="3"/>
        <v>6.3700000000000045</v>
      </c>
      <c r="Q276" s="7">
        <v>3.5</v>
      </c>
    </row>
    <row r="277" spans="1:17" s="5" customFormat="1" ht="14.25" customHeight="1" x14ac:dyDescent="0.35">
      <c r="A277" s="5" t="s">
        <v>20</v>
      </c>
      <c r="B277" s="5" t="s">
        <v>21</v>
      </c>
      <c r="C277" s="5" t="s">
        <v>192</v>
      </c>
      <c r="D277" s="5" t="s">
        <v>193</v>
      </c>
      <c r="E277" s="7">
        <v>68.354393000000002</v>
      </c>
      <c r="F277" s="7">
        <v>18.815747999999999</v>
      </c>
      <c r="G277" s="7">
        <v>376</v>
      </c>
      <c r="I277" s="5" t="s">
        <v>218</v>
      </c>
      <c r="J277" s="5" t="s">
        <v>100</v>
      </c>
      <c r="K277" s="8">
        <v>43809</v>
      </c>
      <c r="N277" s="7">
        <v>-11.65</v>
      </c>
      <c r="O277" s="35">
        <v>-72.81</v>
      </c>
      <c r="P277" s="35">
        <f t="shared" si="3"/>
        <v>20.39</v>
      </c>
      <c r="Q277" s="7">
        <v>0.3</v>
      </c>
    </row>
    <row r="278" spans="1:17" s="5" customFormat="1" ht="14.25" customHeight="1" x14ac:dyDescent="0.35">
      <c r="A278" s="5" t="s">
        <v>20</v>
      </c>
      <c r="B278" s="5" t="s">
        <v>21</v>
      </c>
      <c r="C278" s="5" t="s">
        <v>192</v>
      </c>
      <c r="D278" s="5" t="s">
        <v>193</v>
      </c>
      <c r="E278" s="7">
        <v>68.354393000000002</v>
      </c>
      <c r="F278" s="7">
        <v>18.815747999999999</v>
      </c>
      <c r="G278" s="7">
        <v>376</v>
      </c>
      <c r="I278" s="5" t="s">
        <v>219</v>
      </c>
      <c r="J278" s="5" t="s">
        <v>100</v>
      </c>
      <c r="K278" s="8">
        <v>43810</v>
      </c>
      <c r="N278" s="7">
        <v>-16.77</v>
      </c>
      <c r="O278" s="35">
        <v>-121.41</v>
      </c>
      <c r="P278" s="35">
        <f t="shared" si="3"/>
        <v>12.75</v>
      </c>
      <c r="Q278" s="7">
        <v>0.2</v>
      </c>
    </row>
    <row r="279" spans="1:17" s="5" customFormat="1" ht="14.25" customHeight="1" x14ac:dyDescent="0.35">
      <c r="A279" s="5" t="s">
        <v>20</v>
      </c>
      <c r="B279" s="5" t="s">
        <v>21</v>
      </c>
      <c r="C279" s="5" t="s">
        <v>192</v>
      </c>
      <c r="D279" s="5" t="s">
        <v>193</v>
      </c>
      <c r="E279" s="7">
        <v>68.354393000000002</v>
      </c>
      <c r="F279" s="7">
        <v>18.815747999999999</v>
      </c>
      <c r="G279" s="7">
        <v>376</v>
      </c>
      <c r="I279" s="5" t="s">
        <v>220</v>
      </c>
      <c r="J279" s="5" t="s">
        <v>100</v>
      </c>
      <c r="K279" s="8">
        <v>43811</v>
      </c>
      <c r="N279" s="7">
        <v>-15.68</v>
      </c>
      <c r="O279" s="35">
        <v>-139.62</v>
      </c>
      <c r="P279" s="35">
        <f t="shared" si="3"/>
        <v>-14.180000000000007</v>
      </c>
      <c r="Q279" s="7">
        <v>0.4</v>
      </c>
    </row>
    <row r="280" spans="1:17" s="5" customFormat="1" ht="14.25" customHeight="1" x14ac:dyDescent="0.35">
      <c r="A280" s="5" t="s">
        <v>20</v>
      </c>
      <c r="B280" s="5" t="s">
        <v>21</v>
      </c>
      <c r="C280" s="5" t="s">
        <v>192</v>
      </c>
      <c r="D280" s="5" t="s">
        <v>193</v>
      </c>
      <c r="E280" s="7">
        <v>68.354393000000002</v>
      </c>
      <c r="F280" s="7">
        <v>18.815747999999999</v>
      </c>
      <c r="G280" s="7">
        <v>376</v>
      </c>
      <c r="I280" s="5" t="s">
        <v>221</v>
      </c>
      <c r="J280" s="5" t="s">
        <v>100</v>
      </c>
      <c r="K280" s="8">
        <v>43816</v>
      </c>
      <c r="N280" s="7">
        <v>-30.01</v>
      </c>
      <c r="O280" s="35">
        <v>-231.84</v>
      </c>
      <c r="P280" s="35">
        <f t="shared" si="3"/>
        <v>8.2400000000000091</v>
      </c>
      <c r="Q280" s="7">
        <v>1.1000000000000001</v>
      </c>
    </row>
    <row r="281" spans="1:17" s="5" customFormat="1" ht="14.25" customHeight="1" x14ac:dyDescent="0.35">
      <c r="A281" s="5" t="s">
        <v>20</v>
      </c>
      <c r="B281" s="5" t="s">
        <v>21</v>
      </c>
      <c r="C281" s="5" t="s">
        <v>192</v>
      </c>
      <c r="D281" s="5" t="s">
        <v>193</v>
      </c>
      <c r="E281" s="7">
        <v>68.354393000000002</v>
      </c>
      <c r="F281" s="7">
        <v>18.815747999999999</v>
      </c>
      <c r="G281" s="7">
        <v>376</v>
      </c>
      <c r="I281" s="5" t="s">
        <v>222</v>
      </c>
      <c r="J281" s="5" t="s">
        <v>100</v>
      </c>
      <c r="K281" s="8">
        <v>43817</v>
      </c>
      <c r="N281" s="7">
        <v>-21.42</v>
      </c>
      <c r="O281" s="35">
        <v>-164.12</v>
      </c>
      <c r="P281" s="35">
        <f t="shared" si="3"/>
        <v>7.2400000000000091</v>
      </c>
      <c r="Q281" s="7">
        <v>0.8</v>
      </c>
    </row>
    <row r="282" spans="1:17" s="5" customFormat="1" ht="14.25" customHeight="1" x14ac:dyDescent="0.35">
      <c r="A282" s="5" t="s">
        <v>20</v>
      </c>
      <c r="B282" s="5" t="s">
        <v>21</v>
      </c>
      <c r="C282" s="5" t="s">
        <v>192</v>
      </c>
      <c r="D282" s="5" t="s">
        <v>193</v>
      </c>
      <c r="E282" s="7">
        <v>68.354393000000002</v>
      </c>
      <c r="F282" s="7">
        <v>18.815747999999999</v>
      </c>
      <c r="G282" s="7">
        <v>376</v>
      </c>
      <c r="I282" s="5" t="s">
        <v>223</v>
      </c>
      <c r="J282" s="5" t="s">
        <v>100</v>
      </c>
      <c r="K282" s="8">
        <v>43818</v>
      </c>
      <c r="N282" s="7">
        <v>-18.88</v>
      </c>
      <c r="O282" s="35">
        <v>-145.16999999999999</v>
      </c>
      <c r="P282" s="35">
        <f t="shared" si="3"/>
        <v>5.8700000000000045</v>
      </c>
      <c r="Q282" s="7">
        <v>0.9</v>
      </c>
    </row>
    <row r="283" spans="1:17" s="5" customFormat="1" ht="14.25" customHeight="1" x14ac:dyDescent="0.35">
      <c r="A283" s="5" t="s">
        <v>20</v>
      </c>
      <c r="B283" s="5" t="s">
        <v>21</v>
      </c>
      <c r="C283" s="5" t="s">
        <v>192</v>
      </c>
      <c r="D283" s="5" t="s">
        <v>193</v>
      </c>
      <c r="E283" s="7">
        <v>68.354393000000002</v>
      </c>
      <c r="F283" s="7">
        <v>18.815747999999999</v>
      </c>
      <c r="G283" s="7">
        <v>376</v>
      </c>
      <c r="I283" s="5" t="s">
        <v>224</v>
      </c>
      <c r="J283" s="5" t="s">
        <v>100</v>
      </c>
      <c r="K283" s="8">
        <v>43819</v>
      </c>
      <c r="N283" s="7">
        <v>-14.01</v>
      </c>
      <c r="O283" s="35">
        <v>-100.01</v>
      </c>
      <c r="P283" s="35">
        <f t="shared" si="3"/>
        <v>12.069999999999993</v>
      </c>
      <c r="Q283" s="7">
        <v>0.2</v>
      </c>
    </row>
    <row r="284" spans="1:17" s="5" customFormat="1" ht="14.25" customHeight="1" x14ac:dyDescent="0.35">
      <c r="A284" s="5" t="s">
        <v>20</v>
      </c>
      <c r="B284" s="5" t="s">
        <v>21</v>
      </c>
      <c r="C284" s="5" t="s">
        <v>192</v>
      </c>
      <c r="D284" s="5" t="s">
        <v>193</v>
      </c>
      <c r="E284" s="7">
        <v>68.354393000000002</v>
      </c>
      <c r="F284" s="7">
        <v>18.815747999999999</v>
      </c>
      <c r="G284" s="7">
        <v>376</v>
      </c>
      <c r="I284" s="5" t="s">
        <v>225</v>
      </c>
      <c r="K284" s="8">
        <v>43822</v>
      </c>
      <c r="N284" s="7">
        <v>-18.149999999999999</v>
      </c>
      <c r="O284" s="35">
        <v>-136.4</v>
      </c>
      <c r="P284" s="35">
        <f t="shared" si="3"/>
        <v>8.7999999999999829</v>
      </c>
      <c r="Q284" s="7">
        <v>2.2000000000000002</v>
      </c>
    </row>
    <row r="285" spans="1:17" s="5" customFormat="1" ht="14.25" customHeight="1" x14ac:dyDescent="0.35">
      <c r="A285" s="5" t="s">
        <v>20</v>
      </c>
      <c r="B285" s="5" t="s">
        <v>21</v>
      </c>
      <c r="C285" s="5" t="s">
        <v>192</v>
      </c>
      <c r="D285" s="5" t="s">
        <v>193</v>
      </c>
      <c r="E285" s="7">
        <v>68.354393000000002</v>
      </c>
      <c r="F285" s="7">
        <v>18.815747999999999</v>
      </c>
      <c r="G285" s="7">
        <v>376</v>
      </c>
      <c r="I285" s="5" t="s">
        <v>226</v>
      </c>
      <c r="K285" s="8">
        <v>43826</v>
      </c>
      <c r="N285" s="7">
        <v>-16.510000000000002</v>
      </c>
      <c r="O285" s="35">
        <v>-126.07</v>
      </c>
      <c r="P285" s="35">
        <f t="shared" si="3"/>
        <v>6.0100000000000193</v>
      </c>
      <c r="Q285" s="7">
        <v>2.4</v>
      </c>
    </row>
    <row r="286" spans="1:17" s="5" customFormat="1" ht="14.25" customHeight="1" x14ac:dyDescent="0.35">
      <c r="A286" s="5" t="s">
        <v>20</v>
      </c>
      <c r="B286" s="5" t="s">
        <v>21</v>
      </c>
      <c r="C286" s="5" t="s">
        <v>192</v>
      </c>
      <c r="D286" s="5" t="s">
        <v>193</v>
      </c>
      <c r="E286" s="7">
        <v>68.354393000000002</v>
      </c>
      <c r="F286" s="7">
        <v>18.815747999999999</v>
      </c>
      <c r="G286" s="7">
        <v>376</v>
      </c>
      <c r="I286" s="5" t="s">
        <v>227</v>
      </c>
      <c r="J286" s="5" t="s">
        <v>214</v>
      </c>
      <c r="K286" s="8">
        <v>43829</v>
      </c>
      <c r="N286" s="7">
        <v>-18.899999999999999</v>
      </c>
      <c r="O286" s="35">
        <v>-147.54</v>
      </c>
      <c r="P286" s="35">
        <f t="shared" si="3"/>
        <v>3.6599999999999966</v>
      </c>
      <c r="Q286" s="7">
        <v>9.6999999999999993</v>
      </c>
    </row>
    <row r="287" spans="1:17" s="5" customFormat="1" ht="14.25" customHeight="1" x14ac:dyDescent="0.35">
      <c r="A287" s="5" t="s">
        <v>20</v>
      </c>
      <c r="B287" s="5" t="s">
        <v>21</v>
      </c>
      <c r="C287" s="5" t="s">
        <v>192</v>
      </c>
      <c r="D287" s="5" t="s">
        <v>193</v>
      </c>
      <c r="E287" s="7">
        <v>68.354393000000002</v>
      </c>
      <c r="F287" s="7">
        <v>18.815747999999999</v>
      </c>
      <c r="G287" s="7">
        <v>376</v>
      </c>
      <c r="I287" s="5" t="s">
        <v>228</v>
      </c>
      <c r="K287" s="8">
        <v>43832</v>
      </c>
      <c r="N287" s="7">
        <v>-18.63</v>
      </c>
      <c r="O287" s="35">
        <v>-143.80000000000001</v>
      </c>
      <c r="P287" s="35">
        <f t="shared" si="3"/>
        <v>5.2399999999999807</v>
      </c>
      <c r="Q287" s="7">
        <v>13.7</v>
      </c>
    </row>
    <row r="288" spans="1:17" s="5" customFormat="1" ht="14.25" customHeight="1" x14ac:dyDescent="0.35">
      <c r="A288" s="5" t="s">
        <v>20</v>
      </c>
      <c r="B288" s="5" t="s">
        <v>21</v>
      </c>
      <c r="C288" s="5" t="s">
        <v>192</v>
      </c>
      <c r="D288" s="5" t="s">
        <v>193</v>
      </c>
      <c r="E288" s="7">
        <v>68.354393000000002</v>
      </c>
      <c r="F288" s="7">
        <v>18.815747999999999</v>
      </c>
      <c r="G288" s="7">
        <v>376</v>
      </c>
      <c r="I288" s="5" t="s">
        <v>229</v>
      </c>
      <c r="J288" s="5" t="s">
        <v>214</v>
      </c>
      <c r="K288" s="8">
        <v>43833</v>
      </c>
      <c r="N288" s="7">
        <v>-13.34</v>
      </c>
      <c r="O288" s="35">
        <v>-105.2</v>
      </c>
      <c r="P288" s="35">
        <f t="shared" si="3"/>
        <v>1.519999999999996</v>
      </c>
      <c r="Q288" s="7">
        <v>8.6</v>
      </c>
    </row>
    <row r="289" spans="1:17" s="5" customFormat="1" ht="14.25" customHeight="1" x14ac:dyDescent="0.35">
      <c r="A289" s="5" t="s">
        <v>20</v>
      </c>
      <c r="B289" s="5" t="s">
        <v>21</v>
      </c>
      <c r="C289" s="5" t="s">
        <v>192</v>
      </c>
      <c r="D289" s="5" t="s">
        <v>193</v>
      </c>
      <c r="E289" s="7">
        <v>68.354393000000002</v>
      </c>
      <c r="F289" s="7">
        <v>18.815747999999999</v>
      </c>
      <c r="G289" s="7">
        <v>376</v>
      </c>
      <c r="I289" s="5" t="s">
        <v>230</v>
      </c>
      <c r="J289" s="5" t="s">
        <v>100</v>
      </c>
      <c r="K289" s="8">
        <v>43837</v>
      </c>
      <c r="N289" s="7">
        <v>-15.89</v>
      </c>
      <c r="O289" s="35">
        <v>-117.37</v>
      </c>
      <c r="P289" s="35">
        <f t="shared" si="3"/>
        <v>9.75</v>
      </c>
      <c r="Q289" s="7">
        <v>4.4000000000000004</v>
      </c>
    </row>
    <row r="290" spans="1:17" s="5" customFormat="1" ht="14.25" customHeight="1" x14ac:dyDescent="0.35">
      <c r="A290" s="5" t="s">
        <v>20</v>
      </c>
      <c r="B290" s="5" t="s">
        <v>21</v>
      </c>
      <c r="C290" s="5" t="s">
        <v>192</v>
      </c>
      <c r="D290" s="5" t="s">
        <v>193</v>
      </c>
      <c r="E290" s="7">
        <v>68.354393000000002</v>
      </c>
      <c r="F290" s="7">
        <v>18.815747999999999</v>
      </c>
      <c r="G290" s="7">
        <v>376</v>
      </c>
      <c r="I290" s="5" t="s">
        <v>231</v>
      </c>
      <c r="J290" s="5" t="s">
        <v>214</v>
      </c>
      <c r="K290" s="8">
        <v>43838</v>
      </c>
      <c r="N290" s="7">
        <v>-11.44</v>
      </c>
      <c r="O290" s="35">
        <v>-92.16</v>
      </c>
      <c r="P290" s="35">
        <f t="shared" si="3"/>
        <v>-0.64000000000000057</v>
      </c>
      <c r="Q290" s="7">
        <v>0.7</v>
      </c>
    </row>
    <row r="291" spans="1:17" s="5" customFormat="1" ht="14.25" customHeight="1" x14ac:dyDescent="0.35">
      <c r="A291" s="5" t="s">
        <v>20</v>
      </c>
      <c r="B291" s="5" t="s">
        <v>21</v>
      </c>
      <c r="C291" s="5" t="s">
        <v>192</v>
      </c>
      <c r="D291" s="5" t="s">
        <v>193</v>
      </c>
      <c r="E291" s="7">
        <v>68.354393000000002</v>
      </c>
      <c r="F291" s="7">
        <v>18.815747999999999</v>
      </c>
      <c r="G291" s="7">
        <v>376</v>
      </c>
      <c r="I291" s="5" t="s">
        <v>232</v>
      </c>
      <c r="J291" s="5" t="s">
        <v>214</v>
      </c>
      <c r="K291" s="8">
        <v>43839</v>
      </c>
      <c r="N291" s="7">
        <v>-19.29</v>
      </c>
      <c r="O291" s="35">
        <v>-150.55000000000001</v>
      </c>
      <c r="P291" s="35">
        <f t="shared" si="3"/>
        <v>3.7699999999999818</v>
      </c>
      <c r="Q291" s="7">
        <v>0.5</v>
      </c>
    </row>
    <row r="292" spans="1:17" s="5" customFormat="1" ht="14.25" customHeight="1" x14ac:dyDescent="0.35">
      <c r="A292" s="5" t="s">
        <v>20</v>
      </c>
      <c r="B292" s="5" t="s">
        <v>21</v>
      </c>
      <c r="C292" s="5" t="s">
        <v>192</v>
      </c>
      <c r="D292" s="5" t="s">
        <v>193</v>
      </c>
      <c r="E292" s="7">
        <v>68.354393000000002</v>
      </c>
      <c r="F292" s="7">
        <v>18.815747999999999</v>
      </c>
      <c r="G292" s="7">
        <v>376</v>
      </c>
      <c r="I292" s="5" t="s">
        <v>233</v>
      </c>
      <c r="J292" s="5" t="s">
        <v>214</v>
      </c>
      <c r="K292" s="8">
        <v>43840</v>
      </c>
      <c r="N292" s="7">
        <v>-2.81</v>
      </c>
      <c r="O292" s="35">
        <v>-13.18</v>
      </c>
      <c r="P292" s="35">
        <f t="shared" si="3"/>
        <v>9.3000000000000007</v>
      </c>
      <c r="Q292" s="7">
        <v>0.3</v>
      </c>
    </row>
    <row r="293" spans="1:17" s="5" customFormat="1" ht="14.25" customHeight="1" x14ac:dyDescent="0.35">
      <c r="A293" s="5" t="s">
        <v>20</v>
      </c>
      <c r="B293" s="5" t="s">
        <v>21</v>
      </c>
      <c r="C293" s="5" t="s">
        <v>192</v>
      </c>
      <c r="D293" s="5" t="s">
        <v>193</v>
      </c>
      <c r="E293" s="7">
        <v>68.354393000000002</v>
      </c>
      <c r="F293" s="7">
        <v>18.815747999999999</v>
      </c>
      <c r="G293" s="7">
        <v>376</v>
      </c>
      <c r="I293" s="5" t="s">
        <v>234</v>
      </c>
      <c r="J293" s="5" t="s">
        <v>100</v>
      </c>
      <c r="K293" s="8">
        <v>43843</v>
      </c>
      <c r="N293" s="7">
        <v>-16.87</v>
      </c>
      <c r="O293" s="35">
        <v>-132.9</v>
      </c>
      <c r="P293" s="35">
        <f t="shared" si="3"/>
        <v>2.0600000000000023</v>
      </c>
      <c r="Q293" s="7">
        <v>2.6</v>
      </c>
    </row>
    <row r="294" spans="1:17" s="5" customFormat="1" ht="14.25" customHeight="1" x14ac:dyDescent="0.35">
      <c r="A294" s="5" t="s">
        <v>20</v>
      </c>
      <c r="B294" s="5" t="s">
        <v>21</v>
      </c>
      <c r="C294" s="5" t="s">
        <v>192</v>
      </c>
      <c r="D294" s="5" t="s">
        <v>193</v>
      </c>
      <c r="E294" s="7">
        <v>68.354393000000002</v>
      </c>
      <c r="F294" s="7">
        <v>18.815747999999999</v>
      </c>
      <c r="G294" s="7">
        <v>376</v>
      </c>
      <c r="I294" s="5" t="s">
        <v>235</v>
      </c>
      <c r="J294" s="5" t="s">
        <v>100</v>
      </c>
      <c r="K294" s="8">
        <v>43845</v>
      </c>
      <c r="N294" s="7">
        <v>-22.67</v>
      </c>
      <c r="O294" s="35">
        <v>-175.63</v>
      </c>
      <c r="P294" s="35">
        <f t="shared" si="3"/>
        <v>5.7300000000000182</v>
      </c>
      <c r="Q294" s="7">
        <v>2</v>
      </c>
    </row>
    <row r="295" spans="1:17" s="5" customFormat="1" ht="14.25" customHeight="1" x14ac:dyDescent="0.35">
      <c r="A295" s="5" t="s">
        <v>20</v>
      </c>
      <c r="B295" s="5" t="s">
        <v>21</v>
      </c>
      <c r="C295" s="5" t="s">
        <v>192</v>
      </c>
      <c r="D295" s="5" t="s">
        <v>193</v>
      </c>
      <c r="E295" s="7">
        <v>68.354393000000002</v>
      </c>
      <c r="F295" s="7">
        <v>18.815747999999999</v>
      </c>
      <c r="G295" s="7">
        <v>376</v>
      </c>
      <c r="I295" s="5" t="s">
        <v>236</v>
      </c>
      <c r="J295" s="5" t="s">
        <v>100</v>
      </c>
      <c r="K295" s="8">
        <v>43846</v>
      </c>
      <c r="N295" s="7">
        <v>-12.92</v>
      </c>
      <c r="O295" s="35">
        <v>-89.74</v>
      </c>
      <c r="P295" s="35">
        <f t="shared" si="3"/>
        <v>13.620000000000005</v>
      </c>
      <c r="Q295" s="7">
        <v>0.9</v>
      </c>
    </row>
    <row r="296" spans="1:17" s="5" customFormat="1" ht="14.25" customHeight="1" x14ac:dyDescent="0.35">
      <c r="A296" s="5" t="s">
        <v>20</v>
      </c>
      <c r="B296" s="5" t="s">
        <v>21</v>
      </c>
      <c r="C296" s="5" t="s">
        <v>192</v>
      </c>
      <c r="D296" s="5" t="s">
        <v>193</v>
      </c>
      <c r="E296" s="7">
        <v>68.354393000000002</v>
      </c>
      <c r="F296" s="7">
        <v>18.815747999999999</v>
      </c>
      <c r="G296" s="7">
        <v>376</v>
      </c>
      <c r="I296" s="5" t="s">
        <v>237</v>
      </c>
      <c r="J296" s="5" t="s">
        <v>100</v>
      </c>
      <c r="K296" s="8">
        <v>43847</v>
      </c>
      <c r="N296" s="7">
        <v>-22.77</v>
      </c>
      <c r="O296" s="35">
        <v>-177.6</v>
      </c>
      <c r="P296" s="35">
        <f t="shared" si="3"/>
        <v>4.5600000000000023</v>
      </c>
      <c r="Q296" s="7">
        <v>2</v>
      </c>
    </row>
    <row r="297" spans="1:17" s="5" customFormat="1" ht="14.25" customHeight="1" x14ac:dyDescent="0.35">
      <c r="A297" s="5" t="s">
        <v>20</v>
      </c>
      <c r="B297" s="5" t="s">
        <v>21</v>
      </c>
      <c r="C297" s="5" t="s">
        <v>192</v>
      </c>
      <c r="D297" s="5" t="s">
        <v>193</v>
      </c>
      <c r="E297" s="7">
        <v>68.354393000000002</v>
      </c>
      <c r="F297" s="7">
        <v>18.815747999999999</v>
      </c>
      <c r="G297" s="7">
        <v>376</v>
      </c>
      <c r="I297" s="5" t="s">
        <v>238</v>
      </c>
      <c r="J297" s="5" t="s">
        <v>100</v>
      </c>
      <c r="K297" s="8">
        <v>43850</v>
      </c>
      <c r="N297" s="7">
        <v>-15.53</v>
      </c>
      <c r="O297" s="35">
        <v>-116.82</v>
      </c>
      <c r="P297" s="35">
        <f t="shared" si="3"/>
        <v>7.4200000000000017</v>
      </c>
      <c r="Q297" s="7">
        <v>1.4</v>
      </c>
    </row>
    <row r="298" spans="1:17" s="5" customFormat="1" ht="14.25" customHeight="1" x14ac:dyDescent="0.35">
      <c r="A298" s="5" t="s">
        <v>20</v>
      </c>
      <c r="B298" s="5" t="s">
        <v>21</v>
      </c>
      <c r="C298" s="5" t="s">
        <v>192</v>
      </c>
      <c r="D298" s="5" t="s">
        <v>193</v>
      </c>
      <c r="E298" s="7">
        <v>68.354393000000002</v>
      </c>
      <c r="F298" s="7">
        <v>18.815747999999999</v>
      </c>
      <c r="G298" s="7">
        <v>376</v>
      </c>
      <c r="I298" s="5" t="s">
        <v>239</v>
      </c>
      <c r="J298" s="5" t="s">
        <v>214</v>
      </c>
      <c r="K298" s="8">
        <v>43851</v>
      </c>
      <c r="N298" s="7">
        <v>-13.95</v>
      </c>
      <c r="O298" s="35">
        <v>-106.22</v>
      </c>
      <c r="P298" s="35">
        <f t="shared" si="3"/>
        <v>5.3799999999999955</v>
      </c>
      <c r="Q298" s="7"/>
    </row>
    <row r="299" spans="1:17" s="5" customFormat="1" ht="14.25" customHeight="1" x14ac:dyDescent="0.35">
      <c r="A299" s="5" t="s">
        <v>20</v>
      </c>
      <c r="B299" s="5" t="s">
        <v>21</v>
      </c>
      <c r="C299" s="5" t="s">
        <v>192</v>
      </c>
      <c r="D299" s="5" t="s">
        <v>193</v>
      </c>
      <c r="E299" s="7">
        <v>68.354393000000002</v>
      </c>
      <c r="F299" s="7">
        <v>18.815747999999999</v>
      </c>
      <c r="G299" s="7">
        <v>376</v>
      </c>
      <c r="I299" s="5" t="s">
        <v>240</v>
      </c>
      <c r="J299" s="5" t="s">
        <v>100</v>
      </c>
      <c r="K299" s="8">
        <v>43852</v>
      </c>
      <c r="N299" s="7">
        <v>-9.32</v>
      </c>
      <c r="O299" s="35">
        <v>-53.29</v>
      </c>
      <c r="P299" s="35">
        <f t="shared" si="3"/>
        <v>21.270000000000003</v>
      </c>
      <c r="Q299" s="7"/>
    </row>
    <row r="300" spans="1:17" s="5" customFormat="1" ht="14.25" customHeight="1" x14ac:dyDescent="0.35">
      <c r="A300" s="5" t="s">
        <v>20</v>
      </c>
      <c r="B300" s="5" t="s">
        <v>21</v>
      </c>
      <c r="C300" s="5" t="s">
        <v>192</v>
      </c>
      <c r="D300" s="5" t="s">
        <v>193</v>
      </c>
      <c r="E300" s="7">
        <v>68.354393000000002</v>
      </c>
      <c r="F300" s="7">
        <v>18.815747999999999</v>
      </c>
      <c r="G300" s="7">
        <v>376</v>
      </c>
      <c r="I300" s="5" t="s">
        <v>241</v>
      </c>
      <c r="J300" s="5" t="s">
        <v>100</v>
      </c>
      <c r="K300" s="8">
        <v>43853</v>
      </c>
      <c r="N300" s="7">
        <v>-6.11</v>
      </c>
      <c r="O300" s="35">
        <v>-30.3</v>
      </c>
      <c r="P300" s="35">
        <f t="shared" si="3"/>
        <v>18.580000000000002</v>
      </c>
      <c r="Q300" s="7"/>
    </row>
    <row r="301" spans="1:17" s="5" customFormat="1" ht="14.25" customHeight="1" x14ac:dyDescent="0.35">
      <c r="A301" s="5" t="s">
        <v>20</v>
      </c>
      <c r="B301" s="5" t="s">
        <v>21</v>
      </c>
      <c r="C301" s="5" t="s">
        <v>192</v>
      </c>
      <c r="D301" s="5" t="s">
        <v>193</v>
      </c>
      <c r="E301" s="7">
        <v>68.354393000000002</v>
      </c>
      <c r="F301" s="7">
        <v>18.815747999999999</v>
      </c>
      <c r="G301" s="7">
        <v>376</v>
      </c>
      <c r="I301" s="5" t="s">
        <v>242</v>
      </c>
      <c r="J301" s="5" t="s">
        <v>100</v>
      </c>
      <c r="K301" s="8">
        <v>43854</v>
      </c>
      <c r="N301" s="7">
        <v>-18.63</v>
      </c>
      <c r="O301" s="35">
        <v>-141.33000000000001</v>
      </c>
      <c r="P301" s="35">
        <f t="shared" ref="P301:P385" si="4">O301-(8*N301)</f>
        <v>7.7099999999999795</v>
      </c>
      <c r="Q301" s="7"/>
    </row>
    <row r="302" spans="1:17" s="5" customFormat="1" ht="14.25" customHeight="1" x14ac:dyDescent="0.35">
      <c r="A302" s="5" t="s">
        <v>20</v>
      </c>
      <c r="B302" s="5" t="s">
        <v>21</v>
      </c>
      <c r="C302" s="5" t="s">
        <v>192</v>
      </c>
      <c r="D302" s="5" t="s">
        <v>193</v>
      </c>
      <c r="E302" s="7">
        <v>68.354393000000002</v>
      </c>
      <c r="F302" s="7">
        <v>18.815747999999999</v>
      </c>
      <c r="G302" s="7">
        <v>376</v>
      </c>
      <c r="I302" s="5" t="s">
        <v>243</v>
      </c>
      <c r="J302" s="5" t="s">
        <v>100</v>
      </c>
      <c r="K302" s="8">
        <v>43857</v>
      </c>
      <c r="N302" s="7">
        <v>-15.52</v>
      </c>
      <c r="O302" s="35">
        <v>-109.59</v>
      </c>
      <c r="P302" s="35">
        <f t="shared" si="4"/>
        <v>14.569999999999993</v>
      </c>
      <c r="Q302" s="7"/>
    </row>
    <row r="303" spans="1:17" s="5" customFormat="1" ht="14.25" customHeight="1" x14ac:dyDescent="0.35">
      <c r="A303" s="5" t="s">
        <v>20</v>
      </c>
      <c r="B303" s="5" t="s">
        <v>21</v>
      </c>
      <c r="C303" s="5" t="s">
        <v>192</v>
      </c>
      <c r="D303" s="5" t="s">
        <v>193</v>
      </c>
      <c r="E303" s="7">
        <v>68.354393000000002</v>
      </c>
      <c r="F303" s="7">
        <v>18.815747999999999</v>
      </c>
      <c r="G303" s="7">
        <v>376</v>
      </c>
      <c r="I303" s="5" t="s">
        <v>244</v>
      </c>
      <c r="K303" s="8">
        <v>43858</v>
      </c>
      <c r="N303" s="7">
        <v>-13.943385462769971</v>
      </c>
      <c r="O303" s="35">
        <v>-99.783128834355836</v>
      </c>
      <c r="P303" s="35">
        <f t="shared" si="4"/>
        <v>11.763954867803932</v>
      </c>
      <c r="Q303" s="7"/>
    </row>
    <row r="304" spans="1:17" s="5" customFormat="1" ht="14.25" customHeight="1" x14ac:dyDescent="0.35">
      <c r="A304" s="5" t="s">
        <v>20</v>
      </c>
      <c r="B304" s="5" t="s">
        <v>21</v>
      </c>
      <c r="C304" s="5" t="s">
        <v>192</v>
      </c>
      <c r="D304" s="5" t="s">
        <v>193</v>
      </c>
      <c r="E304" s="7">
        <v>68.354393000000002</v>
      </c>
      <c r="F304" s="7">
        <v>18.815747999999999</v>
      </c>
      <c r="G304" s="7">
        <v>376</v>
      </c>
      <c r="I304" s="5" t="s">
        <v>245</v>
      </c>
      <c r="J304" s="5" t="s">
        <v>100</v>
      </c>
      <c r="K304" s="8">
        <v>43859</v>
      </c>
      <c r="N304" s="7">
        <v>-16.46</v>
      </c>
      <c r="O304" s="35">
        <v>-120.33</v>
      </c>
      <c r="P304" s="35">
        <f t="shared" si="4"/>
        <v>11.350000000000009</v>
      </c>
      <c r="Q304" s="7"/>
    </row>
    <row r="305" spans="1:17" s="5" customFormat="1" ht="14.25" customHeight="1" x14ac:dyDescent="0.35">
      <c r="A305" s="5" t="s">
        <v>20</v>
      </c>
      <c r="B305" s="5" t="s">
        <v>21</v>
      </c>
      <c r="C305" s="5" t="s">
        <v>192</v>
      </c>
      <c r="D305" s="5" t="s">
        <v>193</v>
      </c>
      <c r="E305" s="7">
        <v>68.354393000000002</v>
      </c>
      <c r="F305" s="7">
        <v>18.815747999999999</v>
      </c>
      <c r="G305" s="7">
        <v>376</v>
      </c>
      <c r="I305" s="5" t="s">
        <v>246</v>
      </c>
      <c r="J305" s="5" t="s">
        <v>100</v>
      </c>
      <c r="K305" s="8">
        <v>43864</v>
      </c>
      <c r="N305" s="7">
        <v>-11.54</v>
      </c>
      <c r="O305" s="35">
        <v>-78.89</v>
      </c>
      <c r="P305" s="35">
        <f t="shared" si="4"/>
        <v>13.429999999999993</v>
      </c>
      <c r="Q305" s="7"/>
    </row>
    <row r="306" spans="1:17" s="5" customFormat="1" ht="14.25" customHeight="1" x14ac:dyDescent="0.35">
      <c r="A306" s="5" t="s">
        <v>20</v>
      </c>
      <c r="B306" s="5" t="s">
        <v>21</v>
      </c>
      <c r="C306" s="5" t="s">
        <v>192</v>
      </c>
      <c r="D306" s="5" t="s">
        <v>193</v>
      </c>
      <c r="E306" s="7">
        <v>68.354393000000002</v>
      </c>
      <c r="F306" s="7">
        <v>18.815747999999999</v>
      </c>
      <c r="G306" s="7">
        <v>376</v>
      </c>
      <c r="I306" s="5" t="s">
        <v>247</v>
      </c>
      <c r="J306" s="5" t="s">
        <v>100</v>
      </c>
      <c r="K306" s="8">
        <v>43866</v>
      </c>
      <c r="N306" s="7">
        <v>-14.94</v>
      </c>
      <c r="O306" s="35">
        <v>-98.14</v>
      </c>
      <c r="P306" s="35">
        <f t="shared" si="4"/>
        <v>21.379999999999995</v>
      </c>
      <c r="Q306" s="7"/>
    </row>
    <row r="307" spans="1:17" s="5" customFormat="1" ht="14.25" customHeight="1" x14ac:dyDescent="0.35">
      <c r="A307" s="5" t="s">
        <v>20</v>
      </c>
      <c r="B307" s="5" t="s">
        <v>21</v>
      </c>
      <c r="C307" s="5" t="s">
        <v>192</v>
      </c>
      <c r="D307" s="5" t="s">
        <v>193</v>
      </c>
      <c r="E307" s="7">
        <v>68.354393000000002</v>
      </c>
      <c r="F307" s="7">
        <v>18.815747999999999</v>
      </c>
      <c r="G307" s="7">
        <v>376</v>
      </c>
      <c r="I307" s="5" t="s">
        <v>248</v>
      </c>
      <c r="J307" s="5" t="s">
        <v>100</v>
      </c>
      <c r="K307" s="8">
        <v>43867</v>
      </c>
      <c r="N307" s="7">
        <v>-11.37</v>
      </c>
      <c r="O307" s="35">
        <v>-68.19</v>
      </c>
      <c r="P307" s="35">
        <f t="shared" si="4"/>
        <v>22.769999999999996</v>
      </c>
      <c r="Q307" s="7"/>
    </row>
    <row r="308" spans="1:17" s="5" customFormat="1" ht="14.25" customHeight="1" x14ac:dyDescent="0.35">
      <c r="A308" s="5" t="s">
        <v>20</v>
      </c>
      <c r="B308" s="5" t="s">
        <v>21</v>
      </c>
      <c r="C308" s="5" t="s">
        <v>192</v>
      </c>
      <c r="D308" s="5" t="s">
        <v>193</v>
      </c>
      <c r="E308" s="7">
        <v>68.354393000000002</v>
      </c>
      <c r="F308" s="7">
        <v>18.815747999999999</v>
      </c>
      <c r="G308" s="7">
        <v>376</v>
      </c>
      <c r="I308" s="5" t="s">
        <v>249</v>
      </c>
      <c r="J308" s="5" t="s">
        <v>100</v>
      </c>
      <c r="K308" s="8">
        <v>43868</v>
      </c>
      <c r="N308" s="7">
        <v>-16.93</v>
      </c>
      <c r="O308" s="35">
        <v>-126.95</v>
      </c>
      <c r="P308" s="35">
        <f t="shared" si="4"/>
        <v>8.4899999999999949</v>
      </c>
      <c r="Q308" s="7"/>
    </row>
    <row r="309" spans="1:17" s="5" customFormat="1" ht="14.25" customHeight="1" x14ac:dyDescent="0.35">
      <c r="A309" s="5" t="s">
        <v>20</v>
      </c>
      <c r="B309" s="5" t="s">
        <v>21</v>
      </c>
      <c r="C309" s="5" t="s">
        <v>192</v>
      </c>
      <c r="D309" s="5" t="s">
        <v>193</v>
      </c>
      <c r="E309" s="7">
        <v>68.354393000000002</v>
      </c>
      <c r="F309" s="7">
        <v>18.815747999999999</v>
      </c>
      <c r="G309" s="7">
        <v>376</v>
      </c>
      <c r="I309" s="5" t="s">
        <v>250</v>
      </c>
      <c r="J309" s="5" t="s">
        <v>214</v>
      </c>
      <c r="K309" s="8">
        <v>43871</v>
      </c>
      <c r="N309" s="7">
        <v>-11.5</v>
      </c>
      <c r="O309" s="35">
        <v>-91.67</v>
      </c>
      <c r="P309" s="35">
        <f t="shared" si="4"/>
        <v>0.32999999999999829</v>
      </c>
      <c r="Q309" s="7"/>
    </row>
    <row r="310" spans="1:17" s="5" customFormat="1" ht="14.25" customHeight="1" x14ac:dyDescent="0.35">
      <c r="A310" s="5" t="s">
        <v>20</v>
      </c>
      <c r="B310" s="5" t="s">
        <v>21</v>
      </c>
      <c r="C310" s="5" t="s">
        <v>192</v>
      </c>
      <c r="D310" s="5" t="s">
        <v>193</v>
      </c>
      <c r="E310" s="7">
        <v>68.354393000000002</v>
      </c>
      <c r="F310" s="7">
        <v>18.815747999999999</v>
      </c>
      <c r="G310" s="7">
        <v>376</v>
      </c>
      <c r="I310" s="5" t="s">
        <v>251</v>
      </c>
      <c r="J310" s="5" t="s">
        <v>100</v>
      </c>
      <c r="K310" s="8">
        <v>43872</v>
      </c>
      <c r="N310" s="7">
        <v>-27.49</v>
      </c>
      <c r="O310" s="35">
        <v>-222.97</v>
      </c>
      <c r="P310" s="35">
        <f t="shared" si="4"/>
        <v>-3.0500000000000114</v>
      </c>
      <c r="Q310" s="7"/>
    </row>
    <row r="311" spans="1:17" s="5" customFormat="1" ht="14.25" customHeight="1" x14ac:dyDescent="0.35">
      <c r="A311" s="5" t="s">
        <v>20</v>
      </c>
      <c r="B311" s="5" t="s">
        <v>21</v>
      </c>
      <c r="C311" s="5" t="s">
        <v>192</v>
      </c>
      <c r="D311" s="5" t="s">
        <v>193</v>
      </c>
      <c r="E311" s="7">
        <v>68.354393000000002</v>
      </c>
      <c r="F311" s="7">
        <v>18.815747999999999</v>
      </c>
      <c r="G311" s="7">
        <v>376</v>
      </c>
      <c r="I311" s="5" t="s">
        <v>252</v>
      </c>
      <c r="J311" s="5" t="s">
        <v>100</v>
      </c>
      <c r="K311" s="8">
        <v>43874</v>
      </c>
      <c r="N311" s="7">
        <v>-14.32</v>
      </c>
      <c r="O311" s="35">
        <v>-105.18</v>
      </c>
      <c r="P311" s="35">
        <f t="shared" si="4"/>
        <v>9.3799999999999955</v>
      </c>
      <c r="Q311" s="7"/>
    </row>
    <row r="312" spans="1:17" s="5" customFormat="1" ht="14.25" customHeight="1" x14ac:dyDescent="0.35">
      <c r="A312" s="5" t="s">
        <v>20</v>
      </c>
      <c r="B312" s="5" t="s">
        <v>21</v>
      </c>
      <c r="C312" s="5" t="s">
        <v>192</v>
      </c>
      <c r="D312" s="5" t="s">
        <v>193</v>
      </c>
      <c r="E312" s="7">
        <v>68.354393000000002</v>
      </c>
      <c r="F312" s="7">
        <v>18.815747999999999</v>
      </c>
      <c r="G312" s="7">
        <v>376</v>
      </c>
      <c r="I312" s="5" t="s">
        <v>253</v>
      </c>
      <c r="J312" s="5" t="s">
        <v>100</v>
      </c>
      <c r="K312" s="8">
        <v>43878</v>
      </c>
      <c r="N312" s="7">
        <v>-21.04</v>
      </c>
      <c r="O312" s="35">
        <v>-158.62</v>
      </c>
      <c r="P312" s="35">
        <f t="shared" si="4"/>
        <v>9.6999999999999886</v>
      </c>
      <c r="Q312" s="7"/>
    </row>
    <row r="313" spans="1:17" s="5" customFormat="1" ht="14.25" customHeight="1" x14ac:dyDescent="0.35">
      <c r="A313" s="5" t="s">
        <v>20</v>
      </c>
      <c r="B313" s="5" t="s">
        <v>21</v>
      </c>
      <c r="C313" s="5" t="s">
        <v>192</v>
      </c>
      <c r="D313" s="5" t="s">
        <v>193</v>
      </c>
      <c r="E313" s="7">
        <v>68.354393000000002</v>
      </c>
      <c r="F313" s="7">
        <v>18.815747999999999</v>
      </c>
      <c r="G313" s="7">
        <v>376</v>
      </c>
      <c r="I313" s="5" t="s">
        <v>254</v>
      </c>
      <c r="J313" s="5" t="s">
        <v>100</v>
      </c>
      <c r="K313" s="8">
        <v>43879</v>
      </c>
      <c r="N313" s="7">
        <v>-18.190000000000001</v>
      </c>
      <c r="O313" s="35">
        <v>-136.47</v>
      </c>
      <c r="P313" s="35">
        <f t="shared" si="4"/>
        <v>9.0500000000000114</v>
      </c>
      <c r="Q313" s="7"/>
    </row>
    <row r="314" spans="1:17" s="5" customFormat="1" ht="14.25" customHeight="1" x14ac:dyDescent="0.35">
      <c r="A314" s="5" t="s">
        <v>20</v>
      </c>
      <c r="B314" s="5" t="s">
        <v>21</v>
      </c>
      <c r="C314" s="5" t="s">
        <v>192</v>
      </c>
      <c r="D314" s="5" t="s">
        <v>193</v>
      </c>
      <c r="E314" s="7">
        <v>68.354393000000002</v>
      </c>
      <c r="F314" s="7">
        <v>18.815747999999999</v>
      </c>
      <c r="G314" s="7">
        <v>376</v>
      </c>
      <c r="I314" s="5" t="s">
        <v>255</v>
      </c>
      <c r="J314" s="5" t="s">
        <v>100</v>
      </c>
      <c r="K314" s="8">
        <v>43880</v>
      </c>
      <c r="N314" s="7">
        <v>-16.850000000000001</v>
      </c>
      <c r="O314" s="35">
        <v>-124.35</v>
      </c>
      <c r="P314" s="35">
        <f t="shared" si="4"/>
        <v>10.450000000000017</v>
      </c>
      <c r="Q314" s="7"/>
    </row>
    <row r="315" spans="1:17" s="5" customFormat="1" ht="14.25" customHeight="1" x14ac:dyDescent="0.35">
      <c r="A315" s="5" t="s">
        <v>20</v>
      </c>
      <c r="B315" s="5" t="s">
        <v>21</v>
      </c>
      <c r="C315" s="5" t="s">
        <v>192</v>
      </c>
      <c r="D315" s="5" t="s">
        <v>193</v>
      </c>
      <c r="E315" s="7">
        <v>68.354393000000002</v>
      </c>
      <c r="F315" s="7">
        <v>18.815747999999999</v>
      </c>
      <c r="G315" s="7">
        <v>376</v>
      </c>
      <c r="I315" s="5" t="s">
        <v>256</v>
      </c>
      <c r="J315" s="5" t="s">
        <v>100</v>
      </c>
      <c r="K315" s="8">
        <v>43885</v>
      </c>
      <c r="N315" s="7">
        <v>-15.14</v>
      </c>
      <c r="O315" s="35">
        <v>-117.82</v>
      </c>
      <c r="P315" s="35">
        <f t="shared" si="4"/>
        <v>3.3000000000000114</v>
      </c>
      <c r="Q315" s="7"/>
    </row>
    <row r="316" spans="1:17" s="5" customFormat="1" ht="14.25" customHeight="1" x14ac:dyDescent="0.35">
      <c r="A316" s="5" t="s">
        <v>20</v>
      </c>
      <c r="B316" s="5" t="s">
        <v>21</v>
      </c>
      <c r="C316" s="5" t="s">
        <v>192</v>
      </c>
      <c r="D316" s="5" t="s">
        <v>193</v>
      </c>
      <c r="E316" s="7">
        <v>68.354393000000002</v>
      </c>
      <c r="F316" s="7">
        <v>18.815747999999999</v>
      </c>
      <c r="G316" s="7">
        <v>376</v>
      </c>
      <c r="I316" s="5" t="s">
        <v>257</v>
      </c>
      <c r="J316" s="5" t="s">
        <v>100</v>
      </c>
      <c r="K316" s="8">
        <v>43886</v>
      </c>
      <c r="N316" s="7">
        <v>-11.02</v>
      </c>
      <c r="O316" s="35">
        <v>-76.97</v>
      </c>
      <c r="P316" s="35">
        <f t="shared" si="4"/>
        <v>11.189999999999998</v>
      </c>
      <c r="Q316" s="7"/>
    </row>
    <row r="317" spans="1:17" s="5" customFormat="1" ht="14.25" customHeight="1" x14ac:dyDescent="0.35">
      <c r="A317" s="5" t="s">
        <v>20</v>
      </c>
      <c r="B317" s="5" t="s">
        <v>21</v>
      </c>
      <c r="C317" s="5" t="s">
        <v>192</v>
      </c>
      <c r="D317" s="5" t="s">
        <v>193</v>
      </c>
      <c r="E317" s="7">
        <v>68.354393000000002</v>
      </c>
      <c r="F317" s="7">
        <v>18.815747999999999</v>
      </c>
      <c r="G317" s="7">
        <v>376</v>
      </c>
      <c r="I317" s="5" t="s">
        <v>258</v>
      </c>
      <c r="J317" s="5" t="s">
        <v>100</v>
      </c>
      <c r="K317" s="8">
        <v>43887</v>
      </c>
      <c r="N317" s="7">
        <v>-20.68</v>
      </c>
      <c r="O317" s="35">
        <v>-151.80000000000001</v>
      </c>
      <c r="P317" s="35">
        <f t="shared" si="4"/>
        <v>13.639999999999986</v>
      </c>
      <c r="Q317" s="7"/>
    </row>
    <row r="318" spans="1:17" s="5" customFormat="1" ht="14.25" customHeight="1" x14ac:dyDescent="0.35">
      <c r="A318" s="5" t="s">
        <v>20</v>
      </c>
      <c r="B318" s="5" t="s">
        <v>21</v>
      </c>
      <c r="C318" s="5" t="s">
        <v>192</v>
      </c>
      <c r="D318" s="5" t="s">
        <v>193</v>
      </c>
      <c r="E318" s="7">
        <v>68.354393000000002</v>
      </c>
      <c r="F318" s="7">
        <v>18.815747999999999</v>
      </c>
      <c r="G318" s="7">
        <v>376</v>
      </c>
      <c r="I318" s="5" t="s">
        <v>259</v>
      </c>
      <c r="J318" s="5" t="s">
        <v>100</v>
      </c>
      <c r="K318" s="8">
        <v>43888</v>
      </c>
      <c r="N318" s="7">
        <v>-16.420000000000002</v>
      </c>
      <c r="O318" s="35">
        <v>-121.62</v>
      </c>
      <c r="P318" s="35">
        <f t="shared" si="4"/>
        <v>9.7400000000000091</v>
      </c>
      <c r="Q318" s="7"/>
    </row>
    <row r="319" spans="1:17" s="5" customFormat="1" ht="14.25" customHeight="1" x14ac:dyDescent="0.35">
      <c r="A319" s="5" t="s">
        <v>20</v>
      </c>
      <c r="B319" s="5" t="s">
        <v>21</v>
      </c>
      <c r="C319" s="5" t="s">
        <v>192</v>
      </c>
      <c r="D319" s="5" t="s">
        <v>193</v>
      </c>
      <c r="E319" s="7">
        <v>68.354393000000002</v>
      </c>
      <c r="F319" s="7">
        <v>18.815747999999999</v>
      </c>
      <c r="G319" s="7">
        <v>376</v>
      </c>
      <c r="I319" s="5" t="s">
        <v>260</v>
      </c>
      <c r="J319" s="5" t="s">
        <v>100</v>
      </c>
      <c r="K319" s="8">
        <v>43892</v>
      </c>
      <c r="N319" s="7">
        <v>-21.85</v>
      </c>
      <c r="O319" s="35">
        <v>-166.74</v>
      </c>
      <c r="P319" s="35">
        <f t="shared" si="4"/>
        <v>8.0600000000000023</v>
      </c>
      <c r="Q319" s="7"/>
    </row>
    <row r="320" spans="1:17" s="5" customFormat="1" ht="14.25" customHeight="1" x14ac:dyDescent="0.35">
      <c r="A320" s="5" t="s">
        <v>20</v>
      </c>
      <c r="B320" s="5" t="s">
        <v>21</v>
      </c>
      <c r="C320" s="5" t="s">
        <v>192</v>
      </c>
      <c r="D320" s="5" t="s">
        <v>193</v>
      </c>
      <c r="E320" s="7">
        <v>68.354393000000002</v>
      </c>
      <c r="F320" s="7">
        <v>18.815747999999999</v>
      </c>
      <c r="G320" s="7">
        <v>376</v>
      </c>
      <c r="I320" s="5" t="s">
        <v>261</v>
      </c>
      <c r="J320" s="5" t="s">
        <v>100</v>
      </c>
      <c r="K320" s="8">
        <v>43896</v>
      </c>
      <c r="N320" s="7">
        <v>-28.04</v>
      </c>
      <c r="O320" s="35">
        <v>-217.55</v>
      </c>
      <c r="P320" s="35">
        <f t="shared" si="4"/>
        <v>6.7699999999999818</v>
      </c>
      <c r="Q320" s="7"/>
    </row>
    <row r="321" spans="1:17" s="5" customFormat="1" ht="14.25" customHeight="1" x14ac:dyDescent="0.35">
      <c r="A321" s="5" t="s">
        <v>20</v>
      </c>
      <c r="B321" s="5" t="s">
        <v>21</v>
      </c>
      <c r="C321" s="5" t="s">
        <v>192</v>
      </c>
      <c r="D321" s="5" t="s">
        <v>193</v>
      </c>
      <c r="E321" s="7">
        <v>68.354393000000002</v>
      </c>
      <c r="F321" s="7">
        <v>18.815747999999999</v>
      </c>
      <c r="G321" s="7">
        <v>376</v>
      </c>
      <c r="I321" s="5" t="s">
        <v>262</v>
      </c>
      <c r="J321" s="5" t="s">
        <v>100</v>
      </c>
      <c r="K321" s="8">
        <v>43899</v>
      </c>
      <c r="N321" s="7">
        <v>-26.64</v>
      </c>
      <c r="O321" s="35">
        <v>-210.49</v>
      </c>
      <c r="P321" s="35">
        <f t="shared" si="4"/>
        <v>2.6299999999999955</v>
      </c>
      <c r="Q321" s="7"/>
    </row>
    <row r="322" spans="1:17" s="5" customFormat="1" ht="14.25" customHeight="1" x14ac:dyDescent="0.35">
      <c r="A322" s="5" t="s">
        <v>20</v>
      </c>
      <c r="B322" s="5" t="s">
        <v>21</v>
      </c>
      <c r="C322" s="5" t="s">
        <v>192</v>
      </c>
      <c r="D322" s="5" t="s">
        <v>193</v>
      </c>
      <c r="E322" s="7">
        <v>68.354393000000002</v>
      </c>
      <c r="F322" s="7">
        <v>18.815747999999999</v>
      </c>
      <c r="G322" s="7">
        <v>376</v>
      </c>
      <c r="I322" s="5" t="s">
        <v>263</v>
      </c>
      <c r="J322" s="5" t="s">
        <v>100</v>
      </c>
      <c r="K322" s="8">
        <v>43900</v>
      </c>
      <c r="N322" s="7">
        <v>-11.86</v>
      </c>
      <c r="O322" s="35">
        <v>-100.37</v>
      </c>
      <c r="P322" s="35">
        <f t="shared" si="4"/>
        <v>-5.4900000000000091</v>
      </c>
      <c r="Q322" s="7"/>
    </row>
    <row r="323" spans="1:17" s="5" customFormat="1" ht="14.25" customHeight="1" x14ac:dyDescent="0.35">
      <c r="A323" s="5" t="s">
        <v>20</v>
      </c>
      <c r="B323" s="5" t="s">
        <v>21</v>
      </c>
      <c r="C323" s="5" t="s">
        <v>192</v>
      </c>
      <c r="D323" s="5" t="s">
        <v>193</v>
      </c>
      <c r="E323" s="7">
        <v>68.354393000000002</v>
      </c>
      <c r="F323" s="7">
        <v>18.815747999999999</v>
      </c>
      <c r="G323" s="7">
        <v>376</v>
      </c>
      <c r="I323" s="5" t="s">
        <v>264</v>
      </c>
      <c r="K323" s="8">
        <v>43901</v>
      </c>
      <c r="N323" s="7">
        <v>-7.1326415716883229</v>
      </c>
      <c r="O323" s="35">
        <v>-43.166911905674837</v>
      </c>
      <c r="P323" s="35">
        <f t="shared" si="4"/>
        <v>13.894220667831746</v>
      </c>
      <c r="Q323" s="7"/>
    </row>
    <row r="324" spans="1:17" s="5" customFormat="1" ht="14.25" customHeight="1" x14ac:dyDescent="0.35">
      <c r="A324" s="5" t="s">
        <v>20</v>
      </c>
      <c r="B324" s="5" t="s">
        <v>21</v>
      </c>
      <c r="C324" s="5" t="s">
        <v>192</v>
      </c>
      <c r="D324" s="5" t="s">
        <v>193</v>
      </c>
      <c r="E324" s="7">
        <v>68.354393000000002</v>
      </c>
      <c r="F324" s="7">
        <v>18.815747999999999</v>
      </c>
      <c r="G324" s="7">
        <v>376</v>
      </c>
      <c r="I324" s="5" t="s">
        <v>265</v>
      </c>
      <c r="J324" s="5" t="s">
        <v>100</v>
      </c>
      <c r="K324" s="8">
        <v>43902</v>
      </c>
      <c r="N324" s="7">
        <v>-20.92</v>
      </c>
      <c r="O324" s="35">
        <v>-160.83000000000001</v>
      </c>
      <c r="P324" s="35">
        <f t="shared" si="4"/>
        <v>6.5300000000000011</v>
      </c>
      <c r="Q324" s="7"/>
    </row>
    <row r="325" spans="1:17" s="5" customFormat="1" ht="14.25" customHeight="1" x14ac:dyDescent="0.35">
      <c r="A325" s="5" t="s">
        <v>20</v>
      </c>
      <c r="B325" s="5" t="s">
        <v>21</v>
      </c>
      <c r="C325" s="5" t="s">
        <v>192</v>
      </c>
      <c r="D325" s="5" t="s">
        <v>193</v>
      </c>
      <c r="E325" s="7">
        <v>68.354393000000002</v>
      </c>
      <c r="F325" s="7">
        <v>18.815747999999999</v>
      </c>
      <c r="G325" s="7">
        <v>376</v>
      </c>
      <c r="I325" s="5" t="s">
        <v>266</v>
      </c>
      <c r="J325" s="5" t="s">
        <v>100</v>
      </c>
      <c r="K325" s="8">
        <v>43903</v>
      </c>
      <c r="N325" s="7">
        <v>-19.63</v>
      </c>
      <c r="O325" s="35">
        <v>-150.31</v>
      </c>
      <c r="P325" s="35">
        <f t="shared" si="4"/>
        <v>6.7299999999999898</v>
      </c>
      <c r="Q325" s="7"/>
    </row>
    <row r="326" spans="1:17" s="5" customFormat="1" ht="14.25" customHeight="1" x14ac:dyDescent="0.35">
      <c r="A326" s="5" t="s">
        <v>20</v>
      </c>
      <c r="B326" s="5" t="s">
        <v>21</v>
      </c>
      <c r="C326" s="5" t="s">
        <v>192</v>
      </c>
      <c r="D326" s="5" t="s">
        <v>193</v>
      </c>
      <c r="E326" s="7">
        <v>68.354393000000002</v>
      </c>
      <c r="F326" s="7">
        <v>18.815747999999999</v>
      </c>
      <c r="G326" s="7">
        <v>376</v>
      </c>
      <c r="I326" s="5" t="s">
        <v>267</v>
      </c>
      <c r="J326" s="5" t="s">
        <v>100</v>
      </c>
      <c r="K326" s="8">
        <v>43906</v>
      </c>
      <c r="N326" s="7">
        <v>-11.11</v>
      </c>
      <c r="O326" s="35">
        <v>-79.819999999999993</v>
      </c>
      <c r="P326" s="35">
        <f t="shared" si="4"/>
        <v>9.0600000000000023</v>
      </c>
      <c r="Q326" s="7"/>
    </row>
    <row r="327" spans="1:17" s="5" customFormat="1" ht="14.25" customHeight="1" x14ac:dyDescent="0.35">
      <c r="A327" s="5" t="s">
        <v>20</v>
      </c>
      <c r="B327" s="5" t="s">
        <v>21</v>
      </c>
      <c r="C327" s="5" t="s">
        <v>192</v>
      </c>
      <c r="D327" s="5" t="s">
        <v>193</v>
      </c>
      <c r="E327" s="7">
        <v>68.354393000000002</v>
      </c>
      <c r="F327" s="7">
        <v>18.815747999999999</v>
      </c>
      <c r="G327" s="7">
        <v>376</v>
      </c>
      <c r="I327" s="5" t="s">
        <v>268</v>
      </c>
      <c r="K327" s="8">
        <v>43907</v>
      </c>
      <c r="N327" s="7">
        <v>-4.7853062220054099</v>
      </c>
      <c r="O327" s="35">
        <v>-41.850535611579744</v>
      </c>
      <c r="P327" s="35">
        <f t="shared" si="4"/>
        <v>-3.5680858355364649</v>
      </c>
      <c r="Q327" s="7"/>
    </row>
    <row r="328" spans="1:17" s="5" customFormat="1" ht="14.25" customHeight="1" x14ac:dyDescent="0.35">
      <c r="A328" s="5" t="s">
        <v>20</v>
      </c>
      <c r="B328" s="5" t="s">
        <v>21</v>
      </c>
      <c r="C328" s="5" t="s">
        <v>192</v>
      </c>
      <c r="D328" s="5" t="s">
        <v>193</v>
      </c>
      <c r="E328" s="7">
        <v>68.354393000000002</v>
      </c>
      <c r="F328" s="7">
        <v>18.815747999999999</v>
      </c>
      <c r="G328" s="7">
        <v>376</v>
      </c>
      <c r="I328" s="5" t="s">
        <v>269</v>
      </c>
      <c r="J328" s="5" t="s">
        <v>100</v>
      </c>
      <c r="K328" s="8">
        <v>43908</v>
      </c>
      <c r="N328" s="7">
        <v>-12.07</v>
      </c>
      <c r="O328" s="35">
        <v>-113.11</v>
      </c>
      <c r="P328" s="35">
        <f t="shared" si="4"/>
        <v>-16.549999999999997</v>
      </c>
      <c r="Q328" s="7"/>
    </row>
    <row r="329" spans="1:17" s="5" customFormat="1" ht="14.25" customHeight="1" x14ac:dyDescent="0.35">
      <c r="A329" s="5" t="s">
        <v>20</v>
      </c>
      <c r="B329" s="5" t="s">
        <v>21</v>
      </c>
      <c r="C329" s="5" t="s">
        <v>192</v>
      </c>
      <c r="D329" s="5" t="s">
        <v>193</v>
      </c>
      <c r="E329" s="7">
        <v>68.354393000000002</v>
      </c>
      <c r="F329" s="7">
        <v>18.815747999999999</v>
      </c>
      <c r="G329" s="7">
        <v>376</v>
      </c>
      <c r="I329" s="5" t="s">
        <v>270</v>
      </c>
      <c r="J329" s="5" t="s">
        <v>100</v>
      </c>
      <c r="K329" s="8">
        <v>43909</v>
      </c>
      <c r="N329" s="7">
        <v>-14.37</v>
      </c>
      <c r="O329" s="35">
        <v>-104.46</v>
      </c>
      <c r="P329" s="35">
        <f t="shared" si="4"/>
        <v>10.5</v>
      </c>
      <c r="Q329" s="7"/>
    </row>
    <row r="330" spans="1:17" s="5" customFormat="1" ht="14.25" customHeight="1" x14ac:dyDescent="0.35">
      <c r="A330" s="5" t="s">
        <v>20</v>
      </c>
      <c r="B330" s="5" t="s">
        <v>21</v>
      </c>
      <c r="C330" s="5" t="s">
        <v>192</v>
      </c>
      <c r="D330" s="5" t="s">
        <v>193</v>
      </c>
      <c r="E330" s="7">
        <v>68.354393000000002</v>
      </c>
      <c r="F330" s="7">
        <v>18.815747999999999</v>
      </c>
      <c r="G330" s="7">
        <v>376</v>
      </c>
      <c r="I330" s="5" t="s">
        <v>271</v>
      </c>
      <c r="J330" s="5" t="s">
        <v>214</v>
      </c>
      <c r="K330" s="8">
        <v>43915</v>
      </c>
      <c r="N330" s="7">
        <v>-21.02</v>
      </c>
      <c r="O330" s="35">
        <v>-163.04</v>
      </c>
      <c r="P330" s="35">
        <f t="shared" si="4"/>
        <v>5.1200000000000045</v>
      </c>
      <c r="Q330" s="7"/>
    </row>
    <row r="331" spans="1:17" s="5" customFormat="1" ht="14.25" customHeight="1" x14ac:dyDescent="0.35">
      <c r="A331" s="5" t="s">
        <v>20</v>
      </c>
      <c r="B331" s="5" t="s">
        <v>21</v>
      </c>
      <c r="C331" s="5" t="s">
        <v>192</v>
      </c>
      <c r="D331" s="5" t="s">
        <v>193</v>
      </c>
      <c r="E331" s="7">
        <v>68.354393000000002</v>
      </c>
      <c r="F331" s="7">
        <v>18.815747999999999</v>
      </c>
      <c r="G331" s="7">
        <v>376</v>
      </c>
      <c r="I331" s="5" t="s">
        <v>272</v>
      </c>
      <c r="J331" s="5" t="s">
        <v>100</v>
      </c>
      <c r="K331" s="8">
        <v>43917</v>
      </c>
      <c r="N331" s="7">
        <v>-7.74</v>
      </c>
      <c r="O331" s="35">
        <v>-54.51</v>
      </c>
      <c r="P331" s="35">
        <f t="shared" si="4"/>
        <v>7.4100000000000037</v>
      </c>
      <c r="Q331" s="7"/>
    </row>
    <row r="332" spans="1:17" s="5" customFormat="1" ht="14.25" customHeight="1" x14ac:dyDescent="0.35">
      <c r="A332" s="5" t="s">
        <v>20</v>
      </c>
      <c r="B332" s="5" t="s">
        <v>21</v>
      </c>
      <c r="C332" s="5" t="s">
        <v>192</v>
      </c>
      <c r="D332" s="5" t="s">
        <v>193</v>
      </c>
      <c r="E332" s="7">
        <v>68.354393000000002</v>
      </c>
      <c r="F332" s="7">
        <v>18.815747999999999</v>
      </c>
      <c r="G332" s="7">
        <v>376</v>
      </c>
      <c r="I332" s="5" t="s">
        <v>273</v>
      </c>
      <c r="J332" s="5" t="s">
        <v>100</v>
      </c>
      <c r="K332" s="8">
        <v>43920</v>
      </c>
      <c r="N332" s="7">
        <v>-14.97</v>
      </c>
      <c r="O332" s="35">
        <v>-98.28</v>
      </c>
      <c r="P332" s="35">
        <f t="shared" si="4"/>
        <v>21.480000000000004</v>
      </c>
      <c r="Q332" s="7"/>
    </row>
    <row r="333" spans="1:17" s="5" customFormat="1" ht="14.25" customHeight="1" x14ac:dyDescent="0.35">
      <c r="A333" s="5" t="s">
        <v>20</v>
      </c>
      <c r="B333" s="5" t="s">
        <v>21</v>
      </c>
      <c r="C333" s="5" t="s">
        <v>192</v>
      </c>
      <c r="D333" s="5" t="s">
        <v>193</v>
      </c>
      <c r="E333" s="7">
        <v>68.354393000000002</v>
      </c>
      <c r="F333" s="7">
        <v>18.815747999999999</v>
      </c>
      <c r="G333" s="7">
        <v>376</v>
      </c>
      <c r="I333" s="5" t="s">
        <v>274</v>
      </c>
      <c r="J333" s="5" t="s">
        <v>100</v>
      </c>
      <c r="K333" s="8">
        <v>43921</v>
      </c>
      <c r="N333" s="7">
        <v>-27.32</v>
      </c>
      <c r="O333" s="35">
        <v>-210.68</v>
      </c>
      <c r="P333" s="35">
        <f t="shared" si="4"/>
        <v>7.8799999999999955</v>
      </c>
      <c r="Q333" s="7"/>
    </row>
    <row r="334" spans="1:17" s="5" customFormat="1" ht="14.25" customHeight="1" x14ac:dyDescent="0.35">
      <c r="A334" s="5" t="s">
        <v>20</v>
      </c>
      <c r="B334" s="5" t="s">
        <v>21</v>
      </c>
      <c r="C334" s="5" t="s">
        <v>192</v>
      </c>
      <c r="D334" s="5" t="s">
        <v>193</v>
      </c>
      <c r="E334" s="7">
        <v>68.354393000000002</v>
      </c>
      <c r="F334" s="7">
        <v>18.815747999999999</v>
      </c>
      <c r="G334" s="7">
        <v>376</v>
      </c>
      <c r="I334" s="5" t="s">
        <v>275</v>
      </c>
      <c r="J334" s="5" t="s">
        <v>100</v>
      </c>
      <c r="K334" s="8">
        <v>43922</v>
      </c>
      <c r="N334" s="7">
        <v>-16.48</v>
      </c>
      <c r="O334" s="35">
        <v>-138.09</v>
      </c>
      <c r="P334" s="35">
        <f t="shared" si="4"/>
        <v>-6.25</v>
      </c>
      <c r="Q334" s="7"/>
    </row>
    <row r="335" spans="1:17" s="5" customFormat="1" ht="14.25" customHeight="1" x14ac:dyDescent="0.35">
      <c r="A335" s="5" t="s">
        <v>20</v>
      </c>
      <c r="B335" s="5" t="s">
        <v>21</v>
      </c>
      <c r="C335" s="5" t="s">
        <v>192</v>
      </c>
      <c r="D335" s="5" t="s">
        <v>193</v>
      </c>
      <c r="E335" s="7">
        <v>68.354393000000002</v>
      </c>
      <c r="F335" s="7">
        <v>18.815747999999999</v>
      </c>
      <c r="G335" s="7">
        <v>376</v>
      </c>
      <c r="I335" s="5" t="s">
        <v>276</v>
      </c>
      <c r="J335" s="5" t="s">
        <v>100</v>
      </c>
      <c r="K335" s="8">
        <v>43924</v>
      </c>
      <c r="N335" s="7">
        <v>-21.22</v>
      </c>
      <c r="O335" s="35">
        <v>-162.32</v>
      </c>
      <c r="P335" s="35">
        <f t="shared" si="4"/>
        <v>7.4399999999999977</v>
      </c>
      <c r="Q335" s="7"/>
    </row>
    <row r="336" spans="1:17" s="5" customFormat="1" ht="14.25" customHeight="1" x14ac:dyDescent="0.35">
      <c r="A336" s="5" t="s">
        <v>20</v>
      </c>
      <c r="B336" s="5" t="s">
        <v>21</v>
      </c>
      <c r="C336" s="5" t="s">
        <v>192</v>
      </c>
      <c r="D336" s="5" t="s">
        <v>193</v>
      </c>
      <c r="E336" s="7">
        <v>68.354393000000002</v>
      </c>
      <c r="F336" s="7">
        <v>18.815747999999999</v>
      </c>
      <c r="G336" s="7">
        <v>376</v>
      </c>
      <c r="I336" s="5" t="s">
        <v>277</v>
      </c>
      <c r="J336" s="5" t="s">
        <v>214</v>
      </c>
      <c r="K336" s="8">
        <v>43929</v>
      </c>
      <c r="N336" s="7">
        <v>-8.6999999999999993</v>
      </c>
      <c r="O336" s="35">
        <v>-74.64</v>
      </c>
      <c r="P336" s="35">
        <f t="shared" si="4"/>
        <v>-5.0400000000000063</v>
      </c>
      <c r="Q336" s="7"/>
    </row>
    <row r="337" spans="1:17" s="5" customFormat="1" ht="14.25" customHeight="1" x14ac:dyDescent="0.35">
      <c r="A337" s="5" t="s">
        <v>20</v>
      </c>
      <c r="B337" s="5" t="s">
        <v>21</v>
      </c>
      <c r="C337" s="5" t="s">
        <v>192</v>
      </c>
      <c r="D337" s="5" t="s">
        <v>193</v>
      </c>
      <c r="E337" s="7">
        <v>68.354393000000002</v>
      </c>
      <c r="F337" s="7">
        <v>18.815747999999999</v>
      </c>
      <c r="G337" s="7">
        <v>376</v>
      </c>
      <c r="I337" s="5" t="s">
        <v>278</v>
      </c>
      <c r="J337" s="5" t="s">
        <v>100</v>
      </c>
      <c r="K337" s="8">
        <v>43930</v>
      </c>
      <c r="N337" s="7">
        <v>-12.55</v>
      </c>
      <c r="O337" s="35">
        <v>-95.36</v>
      </c>
      <c r="P337" s="35">
        <f t="shared" si="4"/>
        <v>5.0400000000000063</v>
      </c>
      <c r="Q337" s="7"/>
    </row>
    <row r="338" spans="1:17" s="5" customFormat="1" ht="14.25" customHeight="1" x14ac:dyDescent="0.35">
      <c r="A338" s="5" t="s">
        <v>20</v>
      </c>
      <c r="B338" s="5" t="s">
        <v>21</v>
      </c>
      <c r="C338" s="5" t="s">
        <v>192</v>
      </c>
      <c r="D338" s="5" t="s">
        <v>193</v>
      </c>
      <c r="E338" s="7">
        <v>68.354393000000002</v>
      </c>
      <c r="F338" s="7">
        <v>18.815747999999999</v>
      </c>
      <c r="G338" s="7">
        <v>376</v>
      </c>
      <c r="I338" s="5" t="s">
        <v>279</v>
      </c>
      <c r="J338" s="5" t="s">
        <v>100</v>
      </c>
      <c r="K338" s="8">
        <v>43935</v>
      </c>
      <c r="N338" s="7">
        <v>-18.23</v>
      </c>
      <c r="O338" s="35">
        <v>-159.61000000000001</v>
      </c>
      <c r="P338" s="35">
        <f t="shared" si="4"/>
        <v>-13.77000000000001</v>
      </c>
      <c r="Q338" s="7"/>
    </row>
    <row r="339" spans="1:17" s="5" customFormat="1" ht="14.25" customHeight="1" x14ac:dyDescent="0.35">
      <c r="A339" s="5" t="s">
        <v>20</v>
      </c>
      <c r="B339" s="5" t="s">
        <v>21</v>
      </c>
      <c r="C339" s="5" t="s">
        <v>192</v>
      </c>
      <c r="D339" s="5" t="s">
        <v>193</v>
      </c>
      <c r="E339" s="7">
        <v>68.354393000000002</v>
      </c>
      <c r="F339" s="7">
        <v>18.815747999999999</v>
      </c>
      <c r="G339" s="7">
        <v>376</v>
      </c>
      <c r="I339" s="5" t="s">
        <v>280</v>
      </c>
      <c r="J339" s="5" t="s">
        <v>100</v>
      </c>
      <c r="K339" s="8">
        <v>43936</v>
      </c>
      <c r="N339" s="7">
        <v>-23.95</v>
      </c>
      <c r="O339" s="35">
        <v>-190.69</v>
      </c>
      <c r="P339" s="35">
        <f t="shared" si="4"/>
        <v>0.90999999999999659</v>
      </c>
      <c r="Q339" s="7"/>
    </row>
    <row r="340" spans="1:17" s="5" customFormat="1" ht="14.25" customHeight="1" x14ac:dyDescent="0.35">
      <c r="A340" s="5" t="s">
        <v>20</v>
      </c>
      <c r="B340" s="5" t="s">
        <v>21</v>
      </c>
      <c r="C340" s="5" t="s">
        <v>192</v>
      </c>
      <c r="D340" s="5" t="s">
        <v>193</v>
      </c>
      <c r="E340" s="7">
        <v>68.354393000000002</v>
      </c>
      <c r="F340" s="7">
        <v>18.815747999999999</v>
      </c>
      <c r="G340" s="7">
        <v>376</v>
      </c>
      <c r="I340" s="5" t="s">
        <v>281</v>
      </c>
      <c r="K340" s="8">
        <v>43948</v>
      </c>
      <c r="N340" s="7">
        <v>-10.071088864251186</v>
      </c>
      <c r="O340" s="35">
        <v>-84.24625311541412</v>
      </c>
      <c r="P340" s="35">
        <f t="shared" si="4"/>
        <v>-3.6775422014046342</v>
      </c>
      <c r="Q340" s="7"/>
    </row>
    <row r="341" spans="1:17" s="5" customFormat="1" ht="14.25" customHeight="1" x14ac:dyDescent="0.35">
      <c r="A341" s="5" t="s">
        <v>20</v>
      </c>
      <c r="B341" s="5" t="s">
        <v>21</v>
      </c>
      <c r="C341" s="5" t="s">
        <v>192</v>
      </c>
      <c r="D341" s="5" t="s">
        <v>193</v>
      </c>
      <c r="E341" s="7">
        <v>68.354393000000002</v>
      </c>
      <c r="F341" s="7">
        <v>18.815747999999999</v>
      </c>
      <c r="G341" s="7">
        <v>376</v>
      </c>
      <c r="I341" s="5" t="s">
        <v>282</v>
      </c>
      <c r="J341" s="5" t="s">
        <v>214</v>
      </c>
      <c r="K341" s="8">
        <v>43955</v>
      </c>
      <c r="N341" s="7">
        <v>-16.36</v>
      </c>
      <c r="O341" s="35">
        <v>-128.27000000000001</v>
      </c>
      <c r="P341" s="35">
        <f t="shared" si="4"/>
        <v>2.6099999999999852</v>
      </c>
      <c r="Q341" s="7"/>
    </row>
    <row r="342" spans="1:17" s="5" customFormat="1" ht="14.25" customHeight="1" x14ac:dyDescent="0.35">
      <c r="A342" s="5" t="s">
        <v>20</v>
      </c>
      <c r="B342" s="5" t="s">
        <v>21</v>
      </c>
      <c r="C342" s="5" t="s">
        <v>192</v>
      </c>
      <c r="D342" s="5" t="s">
        <v>193</v>
      </c>
      <c r="E342" s="7">
        <v>68.354393000000002</v>
      </c>
      <c r="F342" s="7">
        <v>18.815747999999999</v>
      </c>
      <c r="G342" s="7">
        <v>376</v>
      </c>
      <c r="I342" s="5" t="s">
        <v>283</v>
      </c>
      <c r="K342" s="8">
        <v>43956</v>
      </c>
      <c r="N342" s="7">
        <v>-1.584061022661758</v>
      </c>
      <c r="O342" s="35">
        <v>-15.253298744248456</v>
      </c>
      <c r="P342" s="35">
        <f t="shared" si="4"/>
        <v>-2.580810562954392</v>
      </c>
      <c r="Q342" s="7"/>
    </row>
    <row r="343" spans="1:17" s="5" customFormat="1" ht="14.25" customHeight="1" x14ac:dyDescent="0.35">
      <c r="A343" s="5" t="s">
        <v>20</v>
      </c>
      <c r="B343" s="5" t="s">
        <v>21</v>
      </c>
      <c r="C343" s="5" t="s">
        <v>192</v>
      </c>
      <c r="D343" s="5" t="s">
        <v>193</v>
      </c>
      <c r="E343" s="7">
        <v>68.354393000000002</v>
      </c>
      <c r="F343" s="7">
        <v>18.815747999999999</v>
      </c>
      <c r="G343" s="7">
        <v>376</v>
      </c>
      <c r="I343" s="5" t="s">
        <v>284</v>
      </c>
      <c r="J343" s="5" t="s">
        <v>100</v>
      </c>
      <c r="K343" s="8">
        <v>43962</v>
      </c>
      <c r="N343" s="7">
        <v>-6.86</v>
      </c>
      <c r="O343" s="35">
        <v>-46.47</v>
      </c>
      <c r="P343" s="35">
        <f t="shared" si="4"/>
        <v>8.4100000000000037</v>
      </c>
      <c r="Q343" s="7"/>
    </row>
    <row r="344" spans="1:17" s="5" customFormat="1" ht="14.25" customHeight="1" x14ac:dyDescent="0.35">
      <c r="A344" s="5" t="s">
        <v>20</v>
      </c>
      <c r="B344" s="5" t="s">
        <v>21</v>
      </c>
      <c r="C344" s="5" t="s">
        <v>192</v>
      </c>
      <c r="D344" s="5" t="s">
        <v>193</v>
      </c>
      <c r="E344" s="7">
        <v>68.354393000000002</v>
      </c>
      <c r="F344" s="7">
        <v>18.815747999999999</v>
      </c>
      <c r="G344" s="7">
        <v>376</v>
      </c>
      <c r="I344" s="5" t="s">
        <v>285</v>
      </c>
      <c r="J344" s="5" t="s">
        <v>100</v>
      </c>
      <c r="K344" s="8">
        <v>43966</v>
      </c>
      <c r="N344" s="7">
        <v>-13.33</v>
      </c>
      <c r="O344" s="35">
        <v>-91.9</v>
      </c>
      <c r="P344" s="35">
        <f t="shared" si="4"/>
        <v>14.739999999999995</v>
      </c>
      <c r="Q344" s="7"/>
    </row>
    <row r="345" spans="1:17" s="5" customFormat="1" ht="14.25" customHeight="1" x14ac:dyDescent="0.35">
      <c r="A345" s="5" t="s">
        <v>20</v>
      </c>
      <c r="B345" s="5" t="s">
        <v>21</v>
      </c>
      <c r="C345" s="5" t="s">
        <v>192</v>
      </c>
      <c r="D345" s="5" t="s">
        <v>193</v>
      </c>
      <c r="E345" s="7">
        <v>68.354393000000002</v>
      </c>
      <c r="F345" s="7">
        <v>18.815747999999999</v>
      </c>
      <c r="G345" s="7">
        <v>376</v>
      </c>
      <c r="I345" s="5" t="s">
        <v>286</v>
      </c>
      <c r="J345" s="5" t="s">
        <v>100</v>
      </c>
      <c r="K345" s="8">
        <v>43969</v>
      </c>
      <c r="N345" s="7">
        <v>-19.98</v>
      </c>
      <c r="O345" s="35">
        <v>-149.38999999999999</v>
      </c>
      <c r="P345" s="35">
        <f t="shared" si="4"/>
        <v>10.450000000000017</v>
      </c>
      <c r="Q345" s="7"/>
    </row>
    <row r="346" spans="1:17" s="5" customFormat="1" ht="14.25" customHeight="1" x14ac:dyDescent="0.35">
      <c r="A346" s="5" t="s">
        <v>20</v>
      </c>
      <c r="B346" s="5" t="s">
        <v>21</v>
      </c>
      <c r="C346" s="5" t="s">
        <v>192</v>
      </c>
      <c r="D346" s="5" t="s">
        <v>193</v>
      </c>
      <c r="E346" s="7">
        <v>68.354393000000002</v>
      </c>
      <c r="F346" s="7">
        <v>18.815747999999999</v>
      </c>
      <c r="G346" s="7">
        <v>376</v>
      </c>
      <c r="I346" s="5" t="s">
        <v>287</v>
      </c>
      <c r="J346" s="5" t="s">
        <v>100</v>
      </c>
      <c r="K346" s="8">
        <v>43970</v>
      </c>
      <c r="N346" s="7">
        <v>-17.88</v>
      </c>
      <c r="O346" s="35">
        <v>-138.66</v>
      </c>
      <c r="P346" s="35">
        <f t="shared" si="4"/>
        <v>4.3799999999999955</v>
      </c>
      <c r="Q346" s="7"/>
    </row>
    <row r="347" spans="1:17" s="5" customFormat="1" ht="14.25" customHeight="1" x14ac:dyDescent="0.35">
      <c r="A347" s="5" t="s">
        <v>20</v>
      </c>
      <c r="B347" s="5" t="s">
        <v>21</v>
      </c>
      <c r="C347" s="5" t="s">
        <v>192</v>
      </c>
      <c r="D347" s="5" t="s">
        <v>193</v>
      </c>
      <c r="E347" s="7">
        <v>68.354393000000002</v>
      </c>
      <c r="F347" s="7">
        <v>18.815747999999999</v>
      </c>
      <c r="G347" s="7">
        <v>376</v>
      </c>
      <c r="I347" s="5" t="s">
        <v>288</v>
      </c>
      <c r="J347" s="5" t="s">
        <v>41</v>
      </c>
      <c r="K347" s="8">
        <v>43980</v>
      </c>
      <c r="N347" s="7">
        <v>-15.34</v>
      </c>
      <c r="O347" s="35">
        <v>-115.33</v>
      </c>
      <c r="P347" s="35">
        <f t="shared" si="4"/>
        <v>7.3900000000000006</v>
      </c>
      <c r="Q347" s="7"/>
    </row>
    <row r="348" spans="1:17" s="5" customFormat="1" ht="14.25" customHeight="1" x14ac:dyDescent="0.35">
      <c r="A348" s="5" t="s">
        <v>20</v>
      </c>
      <c r="B348" s="5" t="s">
        <v>21</v>
      </c>
      <c r="C348" s="5" t="s">
        <v>192</v>
      </c>
      <c r="D348" s="5" t="s">
        <v>193</v>
      </c>
      <c r="E348" s="7">
        <v>68.354393000000002</v>
      </c>
      <c r="F348" s="7">
        <v>18.815747999999999</v>
      </c>
      <c r="G348" s="7">
        <v>376</v>
      </c>
      <c r="I348" s="5" t="s">
        <v>289</v>
      </c>
      <c r="J348" s="5" t="s">
        <v>41</v>
      </c>
      <c r="K348" s="8">
        <v>43990</v>
      </c>
      <c r="N348" s="7">
        <v>-8.75</v>
      </c>
      <c r="O348" s="35">
        <v>-69.97</v>
      </c>
      <c r="P348" s="35">
        <f t="shared" si="4"/>
        <v>3.0000000000001137E-2</v>
      </c>
      <c r="Q348" s="7"/>
    </row>
    <row r="349" spans="1:17" s="5" customFormat="1" ht="14.25" customHeight="1" x14ac:dyDescent="0.35">
      <c r="A349" s="5" t="s">
        <v>20</v>
      </c>
      <c r="B349" s="5" t="s">
        <v>21</v>
      </c>
      <c r="C349" s="5" t="s">
        <v>192</v>
      </c>
      <c r="D349" s="5" t="s">
        <v>193</v>
      </c>
      <c r="E349" s="7">
        <v>68.354393000000002</v>
      </c>
      <c r="F349" s="7">
        <v>18.815747999999999</v>
      </c>
      <c r="G349" s="7">
        <v>376</v>
      </c>
      <c r="I349" s="5" t="s">
        <v>290</v>
      </c>
      <c r="J349" s="5" t="s">
        <v>41</v>
      </c>
      <c r="K349" s="8">
        <v>43991</v>
      </c>
      <c r="N349" s="7">
        <v>-11.49</v>
      </c>
      <c r="O349" s="35">
        <v>-83.64</v>
      </c>
      <c r="P349" s="35">
        <f t="shared" si="4"/>
        <v>8.2800000000000011</v>
      </c>
      <c r="Q349" s="7"/>
    </row>
    <row r="350" spans="1:17" s="5" customFormat="1" ht="14.25" customHeight="1" x14ac:dyDescent="0.35">
      <c r="A350" s="5" t="s">
        <v>20</v>
      </c>
      <c r="B350" s="5" t="s">
        <v>21</v>
      </c>
      <c r="C350" s="5" t="s">
        <v>192</v>
      </c>
      <c r="D350" s="5" t="s">
        <v>193</v>
      </c>
      <c r="E350" s="7">
        <v>68.354393000000002</v>
      </c>
      <c r="F350" s="7">
        <v>18.815747999999999</v>
      </c>
      <c r="G350" s="7">
        <v>376</v>
      </c>
      <c r="I350" s="5" t="s">
        <v>291</v>
      </c>
      <c r="J350" s="5" t="s">
        <v>41</v>
      </c>
      <c r="K350" s="8">
        <v>44007</v>
      </c>
      <c r="N350" s="7">
        <v>-3.59</v>
      </c>
      <c r="O350" s="35">
        <v>-35.22</v>
      </c>
      <c r="P350" s="35">
        <f t="shared" si="4"/>
        <v>-6.5</v>
      </c>
      <c r="Q350" s="7"/>
    </row>
    <row r="351" spans="1:17" s="5" customFormat="1" ht="14.25" customHeight="1" x14ac:dyDescent="0.35">
      <c r="A351" s="5" t="s">
        <v>20</v>
      </c>
      <c r="B351" s="5" t="s">
        <v>21</v>
      </c>
      <c r="C351" s="5" t="s">
        <v>192</v>
      </c>
      <c r="D351" s="5" t="s">
        <v>193</v>
      </c>
      <c r="E351" s="7">
        <v>68.354393000000002</v>
      </c>
      <c r="F351" s="7">
        <v>18.815747999999999</v>
      </c>
      <c r="G351" s="7">
        <v>376</v>
      </c>
      <c r="I351" s="5" t="s">
        <v>292</v>
      </c>
      <c r="J351" s="5" t="s">
        <v>41</v>
      </c>
      <c r="K351" s="8">
        <v>44012</v>
      </c>
      <c r="N351" s="7">
        <v>-8.26</v>
      </c>
      <c r="O351" s="35">
        <v>-56.25</v>
      </c>
      <c r="P351" s="35">
        <f t="shared" si="4"/>
        <v>9.8299999999999983</v>
      </c>
      <c r="Q351" s="7"/>
    </row>
    <row r="352" spans="1:17" s="5" customFormat="1" ht="14.25" customHeight="1" x14ac:dyDescent="0.35">
      <c r="A352" s="5" t="s">
        <v>20</v>
      </c>
      <c r="B352" s="5" t="s">
        <v>21</v>
      </c>
      <c r="C352" s="5" t="s">
        <v>192</v>
      </c>
      <c r="D352" s="5" t="s">
        <v>193</v>
      </c>
      <c r="E352" s="7">
        <v>68.354393000000002</v>
      </c>
      <c r="F352" s="7">
        <v>18.815747999999999</v>
      </c>
      <c r="G352" s="7">
        <v>376</v>
      </c>
      <c r="I352" s="5" t="s">
        <v>293</v>
      </c>
      <c r="J352" s="5" t="s">
        <v>41</v>
      </c>
      <c r="K352" s="8">
        <v>44013</v>
      </c>
      <c r="N352" s="7">
        <v>-12.86</v>
      </c>
      <c r="O352" s="35">
        <v>-95.62</v>
      </c>
      <c r="P352" s="35">
        <f t="shared" si="4"/>
        <v>7.2599999999999909</v>
      </c>
      <c r="Q352" s="7"/>
    </row>
    <row r="353" spans="1:17" s="5" customFormat="1" ht="14.25" customHeight="1" x14ac:dyDescent="0.35">
      <c r="A353" s="5" t="s">
        <v>20</v>
      </c>
      <c r="B353" s="5" t="s">
        <v>21</v>
      </c>
      <c r="C353" s="5" t="s">
        <v>192</v>
      </c>
      <c r="D353" s="5" t="s">
        <v>193</v>
      </c>
      <c r="E353" s="7">
        <v>68.354393000000002</v>
      </c>
      <c r="F353" s="7">
        <v>18.815747999999999</v>
      </c>
      <c r="G353" s="7">
        <v>376</v>
      </c>
      <c r="I353" s="5" t="s">
        <v>294</v>
      </c>
      <c r="J353" s="5" t="s">
        <v>41</v>
      </c>
      <c r="K353" s="8">
        <v>44014</v>
      </c>
      <c r="N353" s="7">
        <v>-10.17</v>
      </c>
      <c r="O353" s="35">
        <v>-78.849999999999994</v>
      </c>
      <c r="P353" s="35">
        <f t="shared" si="4"/>
        <v>2.5100000000000051</v>
      </c>
      <c r="Q353" s="7"/>
    </row>
    <row r="354" spans="1:17" s="5" customFormat="1" ht="14.25" customHeight="1" x14ac:dyDescent="0.35">
      <c r="A354" s="5" t="s">
        <v>20</v>
      </c>
      <c r="B354" s="5" t="s">
        <v>21</v>
      </c>
      <c r="C354" s="5" t="s">
        <v>192</v>
      </c>
      <c r="D354" s="5" t="s">
        <v>193</v>
      </c>
      <c r="E354" s="7">
        <v>68.354393000000002</v>
      </c>
      <c r="F354" s="7">
        <v>18.815747999999999</v>
      </c>
      <c r="G354" s="7">
        <v>376</v>
      </c>
      <c r="I354" s="5" t="s">
        <v>295</v>
      </c>
      <c r="J354" s="5" t="s">
        <v>41</v>
      </c>
      <c r="K354" s="8">
        <v>44021</v>
      </c>
      <c r="N354" s="7">
        <v>-9.41</v>
      </c>
      <c r="O354" s="35">
        <v>-66.23</v>
      </c>
      <c r="P354" s="35">
        <f t="shared" si="4"/>
        <v>9.0499999999999972</v>
      </c>
      <c r="Q354" s="7"/>
    </row>
    <row r="355" spans="1:17" s="5" customFormat="1" ht="14.25" customHeight="1" x14ac:dyDescent="0.35">
      <c r="A355" s="5" t="s">
        <v>20</v>
      </c>
      <c r="B355" s="5" t="s">
        <v>21</v>
      </c>
      <c r="C355" s="5" t="s">
        <v>192</v>
      </c>
      <c r="D355" s="5" t="s">
        <v>193</v>
      </c>
      <c r="E355" s="7">
        <v>68.354393000000002</v>
      </c>
      <c r="F355" s="7">
        <v>18.815747999999999</v>
      </c>
      <c r="G355" s="7">
        <v>376</v>
      </c>
      <c r="I355" s="5" t="s">
        <v>296</v>
      </c>
      <c r="J355" s="5" t="s">
        <v>41</v>
      </c>
      <c r="K355" s="8">
        <v>44022</v>
      </c>
      <c r="N355" s="7">
        <v>-12.7</v>
      </c>
      <c r="O355" s="35">
        <v>-90.9</v>
      </c>
      <c r="P355" s="35">
        <f t="shared" si="4"/>
        <v>10.699999999999989</v>
      </c>
      <c r="Q355" s="7"/>
    </row>
    <row r="356" spans="1:17" s="5" customFormat="1" ht="14.25" customHeight="1" x14ac:dyDescent="0.35">
      <c r="A356" s="5" t="s">
        <v>20</v>
      </c>
      <c r="B356" s="5" t="s">
        <v>21</v>
      </c>
      <c r="C356" s="5" t="s">
        <v>192</v>
      </c>
      <c r="D356" s="5" t="s">
        <v>193</v>
      </c>
      <c r="E356" s="7">
        <v>68.354393000000002</v>
      </c>
      <c r="F356" s="7">
        <v>18.815747999999999</v>
      </c>
      <c r="G356" s="7">
        <v>376</v>
      </c>
      <c r="I356" s="5" t="s">
        <v>297</v>
      </c>
      <c r="J356" s="5" t="s">
        <v>41</v>
      </c>
      <c r="K356" s="8">
        <v>44025</v>
      </c>
      <c r="N356" s="7">
        <v>-15.45</v>
      </c>
      <c r="O356" s="35">
        <v>-116.49</v>
      </c>
      <c r="P356" s="35">
        <f t="shared" si="4"/>
        <v>7.1099999999999994</v>
      </c>
      <c r="Q356" s="7"/>
    </row>
    <row r="357" spans="1:17" s="5" customFormat="1" ht="14.25" customHeight="1" x14ac:dyDescent="0.35">
      <c r="A357" s="5" t="s">
        <v>20</v>
      </c>
      <c r="B357" s="5" t="s">
        <v>21</v>
      </c>
      <c r="C357" s="5" t="s">
        <v>192</v>
      </c>
      <c r="D357" s="5" t="s">
        <v>193</v>
      </c>
      <c r="E357" s="7">
        <v>68.354393000000002</v>
      </c>
      <c r="F357" s="7">
        <v>18.815747999999999</v>
      </c>
      <c r="G357" s="7">
        <v>376</v>
      </c>
      <c r="I357" s="5" t="s">
        <v>298</v>
      </c>
      <c r="J357" s="5" t="s">
        <v>41</v>
      </c>
      <c r="K357" s="8">
        <v>44026</v>
      </c>
      <c r="N357" s="7">
        <v>-13.96</v>
      </c>
      <c r="O357" s="35">
        <v>-106.83</v>
      </c>
      <c r="P357" s="35">
        <f t="shared" si="4"/>
        <v>4.8500000000000085</v>
      </c>
      <c r="Q357" s="7"/>
    </row>
    <row r="358" spans="1:17" s="5" customFormat="1" ht="14.25" customHeight="1" x14ac:dyDescent="0.35">
      <c r="A358" s="5" t="s">
        <v>20</v>
      </c>
      <c r="B358" s="5" t="s">
        <v>21</v>
      </c>
      <c r="C358" s="5" t="s">
        <v>192</v>
      </c>
      <c r="D358" s="5" t="s">
        <v>193</v>
      </c>
      <c r="E358" s="7">
        <v>68.354393000000002</v>
      </c>
      <c r="F358" s="7">
        <v>18.815747999999999</v>
      </c>
      <c r="G358" s="7">
        <v>376</v>
      </c>
      <c r="I358" s="5" t="s">
        <v>299</v>
      </c>
      <c r="K358" s="8">
        <v>44028</v>
      </c>
      <c r="N358" s="7">
        <v>-8.8942431682114531</v>
      </c>
      <c r="O358" s="35">
        <v>-82.5899132476994</v>
      </c>
      <c r="P358" s="35">
        <f t="shared" si="4"/>
        <v>-11.435967902007775</v>
      </c>
      <c r="Q358" s="7"/>
    </row>
    <row r="359" spans="1:17" s="5" customFormat="1" ht="14.25" customHeight="1" x14ac:dyDescent="0.35">
      <c r="A359" s="5" t="s">
        <v>20</v>
      </c>
      <c r="B359" s="5" t="s">
        <v>21</v>
      </c>
      <c r="C359" s="5" t="s">
        <v>192</v>
      </c>
      <c r="D359" s="5" t="s">
        <v>193</v>
      </c>
      <c r="E359" s="7">
        <v>68.354393000000002</v>
      </c>
      <c r="F359" s="7">
        <v>18.815747999999999</v>
      </c>
      <c r="G359" s="7">
        <v>376</v>
      </c>
      <c r="I359" s="5" t="s">
        <v>300</v>
      </c>
      <c r="J359" s="5" t="s">
        <v>41</v>
      </c>
      <c r="K359" s="8">
        <v>44032</v>
      </c>
      <c r="N359" s="7">
        <v>-7.1</v>
      </c>
      <c r="O359" s="35">
        <v>-57.5</v>
      </c>
      <c r="P359" s="35">
        <f t="shared" si="4"/>
        <v>-0.70000000000000284</v>
      </c>
      <c r="Q359" s="7"/>
    </row>
    <row r="360" spans="1:17" s="5" customFormat="1" ht="14.25" customHeight="1" x14ac:dyDescent="0.35">
      <c r="A360" s="5" t="s">
        <v>20</v>
      </c>
      <c r="B360" s="5" t="s">
        <v>21</v>
      </c>
      <c r="C360" s="5" t="s">
        <v>192</v>
      </c>
      <c r="D360" s="5" t="s">
        <v>193</v>
      </c>
      <c r="E360" s="7">
        <v>68.354393000000002</v>
      </c>
      <c r="F360" s="7">
        <v>18.815747999999999</v>
      </c>
      <c r="G360" s="7">
        <v>376</v>
      </c>
      <c r="I360" s="5" t="s">
        <v>301</v>
      </c>
      <c r="J360" s="5" t="s">
        <v>41</v>
      </c>
      <c r="K360" s="8">
        <v>44033</v>
      </c>
      <c r="N360" s="7">
        <v>-9.14</v>
      </c>
      <c r="O360" s="35">
        <v>-64.400000000000006</v>
      </c>
      <c r="P360" s="35">
        <f t="shared" si="4"/>
        <v>8.7199999999999989</v>
      </c>
      <c r="Q360" s="7"/>
    </row>
    <row r="361" spans="1:17" s="5" customFormat="1" ht="14.25" customHeight="1" x14ac:dyDescent="0.35">
      <c r="A361" s="5" t="s">
        <v>20</v>
      </c>
      <c r="B361" s="5" t="s">
        <v>21</v>
      </c>
      <c r="C361" s="5" t="s">
        <v>192</v>
      </c>
      <c r="D361" s="5" t="s">
        <v>193</v>
      </c>
      <c r="E361" s="7">
        <v>68.354393000000002</v>
      </c>
      <c r="F361" s="7">
        <v>18.815747999999999</v>
      </c>
      <c r="G361" s="7">
        <v>376</v>
      </c>
      <c r="I361" s="5" t="s">
        <v>302</v>
      </c>
      <c r="J361" s="5" t="s">
        <v>41</v>
      </c>
      <c r="K361" s="8">
        <v>44034</v>
      </c>
      <c r="N361" s="7">
        <v>-11.04</v>
      </c>
      <c r="O361" s="35">
        <v>-82.28</v>
      </c>
      <c r="P361" s="35">
        <f t="shared" si="4"/>
        <v>6.039999999999992</v>
      </c>
      <c r="Q361" s="7"/>
    </row>
    <row r="362" spans="1:17" s="5" customFormat="1" ht="14.25" customHeight="1" x14ac:dyDescent="0.35">
      <c r="A362" s="5" t="s">
        <v>20</v>
      </c>
      <c r="B362" s="5" t="s">
        <v>21</v>
      </c>
      <c r="C362" s="5" t="s">
        <v>192</v>
      </c>
      <c r="D362" s="5" t="s">
        <v>193</v>
      </c>
      <c r="E362" s="7">
        <v>68.354393000000002</v>
      </c>
      <c r="F362" s="7">
        <v>18.815747999999999</v>
      </c>
      <c r="G362" s="7">
        <v>376</v>
      </c>
      <c r="I362" s="5" t="s">
        <v>303</v>
      </c>
      <c r="J362" s="5" t="s">
        <v>41</v>
      </c>
      <c r="K362" s="8">
        <v>44035</v>
      </c>
      <c r="N362" s="7">
        <v>-12.69</v>
      </c>
      <c r="O362" s="35">
        <v>-99.02</v>
      </c>
      <c r="P362" s="35">
        <f t="shared" si="4"/>
        <v>2.5</v>
      </c>
      <c r="Q362" s="7"/>
    </row>
    <row r="363" spans="1:17" s="5" customFormat="1" ht="14.25" customHeight="1" x14ac:dyDescent="0.35">
      <c r="A363" s="5" t="s">
        <v>20</v>
      </c>
      <c r="B363" s="5" t="s">
        <v>21</v>
      </c>
      <c r="C363" s="5" t="s">
        <v>192</v>
      </c>
      <c r="D363" s="5" t="s">
        <v>193</v>
      </c>
      <c r="E363" s="7">
        <v>68.354393000000002</v>
      </c>
      <c r="F363" s="7">
        <v>18.815747999999999</v>
      </c>
      <c r="G363" s="7">
        <v>376</v>
      </c>
      <c r="I363" s="5" t="s">
        <v>304</v>
      </c>
      <c r="J363" s="5" t="s">
        <v>41</v>
      </c>
      <c r="K363" s="8">
        <v>44036</v>
      </c>
      <c r="N363" s="7">
        <v>-11.13</v>
      </c>
      <c r="O363" s="35">
        <v>-81.84</v>
      </c>
      <c r="P363" s="35">
        <f t="shared" si="4"/>
        <v>7.2000000000000028</v>
      </c>
      <c r="Q363" s="7"/>
    </row>
    <row r="364" spans="1:17" s="5" customFormat="1" ht="14.25" customHeight="1" x14ac:dyDescent="0.35">
      <c r="A364" s="5" t="s">
        <v>20</v>
      </c>
      <c r="B364" s="5" t="s">
        <v>21</v>
      </c>
      <c r="C364" s="5" t="s">
        <v>192</v>
      </c>
      <c r="D364" s="5" t="s">
        <v>193</v>
      </c>
      <c r="E364" s="7">
        <v>68.354393000000002</v>
      </c>
      <c r="F364" s="7">
        <v>18.815747999999999</v>
      </c>
      <c r="G364" s="7">
        <v>376</v>
      </c>
      <c r="I364" s="5" t="s">
        <v>305</v>
      </c>
      <c r="J364" s="5" t="s">
        <v>41</v>
      </c>
      <c r="K364" s="8">
        <v>44039</v>
      </c>
      <c r="N364" s="7">
        <v>-13.48</v>
      </c>
      <c r="O364" s="35">
        <v>-101.35</v>
      </c>
      <c r="P364" s="35">
        <f t="shared" si="4"/>
        <v>6.4900000000000091</v>
      </c>
      <c r="Q364" s="7"/>
    </row>
    <row r="365" spans="1:17" s="5" customFormat="1" ht="14.25" customHeight="1" x14ac:dyDescent="0.35">
      <c r="A365" s="5" t="s">
        <v>20</v>
      </c>
      <c r="B365" s="5" t="s">
        <v>21</v>
      </c>
      <c r="C365" s="5" t="s">
        <v>192</v>
      </c>
      <c r="D365" s="5" t="s">
        <v>193</v>
      </c>
      <c r="E365" s="7">
        <v>68.354393000000002</v>
      </c>
      <c r="F365" s="7">
        <v>18.815747999999999</v>
      </c>
      <c r="G365" s="7">
        <v>376</v>
      </c>
      <c r="I365" s="5" t="s">
        <v>306</v>
      </c>
      <c r="J365" s="5" t="s">
        <v>41</v>
      </c>
      <c r="K365" s="8">
        <v>44040</v>
      </c>
      <c r="N365" s="7">
        <v>-7.38</v>
      </c>
      <c r="O365" s="35">
        <v>-60.83</v>
      </c>
      <c r="P365" s="35">
        <f t="shared" si="4"/>
        <v>-1.7899999999999991</v>
      </c>
      <c r="Q365" s="7"/>
    </row>
    <row r="366" spans="1:17" s="5" customFormat="1" ht="14.25" customHeight="1" x14ac:dyDescent="0.35">
      <c r="A366" s="5" t="s">
        <v>20</v>
      </c>
      <c r="B366" s="5" t="s">
        <v>21</v>
      </c>
      <c r="C366" s="5" t="s">
        <v>192</v>
      </c>
      <c r="D366" s="5" t="s">
        <v>193</v>
      </c>
      <c r="E366" s="7">
        <v>68.354393000000002</v>
      </c>
      <c r="F366" s="7">
        <v>18.815747999999999</v>
      </c>
      <c r="G366" s="7">
        <v>376</v>
      </c>
      <c r="I366" s="5" t="s">
        <v>307</v>
      </c>
      <c r="J366" s="5" t="s">
        <v>41</v>
      </c>
      <c r="K366" s="8">
        <v>44041</v>
      </c>
      <c r="N366" s="7">
        <v>-9.34</v>
      </c>
      <c r="O366" s="35">
        <v>-68.069999999999993</v>
      </c>
      <c r="P366" s="35">
        <f t="shared" si="4"/>
        <v>6.6500000000000057</v>
      </c>
      <c r="Q366" s="7"/>
    </row>
    <row r="367" spans="1:17" s="5" customFormat="1" ht="14.25" customHeight="1" x14ac:dyDescent="0.35">
      <c r="A367" s="5" t="s">
        <v>20</v>
      </c>
      <c r="B367" s="5" t="s">
        <v>21</v>
      </c>
      <c r="C367" s="5" t="s">
        <v>192</v>
      </c>
      <c r="D367" s="5" t="s">
        <v>193</v>
      </c>
      <c r="E367" s="7">
        <v>68.354393000000002</v>
      </c>
      <c r="F367" s="7">
        <v>18.815747999999999</v>
      </c>
      <c r="G367" s="7">
        <v>376</v>
      </c>
      <c r="I367" s="5" t="s">
        <v>308</v>
      </c>
      <c r="J367" s="5" t="s">
        <v>41</v>
      </c>
      <c r="K367" s="8">
        <v>44042</v>
      </c>
      <c r="N367" s="7">
        <v>-7.08</v>
      </c>
      <c r="O367" s="35">
        <v>-53.43</v>
      </c>
      <c r="P367" s="35">
        <f t="shared" si="4"/>
        <v>3.2100000000000009</v>
      </c>
      <c r="Q367" s="7"/>
    </row>
    <row r="368" spans="1:17" s="5" customFormat="1" ht="14.25" customHeight="1" x14ac:dyDescent="0.35">
      <c r="A368" s="5" t="s">
        <v>20</v>
      </c>
      <c r="B368" s="5" t="s">
        <v>21</v>
      </c>
      <c r="C368" s="5" t="s">
        <v>192</v>
      </c>
      <c r="D368" s="5" t="s">
        <v>193</v>
      </c>
      <c r="E368" s="7">
        <v>68.354393000000002</v>
      </c>
      <c r="F368" s="7">
        <v>18.815747999999999</v>
      </c>
      <c r="G368" s="7">
        <v>376</v>
      </c>
      <c r="I368" s="5" t="s">
        <v>309</v>
      </c>
      <c r="J368" s="5" t="s">
        <v>41</v>
      </c>
      <c r="K368" s="8">
        <v>44047</v>
      </c>
      <c r="N368" s="7">
        <v>-5.97</v>
      </c>
      <c r="O368" s="35">
        <v>-51.1</v>
      </c>
      <c r="P368" s="35">
        <f t="shared" si="4"/>
        <v>-3.3400000000000034</v>
      </c>
      <c r="Q368" s="7"/>
    </row>
    <row r="369" spans="1:17" s="5" customFormat="1" ht="14.25" customHeight="1" x14ac:dyDescent="0.35">
      <c r="A369" s="5" t="s">
        <v>20</v>
      </c>
      <c r="B369" s="5" t="s">
        <v>21</v>
      </c>
      <c r="C369" s="5" t="s">
        <v>192</v>
      </c>
      <c r="D369" s="5" t="s">
        <v>193</v>
      </c>
      <c r="E369" s="7">
        <v>68.354393000000002</v>
      </c>
      <c r="F369" s="7">
        <v>18.815747999999999</v>
      </c>
      <c r="G369" s="7">
        <v>376</v>
      </c>
      <c r="I369" s="5" t="s">
        <v>310</v>
      </c>
      <c r="J369" s="5" t="s">
        <v>41</v>
      </c>
      <c r="K369" s="8">
        <v>44048</v>
      </c>
      <c r="N369" s="7">
        <v>-10.46</v>
      </c>
      <c r="O369" s="35">
        <v>-75.78</v>
      </c>
      <c r="P369" s="35">
        <f t="shared" si="4"/>
        <v>7.9000000000000057</v>
      </c>
      <c r="Q369" s="7"/>
    </row>
    <row r="370" spans="1:17" s="5" customFormat="1" ht="14.25" customHeight="1" x14ac:dyDescent="0.35">
      <c r="A370" s="5" t="s">
        <v>20</v>
      </c>
      <c r="B370" s="5" t="s">
        <v>21</v>
      </c>
      <c r="C370" s="5" t="s">
        <v>192</v>
      </c>
      <c r="D370" s="5" t="s">
        <v>193</v>
      </c>
      <c r="E370" s="7">
        <v>68.354393000000002</v>
      </c>
      <c r="F370" s="7">
        <v>18.815747999999999</v>
      </c>
      <c r="G370" s="7">
        <v>376</v>
      </c>
      <c r="I370" s="5" t="s">
        <v>311</v>
      </c>
      <c r="J370" s="5" t="s">
        <v>41</v>
      </c>
      <c r="K370" s="8">
        <v>44053</v>
      </c>
      <c r="N370" s="7">
        <v>-10.27</v>
      </c>
      <c r="O370" s="35">
        <v>-74.260000000000005</v>
      </c>
      <c r="P370" s="35">
        <f t="shared" si="4"/>
        <v>7.8999999999999915</v>
      </c>
      <c r="Q370" s="7"/>
    </row>
    <row r="371" spans="1:17" s="5" customFormat="1" ht="14.25" customHeight="1" x14ac:dyDescent="0.35">
      <c r="A371" s="5" t="s">
        <v>20</v>
      </c>
      <c r="B371" s="5" t="s">
        <v>21</v>
      </c>
      <c r="C371" s="5" t="s">
        <v>192</v>
      </c>
      <c r="D371" s="5" t="s">
        <v>193</v>
      </c>
      <c r="E371" s="7">
        <v>68.354393000000002</v>
      </c>
      <c r="F371" s="7">
        <v>18.815747999999999</v>
      </c>
      <c r="G371" s="7">
        <v>376</v>
      </c>
      <c r="I371" s="5" t="s">
        <v>312</v>
      </c>
      <c r="J371" s="5" t="s">
        <v>41</v>
      </c>
      <c r="K371" s="8">
        <v>44057</v>
      </c>
      <c r="N371" s="7">
        <v>-7.17</v>
      </c>
      <c r="O371" s="35">
        <v>-52.88</v>
      </c>
      <c r="P371" s="35">
        <f t="shared" si="4"/>
        <v>4.4799999999999969</v>
      </c>
      <c r="Q371" s="7"/>
    </row>
    <row r="372" spans="1:17" s="5" customFormat="1" ht="14.25" customHeight="1" x14ac:dyDescent="0.35">
      <c r="A372" s="5" t="s">
        <v>20</v>
      </c>
      <c r="B372" s="5" t="s">
        <v>21</v>
      </c>
      <c r="C372" s="5" t="s">
        <v>192</v>
      </c>
      <c r="D372" s="5" t="s">
        <v>193</v>
      </c>
      <c r="E372" s="7">
        <v>68.354393000000002</v>
      </c>
      <c r="F372" s="7">
        <v>18.815747999999999</v>
      </c>
      <c r="G372" s="7">
        <v>376</v>
      </c>
      <c r="I372" s="5" t="s">
        <v>313</v>
      </c>
      <c r="J372" s="5" t="s">
        <v>41</v>
      </c>
      <c r="K372" s="8">
        <v>44060</v>
      </c>
      <c r="N372" s="7">
        <v>-7.11</v>
      </c>
      <c r="O372" s="35">
        <v>-56.47</v>
      </c>
      <c r="P372" s="35">
        <f t="shared" si="4"/>
        <v>0.41000000000000369</v>
      </c>
      <c r="Q372" s="7"/>
    </row>
    <row r="373" spans="1:17" s="5" customFormat="1" ht="14.25" customHeight="1" x14ac:dyDescent="0.35">
      <c r="A373" s="5" t="s">
        <v>20</v>
      </c>
      <c r="B373" s="5" t="s">
        <v>21</v>
      </c>
      <c r="C373" s="5" t="s">
        <v>192</v>
      </c>
      <c r="D373" s="5" t="s">
        <v>193</v>
      </c>
      <c r="E373" s="7">
        <v>68.354393000000002</v>
      </c>
      <c r="F373" s="7">
        <v>18.815747999999999</v>
      </c>
      <c r="G373" s="7">
        <v>376</v>
      </c>
      <c r="I373" s="5" t="s">
        <v>314</v>
      </c>
      <c r="J373" s="5" t="s">
        <v>41</v>
      </c>
      <c r="K373" s="8">
        <v>44067</v>
      </c>
      <c r="N373" s="7">
        <v>-11.99</v>
      </c>
      <c r="O373" s="35">
        <v>-93.6</v>
      </c>
      <c r="P373" s="35">
        <f t="shared" si="4"/>
        <v>2.3200000000000074</v>
      </c>
      <c r="Q373" s="7"/>
    </row>
    <row r="374" spans="1:17" s="5" customFormat="1" ht="14.25" customHeight="1" x14ac:dyDescent="0.35">
      <c r="A374" s="5" t="s">
        <v>20</v>
      </c>
      <c r="B374" s="5" t="s">
        <v>21</v>
      </c>
      <c r="C374" s="5" t="s">
        <v>192</v>
      </c>
      <c r="D374" s="5" t="s">
        <v>193</v>
      </c>
      <c r="E374" s="7">
        <v>68.354393000000002</v>
      </c>
      <c r="F374" s="7">
        <v>18.815747999999999</v>
      </c>
      <c r="G374" s="7">
        <v>376</v>
      </c>
      <c r="I374" s="5" t="s">
        <v>315</v>
      </c>
      <c r="J374" s="5" t="s">
        <v>41</v>
      </c>
      <c r="K374" s="8">
        <v>44074</v>
      </c>
      <c r="N374" s="7">
        <v>-5.13</v>
      </c>
      <c r="O374" s="35">
        <v>-37.14</v>
      </c>
      <c r="P374" s="35">
        <f t="shared" si="4"/>
        <v>3.8999999999999986</v>
      </c>
      <c r="Q374" s="7"/>
    </row>
    <row r="375" spans="1:17" s="5" customFormat="1" ht="14.25" customHeight="1" x14ac:dyDescent="0.35">
      <c r="A375" s="5" t="s">
        <v>20</v>
      </c>
      <c r="B375" s="5" t="s">
        <v>21</v>
      </c>
      <c r="C375" s="5" t="s">
        <v>192</v>
      </c>
      <c r="D375" s="5" t="s">
        <v>193</v>
      </c>
      <c r="E375" s="7">
        <v>68.354393000000002</v>
      </c>
      <c r="F375" s="7">
        <v>18.815747999999999</v>
      </c>
      <c r="G375" s="7">
        <v>376</v>
      </c>
      <c r="I375" s="5" t="s">
        <v>316</v>
      </c>
      <c r="J375" s="5" t="s">
        <v>41</v>
      </c>
      <c r="K375" s="8">
        <v>44078</v>
      </c>
      <c r="N375" s="7">
        <v>-9.81</v>
      </c>
      <c r="O375" s="35">
        <v>-70.23</v>
      </c>
      <c r="P375" s="35">
        <f t="shared" si="4"/>
        <v>8.25</v>
      </c>
      <c r="Q375" s="7"/>
    </row>
    <row r="376" spans="1:17" s="5" customFormat="1" ht="14.25" customHeight="1" x14ac:dyDescent="0.35">
      <c r="A376" s="5" t="s">
        <v>20</v>
      </c>
      <c r="B376" s="5" t="s">
        <v>21</v>
      </c>
      <c r="C376" s="5" t="s">
        <v>192</v>
      </c>
      <c r="D376" s="5" t="s">
        <v>193</v>
      </c>
      <c r="E376" s="7">
        <v>68.354393000000002</v>
      </c>
      <c r="F376" s="7">
        <v>18.815747999999999</v>
      </c>
      <c r="G376" s="7">
        <v>376</v>
      </c>
      <c r="I376" s="5" t="s">
        <v>317</v>
      </c>
      <c r="J376" s="5" t="s">
        <v>41</v>
      </c>
      <c r="K376" s="8">
        <v>44081</v>
      </c>
      <c r="N376" s="7">
        <v>-15.76</v>
      </c>
      <c r="O376" s="35">
        <v>-115.91</v>
      </c>
      <c r="P376" s="35">
        <f t="shared" si="4"/>
        <v>10.170000000000002</v>
      </c>
      <c r="Q376" s="7"/>
    </row>
    <row r="377" spans="1:17" s="5" customFormat="1" ht="14.25" customHeight="1" x14ac:dyDescent="0.35">
      <c r="A377" s="5" t="s">
        <v>20</v>
      </c>
      <c r="B377" s="5" t="s">
        <v>21</v>
      </c>
      <c r="C377" s="5" t="s">
        <v>192</v>
      </c>
      <c r="D377" s="5" t="s">
        <v>193</v>
      </c>
      <c r="E377" s="7">
        <v>68.354393000000002</v>
      </c>
      <c r="F377" s="7">
        <v>18.815747999999999</v>
      </c>
      <c r="G377" s="7">
        <v>376</v>
      </c>
      <c r="I377" s="5" t="s">
        <v>318</v>
      </c>
      <c r="J377" s="5" t="s">
        <v>41</v>
      </c>
      <c r="K377" s="8">
        <v>44085</v>
      </c>
      <c r="N377" s="7">
        <v>-9.06</v>
      </c>
      <c r="O377" s="35">
        <v>-72.91</v>
      </c>
      <c r="P377" s="35">
        <f t="shared" si="4"/>
        <v>-0.42999999999999261</v>
      </c>
      <c r="Q377" s="7"/>
    </row>
    <row r="378" spans="1:17" s="5" customFormat="1" ht="14.25" customHeight="1" x14ac:dyDescent="0.35">
      <c r="A378" s="5" t="s">
        <v>20</v>
      </c>
      <c r="B378" s="5" t="s">
        <v>21</v>
      </c>
      <c r="C378" s="5" t="s">
        <v>192</v>
      </c>
      <c r="D378" s="5" t="s">
        <v>193</v>
      </c>
      <c r="E378" s="7">
        <v>68.354393000000002</v>
      </c>
      <c r="F378" s="7">
        <v>18.815747999999999</v>
      </c>
      <c r="G378" s="7">
        <v>376</v>
      </c>
      <c r="I378" s="5" t="s">
        <v>319</v>
      </c>
      <c r="J378" s="5" t="s">
        <v>41</v>
      </c>
      <c r="K378" s="8">
        <v>44088</v>
      </c>
      <c r="N378" s="7">
        <v>-14.09</v>
      </c>
      <c r="O378" s="35">
        <v>-118.23</v>
      </c>
      <c r="P378" s="35">
        <f t="shared" si="4"/>
        <v>-5.5100000000000051</v>
      </c>
      <c r="Q378" s="7"/>
    </row>
    <row r="379" spans="1:17" s="5" customFormat="1" ht="14.25" customHeight="1" x14ac:dyDescent="0.35">
      <c r="A379" s="5" t="s">
        <v>20</v>
      </c>
      <c r="B379" s="5" t="s">
        <v>21</v>
      </c>
      <c r="C379" s="5" t="s">
        <v>192</v>
      </c>
      <c r="D379" s="5" t="s">
        <v>193</v>
      </c>
      <c r="E379" s="7">
        <v>68.354393000000002</v>
      </c>
      <c r="F379" s="7">
        <v>18.815747999999999</v>
      </c>
      <c r="G379" s="7">
        <v>376</v>
      </c>
      <c r="I379" s="5" t="s">
        <v>320</v>
      </c>
      <c r="J379" s="5" t="s">
        <v>41</v>
      </c>
      <c r="K379" s="8">
        <v>44090</v>
      </c>
      <c r="N379" s="7">
        <v>-8.98</v>
      </c>
      <c r="O379" s="35">
        <v>-66.48</v>
      </c>
      <c r="P379" s="35">
        <f t="shared" si="4"/>
        <v>5.3599999999999994</v>
      </c>
      <c r="Q379" s="7"/>
    </row>
    <row r="380" spans="1:17" s="5" customFormat="1" ht="14.25" customHeight="1" x14ac:dyDescent="0.35">
      <c r="A380" s="5" t="s">
        <v>20</v>
      </c>
      <c r="B380" s="5" t="s">
        <v>21</v>
      </c>
      <c r="C380" s="5" t="s">
        <v>192</v>
      </c>
      <c r="D380" s="5" t="s">
        <v>193</v>
      </c>
      <c r="E380" s="7">
        <v>68.354393000000002</v>
      </c>
      <c r="F380" s="7">
        <v>18.815747999999999</v>
      </c>
      <c r="G380" s="7">
        <v>376</v>
      </c>
      <c r="I380" s="5" t="s">
        <v>321</v>
      </c>
      <c r="J380" s="5" t="s">
        <v>41</v>
      </c>
      <c r="K380" s="8">
        <v>44092</v>
      </c>
      <c r="N380" s="7">
        <v>-16.73</v>
      </c>
      <c r="O380" s="35">
        <v>-133.52000000000001</v>
      </c>
      <c r="P380" s="35">
        <f t="shared" si="4"/>
        <v>0.31999999999999318</v>
      </c>
      <c r="Q380" s="7"/>
    </row>
    <row r="381" spans="1:17" s="5" customFormat="1" ht="14.25" customHeight="1" x14ac:dyDescent="0.35">
      <c r="A381" s="5" t="s">
        <v>20</v>
      </c>
      <c r="B381" s="5" t="s">
        <v>21</v>
      </c>
      <c r="C381" s="5" t="s">
        <v>192</v>
      </c>
      <c r="D381" s="5" t="s">
        <v>193</v>
      </c>
      <c r="E381" s="7">
        <v>68.354393000000002</v>
      </c>
      <c r="F381" s="7">
        <v>18.815747999999999</v>
      </c>
      <c r="G381" s="7">
        <v>376</v>
      </c>
      <c r="I381" s="5" t="s">
        <v>322</v>
      </c>
      <c r="J381" s="5" t="s">
        <v>41</v>
      </c>
      <c r="K381" s="8">
        <v>44095</v>
      </c>
      <c r="N381" s="7">
        <v>-11.29</v>
      </c>
      <c r="O381" s="35">
        <v>-91.26</v>
      </c>
      <c r="P381" s="35">
        <f t="shared" si="4"/>
        <v>-0.94000000000001194</v>
      </c>
      <c r="Q381" s="7"/>
    </row>
    <row r="382" spans="1:17" s="5" customFormat="1" ht="14.25" customHeight="1" x14ac:dyDescent="0.35">
      <c r="A382" s="5" t="s">
        <v>20</v>
      </c>
      <c r="B382" s="5" t="s">
        <v>21</v>
      </c>
      <c r="C382" s="5" t="s">
        <v>192</v>
      </c>
      <c r="D382" s="5" t="s">
        <v>193</v>
      </c>
      <c r="E382" s="7">
        <v>68.354393000000002</v>
      </c>
      <c r="F382" s="7">
        <v>18.815747999999999</v>
      </c>
      <c r="G382" s="7">
        <v>376</v>
      </c>
      <c r="I382" s="5" t="s">
        <v>323</v>
      </c>
      <c r="J382" s="5" t="s">
        <v>41</v>
      </c>
      <c r="K382" s="8">
        <v>44096</v>
      </c>
      <c r="N382" s="7">
        <v>-14.78</v>
      </c>
      <c r="O382" s="35">
        <v>-114.87</v>
      </c>
      <c r="P382" s="35">
        <f t="shared" si="4"/>
        <v>3.3699999999999903</v>
      </c>
      <c r="Q382" s="7"/>
    </row>
    <row r="383" spans="1:17" s="5" customFormat="1" ht="14.25" customHeight="1" x14ac:dyDescent="0.35">
      <c r="A383" s="5" t="s">
        <v>20</v>
      </c>
      <c r="B383" s="5" t="s">
        <v>21</v>
      </c>
      <c r="C383" s="5" t="s">
        <v>192</v>
      </c>
      <c r="D383" s="5" t="s">
        <v>193</v>
      </c>
      <c r="E383" s="7">
        <v>68.354393000000002</v>
      </c>
      <c r="F383" s="7">
        <v>18.815747999999999</v>
      </c>
      <c r="G383" s="7">
        <v>376</v>
      </c>
      <c r="I383" s="5" t="s">
        <v>324</v>
      </c>
      <c r="J383" s="5" t="s">
        <v>41</v>
      </c>
      <c r="K383" s="8">
        <v>44097</v>
      </c>
      <c r="N383" s="7">
        <v>-6.53</v>
      </c>
      <c r="O383" s="35">
        <v>-56.49</v>
      </c>
      <c r="P383" s="35">
        <f t="shared" si="4"/>
        <v>-4.25</v>
      </c>
      <c r="Q383" s="7"/>
    </row>
    <row r="384" spans="1:17" s="5" customFormat="1" ht="14.25" customHeight="1" x14ac:dyDescent="0.35">
      <c r="A384" s="5" t="s">
        <v>20</v>
      </c>
      <c r="B384" s="5" t="s">
        <v>21</v>
      </c>
      <c r="C384" s="5" t="s">
        <v>192</v>
      </c>
      <c r="D384" s="5" t="s">
        <v>193</v>
      </c>
      <c r="E384" s="7">
        <v>68.354393000000002</v>
      </c>
      <c r="F384" s="7">
        <v>18.815747999999999</v>
      </c>
      <c r="G384" s="7">
        <v>376</v>
      </c>
      <c r="I384" s="5" t="s">
        <v>325</v>
      </c>
      <c r="J384" s="5" t="s">
        <v>41</v>
      </c>
      <c r="K384" s="8">
        <v>44099</v>
      </c>
      <c r="N384" s="7">
        <v>-13.45</v>
      </c>
      <c r="O384" s="35">
        <v>-93.85</v>
      </c>
      <c r="P384" s="35">
        <f t="shared" si="4"/>
        <v>13.75</v>
      </c>
      <c r="Q384" s="7"/>
    </row>
    <row r="385" spans="1:17" s="5" customFormat="1" ht="14.25" customHeight="1" x14ac:dyDescent="0.35">
      <c r="A385" s="5" t="s">
        <v>20</v>
      </c>
      <c r="B385" s="5" t="s">
        <v>21</v>
      </c>
      <c r="C385" s="5" t="s">
        <v>192</v>
      </c>
      <c r="D385" s="5" t="s">
        <v>193</v>
      </c>
      <c r="E385" s="7">
        <v>68.354393000000002</v>
      </c>
      <c r="F385" s="7">
        <v>18.815747999999999</v>
      </c>
      <c r="G385" s="7">
        <v>376</v>
      </c>
      <c r="I385" s="5" t="s">
        <v>326</v>
      </c>
      <c r="K385" s="8">
        <v>44102</v>
      </c>
      <c r="N385" s="7">
        <v>-5.4382673466672582</v>
      </c>
      <c r="O385" s="35">
        <v>-53.81754816909509</v>
      </c>
      <c r="P385" s="35">
        <f t="shared" si="4"/>
        <v>-10.311409395757025</v>
      </c>
      <c r="Q385" s="7"/>
    </row>
    <row r="386" spans="1:17" s="5" customFormat="1" x14ac:dyDescent="0.35">
      <c r="A386" s="5" t="s">
        <v>20</v>
      </c>
      <c r="B386" s="5" t="s">
        <v>21</v>
      </c>
      <c r="C386" s="5" t="s">
        <v>575</v>
      </c>
      <c r="D386" s="5" t="s">
        <v>193</v>
      </c>
      <c r="E386" s="7">
        <v>64.2</v>
      </c>
      <c r="F386" s="7">
        <v>19.87</v>
      </c>
      <c r="G386" s="7">
        <v>147</v>
      </c>
      <c r="I386" s="5" t="s">
        <v>576</v>
      </c>
      <c r="K386" s="17">
        <v>43832</v>
      </c>
      <c r="N386" s="5">
        <v>-15.52</v>
      </c>
      <c r="O386" s="35">
        <v>-116.81</v>
      </c>
      <c r="P386" s="35">
        <f t="shared" ref="P386:P456" si="5">O386-(8*N386)</f>
        <v>7.3499999999999943</v>
      </c>
      <c r="Q386" s="5">
        <v>4.0999999999999996</v>
      </c>
    </row>
    <row r="387" spans="1:17" s="5" customFormat="1" x14ac:dyDescent="0.35">
      <c r="A387" s="5" t="s">
        <v>20</v>
      </c>
      <c r="B387" s="5" t="s">
        <v>21</v>
      </c>
      <c r="C387" s="5" t="s">
        <v>575</v>
      </c>
      <c r="D387" s="5" t="s">
        <v>193</v>
      </c>
      <c r="E387" s="7">
        <v>64.2</v>
      </c>
      <c r="F387" s="7">
        <v>19.87</v>
      </c>
      <c r="G387" s="7">
        <v>147</v>
      </c>
      <c r="I387" s="5" t="s">
        <v>577</v>
      </c>
      <c r="K387" s="17">
        <v>43837</v>
      </c>
      <c r="N387" s="5">
        <v>-15.06</v>
      </c>
      <c r="O387" s="35">
        <v>-117.62</v>
      </c>
      <c r="P387" s="35">
        <f t="shared" si="5"/>
        <v>2.8599999999999994</v>
      </c>
      <c r="Q387" s="5">
        <v>2.2000000000000002</v>
      </c>
    </row>
    <row r="388" spans="1:17" s="5" customFormat="1" x14ac:dyDescent="0.35">
      <c r="A388" s="5" t="s">
        <v>20</v>
      </c>
      <c r="B388" s="5" t="s">
        <v>21</v>
      </c>
      <c r="C388" s="5" t="s">
        <v>575</v>
      </c>
      <c r="D388" s="5" t="s">
        <v>193</v>
      </c>
      <c r="E388" s="7">
        <v>64.2</v>
      </c>
      <c r="F388" s="7">
        <v>19.87</v>
      </c>
      <c r="G388" s="7">
        <v>147</v>
      </c>
      <c r="I388" s="5" t="s">
        <v>578</v>
      </c>
      <c r="K388" s="17">
        <v>43843</v>
      </c>
      <c r="N388" s="5">
        <v>-10.97</v>
      </c>
      <c r="O388" s="35">
        <v>-65.86</v>
      </c>
      <c r="P388" s="35">
        <f t="shared" si="5"/>
        <v>21.900000000000006</v>
      </c>
      <c r="Q388" s="5">
        <v>0.2</v>
      </c>
    </row>
    <row r="389" spans="1:17" s="5" customFormat="1" x14ac:dyDescent="0.35">
      <c r="A389" s="5" t="s">
        <v>20</v>
      </c>
      <c r="B389" s="5" t="s">
        <v>21</v>
      </c>
      <c r="C389" s="5" t="s">
        <v>575</v>
      </c>
      <c r="D389" s="5" t="s">
        <v>193</v>
      </c>
      <c r="E389" s="7">
        <v>64.2</v>
      </c>
      <c r="F389" s="7">
        <v>19.87</v>
      </c>
      <c r="G389" s="7">
        <v>147</v>
      </c>
      <c r="I389" s="5" t="s">
        <v>579</v>
      </c>
      <c r="K389" s="17">
        <v>43845</v>
      </c>
      <c r="N389" s="5">
        <v>-14.57</v>
      </c>
      <c r="O389" s="35">
        <v>-112.4</v>
      </c>
      <c r="P389" s="35">
        <f t="shared" si="5"/>
        <v>4.1599999999999966</v>
      </c>
      <c r="Q389" s="5">
        <v>2.5</v>
      </c>
    </row>
    <row r="390" spans="1:17" s="5" customFormat="1" x14ac:dyDescent="0.35">
      <c r="A390" s="5" t="s">
        <v>20</v>
      </c>
      <c r="B390" s="5" t="s">
        <v>21</v>
      </c>
      <c r="C390" s="5" t="s">
        <v>575</v>
      </c>
      <c r="D390" s="5" t="s">
        <v>193</v>
      </c>
      <c r="E390" s="7">
        <v>64.2</v>
      </c>
      <c r="F390" s="7">
        <v>19.87</v>
      </c>
      <c r="G390" s="7">
        <v>147</v>
      </c>
      <c r="I390" s="5" t="s">
        <v>580</v>
      </c>
      <c r="K390" s="17">
        <v>43846</v>
      </c>
      <c r="N390" s="5">
        <v>-21.04</v>
      </c>
      <c r="O390" s="35">
        <v>-163.99</v>
      </c>
      <c r="P390" s="35">
        <f t="shared" si="5"/>
        <v>4.3299999999999841</v>
      </c>
      <c r="Q390" s="5">
        <v>5.2</v>
      </c>
    </row>
    <row r="391" spans="1:17" s="5" customFormat="1" x14ac:dyDescent="0.35">
      <c r="A391" s="5" t="s">
        <v>20</v>
      </c>
      <c r="B391" s="5" t="s">
        <v>21</v>
      </c>
      <c r="C391" s="5" t="s">
        <v>575</v>
      </c>
      <c r="D391" s="5" t="s">
        <v>193</v>
      </c>
      <c r="E391" s="7">
        <v>64.2</v>
      </c>
      <c r="F391" s="7">
        <v>19.87</v>
      </c>
      <c r="G391" s="7">
        <v>147</v>
      </c>
      <c r="I391" s="5" t="s">
        <v>581</v>
      </c>
      <c r="K391" s="17">
        <v>43850</v>
      </c>
      <c r="N391" s="5">
        <v>-10.56</v>
      </c>
      <c r="O391" s="35">
        <v>-75.06</v>
      </c>
      <c r="P391" s="35">
        <f t="shared" si="5"/>
        <v>9.4200000000000017</v>
      </c>
      <c r="Q391" s="5">
        <v>16.7</v>
      </c>
    </row>
    <row r="392" spans="1:17" s="5" customFormat="1" x14ac:dyDescent="0.35">
      <c r="A392" s="5" t="s">
        <v>20</v>
      </c>
      <c r="B392" s="5" t="s">
        <v>21</v>
      </c>
      <c r="C392" s="5" t="s">
        <v>575</v>
      </c>
      <c r="D392" s="5" t="s">
        <v>193</v>
      </c>
      <c r="E392" s="7">
        <v>64.2</v>
      </c>
      <c r="F392" s="7">
        <v>19.87</v>
      </c>
      <c r="G392" s="7">
        <v>147</v>
      </c>
      <c r="I392" s="5" t="s">
        <v>582</v>
      </c>
      <c r="K392" s="17">
        <v>43853</v>
      </c>
      <c r="N392" s="5">
        <v>-14.7</v>
      </c>
      <c r="O392" s="35">
        <v>-111.53</v>
      </c>
      <c r="P392" s="35">
        <f t="shared" si="5"/>
        <v>6.0699999999999932</v>
      </c>
      <c r="Q392" s="5">
        <v>7.3</v>
      </c>
    </row>
    <row r="393" spans="1:17" s="5" customFormat="1" x14ac:dyDescent="0.35">
      <c r="A393" s="5" t="s">
        <v>20</v>
      </c>
      <c r="B393" s="5" t="s">
        <v>21</v>
      </c>
      <c r="C393" s="5" t="s">
        <v>575</v>
      </c>
      <c r="D393" s="5" t="s">
        <v>193</v>
      </c>
      <c r="E393" s="7">
        <v>64.2</v>
      </c>
      <c r="F393" s="7">
        <v>19.87</v>
      </c>
      <c r="G393" s="7">
        <v>147</v>
      </c>
      <c r="I393" s="5" t="s">
        <v>583</v>
      </c>
      <c r="K393" s="17">
        <v>43857</v>
      </c>
      <c r="N393" s="5">
        <v>-17.28</v>
      </c>
      <c r="O393" s="35">
        <v>-131.78</v>
      </c>
      <c r="P393" s="35">
        <f t="shared" si="5"/>
        <v>6.460000000000008</v>
      </c>
      <c r="Q393" s="5">
        <v>6.2</v>
      </c>
    </row>
    <row r="394" spans="1:17" s="5" customFormat="1" x14ac:dyDescent="0.35">
      <c r="A394" s="5" t="s">
        <v>20</v>
      </c>
      <c r="B394" s="5" t="s">
        <v>21</v>
      </c>
      <c r="C394" s="5" t="s">
        <v>575</v>
      </c>
      <c r="D394" s="5" t="s">
        <v>193</v>
      </c>
      <c r="E394" s="7">
        <v>64.2</v>
      </c>
      <c r="F394" s="7">
        <v>19.87</v>
      </c>
      <c r="G394" s="7">
        <v>147</v>
      </c>
      <c r="I394" s="5" t="s">
        <v>584</v>
      </c>
      <c r="K394" s="17">
        <v>43858</v>
      </c>
      <c r="N394" s="5">
        <v>-12.82</v>
      </c>
      <c r="O394" s="35">
        <v>-93.49</v>
      </c>
      <c r="P394" s="35">
        <f t="shared" si="5"/>
        <v>9.0700000000000074</v>
      </c>
      <c r="Q394" s="5">
        <v>6.3</v>
      </c>
    </row>
    <row r="395" spans="1:17" s="5" customFormat="1" x14ac:dyDescent="0.35">
      <c r="A395" s="5" t="s">
        <v>20</v>
      </c>
      <c r="B395" s="5" t="s">
        <v>21</v>
      </c>
      <c r="C395" s="5" t="s">
        <v>575</v>
      </c>
      <c r="D395" s="5" t="s">
        <v>193</v>
      </c>
      <c r="E395" s="7">
        <v>64.2</v>
      </c>
      <c r="F395" s="7">
        <v>19.87</v>
      </c>
      <c r="G395" s="7">
        <v>147</v>
      </c>
      <c r="I395" s="5" t="s">
        <v>585</v>
      </c>
      <c r="K395" s="17">
        <v>43859</v>
      </c>
      <c r="N395" s="5">
        <v>-16.52</v>
      </c>
      <c r="O395" s="35">
        <v>-123.4</v>
      </c>
      <c r="P395" s="35">
        <f t="shared" si="5"/>
        <v>8.7599999999999909</v>
      </c>
      <c r="Q395" s="5">
        <v>2.4</v>
      </c>
    </row>
    <row r="396" spans="1:17" s="5" customFormat="1" x14ac:dyDescent="0.35">
      <c r="A396" s="5" t="s">
        <v>20</v>
      </c>
      <c r="B396" s="5" t="s">
        <v>21</v>
      </c>
      <c r="C396" s="5" t="s">
        <v>575</v>
      </c>
      <c r="D396" s="5" t="s">
        <v>193</v>
      </c>
      <c r="E396" s="7">
        <v>64.2</v>
      </c>
      <c r="F396" s="7">
        <v>19.87</v>
      </c>
      <c r="G396" s="7">
        <v>147</v>
      </c>
      <c r="I396" s="5" t="s">
        <v>586</v>
      </c>
      <c r="K396" s="17">
        <v>43860</v>
      </c>
      <c r="N396" s="5">
        <v>-18</v>
      </c>
      <c r="O396" s="35">
        <v>-135.59</v>
      </c>
      <c r="P396" s="35">
        <f t="shared" si="5"/>
        <v>8.4099999999999966</v>
      </c>
      <c r="Q396" s="5">
        <v>3</v>
      </c>
    </row>
    <row r="397" spans="1:17" s="5" customFormat="1" x14ac:dyDescent="0.35">
      <c r="A397" s="5" t="s">
        <v>20</v>
      </c>
      <c r="B397" s="5" t="s">
        <v>21</v>
      </c>
      <c r="C397" s="5" t="s">
        <v>575</v>
      </c>
      <c r="D397" s="5" t="s">
        <v>193</v>
      </c>
      <c r="E397" s="7">
        <v>64.2</v>
      </c>
      <c r="F397" s="7">
        <v>19.87</v>
      </c>
      <c r="G397" s="7">
        <v>147</v>
      </c>
      <c r="I397" s="5" t="s">
        <v>587</v>
      </c>
      <c r="K397" s="17">
        <v>43864</v>
      </c>
      <c r="N397" s="5">
        <v>-14.5</v>
      </c>
      <c r="O397" s="35">
        <v>-110.83</v>
      </c>
      <c r="P397" s="35">
        <f t="shared" si="5"/>
        <v>5.1700000000000017</v>
      </c>
      <c r="Q397" s="5">
        <v>13.1</v>
      </c>
    </row>
    <row r="398" spans="1:17" s="5" customFormat="1" x14ac:dyDescent="0.35">
      <c r="A398" s="5" t="s">
        <v>20</v>
      </c>
      <c r="B398" s="5" t="s">
        <v>21</v>
      </c>
      <c r="C398" s="5" t="s">
        <v>575</v>
      </c>
      <c r="D398" s="5" t="s">
        <v>193</v>
      </c>
      <c r="E398" s="7">
        <v>64.2</v>
      </c>
      <c r="F398" s="7">
        <v>19.87</v>
      </c>
      <c r="G398" s="7">
        <v>147</v>
      </c>
      <c r="I398" s="5" t="s">
        <v>588</v>
      </c>
      <c r="K398" s="17">
        <v>43867</v>
      </c>
      <c r="N398" s="5">
        <v>-12.49</v>
      </c>
      <c r="O398" s="35">
        <v>-88.76</v>
      </c>
      <c r="P398" s="35">
        <f t="shared" si="5"/>
        <v>11.159999999999997</v>
      </c>
      <c r="Q398" s="5">
        <v>2.8</v>
      </c>
    </row>
    <row r="399" spans="1:17" s="5" customFormat="1" x14ac:dyDescent="0.35">
      <c r="A399" s="5" t="s">
        <v>20</v>
      </c>
      <c r="B399" s="5" t="s">
        <v>21</v>
      </c>
      <c r="C399" s="5" t="s">
        <v>575</v>
      </c>
      <c r="D399" s="5" t="s">
        <v>193</v>
      </c>
      <c r="E399" s="7">
        <v>64.2</v>
      </c>
      <c r="F399" s="7">
        <v>19.87</v>
      </c>
      <c r="G399" s="7">
        <v>147</v>
      </c>
      <c r="I399" s="5" t="s">
        <v>589</v>
      </c>
      <c r="K399" s="17">
        <v>43871</v>
      </c>
      <c r="N399" s="5">
        <v>-16.05</v>
      </c>
      <c r="O399" s="35">
        <v>-127.45</v>
      </c>
      <c r="P399" s="35">
        <f t="shared" si="5"/>
        <v>0.95000000000000284</v>
      </c>
      <c r="Q399" s="5">
        <v>14.6</v>
      </c>
    </row>
    <row r="400" spans="1:17" s="5" customFormat="1" x14ac:dyDescent="0.35">
      <c r="A400" s="5" t="s">
        <v>20</v>
      </c>
      <c r="B400" s="5" t="s">
        <v>21</v>
      </c>
      <c r="C400" s="5" t="s">
        <v>575</v>
      </c>
      <c r="D400" s="5" t="s">
        <v>193</v>
      </c>
      <c r="E400" s="7">
        <v>64.2</v>
      </c>
      <c r="F400" s="7">
        <v>19.87</v>
      </c>
      <c r="G400" s="7">
        <v>147</v>
      </c>
      <c r="I400" s="5" t="s">
        <v>590</v>
      </c>
      <c r="K400" s="17">
        <v>43872</v>
      </c>
      <c r="N400" s="5">
        <v>-10.72</v>
      </c>
      <c r="O400" s="35">
        <v>-83.33</v>
      </c>
      <c r="P400" s="35">
        <f t="shared" si="5"/>
        <v>2.4300000000000068</v>
      </c>
      <c r="Q400" s="5">
        <v>0.2</v>
      </c>
    </row>
    <row r="401" spans="1:17" s="5" customFormat="1" x14ac:dyDescent="0.35">
      <c r="A401" s="5" t="s">
        <v>20</v>
      </c>
      <c r="B401" s="5" t="s">
        <v>21</v>
      </c>
      <c r="C401" s="5" t="s">
        <v>575</v>
      </c>
      <c r="D401" s="5" t="s">
        <v>193</v>
      </c>
      <c r="E401" s="7">
        <v>64.2</v>
      </c>
      <c r="F401" s="7">
        <v>19.87</v>
      </c>
      <c r="G401" s="7">
        <v>147</v>
      </c>
      <c r="I401" s="5" t="s">
        <v>591</v>
      </c>
      <c r="K401" s="17">
        <v>43878</v>
      </c>
      <c r="N401" s="5">
        <v>-15</v>
      </c>
      <c r="O401" s="35">
        <v>-120.95</v>
      </c>
      <c r="P401" s="35">
        <f t="shared" si="5"/>
        <v>-0.95000000000000284</v>
      </c>
      <c r="Q401" s="5">
        <v>20.100000000000001</v>
      </c>
    </row>
    <row r="402" spans="1:17" s="5" customFormat="1" x14ac:dyDescent="0.35">
      <c r="A402" s="5" t="s">
        <v>20</v>
      </c>
      <c r="B402" s="5" t="s">
        <v>21</v>
      </c>
      <c r="C402" s="5" t="s">
        <v>575</v>
      </c>
      <c r="D402" s="5" t="s">
        <v>193</v>
      </c>
      <c r="E402" s="7">
        <v>64.2</v>
      </c>
      <c r="F402" s="7">
        <v>19.87</v>
      </c>
      <c r="G402" s="7">
        <v>147</v>
      </c>
      <c r="I402" s="5" t="s">
        <v>592</v>
      </c>
      <c r="K402" s="17">
        <v>43885</v>
      </c>
      <c r="N402" s="5">
        <v>-13.07</v>
      </c>
      <c r="O402" s="35">
        <v>-101.61</v>
      </c>
      <c r="P402" s="35">
        <f t="shared" si="5"/>
        <v>2.9500000000000028</v>
      </c>
      <c r="Q402" s="5">
        <v>10.3</v>
      </c>
    </row>
    <row r="403" spans="1:17" s="5" customFormat="1" x14ac:dyDescent="0.35">
      <c r="A403" s="5" t="s">
        <v>20</v>
      </c>
      <c r="B403" s="5" t="s">
        <v>21</v>
      </c>
      <c r="C403" s="5" t="s">
        <v>575</v>
      </c>
      <c r="D403" s="5" t="s">
        <v>193</v>
      </c>
      <c r="E403" s="7">
        <v>64.2</v>
      </c>
      <c r="F403" s="7">
        <v>19.87</v>
      </c>
      <c r="G403" s="7">
        <v>147</v>
      </c>
      <c r="I403" s="5" t="s">
        <v>593</v>
      </c>
      <c r="K403" s="17">
        <v>43892</v>
      </c>
      <c r="N403" s="5">
        <v>-14.54</v>
      </c>
      <c r="O403" s="35">
        <v>-98.23</v>
      </c>
      <c r="P403" s="35">
        <f t="shared" si="5"/>
        <v>18.089999999999989</v>
      </c>
      <c r="Q403" s="5">
        <v>1.7</v>
      </c>
    </row>
    <row r="404" spans="1:17" s="5" customFormat="1" x14ac:dyDescent="0.35">
      <c r="A404" s="5" t="s">
        <v>20</v>
      </c>
      <c r="B404" s="5" t="s">
        <v>21</v>
      </c>
      <c r="C404" s="5" t="s">
        <v>575</v>
      </c>
      <c r="D404" s="5" t="s">
        <v>193</v>
      </c>
      <c r="E404" s="7">
        <v>64.2</v>
      </c>
      <c r="F404" s="7">
        <v>19.87</v>
      </c>
      <c r="G404" s="7">
        <v>147</v>
      </c>
      <c r="I404" s="5" t="s">
        <v>594</v>
      </c>
      <c r="K404" s="17">
        <v>43893</v>
      </c>
      <c r="N404" s="5">
        <v>-21.58</v>
      </c>
      <c r="O404" s="35">
        <v>-165.41</v>
      </c>
      <c r="P404" s="35">
        <f t="shared" si="5"/>
        <v>7.2299999999999898</v>
      </c>
      <c r="Q404" s="5">
        <v>1.5</v>
      </c>
    </row>
    <row r="405" spans="1:17" s="5" customFormat="1" x14ac:dyDescent="0.35">
      <c r="A405" s="5" t="s">
        <v>20</v>
      </c>
      <c r="B405" s="5" t="s">
        <v>21</v>
      </c>
      <c r="C405" s="5" t="s">
        <v>575</v>
      </c>
      <c r="D405" s="5" t="s">
        <v>193</v>
      </c>
      <c r="E405" s="7">
        <v>64.2</v>
      </c>
      <c r="F405" s="7">
        <v>19.87</v>
      </c>
      <c r="G405" s="7">
        <v>147</v>
      </c>
      <c r="I405" s="5" t="s">
        <v>595</v>
      </c>
      <c r="K405" s="17">
        <v>43895</v>
      </c>
      <c r="N405" s="5">
        <v>-20.75</v>
      </c>
      <c r="O405" s="35">
        <v>-160.35</v>
      </c>
      <c r="P405" s="35">
        <f t="shared" si="5"/>
        <v>5.6500000000000057</v>
      </c>
      <c r="Q405" s="5">
        <v>5.5</v>
      </c>
    </row>
    <row r="406" spans="1:17" s="5" customFormat="1" x14ac:dyDescent="0.35">
      <c r="A406" s="5" t="s">
        <v>20</v>
      </c>
      <c r="B406" s="5" t="s">
        <v>21</v>
      </c>
      <c r="C406" s="5" t="s">
        <v>575</v>
      </c>
      <c r="D406" s="5" t="s">
        <v>193</v>
      </c>
      <c r="E406" s="7">
        <v>64.2</v>
      </c>
      <c r="F406" s="7">
        <v>19.87</v>
      </c>
      <c r="G406" s="7">
        <v>147</v>
      </c>
      <c r="I406" s="5" t="s">
        <v>596</v>
      </c>
      <c r="K406" s="17">
        <v>43899</v>
      </c>
      <c r="N406" s="5">
        <v>-18.350000000000001</v>
      </c>
      <c r="O406" s="35">
        <v>-141.81</v>
      </c>
      <c r="P406" s="35">
        <f t="shared" si="5"/>
        <v>4.9900000000000091</v>
      </c>
      <c r="Q406" s="5">
        <v>8.1</v>
      </c>
    </row>
    <row r="407" spans="1:17" s="5" customFormat="1" x14ac:dyDescent="0.35">
      <c r="A407" s="5" t="s">
        <v>20</v>
      </c>
      <c r="B407" s="5" t="s">
        <v>21</v>
      </c>
      <c r="C407" s="5" t="s">
        <v>575</v>
      </c>
      <c r="D407" s="5" t="s">
        <v>193</v>
      </c>
      <c r="E407" s="7">
        <v>64.2</v>
      </c>
      <c r="F407" s="7">
        <v>19.87</v>
      </c>
      <c r="G407" s="7">
        <v>147</v>
      </c>
      <c r="I407" s="5" t="s">
        <v>597</v>
      </c>
      <c r="K407" s="17">
        <v>43902</v>
      </c>
      <c r="N407" s="5">
        <v>-11.91</v>
      </c>
      <c r="O407" s="35">
        <v>-89.84</v>
      </c>
      <c r="P407" s="35">
        <f t="shared" si="5"/>
        <v>5.4399999999999977</v>
      </c>
      <c r="Q407" s="5">
        <v>8.1</v>
      </c>
    </row>
    <row r="408" spans="1:17" s="5" customFormat="1" x14ac:dyDescent="0.35">
      <c r="A408" s="5" t="s">
        <v>20</v>
      </c>
      <c r="B408" s="5" t="s">
        <v>21</v>
      </c>
      <c r="C408" s="5" t="s">
        <v>575</v>
      </c>
      <c r="D408" s="5" t="s">
        <v>193</v>
      </c>
      <c r="E408" s="7">
        <v>64.2</v>
      </c>
      <c r="F408" s="7">
        <v>19.87</v>
      </c>
      <c r="G408" s="7">
        <v>147</v>
      </c>
      <c r="I408" s="5" t="s">
        <v>598</v>
      </c>
      <c r="K408" s="17">
        <v>43908</v>
      </c>
      <c r="N408" s="5">
        <v>-14.18</v>
      </c>
      <c r="O408" s="35">
        <v>-119.39</v>
      </c>
      <c r="P408" s="35">
        <f t="shared" si="5"/>
        <v>-5.9500000000000028</v>
      </c>
      <c r="Q408" s="5">
        <v>0.2</v>
      </c>
    </row>
    <row r="409" spans="1:17" s="5" customFormat="1" x14ac:dyDescent="0.35">
      <c r="A409" s="5" t="s">
        <v>20</v>
      </c>
      <c r="B409" s="5" t="s">
        <v>21</v>
      </c>
      <c r="C409" s="5" t="s">
        <v>575</v>
      </c>
      <c r="D409" s="5" t="s">
        <v>193</v>
      </c>
      <c r="E409" s="7">
        <v>64.2</v>
      </c>
      <c r="F409" s="7">
        <v>19.87</v>
      </c>
      <c r="G409" s="7">
        <v>147</v>
      </c>
      <c r="I409" s="5" t="s">
        <v>599</v>
      </c>
      <c r="K409" s="17">
        <v>43920</v>
      </c>
      <c r="N409" s="5">
        <v>-12.17</v>
      </c>
      <c r="O409" s="35">
        <v>-75.72</v>
      </c>
      <c r="P409" s="35">
        <f t="shared" si="5"/>
        <v>21.64</v>
      </c>
      <c r="Q409" s="5">
        <v>0.1</v>
      </c>
    </row>
    <row r="410" spans="1:17" s="5" customFormat="1" x14ac:dyDescent="0.35">
      <c r="A410" s="5" t="s">
        <v>20</v>
      </c>
      <c r="B410" s="5" t="s">
        <v>21</v>
      </c>
      <c r="C410" s="5" t="s">
        <v>575</v>
      </c>
      <c r="D410" s="5" t="s">
        <v>193</v>
      </c>
      <c r="E410" s="7">
        <v>64.2</v>
      </c>
      <c r="F410" s="7">
        <v>19.87</v>
      </c>
      <c r="G410" s="7">
        <v>147</v>
      </c>
      <c r="I410" s="5" t="s">
        <v>600</v>
      </c>
      <c r="K410" s="17">
        <v>43921</v>
      </c>
      <c r="N410" s="5">
        <v>-23.36</v>
      </c>
      <c r="O410" s="35">
        <v>-181.85</v>
      </c>
      <c r="P410" s="35">
        <f t="shared" si="5"/>
        <v>5.0300000000000011</v>
      </c>
      <c r="Q410" s="5">
        <v>1.6</v>
      </c>
    </row>
    <row r="411" spans="1:17" s="5" customFormat="1" x14ac:dyDescent="0.35">
      <c r="A411" s="5" t="s">
        <v>20</v>
      </c>
      <c r="B411" s="5" t="s">
        <v>21</v>
      </c>
      <c r="C411" s="5" t="s">
        <v>575</v>
      </c>
      <c r="D411" s="5" t="s">
        <v>193</v>
      </c>
      <c r="E411" s="7">
        <v>64.2</v>
      </c>
      <c r="F411" s="7">
        <v>19.87</v>
      </c>
      <c r="G411" s="7">
        <v>147</v>
      </c>
      <c r="I411" s="5" t="s">
        <v>601</v>
      </c>
      <c r="K411" s="17">
        <v>43923</v>
      </c>
      <c r="N411" s="5">
        <v>-11.44</v>
      </c>
      <c r="O411" s="35">
        <v>-83.58</v>
      </c>
      <c r="P411" s="35">
        <f t="shared" si="5"/>
        <v>7.9399999999999977</v>
      </c>
      <c r="Q411" s="5">
        <v>3.6</v>
      </c>
    </row>
    <row r="412" spans="1:17" s="5" customFormat="1" x14ac:dyDescent="0.35">
      <c r="A412" s="5" t="s">
        <v>20</v>
      </c>
      <c r="B412" s="5" t="s">
        <v>21</v>
      </c>
      <c r="C412" s="5" t="s">
        <v>575</v>
      </c>
      <c r="D412" s="5" t="s">
        <v>193</v>
      </c>
      <c r="E412" s="7">
        <v>64.2</v>
      </c>
      <c r="F412" s="7">
        <v>19.87</v>
      </c>
      <c r="G412" s="7">
        <v>147</v>
      </c>
      <c r="I412" s="5" t="s">
        <v>602</v>
      </c>
      <c r="K412" s="17">
        <v>43927</v>
      </c>
      <c r="N412" s="5">
        <v>-20.329999999999998</v>
      </c>
      <c r="O412" s="35">
        <v>-157.53</v>
      </c>
      <c r="P412" s="35">
        <f t="shared" si="5"/>
        <v>5.1099999999999852</v>
      </c>
      <c r="Q412" s="5">
        <v>0.1</v>
      </c>
    </row>
    <row r="413" spans="1:17" s="5" customFormat="1" x14ac:dyDescent="0.35">
      <c r="A413" s="5" t="s">
        <v>20</v>
      </c>
      <c r="B413" s="5" t="s">
        <v>21</v>
      </c>
      <c r="C413" s="5" t="s">
        <v>575</v>
      </c>
      <c r="D413" s="5" t="s">
        <v>193</v>
      </c>
      <c r="E413" s="7">
        <v>64.2</v>
      </c>
      <c r="F413" s="7">
        <v>19.87</v>
      </c>
      <c r="G413" s="7">
        <v>147</v>
      </c>
      <c r="I413" s="5" t="s">
        <v>603</v>
      </c>
      <c r="K413" s="17">
        <v>43935</v>
      </c>
      <c r="N413" s="5">
        <v>-20.440000000000001</v>
      </c>
      <c r="O413" s="35">
        <v>-157.71</v>
      </c>
      <c r="P413" s="35">
        <f t="shared" si="5"/>
        <v>5.8100000000000023</v>
      </c>
      <c r="Q413" s="5">
        <v>11</v>
      </c>
    </row>
    <row r="414" spans="1:17" s="5" customFormat="1" x14ac:dyDescent="0.35">
      <c r="A414" s="5" t="s">
        <v>20</v>
      </c>
      <c r="B414" s="5" t="s">
        <v>21</v>
      </c>
      <c r="C414" s="5" t="s">
        <v>575</v>
      </c>
      <c r="D414" s="5" t="s">
        <v>193</v>
      </c>
      <c r="E414" s="7">
        <v>64.2</v>
      </c>
      <c r="F414" s="7">
        <v>19.87</v>
      </c>
      <c r="G414" s="7">
        <v>147</v>
      </c>
      <c r="I414" s="5" t="s">
        <v>604</v>
      </c>
      <c r="K414" s="17">
        <v>43936</v>
      </c>
      <c r="N414" s="5">
        <v>-15.7</v>
      </c>
      <c r="O414" s="35">
        <v>-121.87</v>
      </c>
      <c r="P414" s="35">
        <f t="shared" si="5"/>
        <v>3.7299999999999898</v>
      </c>
      <c r="Q414" s="5">
        <v>4.2</v>
      </c>
    </row>
    <row r="415" spans="1:17" s="5" customFormat="1" x14ac:dyDescent="0.35">
      <c r="A415" s="5" t="s">
        <v>20</v>
      </c>
      <c r="B415" s="5" t="s">
        <v>21</v>
      </c>
      <c r="C415" s="5" t="s">
        <v>575</v>
      </c>
      <c r="D415" s="5" t="s">
        <v>193</v>
      </c>
      <c r="E415" s="7">
        <v>64.2</v>
      </c>
      <c r="F415" s="7">
        <v>19.87</v>
      </c>
      <c r="G415" s="7">
        <v>147</v>
      </c>
      <c r="I415" s="5" t="s">
        <v>605</v>
      </c>
      <c r="K415" s="17">
        <v>43948</v>
      </c>
      <c r="N415" s="5">
        <v>-8.2200000000000006</v>
      </c>
      <c r="O415" s="35">
        <v>-64.319999999999993</v>
      </c>
      <c r="P415" s="35">
        <f t="shared" si="5"/>
        <v>1.4400000000000119</v>
      </c>
      <c r="Q415" s="5">
        <v>3.2</v>
      </c>
    </row>
    <row r="416" spans="1:17" s="5" customFormat="1" x14ac:dyDescent="0.35">
      <c r="A416" s="5" t="s">
        <v>20</v>
      </c>
      <c r="B416" s="5" t="s">
        <v>21</v>
      </c>
      <c r="C416" s="5" t="s">
        <v>575</v>
      </c>
      <c r="D416" s="5" t="s">
        <v>193</v>
      </c>
      <c r="E416" s="7">
        <v>64.2</v>
      </c>
      <c r="F416" s="7">
        <v>19.87</v>
      </c>
      <c r="G416" s="7">
        <v>147</v>
      </c>
      <c r="I416" s="5" t="s">
        <v>606</v>
      </c>
      <c r="K416" s="17">
        <v>43955</v>
      </c>
      <c r="N416" s="5">
        <v>-17.28</v>
      </c>
      <c r="O416" s="35">
        <v>-130.87</v>
      </c>
      <c r="P416" s="35">
        <f t="shared" si="5"/>
        <v>7.3700000000000045</v>
      </c>
      <c r="Q416" s="5">
        <v>10.1</v>
      </c>
    </row>
    <row r="417" spans="1:17" s="5" customFormat="1" x14ac:dyDescent="0.35">
      <c r="A417" s="5" t="s">
        <v>20</v>
      </c>
      <c r="B417" s="5" t="s">
        <v>21</v>
      </c>
      <c r="C417" s="5" t="s">
        <v>575</v>
      </c>
      <c r="D417" s="5" t="s">
        <v>193</v>
      </c>
      <c r="E417" s="7">
        <v>64.2</v>
      </c>
      <c r="F417" s="7">
        <v>19.87</v>
      </c>
      <c r="G417" s="7">
        <v>147</v>
      </c>
      <c r="I417" s="5" t="s">
        <v>607</v>
      </c>
      <c r="K417" s="17">
        <v>43962</v>
      </c>
      <c r="N417" s="5">
        <v>-10.87</v>
      </c>
      <c r="O417" s="35">
        <v>-74.77</v>
      </c>
      <c r="P417" s="35">
        <f t="shared" si="5"/>
        <v>12.189999999999998</v>
      </c>
      <c r="Q417" s="5">
        <v>4.9000000000000004</v>
      </c>
    </row>
    <row r="418" spans="1:17" s="5" customFormat="1" x14ac:dyDescent="0.35">
      <c r="A418" s="5" t="s">
        <v>20</v>
      </c>
      <c r="B418" s="5" t="s">
        <v>21</v>
      </c>
      <c r="C418" s="5" t="s">
        <v>575</v>
      </c>
      <c r="D418" s="5" t="s">
        <v>193</v>
      </c>
      <c r="E418" s="7">
        <v>64.2</v>
      </c>
      <c r="F418" s="7">
        <v>19.87</v>
      </c>
      <c r="G418" s="7">
        <v>147</v>
      </c>
      <c r="I418" s="5" t="s">
        <v>608</v>
      </c>
      <c r="K418" s="17">
        <v>43971</v>
      </c>
      <c r="N418" s="5">
        <v>-15.99</v>
      </c>
      <c r="O418" s="35">
        <v>-118.2</v>
      </c>
      <c r="P418" s="35">
        <f t="shared" si="5"/>
        <v>9.7199999999999989</v>
      </c>
      <c r="Q418" s="5">
        <v>3.6</v>
      </c>
    </row>
    <row r="419" spans="1:17" s="5" customFormat="1" x14ac:dyDescent="0.35">
      <c r="A419" s="5" t="s">
        <v>20</v>
      </c>
      <c r="B419" s="5" t="s">
        <v>21</v>
      </c>
      <c r="C419" s="5" t="s">
        <v>575</v>
      </c>
      <c r="D419" s="5" t="s">
        <v>193</v>
      </c>
      <c r="E419" s="7">
        <v>64.2</v>
      </c>
      <c r="F419" s="7">
        <v>19.87</v>
      </c>
      <c r="G419" s="7">
        <v>147</v>
      </c>
      <c r="I419" s="5" t="s">
        <v>609</v>
      </c>
      <c r="K419" s="17">
        <v>43976</v>
      </c>
      <c r="N419" s="5">
        <v>-9.11</v>
      </c>
      <c r="O419" s="35">
        <v>-74.87</v>
      </c>
      <c r="P419" s="35">
        <f t="shared" si="5"/>
        <v>-1.9900000000000091</v>
      </c>
      <c r="Q419" s="5">
        <v>0.3</v>
      </c>
    </row>
    <row r="420" spans="1:17" s="5" customFormat="1" x14ac:dyDescent="0.35">
      <c r="A420" s="5" t="s">
        <v>20</v>
      </c>
      <c r="B420" s="5" t="s">
        <v>21</v>
      </c>
      <c r="C420" s="5" t="s">
        <v>575</v>
      </c>
      <c r="D420" s="5" t="s">
        <v>193</v>
      </c>
      <c r="E420" s="7">
        <v>64.2</v>
      </c>
      <c r="F420" s="7">
        <v>19.87</v>
      </c>
      <c r="G420" s="7">
        <v>147</v>
      </c>
      <c r="I420" s="5" t="s">
        <v>610</v>
      </c>
      <c r="K420" s="17">
        <v>43978</v>
      </c>
      <c r="N420" s="5">
        <v>-5.9</v>
      </c>
      <c r="O420" s="35">
        <v>-60.49</v>
      </c>
      <c r="P420" s="35">
        <f t="shared" si="5"/>
        <v>-13.29</v>
      </c>
      <c r="Q420" s="5">
        <v>0.2</v>
      </c>
    </row>
    <row r="421" spans="1:17" s="5" customFormat="1" x14ac:dyDescent="0.35">
      <c r="A421" s="5" t="s">
        <v>20</v>
      </c>
      <c r="B421" s="5" t="s">
        <v>21</v>
      </c>
      <c r="C421" s="5" t="s">
        <v>575</v>
      </c>
      <c r="D421" s="5" t="s">
        <v>193</v>
      </c>
      <c r="E421" s="7">
        <v>64.2</v>
      </c>
      <c r="F421" s="7">
        <v>19.87</v>
      </c>
      <c r="G421" s="7">
        <v>147</v>
      </c>
      <c r="I421" s="5" t="s">
        <v>611</v>
      </c>
      <c r="K421" s="17">
        <v>43990</v>
      </c>
      <c r="N421" s="5">
        <v>-13.35</v>
      </c>
      <c r="O421" s="35">
        <v>-102.79</v>
      </c>
      <c r="P421" s="35">
        <f t="shared" si="5"/>
        <v>4.0099999999999909</v>
      </c>
      <c r="Q421" s="5">
        <v>22.6</v>
      </c>
    </row>
    <row r="422" spans="1:17" s="5" customFormat="1" x14ac:dyDescent="0.35">
      <c r="A422" s="5" t="s">
        <v>20</v>
      </c>
      <c r="B422" s="5" t="s">
        <v>21</v>
      </c>
      <c r="C422" s="5" t="s">
        <v>575</v>
      </c>
      <c r="D422" s="5" t="s">
        <v>193</v>
      </c>
      <c r="E422" s="7">
        <v>64.2</v>
      </c>
      <c r="F422" s="7">
        <v>19.87</v>
      </c>
      <c r="G422" s="7">
        <v>147</v>
      </c>
      <c r="I422" s="5" t="s">
        <v>612</v>
      </c>
      <c r="K422" s="17">
        <v>44000</v>
      </c>
      <c r="N422" s="5">
        <v>-2.83</v>
      </c>
      <c r="O422" s="35">
        <v>-35.51</v>
      </c>
      <c r="P422" s="35">
        <f t="shared" si="5"/>
        <v>-12.869999999999997</v>
      </c>
      <c r="Q422" s="5">
        <v>1.2</v>
      </c>
    </row>
    <row r="423" spans="1:17" s="5" customFormat="1" x14ac:dyDescent="0.35">
      <c r="A423" s="5" t="s">
        <v>20</v>
      </c>
      <c r="B423" s="5" t="s">
        <v>21</v>
      </c>
      <c r="C423" s="5" t="s">
        <v>575</v>
      </c>
      <c r="D423" s="5" t="s">
        <v>193</v>
      </c>
      <c r="E423" s="7">
        <v>64.2</v>
      </c>
      <c r="F423" s="7">
        <v>19.87</v>
      </c>
      <c r="G423" s="7">
        <v>147</v>
      </c>
      <c r="I423" s="5" t="s">
        <v>613</v>
      </c>
      <c r="K423" s="17">
        <v>44008</v>
      </c>
      <c r="N423" s="5">
        <v>-2.21</v>
      </c>
      <c r="O423" s="35">
        <v>-38.04</v>
      </c>
      <c r="P423" s="35">
        <f t="shared" si="5"/>
        <v>-20.36</v>
      </c>
      <c r="Q423" s="5">
        <v>0.4</v>
      </c>
    </row>
    <row r="424" spans="1:17" s="5" customFormat="1" x14ac:dyDescent="0.35">
      <c r="A424" s="5" t="s">
        <v>20</v>
      </c>
      <c r="B424" s="5" t="s">
        <v>21</v>
      </c>
      <c r="C424" s="5" t="s">
        <v>575</v>
      </c>
      <c r="D424" s="5" t="s">
        <v>193</v>
      </c>
      <c r="E424" s="7">
        <v>64.2</v>
      </c>
      <c r="F424" s="7">
        <v>19.87</v>
      </c>
      <c r="G424" s="7">
        <v>147</v>
      </c>
      <c r="I424" s="5" t="s">
        <v>614</v>
      </c>
      <c r="K424" s="17">
        <v>44011</v>
      </c>
      <c r="N424" s="5">
        <v>-2.5299999999999998</v>
      </c>
      <c r="O424" s="35">
        <v>-40.03</v>
      </c>
      <c r="P424" s="35">
        <f t="shared" si="5"/>
        <v>-19.790000000000003</v>
      </c>
      <c r="Q424" s="5">
        <v>0.2</v>
      </c>
    </row>
    <row r="425" spans="1:17" s="5" customFormat="1" x14ac:dyDescent="0.35">
      <c r="A425" s="5" t="s">
        <v>20</v>
      </c>
      <c r="B425" s="5" t="s">
        <v>21</v>
      </c>
      <c r="C425" s="5" t="s">
        <v>575</v>
      </c>
      <c r="D425" s="5" t="s">
        <v>193</v>
      </c>
      <c r="E425" s="7">
        <v>64.2</v>
      </c>
      <c r="F425" s="7">
        <v>19.87</v>
      </c>
      <c r="G425" s="7">
        <v>147</v>
      </c>
      <c r="I425" s="5" t="s">
        <v>615</v>
      </c>
      <c r="K425" s="17">
        <v>44012</v>
      </c>
      <c r="N425" s="5">
        <v>-6.98</v>
      </c>
      <c r="O425" s="35">
        <v>-43.04</v>
      </c>
      <c r="P425" s="35">
        <f t="shared" si="5"/>
        <v>12.800000000000004</v>
      </c>
      <c r="Q425" s="5">
        <v>6</v>
      </c>
    </row>
    <row r="426" spans="1:17" s="5" customFormat="1" x14ac:dyDescent="0.35">
      <c r="A426" s="5" t="s">
        <v>20</v>
      </c>
      <c r="B426" s="5" t="s">
        <v>21</v>
      </c>
      <c r="C426" s="5" t="s">
        <v>575</v>
      </c>
      <c r="D426" s="5" t="s">
        <v>193</v>
      </c>
      <c r="E426" s="7">
        <v>64.2</v>
      </c>
      <c r="F426" s="7">
        <v>19.87</v>
      </c>
      <c r="G426" s="7">
        <v>147</v>
      </c>
      <c r="I426" s="5" t="s">
        <v>616</v>
      </c>
      <c r="K426" s="17">
        <v>44013</v>
      </c>
      <c r="N426" s="5">
        <v>-7.53</v>
      </c>
      <c r="O426" s="35">
        <v>-66.06</v>
      </c>
      <c r="P426" s="35">
        <f t="shared" si="5"/>
        <v>-5.82</v>
      </c>
      <c r="Q426" s="5">
        <v>0.5</v>
      </c>
    </row>
    <row r="427" spans="1:17" s="5" customFormat="1" x14ac:dyDescent="0.35">
      <c r="A427" s="5" t="s">
        <v>20</v>
      </c>
      <c r="B427" s="5" t="s">
        <v>21</v>
      </c>
      <c r="C427" s="5" t="s">
        <v>575</v>
      </c>
      <c r="D427" s="5" t="s">
        <v>193</v>
      </c>
      <c r="E427" s="7">
        <v>64.2</v>
      </c>
      <c r="F427" s="7">
        <v>19.87</v>
      </c>
      <c r="G427" s="7">
        <v>147</v>
      </c>
      <c r="I427" s="5" t="s">
        <v>617</v>
      </c>
      <c r="K427" s="17">
        <v>44015</v>
      </c>
      <c r="N427" s="5">
        <v>-12.46</v>
      </c>
      <c r="O427" s="35">
        <v>-91.71</v>
      </c>
      <c r="P427" s="35">
        <f t="shared" si="5"/>
        <v>7.9700000000000131</v>
      </c>
      <c r="Q427" s="5">
        <v>12</v>
      </c>
    </row>
    <row r="428" spans="1:17" s="5" customFormat="1" x14ac:dyDescent="0.35">
      <c r="A428" s="5" t="s">
        <v>20</v>
      </c>
      <c r="B428" s="5" t="s">
        <v>21</v>
      </c>
      <c r="C428" s="5" t="s">
        <v>575</v>
      </c>
      <c r="D428" s="5" t="s">
        <v>193</v>
      </c>
      <c r="E428" s="7">
        <v>64.2</v>
      </c>
      <c r="F428" s="7">
        <v>19.87</v>
      </c>
      <c r="G428" s="7">
        <v>147</v>
      </c>
      <c r="I428" s="5" t="s">
        <v>618</v>
      </c>
      <c r="K428" s="17">
        <v>44018</v>
      </c>
      <c r="N428" s="5">
        <v>-13.17</v>
      </c>
      <c r="O428" s="35">
        <v>-100.11</v>
      </c>
      <c r="P428" s="35">
        <f t="shared" si="5"/>
        <v>5.25</v>
      </c>
      <c r="Q428" s="5">
        <v>13</v>
      </c>
    </row>
    <row r="429" spans="1:17" s="5" customFormat="1" x14ac:dyDescent="0.35">
      <c r="A429" s="5" t="s">
        <v>20</v>
      </c>
      <c r="B429" s="5" t="s">
        <v>21</v>
      </c>
      <c r="C429" s="5" t="s">
        <v>575</v>
      </c>
      <c r="D429" s="5" t="s">
        <v>193</v>
      </c>
      <c r="E429" s="7">
        <v>64.2</v>
      </c>
      <c r="F429" s="7">
        <v>19.87</v>
      </c>
      <c r="G429" s="7">
        <v>147</v>
      </c>
      <c r="I429" s="5" t="s">
        <v>619</v>
      </c>
      <c r="K429" s="17">
        <v>44019</v>
      </c>
      <c r="N429" s="5">
        <v>-13.98</v>
      </c>
      <c r="O429" s="35">
        <v>-102.62</v>
      </c>
      <c r="P429" s="35">
        <f t="shared" si="5"/>
        <v>9.2199999999999989</v>
      </c>
      <c r="Q429" s="5">
        <v>3.5</v>
      </c>
    </row>
    <row r="430" spans="1:17" s="5" customFormat="1" x14ac:dyDescent="0.35">
      <c r="A430" s="5" t="s">
        <v>20</v>
      </c>
      <c r="B430" s="5" t="s">
        <v>21</v>
      </c>
      <c r="C430" s="5" t="s">
        <v>575</v>
      </c>
      <c r="D430" s="5" t="s">
        <v>193</v>
      </c>
      <c r="E430" s="7">
        <v>64.2</v>
      </c>
      <c r="F430" s="7">
        <v>19.87</v>
      </c>
      <c r="G430" s="7">
        <v>147</v>
      </c>
      <c r="I430" s="5" t="s">
        <v>620</v>
      </c>
      <c r="K430" s="17">
        <v>44020</v>
      </c>
      <c r="N430" s="5">
        <v>-12.15</v>
      </c>
      <c r="O430" s="35">
        <v>-99.64</v>
      </c>
      <c r="P430" s="35">
        <f t="shared" si="5"/>
        <v>-2.4399999999999977</v>
      </c>
      <c r="Q430" s="5">
        <v>1.9</v>
      </c>
    </row>
    <row r="431" spans="1:17" s="5" customFormat="1" x14ac:dyDescent="0.35">
      <c r="A431" s="5" t="s">
        <v>20</v>
      </c>
      <c r="B431" s="5" t="s">
        <v>21</v>
      </c>
      <c r="C431" s="5" t="s">
        <v>575</v>
      </c>
      <c r="D431" s="5" t="s">
        <v>193</v>
      </c>
      <c r="E431" s="7">
        <v>64.2</v>
      </c>
      <c r="F431" s="7">
        <v>19.87</v>
      </c>
      <c r="G431" s="7">
        <v>147</v>
      </c>
      <c r="I431" s="5" t="s">
        <v>621</v>
      </c>
      <c r="K431" s="17">
        <v>44021</v>
      </c>
      <c r="N431" s="5">
        <v>-12.76</v>
      </c>
      <c r="O431" s="35">
        <v>-91.52</v>
      </c>
      <c r="P431" s="35">
        <f t="shared" si="5"/>
        <v>10.560000000000002</v>
      </c>
      <c r="Q431" s="5">
        <v>13.1</v>
      </c>
    </row>
    <row r="432" spans="1:17" s="5" customFormat="1" x14ac:dyDescent="0.35">
      <c r="A432" s="5" t="s">
        <v>20</v>
      </c>
      <c r="B432" s="5" t="s">
        <v>21</v>
      </c>
      <c r="C432" s="5" t="s">
        <v>575</v>
      </c>
      <c r="D432" s="5" t="s">
        <v>193</v>
      </c>
      <c r="E432" s="7">
        <v>64.2</v>
      </c>
      <c r="F432" s="7">
        <v>19.87</v>
      </c>
      <c r="G432" s="7">
        <v>147</v>
      </c>
      <c r="I432" s="5" t="s">
        <v>622</v>
      </c>
      <c r="K432" s="17">
        <v>44022</v>
      </c>
      <c r="N432" s="5">
        <v>-12.47</v>
      </c>
      <c r="O432" s="35">
        <v>-95.52</v>
      </c>
      <c r="P432" s="35">
        <f t="shared" si="5"/>
        <v>4.2400000000000091</v>
      </c>
      <c r="Q432" s="5">
        <v>3.9</v>
      </c>
    </row>
    <row r="433" spans="1:17" s="5" customFormat="1" x14ac:dyDescent="0.35">
      <c r="A433" s="5" t="s">
        <v>20</v>
      </c>
      <c r="B433" s="5" t="s">
        <v>21</v>
      </c>
      <c r="C433" s="5" t="s">
        <v>575</v>
      </c>
      <c r="D433" s="5" t="s">
        <v>193</v>
      </c>
      <c r="E433" s="7">
        <v>64.2</v>
      </c>
      <c r="F433" s="7">
        <v>19.87</v>
      </c>
      <c r="G433" s="7">
        <v>147</v>
      </c>
      <c r="I433" s="5" t="s">
        <v>623</v>
      </c>
      <c r="K433" s="17">
        <v>44025</v>
      </c>
      <c r="N433" s="5">
        <v>-12.73</v>
      </c>
      <c r="O433" s="35">
        <v>-110.73</v>
      </c>
      <c r="P433" s="35">
        <f t="shared" si="5"/>
        <v>-8.89</v>
      </c>
      <c r="Q433" s="5">
        <v>7.9</v>
      </c>
    </row>
    <row r="434" spans="1:17" s="5" customFormat="1" x14ac:dyDescent="0.35">
      <c r="A434" s="5" t="s">
        <v>20</v>
      </c>
      <c r="B434" s="5" t="s">
        <v>21</v>
      </c>
      <c r="C434" s="5" t="s">
        <v>575</v>
      </c>
      <c r="D434" s="5" t="s">
        <v>193</v>
      </c>
      <c r="E434" s="7">
        <v>64.2</v>
      </c>
      <c r="F434" s="7">
        <v>19.87</v>
      </c>
      <c r="G434" s="7">
        <v>147</v>
      </c>
      <c r="I434" s="5" t="s">
        <v>624</v>
      </c>
      <c r="K434" s="17">
        <v>44026</v>
      </c>
      <c r="N434" s="5">
        <v>-12.63</v>
      </c>
      <c r="O434" s="35">
        <v>-108.57</v>
      </c>
      <c r="P434" s="35">
        <f t="shared" si="5"/>
        <v>-7.5299999999999869</v>
      </c>
      <c r="Q434" s="5">
        <v>0.3</v>
      </c>
    </row>
    <row r="435" spans="1:17" s="5" customFormat="1" x14ac:dyDescent="0.35">
      <c r="A435" s="5" t="s">
        <v>20</v>
      </c>
      <c r="B435" s="5" t="s">
        <v>21</v>
      </c>
      <c r="C435" s="5" t="s">
        <v>575</v>
      </c>
      <c r="D435" s="5" t="s">
        <v>193</v>
      </c>
      <c r="E435" s="7">
        <v>64.2</v>
      </c>
      <c r="F435" s="7">
        <v>19.87</v>
      </c>
      <c r="G435" s="7">
        <v>147</v>
      </c>
      <c r="I435" s="5" t="s">
        <v>625</v>
      </c>
      <c r="K435" s="17">
        <v>44033</v>
      </c>
      <c r="N435" s="5">
        <v>-9.92</v>
      </c>
      <c r="O435" s="35">
        <v>-72.239999999999995</v>
      </c>
      <c r="P435" s="35">
        <f t="shared" si="5"/>
        <v>7.1200000000000045</v>
      </c>
      <c r="Q435" s="5">
        <v>2.7</v>
      </c>
    </row>
    <row r="436" spans="1:17" s="5" customFormat="1" x14ac:dyDescent="0.35">
      <c r="A436" s="5" t="s">
        <v>20</v>
      </c>
      <c r="B436" s="5" t="s">
        <v>21</v>
      </c>
      <c r="C436" s="5" t="s">
        <v>575</v>
      </c>
      <c r="D436" s="5" t="s">
        <v>193</v>
      </c>
      <c r="E436" s="7">
        <v>64.2</v>
      </c>
      <c r="F436" s="7">
        <v>19.87</v>
      </c>
      <c r="G436" s="7">
        <v>147</v>
      </c>
      <c r="I436" s="5" t="s">
        <v>626</v>
      </c>
      <c r="K436" s="17">
        <v>44035</v>
      </c>
      <c r="N436" s="5">
        <v>-16.14</v>
      </c>
      <c r="O436" s="35">
        <v>-122.1</v>
      </c>
      <c r="P436" s="35">
        <f t="shared" si="5"/>
        <v>7.0200000000000102</v>
      </c>
      <c r="Q436" s="5">
        <v>17.899999999999999</v>
      </c>
    </row>
    <row r="437" spans="1:17" s="5" customFormat="1" x14ac:dyDescent="0.35">
      <c r="A437" s="5" t="s">
        <v>20</v>
      </c>
      <c r="B437" s="5" t="s">
        <v>21</v>
      </c>
      <c r="C437" s="5" t="s">
        <v>575</v>
      </c>
      <c r="D437" s="5" t="s">
        <v>193</v>
      </c>
      <c r="E437" s="7">
        <v>64.2</v>
      </c>
      <c r="F437" s="7">
        <v>19.87</v>
      </c>
      <c r="G437" s="7">
        <v>147</v>
      </c>
      <c r="I437" s="5" t="s">
        <v>627</v>
      </c>
      <c r="K437" s="17">
        <v>44036</v>
      </c>
      <c r="N437" s="5">
        <v>-11.28</v>
      </c>
      <c r="O437" s="35">
        <v>-81.83</v>
      </c>
      <c r="P437" s="35">
        <f t="shared" si="5"/>
        <v>8.4099999999999966</v>
      </c>
      <c r="Q437" s="5">
        <v>4.5</v>
      </c>
    </row>
    <row r="438" spans="1:17" s="5" customFormat="1" x14ac:dyDescent="0.35">
      <c r="A438" s="5" t="s">
        <v>20</v>
      </c>
      <c r="B438" s="5" t="s">
        <v>21</v>
      </c>
      <c r="C438" s="5" t="s">
        <v>575</v>
      </c>
      <c r="D438" s="5" t="s">
        <v>193</v>
      </c>
      <c r="E438" s="7">
        <v>64.2</v>
      </c>
      <c r="F438" s="7">
        <v>19.87</v>
      </c>
      <c r="G438" s="7">
        <v>147</v>
      </c>
      <c r="I438" s="5" t="s">
        <v>628</v>
      </c>
      <c r="K438" s="17">
        <v>44039</v>
      </c>
      <c r="N438" s="5">
        <v>-13.91</v>
      </c>
      <c r="O438" s="35">
        <v>-110.65</v>
      </c>
      <c r="P438" s="35">
        <f t="shared" si="5"/>
        <v>0.62999999999999545</v>
      </c>
      <c r="Q438" s="5">
        <v>9.6</v>
      </c>
    </row>
    <row r="439" spans="1:17" s="5" customFormat="1" x14ac:dyDescent="0.35">
      <c r="A439" s="5" t="s">
        <v>20</v>
      </c>
      <c r="B439" s="5" t="s">
        <v>21</v>
      </c>
      <c r="C439" s="5" t="s">
        <v>575</v>
      </c>
      <c r="D439" s="5" t="s">
        <v>193</v>
      </c>
      <c r="E439" s="7">
        <v>64.2</v>
      </c>
      <c r="F439" s="7">
        <v>19.87</v>
      </c>
      <c r="G439" s="7">
        <v>147</v>
      </c>
      <c r="I439" s="5" t="s">
        <v>629</v>
      </c>
      <c r="K439" s="17">
        <v>44040</v>
      </c>
      <c r="N439" s="5">
        <v>-7.55</v>
      </c>
      <c r="O439" s="35">
        <v>-51.55</v>
      </c>
      <c r="P439" s="35">
        <f t="shared" si="5"/>
        <v>8.8500000000000014</v>
      </c>
      <c r="Q439" s="5">
        <v>3.2</v>
      </c>
    </row>
    <row r="440" spans="1:17" s="5" customFormat="1" x14ac:dyDescent="0.35">
      <c r="A440" s="5" t="s">
        <v>20</v>
      </c>
      <c r="B440" s="5" t="s">
        <v>21</v>
      </c>
      <c r="C440" s="5" t="s">
        <v>575</v>
      </c>
      <c r="D440" s="5" t="s">
        <v>193</v>
      </c>
      <c r="E440" s="7">
        <v>64.2</v>
      </c>
      <c r="F440" s="7">
        <v>19.87</v>
      </c>
      <c r="G440" s="7">
        <v>147</v>
      </c>
      <c r="I440" s="5" t="s">
        <v>630</v>
      </c>
      <c r="K440" s="17">
        <v>44041</v>
      </c>
      <c r="N440" s="5">
        <v>-7.62</v>
      </c>
      <c r="O440" s="35">
        <v>-56.86</v>
      </c>
      <c r="P440" s="35">
        <f t="shared" si="5"/>
        <v>4.1000000000000014</v>
      </c>
      <c r="Q440" s="5">
        <v>0.3</v>
      </c>
    </row>
    <row r="441" spans="1:17" s="5" customFormat="1" x14ac:dyDescent="0.35">
      <c r="A441" s="5" t="s">
        <v>20</v>
      </c>
      <c r="B441" s="5" t="s">
        <v>21</v>
      </c>
      <c r="C441" s="5" t="s">
        <v>575</v>
      </c>
      <c r="D441" s="5" t="s">
        <v>193</v>
      </c>
      <c r="E441" s="7">
        <v>64.2</v>
      </c>
      <c r="F441" s="7">
        <v>19.87</v>
      </c>
      <c r="G441" s="7">
        <v>147</v>
      </c>
      <c r="I441" s="5" t="s">
        <v>631</v>
      </c>
      <c r="K441" s="17">
        <v>44042</v>
      </c>
      <c r="N441" s="5">
        <v>-10.89</v>
      </c>
      <c r="O441" s="35">
        <v>-75.92</v>
      </c>
      <c r="P441" s="35">
        <f t="shared" si="5"/>
        <v>11.200000000000003</v>
      </c>
      <c r="Q441" s="5">
        <v>10.3</v>
      </c>
    </row>
    <row r="442" spans="1:17" s="5" customFormat="1" x14ac:dyDescent="0.35">
      <c r="A442" s="5" t="s">
        <v>20</v>
      </c>
      <c r="B442" s="5" t="s">
        <v>21</v>
      </c>
      <c r="C442" s="5" t="s">
        <v>575</v>
      </c>
      <c r="D442" s="5" t="s">
        <v>193</v>
      </c>
      <c r="E442" s="7">
        <v>64.2</v>
      </c>
      <c r="F442" s="7">
        <v>19.87</v>
      </c>
      <c r="G442" s="7">
        <v>147</v>
      </c>
      <c r="I442" s="5" t="s">
        <v>632</v>
      </c>
      <c r="K442" s="17">
        <v>44043</v>
      </c>
      <c r="N442" s="5">
        <v>-9.0500000000000007</v>
      </c>
      <c r="O442" s="35">
        <v>-66.62</v>
      </c>
      <c r="P442" s="35">
        <f t="shared" si="5"/>
        <v>5.7800000000000011</v>
      </c>
      <c r="Q442" s="5">
        <v>0.6</v>
      </c>
    </row>
    <row r="443" spans="1:17" s="5" customFormat="1" x14ac:dyDescent="0.35">
      <c r="A443" s="5" t="s">
        <v>20</v>
      </c>
      <c r="B443" s="5" t="s">
        <v>21</v>
      </c>
      <c r="C443" s="5" t="s">
        <v>575</v>
      </c>
      <c r="D443" s="5" t="s">
        <v>193</v>
      </c>
      <c r="E443" s="7">
        <v>64.2</v>
      </c>
      <c r="F443" s="7">
        <v>19.87</v>
      </c>
      <c r="G443" s="7">
        <v>147</v>
      </c>
      <c r="I443" s="5" t="s">
        <v>633</v>
      </c>
      <c r="K443" s="17">
        <v>44047</v>
      </c>
      <c r="N443" s="5">
        <v>-7.86</v>
      </c>
      <c r="O443" s="35">
        <v>-66.31</v>
      </c>
      <c r="P443" s="35">
        <f t="shared" si="5"/>
        <v>-3.4299999999999997</v>
      </c>
      <c r="Q443" s="5">
        <v>0.3</v>
      </c>
    </row>
    <row r="444" spans="1:17" s="5" customFormat="1" x14ac:dyDescent="0.35">
      <c r="A444" s="5" t="s">
        <v>20</v>
      </c>
      <c r="B444" s="5" t="s">
        <v>21</v>
      </c>
      <c r="C444" s="5" t="s">
        <v>575</v>
      </c>
      <c r="D444" s="5" t="s">
        <v>193</v>
      </c>
      <c r="E444" s="7">
        <v>64.2</v>
      </c>
      <c r="F444" s="7">
        <v>19.87</v>
      </c>
      <c r="G444" s="7">
        <v>147</v>
      </c>
      <c r="I444" s="5" t="s">
        <v>634</v>
      </c>
      <c r="K444" s="17">
        <v>44055</v>
      </c>
      <c r="N444" s="5">
        <v>-10.41</v>
      </c>
      <c r="O444" s="35">
        <v>-72.709999999999994</v>
      </c>
      <c r="P444" s="35">
        <f t="shared" si="5"/>
        <v>10.570000000000007</v>
      </c>
      <c r="Q444" s="5">
        <v>5.5</v>
      </c>
    </row>
    <row r="445" spans="1:17" s="5" customFormat="1" x14ac:dyDescent="0.35">
      <c r="A445" s="5" t="s">
        <v>20</v>
      </c>
      <c r="B445" s="5" t="s">
        <v>21</v>
      </c>
      <c r="C445" s="5" t="s">
        <v>575</v>
      </c>
      <c r="D445" s="5" t="s">
        <v>193</v>
      </c>
      <c r="E445" s="7">
        <v>64.2</v>
      </c>
      <c r="F445" s="7">
        <v>19.87</v>
      </c>
      <c r="G445" s="7">
        <v>147</v>
      </c>
      <c r="I445" s="5" t="s">
        <v>635</v>
      </c>
      <c r="K445" s="17">
        <v>44067</v>
      </c>
      <c r="N445" s="5">
        <v>-10.9</v>
      </c>
      <c r="O445" s="35">
        <v>-78.94</v>
      </c>
      <c r="P445" s="35">
        <f t="shared" si="5"/>
        <v>8.2600000000000051</v>
      </c>
      <c r="Q445" s="5">
        <v>14</v>
      </c>
    </row>
    <row r="446" spans="1:17" s="5" customFormat="1" x14ac:dyDescent="0.35">
      <c r="A446" s="5" t="s">
        <v>20</v>
      </c>
      <c r="B446" s="5" t="s">
        <v>21</v>
      </c>
      <c r="C446" s="5" t="s">
        <v>575</v>
      </c>
      <c r="D446" s="5" t="s">
        <v>193</v>
      </c>
      <c r="E446" s="7">
        <v>64.2</v>
      </c>
      <c r="F446" s="7">
        <v>19.87</v>
      </c>
      <c r="G446" s="7">
        <v>147</v>
      </c>
      <c r="I446" s="5" t="s">
        <v>636</v>
      </c>
      <c r="K446" s="17">
        <v>44069</v>
      </c>
      <c r="N446" s="5">
        <v>-11.63</v>
      </c>
      <c r="O446" s="35">
        <v>-92.19</v>
      </c>
      <c r="P446" s="35">
        <f t="shared" si="5"/>
        <v>0.85000000000000853</v>
      </c>
      <c r="Q446" s="5">
        <v>1.9</v>
      </c>
    </row>
    <row r="447" spans="1:17" s="5" customFormat="1" x14ac:dyDescent="0.35">
      <c r="A447" s="5" t="s">
        <v>20</v>
      </c>
      <c r="B447" s="5" t="s">
        <v>21</v>
      </c>
      <c r="C447" s="5" t="s">
        <v>575</v>
      </c>
      <c r="D447" s="5" t="s">
        <v>193</v>
      </c>
      <c r="E447" s="7">
        <v>64.2</v>
      </c>
      <c r="F447" s="7">
        <v>19.87</v>
      </c>
      <c r="G447" s="7">
        <v>147</v>
      </c>
      <c r="I447" s="5" t="s">
        <v>637</v>
      </c>
      <c r="K447" s="17">
        <v>44070</v>
      </c>
      <c r="N447" s="5">
        <v>-12.25</v>
      </c>
      <c r="O447" s="35">
        <v>-92.96</v>
      </c>
      <c r="P447" s="35">
        <f t="shared" si="5"/>
        <v>5.0400000000000063</v>
      </c>
      <c r="Q447" s="5">
        <v>0.9</v>
      </c>
    </row>
    <row r="448" spans="1:17" s="5" customFormat="1" x14ac:dyDescent="0.35">
      <c r="A448" s="5" t="s">
        <v>20</v>
      </c>
      <c r="B448" s="5" t="s">
        <v>21</v>
      </c>
      <c r="C448" s="5" t="s">
        <v>575</v>
      </c>
      <c r="D448" s="5" t="s">
        <v>193</v>
      </c>
      <c r="E448" s="7">
        <v>64.2</v>
      </c>
      <c r="F448" s="7">
        <v>19.87</v>
      </c>
      <c r="G448" s="7">
        <v>147</v>
      </c>
      <c r="I448" s="5" t="s">
        <v>638</v>
      </c>
      <c r="K448" s="17">
        <v>44074</v>
      </c>
      <c r="N448" s="5">
        <v>-10.52</v>
      </c>
      <c r="O448" s="35">
        <v>-75.37</v>
      </c>
      <c r="P448" s="35">
        <f t="shared" si="5"/>
        <v>8.789999999999992</v>
      </c>
      <c r="Q448" s="5">
        <v>1.3</v>
      </c>
    </row>
    <row r="449" spans="1:20" s="5" customFormat="1" x14ac:dyDescent="0.35">
      <c r="A449" s="5" t="s">
        <v>20</v>
      </c>
      <c r="B449" s="5" t="s">
        <v>21</v>
      </c>
      <c r="C449" s="5" t="s">
        <v>575</v>
      </c>
      <c r="D449" s="5" t="s">
        <v>193</v>
      </c>
      <c r="E449" s="7">
        <v>64.2</v>
      </c>
      <c r="F449" s="7">
        <v>19.87</v>
      </c>
      <c r="G449" s="7">
        <v>147</v>
      </c>
      <c r="I449" s="5" t="s">
        <v>639</v>
      </c>
      <c r="K449" s="17">
        <v>44078</v>
      </c>
      <c r="N449" s="5">
        <v>-9.52</v>
      </c>
      <c r="O449" s="35">
        <v>-64.95</v>
      </c>
      <c r="P449" s="35">
        <f t="shared" si="5"/>
        <v>11.209999999999994</v>
      </c>
      <c r="Q449" s="5">
        <v>6.5</v>
      </c>
    </row>
    <row r="450" spans="1:20" s="5" customFormat="1" x14ac:dyDescent="0.35">
      <c r="A450" s="5" t="s">
        <v>20</v>
      </c>
      <c r="B450" s="5" t="s">
        <v>21</v>
      </c>
      <c r="C450" s="5" t="s">
        <v>575</v>
      </c>
      <c r="D450" s="5" t="s">
        <v>193</v>
      </c>
      <c r="E450" s="7">
        <v>64.2</v>
      </c>
      <c r="F450" s="7">
        <v>19.87</v>
      </c>
      <c r="G450" s="7">
        <v>147</v>
      </c>
      <c r="I450" s="5" t="s">
        <v>640</v>
      </c>
      <c r="K450" s="17">
        <v>44081</v>
      </c>
      <c r="N450" s="5">
        <v>-9.31</v>
      </c>
      <c r="O450" s="35">
        <v>-67.03</v>
      </c>
      <c r="P450" s="35">
        <f t="shared" si="5"/>
        <v>7.4500000000000028</v>
      </c>
      <c r="Q450" s="5">
        <v>7.5</v>
      </c>
    </row>
    <row r="451" spans="1:20" s="5" customFormat="1" x14ac:dyDescent="0.35">
      <c r="A451" s="5" t="s">
        <v>20</v>
      </c>
      <c r="B451" s="5" t="s">
        <v>21</v>
      </c>
      <c r="C451" s="5" t="s">
        <v>575</v>
      </c>
      <c r="D451" s="5" t="s">
        <v>193</v>
      </c>
      <c r="E451" s="7">
        <v>64.2</v>
      </c>
      <c r="F451" s="7">
        <v>19.87</v>
      </c>
      <c r="G451" s="7">
        <v>147</v>
      </c>
      <c r="I451" s="5" t="s">
        <v>641</v>
      </c>
      <c r="K451" s="17">
        <v>44083</v>
      </c>
      <c r="N451" s="5">
        <v>-10.74</v>
      </c>
      <c r="O451" s="35">
        <v>-83.43</v>
      </c>
      <c r="P451" s="35">
        <f t="shared" si="5"/>
        <v>2.4899999999999949</v>
      </c>
      <c r="Q451" s="5">
        <v>1.4</v>
      </c>
    </row>
    <row r="452" spans="1:20" s="5" customFormat="1" x14ac:dyDescent="0.35">
      <c r="A452" s="5" t="s">
        <v>20</v>
      </c>
      <c r="B452" s="5" t="s">
        <v>21</v>
      </c>
      <c r="C452" s="5" t="s">
        <v>575</v>
      </c>
      <c r="D452" s="5" t="s">
        <v>193</v>
      </c>
      <c r="E452" s="7">
        <v>64.2</v>
      </c>
      <c r="F452" s="7">
        <v>19.87</v>
      </c>
      <c r="G452" s="7">
        <v>147</v>
      </c>
      <c r="I452" s="5" t="s">
        <v>642</v>
      </c>
      <c r="K452" s="17">
        <v>44084</v>
      </c>
      <c r="N452" s="5">
        <v>-10.18</v>
      </c>
      <c r="O452" s="35">
        <v>-88.59</v>
      </c>
      <c r="P452" s="35">
        <f t="shared" si="5"/>
        <v>-7.1500000000000057</v>
      </c>
      <c r="Q452" s="5">
        <v>1</v>
      </c>
    </row>
    <row r="453" spans="1:20" s="5" customFormat="1" x14ac:dyDescent="0.35">
      <c r="A453" s="5" t="s">
        <v>20</v>
      </c>
      <c r="B453" s="5" t="s">
        <v>21</v>
      </c>
      <c r="C453" s="5" t="s">
        <v>575</v>
      </c>
      <c r="D453" s="5" t="s">
        <v>193</v>
      </c>
      <c r="E453" s="7">
        <v>64.2</v>
      </c>
      <c r="F453" s="7">
        <v>19.87</v>
      </c>
      <c r="G453" s="7">
        <v>147</v>
      </c>
      <c r="I453" s="5" t="s">
        <v>643</v>
      </c>
      <c r="K453" s="17">
        <v>44088</v>
      </c>
      <c r="N453" s="5">
        <v>-8.98</v>
      </c>
      <c r="O453" s="35">
        <v>-68.010000000000005</v>
      </c>
      <c r="P453" s="35">
        <f t="shared" si="5"/>
        <v>3.8299999999999983</v>
      </c>
      <c r="Q453" s="5">
        <v>2.2999999999999998</v>
      </c>
    </row>
    <row r="454" spans="1:20" s="5" customFormat="1" x14ac:dyDescent="0.35">
      <c r="A454" s="5" t="s">
        <v>20</v>
      </c>
      <c r="B454" s="5" t="s">
        <v>21</v>
      </c>
      <c r="C454" s="5" t="s">
        <v>575</v>
      </c>
      <c r="D454" s="5" t="s">
        <v>193</v>
      </c>
      <c r="E454" s="7">
        <v>64.2</v>
      </c>
      <c r="F454" s="7">
        <v>19.87</v>
      </c>
      <c r="G454" s="7">
        <v>147</v>
      </c>
      <c r="I454" s="5" t="s">
        <v>644</v>
      </c>
      <c r="K454" s="17">
        <v>44091</v>
      </c>
      <c r="N454" s="5">
        <v>-15.74</v>
      </c>
      <c r="O454" s="35">
        <v>-115.97</v>
      </c>
      <c r="P454" s="35">
        <f t="shared" si="5"/>
        <v>9.9500000000000028</v>
      </c>
      <c r="Q454" s="5">
        <v>35.1</v>
      </c>
    </row>
    <row r="455" spans="1:20" s="5" customFormat="1" x14ac:dyDescent="0.35">
      <c r="A455" s="5" t="s">
        <v>20</v>
      </c>
      <c r="B455" s="5" t="s">
        <v>21</v>
      </c>
      <c r="C455" s="5" t="s">
        <v>575</v>
      </c>
      <c r="D455" s="5" t="s">
        <v>193</v>
      </c>
      <c r="E455" s="7">
        <v>64.2</v>
      </c>
      <c r="F455" s="7">
        <v>19.87</v>
      </c>
      <c r="G455" s="7">
        <v>147</v>
      </c>
      <c r="I455" s="5" t="s">
        <v>645</v>
      </c>
      <c r="K455" s="17">
        <v>44095</v>
      </c>
      <c r="N455" s="5">
        <v>-10.89</v>
      </c>
      <c r="O455" s="35">
        <v>-90.76</v>
      </c>
      <c r="P455" s="35">
        <f t="shared" si="5"/>
        <v>-3.6400000000000006</v>
      </c>
      <c r="Q455" s="5">
        <v>3.6</v>
      </c>
    </row>
    <row r="456" spans="1:20" s="5" customFormat="1" x14ac:dyDescent="0.35">
      <c r="A456" s="5" t="s">
        <v>20</v>
      </c>
      <c r="B456" s="5" t="s">
        <v>21</v>
      </c>
      <c r="C456" s="5" t="s">
        <v>575</v>
      </c>
      <c r="D456" s="5" t="s">
        <v>193</v>
      </c>
      <c r="E456" s="7">
        <v>64.2</v>
      </c>
      <c r="F456" s="7">
        <v>19.87</v>
      </c>
      <c r="G456" s="7">
        <v>147</v>
      </c>
      <c r="I456" s="5" t="s">
        <v>646</v>
      </c>
      <c r="K456" s="17">
        <v>44098</v>
      </c>
      <c r="N456" s="5">
        <v>-8.23</v>
      </c>
      <c r="O456" s="35">
        <v>-59.02</v>
      </c>
      <c r="P456" s="35">
        <f t="shared" si="5"/>
        <v>6.82</v>
      </c>
      <c r="Q456" s="5">
        <v>6.2</v>
      </c>
    </row>
    <row r="457" spans="1:20" s="5" customFormat="1" x14ac:dyDescent="0.35">
      <c r="A457" s="5" t="s">
        <v>327</v>
      </c>
      <c r="B457" s="5" t="s">
        <v>21</v>
      </c>
      <c r="C457" s="5" t="s">
        <v>328</v>
      </c>
      <c r="D457" s="5" t="s">
        <v>329</v>
      </c>
      <c r="E457" s="7">
        <v>78.916667000000004</v>
      </c>
      <c r="F457" s="7">
        <v>11.933332999999999</v>
      </c>
      <c r="G457" s="7">
        <v>5</v>
      </c>
      <c r="I457" s="5" t="s">
        <v>330</v>
      </c>
      <c r="K457" s="16">
        <v>43977</v>
      </c>
      <c r="L457" s="16"/>
      <c r="M457" s="16"/>
      <c r="N457" s="7">
        <v>-6.7428432217960594</v>
      </c>
      <c r="O457" s="35">
        <v>-60.881963700815795</v>
      </c>
      <c r="P457" s="35">
        <f t="shared" ref="P457:P520" si="6">O457-(8*N457)</f>
        <v>-6.9392179264473199</v>
      </c>
      <c r="Q457" s="7"/>
      <c r="R457" s="7"/>
      <c r="S457" s="7"/>
      <c r="T457" s="7"/>
    </row>
    <row r="458" spans="1:20" s="5" customFormat="1" x14ac:dyDescent="0.35">
      <c r="A458" s="5" t="s">
        <v>327</v>
      </c>
      <c r="B458" s="5" t="s">
        <v>21</v>
      </c>
      <c r="C458" s="5" t="s">
        <v>328</v>
      </c>
      <c r="D458" s="5" t="s">
        <v>329</v>
      </c>
      <c r="E458" s="7">
        <v>78.916667000000004</v>
      </c>
      <c r="F458" s="7">
        <v>11.933332999999999</v>
      </c>
      <c r="G458" s="7">
        <v>5</v>
      </c>
      <c r="I458" s="5" t="s">
        <v>331</v>
      </c>
      <c r="K458" s="16">
        <v>43978</v>
      </c>
      <c r="L458" s="16"/>
      <c r="M458" s="16"/>
      <c r="N458" s="7">
        <v>-2.7779882202530533</v>
      </c>
      <c r="O458" s="35">
        <v>-27.245081063417004</v>
      </c>
      <c r="P458" s="35">
        <f t="shared" si="6"/>
        <v>-5.0211753013925779</v>
      </c>
      <c r="Q458" s="7"/>
      <c r="R458" s="7"/>
      <c r="S458" s="7"/>
      <c r="T458" s="7"/>
    </row>
    <row r="459" spans="1:20" s="5" customFormat="1" x14ac:dyDescent="0.35">
      <c r="A459" s="5" t="s">
        <v>327</v>
      </c>
      <c r="B459" s="5" t="s">
        <v>21</v>
      </c>
      <c r="C459" s="5" t="s">
        <v>328</v>
      </c>
      <c r="D459" s="5" t="s">
        <v>329</v>
      </c>
      <c r="E459" s="7">
        <v>78.916667000000004</v>
      </c>
      <c r="F459" s="7">
        <v>11.933332999999999</v>
      </c>
      <c r="G459" s="7">
        <v>5</v>
      </c>
      <c r="I459" s="5" t="s">
        <v>332</v>
      </c>
      <c r="K459" s="16">
        <v>43979</v>
      </c>
      <c r="L459" s="16"/>
      <c r="M459" s="16"/>
      <c r="N459" s="7">
        <v>-8.2065466649032324</v>
      </c>
      <c r="O459" s="35">
        <v>-60.635272406192492</v>
      </c>
      <c r="P459" s="35">
        <f t="shared" si="6"/>
        <v>5.0171009130333672</v>
      </c>
      <c r="Q459" s="7"/>
      <c r="R459" s="7"/>
      <c r="S459" s="7"/>
      <c r="T459" s="7"/>
    </row>
    <row r="460" spans="1:20" s="5" customFormat="1" x14ac:dyDescent="0.35">
      <c r="A460" s="5" t="s">
        <v>327</v>
      </c>
      <c r="B460" s="5" t="s">
        <v>21</v>
      </c>
      <c r="C460" s="5" t="s">
        <v>328</v>
      </c>
      <c r="D460" s="5" t="s">
        <v>329</v>
      </c>
      <c r="E460" s="7">
        <v>78.916667000000004</v>
      </c>
      <c r="F460" s="7">
        <v>11.933332999999999</v>
      </c>
      <c r="G460" s="7">
        <v>5</v>
      </c>
      <c r="I460" s="5" t="s">
        <v>333</v>
      </c>
      <c r="K460" s="16">
        <v>43984</v>
      </c>
      <c r="L460" s="16"/>
      <c r="M460" s="16"/>
      <c r="N460" s="7">
        <v>-10.081924295728079</v>
      </c>
      <c r="O460" s="35">
        <v>-75.301326079123285</v>
      </c>
      <c r="P460" s="35">
        <f t="shared" si="6"/>
        <v>5.3540682867013487</v>
      </c>
      <c r="Q460" s="7"/>
      <c r="R460" s="7"/>
      <c r="S460" s="7"/>
      <c r="T460" s="7"/>
    </row>
    <row r="461" spans="1:20" s="5" customFormat="1" x14ac:dyDescent="0.35">
      <c r="A461" s="5" t="s">
        <v>327</v>
      </c>
      <c r="B461" s="5" t="s">
        <v>21</v>
      </c>
      <c r="C461" s="5" t="s">
        <v>328</v>
      </c>
      <c r="D461" s="5" t="s">
        <v>329</v>
      </c>
      <c r="E461" s="7">
        <v>78.916667000000004</v>
      </c>
      <c r="F461" s="7">
        <v>11.933332999999999</v>
      </c>
      <c r="G461" s="7">
        <v>5</v>
      </c>
      <c r="I461" s="5" t="s">
        <v>334</v>
      </c>
      <c r="K461" s="16">
        <v>43989</v>
      </c>
      <c r="L461" s="16"/>
      <c r="M461" s="16"/>
      <c r="N461" s="7">
        <v>-14.816906511484373</v>
      </c>
      <c r="O461" s="35">
        <v>-114.0469877823261</v>
      </c>
      <c r="P461" s="35">
        <f t="shared" si="6"/>
        <v>4.4882643095488817</v>
      </c>
      <c r="Q461" s="7"/>
      <c r="R461" s="7"/>
      <c r="S461" s="7"/>
      <c r="T461" s="7"/>
    </row>
    <row r="462" spans="1:20" s="5" customFormat="1" x14ac:dyDescent="0.35">
      <c r="A462" s="5" t="s">
        <v>327</v>
      </c>
      <c r="B462" s="5" t="s">
        <v>21</v>
      </c>
      <c r="C462" s="5" t="s">
        <v>328</v>
      </c>
      <c r="D462" s="5" t="s">
        <v>329</v>
      </c>
      <c r="E462" s="7">
        <v>78.916667000000004</v>
      </c>
      <c r="F462" s="7">
        <v>11.933332999999999</v>
      </c>
      <c r="G462" s="7">
        <v>5</v>
      </c>
      <c r="I462" s="5" t="s">
        <v>335</v>
      </c>
      <c r="K462" s="16">
        <v>43993</v>
      </c>
      <c r="L462" s="16"/>
      <c r="M462" s="16"/>
      <c r="N462" s="7">
        <v>-11.459599012476305</v>
      </c>
      <c r="O462" s="35">
        <v>-83.228876495558652</v>
      </c>
      <c r="P462" s="35">
        <f t="shared" si="6"/>
        <v>8.44791560425179</v>
      </c>
      <c r="Q462" s="7"/>
      <c r="R462" s="7"/>
      <c r="S462" s="7"/>
      <c r="T462" s="7"/>
    </row>
    <row r="463" spans="1:20" s="5" customFormat="1" x14ac:dyDescent="0.35">
      <c r="A463" s="5" t="s">
        <v>327</v>
      </c>
      <c r="B463" s="5" t="s">
        <v>21</v>
      </c>
      <c r="C463" s="5" t="s">
        <v>328</v>
      </c>
      <c r="D463" s="5" t="s">
        <v>329</v>
      </c>
      <c r="E463" s="7">
        <v>78.916667000000004</v>
      </c>
      <c r="F463" s="7">
        <v>11.933332999999999</v>
      </c>
      <c r="G463" s="7">
        <v>5</v>
      </c>
      <c r="I463" s="5" t="s">
        <v>336</v>
      </c>
      <c r="K463" s="16">
        <v>44007</v>
      </c>
      <c r="L463" s="16"/>
      <c r="M463" s="16"/>
      <c r="N463" s="7">
        <v>-7.2653340739761063</v>
      </c>
      <c r="O463" s="35">
        <v>-56.502766208625644</v>
      </c>
      <c r="P463" s="35">
        <f t="shared" si="6"/>
        <v>1.6199063831832063</v>
      </c>
      <c r="Q463" s="7"/>
      <c r="R463" s="7"/>
      <c r="S463" s="7"/>
      <c r="T463" s="7"/>
    </row>
    <row r="464" spans="1:20" s="5" customFormat="1" x14ac:dyDescent="0.35">
      <c r="A464" s="5" t="s">
        <v>327</v>
      </c>
      <c r="B464" s="5" t="s">
        <v>21</v>
      </c>
      <c r="C464" s="5" t="s">
        <v>328</v>
      </c>
      <c r="D464" s="5" t="s">
        <v>329</v>
      </c>
      <c r="E464" s="7">
        <v>78.916667000000004</v>
      </c>
      <c r="F464" s="7">
        <v>11.933332999999999</v>
      </c>
      <c r="G464" s="7">
        <v>5</v>
      </c>
      <c r="I464" s="5" t="s">
        <v>337</v>
      </c>
      <c r="K464" s="16">
        <v>44015</v>
      </c>
      <c r="L464" s="16"/>
      <c r="M464" s="16"/>
      <c r="N464" s="7">
        <v>-12.095822757130891</v>
      </c>
      <c r="O464" s="35">
        <v>-100.4011282763785</v>
      </c>
      <c r="P464" s="35">
        <f t="shared" si="6"/>
        <v>-3.6345462193313693</v>
      </c>
      <c r="Q464" s="7"/>
      <c r="R464" s="7"/>
      <c r="S464" s="7"/>
      <c r="T464" s="7"/>
    </row>
    <row r="465" spans="1:20" s="5" customFormat="1" x14ac:dyDescent="0.35">
      <c r="A465" s="5" t="s">
        <v>327</v>
      </c>
      <c r="B465" s="5" t="s">
        <v>21</v>
      </c>
      <c r="C465" s="5" t="s">
        <v>328</v>
      </c>
      <c r="D465" s="5" t="s">
        <v>329</v>
      </c>
      <c r="E465" s="7">
        <v>78.916667000000004</v>
      </c>
      <c r="F465" s="7">
        <v>11.933332999999999</v>
      </c>
      <c r="G465" s="7">
        <v>5</v>
      </c>
      <c r="I465" s="5" t="s">
        <v>338</v>
      </c>
      <c r="K465" s="16">
        <v>44016</v>
      </c>
      <c r="L465" s="16"/>
      <c r="M465" s="16"/>
      <c r="N465" s="7">
        <v>-9.2741291363576259</v>
      </c>
      <c r="O465" s="35">
        <v>-74.944587530419753</v>
      </c>
      <c r="P465" s="35">
        <f t="shared" si="6"/>
        <v>-0.75155443955874546</v>
      </c>
      <c r="Q465" s="7"/>
      <c r="R465" s="7"/>
      <c r="S465" s="7"/>
      <c r="T465" s="7"/>
    </row>
    <row r="466" spans="1:20" s="5" customFormat="1" x14ac:dyDescent="0.35">
      <c r="A466" s="5" t="s">
        <v>327</v>
      </c>
      <c r="B466" s="5" t="s">
        <v>21</v>
      </c>
      <c r="C466" s="5" t="s">
        <v>328</v>
      </c>
      <c r="D466" s="5" t="s">
        <v>329</v>
      </c>
      <c r="E466" s="7">
        <v>78.916667000000004</v>
      </c>
      <c r="F466" s="7">
        <v>11.933332999999999</v>
      </c>
      <c r="G466" s="7">
        <v>5</v>
      </c>
      <c r="I466" s="5" t="s">
        <v>339</v>
      </c>
      <c r="K466" s="16">
        <v>44020</v>
      </c>
      <c r="L466" s="16"/>
      <c r="M466" s="16"/>
      <c r="N466" s="7">
        <v>-7.6096919984129086</v>
      </c>
      <c r="O466" s="35">
        <v>-59.228814817459906</v>
      </c>
      <c r="P466" s="35">
        <f t="shared" si="6"/>
        <v>1.6487211698433626</v>
      </c>
      <c r="Q466" s="7"/>
      <c r="R466" s="7"/>
      <c r="S466" s="7"/>
      <c r="T466" s="7"/>
    </row>
    <row r="467" spans="1:20" s="5" customFormat="1" x14ac:dyDescent="0.35">
      <c r="A467" s="5" t="s">
        <v>327</v>
      </c>
      <c r="B467" s="5" t="s">
        <v>21</v>
      </c>
      <c r="C467" s="5" t="s">
        <v>328</v>
      </c>
      <c r="D467" s="5" t="s">
        <v>329</v>
      </c>
      <c r="E467" s="7">
        <v>78.916667000000004</v>
      </c>
      <c r="F467" s="7">
        <v>11.933332999999999</v>
      </c>
      <c r="G467" s="7">
        <v>5</v>
      </c>
      <c r="I467" s="5" t="s">
        <v>340</v>
      </c>
      <c r="K467" s="16">
        <v>44023</v>
      </c>
      <c r="L467" s="16"/>
      <c r="M467" s="16"/>
      <c r="N467" s="7">
        <v>-11.337360454966277</v>
      </c>
      <c r="O467" s="35">
        <v>-88.209551773353567</v>
      </c>
      <c r="P467" s="35">
        <f t="shared" si="6"/>
        <v>2.4893318663766451</v>
      </c>
      <c r="Q467" s="7"/>
      <c r="R467" s="7"/>
      <c r="S467" s="7"/>
      <c r="T467" s="7"/>
    </row>
    <row r="468" spans="1:20" s="5" customFormat="1" x14ac:dyDescent="0.35">
      <c r="A468" s="5" t="s">
        <v>327</v>
      </c>
      <c r="B468" s="5" t="s">
        <v>21</v>
      </c>
      <c r="C468" s="5" t="s">
        <v>328</v>
      </c>
      <c r="D468" s="5" t="s">
        <v>329</v>
      </c>
      <c r="E468" s="7">
        <v>78.916667000000004</v>
      </c>
      <c r="F468" s="7">
        <v>11.933332999999999</v>
      </c>
      <c r="G468" s="7">
        <v>5</v>
      </c>
      <c r="I468" s="5" t="s">
        <v>341</v>
      </c>
      <c r="K468" s="16">
        <v>44028</v>
      </c>
      <c r="L468" s="16"/>
      <c r="M468" s="16"/>
      <c r="N468" s="7">
        <v>-9.3698786227571311</v>
      </c>
      <c r="O468" s="35">
        <v>-79.077093727986622</v>
      </c>
      <c r="P468" s="35">
        <f t="shared" si="6"/>
        <v>-4.1180647459295727</v>
      </c>
      <c r="Q468" s="7"/>
      <c r="R468" s="7"/>
      <c r="S468" s="7"/>
      <c r="T468" s="7"/>
    </row>
    <row r="469" spans="1:20" s="5" customFormat="1" x14ac:dyDescent="0.35">
      <c r="A469" s="5" t="s">
        <v>327</v>
      </c>
      <c r="B469" s="5" t="s">
        <v>21</v>
      </c>
      <c r="C469" s="5" t="s">
        <v>328</v>
      </c>
      <c r="D469" s="5" t="s">
        <v>329</v>
      </c>
      <c r="E469" s="7">
        <v>78.916667000000004</v>
      </c>
      <c r="F469" s="7">
        <v>11.933332999999999</v>
      </c>
      <c r="G469" s="7">
        <v>5</v>
      </c>
      <c r="I469" s="5" t="s">
        <v>342</v>
      </c>
      <c r="K469" s="16">
        <v>44034</v>
      </c>
      <c r="L469" s="16"/>
      <c r="M469" s="16"/>
      <c r="N469" s="7">
        <v>-10.859828117973814</v>
      </c>
      <c r="O469" s="35">
        <v>-90.670852553635612</v>
      </c>
      <c r="P469" s="35">
        <f t="shared" si="6"/>
        <v>-3.7922276098450993</v>
      </c>
      <c r="Q469" s="7"/>
      <c r="R469" s="7"/>
      <c r="S469" s="7"/>
      <c r="T469" s="7"/>
    </row>
    <row r="470" spans="1:20" s="5" customFormat="1" x14ac:dyDescent="0.35">
      <c r="A470" s="5" t="s">
        <v>327</v>
      </c>
      <c r="B470" s="5" t="s">
        <v>21</v>
      </c>
      <c r="C470" s="5" t="s">
        <v>328</v>
      </c>
      <c r="D470" s="5" t="s">
        <v>329</v>
      </c>
      <c r="E470" s="7">
        <v>78.916667000000004</v>
      </c>
      <c r="F470" s="7">
        <v>11.933332999999999</v>
      </c>
      <c r="G470" s="7">
        <v>5</v>
      </c>
      <c r="I470" s="5" t="s">
        <v>343</v>
      </c>
      <c r="K470" s="16">
        <v>44051</v>
      </c>
      <c r="L470" s="16"/>
      <c r="M470" s="16"/>
      <c r="N470" s="7">
        <v>-10.600040805889876</v>
      </c>
      <c r="O470" s="35">
        <v>-91.162039077944911</v>
      </c>
      <c r="P470" s="35">
        <f t="shared" si="6"/>
        <v>-6.361712630825906</v>
      </c>
      <c r="Q470" s="7"/>
      <c r="R470" s="7"/>
      <c r="S470" s="7"/>
      <c r="T470" s="7"/>
    </row>
    <row r="471" spans="1:20" s="5" customFormat="1" x14ac:dyDescent="0.35">
      <c r="A471" s="5" t="s">
        <v>327</v>
      </c>
      <c r="B471" s="5" t="s">
        <v>21</v>
      </c>
      <c r="C471" s="5" t="s">
        <v>328</v>
      </c>
      <c r="D471" s="5" t="s">
        <v>329</v>
      </c>
      <c r="E471" s="7">
        <v>78.916667000000004</v>
      </c>
      <c r="F471" s="7">
        <v>11.933332999999999</v>
      </c>
      <c r="G471" s="7">
        <v>5</v>
      </c>
      <c r="I471" s="5" t="s">
        <v>344</v>
      </c>
      <c r="K471" s="16">
        <v>44053</v>
      </c>
      <c r="L471" s="16"/>
      <c r="M471" s="16"/>
      <c r="N471" s="7">
        <v>-11.010256879601465</v>
      </c>
      <c r="O471" s="35">
        <v>-84.454036723356424</v>
      </c>
      <c r="P471" s="35">
        <f t="shared" si="6"/>
        <v>3.6280183134552999</v>
      </c>
      <c r="Q471" s="7"/>
      <c r="R471" s="7"/>
      <c r="S471" s="7"/>
      <c r="T471" s="7"/>
    </row>
    <row r="472" spans="1:20" s="5" customFormat="1" x14ac:dyDescent="0.35">
      <c r="A472" s="5" t="s">
        <v>327</v>
      </c>
      <c r="B472" s="5" t="s">
        <v>21</v>
      </c>
      <c r="C472" s="5" t="s">
        <v>328</v>
      </c>
      <c r="D472" s="5" t="s">
        <v>329</v>
      </c>
      <c r="E472" s="7">
        <v>78.916667000000004</v>
      </c>
      <c r="F472" s="7">
        <v>11.933332999999999</v>
      </c>
      <c r="G472" s="7">
        <v>5</v>
      </c>
      <c r="I472" s="5" t="s">
        <v>345</v>
      </c>
      <c r="K472" s="16">
        <v>44057</v>
      </c>
      <c r="L472" s="16"/>
      <c r="M472" s="16"/>
      <c r="N472" s="7">
        <v>-7.2511509325808028</v>
      </c>
      <c r="O472" s="35">
        <v>-57.346216408733071</v>
      </c>
      <c r="P472" s="35">
        <f t="shared" si="6"/>
        <v>0.66299105191335173</v>
      </c>
      <c r="Q472" s="7"/>
      <c r="R472" s="7"/>
      <c r="S472" s="7"/>
      <c r="T472" s="7"/>
    </row>
    <row r="473" spans="1:20" s="5" customFormat="1" x14ac:dyDescent="0.35">
      <c r="A473" s="5" t="s">
        <v>327</v>
      </c>
      <c r="B473" s="5" t="s">
        <v>21</v>
      </c>
      <c r="C473" s="5" t="s">
        <v>328</v>
      </c>
      <c r="D473" s="5" t="s">
        <v>329</v>
      </c>
      <c r="E473" s="7">
        <v>78.916667000000004</v>
      </c>
      <c r="F473" s="7">
        <v>11.933332999999999</v>
      </c>
      <c r="G473" s="7">
        <v>5</v>
      </c>
      <c r="I473" s="5" t="s">
        <v>346</v>
      </c>
      <c r="K473" s="16">
        <v>44063</v>
      </c>
      <c r="L473" s="16"/>
      <c r="M473" s="16"/>
      <c r="N473" s="7">
        <v>-11.04097150668019</v>
      </c>
      <c r="O473" s="35">
        <v>-93.329713602785162</v>
      </c>
      <c r="P473" s="35">
        <f t="shared" si="6"/>
        <v>-5.0019415493436412</v>
      </c>
      <c r="Q473" s="7"/>
      <c r="R473" s="7"/>
      <c r="S473" s="7"/>
      <c r="T473" s="7"/>
    </row>
    <row r="474" spans="1:20" s="5" customFormat="1" x14ac:dyDescent="0.35">
      <c r="A474" s="5" t="s">
        <v>327</v>
      </c>
      <c r="B474" s="5" t="s">
        <v>21</v>
      </c>
      <c r="C474" s="5" t="s">
        <v>328</v>
      </c>
      <c r="D474" s="5" t="s">
        <v>329</v>
      </c>
      <c r="E474" s="7">
        <v>78.916667000000004</v>
      </c>
      <c r="F474" s="7">
        <v>11.933332999999999</v>
      </c>
      <c r="G474" s="7">
        <v>5</v>
      </c>
      <c r="I474" s="5" t="s">
        <v>347</v>
      </c>
      <c r="K474" s="16">
        <v>44070</v>
      </c>
      <c r="L474" s="16"/>
      <c r="M474" s="16"/>
      <c r="N474" s="7">
        <v>-13.91955315490101</v>
      </c>
      <c r="O474" s="35">
        <v>-106.63607667425889</v>
      </c>
      <c r="P474" s="35">
        <f t="shared" si="6"/>
        <v>4.720348564949191</v>
      </c>
      <c r="Q474" s="7"/>
      <c r="R474" s="7"/>
      <c r="S474" s="7"/>
      <c r="T474" s="7"/>
    </row>
    <row r="475" spans="1:20" s="5" customFormat="1" x14ac:dyDescent="0.35">
      <c r="A475" s="5" t="s">
        <v>327</v>
      </c>
      <c r="B475" s="5" t="s">
        <v>21</v>
      </c>
      <c r="C475" s="5" t="s">
        <v>328</v>
      </c>
      <c r="D475" s="5" t="s">
        <v>329</v>
      </c>
      <c r="E475" s="7">
        <v>78.916667000000004</v>
      </c>
      <c r="F475" s="7">
        <v>11.933332999999999</v>
      </c>
      <c r="G475" s="7">
        <v>5</v>
      </c>
      <c r="I475" s="5" t="s">
        <v>348</v>
      </c>
      <c r="K475" s="16">
        <v>44071</v>
      </c>
      <c r="L475" s="16"/>
      <c r="M475" s="16"/>
      <c r="N475" s="7">
        <v>-19.159723867895408</v>
      </c>
      <c r="O475" s="35">
        <v>-148.93258374542083</v>
      </c>
      <c r="P475" s="35">
        <f t="shared" si="6"/>
        <v>4.3452071977424396</v>
      </c>
      <c r="Q475" s="7"/>
      <c r="R475" s="7"/>
      <c r="S475" s="7"/>
      <c r="T475" s="7"/>
    </row>
    <row r="476" spans="1:20" s="5" customFormat="1" x14ac:dyDescent="0.35">
      <c r="A476" s="5" t="s">
        <v>327</v>
      </c>
      <c r="B476" s="5" t="s">
        <v>21</v>
      </c>
      <c r="C476" s="5" t="s">
        <v>328</v>
      </c>
      <c r="D476" s="5" t="s">
        <v>329</v>
      </c>
      <c r="E476" s="7">
        <v>78.916667000000004</v>
      </c>
      <c r="F476" s="7">
        <v>11.933332999999999</v>
      </c>
      <c r="G476" s="7">
        <v>5</v>
      </c>
      <c r="I476" s="5" t="s">
        <v>349</v>
      </c>
      <c r="K476" s="16">
        <v>44072</v>
      </c>
      <c r="L476" s="16"/>
      <c r="M476" s="16"/>
      <c r="N476" s="7">
        <v>-2.1009131090436104</v>
      </c>
      <c r="O476" s="35">
        <v>-2.7725272583983496</v>
      </c>
      <c r="P476" s="35">
        <f t="shared" si="6"/>
        <v>14.034777613950533</v>
      </c>
      <c r="Q476" s="7"/>
      <c r="R476" s="7"/>
      <c r="S476" s="7"/>
      <c r="T476" s="7"/>
    </row>
    <row r="477" spans="1:20" s="5" customFormat="1" x14ac:dyDescent="0.35">
      <c r="A477" s="5" t="s">
        <v>327</v>
      </c>
      <c r="B477" s="5" t="s">
        <v>21</v>
      </c>
      <c r="C477" s="5" t="s">
        <v>328</v>
      </c>
      <c r="D477" s="5" t="s">
        <v>329</v>
      </c>
      <c r="E477" s="7">
        <v>78.916667000000004</v>
      </c>
      <c r="F477" s="7">
        <v>11.933332999999999</v>
      </c>
      <c r="G477" s="7">
        <v>5</v>
      </c>
      <c r="I477" s="5" t="s">
        <v>350</v>
      </c>
      <c r="K477" s="16">
        <v>44074</v>
      </c>
      <c r="L477" s="16"/>
      <c r="M477" s="16"/>
      <c r="N477" s="7">
        <v>-14.1023356761762</v>
      </c>
      <c r="O477" s="35">
        <v>-108.65171885960734</v>
      </c>
      <c r="P477" s="35">
        <f t="shared" si="6"/>
        <v>4.1669665498022539</v>
      </c>
      <c r="Q477" s="7"/>
      <c r="R477" s="7"/>
      <c r="S477" s="7"/>
      <c r="T477" s="7"/>
    </row>
    <row r="478" spans="1:20" s="5" customFormat="1" x14ac:dyDescent="0.35">
      <c r="A478" s="5" t="s">
        <v>327</v>
      </c>
      <c r="B478" s="5" t="s">
        <v>21</v>
      </c>
      <c r="C478" s="5" t="s">
        <v>328</v>
      </c>
      <c r="D478" s="5" t="s">
        <v>329</v>
      </c>
      <c r="E478" s="7">
        <v>78.916667000000004</v>
      </c>
      <c r="F478" s="7">
        <v>11.933332999999999</v>
      </c>
      <c r="G478" s="7">
        <v>5</v>
      </c>
      <c r="I478" s="5" t="s">
        <v>351</v>
      </c>
      <c r="K478" s="16">
        <v>44075</v>
      </c>
      <c r="L478" s="16"/>
      <c r="M478" s="16"/>
      <c r="N478" s="7">
        <v>-2.1009131090436104</v>
      </c>
      <c r="O478" s="35">
        <v>-2.7725272583983496</v>
      </c>
      <c r="P478" s="35">
        <f t="shared" si="6"/>
        <v>14.034777613950533</v>
      </c>
      <c r="Q478" s="7"/>
      <c r="R478" s="7"/>
      <c r="S478" s="7"/>
      <c r="T478" s="7"/>
    </row>
    <row r="479" spans="1:20" s="5" customFormat="1" x14ac:dyDescent="0.35">
      <c r="A479" s="5" t="s">
        <v>327</v>
      </c>
      <c r="B479" s="5" t="s">
        <v>21</v>
      </c>
      <c r="C479" s="5" t="s">
        <v>328</v>
      </c>
      <c r="D479" s="5" t="s">
        <v>329</v>
      </c>
      <c r="E479" s="7">
        <v>78.916667000000004</v>
      </c>
      <c r="F479" s="7">
        <v>11.933332999999999</v>
      </c>
      <c r="G479" s="7">
        <v>5</v>
      </c>
      <c r="I479" s="5" t="s">
        <v>352</v>
      </c>
      <c r="K479" s="16">
        <v>44077</v>
      </c>
      <c r="L479" s="16"/>
      <c r="M479" s="16"/>
      <c r="N479" s="7">
        <v>-13.093142819348296</v>
      </c>
      <c r="O479" s="35">
        <v>-99.83850221704526</v>
      </c>
      <c r="P479" s="35">
        <f t="shared" si="6"/>
        <v>4.9066403377411092</v>
      </c>
      <c r="Q479" s="7"/>
      <c r="R479" s="7"/>
      <c r="S479" s="7"/>
      <c r="T479" s="7"/>
    </row>
    <row r="480" spans="1:20" s="5" customFormat="1" x14ac:dyDescent="0.35">
      <c r="A480" s="5" t="s">
        <v>327</v>
      </c>
      <c r="B480" s="5" t="s">
        <v>21</v>
      </c>
      <c r="C480" s="5" t="s">
        <v>328</v>
      </c>
      <c r="D480" s="5" t="s">
        <v>329</v>
      </c>
      <c r="E480" s="7">
        <v>78.916667000000004</v>
      </c>
      <c r="F480" s="7">
        <v>11.933332999999999</v>
      </c>
      <c r="G480" s="7">
        <v>5</v>
      </c>
      <c r="I480" s="5" t="s">
        <v>353</v>
      </c>
      <c r="K480" s="16">
        <v>44080</v>
      </c>
      <c r="L480" s="16"/>
      <c r="M480" s="16"/>
      <c r="N480" s="7">
        <v>-11.263130049825831</v>
      </c>
      <c r="O480" s="35">
        <v>-87.609166313036397</v>
      </c>
      <c r="P480" s="35">
        <f t="shared" si="6"/>
        <v>2.4958740855702501</v>
      </c>
      <c r="Q480" s="7"/>
      <c r="R480" s="7"/>
      <c r="S480" s="7"/>
      <c r="T480" s="7"/>
    </row>
    <row r="481" spans="1:20" s="5" customFormat="1" x14ac:dyDescent="0.35">
      <c r="A481" s="5" t="s">
        <v>327</v>
      </c>
      <c r="B481" s="5" t="s">
        <v>21</v>
      </c>
      <c r="C481" s="5" t="s">
        <v>328</v>
      </c>
      <c r="D481" s="5" t="s">
        <v>329</v>
      </c>
      <c r="E481" s="7">
        <v>78.916667000000004</v>
      </c>
      <c r="F481" s="7">
        <v>11.933332999999999</v>
      </c>
      <c r="G481" s="7">
        <v>5</v>
      </c>
      <c r="I481" s="5" t="s">
        <v>354</v>
      </c>
      <c r="K481" s="16">
        <v>44081</v>
      </c>
      <c r="L481" s="16"/>
      <c r="M481" s="16"/>
      <c r="N481" s="7">
        <v>-8.2729830063053935</v>
      </c>
      <c r="O481" s="35">
        <v>-58.948330937307837</v>
      </c>
      <c r="P481" s="35">
        <f t="shared" si="6"/>
        <v>7.2355331131353111</v>
      </c>
      <c r="Q481" s="7"/>
      <c r="R481" s="7"/>
      <c r="S481" s="7"/>
      <c r="T481" s="7"/>
    </row>
    <row r="482" spans="1:20" s="5" customFormat="1" ht="14.25" customHeight="1" x14ac:dyDescent="0.35">
      <c r="A482" s="5" t="s">
        <v>327</v>
      </c>
      <c r="B482" s="6" t="s">
        <v>21</v>
      </c>
      <c r="C482" s="6" t="s">
        <v>355</v>
      </c>
      <c r="D482" s="6" t="s">
        <v>356</v>
      </c>
      <c r="E482" s="7">
        <v>64.183333000000005</v>
      </c>
      <c r="F482" s="7">
        <v>-51.683332999999998</v>
      </c>
      <c r="G482" s="7">
        <v>50</v>
      </c>
      <c r="I482" s="5" t="s">
        <v>357</v>
      </c>
      <c r="J482" s="6" t="s">
        <v>41</v>
      </c>
      <c r="K482" s="8">
        <v>43749</v>
      </c>
      <c r="L482" s="8"/>
      <c r="M482" s="8"/>
      <c r="N482" s="7">
        <v>-10.846631090037372</v>
      </c>
      <c r="O482" s="35">
        <v>-75.154882157803243</v>
      </c>
      <c r="P482" s="35">
        <f t="shared" si="6"/>
        <v>11.61816656249573</v>
      </c>
      <c r="Q482" s="7">
        <v>1.52</v>
      </c>
      <c r="R482" s="7">
        <v>4</v>
      </c>
      <c r="S482" s="7"/>
      <c r="T482" s="7"/>
    </row>
    <row r="483" spans="1:20" s="5" customFormat="1" ht="14.25" customHeight="1" x14ac:dyDescent="0.35">
      <c r="A483" s="5" t="s">
        <v>327</v>
      </c>
      <c r="B483" s="6" t="s">
        <v>21</v>
      </c>
      <c r="C483" s="6" t="s">
        <v>355</v>
      </c>
      <c r="D483" s="6" t="s">
        <v>356</v>
      </c>
      <c r="E483" s="7">
        <v>64.183333000000005</v>
      </c>
      <c r="F483" s="7">
        <v>-51.683332999999998</v>
      </c>
      <c r="G483" s="7">
        <v>50</v>
      </c>
      <c r="I483" s="5" t="s">
        <v>358</v>
      </c>
      <c r="J483" s="6" t="s">
        <v>41</v>
      </c>
      <c r="K483" s="8">
        <v>43756</v>
      </c>
      <c r="L483" s="8"/>
      <c r="M483" s="8"/>
      <c r="N483" s="7">
        <v>-11.587761862793489</v>
      </c>
      <c r="O483" s="35">
        <v>-83.006957748586686</v>
      </c>
      <c r="P483" s="35">
        <f t="shared" si="6"/>
        <v>9.6951371537612232</v>
      </c>
      <c r="Q483" s="7">
        <v>6.35</v>
      </c>
      <c r="R483" s="7">
        <v>4.5</v>
      </c>
      <c r="S483" s="7"/>
      <c r="T483" s="7"/>
    </row>
    <row r="484" spans="1:20" s="5" customFormat="1" ht="14.25" customHeight="1" x14ac:dyDescent="0.35">
      <c r="A484" s="5" t="s">
        <v>327</v>
      </c>
      <c r="B484" s="6" t="s">
        <v>21</v>
      </c>
      <c r="C484" s="6" t="s">
        <v>355</v>
      </c>
      <c r="D484" s="6" t="s">
        <v>356</v>
      </c>
      <c r="E484" s="7">
        <v>64.183333000000005</v>
      </c>
      <c r="F484" s="7">
        <v>-51.683332999999998</v>
      </c>
      <c r="G484" s="7">
        <v>50</v>
      </c>
      <c r="I484" s="5" t="s">
        <v>359</v>
      </c>
      <c r="J484" s="6" t="s">
        <v>41</v>
      </c>
      <c r="K484" s="8">
        <v>43769</v>
      </c>
      <c r="L484" s="8"/>
      <c r="M484" s="8"/>
      <c r="N484" s="7">
        <v>-17.321019318902916</v>
      </c>
      <c r="O484" s="35">
        <v>-138.97974337479923</v>
      </c>
      <c r="P484" s="35">
        <f t="shared" si="6"/>
        <v>-0.41158882357589732</v>
      </c>
      <c r="Q484" s="7">
        <v>2.54</v>
      </c>
      <c r="R484" s="7">
        <v>3</v>
      </c>
      <c r="S484" s="7"/>
      <c r="T484" s="7"/>
    </row>
    <row r="485" spans="1:20" s="5" customFormat="1" ht="14.25" customHeight="1" x14ac:dyDescent="0.35">
      <c r="A485" s="5" t="s">
        <v>327</v>
      </c>
      <c r="B485" s="6" t="s">
        <v>21</v>
      </c>
      <c r="C485" s="6" t="s">
        <v>355</v>
      </c>
      <c r="D485" s="6" t="s">
        <v>356</v>
      </c>
      <c r="E485" s="7">
        <v>64.183333000000005</v>
      </c>
      <c r="F485" s="7">
        <v>-51.683332999999998</v>
      </c>
      <c r="G485" s="7">
        <v>50</v>
      </c>
      <c r="I485" s="5" t="s">
        <v>360</v>
      </c>
      <c r="J485" s="6" t="s">
        <v>41</v>
      </c>
      <c r="K485" s="8">
        <v>43770</v>
      </c>
      <c r="L485" s="8"/>
      <c r="M485" s="8"/>
      <c r="N485" s="7">
        <v>-13.070913275965863</v>
      </c>
      <c r="O485" s="35">
        <v>-103.87131510565627</v>
      </c>
      <c r="P485" s="35">
        <f t="shared" si="6"/>
        <v>0.69599110207063575</v>
      </c>
      <c r="Q485" s="7">
        <v>0.25</v>
      </c>
      <c r="R485" s="7">
        <v>2</v>
      </c>
      <c r="S485" s="7"/>
      <c r="T485" s="7"/>
    </row>
    <row r="486" spans="1:20" s="5" customFormat="1" ht="14.25" customHeight="1" x14ac:dyDescent="0.35">
      <c r="A486" s="5" t="s">
        <v>327</v>
      </c>
      <c r="B486" s="6" t="s">
        <v>21</v>
      </c>
      <c r="C486" s="6" t="s">
        <v>355</v>
      </c>
      <c r="D486" s="6" t="s">
        <v>356</v>
      </c>
      <c r="E486" s="7">
        <v>64.183333000000005</v>
      </c>
      <c r="F486" s="7">
        <v>-51.683332999999998</v>
      </c>
      <c r="G486" s="7">
        <v>50</v>
      </c>
      <c r="I486" s="5" t="s">
        <v>361</v>
      </c>
      <c r="J486" s="6" t="s">
        <v>362</v>
      </c>
      <c r="K486" s="8">
        <v>43781</v>
      </c>
      <c r="L486" s="8"/>
      <c r="M486" s="8"/>
      <c r="N486" s="7">
        <v>-12.017719734893891</v>
      </c>
      <c r="O486" s="35">
        <v>-90.716219419752022</v>
      </c>
      <c r="P486" s="35">
        <f t="shared" si="6"/>
        <v>5.4255384593991067</v>
      </c>
      <c r="Q486" s="7">
        <v>15.24</v>
      </c>
      <c r="R486" s="7">
        <v>0</v>
      </c>
      <c r="S486" s="7"/>
      <c r="T486" s="7"/>
    </row>
    <row r="487" spans="1:20" s="5" customFormat="1" ht="14.25" customHeight="1" x14ac:dyDescent="0.35">
      <c r="A487" s="5" t="s">
        <v>327</v>
      </c>
      <c r="B487" s="6" t="s">
        <v>21</v>
      </c>
      <c r="C487" s="6" t="s">
        <v>355</v>
      </c>
      <c r="D487" s="6" t="s">
        <v>356</v>
      </c>
      <c r="E487" s="7">
        <v>64.183333000000005</v>
      </c>
      <c r="F487" s="7">
        <v>-51.683332999999998</v>
      </c>
      <c r="G487" s="7">
        <v>50</v>
      </c>
      <c r="I487" s="5" t="s">
        <v>363</v>
      </c>
      <c r="J487" s="6"/>
      <c r="K487" s="8">
        <v>43781</v>
      </c>
      <c r="L487" s="8"/>
      <c r="M487" s="8"/>
      <c r="N487" s="7">
        <v>-15.77511429175774</v>
      </c>
      <c r="O487" s="35">
        <v>-117.39356615115338</v>
      </c>
      <c r="P487" s="35">
        <f t="shared" si="6"/>
        <v>8.8073481829085409</v>
      </c>
      <c r="Q487" s="7">
        <v>13.72</v>
      </c>
      <c r="R487" s="7">
        <v>-0.5</v>
      </c>
      <c r="S487" s="7"/>
      <c r="T487" s="7"/>
    </row>
    <row r="488" spans="1:20" s="5" customFormat="1" ht="13.5" customHeight="1" x14ac:dyDescent="0.35">
      <c r="A488" s="5" t="s">
        <v>327</v>
      </c>
      <c r="B488" s="6" t="s">
        <v>21</v>
      </c>
      <c r="C488" s="6" t="s">
        <v>355</v>
      </c>
      <c r="D488" s="6" t="s">
        <v>356</v>
      </c>
      <c r="E488" s="7">
        <v>64.183333000000005</v>
      </c>
      <c r="F488" s="7">
        <v>-51.683332999999998</v>
      </c>
      <c r="G488" s="7">
        <v>50</v>
      </c>
      <c r="I488" s="5" t="s">
        <v>364</v>
      </c>
      <c r="J488" s="6"/>
      <c r="K488" s="8">
        <v>43782</v>
      </c>
      <c r="L488" s="8"/>
      <c r="M488" s="8"/>
      <c r="N488" s="7">
        <v>-6.3852716103786262</v>
      </c>
      <c r="O488" s="35">
        <v>-56.4105552079278</v>
      </c>
      <c r="P488" s="35">
        <f t="shared" si="6"/>
        <v>-5.32838232489879</v>
      </c>
      <c r="Q488" s="7">
        <v>1.27</v>
      </c>
      <c r="R488" s="7">
        <v>0</v>
      </c>
      <c r="S488" s="7"/>
      <c r="T488" s="7"/>
    </row>
    <row r="489" spans="1:20" s="5" customFormat="1" ht="14.25" customHeight="1" x14ac:dyDescent="0.35">
      <c r="A489" s="5" t="s">
        <v>327</v>
      </c>
      <c r="B489" s="6" t="s">
        <v>21</v>
      </c>
      <c r="C489" s="6" t="s">
        <v>355</v>
      </c>
      <c r="D489" s="6" t="s">
        <v>356</v>
      </c>
      <c r="E489" s="7">
        <v>64.183333000000005</v>
      </c>
      <c r="F489" s="7">
        <v>-51.683332999999998</v>
      </c>
      <c r="G489" s="7">
        <v>50</v>
      </c>
      <c r="I489" s="5" t="s">
        <v>365</v>
      </c>
      <c r="J489" s="6"/>
      <c r="K489" s="8">
        <v>43784</v>
      </c>
      <c r="L489" s="8"/>
      <c r="M489" s="8"/>
      <c r="N489" s="7">
        <v>-10.958857382077138</v>
      </c>
      <c r="O489" s="35">
        <v>-73.349166434412751</v>
      </c>
      <c r="P489" s="35">
        <f t="shared" si="6"/>
        <v>14.321692622204353</v>
      </c>
      <c r="Q489" s="7">
        <v>8.89</v>
      </c>
      <c r="R489" s="7">
        <v>-1</v>
      </c>
      <c r="S489" s="7"/>
      <c r="T489" s="7"/>
    </row>
    <row r="490" spans="1:20" s="5" customFormat="1" ht="14.25" customHeight="1" x14ac:dyDescent="0.35">
      <c r="A490" s="5" t="s">
        <v>327</v>
      </c>
      <c r="B490" s="6" t="s">
        <v>21</v>
      </c>
      <c r="C490" s="6" t="s">
        <v>355</v>
      </c>
      <c r="D490" s="6" t="s">
        <v>356</v>
      </c>
      <c r="E490" s="7">
        <v>64.183333000000005</v>
      </c>
      <c r="F490" s="7">
        <v>-51.683332999999998</v>
      </c>
      <c r="G490" s="7">
        <v>50</v>
      </c>
      <c r="I490" s="5" t="s">
        <v>366</v>
      </c>
      <c r="J490" s="6"/>
      <c r="K490" s="8">
        <v>43787</v>
      </c>
      <c r="L490" s="8"/>
      <c r="M490" s="8"/>
      <c r="N490" s="7">
        <v>-2.9038937816494919</v>
      </c>
      <c r="O490" s="35">
        <v>-24.710025767158591</v>
      </c>
      <c r="P490" s="35">
        <f t="shared" si="6"/>
        <v>-1.4788755139626559</v>
      </c>
      <c r="Q490" s="7">
        <v>0.25</v>
      </c>
      <c r="R490" s="7">
        <v>-0.5</v>
      </c>
      <c r="S490" s="7"/>
      <c r="T490" s="7"/>
    </row>
    <row r="491" spans="1:20" s="5" customFormat="1" ht="14.25" customHeight="1" x14ac:dyDescent="0.35">
      <c r="A491" s="5" t="s">
        <v>327</v>
      </c>
      <c r="B491" s="6" t="s">
        <v>21</v>
      </c>
      <c r="C491" s="6" t="s">
        <v>355</v>
      </c>
      <c r="D491" s="6" t="s">
        <v>356</v>
      </c>
      <c r="E491" s="7">
        <v>64.183333000000005</v>
      </c>
      <c r="F491" s="7">
        <v>-51.683332999999998</v>
      </c>
      <c r="G491" s="7">
        <v>50</v>
      </c>
      <c r="I491" s="5" t="s">
        <v>367</v>
      </c>
      <c r="J491" s="6"/>
      <c r="K491" s="8">
        <v>43789</v>
      </c>
      <c r="L491" s="8"/>
      <c r="M491" s="8"/>
      <c r="N491" s="7">
        <v>-11.037259208382867</v>
      </c>
      <c r="O491" s="35">
        <v>-68.345975786558185</v>
      </c>
      <c r="P491" s="35">
        <f t="shared" si="6"/>
        <v>19.952097880504752</v>
      </c>
      <c r="Q491" s="7">
        <v>39.880000000000003</v>
      </c>
      <c r="R491" s="7">
        <v>-4</v>
      </c>
      <c r="S491" s="7"/>
      <c r="T491" s="7"/>
    </row>
    <row r="492" spans="1:20" s="5" customFormat="1" ht="14.25" customHeight="1" x14ac:dyDescent="0.35">
      <c r="A492" s="5" t="s">
        <v>327</v>
      </c>
      <c r="B492" s="6" t="s">
        <v>21</v>
      </c>
      <c r="C492" s="6" t="s">
        <v>355</v>
      </c>
      <c r="D492" s="6" t="s">
        <v>356</v>
      </c>
      <c r="E492" s="7">
        <v>64.183333000000005</v>
      </c>
      <c r="F492" s="7">
        <v>-51.683332999999998</v>
      </c>
      <c r="G492" s="7">
        <v>50</v>
      </c>
      <c r="I492" s="5" t="s">
        <v>368</v>
      </c>
      <c r="J492" s="6"/>
      <c r="K492" s="8">
        <v>43799</v>
      </c>
      <c r="L492" s="8"/>
      <c r="M492" s="8"/>
      <c r="N492" s="7">
        <v>-13.327843067846608</v>
      </c>
      <c r="O492" s="35">
        <v>-101.40416648634614</v>
      </c>
      <c r="P492" s="35">
        <f t="shared" si="6"/>
        <v>5.2185780564267219</v>
      </c>
      <c r="Q492" s="7">
        <v>5.33</v>
      </c>
      <c r="R492" s="7">
        <v>-3</v>
      </c>
      <c r="S492" s="7"/>
      <c r="T492" s="7"/>
    </row>
    <row r="493" spans="1:20" s="5" customFormat="1" ht="14.25" customHeight="1" x14ac:dyDescent="0.35">
      <c r="A493" s="5" t="s">
        <v>327</v>
      </c>
      <c r="B493" s="6" t="s">
        <v>21</v>
      </c>
      <c r="C493" s="6" t="s">
        <v>355</v>
      </c>
      <c r="D493" s="6" t="s">
        <v>356</v>
      </c>
      <c r="E493" s="7">
        <v>64.183333000000005</v>
      </c>
      <c r="F493" s="7">
        <v>-51.683332999999998</v>
      </c>
      <c r="G493" s="7">
        <v>50</v>
      </c>
      <c r="I493" s="5" t="s">
        <v>369</v>
      </c>
      <c r="J493" s="6"/>
      <c r="K493" s="8">
        <v>43801</v>
      </c>
      <c r="L493" s="8"/>
      <c r="M493" s="8"/>
      <c r="N493" s="7">
        <v>-15.387378417646282</v>
      </c>
      <c r="O493" s="35">
        <v>-111.55225202319643</v>
      </c>
      <c r="P493" s="35">
        <f t="shared" si="6"/>
        <v>11.546775317973825</v>
      </c>
      <c r="Q493" s="7">
        <v>73.66</v>
      </c>
      <c r="R493" s="7">
        <v>-5</v>
      </c>
      <c r="S493" s="7"/>
      <c r="T493" s="7"/>
    </row>
    <row r="494" spans="1:20" s="5" customFormat="1" ht="14.25" customHeight="1" x14ac:dyDescent="0.35">
      <c r="A494" s="5" t="s">
        <v>327</v>
      </c>
      <c r="B494" s="6" t="s">
        <v>21</v>
      </c>
      <c r="C494" s="6" t="s">
        <v>355</v>
      </c>
      <c r="D494" s="6" t="s">
        <v>356</v>
      </c>
      <c r="E494" s="7">
        <v>64.183333000000005</v>
      </c>
      <c r="F494" s="7">
        <v>-51.683332999999998</v>
      </c>
      <c r="G494" s="7">
        <v>50</v>
      </c>
      <c r="I494" s="5" t="s">
        <v>370</v>
      </c>
      <c r="J494" s="6"/>
      <c r="K494" s="8">
        <v>43804</v>
      </c>
      <c r="L494" s="8"/>
      <c r="M494" s="8"/>
      <c r="N494" s="7">
        <v>-10.95304299740237</v>
      </c>
      <c r="O494" s="35">
        <v>-60.167733803609295</v>
      </c>
      <c r="P494" s="35">
        <f t="shared" si="6"/>
        <v>27.456610175609669</v>
      </c>
      <c r="Q494" s="7">
        <v>50.8</v>
      </c>
      <c r="R494" s="7">
        <v>-9</v>
      </c>
      <c r="S494" s="7"/>
      <c r="T494" s="7"/>
    </row>
    <row r="495" spans="1:20" s="5" customFormat="1" ht="14.25" customHeight="1" x14ac:dyDescent="0.35">
      <c r="A495" s="5" t="s">
        <v>327</v>
      </c>
      <c r="B495" s="6" t="s">
        <v>21</v>
      </c>
      <c r="C495" s="6" t="s">
        <v>355</v>
      </c>
      <c r="D495" s="6" t="s">
        <v>356</v>
      </c>
      <c r="E495" s="7">
        <v>64.183333000000005</v>
      </c>
      <c r="F495" s="7">
        <v>-51.683332999999998</v>
      </c>
      <c r="G495" s="7">
        <v>50</v>
      </c>
      <c r="I495" s="5" t="s">
        <v>371</v>
      </c>
      <c r="J495" s="6"/>
      <c r="K495" s="8">
        <v>43809</v>
      </c>
      <c r="L495" s="8"/>
      <c r="M495" s="8"/>
      <c r="N495" s="7">
        <v>-12.0587751507947</v>
      </c>
      <c r="O495" s="35">
        <v>-76.477130847795053</v>
      </c>
      <c r="P495" s="35">
        <f t="shared" si="6"/>
        <v>19.993070358562548</v>
      </c>
      <c r="Q495" s="7">
        <v>18.54</v>
      </c>
      <c r="R495" s="7">
        <v>-4</v>
      </c>
      <c r="S495" s="7"/>
      <c r="T495" s="7"/>
    </row>
    <row r="496" spans="1:20" s="5" customFormat="1" ht="14.25" customHeight="1" x14ac:dyDescent="0.35">
      <c r="A496" s="5" t="s">
        <v>327</v>
      </c>
      <c r="B496" s="6" t="s">
        <v>21</v>
      </c>
      <c r="C496" s="6" t="s">
        <v>355</v>
      </c>
      <c r="D496" s="6" t="s">
        <v>356</v>
      </c>
      <c r="E496" s="7">
        <v>64.183333000000005</v>
      </c>
      <c r="F496" s="7">
        <v>-51.683332999999998</v>
      </c>
      <c r="G496" s="7">
        <v>50</v>
      </c>
      <c r="I496" s="5" t="s">
        <v>372</v>
      </c>
      <c r="J496" s="6"/>
      <c r="K496" s="8">
        <v>43809</v>
      </c>
      <c r="L496" s="8"/>
      <c r="M496" s="8"/>
      <c r="N496" s="7">
        <v>-7.5038188174173408</v>
      </c>
      <c r="O496" s="35">
        <v>-46.920694486519238</v>
      </c>
      <c r="P496" s="35">
        <f t="shared" si="6"/>
        <v>13.109856052819488</v>
      </c>
      <c r="Q496" s="7">
        <v>4.57</v>
      </c>
      <c r="R496" s="7">
        <v>-5</v>
      </c>
      <c r="S496" s="7"/>
      <c r="T496" s="7"/>
    </row>
    <row r="497" spans="1:20" s="5" customFormat="1" ht="14.25" customHeight="1" x14ac:dyDescent="0.35">
      <c r="A497" s="5" t="s">
        <v>327</v>
      </c>
      <c r="B497" s="6" t="s">
        <v>21</v>
      </c>
      <c r="C497" s="6" t="s">
        <v>355</v>
      </c>
      <c r="D497" s="6" t="s">
        <v>356</v>
      </c>
      <c r="E497" s="7">
        <v>64.183333000000005</v>
      </c>
      <c r="F497" s="7">
        <v>-51.683332999999998</v>
      </c>
      <c r="G497" s="7">
        <v>50</v>
      </c>
      <c r="I497" s="5" t="s">
        <v>373</v>
      </c>
      <c r="J497" s="6"/>
      <c r="K497" s="8">
        <v>43810</v>
      </c>
      <c r="L497" s="8"/>
      <c r="M497" s="8"/>
      <c r="N497" s="7">
        <v>-11.459311055342758</v>
      </c>
      <c r="O497" s="35">
        <v>-65.943810858181507</v>
      </c>
      <c r="P497" s="35">
        <f t="shared" si="6"/>
        <v>25.730677584560553</v>
      </c>
      <c r="Q497" s="7">
        <v>3.3</v>
      </c>
      <c r="R497" s="7">
        <v>-7</v>
      </c>
      <c r="S497" s="7"/>
      <c r="T497" s="7"/>
    </row>
    <row r="498" spans="1:20" s="5" customFormat="1" ht="14.25" customHeight="1" x14ac:dyDescent="0.35">
      <c r="A498" s="5" t="s">
        <v>327</v>
      </c>
      <c r="B498" s="6" t="s">
        <v>21</v>
      </c>
      <c r="C498" s="6" t="s">
        <v>355</v>
      </c>
      <c r="D498" s="6" t="s">
        <v>356</v>
      </c>
      <c r="E498" s="7">
        <v>64.183333000000005</v>
      </c>
      <c r="F498" s="7">
        <v>-51.683332999999998</v>
      </c>
      <c r="G498" s="7">
        <v>50</v>
      </c>
      <c r="I498" s="5" t="s">
        <v>374</v>
      </c>
      <c r="J498" s="6"/>
      <c r="K498" s="8">
        <v>43819</v>
      </c>
      <c r="L498" s="8"/>
      <c r="M498" s="8"/>
      <c r="N498" s="7">
        <v>-7.5479898560295888</v>
      </c>
      <c r="O498" s="35">
        <v>-36.423726576362135</v>
      </c>
      <c r="P498" s="35">
        <f t="shared" si="6"/>
        <v>23.960192271874575</v>
      </c>
      <c r="Q498" s="7">
        <v>12.19</v>
      </c>
      <c r="R498" s="7">
        <v>-4</v>
      </c>
      <c r="S498" s="7"/>
      <c r="T498" s="7"/>
    </row>
    <row r="499" spans="1:20" s="5" customFormat="1" ht="14.25" customHeight="1" x14ac:dyDescent="0.35">
      <c r="A499" s="5" t="s">
        <v>327</v>
      </c>
      <c r="B499" s="6" t="s">
        <v>21</v>
      </c>
      <c r="C499" s="6" t="s">
        <v>355</v>
      </c>
      <c r="D499" s="6" t="s">
        <v>356</v>
      </c>
      <c r="E499" s="7">
        <v>64.183333000000005</v>
      </c>
      <c r="F499" s="7">
        <v>-51.683332999999998</v>
      </c>
      <c r="G499" s="7">
        <v>50</v>
      </c>
      <c r="I499" s="5" t="s">
        <v>375</v>
      </c>
      <c r="J499" s="6"/>
      <c r="K499" s="8">
        <v>43832</v>
      </c>
      <c r="L499" s="8"/>
      <c r="M499" s="8"/>
      <c r="N499" s="7">
        <v>-5.2593475806806707</v>
      </c>
      <c r="O499" s="35">
        <v>-15.757447418531179</v>
      </c>
      <c r="P499" s="35">
        <f t="shared" si="6"/>
        <v>26.317333226914187</v>
      </c>
      <c r="Q499" s="7">
        <v>13.97</v>
      </c>
      <c r="R499" s="7">
        <v>-4</v>
      </c>
      <c r="S499" s="7"/>
      <c r="T499" s="7"/>
    </row>
    <row r="500" spans="1:20" s="5" customFormat="1" ht="14.25" customHeight="1" x14ac:dyDescent="0.35">
      <c r="A500" s="5" t="s">
        <v>327</v>
      </c>
      <c r="B500" s="6" t="s">
        <v>21</v>
      </c>
      <c r="C500" s="6" t="s">
        <v>355</v>
      </c>
      <c r="D500" s="6" t="s">
        <v>356</v>
      </c>
      <c r="E500" s="7">
        <v>64.183333000000005</v>
      </c>
      <c r="F500" s="7">
        <v>-51.683332999999998</v>
      </c>
      <c r="G500" s="7">
        <v>50</v>
      </c>
      <c r="I500" s="5" t="s">
        <v>376</v>
      </c>
      <c r="J500" s="6"/>
      <c r="K500" s="8">
        <v>43836</v>
      </c>
      <c r="L500" s="8"/>
      <c r="M500" s="8"/>
      <c r="N500" s="7">
        <v>-13.688977713203894</v>
      </c>
      <c r="O500" s="35">
        <v>-81.620584130350124</v>
      </c>
      <c r="P500" s="35">
        <f t="shared" si="6"/>
        <v>27.891237575281025</v>
      </c>
      <c r="Q500" s="7">
        <v>45.47</v>
      </c>
      <c r="R500" s="7">
        <v>-15</v>
      </c>
      <c r="S500" s="7"/>
      <c r="T500" s="7"/>
    </row>
    <row r="501" spans="1:20" s="5" customFormat="1" ht="14.25" customHeight="1" x14ac:dyDescent="0.35">
      <c r="A501" s="5" t="s">
        <v>327</v>
      </c>
      <c r="B501" s="6" t="s">
        <v>21</v>
      </c>
      <c r="C501" s="6" t="s">
        <v>355</v>
      </c>
      <c r="D501" s="6" t="s">
        <v>356</v>
      </c>
      <c r="E501" s="7">
        <v>64.183333000000005</v>
      </c>
      <c r="F501" s="7">
        <v>-51.683332999999998</v>
      </c>
      <c r="G501" s="7">
        <v>50</v>
      </c>
      <c r="I501" s="5" t="s">
        <v>377</v>
      </c>
      <c r="J501" s="6"/>
      <c r="K501" s="8">
        <v>43837</v>
      </c>
      <c r="L501" s="8"/>
      <c r="M501" s="8"/>
      <c r="N501" s="7">
        <v>-13.582190586888567</v>
      </c>
      <c r="O501" s="35">
        <v>-80.031827476522267</v>
      </c>
      <c r="P501" s="35">
        <f t="shared" si="6"/>
        <v>28.625697218586268</v>
      </c>
      <c r="Q501" s="7">
        <v>24.38</v>
      </c>
      <c r="R501" s="7">
        <v>-12</v>
      </c>
      <c r="S501" s="7"/>
      <c r="T501" s="7"/>
    </row>
    <row r="502" spans="1:20" s="5" customFormat="1" ht="14.25" customHeight="1" x14ac:dyDescent="0.35">
      <c r="A502" s="5" t="s">
        <v>327</v>
      </c>
      <c r="B502" s="6" t="s">
        <v>21</v>
      </c>
      <c r="C502" s="6" t="s">
        <v>355</v>
      </c>
      <c r="D502" s="6" t="s">
        <v>356</v>
      </c>
      <c r="E502" s="7">
        <v>64.183333000000005</v>
      </c>
      <c r="F502" s="7">
        <v>-51.683332999999998</v>
      </c>
      <c r="G502" s="7">
        <v>50</v>
      </c>
      <c r="I502" s="5" t="s">
        <v>378</v>
      </c>
      <c r="J502" s="6"/>
      <c r="K502" s="8">
        <v>43838</v>
      </c>
      <c r="L502" s="8"/>
      <c r="M502" s="8"/>
      <c r="N502" s="7">
        <v>-13.403079452296044</v>
      </c>
      <c r="O502" s="35">
        <v>-69.857392781408251</v>
      </c>
      <c r="P502" s="35">
        <f t="shared" si="6"/>
        <v>37.367242836960102</v>
      </c>
      <c r="Q502" s="7">
        <v>9.4</v>
      </c>
      <c r="R502" s="7">
        <v>-19</v>
      </c>
      <c r="S502" s="7"/>
      <c r="T502" s="7"/>
    </row>
    <row r="503" spans="1:20" s="5" customFormat="1" ht="14.25" customHeight="1" x14ac:dyDescent="0.35">
      <c r="A503" s="5" t="s">
        <v>327</v>
      </c>
      <c r="B503" s="6" t="s">
        <v>21</v>
      </c>
      <c r="C503" s="6" t="s">
        <v>355</v>
      </c>
      <c r="D503" s="6" t="s">
        <v>356</v>
      </c>
      <c r="E503" s="7">
        <v>64.183333000000005</v>
      </c>
      <c r="F503" s="7">
        <v>-51.683332999999998</v>
      </c>
      <c r="G503" s="7">
        <v>50</v>
      </c>
      <c r="I503" s="5" t="s">
        <v>379</v>
      </c>
      <c r="J503" s="6"/>
      <c r="K503" s="8">
        <v>43839</v>
      </c>
      <c r="L503" s="8"/>
      <c r="M503" s="8"/>
      <c r="N503" s="7">
        <v>-12.397096182802803</v>
      </c>
      <c r="O503" s="35">
        <v>-64.311382914268407</v>
      </c>
      <c r="P503" s="35">
        <f t="shared" si="6"/>
        <v>34.865386548154021</v>
      </c>
      <c r="Q503" s="7">
        <v>5.08</v>
      </c>
      <c r="R503" s="7">
        <v>-11</v>
      </c>
      <c r="S503" s="7"/>
      <c r="T503" s="7"/>
    </row>
    <row r="504" spans="1:20" s="5" customFormat="1" ht="14.25" customHeight="1" x14ac:dyDescent="0.35">
      <c r="A504" s="5" t="s">
        <v>327</v>
      </c>
      <c r="B504" s="6" t="s">
        <v>21</v>
      </c>
      <c r="C504" s="6" t="s">
        <v>355</v>
      </c>
      <c r="D504" s="6" t="s">
        <v>356</v>
      </c>
      <c r="E504" s="7">
        <v>64.183333000000005</v>
      </c>
      <c r="F504" s="7">
        <v>-51.683332999999998</v>
      </c>
      <c r="G504" s="7">
        <v>50</v>
      </c>
      <c r="I504" s="5" t="s">
        <v>380</v>
      </c>
      <c r="J504" s="6"/>
      <c r="K504" s="8">
        <v>43843</v>
      </c>
      <c r="L504" s="8"/>
      <c r="M504" s="8"/>
      <c r="N504" s="7">
        <v>-6.2189755294324867</v>
      </c>
      <c r="O504" s="35">
        <v>-49.049608884753539</v>
      </c>
      <c r="P504" s="35">
        <f t="shared" si="6"/>
        <v>0.7021953507063543</v>
      </c>
      <c r="Q504" s="7">
        <v>5.33</v>
      </c>
      <c r="R504" s="7">
        <v>-8</v>
      </c>
      <c r="S504" s="7"/>
      <c r="T504" s="7"/>
    </row>
    <row r="505" spans="1:20" s="5" customFormat="1" ht="14.25" customHeight="1" x14ac:dyDescent="0.35">
      <c r="A505" s="5" t="s">
        <v>327</v>
      </c>
      <c r="B505" s="6" t="s">
        <v>21</v>
      </c>
      <c r="C505" s="6" t="s">
        <v>355</v>
      </c>
      <c r="D505" s="6" t="s">
        <v>356</v>
      </c>
      <c r="E505" s="7">
        <v>64.183333000000005</v>
      </c>
      <c r="F505" s="7">
        <v>-51.683332999999998</v>
      </c>
      <c r="G505" s="7">
        <v>50</v>
      </c>
      <c r="I505" s="5" t="s">
        <v>381</v>
      </c>
      <c r="J505" s="6"/>
      <c r="K505" s="8">
        <v>43844</v>
      </c>
      <c r="L505" s="8"/>
      <c r="M505" s="8"/>
      <c r="N505" s="7">
        <v>12.457607467089327</v>
      </c>
      <c r="O505" s="35">
        <v>27.763310901458436</v>
      </c>
      <c r="P505" s="35">
        <f t="shared" si="6"/>
        <v>-71.897548835256174</v>
      </c>
      <c r="Q505" s="7">
        <v>0.25</v>
      </c>
      <c r="R505" s="7">
        <v>-9</v>
      </c>
      <c r="S505" s="7"/>
      <c r="T505" s="7"/>
    </row>
    <row r="506" spans="1:20" s="5" customFormat="1" ht="14.25" customHeight="1" x14ac:dyDescent="0.35">
      <c r="A506" s="5" t="s">
        <v>327</v>
      </c>
      <c r="B506" s="6" t="s">
        <v>21</v>
      </c>
      <c r="C506" s="6" t="s">
        <v>355</v>
      </c>
      <c r="D506" s="6" t="s">
        <v>356</v>
      </c>
      <c r="E506" s="7">
        <v>64.183333000000005</v>
      </c>
      <c r="F506" s="7">
        <v>-51.683332999999998</v>
      </c>
      <c r="G506" s="7">
        <v>50</v>
      </c>
      <c r="I506" s="5" t="s">
        <v>382</v>
      </c>
      <c r="J506" s="6"/>
      <c r="K506" s="8">
        <v>43845</v>
      </c>
      <c r="L506" s="8"/>
      <c r="M506" s="8"/>
      <c r="N506" s="7">
        <v>-15.852145115132304</v>
      </c>
      <c r="O506" s="35">
        <v>-90.645902756740369</v>
      </c>
      <c r="P506" s="35">
        <f t="shared" si="6"/>
        <v>36.171258164318061</v>
      </c>
      <c r="Q506" s="7">
        <v>42.16</v>
      </c>
      <c r="R506" s="7">
        <v>-10</v>
      </c>
      <c r="S506" s="7"/>
      <c r="T506" s="7"/>
    </row>
    <row r="507" spans="1:20" s="5" customFormat="1" ht="14.25" customHeight="1" x14ac:dyDescent="0.35">
      <c r="A507" s="5" t="s">
        <v>327</v>
      </c>
      <c r="B507" s="6" t="s">
        <v>21</v>
      </c>
      <c r="C507" s="6" t="s">
        <v>355</v>
      </c>
      <c r="D507" s="6" t="s">
        <v>356</v>
      </c>
      <c r="E507" s="7">
        <v>64.183333000000005</v>
      </c>
      <c r="F507" s="7">
        <v>-51.683332999999998</v>
      </c>
      <c r="G507" s="7">
        <v>50</v>
      </c>
      <c r="I507" s="5" t="s">
        <v>383</v>
      </c>
      <c r="J507" s="6"/>
      <c r="K507" s="8">
        <v>43847</v>
      </c>
      <c r="L507" s="8"/>
      <c r="M507" s="8"/>
      <c r="N507" s="7">
        <v>-18.273785902346678</v>
      </c>
      <c r="O507" s="35">
        <v>-125.72297572164278</v>
      </c>
      <c r="P507" s="35">
        <f t="shared" si="6"/>
        <v>20.467311497130638</v>
      </c>
      <c r="Q507" s="7">
        <v>13.97</v>
      </c>
      <c r="R507" s="7">
        <v>-8</v>
      </c>
      <c r="S507" s="7"/>
      <c r="T507" s="7"/>
    </row>
    <row r="508" spans="1:20" s="5" customFormat="1" ht="14.25" customHeight="1" x14ac:dyDescent="0.35">
      <c r="A508" s="5" t="s">
        <v>327</v>
      </c>
      <c r="B508" s="6" t="s">
        <v>21</v>
      </c>
      <c r="C508" s="6" t="s">
        <v>355</v>
      </c>
      <c r="D508" s="6" t="s">
        <v>356</v>
      </c>
      <c r="E508" s="7">
        <v>64.183333000000005</v>
      </c>
      <c r="F508" s="7">
        <v>-51.683332999999998</v>
      </c>
      <c r="G508" s="7">
        <v>50</v>
      </c>
      <c r="I508" s="5" t="s">
        <v>384</v>
      </c>
      <c r="J508" s="6"/>
      <c r="K508" s="8">
        <v>43851</v>
      </c>
      <c r="L508" s="8"/>
      <c r="M508" s="8"/>
      <c r="N508" s="7">
        <v>-11.923106960771367</v>
      </c>
      <c r="O508" s="35">
        <v>-82.096576794910632</v>
      </c>
      <c r="P508" s="35">
        <f t="shared" si="6"/>
        <v>13.288278891260305</v>
      </c>
      <c r="Q508" s="7">
        <v>3.81</v>
      </c>
      <c r="R508" s="7">
        <v>-8</v>
      </c>
      <c r="S508" s="7"/>
      <c r="T508" s="7"/>
    </row>
    <row r="509" spans="1:20" s="5" customFormat="1" ht="14.25" customHeight="1" x14ac:dyDescent="0.35">
      <c r="A509" s="5" t="s">
        <v>327</v>
      </c>
      <c r="B509" s="6" t="s">
        <v>21</v>
      </c>
      <c r="C509" s="6" t="s">
        <v>355</v>
      </c>
      <c r="D509" s="6" t="s">
        <v>356</v>
      </c>
      <c r="E509" s="7">
        <v>64.183333000000005</v>
      </c>
      <c r="F509" s="7">
        <v>-51.683332999999998</v>
      </c>
      <c r="G509" s="7">
        <v>50</v>
      </c>
      <c r="I509" s="5" t="s">
        <v>385</v>
      </c>
      <c r="J509" s="6"/>
      <c r="K509" s="8">
        <v>43852</v>
      </c>
      <c r="L509" s="8"/>
      <c r="M509" s="8"/>
      <c r="N509" s="7">
        <v>-16.894533086778498</v>
      </c>
      <c r="O509" s="35">
        <v>-111.83184586921712</v>
      </c>
      <c r="P509" s="35">
        <f t="shared" si="6"/>
        <v>23.324418825010866</v>
      </c>
      <c r="Q509" s="7">
        <v>86.61</v>
      </c>
      <c r="R509" s="7">
        <v>-9</v>
      </c>
      <c r="S509" s="7"/>
      <c r="T509" s="7"/>
    </row>
    <row r="510" spans="1:20" s="5" customFormat="1" ht="14.25" customHeight="1" x14ac:dyDescent="0.35">
      <c r="A510" s="5" t="s">
        <v>327</v>
      </c>
      <c r="B510" s="6" t="s">
        <v>21</v>
      </c>
      <c r="C510" s="6" t="s">
        <v>355</v>
      </c>
      <c r="D510" s="6" t="s">
        <v>356</v>
      </c>
      <c r="E510" s="7">
        <v>64.183333000000005</v>
      </c>
      <c r="F510" s="7">
        <v>-51.683332999999998</v>
      </c>
      <c r="G510" s="7">
        <v>50</v>
      </c>
      <c r="I510" s="5" t="s">
        <v>386</v>
      </c>
      <c r="J510" s="6" t="s">
        <v>100</v>
      </c>
      <c r="K510" s="8">
        <v>43852</v>
      </c>
      <c r="L510" s="8"/>
      <c r="M510" s="8"/>
      <c r="N510" s="7">
        <v>-16.025674195394711</v>
      </c>
      <c r="O510" s="35">
        <v>-105.84863515384949</v>
      </c>
      <c r="P510" s="35">
        <f t="shared" si="6"/>
        <v>22.356758409308199</v>
      </c>
      <c r="Q510" s="7">
        <v>15.49</v>
      </c>
      <c r="R510" s="7">
        <v>-5</v>
      </c>
      <c r="S510" s="7"/>
      <c r="T510" s="7"/>
    </row>
    <row r="511" spans="1:20" s="5" customFormat="1" ht="14.25" customHeight="1" x14ac:dyDescent="0.35">
      <c r="A511" s="5" t="s">
        <v>327</v>
      </c>
      <c r="B511" s="6" t="s">
        <v>21</v>
      </c>
      <c r="C511" s="6" t="s">
        <v>355</v>
      </c>
      <c r="D511" s="6" t="s">
        <v>356</v>
      </c>
      <c r="E511" s="7">
        <v>64.183333000000005</v>
      </c>
      <c r="F511" s="7">
        <v>-51.683332999999998</v>
      </c>
      <c r="G511" s="7">
        <v>50</v>
      </c>
      <c r="I511" s="5" t="s">
        <v>387</v>
      </c>
      <c r="J511" s="6" t="s">
        <v>100</v>
      </c>
      <c r="K511" s="8">
        <v>43854</v>
      </c>
      <c r="L511" s="8"/>
      <c r="M511" s="8"/>
      <c r="N511" s="7">
        <v>-13.549669052965264</v>
      </c>
      <c r="O511" s="35">
        <v>-86.137512983078722</v>
      </c>
      <c r="P511" s="35">
        <f t="shared" si="6"/>
        <v>22.25983944064339</v>
      </c>
      <c r="Q511" s="7">
        <v>26.67</v>
      </c>
      <c r="R511" s="7">
        <v>-8</v>
      </c>
      <c r="S511" s="7"/>
      <c r="T511" s="7"/>
    </row>
    <row r="512" spans="1:20" s="5" customFormat="1" ht="14.25" customHeight="1" x14ac:dyDescent="0.35">
      <c r="A512" s="5" t="s">
        <v>327</v>
      </c>
      <c r="B512" s="6" t="s">
        <v>21</v>
      </c>
      <c r="C512" s="6" t="s">
        <v>355</v>
      </c>
      <c r="D512" s="6" t="s">
        <v>356</v>
      </c>
      <c r="E512" s="7">
        <v>64.183333000000005</v>
      </c>
      <c r="F512" s="7">
        <v>-51.683332999999998</v>
      </c>
      <c r="G512" s="7">
        <v>50</v>
      </c>
      <c r="I512" s="5" t="s">
        <v>388</v>
      </c>
      <c r="J512" s="6" t="s">
        <v>100</v>
      </c>
      <c r="K512" s="8">
        <v>43857</v>
      </c>
      <c r="L512" s="8"/>
      <c r="M512" s="8"/>
      <c r="N512" s="7">
        <v>-9.5623833751596017</v>
      </c>
      <c r="O512" s="35">
        <v>-78.22764205651967</v>
      </c>
      <c r="P512" s="35">
        <f t="shared" si="6"/>
        <v>-1.7285750552428567</v>
      </c>
      <c r="Q512" s="7">
        <v>18.54</v>
      </c>
      <c r="R512" s="7">
        <v>-9</v>
      </c>
      <c r="S512" s="7"/>
      <c r="T512" s="7"/>
    </row>
    <row r="513" spans="1:20" s="5" customFormat="1" ht="14.25" customHeight="1" x14ac:dyDescent="0.35">
      <c r="A513" s="5" t="s">
        <v>327</v>
      </c>
      <c r="B513" s="6" t="s">
        <v>21</v>
      </c>
      <c r="C513" s="6" t="s">
        <v>355</v>
      </c>
      <c r="D513" s="6" t="s">
        <v>356</v>
      </c>
      <c r="E513" s="7">
        <v>64.183333000000005</v>
      </c>
      <c r="F513" s="7">
        <v>-51.683332999999998</v>
      </c>
      <c r="G513" s="7">
        <v>50</v>
      </c>
      <c r="I513" s="5" t="s">
        <v>389</v>
      </c>
      <c r="J513" s="6" t="s">
        <v>100</v>
      </c>
      <c r="K513" s="8">
        <v>43861</v>
      </c>
      <c r="L513" s="8"/>
      <c r="M513" s="8"/>
      <c r="N513" s="7">
        <v>-12.700711398758424</v>
      </c>
      <c r="O513" s="35">
        <v>-67.930732570216819</v>
      </c>
      <c r="P513" s="35">
        <f t="shared" si="6"/>
        <v>33.674958619850571</v>
      </c>
      <c r="Q513" s="7">
        <v>2.0299999999999998</v>
      </c>
      <c r="R513" s="7">
        <v>-9</v>
      </c>
      <c r="S513" s="7"/>
      <c r="T513" s="7"/>
    </row>
    <row r="514" spans="1:20" s="5" customFormat="1" ht="14.25" customHeight="1" x14ac:dyDescent="0.35">
      <c r="A514" s="5" t="s">
        <v>327</v>
      </c>
      <c r="B514" s="6" t="s">
        <v>21</v>
      </c>
      <c r="C514" s="6" t="s">
        <v>355</v>
      </c>
      <c r="D514" s="6" t="s">
        <v>356</v>
      </c>
      <c r="E514" s="7">
        <v>64.183333000000005</v>
      </c>
      <c r="F514" s="7">
        <v>-51.683332999999998</v>
      </c>
      <c r="G514" s="7">
        <v>50</v>
      </c>
      <c r="I514" s="5" t="s">
        <v>390</v>
      </c>
      <c r="J514" s="6" t="s">
        <v>100</v>
      </c>
      <c r="K514" s="8">
        <v>43864</v>
      </c>
      <c r="L514" s="8"/>
      <c r="M514" s="8"/>
      <c r="N514" s="7">
        <v>-18.396833795623657</v>
      </c>
      <c r="O514" s="35">
        <v>-134.19788970874629</v>
      </c>
      <c r="P514" s="35">
        <f t="shared" si="6"/>
        <v>12.976780656242966</v>
      </c>
      <c r="Q514" s="7">
        <v>2.79</v>
      </c>
      <c r="R514" s="7">
        <v>-4</v>
      </c>
      <c r="S514" s="7"/>
      <c r="T514" s="7"/>
    </row>
    <row r="515" spans="1:20" s="5" customFormat="1" ht="14.25" customHeight="1" x14ac:dyDescent="0.35">
      <c r="A515" s="5" t="s">
        <v>327</v>
      </c>
      <c r="B515" s="6" t="s">
        <v>21</v>
      </c>
      <c r="C515" s="6" t="s">
        <v>355</v>
      </c>
      <c r="D515" s="6" t="s">
        <v>356</v>
      </c>
      <c r="E515" s="7">
        <v>64.183333000000005</v>
      </c>
      <c r="F515" s="7">
        <v>-51.683332999999998</v>
      </c>
      <c r="G515" s="7">
        <v>50</v>
      </c>
      <c r="I515" s="5" t="s">
        <v>391</v>
      </c>
      <c r="J515" s="6" t="s">
        <v>100</v>
      </c>
      <c r="K515" s="8">
        <v>43865</v>
      </c>
      <c r="L515" s="8"/>
      <c r="M515" s="8"/>
      <c r="N515" s="7">
        <v>-18.540025624091928</v>
      </c>
      <c r="O515" s="35">
        <v>-140.52022384991562</v>
      </c>
      <c r="P515" s="35">
        <f t="shared" si="6"/>
        <v>7.7999811428198029</v>
      </c>
      <c r="Q515" s="7">
        <v>7.62</v>
      </c>
      <c r="R515" s="7">
        <v>1</v>
      </c>
      <c r="S515" s="7"/>
      <c r="T515" s="7"/>
    </row>
    <row r="516" spans="1:20" s="5" customFormat="1" ht="14.25" customHeight="1" x14ac:dyDescent="0.35">
      <c r="A516" s="5" t="s">
        <v>327</v>
      </c>
      <c r="B516" s="6" t="s">
        <v>21</v>
      </c>
      <c r="C516" s="6" t="s">
        <v>355</v>
      </c>
      <c r="D516" s="6" t="s">
        <v>356</v>
      </c>
      <c r="E516" s="7">
        <v>64.183333000000005</v>
      </c>
      <c r="F516" s="7">
        <v>-51.683332999999998</v>
      </c>
      <c r="G516" s="7">
        <v>50</v>
      </c>
      <c r="I516" s="5" t="s">
        <v>392</v>
      </c>
      <c r="J516" s="6" t="s">
        <v>100</v>
      </c>
      <c r="K516" s="8">
        <v>43868</v>
      </c>
      <c r="L516" s="8"/>
      <c r="M516" s="8"/>
      <c r="N516" s="7">
        <v>-8.7330842601153549</v>
      </c>
      <c r="O516" s="35">
        <v>-48.178866793612329</v>
      </c>
      <c r="P516" s="35">
        <f t="shared" si="6"/>
        <v>21.68580728731051</v>
      </c>
      <c r="Q516" s="7">
        <v>2.79</v>
      </c>
      <c r="R516" s="7">
        <v>-6</v>
      </c>
      <c r="S516" s="7"/>
      <c r="T516" s="7"/>
    </row>
    <row r="517" spans="1:20" s="5" customFormat="1" ht="14.25" customHeight="1" x14ac:dyDescent="0.35">
      <c r="A517" s="5" t="s">
        <v>327</v>
      </c>
      <c r="B517" s="6" t="s">
        <v>21</v>
      </c>
      <c r="C517" s="6" t="s">
        <v>355</v>
      </c>
      <c r="D517" s="6" t="s">
        <v>356</v>
      </c>
      <c r="E517" s="7">
        <v>64.183333000000005</v>
      </c>
      <c r="F517" s="7">
        <v>-51.683332999999998</v>
      </c>
      <c r="G517" s="7">
        <v>50</v>
      </c>
      <c r="I517" s="5" t="s">
        <v>393</v>
      </c>
      <c r="J517" s="6" t="s">
        <v>100</v>
      </c>
      <c r="K517" s="8">
        <v>43871</v>
      </c>
      <c r="L517" s="8"/>
      <c r="M517" s="8"/>
      <c r="N517" s="7">
        <v>-10.788736441685378</v>
      </c>
      <c r="O517" s="35">
        <v>-64.624645129181644</v>
      </c>
      <c r="P517" s="35">
        <f t="shared" si="6"/>
        <v>21.685246404301381</v>
      </c>
      <c r="Q517" s="7">
        <v>4.32</v>
      </c>
      <c r="R517" s="7">
        <v>-11</v>
      </c>
      <c r="S517" s="7"/>
      <c r="T517" s="7"/>
    </row>
    <row r="518" spans="1:20" s="5" customFormat="1" ht="14.25" customHeight="1" x14ac:dyDescent="0.35">
      <c r="A518" s="5" t="s">
        <v>327</v>
      </c>
      <c r="B518" s="6" t="s">
        <v>21</v>
      </c>
      <c r="C518" s="6" t="s">
        <v>355</v>
      </c>
      <c r="D518" s="6" t="s">
        <v>356</v>
      </c>
      <c r="E518" s="7">
        <v>64.183333000000005</v>
      </c>
      <c r="F518" s="7">
        <v>-51.683332999999998</v>
      </c>
      <c r="G518" s="7">
        <v>50</v>
      </c>
      <c r="I518" s="5" t="s">
        <v>394</v>
      </c>
      <c r="J518" s="6" t="s">
        <v>100</v>
      </c>
      <c r="K518" s="8">
        <v>43872</v>
      </c>
      <c r="L518" s="8"/>
      <c r="M518" s="8"/>
      <c r="N518" s="7">
        <v>-19.346753823801347</v>
      </c>
      <c r="O518" s="35">
        <v>-139.5711662050461</v>
      </c>
      <c r="P518" s="35">
        <f t="shared" si="6"/>
        <v>15.202864385364677</v>
      </c>
      <c r="Q518" s="7">
        <v>6.1</v>
      </c>
      <c r="R518" s="7">
        <v>-10</v>
      </c>
      <c r="S518" s="7"/>
      <c r="T518" s="7"/>
    </row>
    <row r="519" spans="1:20" s="5" customFormat="1" ht="14.25" customHeight="1" x14ac:dyDescent="0.35">
      <c r="A519" s="5" t="s">
        <v>327</v>
      </c>
      <c r="B519" s="6" t="s">
        <v>21</v>
      </c>
      <c r="C519" s="6" t="s">
        <v>355</v>
      </c>
      <c r="D519" s="6" t="s">
        <v>356</v>
      </c>
      <c r="E519" s="7">
        <v>64.183333000000005</v>
      </c>
      <c r="F519" s="7">
        <v>-51.683332999999998</v>
      </c>
      <c r="G519" s="7">
        <v>50</v>
      </c>
      <c r="I519" s="5" t="s">
        <v>395</v>
      </c>
      <c r="J519" s="6"/>
      <c r="K519" s="8">
        <v>43878</v>
      </c>
      <c r="L519" s="8"/>
      <c r="M519" s="8"/>
      <c r="N519" s="7">
        <v>-12.239072104814467</v>
      </c>
      <c r="O519" s="35">
        <v>-85.879546888595186</v>
      </c>
      <c r="P519" s="35">
        <f t="shared" si="6"/>
        <v>12.033029949920547</v>
      </c>
      <c r="Q519" s="7">
        <v>2.032</v>
      </c>
      <c r="R519" s="7">
        <v>-11</v>
      </c>
      <c r="S519" s="7"/>
      <c r="T519" s="7"/>
    </row>
    <row r="520" spans="1:20" s="5" customFormat="1" ht="14.25" customHeight="1" x14ac:dyDescent="0.35">
      <c r="A520" s="5" t="s">
        <v>327</v>
      </c>
      <c r="B520" s="6" t="s">
        <v>21</v>
      </c>
      <c r="C520" s="6" t="s">
        <v>355</v>
      </c>
      <c r="D520" s="6" t="s">
        <v>356</v>
      </c>
      <c r="E520" s="7">
        <v>64.183333000000005</v>
      </c>
      <c r="F520" s="7">
        <v>-51.683332999999998</v>
      </c>
      <c r="G520" s="7">
        <v>50</v>
      </c>
      <c r="I520" s="5" t="s">
        <v>396</v>
      </c>
      <c r="J520" s="6"/>
      <c r="K520" s="8">
        <v>43879</v>
      </c>
      <c r="L520" s="8"/>
      <c r="M520" s="8"/>
      <c r="N520" s="7">
        <v>-10.792150581056223</v>
      </c>
      <c r="O520" s="35">
        <v>-55.450224607407513</v>
      </c>
      <c r="P520" s="35">
        <f t="shared" si="6"/>
        <v>30.886980041042271</v>
      </c>
      <c r="Q520" s="7">
        <v>2.2859999999999996</v>
      </c>
      <c r="R520" s="7">
        <v>-7</v>
      </c>
      <c r="S520" s="7"/>
      <c r="T520" s="7"/>
    </row>
    <row r="521" spans="1:20" s="5" customFormat="1" ht="14.25" customHeight="1" x14ac:dyDescent="0.35">
      <c r="A521" s="5" t="s">
        <v>327</v>
      </c>
      <c r="B521" s="6" t="s">
        <v>21</v>
      </c>
      <c r="C521" s="6" t="s">
        <v>355</v>
      </c>
      <c r="D521" s="6" t="s">
        <v>356</v>
      </c>
      <c r="E521" s="7">
        <v>64.183333000000005</v>
      </c>
      <c r="F521" s="7">
        <v>-51.683332999999998</v>
      </c>
      <c r="G521" s="7">
        <v>50</v>
      </c>
      <c r="I521" s="5" t="s">
        <v>397</v>
      </c>
      <c r="J521" s="6"/>
      <c r="K521" s="8">
        <v>43885</v>
      </c>
      <c r="L521" s="8"/>
      <c r="M521" s="8"/>
      <c r="N521" s="7">
        <v>-17.712640193834972</v>
      </c>
      <c r="O521" s="35">
        <v>-119.61765232677335</v>
      </c>
      <c r="P521" s="35">
        <f t="shared" ref="P521:P584" si="7">O521-(8*N521)</f>
        <v>22.08346922390642</v>
      </c>
      <c r="Q521" s="7">
        <v>31.75</v>
      </c>
      <c r="R521" s="7">
        <v>-7</v>
      </c>
      <c r="S521" s="7"/>
      <c r="T521" s="7"/>
    </row>
    <row r="522" spans="1:20" s="5" customFormat="1" ht="14.25" customHeight="1" x14ac:dyDescent="0.35">
      <c r="A522" s="5" t="s">
        <v>327</v>
      </c>
      <c r="B522" s="6" t="s">
        <v>21</v>
      </c>
      <c r="C522" s="6" t="s">
        <v>355</v>
      </c>
      <c r="D522" s="6" t="s">
        <v>356</v>
      </c>
      <c r="E522" s="7">
        <v>64.183333000000005</v>
      </c>
      <c r="F522" s="7">
        <v>-51.683332999999998</v>
      </c>
      <c r="G522" s="7">
        <v>50</v>
      </c>
      <c r="I522" s="5" t="s">
        <v>397</v>
      </c>
      <c r="J522" s="6"/>
      <c r="K522" s="8">
        <v>43885</v>
      </c>
      <c r="L522" s="8"/>
      <c r="M522" s="8"/>
      <c r="N522" s="7">
        <v>-14.733218539956031</v>
      </c>
      <c r="O522" s="35">
        <v>-89.473901371998153</v>
      </c>
      <c r="P522" s="35">
        <f t="shared" si="7"/>
        <v>28.391846947650095</v>
      </c>
      <c r="Q522" s="7">
        <v>13.97</v>
      </c>
      <c r="R522" s="7">
        <v>-6.5</v>
      </c>
      <c r="S522" s="7"/>
      <c r="T522" s="7"/>
    </row>
    <row r="523" spans="1:20" s="5" customFormat="1" ht="14.25" customHeight="1" x14ac:dyDescent="0.35">
      <c r="A523" s="5" t="s">
        <v>327</v>
      </c>
      <c r="B523" s="6" t="s">
        <v>21</v>
      </c>
      <c r="C523" s="6" t="s">
        <v>355</v>
      </c>
      <c r="D523" s="6" t="s">
        <v>356</v>
      </c>
      <c r="E523" s="7">
        <v>64.183333000000005</v>
      </c>
      <c r="F523" s="7">
        <v>-51.683332999999998</v>
      </c>
      <c r="G523" s="7">
        <v>50</v>
      </c>
      <c r="I523" s="5" t="s">
        <v>398</v>
      </c>
      <c r="J523" s="6"/>
      <c r="K523" s="8">
        <v>43886</v>
      </c>
      <c r="L523" s="8"/>
      <c r="M523" s="8"/>
      <c r="N523" s="7">
        <v>-13.204428465024455</v>
      </c>
      <c r="O523" s="35">
        <v>-89.007601339009966</v>
      </c>
      <c r="P523" s="35">
        <f t="shared" si="7"/>
        <v>16.62782638118567</v>
      </c>
      <c r="Q523" s="7">
        <v>0.254</v>
      </c>
      <c r="R523" s="7">
        <v>-9</v>
      </c>
      <c r="S523" s="7"/>
      <c r="T523" s="7"/>
    </row>
    <row r="524" spans="1:20" s="5" customFormat="1" ht="14.25" customHeight="1" x14ac:dyDescent="0.35">
      <c r="A524" s="5" t="s">
        <v>327</v>
      </c>
      <c r="B524" s="6" t="s">
        <v>21</v>
      </c>
      <c r="C524" s="6" t="s">
        <v>355</v>
      </c>
      <c r="D524" s="6" t="s">
        <v>356</v>
      </c>
      <c r="E524" s="7">
        <v>64.183333000000005</v>
      </c>
      <c r="F524" s="7">
        <v>-51.683332999999998</v>
      </c>
      <c r="G524" s="7">
        <v>50</v>
      </c>
      <c r="I524" s="5" t="s">
        <v>399</v>
      </c>
      <c r="J524" s="6"/>
      <c r="K524" s="8">
        <v>43955</v>
      </c>
      <c r="L524" s="8"/>
      <c r="M524" s="8"/>
      <c r="N524" s="7">
        <v>-18.816257944092971</v>
      </c>
      <c r="O524" s="35">
        <v>-144.78587209443921</v>
      </c>
      <c r="P524" s="35">
        <f t="shared" si="7"/>
        <v>5.7441914583045559</v>
      </c>
      <c r="Q524" s="7"/>
      <c r="R524" s="7"/>
      <c r="S524" s="7"/>
      <c r="T524" s="7"/>
    </row>
    <row r="525" spans="1:20" s="5" customFormat="1" ht="14.25" customHeight="1" x14ac:dyDescent="0.35">
      <c r="A525" s="5" t="s">
        <v>327</v>
      </c>
      <c r="B525" s="6" t="s">
        <v>21</v>
      </c>
      <c r="C525" s="6" t="s">
        <v>355</v>
      </c>
      <c r="D525" s="6" t="s">
        <v>356</v>
      </c>
      <c r="E525" s="7">
        <v>64.183333000000005</v>
      </c>
      <c r="F525" s="7">
        <v>-51.683332999999998</v>
      </c>
      <c r="G525" s="7">
        <v>50</v>
      </c>
      <c r="I525" s="5" t="s">
        <v>400</v>
      </c>
      <c r="J525" s="6"/>
      <c r="K525" s="8">
        <v>43959</v>
      </c>
      <c r="L525" s="8"/>
      <c r="M525" s="8"/>
      <c r="N525" s="7">
        <v>-13.837611217301568</v>
      </c>
      <c r="O525" s="35">
        <v>-100.31088388383736</v>
      </c>
      <c r="P525" s="35">
        <f t="shared" si="7"/>
        <v>10.390005854575179</v>
      </c>
      <c r="Q525" s="7"/>
      <c r="R525" s="7"/>
      <c r="S525" s="7"/>
      <c r="T525" s="7"/>
    </row>
    <row r="526" spans="1:20" s="5" customFormat="1" ht="14.25" customHeight="1" x14ac:dyDescent="0.35">
      <c r="A526" s="5" t="s">
        <v>327</v>
      </c>
      <c r="B526" s="6" t="s">
        <v>21</v>
      </c>
      <c r="C526" s="6" t="s">
        <v>355</v>
      </c>
      <c r="D526" s="6" t="s">
        <v>356</v>
      </c>
      <c r="E526" s="7">
        <v>64.183333000000005</v>
      </c>
      <c r="F526" s="7">
        <v>-51.683332999999998</v>
      </c>
      <c r="G526" s="7">
        <v>50</v>
      </c>
      <c r="I526" s="5" t="s">
        <v>401</v>
      </c>
      <c r="J526" s="6"/>
      <c r="K526" s="8">
        <v>43964</v>
      </c>
      <c r="L526" s="8"/>
      <c r="M526" s="8"/>
      <c r="N526" s="7">
        <v>-11.668465616727243</v>
      </c>
      <c r="O526" s="35">
        <v>-86.935711470807703</v>
      </c>
      <c r="P526" s="35">
        <f t="shared" si="7"/>
        <v>6.4120134630102399</v>
      </c>
      <c r="Q526" s="7">
        <v>1.5239999999999998</v>
      </c>
      <c r="R526" s="7">
        <v>7</v>
      </c>
      <c r="S526" s="7"/>
      <c r="T526" s="7"/>
    </row>
    <row r="527" spans="1:20" s="5" customFormat="1" ht="14.25" customHeight="1" x14ac:dyDescent="0.35">
      <c r="A527" s="5" t="s">
        <v>327</v>
      </c>
      <c r="B527" s="6" t="s">
        <v>21</v>
      </c>
      <c r="C527" s="6" t="s">
        <v>355</v>
      </c>
      <c r="D527" s="6" t="s">
        <v>356</v>
      </c>
      <c r="E527" s="7">
        <v>64.183333000000005</v>
      </c>
      <c r="F527" s="7">
        <v>-51.683332999999998</v>
      </c>
      <c r="G527" s="7">
        <v>50</v>
      </c>
      <c r="I527" s="5" t="s">
        <v>402</v>
      </c>
      <c r="J527" s="6"/>
      <c r="K527" s="8">
        <v>43976</v>
      </c>
      <c r="L527" s="8"/>
      <c r="M527" s="8"/>
      <c r="N527" s="7">
        <v>-11.636806479113385</v>
      </c>
      <c r="O527" s="35">
        <v>-81.741258908467799</v>
      </c>
      <c r="P527" s="35">
        <f t="shared" si="7"/>
        <v>11.353192924439284</v>
      </c>
      <c r="Q527" s="7">
        <v>1.5239999999999998</v>
      </c>
      <c r="R527" s="7">
        <v>9</v>
      </c>
      <c r="S527" s="7"/>
      <c r="T527" s="7"/>
    </row>
    <row r="528" spans="1:20" s="5" customFormat="1" ht="14.25" customHeight="1" x14ac:dyDescent="0.35">
      <c r="A528" s="5" t="s">
        <v>327</v>
      </c>
      <c r="B528" s="6" t="s">
        <v>21</v>
      </c>
      <c r="C528" s="6" t="s">
        <v>355</v>
      </c>
      <c r="D528" s="6" t="s">
        <v>356</v>
      </c>
      <c r="E528" s="7">
        <v>64.183333000000005</v>
      </c>
      <c r="F528" s="7">
        <v>-51.683332999999998</v>
      </c>
      <c r="G528" s="7">
        <v>50</v>
      </c>
      <c r="I528" s="5" t="s">
        <v>403</v>
      </c>
      <c r="J528" s="6"/>
      <c r="K528" s="8">
        <v>43978</v>
      </c>
      <c r="L528" s="8"/>
      <c r="M528" s="8"/>
      <c r="N528" s="7">
        <v>-12.607604253600757</v>
      </c>
      <c r="O528" s="35">
        <v>-93.550531906650122</v>
      </c>
      <c r="P528" s="35">
        <f t="shared" si="7"/>
        <v>7.3103021221559317</v>
      </c>
      <c r="Q528" s="7">
        <v>4.5719999999999992</v>
      </c>
      <c r="R528" s="7">
        <v>7</v>
      </c>
      <c r="S528" s="7"/>
      <c r="T528" s="7"/>
    </row>
    <row r="529" spans="1:20" s="5" customFormat="1" ht="14.25" customHeight="1" x14ac:dyDescent="0.35">
      <c r="A529" s="5" t="s">
        <v>327</v>
      </c>
      <c r="B529" s="6" t="s">
        <v>21</v>
      </c>
      <c r="C529" s="6" t="s">
        <v>355</v>
      </c>
      <c r="D529" s="6" t="s">
        <v>356</v>
      </c>
      <c r="E529" s="7">
        <v>64.183333000000005</v>
      </c>
      <c r="F529" s="7">
        <v>-51.683332999999998</v>
      </c>
      <c r="G529" s="7">
        <v>50</v>
      </c>
      <c r="I529" s="5" t="s">
        <v>404</v>
      </c>
      <c r="J529" s="6"/>
      <c r="K529" s="8">
        <v>43980</v>
      </c>
      <c r="L529" s="8"/>
      <c r="M529" s="8"/>
      <c r="N529" s="7">
        <v>-6.1533221162801013</v>
      </c>
      <c r="O529" s="35">
        <v>-39.86798792177914</v>
      </c>
      <c r="P529" s="35">
        <f t="shared" si="7"/>
        <v>9.3585890084616707</v>
      </c>
      <c r="Q529" s="7"/>
      <c r="R529" s="7"/>
      <c r="S529" s="7"/>
      <c r="T529" s="7"/>
    </row>
    <row r="530" spans="1:20" s="5" customFormat="1" ht="14.25" customHeight="1" x14ac:dyDescent="0.35">
      <c r="A530" s="5" t="s">
        <v>327</v>
      </c>
      <c r="B530" s="6" t="s">
        <v>21</v>
      </c>
      <c r="C530" s="6" t="s">
        <v>355</v>
      </c>
      <c r="D530" s="6" t="s">
        <v>356</v>
      </c>
      <c r="E530" s="7">
        <v>64.183333000000005</v>
      </c>
      <c r="F530" s="7">
        <v>-51.683332999999998</v>
      </c>
      <c r="G530" s="7">
        <v>50</v>
      </c>
      <c r="I530" s="5" t="s">
        <v>405</v>
      </c>
      <c r="J530" s="6"/>
      <c r="K530" s="8">
        <v>43984</v>
      </c>
      <c r="L530" s="8"/>
      <c r="M530" s="8"/>
      <c r="N530" s="7">
        <v>-8.5826890474267525</v>
      </c>
      <c r="O530" s="35">
        <v>-61.507631781117936</v>
      </c>
      <c r="P530" s="35">
        <f t="shared" si="7"/>
        <v>7.1538805982960838</v>
      </c>
      <c r="Q530" s="7">
        <v>2.54</v>
      </c>
      <c r="R530" s="7">
        <v>3</v>
      </c>
      <c r="S530" s="7"/>
      <c r="T530" s="7"/>
    </row>
    <row r="531" spans="1:20" s="5" customFormat="1" ht="14.25" customHeight="1" x14ac:dyDescent="0.35">
      <c r="A531" s="5" t="s">
        <v>327</v>
      </c>
      <c r="B531" s="6" t="s">
        <v>21</v>
      </c>
      <c r="C531" s="6" t="s">
        <v>355</v>
      </c>
      <c r="D531" s="6" t="s">
        <v>356</v>
      </c>
      <c r="E531" s="7">
        <v>64.183333000000005</v>
      </c>
      <c r="F531" s="7">
        <v>-51.683332999999998</v>
      </c>
      <c r="G531" s="7">
        <v>50</v>
      </c>
      <c r="I531" s="5" t="s">
        <v>406</v>
      </c>
      <c r="J531" s="6"/>
      <c r="K531" s="8">
        <v>43986</v>
      </c>
      <c r="L531" s="8"/>
      <c r="M531" s="8"/>
      <c r="N531" s="7">
        <v>-8.1157167676223825</v>
      </c>
      <c r="O531" s="35">
        <v>-54.846381042204946</v>
      </c>
      <c r="P531" s="35">
        <f t="shared" si="7"/>
        <v>10.079353098774114</v>
      </c>
      <c r="Q531" s="7">
        <v>71.11999999999999</v>
      </c>
      <c r="R531" s="7">
        <v>8</v>
      </c>
      <c r="S531" s="7"/>
      <c r="T531" s="7"/>
    </row>
    <row r="532" spans="1:20" s="5" customFormat="1" ht="14.25" customHeight="1" x14ac:dyDescent="0.35">
      <c r="A532" s="5" t="s">
        <v>327</v>
      </c>
      <c r="B532" s="6" t="s">
        <v>21</v>
      </c>
      <c r="C532" s="6" t="s">
        <v>355</v>
      </c>
      <c r="D532" s="6" t="s">
        <v>356</v>
      </c>
      <c r="E532" s="7">
        <v>64.183333000000005</v>
      </c>
      <c r="F532" s="7">
        <v>-51.683332999999998</v>
      </c>
      <c r="G532" s="7">
        <v>50</v>
      </c>
      <c r="I532" s="5" t="s">
        <v>407</v>
      </c>
      <c r="J532" s="6"/>
      <c r="K532" s="8">
        <v>43991</v>
      </c>
      <c r="L532" s="8"/>
      <c r="M532" s="8"/>
      <c r="N532" s="7">
        <v>-18.150179369138961</v>
      </c>
      <c r="O532" s="35">
        <v>-139.49930780181415</v>
      </c>
      <c r="P532" s="35">
        <f t="shared" si="7"/>
        <v>5.7021271512975318</v>
      </c>
      <c r="Q532" s="7"/>
      <c r="R532" s="7"/>
      <c r="S532" s="7"/>
      <c r="T532" s="7"/>
    </row>
    <row r="533" spans="1:20" s="5" customFormat="1" ht="14.25" customHeight="1" x14ac:dyDescent="0.35">
      <c r="A533" s="5" t="s">
        <v>327</v>
      </c>
      <c r="B533" s="6" t="s">
        <v>21</v>
      </c>
      <c r="C533" s="6" t="s">
        <v>355</v>
      </c>
      <c r="D533" s="6" t="s">
        <v>356</v>
      </c>
      <c r="E533" s="7">
        <v>64.183333000000005</v>
      </c>
      <c r="F533" s="7">
        <v>-51.683332999999998</v>
      </c>
      <c r="G533" s="7">
        <v>50</v>
      </c>
      <c r="I533" s="5" t="s">
        <v>408</v>
      </c>
      <c r="J533" s="6"/>
      <c r="K533" s="8">
        <v>43994</v>
      </c>
      <c r="L533" s="8"/>
      <c r="M533" s="8"/>
      <c r="N533" s="7">
        <v>-14.421079230044423</v>
      </c>
      <c r="O533" s="35">
        <v>-110.67357835355799</v>
      </c>
      <c r="P533" s="35">
        <f t="shared" si="7"/>
        <v>4.6950554867974006</v>
      </c>
      <c r="Q533" s="7">
        <v>11.683999999999999</v>
      </c>
      <c r="R533" s="7">
        <v>5</v>
      </c>
      <c r="S533" s="7"/>
      <c r="T533" s="7"/>
    </row>
    <row r="534" spans="1:20" s="5" customFormat="1" ht="14.25" customHeight="1" x14ac:dyDescent="0.35">
      <c r="A534" s="5" t="s">
        <v>327</v>
      </c>
      <c r="B534" s="6" t="s">
        <v>21</v>
      </c>
      <c r="C534" s="6" t="s">
        <v>355</v>
      </c>
      <c r="D534" s="6" t="s">
        <v>356</v>
      </c>
      <c r="E534" s="7">
        <v>64.183333000000005</v>
      </c>
      <c r="F534" s="7">
        <v>-51.683332999999998</v>
      </c>
      <c r="G534" s="7">
        <v>50</v>
      </c>
      <c r="I534" s="5" t="s">
        <v>409</v>
      </c>
      <c r="J534" s="6"/>
      <c r="K534" s="8">
        <v>43997</v>
      </c>
      <c r="L534" s="8"/>
      <c r="M534" s="8"/>
      <c r="N534" s="7">
        <v>-11.021679328756676</v>
      </c>
      <c r="O534" s="35">
        <v>-82.916994002351245</v>
      </c>
      <c r="P534" s="35">
        <f t="shared" si="7"/>
        <v>5.2564406277021618</v>
      </c>
      <c r="Q534" s="7">
        <v>12.191999999999998</v>
      </c>
      <c r="R534" s="7">
        <v>3</v>
      </c>
      <c r="S534" s="7"/>
      <c r="T534" s="7"/>
    </row>
    <row r="535" spans="1:20" s="5" customFormat="1" ht="14.25" customHeight="1" x14ac:dyDescent="0.35">
      <c r="A535" s="5" t="s">
        <v>327</v>
      </c>
      <c r="B535" s="6" t="s">
        <v>21</v>
      </c>
      <c r="C535" s="6" t="s">
        <v>355</v>
      </c>
      <c r="D535" s="6" t="s">
        <v>356</v>
      </c>
      <c r="E535" s="7">
        <v>64.183333000000005</v>
      </c>
      <c r="F535" s="7">
        <v>-51.683332999999998</v>
      </c>
      <c r="G535" s="7">
        <v>50</v>
      </c>
      <c r="I535" s="5" t="s">
        <v>410</v>
      </c>
      <c r="J535" s="6"/>
      <c r="K535" s="8">
        <v>43998</v>
      </c>
      <c r="L535" s="8"/>
      <c r="M535" s="8"/>
      <c r="N535" s="7">
        <v>-13.722352169426124</v>
      </c>
      <c r="O535" s="35">
        <v>-98.547281243012165</v>
      </c>
      <c r="P535" s="35">
        <f t="shared" si="7"/>
        <v>11.231536112396824</v>
      </c>
      <c r="Q535" s="7">
        <v>9.6519999999999992</v>
      </c>
      <c r="R535" s="7">
        <v>3</v>
      </c>
      <c r="S535" s="7"/>
      <c r="T535" s="7"/>
    </row>
    <row r="536" spans="1:20" s="5" customFormat="1" ht="14.25" customHeight="1" x14ac:dyDescent="0.35">
      <c r="A536" s="5" t="s">
        <v>327</v>
      </c>
      <c r="B536" s="6" t="s">
        <v>21</v>
      </c>
      <c r="C536" s="6" t="s">
        <v>355</v>
      </c>
      <c r="D536" s="6" t="s">
        <v>356</v>
      </c>
      <c r="E536" s="7">
        <v>64.183333000000005</v>
      </c>
      <c r="F536" s="7">
        <v>-51.683332999999998</v>
      </c>
      <c r="G536" s="7">
        <v>50</v>
      </c>
      <c r="I536" s="5" t="s">
        <v>411</v>
      </c>
      <c r="J536" s="6"/>
      <c r="K536" s="8">
        <v>43999</v>
      </c>
      <c r="L536" s="8"/>
      <c r="M536" s="8"/>
      <c r="N536" s="7">
        <v>-10.506723668506304</v>
      </c>
      <c r="O536" s="35">
        <v>-74.76548031004458</v>
      </c>
      <c r="P536" s="35">
        <f t="shared" si="7"/>
        <v>9.2883090380058491</v>
      </c>
      <c r="Q536" s="7">
        <v>0.50800000000000001</v>
      </c>
      <c r="R536" s="7">
        <v>3</v>
      </c>
      <c r="S536" s="7"/>
      <c r="T536" s="7"/>
    </row>
    <row r="537" spans="1:20" s="5" customFormat="1" ht="14.25" customHeight="1" x14ac:dyDescent="0.35">
      <c r="A537" s="5" t="s">
        <v>327</v>
      </c>
      <c r="B537" s="6" t="s">
        <v>21</v>
      </c>
      <c r="C537" s="6" t="s">
        <v>355</v>
      </c>
      <c r="D537" s="6" t="s">
        <v>356</v>
      </c>
      <c r="E537" s="7">
        <v>64.183333000000005</v>
      </c>
      <c r="F537" s="7">
        <v>-51.683332999999998</v>
      </c>
      <c r="G537" s="7">
        <v>50</v>
      </c>
      <c r="I537" s="5" t="s">
        <v>412</v>
      </c>
      <c r="J537" s="6"/>
      <c r="K537" s="8">
        <v>44004</v>
      </c>
      <c r="L537" s="8"/>
      <c r="M537" s="8"/>
      <c r="N537" s="7">
        <v>-4.8204457486427081</v>
      </c>
      <c r="O537" s="35">
        <v>-29.304222597121399</v>
      </c>
      <c r="P537" s="35">
        <f t="shared" si="7"/>
        <v>9.2593433920202664</v>
      </c>
      <c r="Q537" s="7">
        <v>0.7619999999999999</v>
      </c>
      <c r="R537" s="7">
        <v>6</v>
      </c>
      <c r="S537" s="7"/>
      <c r="T537" s="7"/>
    </row>
    <row r="538" spans="1:20" s="5" customFormat="1" ht="14.25" customHeight="1" x14ac:dyDescent="0.35">
      <c r="A538" s="5" t="s">
        <v>327</v>
      </c>
      <c r="B538" s="6" t="s">
        <v>21</v>
      </c>
      <c r="C538" s="6" t="s">
        <v>355</v>
      </c>
      <c r="D538" s="6" t="s">
        <v>356</v>
      </c>
      <c r="E538" s="7">
        <v>64.183333000000005</v>
      </c>
      <c r="F538" s="7">
        <v>-51.683332999999998</v>
      </c>
      <c r="G538" s="7">
        <v>50</v>
      </c>
      <c r="I538" s="5" t="s">
        <v>413</v>
      </c>
      <c r="J538" s="6"/>
      <c r="K538" s="8">
        <v>44008</v>
      </c>
      <c r="L538" s="8"/>
      <c r="M538" s="8"/>
      <c r="N538" s="7">
        <v>-8.1159641046349904</v>
      </c>
      <c r="O538" s="35">
        <v>-66.025350194940202</v>
      </c>
      <c r="P538" s="35">
        <f t="shared" si="7"/>
        <v>-1.0976373578602789</v>
      </c>
      <c r="Q538" s="7">
        <v>0.254</v>
      </c>
      <c r="R538" s="7">
        <v>19</v>
      </c>
      <c r="S538" s="7"/>
      <c r="T538" s="7"/>
    </row>
    <row r="539" spans="1:20" s="5" customFormat="1" ht="14.25" customHeight="1" x14ac:dyDescent="0.35">
      <c r="A539" s="5" t="s">
        <v>327</v>
      </c>
      <c r="B539" s="6" t="s">
        <v>21</v>
      </c>
      <c r="C539" s="6" t="s">
        <v>355</v>
      </c>
      <c r="D539" s="6" t="s">
        <v>356</v>
      </c>
      <c r="E539" s="7">
        <v>64.183333000000005</v>
      </c>
      <c r="F539" s="7">
        <v>-51.683332999999998</v>
      </c>
      <c r="G539" s="7">
        <v>50</v>
      </c>
      <c r="I539" s="5" t="s">
        <v>414</v>
      </c>
      <c r="J539" s="6"/>
      <c r="K539" s="8">
        <v>44018</v>
      </c>
      <c r="L539" s="8"/>
      <c r="M539" s="8"/>
      <c r="N539" s="7">
        <v>-8.6472440077175055</v>
      </c>
      <c r="O539" s="35">
        <v>-65.484661826925006</v>
      </c>
      <c r="P539" s="35">
        <f t="shared" si="7"/>
        <v>3.6932902348150378</v>
      </c>
      <c r="Q539" s="7">
        <v>7.1120000000000001</v>
      </c>
      <c r="R539" s="7">
        <v>6</v>
      </c>
      <c r="S539" s="7"/>
      <c r="T539" s="7"/>
    </row>
    <row r="540" spans="1:20" s="5" customFormat="1" ht="14.25" customHeight="1" x14ac:dyDescent="0.35">
      <c r="A540" s="5" t="s">
        <v>327</v>
      </c>
      <c r="B540" s="6" t="s">
        <v>21</v>
      </c>
      <c r="C540" s="6" t="s">
        <v>355</v>
      </c>
      <c r="D540" s="6" t="s">
        <v>356</v>
      </c>
      <c r="E540" s="7">
        <v>64.183333000000005</v>
      </c>
      <c r="F540" s="7">
        <v>-51.683332999999998</v>
      </c>
      <c r="G540" s="7">
        <v>50</v>
      </c>
      <c r="I540" s="5" t="s">
        <v>415</v>
      </c>
      <c r="J540" s="6"/>
      <c r="K540" s="8">
        <v>44019</v>
      </c>
      <c r="L540" s="8"/>
      <c r="M540" s="8"/>
      <c r="N540" s="7">
        <v>-16.031737856149324</v>
      </c>
      <c r="O540" s="35">
        <v>-120.68430117096955</v>
      </c>
      <c r="P540" s="35">
        <f t="shared" si="7"/>
        <v>7.569601678225041</v>
      </c>
      <c r="Q540" s="7">
        <v>1.5239999999999998</v>
      </c>
      <c r="R540" s="7">
        <v>5</v>
      </c>
      <c r="S540" s="7"/>
      <c r="T540" s="7"/>
    </row>
    <row r="541" spans="1:20" s="5" customFormat="1" ht="14.25" customHeight="1" x14ac:dyDescent="0.35">
      <c r="A541" s="5" t="s">
        <v>327</v>
      </c>
      <c r="B541" s="6" t="s">
        <v>21</v>
      </c>
      <c r="C541" s="6" t="s">
        <v>355</v>
      </c>
      <c r="D541" s="6" t="s">
        <v>356</v>
      </c>
      <c r="E541" s="7">
        <v>64.183333000000005</v>
      </c>
      <c r="F541" s="7">
        <v>-51.683332999999998</v>
      </c>
      <c r="G541" s="7">
        <v>50</v>
      </c>
      <c r="I541" s="5" t="s">
        <v>416</v>
      </c>
      <c r="J541" s="6"/>
      <c r="K541" s="8">
        <v>44020</v>
      </c>
      <c r="L541" s="8"/>
      <c r="M541" s="8"/>
      <c r="N541" s="7">
        <v>-16.21179920132813</v>
      </c>
      <c r="O541" s="35">
        <v>-123.87151681400647</v>
      </c>
      <c r="P541" s="35">
        <f t="shared" si="7"/>
        <v>5.8228767966185728</v>
      </c>
      <c r="Q541" s="7">
        <v>9.9060000000000006</v>
      </c>
      <c r="R541" s="7">
        <v>10</v>
      </c>
      <c r="S541" s="7"/>
      <c r="T541" s="7"/>
    </row>
    <row r="542" spans="1:20" s="5" customFormat="1" ht="14.25" customHeight="1" x14ac:dyDescent="0.35">
      <c r="A542" s="5" t="s">
        <v>327</v>
      </c>
      <c r="B542" s="6" t="s">
        <v>21</v>
      </c>
      <c r="C542" s="6" t="s">
        <v>355</v>
      </c>
      <c r="D542" s="6" t="s">
        <v>356</v>
      </c>
      <c r="E542" s="7">
        <v>64.183333000000005</v>
      </c>
      <c r="F542" s="7">
        <v>-51.683332999999998</v>
      </c>
      <c r="G542" s="7">
        <v>50</v>
      </c>
      <c r="I542" s="5" t="s">
        <v>417</v>
      </c>
      <c r="J542" s="6"/>
      <c r="K542" s="8">
        <v>44022</v>
      </c>
      <c r="L542" s="8"/>
      <c r="M542" s="8"/>
      <c r="N542" s="7">
        <v>-12.915538834298022</v>
      </c>
      <c r="O542" s="35">
        <v>-95.389271758358319</v>
      </c>
      <c r="P542" s="35">
        <f t="shared" si="7"/>
        <v>7.9350389160258601</v>
      </c>
      <c r="Q542" s="7">
        <v>23.875999999999998</v>
      </c>
      <c r="R542" s="7">
        <v>5</v>
      </c>
      <c r="S542" s="7"/>
      <c r="T542" s="7"/>
    </row>
    <row r="543" spans="1:20" s="5" customFormat="1" ht="14.25" customHeight="1" x14ac:dyDescent="0.35">
      <c r="A543" s="5" t="s">
        <v>327</v>
      </c>
      <c r="B543" s="6" t="s">
        <v>21</v>
      </c>
      <c r="C543" s="6" t="s">
        <v>355</v>
      </c>
      <c r="D543" s="6" t="s">
        <v>356</v>
      </c>
      <c r="E543" s="7">
        <v>64.183333000000005</v>
      </c>
      <c r="F543" s="7">
        <v>-51.683332999999998</v>
      </c>
      <c r="G543" s="7">
        <v>50</v>
      </c>
      <c r="I543" s="5" t="s">
        <v>418</v>
      </c>
      <c r="J543" s="6"/>
      <c r="K543" s="8">
        <v>44033</v>
      </c>
      <c r="L543" s="8"/>
      <c r="M543" s="8"/>
      <c r="N543" s="7">
        <v>-7.5042996724547955</v>
      </c>
      <c r="O543" s="35">
        <v>-59.092257520307669</v>
      </c>
      <c r="P543" s="35">
        <f t="shared" si="7"/>
        <v>0.94213985933069466</v>
      </c>
      <c r="Q543" s="7">
        <v>1.778</v>
      </c>
      <c r="R543" s="7">
        <v>11</v>
      </c>
      <c r="S543" s="7"/>
      <c r="T543" s="7"/>
    </row>
    <row r="544" spans="1:20" s="5" customFormat="1" ht="14.25" customHeight="1" x14ac:dyDescent="0.35">
      <c r="A544" s="5" t="s">
        <v>327</v>
      </c>
      <c r="B544" s="6" t="s">
        <v>21</v>
      </c>
      <c r="C544" s="6" t="s">
        <v>355</v>
      </c>
      <c r="D544" s="6" t="s">
        <v>356</v>
      </c>
      <c r="E544" s="7">
        <v>64.183333000000005</v>
      </c>
      <c r="F544" s="7">
        <v>-51.683332999999998</v>
      </c>
      <c r="G544" s="7">
        <v>50</v>
      </c>
      <c r="I544" s="5" t="s">
        <v>419</v>
      </c>
      <c r="J544" s="6"/>
      <c r="K544" s="8">
        <v>44039</v>
      </c>
      <c r="L544" s="8"/>
      <c r="M544" s="8"/>
      <c r="N544" s="7">
        <v>-9.5025669973107618</v>
      </c>
      <c r="O544" s="35">
        <v>-72.952268617858749</v>
      </c>
      <c r="P544" s="35">
        <f t="shared" si="7"/>
        <v>3.0682673606273454</v>
      </c>
      <c r="Q544" s="7">
        <v>0.7619999999999999</v>
      </c>
      <c r="R544" s="7">
        <v>13</v>
      </c>
      <c r="S544" s="7"/>
      <c r="T544" s="7"/>
    </row>
    <row r="545" spans="1:20" s="5" customFormat="1" ht="14.25" customHeight="1" x14ac:dyDescent="0.35">
      <c r="A545" s="5" t="s">
        <v>327</v>
      </c>
      <c r="B545" s="6" t="s">
        <v>21</v>
      </c>
      <c r="C545" s="6" t="s">
        <v>355</v>
      </c>
      <c r="D545" s="6" t="s">
        <v>356</v>
      </c>
      <c r="E545" s="7">
        <v>64.183333000000005</v>
      </c>
      <c r="F545" s="7">
        <v>-51.683332999999998</v>
      </c>
      <c r="G545" s="7">
        <v>50</v>
      </c>
      <c r="I545" s="5" t="s">
        <v>420</v>
      </c>
      <c r="J545" s="6"/>
      <c r="K545" s="8">
        <v>44040</v>
      </c>
      <c r="L545" s="8"/>
      <c r="M545" s="8"/>
      <c r="N545" s="7">
        <v>-11.873946409205134</v>
      </c>
      <c r="O545" s="35">
        <v>-87.399935833135871</v>
      </c>
      <c r="P545" s="35">
        <f t="shared" si="7"/>
        <v>7.5916354405052004</v>
      </c>
      <c r="Q545" s="7">
        <v>16.256</v>
      </c>
      <c r="R545" s="7">
        <v>8</v>
      </c>
      <c r="S545" s="7"/>
      <c r="T545" s="7"/>
    </row>
    <row r="546" spans="1:20" s="5" customFormat="1" ht="14.25" customHeight="1" x14ac:dyDescent="0.35">
      <c r="A546" s="5" t="s">
        <v>327</v>
      </c>
      <c r="B546" s="6" t="s">
        <v>21</v>
      </c>
      <c r="C546" s="6" t="s">
        <v>355</v>
      </c>
      <c r="D546" s="6" t="s">
        <v>356</v>
      </c>
      <c r="E546" s="7">
        <v>64.183333000000005</v>
      </c>
      <c r="F546" s="7">
        <v>-51.683332999999998</v>
      </c>
      <c r="G546" s="7">
        <v>50</v>
      </c>
      <c r="I546" s="5" t="s">
        <v>421</v>
      </c>
      <c r="J546" s="6"/>
      <c r="K546" s="8">
        <v>44046</v>
      </c>
      <c r="L546" s="8"/>
      <c r="M546" s="8"/>
      <c r="N546" s="7">
        <v>-15.033193422386811</v>
      </c>
      <c r="O546" s="35">
        <v>-112.30355622932568</v>
      </c>
      <c r="P546" s="35">
        <f t="shared" si="7"/>
        <v>7.9619911497688065</v>
      </c>
      <c r="Q546" s="7">
        <v>21.335999999999999</v>
      </c>
      <c r="R546" s="7">
        <v>8</v>
      </c>
      <c r="S546" s="7"/>
      <c r="T546" s="7"/>
    </row>
    <row r="547" spans="1:20" s="5" customFormat="1" ht="14.25" customHeight="1" x14ac:dyDescent="0.35">
      <c r="A547" s="5" t="s">
        <v>327</v>
      </c>
      <c r="B547" s="6" t="s">
        <v>21</v>
      </c>
      <c r="C547" s="6" t="s">
        <v>355</v>
      </c>
      <c r="D547" s="6" t="s">
        <v>356</v>
      </c>
      <c r="E547" s="7">
        <v>64.183333000000005</v>
      </c>
      <c r="F547" s="7">
        <v>-51.683332999999998</v>
      </c>
      <c r="G547" s="7">
        <v>50</v>
      </c>
      <c r="I547" s="5" t="s">
        <v>422</v>
      </c>
      <c r="J547" s="6"/>
      <c r="K547" s="8">
        <v>44048</v>
      </c>
      <c r="L547" s="8"/>
      <c r="M547" s="8"/>
      <c r="N547" s="7">
        <v>-17.246610483622099</v>
      </c>
      <c r="O547" s="35">
        <v>-135.61014940166837</v>
      </c>
      <c r="P547" s="35">
        <f t="shared" si="7"/>
        <v>2.3627344673084281</v>
      </c>
      <c r="Q547" s="7">
        <v>3.556</v>
      </c>
      <c r="R547" s="7">
        <v>13</v>
      </c>
      <c r="S547" s="7"/>
      <c r="T547" s="7"/>
    </row>
    <row r="548" spans="1:20" s="5" customFormat="1" ht="14.25" customHeight="1" x14ac:dyDescent="0.35">
      <c r="A548" s="5" t="s">
        <v>327</v>
      </c>
      <c r="B548" s="6" t="s">
        <v>21</v>
      </c>
      <c r="C548" s="6" t="s">
        <v>355</v>
      </c>
      <c r="D548" s="6" t="s">
        <v>356</v>
      </c>
      <c r="E548" s="7">
        <v>64.183333000000005</v>
      </c>
      <c r="F548" s="7">
        <v>-51.683332999999998</v>
      </c>
      <c r="G548" s="7">
        <v>50</v>
      </c>
      <c r="I548" s="5" t="s">
        <v>423</v>
      </c>
      <c r="J548" s="6"/>
      <c r="K548" s="8">
        <v>44053</v>
      </c>
      <c r="L548" s="8"/>
      <c r="M548" s="8"/>
      <c r="N548" s="7">
        <v>-12.272254551867038</v>
      </c>
      <c r="O548" s="35">
        <v>-89.037224247500163</v>
      </c>
      <c r="P548" s="35">
        <f t="shared" si="7"/>
        <v>9.1408121674361382</v>
      </c>
      <c r="Q548" s="7">
        <v>22.605999999999998</v>
      </c>
      <c r="R548" s="7">
        <v>5</v>
      </c>
      <c r="S548" s="7"/>
      <c r="T548" s="7"/>
    </row>
    <row r="549" spans="1:20" s="5" customFormat="1" ht="14.25" customHeight="1" x14ac:dyDescent="0.35">
      <c r="A549" s="5" t="s">
        <v>327</v>
      </c>
      <c r="B549" s="6" t="s">
        <v>21</v>
      </c>
      <c r="C549" s="6" t="s">
        <v>355</v>
      </c>
      <c r="D549" s="6" t="s">
        <v>356</v>
      </c>
      <c r="E549" s="7">
        <v>64.183333000000005</v>
      </c>
      <c r="F549" s="7">
        <v>-51.683332999999998</v>
      </c>
      <c r="G549" s="7">
        <v>50</v>
      </c>
      <c r="I549" s="5" t="s">
        <v>424</v>
      </c>
      <c r="J549" s="6"/>
      <c r="K549" s="8">
        <v>44054</v>
      </c>
      <c r="L549" s="8"/>
      <c r="M549" s="8"/>
      <c r="N549" s="7">
        <v>-11.165303002248381</v>
      </c>
      <c r="O549" s="35">
        <v>-77.16017304493954</v>
      </c>
      <c r="P549" s="35">
        <f t="shared" si="7"/>
        <v>12.162250973047506</v>
      </c>
      <c r="Q549" s="7">
        <v>0.7619999999999999</v>
      </c>
      <c r="R549" s="7">
        <v>6</v>
      </c>
      <c r="S549" s="7"/>
      <c r="T549" s="7"/>
    </row>
    <row r="550" spans="1:20" s="5" customFormat="1" ht="14.25" customHeight="1" x14ac:dyDescent="0.35">
      <c r="A550" s="5" t="s">
        <v>327</v>
      </c>
      <c r="B550" s="6" t="s">
        <v>21</v>
      </c>
      <c r="C550" s="6" t="s">
        <v>355</v>
      </c>
      <c r="D550" s="6" t="s">
        <v>356</v>
      </c>
      <c r="E550" s="7">
        <v>64.183333000000005</v>
      </c>
      <c r="F550" s="7">
        <v>-51.683332999999998</v>
      </c>
      <c r="G550" s="7">
        <v>50</v>
      </c>
      <c r="I550" s="5" t="s">
        <v>425</v>
      </c>
      <c r="J550" s="6"/>
      <c r="K550" s="8">
        <v>44055</v>
      </c>
      <c r="L550" s="8"/>
      <c r="M550" s="8"/>
      <c r="N550" s="7">
        <v>-12.061800096988936</v>
      </c>
      <c r="O550" s="35">
        <v>-89.176796374626306</v>
      </c>
      <c r="P550" s="35">
        <f t="shared" si="7"/>
        <v>7.3176044012851804</v>
      </c>
      <c r="Q550" s="7">
        <v>10.413999999999998</v>
      </c>
      <c r="R550" s="7">
        <v>7</v>
      </c>
      <c r="S550" s="7"/>
      <c r="T550" s="7"/>
    </row>
    <row r="551" spans="1:20" s="5" customFormat="1" ht="14.25" customHeight="1" x14ac:dyDescent="0.35">
      <c r="A551" s="5" t="s">
        <v>327</v>
      </c>
      <c r="B551" s="6" t="s">
        <v>21</v>
      </c>
      <c r="C551" s="6" t="s">
        <v>355</v>
      </c>
      <c r="D551" s="6" t="s">
        <v>356</v>
      </c>
      <c r="E551" s="7">
        <v>64.183333000000005</v>
      </c>
      <c r="F551" s="7">
        <v>-51.683332999999998</v>
      </c>
      <c r="G551" s="7">
        <v>50</v>
      </c>
      <c r="I551" s="5" t="s">
        <v>426</v>
      </c>
      <c r="J551" s="6"/>
      <c r="K551" s="8">
        <v>44055</v>
      </c>
      <c r="L551" s="8"/>
      <c r="M551" s="8"/>
      <c r="N551" s="7">
        <v>-8.0370584156669036</v>
      </c>
      <c r="O551" s="35">
        <v>-59.954718341546453</v>
      </c>
      <c r="P551" s="35">
        <f t="shared" si="7"/>
        <v>4.3417489837887757</v>
      </c>
      <c r="Q551" s="7"/>
      <c r="R551" s="7"/>
      <c r="S551" s="7"/>
      <c r="T551" s="7"/>
    </row>
    <row r="552" spans="1:20" s="5" customFormat="1" ht="14.25" customHeight="1" x14ac:dyDescent="0.35">
      <c r="A552" s="5" t="s">
        <v>327</v>
      </c>
      <c r="B552" s="6" t="s">
        <v>21</v>
      </c>
      <c r="C552" s="6" t="s">
        <v>355</v>
      </c>
      <c r="D552" s="6" t="s">
        <v>356</v>
      </c>
      <c r="E552" s="7">
        <v>64.183333000000005</v>
      </c>
      <c r="F552" s="7">
        <v>-51.683332999999998</v>
      </c>
      <c r="G552" s="7">
        <v>50</v>
      </c>
      <c r="I552" s="5" t="s">
        <v>427</v>
      </c>
      <c r="J552" s="6"/>
      <c r="K552" s="8">
        <v>44078</v>
      </c>
      <c r="L552" s="8"/>
      <c r="M552" s="8"/>
      <c r="N552" s="7">
        <v>-16.31732898729711</v>
      </c>
      <c r="O552" s="35">
        <v>-129.95933828831025</v>
      </c>
      <c r="P552" s="35">
        <f t="shared" si="7"/>
        <v>0.57929361006662816</v>
      </c>
      <c r="Q552" s="7"/>
      <c r="R552" s="7"/>
      <c r="S552" s="7"/>
      <c r="T552" s="7"/>
    </row>
    <row r="553" spans="1:20" s="5" customFormat="1" ht="14.25" customHeight="1" x14ac:dyDescent="0.35">
      <c r="A553" s="5" t="s">
        <v>327</v>
      </c>
      <c r="B553" s="6" t="s">
        <v>21</v>
      </c>
      <c r="C553" s="6" t="s">
        <v>355</v>
      </c>
      <c r="D553" s="6" t="s">
        <v>356</v>
      </c>
      <c r="E553" s="7">
        <v>64.183333000000005</v>
      </c>
      <c r="F553" s="7">
        <v>-51.683332999999998</v>
      </c>
      <c r="G553" s="7">
        <v>50</v>
      </c>
      <c r="I553" s="5" t="s">
        <v>428</v>
      </c>
      <c r="J553" s="6"/>
      <c r="K553" s="8">
        <v>44081</v>
      </c>
      <c r="L553" s="8"/>
      <c r="M553" s="8"/>
      <c r="N553" s="7">
        <v>-12.080182074805931</v>
      </c>
      <c r="O553" s="35">
        <v>-92.068062083584067</v>
      </c>
      <c r="P553" s="35">
        <f t="shared" si="7"/>
        <v>4.5733945148633808</v>
      </c>
      <c r="Q553" s="7"/>
      <c r="R553" s="7"/>
      <c r="S553" s="7"/>
      <c r="T553" s="7"/>
    </row>
    <row r="554" spans="1:20" s="5" customFormat="1" ht="14.25" customHeight="1" x14ac:dyDescent="0.35">
      <c r="A554" s="5" t="s">
        <v>327</v>
      </c>
      <c r="B554" s="6" t="s">
        <v>21</v>
      </c>
      <c r="C554" s="6" t="s">
        <v>355</v>
      </c>
      <c r="D554" s="6" t="s">
        <v>356</v>
      </c>
      <c r="E554" s="7">
        <v>64.183333000000005</v>
      </c>
      <c r="F554" s="7">
        <v>-51.683332999999998</v>
      </c>
      <c r="G554" s="7">
        <v>50</v>
      </c>
      <c r="I554" s="5" t="s">
        <v>429</v>
      </c>
      <c r="J554" s="6"/>
      <c r="K554" s="8">
        <v>44081</v>
      </c>
      <c r="L554" s="8"/>
      <c r="M554" s="8"/>
      <c r="N554" s="7">
        <v>-9.494907321806636</v>
      </c>
      <c r="O554" s="35">
        <v>-66.592054689067069</v>
      </c>
      <c r="P554" s="35">
        <f t="shared" si="7"/>
        <v>9.3672038853860187</v>
      </c>
      <c r="Q554" s="7"/>
      <c r="R554" s="7"/>
      <c r="S554" s="7"/>
      <c r="T554" s="7"/>
    </row>
    <row r="555" spans="1:20" s="5" customFormat="1" ht="14.25" customHeight="1" x14ac:dyDescent="0.35">
      <c r="A555" s="5" t="s">
        <v>327</v>
      </c>
      <c r="B555" s="6" t="s">
        <v>21</v>
      </c>
      <c r="C555" s="6" t="s">
        <v>355</v>
      </c>
      <c r="D555" s="6" t="s">
        <v>356</v>
      </c>
      <c r="E555" s="7">
        <v>64.183333000000005</v>
      </c>
      <c r="F555" s="7">
        <v>-51.683332999999998</v>
      </c>
      <c r="G555" s="7">
        <v>50</v>
      </c>
      <c r="I555" s="5" t="s">
        <v>430</v>
      </c>
      <c r="J555" s="6"/>
      <c r="K555" s="8">
        <v>44083</v>
      </c>
      <c r="L555" s="8"/>
      <c r="M555" s="8"/>
      <c r="N555" s="7">
        <v>-17.837420942131264</v>
      </c>
      <c r="O555" s="35">
        <v>-132.31725893278255</v>
      </c>
      <c r="P555" s="35">
        <f t="shared" si="7"/>
        <v>10.382108604267557</v>
      </c>
      <c r="Q555" s="7"/>
      <c r="R555" s="7"/>
      <c r="S555" s="7"/>
      <c r="T555" s="7"/>
    </row>
    <row r="556" spans="1:20" s="5" customFormat="1" ht="14.25" customHeight="1" x14ac:dyDescent="0.35">
      <c r="A556" s="5" t="s">
        <v>327</v>
      </c>
      <c r="B556" s="6" t="s">
        <v>21</v>
      </c>
      <c r="C556" s="6" t="s">
        <v>355</v>
      </c>
      <c r="D556" s="6" t="s">
        <v>356</v>
      </c>
      <c r="E556" s="7">
        <v>64.183333000000005</v>
      </c>
      <c r="F556" s="7">
        <v>-51.683332999999998</v>
      </c>
      <c r="G556" s="7">
        <v>50</v>
      </c>
      <c r="I556" s="5" t="s">
        <v>431</v>
      </c>
      <c r="J556" s="6"/>
      <c r="K556" s="8">
        <v>44089</v>
      </c>
      <c r="L556" s="8"/>
      <c r="M556" s="8"/>
      <c r="N556" s="7">
        <v>-18.639772741707837</v>
      </c>
      <c r="O556" s="35">
        <v>-147.34521335133172</v>
      </c>
      <c r="P556" s="35">
        <f t="shared" si="7"/>
        <v>1.7729685823309751</v>
      </c>
      <c r="Q556" s="7"/>
      <c r="R556" s="7"/>
      <c r="S556" s="7"/>
      <c r="T556" s="7"/>
    </row>
    <row r="557" spans="1:20" s="5" customFormat="1" ht="14.25" customHeight="1" x14ac:dyDescent="0.35">
      <c r="A557" s="5" t="s">
        <v>327</v>
      </c>
      <c r="B557" s="6" t="s">
        <v>21</v>
      </c>
      <c r="C557" s="6" t="s">
        <v>355</v>
      </c>
      <c r="D557" s="6" t="s">
        <v>356</v>
      </c>
      <c r="E557" s="7">
        <v>64.183333000000005</v>
      </c>
      <c r="F557" s="7">
        <v>-51.683332999999998</v>
      </c>
      <c r="G557" s="7">
        <v>50</v>
      </c>
      <c r="I557" s="5" t="s">
        <v>432</v>
      </c>
      <c r="J557" s="6"/>
      <c r="K557" s="8">
        <v>44091</v>
      </c>
      <c r="L557" s="8"/>
      <c r="M557" s="8"/>
      <c r="N557" s="7">
        <v>-16.21739971771348</v>
      </c>
      <c r="O557" s="35">
        <v>-125.84446847843176</v>
      </c>
      <c r="P557" s="35">
        <f t="shared" si="7"/>
        <v>3.8947292632760764</v>
      </c>
      <c r="Q557" s="7"/>
      <c r="R557" s="7"/>
      <c r="S557" s="7"/>
      <c r="T557" s="7"/>
    </row>
    <row r="558" spans="1:20" s="5" customFormat="1" ht="14.25" customHeight="1" x14ac:dyDescent="0.35">
      <c r="A558" s="5" t="s">
        <v>327</v>
      </c>
      <c r="B558" s="6" t="s">
        <v>21</v>
      </c>
      <c r="C558" s="6" t="s">
        <v>355</v>
      </c>
      <c r="D558" s="6" t="s">
        <v>356</v>
      </c>
      <c r="E558" s="7">
        <v>64.183333000000005</v>
      </c>
      <c r="F558" s="7">
        <v>-51.683332999999998</v>
      </c>
      <c r="G558" s="7">
        <v>50</v>
      </c>
      <c r="I558" s="5" t="s">
        <v>433</v>
      </c>
      <c r="J558" s="6"/>
      <c r="K558" s="8">
        <v>44092</v>
      </c>
      <c r="L558" s="8"/>
      <c r="M558" s="8"/>
      <c r="N558" s="7">
        <v>-16.430387649964718</v>
      </c>
      <c r="O558" s="35">
        <v>-129.94784697036232</v>
      </c>
      <c r="P558" s="35">
        <f t="shared" si="7"/>
        <v>1.4952542293554245</v>
      </c>
      <c r="Q558" s="7"/>
      <c r="R558" s="7"/>
      <c r="S558" s="7"/>
      <c r="T558" s="7"/>
    </row>
    <row r="559" spans="1:20" s="5" customFormat="1" ht="14.25" customHeight="1" x14ac:dyDescent="0.35">
      <c r="A559" s="5" t="s">
        <v>327</v>
      </c>
      <c r="B559" s="6" t="s">
        <v>21</v>
      </c>
      <c r="C559" s="6" t="s">
        <v>355</v>
      </c>
      <c r="D559" s="6" t="s">
        <v>356</v>
      </c>
      <c r="E559" s="7">
        <v>64.183333000000005</v>
      </c>
      <c r="F559" s="7">
        <v>-51.683332999999998</v>
      </c>
      <c r="G559" s="7">
        <v>50</v>
      </c>
      <c r="I559" s="5" t="s">
        <v>434</v>
      </c>
      <c r="J559" s="6"/>
      <c r="K559" s="8">
        <v>44093</v>
      </c>
      <c r="L559" s="8"/>
      <c r="M559" s="8"/>
      <c r="N559" s="7">
        <v>-9.796397088920255</v>
      </c>
      <c r="O559" s="35">
        <v>-64.248070323808292</v>
      </c>
      <c r="P559" s="35">
        <f t="shared" si="7"/>
        <v>14.123106387553747</v>
      </c>
      <c r="Q559" s="7"/>
      <c r="R559" s="7"/>
      <c r="S559" s="7"/>
      <c r="T559" s="7"/>
    </row>
    <row r="560" spans="1:20" s="5" customFormat="1" ht="14.25" customHeight="1" x14ac:dyDescent="0.35">
      <c r="A560" s="5" t="s">
        <v>327</v>
      </c>
      <c r="B560" s="6" t="s">
        <v>21</v>
      </c>
      <c r="C560" s="6" t="s">
        <v>355</v>
      </c>
      <c r="D560" s="6" t="s">
        <v>356</v>
      </c>
      <c r="E560" s="7">
        <v>64.183333000000005</v>
      </c>
      <c r="F560" s="7">
        <v>-51.683332999999998</v>
      </c>
      <c r="G560" s="7">
        <v>50</v>
      </c>
      <c r="I560" s="5" t="s">
        <v>435</v>
      </c>
      <c r="J560" s="6"/>
      <c r="K560" s="8">
        <v>44097</v>
      </c>
      <c r="L560" s="8"/>
      <c r="M560" s="8"/>
      <c r="N560" s="7">
        <v>-12.418871788990826</v>
      </c>
      <c r="O560" s="35">
        <v>-85.631212559836513</v>
      </c>
      <c r="P560" s="35">
        <f t="shared" si="7"/>
        <v>13.719761752090093</v>
      </c>
      <c r="Q560" s="7"/>
      <c r="R560" s="7"/>
      <c r="S560" s="7"/>
      <c r="T560" s="7"/>
    </row>
    <row r="561" spans="1:20" s="5" customFormat="1" ht="14.25" customHeight="1" x14ac:dyDescent="0.35">
      <c r="A561" s="5" t="s">
        <v>327</v>
      </c>
      <c r="B561" s="6" t="s">
        <v>21</v>
      </c>
      <c r="C561" s="6" t="s">
        <v>355</v>
      </c>
      <c r="D561" s="6" t="s">
        <v>356</v>
      </c>
      <c r="E561" s="7">
        <v>64.183333000000005</v>
      </c>
      <c r="F561" s="7">
        <v>-51.683332999999998</v>
      </c>
      <c r="G561" s="7">
        <v>50</v>
      </c>
      <c r="I561" s="5" t="s">
        <v>436</v>
      </c>
      <c r="J561" s="6"/>
      <c r="K561" s="8">
        <v>44102</v>
      </c>
      <c r="L561" s="8"/>
      <c r="M561" s="8"/>
      <c r="N561" s="7">
        <v>-15.696600458715599</v>
      </c>
      <c r="O561" s="35">
        <v>-117.96215785450583</v>
      </c>
      <c r="P561" s="35">
        <f t="shared" si="7"/>
        <v>7.6106458152189589</v>
      </c>
      <c r="Q561" s="7"/>
      <c r="R561" s="7"/>
      <c r="S561" s="7"/>
      <c r="T561" s="7"/>
    </row>
    <row r="562" spans="1:20" s="5" customFormat="1" ht="14.25" customHeight="1" x14ac:dyDescent="0.35">
      <c r="A562" s="5" t="s">
        <v>327</v>
      </c>
      <c r="B562" s="6" t="s">
        <v>21</v>
      </c>
      <c r="C562" s="6" t="s">
        <v>437</v>
      </c>
      <c r="D562" s="6" t="s">
        <v>356</v>
      </c>
      <c r="E562" s="7">
        <v>69.25</v>
      </c>
      <c r="F562" s="7">
        <v>-53.566667000000002</v>
      </c>
      <c r="G562" s="7">
        <v>20</v>
      </c>
      <c r="I562" s="5" t="s">
        <v>438</v>
      </c>
      <c r="J562" s="6" t="s">
        <v>41</v>
      </c>
      <c r="K562" s="8">
        <v>43746</v>
      </c>
      <c r="L562" s="8">
        <v>43729</v>
      </c>
      <c r="M562" s="8">
        <v>43746</v>
      </c>
      <c r="N562" s="7">
        <v>-20.41</v>
      </c>
      <c r="O562" s="35">
        <v>-158.54</v>
      </c>
      <c r="P562" s="35">
        <f t="shared" si="7"/>
        <v>4.7400000000000091</v>
      </c>
      <c r="Q562" s="7">
        <v>11.6</v>
      </c>
      <c r="R562" s="7">
        <v>-1.8</v>
      </c>
      <c r="S562" s="7"/>
      <c r="T562" s="7"/>
    </row>
    <row r="563" spans="1:20" s="5" customFormat="1" ht="14.25" customHeight="1" x14ac:dyDescent="0.35">
      <c r="A563" s="5" t="s">
        <v>327</v>
      </c>
      <c r="B563" s="6" t="s">
        <v>21</v>
      </c>
      <c r="C563" s="6" t="s">
        <v>437</v>
      </c>
      <c r="D563" s="6" t="s">
        <v>356</v>
      </c>
      <c r="E563" s="7">
        <v>69.25</v>
      </c>
      <c r="F563" s="7">
        <v>-53.566667000000002</v>
      </c>
      <c r="G563" s="7">
        <v>20</v>
      </c>
      <c r="I563" s="5" t="s">
        <v>439</v>
      </c>
      <c r="J563" s="6" t="s">
        <v>100</v>
      </c>
      <c r="K563" s="8">
        <v>43753</v>
      </c>
      <c r="L563" s="8">
        <v>43746</v>
      </c>
      <c r="M563" s="8">
        <v>43753</v>
      </c>
      <c r="N563" s="7">
        <v>-1.42</v>
      </c>
      <c r="O563" s="35">
        <v>-50.04</v>
      </c>
      <c r="P563" s="35">
        <f t="shared" si="7"/>
        <v>-38.68</v>
      </c>
      <c r="Q563" s="7">
        <v>2.1</v>
      </c>
      <c r="R563" s="7">
        <v>-2</v>
      </c>
      <c r="S563" s="7"/>
      <c r="T563" s="7"/>
    </row>
    <row r="564" spans="1:20" s="5" customFormat="1" ht="14.25" customHeight="1" x14ac:dyDescent="0.35">
      <c r="A564" s="5" t="s">
        <v>327</v>
      </c>
      <c r="B564" s="6" t="s">
        <v>21</v>
      </c>
      <c r="C564" s="6" t="s">
        <v>437</v>
      </c>
      <c r="D564" s="6" t="s">
        <v>356</v>
      </c>
      <c r="E564" s="7">
        <v>69.25</v>
      </c>
      <c r="F564" s="7">
        <v>-53.566667000000002</v>
      </c>
      <c r="G564" s="7">
        <v>20</v>
      </c>
      <c r="I564" s="5" t="s">
        <v>440</v>
      </c>
      <c r="J564" s="6" t="s">
        <v>41</v>
      </c>
      <c r="K564" s="8">
        <v>43757</v>
      </c>
      <c r="L564" s="8">
        <v>43753</v>
      </c>
      <c r="M564" s="8">
        <v>43757</v>
      </c>
      <c r="N564" s="7">
        <v>-12.65</v>
      </c>
      <c r="O564" s="35">
        <v>-93.33</v>
      </c>
      <c r="P564" s="35">
        <f t="shared" si="7"/>
        <v>7.8700000000000045</v>
      </c>
      <c r="Q564" s="7">
        <v>15.5</v>
      </c>
      <c r="R564" s="7">
        <v>1.6</v>
      </c>
      <c r="S564" s="7"/>
      <c r="T564" s="7"/>
    </row>
    <row r="565" spans="1:20" s="5" customFormat="1" ht="14.25" customHeight="1" x14ac:dyDescent="0.35">
      <c r="A565" s="5" t="s">
        <v>327</v>
      </c>
      <c r="B565" s="6" t="s">
        <v>21</v>
      </c>
      <c r="C565" s="6" t="s">
        <v>437</v>
      </c>
      <c r="D565" s="6" t="s">
        <v>356</v>
      </c>
      <c r="E565" s="7">
        <v>69.25</v>
      </c>
      <c r="F565" s="7">
        <v>-53.566667000000002</v>
      </c>
      <c r="G565" s="7">
        <v>20</v>
      </c>
      <c r="I565" s="5" t="s">
        <v>441</v>
      </c>
      <c r="J565" s="6" t="s">
        <v>100</v>
      </c>
      <c r="K565" s="8">
        <v>43799</v>
      </c>
      <c r="L565" s="8"/>
      <c r="M565" s="8"/>
      <c r="N565" s="7">
        <v>-8.99</v>
      </c>
      <c r="O565" s="35">
        <v>-59.07</v>
      </c>
      <c r="P565" s="35">
        <f t="shared" si="7"/>
        <v>12.850000000000001</v>
      </c>
      <c r="Q565" s="7"/>
      <c r="R565" s="7">
        <v>-3</v>
      </c>
      <c r="S565" s="7"/>
      <c r="T565" s="7"/>
    </row>
    <row r="566" spans="1:20" s="5" customFormat="1" ht="14.25" customHeight="1" x14ac:dyDescent="0.35">
      <c r="A566" s="5" t="s">
        <v>327</v>
      </c>
      <c r="B566" s="6" t="s">
        <v>21</v>
      </c>
      <c r="C566" s="6" t="s">
        <v>437</v>
      </c>
      <c r="D566" s="6" t="s">
        <v>356</v>
      </c>
      <c r="E566" s="7">
        <v>69.25</v>
      </c>
      <c r="F566" s="7">
        <v>-53.566667000000002</v>
      </c>
      <c r="G566" s="7">
        <v>20</v>
      </c>
      <c r="I566" s="5" t="s">
        <v>442</v>
      </c>
      <c r="J566" s="6" t="s">
        <v>100</v>
      </c>
      <c r="K566" s="8">
        <v>43813</v>
      </c>
      <c r="L566" s="8"/>
      <c r="M566" s="8"/>
      <c r="N566" s="7">
        <v>-5.91</v>
      </c>
      <c r="O566" s="35">
        <v>-45.85</v>
      </c>
      <c r="P566" s="35">
        <f t="shared" si="7"/>
        <v>1.4299999999999997</v>
      </c>
      <c r="Q566" s="7"/>
      <c r="R566" s="7">
        <v>-7.9</v>
      </c>
      <c r="S566" s="7"/>
      <c r="T566" s="7"/>
    </row>
    <row r="567" spans="1:20" s="5" customFormat="1" ht="14.25" customHeight="1" x14ac:dyDescent="0.35">
      <c r="A567" s="5" t="s">
        <v>327</v>
      </c>
      <c r="B567" s="6" t="s">
        <v>21</v>
      </c>
      <c r="C567" s="6" t="s">
        <v>437</v>
      </c>
      <c r="D567" s="6" t="s">
        <v>356</v>
      </c>
      <c r="E567" s="7">
        <v>69.25</v>
      </c>
      <c r="F567" s="7">
        <v>-53.566667000000002</v>
      </c>
      <c r="G567" s="7">
        <v>20</v>
      </c>
      <c r="I567" s="5" t="s">
        <v>443</v>
      </c>
      <c r="J567" s="6" t="s">
        <v>100</v>
      </c>
      <c r="K567" s="8">
        <v>43868</v>
      </c>
      <c r="L567" s="8"/>
      <c r="M567" s="8"/>
      <c r="N567" s="7">
        <v>-11.154003953094673</v>
      </c>
      <c r="O567" s="35">
        <v>-92.261927252312546</v>
      </c>
      <c r="P567" s="35">
        <f t="shared" si="7"/>
        <v>-3.0298956275551632</v>
      </c>
      <c r="Q567" s="7"/>
      <c r="R567" s="7">
        <v>-10.6</v>
      </c>
      <c r="S567" s="7"/>
      <c r="T567" s="7"/>
    </row>
    <row r="568" spans="1:20" s="5" customFormat="1" ht="14.25" customHeight="1" x14ac:dyDescent="0.35">
      <c r="A568" s="5" t="s">
        <v>327</v>
      </c>
      <c r="B568" s="6" t="s">
        <v>21</v>
      </c>
      <c r="C568" s="6" t="s">
        <v>437</v>
      </c>
      <c r="D568" s="6" t="s">
        <v>356</v>
      </c>
      <c r="E568" s="7">
        <v>69.25</v>
      </c>
      <c r="F568" s="7">
        <v>-53.566667000000002</v>
      </c>
      <c r="G568" s="7">
        <v>20</v>
      </c>
      <c r="I568" s="5" t="s">
        <v>444</v>
      </c>
      <c r="J568" s="6" t="s">
        <v>100</v>
      </c>
      <c r="K568" s="8">
        <v>43871</v>
      </c>
      <c r="L568" s="8"/>
      <c r="M568" s="8"/>
      <c r="N568" s="7">
        <v>-18.134953865789775</v>
      </c>
      <c r="O568" s="35">
        <v>-126.56527218367097</v>
      </c>
      <c r="P568" s="35">
        <f t="shared" si="7"/>
        <v>18.514358742647232</v>
      </c>
      <c r="Q568" s="7"/>
      <c r="R568" s="7">
        <v>-17</v>
      </c>
      <c r="S568" s="7"/>
      <c r="T568" s="7"/>
    </row>
    <row r="569" spans="1:20" s="5" customFormat="1" ht="14.25" customHeight="1" x14ac:dyDescent="0.35">
      <c r="A569" s="5" t="s">
        <v>327</v>
      </c>
      <c r="B569" s="6" t="s">
        <v>21</v>
      </c>
      <c r="C569" s="6" t="s">
        <v>437</v>
      </c>
      <c r="D569" s="6" t="s">
        <v>356</v>
      </c>
      <c r="E569" s="7">
        <v>69.25</v>
      </c>
      <c r="F569" s="7">
        <v>-53.566667000000002</v>
      </c>
      <c r="G569" s="7">
        <v>20</v>
      </c>
      <c r="I569" s="5" t="s">
        <v>445</v>
      </c>
      <c r="J569" s="6" t="s">
        <v>100</v>
      </c>
      <c r="K569" s="8">
        <v>43878</v>
      </c>
      <c r="L569" s="8"/>
      <c r="M569" s="8"/>
      <c r="N569" s="7">
        <v>-14.722653040603424</v>
      </c>
      <c r="O569" s="35">
        <v>-100.35038993735327</v>
      </c>
      <c r="P569" s="35">
        <f t="shared" si="7"/>
        <v>17.430834387474121</v>
      </c>
      <c r="Q569" s="7"/>
      <c r="R569" s="7">
        <v>-12.8</v>
      </c>
      <c r="S569" s="7"/>
      <c r="T569" s="7"/>
    </row>
    <row r="570" spans="1:20" s="5" customFormat="1" ht="14.25" customHeight="1" x14ac:dyDescent="0.35">
      <c r="A570" s="5" t="s">
        <v>327</v>
      </c>
      <c r="B570" s="6" t="s">
        <v>21</v>
      </c>
      <c r="C570" s="6" t="s">
        <v>437</v>
      </c>
      <c r="D570" s="6" t="s">
        <v>356</v>
      </c>
      <c r="E570" s="7">
        <v>69.25</v>
      </c>
      <c r="F570" s="7">
        <v>-53.566667000000002</v>
      </c>
      <c r="G570" s="7">
        <v>20</v>
      </c>
      <c r="I570" s="5" t="s">
        <v>446</v>
      </c>
      <c r="J570" s="6" t="s">
        <v>100</v>
      </c>
      <c r="K570" s="8">
        <v>43880</v>
      </c>
      <c r="L570" s="8"/>
      <c r="M570" s="8"/>
      <c r="N570" s="7">
        <v>-20.362672309724083</v>
      </c>
      <c r="O570" s="35">
        <v>-143.53539094918847</v>
      </c>
      <c r="P570" s="35">
        <f t="shared" si="7"/>
        <v>19.365987528604194</v>
      </c>
      <c r="Q570" s="7"/>
      <c r="R570" s="7">
        <v>-15.2</v>
      </c>
      <c r="S570" s="7"/>
      <c r="T570" s="7"/>
    </row>
    <row r="571" spans="1:20" s="5" customFormat="1" ht="14.25" customHeight="1" x14ac:dyDescent="0.35">
      <c r="A571" s="5" t="s">
        <v>327</v>
      </c>
      <c r="B571" s="6" t="s">
        <v>21</v>
      </c>
      <c r="C571" s="6" t="s">
        <v>437</v>
      </c>
      <c r="D571" s="6" t="s">
        <v>356</v>
      </c>
      <c r="E571" s="7">
        <v>69.25</v>
      </c>
      <c r="F571" s="7">
        <v>-53.566667000000002</v>
      </c>
      <c r="G571" s="7">
        <v>20</v>
      </c>
      <c r="I571" s="5" t="s">
        <v>447</v>
      </c>
      <c r="J571" s="6" t="s">
        <v>100</v>
      </c>
      <c r="K571" s="8">
        <v>43898</v>
      </c>
      <c r="L571" s="8"/>
      <c r="M571" s="8"/>
      <c r="N571" s="7">
        <v>-11.368738519628092</v>
      </c>
      <c r="O571" s="35">
        <v>-71.216663946679546</v>
      </c>
      <c r="P571" s="35">
        <f t="shared" si="7"/>
        <v>19.733244210345191</v>
      </c>
      <c r="Q571" s="7"/>
      <c r="R571" s="7">
        <v>-15.5</v>
      </c>
      <c r="S571" s="7"/>
      <c r="T571" s="7"/>
    </row>
    <row r="572" spans="1:20" s="5" customFormat="1" ht="14.25" customHeight="1" x14ac:dyDescent="0.35">
      <c r="A572" s="5" t="s">
        <v>327</v>
      </c>
      <c r="B572" s="6" t="s">
        <v>21</v>
      </c>
      <c r="C572" s="6" t="s">
        <v>437</v>
      </c>
      <c r="D572" s="6" t="s">
        <v>356</v>
      </c>
      <c r="E572" s="7">
        <v>69.25</v>
      </c>
      <c r="F572" s="7">
        <v>-53.566667000000002</v>
      </c>
      <c r="G572" s="7">
        <v>20</v>
      </c>
      <c r="I572" s="5" t="s">
        <v>448</v>
      </c>
      <c r="J572" s="6" t="s">
        <v>100</v>
      </c>
      <c r="K572" s="8">
        <v>43904</v>
      </c>
      <c r="L572" s="8"/>
      <c r="M572" s="8"/>
      <c r="N572" s="7">
        <v>-15.951941253113283</v>
      </c>
      <c r="O572" s="35">
        <v>-97.486748331559909</v>
      </c>
      <c r="P572" s="35">
        <f t="shared" si="7"/>
        <v>30.128781693346355</v>
      </c>
      <c r="Q572" s="7"/>
      <c r="R572" s="7">
        <v>-18.8</v>
      </c>
      <c r="S572" s="7"/>
      <c r="T572" s="7"/>
    </row>
    <row r="573" spans="1:20" s="5" customFormat="1" ht="14.25" customHeight="1" x14ac:dyDescent="0.35">
      <c r="A573" s="5" t="s">
        <v>327</v>
      </c>
      <c r="B573" s="6" t="s">
        <v>21</v>
      </c>
      <c r="C573" s="6" t="s">
        <v>437</v>
      </c>
      <c r="D573" s="6" t="s">
        <v>356</v>
      </c>
      <c r="E573" s="7">
        <v>69.25</v>
      </c>
      <c r="F573" s="7">
        <v>-53.566667000000002</v>
      </c>
      <c r="G573" s="7">
        <v>20</v>
      </c>
      <c r="I573" s="5" t="s">
        <v>449</v>
      </c>
      <c r="J573" s="6" t="s">
        <v>100</v>
      </c>
      <c r="K573" s="8">
        <v>43916</v>
      </c>
      <c r="L573" s="8"/>
      <c r="M573" s="8"/>
      <c r="N573" s="7">
        <v>-22.978085585385958</v>
      </c>
      <c r="O573" s="35">
        <v>-153.2612717354171</v>
      </c>
      <c r="P573" s="35">
        <f t="shared" si="7"/>
        <v>30.563412947670571</v>
      </c>
      <c r="Q573" s="7"/>
      <c r="R573" s="7">
        <v>-16.8</v>
      </c>
      <c r="S573" s="7"/>
      <c r="T573" s="7"/>
    </row>
    <row r="574" spans="1:20" s="5" customFormat="1" ht="14.25" customHeight="1" x14ac:dyDescent="0.35">
      <c r="A574" s="5" t="s">
        <v>327</v>
      </c>
      <c r="B574" s="6" t="s">
        <v>21</v>
      </c>
      <c r="C574" s="6" t="s">
        <v>437</v>
      </c>
      <c r="D574" s="6" t="s">
        <v>356</v>
      </c>
      <c r="E574" s="7">
        <v>69.25</v>
      </c>
      <c r="F574" s="7">
        <v>-53.566667000000002</v>
      </c>
      <c r="G574" s="7">
        <v>20</v>
      </c>
      <c r="I574" s="5" t="s">
        <v>450</v>
      </c>
      <c r="J574" s="6" t="s">
        <v>100</v>
      </c>
      <c r="K574" s="8">
        <v>43919</v>
      </c>
      <c r="L574" s="8"/>
      <c r="M574" s="8"/>
      <c r="N574" s="7">
        <v>-15.539084122918199</v>
      </c>
      <c r="O574" s="35">
        <v>-122.69032739940947</v>
      </c>
      <c r="P574" s="35">
        <f t="shared" si="7"/>
        <v>1.6223455839361236</v>
      </c>
      <c r="Q574" s="7"/>
      <c r="R574" s="7">
        <v>-2.2000000000000002</v>
      </c>
      <c r="S574" s="7"/>
      <c r="T574" s="7"/>
    </row>
    <row r="575" spans="1:20" s="5" customFormat="1" ht="14.25" customHeight="1" x14ac:dyDescent="0.35">
      <c r="A575" s="5" t="s">
        <v>327</v>
      </c>
      <c r="B575" s="6" t="s">
        <v>21</v>
      </c>
      <c r="C575" s="6" t="s">
        <v>437</v>
      </c>
      <c r="D575" s="6" t="s">
        <v>356</v>
      </c>
      <c r="E575" s="7">
        <v>69.25</v>
      </c>
      <c r="F575" s="7">
        <v>-53.566667000000002</v>
      </c>
      <c r="G575" s="7">
        <v>20</v>
      </c>
      <c r="I575" s="5" t="s">
        <v>451</v>
      </c>
      <c r="J575" s="6" t="s">
        <v>100</v>
      </c>
      <c r="K575" s="8">
        <v>43934</v>
      </c>
      <c r="L575" s="8"/>
      <c r="M575" s="8"/>
      <c r="N575" s="7">
        <v>-14.99699538214726</v>
      </c>
      <c r="O575" s="35">
        <v>-115.05182347936402</v>
      </c>
      <c r="P575" s="35">
        <f t="shared" si="7"/>
        <v>4.92413957781406</v>
      </c>
      <c r="Q575" s="7"/>
      <c r="R575" s="7">
        <v>0.5</v>
      </c>
      <c r="S575" s="7"/>
      <c r="T575" s="7"/>
    </row>
    <row r="576" spans="1:20" s="5" customFormat="1" ht="14.25" customHeight="1" x14ac:dyDescent="0.35">
      <c r="A576" s="5" t="s">
        <v>327</v>
      </c>
      <c r="B576" s="6" t="s">
        <v>21</v>
      </c>
      <c r="C576" s="6" t="s">
        <v>437</v>
      </c>
      <c r="D576" s="6" t="s">
        <v>356</v>
      </c>
      <c r="E576" s="7">
        <v>69.25</v>
      </c>
      <c r="F576" s="7">
        <v>-53.566667000000002</v>
      </c>
      <c r="G576" s="7">
        <v>20</v>
      </c>
      <c r="I576" s="5" t="s">
        <v>452</v>
      </c>
      <c r="J576" s="6" t="s">
        <v>100</v>
      </c>
      <c r="K576" s="8">
        <v>43935</v>
      </c>
      <c r="L576" s="8"/>
      <c r="M576" s="8"/>
      <c r="N576" s="7">
        <v>-15.996158496051336</v>
      </c>
      <c r="O576" s="35">
        <v>-118.67210239772307</v>
      </c>
      <c r="P576" s="35">
        <f t="shared" si="7"/>
        <v>9.2971655706876248</v>
      </c>
      <c r="Q576" s="7"/>
      <c r="R576" s="7">
        <v>-1.4</v>
      </c>
      <c r="S576" s="7"/>
      <c r="T576" s="7"/>
    </row>
    <row r="577" spans="1:21" s="5" customFormat="1" ht="14.25" customHeight="1" x14ac:dyDescent="0.35">
      <c r="A577" s="5" t="s">
        <v>327</v>
      </c>
      <c r="B577" s="6" t="s">
        <v>21</v>
      </c>
      <c r="C577" s="6" t="s">
        <v>437</v>
      </c>
      <c r="D577" s="6" t="s">
        <v>356</v>
      </c>
      <c r="E577" s="7">
        <v>69.25</v>
      </c>
      <c r="F577" s="7">
        <v>-53.566667000000002</v>
      </c>
      <c r="G577" s="7">
        <v>20</v>
      </c>
      <c r="I577" s="5" t="s">
        <v>453</v>
      </c>
      <c r="J577" s="6" t="s">
        <v>100</v>
      </c>
      <c r="K577" s="8">
        <v>43949</v>
      </c>
      <c r="L577" s="8"/>
      <c r="M577" s="8"/>
      <c r="N577" s="7">
        <v>-12.521318365936024</v>
      </c>
      <c r="O577" s="35">
        <v>-92.197402085903718</v>
      </c>
      <c r="P577" s="35">
        <f t="shared" si="7"/>
        <v>7.973144841584471</v>
      </c>
      <c r="Q577" s="7"/>
      <c r="R577" s="7">
        <v>-1.9</v>
      </c>
      <c r="S577" s="7"/>
      <c r="T577" s="7"/>
    </row>
    <row r="578" spans="1:21" s="5" customFormat="1" ht="14.25" customHeight="1" x14ac:dyDescent="0.35">
      <c r="A578" s="5" t="s">
        <v>327</v>
      </c>
      <c r="B578" s="6" t="s">
        <v>21</v>
      </c>
      <c r="C578" s="6" t="s">
        <v>437</v>
      </c>
      <c r="D578" s="6" t="s">
        <v>356</v>
      </c>
      <c r="E578" s="7">
        <v>69.25</v>
      </c>
      <c r="F578" s="7">
        <v>-53.566667000000002</v>
      </c>
      <c r="G578" s="7">
        <v>20</v>
      </c>
      <c r="I578" s="5" t="s">
        <v>454</v>
      </c>
      <c r="J578" s="6" t="s">
        <v>100</v>
      </c>
      <c r="K578" s="8">
        <v>43955</v>
      </c>
      <c r="L578" s="8"/>
      <c r="M578" s="8"/>
      <c r="N578" s="7">
        <v>-12.327837391312057</v>
      </c>
      <c r="O578" s="35">
        <v>-89.577876603976406</v>
      </c>
      <c r="P578" s="35">
        <f t="shared" si="7"/>
        <v>9.0448225265200506</v>
      </c>
      <c r="Q578" s="7"/>
      <c r="R578" s="7">
        <v>-2.1</v>
      </c>
      <c r="S578" s="7"/>
      <c r="T578" s="7"/>
    </row>
    <row r="579" spans="1:21" s="5" customFormat="1" ht="14.25" customHeight="1" x14ac:dyDescent="0.35">
      <c r="A579" s="5" t="s">
        <v>327</v>
      </c>
      <c r="B579" s="6" t="s">
        <v>21</v>
      </c>
      <c r="C579" s="6" t="s">
        <v>437</v>
      </c>
      <c r="D579" s="6" t="s">
        <v>356</v>
      </c>
      <c r="E579" s="7">
        <v>69.25</v>
      </c>
      <c r="F579" s="7">
        <v>-53.566667000000002</v>
      </c>
      <c r="G579" s="7">
        <v>20</v>
      </c>
      <c r="I579" s="5" t="s">
        <v>455</v>
      </c>
      <c r="J579" s="6" t="s">
        <v>41</v>
      </c>
      <c r="K579" s="8">
        <v>43986</v>
      </c>
      <c r="L579" s="8"/>
      <c r="M579" s="8"/>
      <c r="N579" s="7">
        <v>-13.562744369499127</v>
      </c>
      <c r="O579" s="35">
        <v>-101.09255202247364</v>
      </c>
      <c r="P579" s="35">
        <f t="shared" si="7"/>
        <v>7.4094029335193738</v>
      </c>
      <c r="Q579" s="7"/>
      <c r="R579" s="7">
        <v>5.4</v>
      </c>
      <c r="S579" s="7"/>
      <c r="T579" s="7"/>
    </row>
    <row r="580" spans="1:21" s="5" customFormat="1" ht="14.25" customHeight="1" x14ac:dyDescent="0.35">
      <c r="A580" s="5" t="s">
        <v>327</v>
      </c>
      <c r="B580" s="6" t="s">
        <v>21</v>
      </c>
      <c r="C580" s="6" t="s">
        <v>437</v>
      </c>
      <c r="D580" s="6" t="s">
        <v>356</v>
      </c>
      <c r="E580" s="7">
        <v>69.25</v>
      </c>
      <c r="F580" s="7">
        <v>-53.566667000000002</v>
      </c>
      <c r="G580" s="7">
        <v>20</v>
      </c>
      <c r="I580" s="5" t="s">
        <v>456</v>
      </c>
      <c r="J580" s="6" t="s">
        <v>41</v>
      </c>
      <c r="K580" s="8">
        <v>43989</v>
      </c>
      <c r="L580" s="8"/>
      <c r="M580" s="8"/>
      <c r="N580" s="7">
        <v>-11.118825594072131</v>
      </c>
      <c r="O580" s="35">
        <v>-87.327346750485802</v>
      </c>
      <c r="P580" s="35">
        <f t="shared" si="7"/>
        <v>1.6232580020912479</v>
      </c>
      <c r="Q580" s="7">
        <v>3.7</v>
      </c>
      <c r="R580" s="7">
        <v>8.6</v>
      </c>
      <c r="S580" s="7"/>
      <c r="T580" s="7"/>
    </row>
    <row r="581" spans="1:21" s="5" customFormat="1" ht="14.25" customHeight="1" x14ac:dyDescent="0.35">
      <c r="A581" s="5" t="s">
        <v>327</v>
      </c>
      <c r="B581" s="6" t="s">
        <v>21</v>
      </c>
      <c r="C581" s="6" t="s">
        <v>437</v>
      </c>
      <c r="D581" s="6" t="s">
        <v>356</v>
      </c>
      <c r="E581" s="7">
        <v>69.25</v>
      </c>
      <c r="F581" s="7">
        <v>-53.566667000000002</v>
      </c>
      <c r="G581" s="7">
        <v>20</v>
      </c>
      <c r="I581" s="5" t="s">
        <v>457</v>
      </c>
      <c r="J581" s="6" t="s">
        <v>458</v>
      </c>
      <c r="K581" s="8">
        <v>43996</v>
      </c>
      <c r="L581" s="8"/>
      <c r="M581" s="8"/>
      <c r="N581" s="7">
        <v>-18.00156925449598</v>
      </c>
      <c r="O581" s="35">
        <v>-137.20873518423016</v>
      </c>
      <c r="P581" s="35">
        <f t="shared" si="7"/>
        <v>6.8038188517376739</v>
      </c>
      <c r="Q581" s="7">
        <v>20.6</v>
      </c>
      <c r="R581" s="7">
        <v>4.9000000000000004</v>
      </c>
      <c r="S581" s="7"/>
      <c r="T581" s="7"/>
    </row>
    <row r="582" spans="1:21" s="5" customFormat="1" ht="14.25" customHeight="1" x14ac:dyDescent="0.35">
      <c r="A582" s="5" t="s">
        <v>327</v>
      </c>
      <c r="B582" s="6" t="s">
        <v>21</v>
      </c>
      <c r="C582" s="6" t="s">
        <v>437</v>
      </c>
      <c r="D582" s="6" t="s">
        <v>356</v>
      </c>
      <c r="E582" s="7">
        <v>69.25</v>
      </c>
      <c r="F582" s="7">
        <v>-53.566667000000002</v>
      </c>
      <c r="G582" s="7">
        <v>20</v>
      </c>
      <c r="I582" s="5" t="s">
        <v>459</v>
      </c>
      <c r="J582" s="6" t="s">
        <v>41</v>
      </c>
      <c r="K582" s="8">
        <v>44019</v>
      </c>
      <c r="L582" s="8"/>
      <c r="M582" s="8"/>
      <c r="N582" s="7">
        <v>-13.821696178970601</v>
      </c>
      <c r="O582" s="35">
        <v>-109.45309991491881</v>
      </c>
      <c r="P582" s="35">
        <f t="shared" si="7"/>
        <v>1.1204695168460006</v>
      </c>
      <c r="Q582" s="7">
        <v>6</v>
      </c>
      <c r="R582" s="7">
        <v>7.5</v>
      </c>
      <c r="S582" s="7"/>
      <c r="T582" s="7"/>
    </row>
    <row r="583" spans="1:21" s="5" customFormat="1" ht="14.25" customHeight="1" x14ac:dyDescent="0.35">
      <c r="A583" s="5" t="s">
        <v>327</v>
      </c>
      <c r="B583" s="5" t="s">
        <v>21</v>
      </c>
      <c r="C583" s="5" t="s">
        <v>461</v>
      </c>
      <c r="D583" s="5" t="s">
        <v>462</v>
      </c>
      <c r="E583" s="7">
        <v>64.033332999999999</v>
      </c>
      <c r="F583" s="7">
        <v>-22.7</v>
      </c>
      <c r="G583" s="7">
        <v>3</v>
      </c>
      <c r="I583" s="5" t="s">
        <v>463</v>
      </c>
      <c r="J583" s="5" t="s">
        <v>41</v>
      </c>
      <c r="K583" s="8">
        <v>43746</v>
      </c>
      <c r="N583" s="7">
        <v>-11.01</v>
      </c>
      <c r="O583" s="35">
        <v>-84.11</v>
      </c>
      <c r="P583" s="35">
        <f t="shared" si="7"/>
        <v>3.9699999999999989</v>
      </c>
      <c r="Q583" s="7">
        <v>7.1</v>
      </c>
      <c r="R583" s="7">
        <f t="shared" ref="R583:R587" si="8">Q583*25.4</f>
        <v>180.33999999999997</v>
      </c>
      <c r="S583" s="7">
        <v>17</v>
      </c>
      <c r="T583" s="7"/>
      <c r="U583" s="7"/>
    </row>
    <row r="584" spans="1:21" s="5" customFormat="1" ht="14.25" customHeight="1" x14ac:dyDescent="0.35">
      <c r="A584" s="5" t="s">
        <v>327</v>
      </c>
      <c r="B584" s="5" t="s">
        <v>21</v>
      </c>
      <c r="C584" s="5" t="s">
        <v>461</v>
      </c>
      <c r="D584" s="5" t="s">
        <v>462</v>
      </c>
      <c r="E584" s="7">
        <v>64.033332999999999</v>
      </c>
      <c r="F584" s="7">
        <v>-22.7</v>
      </c>
      <c r="G584" s="7">
        <v>3</v>
      </c>
      <c r="I584" s="5" t="s">
        <v>464</v>
      </c>
      <c r="J584" s="5" t="s">
        <v>41</v>
      </c>
      <c r="K584" s="8">
        <v>43770</v>
      </c>
      <c r="N584" s="7">
        <v>-8.7799999999999994</v>
      </c>
      <c r="O584" s="35">
        <v>-61.73</v>
      </c>
      <c r="P584" s="35">
        <f t="shared" si="7"/>
        <v>8.509999999999998</v>
      </c>
      <c r="Q584" s="7">
        <v>14.7</v>
      </c>
      <c r="R584" s="7">
        <f t="shared" si="8"/>
        <v>373.37999999999994</v>
      </c>
      <c r="S584" s="7">
        <v>8</v>
      </c>
      <c r="T584" s="7"/>
      <c r="U584" s="7"/>
    </row>
    <row r="585" spans="1:21" s="5" customFormat="1" ht="14.25" customHeight="1" x14ac:dyDescent="0.35">
      <c r="A585" s="5" t="s">
        <v>327</v>
      </c>
      <c r="B585" s="5" t="s">
        <v>21</v>
      </c>
      <c r="C585" s="5" t="s">
        <v>461</v>
      </c>
      <c r="D585" s="5" t="s">
        <v>462</v>
      </c>
      <c r="E585" s="7">
        <v>64.033332999999999</v>
      </c>
      <c r="F585" s="7">
        <v>-22.7</v>
      </c>
      <c r="G585" s="7">
        <v>3</v>
      </c>
      <c r="I585" s="5" t="s">
        <v>465</v>
      </c>
      <c r="J585" s="5" t="s">
        <v>41</v>
      </c>
      <c r="K585" s="8">
        <v>43773</v>
      </c>
      <c r="N585" s="7">
        <v>-7.17</v>
      </c>
      <c r="O585" s="35">
        <v>-38.1</v>
      </c>
      <c r="P585" s="35">
        <f t="shared" ref="P585:P605" si="9">O585-(8*N585)</f>
        <v>19.259999999999998</v>
      </c>
      <c r="Q585" s="7">
        <v>1.4</v>
      </c>
      <c r="R585" s="7">
        <f t="shared" si="8"/>
        <v>35.559999999999995</v>
      </c>
      <c r="S585" s="7">
        <v>7</v>
      </c>
      <c r="T585" s="7"/>
      <c r="U585" s="7"/>
    </row>
    <row r="586" spans="1:21" s="5" customFormat="1" ht="14.25" customHeight="1" x14ac:dyDescent="0.35">
      <c r="A586" s="5" t="s">
        <v>327</v>
      </c>
      <c r="B586" s="5" t="s">
        <v>21</v>
      </c>
      <c r="C586" s="5" t="s">
        <v>461</v>
      </c>
      <c r="D586" s="5" t="s">
        <v>462</v>
      </c>
      <c r="E586" s="7">
        <v>64.033332999999999</v>
      </c>
      <c r="F586" s="7">
        <v>-22.7</v>
      </c>
      <c r="G586" s="7">
        <v>3</v>
      </c>
      <c r="I586" s="5" t="s">
        <v>466</v>
      </c>
      <c r="J586" s="5" t="s">
        <v>41</v>
      </c>
      <c r="K586" s="8">
        <v>43782</v>
      </c>
      <c r="N586" s="7">
        <v>-12.11</v>
      </c>
      <c r="O586" s="35">
        <v>-82.37</v>
      </c>
      <c r="P586" s="35">
        <f t="shared" si="9"/>
        <v>14.509999999999991</v>
      </c>
      <c r="Q586" s="7">
        <v>14.5</v>
      </c>
      <c r="R586" s="7">
        <f t="shared" si="8"/>
        <v>368.29999999999995</v>
      </c>
      <c r="S586" s="7">
        <v>12</v>
      </c>
      <c r="T586" s="7"/>
      <c r="U586" s="7"/>
    </row>
    <row r="587" spans="1:21" s="5" customFormat="1" ht="14.25" customHeight="1" x14ac:dyDescent="0.35">
      <c r="A587" s="5" t="s">
        <v>327</v>
      </c>
      <c r="B587" s="5" t="s">
        <v>21</v>
      </c>
      <c r="C587" s="5" t="s">
        <v>461</v>
      </c>
      <c r="D587" s="5" t="s">
        <v>462</v>
      </c>
      <c r="E587" s="7">
        <v>64.033332999999999</v>
      </c>
      <c r="F587" s="7">
        <v>-22.7</v>
      </c>
      <c r="G587" s="7">
        <v>3</v>
      </c>
      <c r="I587" s="5" t="s">
        <v>467</v>
      </c>
      <c r="J587" s="5" t="s">
        <v>41</v>
      </c>
      <c r="K587" s="8">
        <v>43789</v>
      </c>
      <c r="N587" s="7">
        <v>-8.02</v>
      </c>
      <c r="O587" s="35">
        <v>-51.2</v>
      </c>
      <c r="P587" s="35">
        <f t="shared" si="9"/>
        <v>12.959999999999994</v>
      </c>
      <c r="Q587" s="7">
        <v>6.8</v>
      </c>
      <c r="R587" s="7">
        <f t="shared" si="8"/>
        <v>172.72</v>
      </c>
      <c r="S587" s="7">
        <v>6</v>
      </c>
      <c r="T587" s="7"/>
      <c r="U587" s="7"/>
    </row>
    <row r="588" spans="1:21" s="5" customFormat="1" ht="14.25" customHeight="1" x14ac:dyDescent="0.35">
      <c r="A588" s="5" t="s">
        <v>20</v>
      </c>
      <c r="B588" s="5" t="s">
        <v>21</v>
      </c>
      <c r="C588" s="5" t="s">
        <v>470</v>
      </c>
      <c r="D588" s="5" t="s">
        <v>468</v>
      </c>
      <c r="E588" s="19">
        <v>64.547300000000007</v>
      </c>
      <c r="F588" s="19">
        <v>40.560200000000002</v>
      </c>
      <c r="G588" s="7">
        <v>1</v>
      </c>
      <c r="I588" s="5" t="s">
        <v>471</v>
      </c>
      <c r="J588" s="5" t="s">
        <v>41</v>
      </c>
      <c r="K588" s="8">
        <v>43752</v>
      </c>
      <c r="L588" s="8">
        <v>43738</v>
      </c>
      <c r="M588" s="8">
        <v>43752</v>
      </c>
      <c r="N588" s="7">
        <v>-15.39</v>
      </c>
      <c r="O588" s="35">
        <v>-111.57</v>
      </c>
      <c r="P588" s="35">
        <f t="shared" si="9"/>
        <v>11.550000000000011</v>
      </c>
      <c r="Q588" s="7"/>
      <c r="R588" s="7">
        <v>2.5</v>
      </c>
      <c r="S588" s="7"/>
      <c r="T588" s="7"/>
    </row>
    <row r="589" spans="1:21" s="5" customFormat="1" ht="14.25" customHeight="1" x14ac:dyDescent="0.35">
      <c r="A589" s="5" t="s">
        <v>20</v>
      </c>
      <c r="B589" s="5" t="s">
        <v>21</v>
      </c>
      <c r="C589" s="5" t="s">
        <v>470</v>
      </c>
      <c r="D589" s="5" t="s">
        <v>468</v>
      </c>
      <c r="E589" s="19">
        <v>64.547300000000007</v>
      </c>
      <c r="F589" s="19">
        <v>40.560200000000002</v>
      </c>
      <c r="G589" s="7">
        <v>1</v>
      </c>
      <c r="I589" s="5" t="s">
        <v>472</v>
      </c>
      <c r="J589" s="5" t="s">
        <v>41</v>
      </c>
      <c r="K589" s="8">
        <v>43766</v>
      </c>
      <c r="L589" s="8">
        <v>43752</v>
      </c>
      <c r="M589" s="8">
        <v>43766</v>
      </c>
      <c r="N589" s="7">
        <v>-12.72</v>
      </c>
      <c r="O589" s="35">
        <v>-90.64</v>
      </c>
      <c r="P589" s="35">
        <f t="shared" si="9"/>
        <v>11.120000000000005</v>
      </c>
      <c r="Q589" s="7">
        <v>23.37</v>
      </c>
      <c r="R589" s="7">
        <v>0.5</v>
      </c>
      <c r="S589" s="7"/>
      <c r="T589" s="7"/>
    </row>
    <row r="590" spans="1:21" s="5" customFormat="1" ht="14.25" customHeight="1" x14ac:dyDescent="0.35">
      <c r="A590" s="5" t="s">
        <v>20</v>
      </c>
      <c r="B590" s="5" t="s">
        <v>21</v>
      </c>
      <c r="C590" s="5" t="s">
        <v>470</v>
      </c>
      <c r="D590" s="5" t="s">
        <v>468</v>
      </c>
      <c r="E590" s="19">
        <v>64.547300000000007</v>
      </c>
      <c r="F590" s="19">
        <v>40.560200000000002</v>
      </c>
      <c r="G590" s="7">
        <v>1</v>
      </c>
      <c r="I590" s="5" t="s">
        <v>473</v>
      </c>
      <c r="J590" s="5" t="s">
        <v>100</v>
      </c>
      <c r="K590" s="8">
        <v>43783</v>
      </c>
      <c r="L590" s="8"/>
      <c r="M590" s="8"/>
      <c r="N590" s="7">
        <v>-22.71</v>
      </c>
      <c r="O590" s="35">
        <v>-170.37</v>
      </c>
      <c r="P590" s="35">
        <f t="shared" si="9"/>
        <v>11.310000000000002</v>
      </c>
      <c r="Q590" s="7"/>
      <c r="R590" s="7">
        <v>-5</v>
      </c>
      <c r="S590" s="7"/>
      <c r="T590" s="7"/>
    </row>
    <row r="591" spans="1:21" s="5" customFormat="1" ht="14.25" customHeight="1" x14ac:dyDescent="0.35">
      <c r="A591" s="5" t="s">
        <v>20</v>
      </c>
      <c r="B591" s="5" t="s">
        <v>21</v>
      </c>
      <c r="C591" s="5" t="s">
        <v>470</v>
      </c>
      <c r="D591" s="5" t="s">
        <v>468</v>
      </c>
      <c r="E591" s="19">
        <v>64.547300000000007</v>
      </c>
      <c r="F591" s="19">
        <v>40.560200000000002</v>
      </c>
      <c r="G591" s="7">
        <v>1</v>
      </c>
      <c r="I591" s="5" t="s">
        <v>474</v>
      </c>
      <c r="J591" s="5" t="s">
        <v>475</v>
      </c>
      <c r="K591" s="8">
        <v>43805</v>
      </c>
      <c r="L591" s="8">
        <v>43783</v>
      </c>
      <c r="M591" s="8">
        <v>43805</v>
      </c>
      <c r="N591" s="7">
        <v>-15.57</v>
      </c>
      <c r="O591" s="35">
        <v>-110.49</v>
      </c>
      <c r="P591" s="35">
        <f t="shared" si="9"/>
        <v>14.070000000000007</v>
      </c>
      <c r="Q591" s="7"/>
      <c r="R591" s="7">
        <v>0</v>
      </c>
      <c r="S591" s="7"/>
      <c r="T591" s="7"/>
    </row>
    <row r="592" spans="1:21" s="5" customFormat="1" ht="14.25" customHeight="1" x14ac:dyDescent="0.35">
      <c r="A592" s="5" t="s">
        <v>20</v>
      </c>
      <c r="B592" s="5" t="s">
        <v>21</v>
      </c>
      <c r="C592" s="5" t="s">
        <v>470</v>
      </c>
      <c r="D592" s="5" t="s">
        <v>468</v>
      </c>
      <c r="E592" s="19">
        <v>64.547300000000007</v>
      </c>
      <c r="F592" s="19">
        <v>40.560200000000002</v>
      </c>
      <c r="G592" s="7">
        <v>1</v>
      </c>
      <c r="I592" s="5" t="s">
        <v>476</v>
      </c>
      <c r="J592" s="5" t="s">
        <v>100</v>
      </c>
      <c r="K592" s="8">
        <v>43805</v>
      </c>
      <c r="L592" s="8">
        <v>43783</v>
      </c>
      <c r="M592" s="8">
        <v>43805</v>
      </c>
      <c r="N592" s="7">
        <v>-14.27</v>
      </c>
      <c r="O592" s="35">
        <v>-97.81</v>
      </c>
      <c r="P592" s="35">
        <f t="shared" si="9"/>
        <v>16.349999999999994</v>
      </c>
      <c r="Q592" s="7"/>
      <c r="R592" s="7">
        <v>0</v>
      </c>
      <c r="S592" s="7"/>
      <c r="T592" s="7"/>
    </row>
    <row r="593" spans="1:20" s="5" customFormat="1" ht="14.25" customHeight="1" x14ac:dyDescent="0.35">
      <c r="A593" s="5" t="s">
        <v>20</v>
      </c>
      <c r="B593" s="5" t="s">
        <v>21</v>
      </c>
      <c r="C593" s="5" t="s">
        <v>470</v>
      </c>
      <c r="D593" s="5" t="s">
        <v>468</v>
      </c>
      <c r="E593" s="19">
        <v>64.547300000000007</v>
      </c>
      <c r="F593" s="19">
        <v>40.560200000000002</v>
      </c>
      <c r="G593" s="7">
        <v>1</v>
      </c>
      <c r="I593" s="5" t="s">
        <v>477</v>
      </c>
      <c r="J593" s="5" t="s">
        <v>475</v>
      </c>
      <c r="K593" s="8">
        <v>43826</v>
      </c>
      <c r="L593" s="8">
        <v>43805</v>
      </c>
      <c r="M593" s="8">
        <v>43826</v>
      </c>
      <c r="N593" s="7">
        <v>-16.079999999999998</v>
      </c>
      <c r="O593" s="35">
        <v>-121.18</v>
      </c>
      <c r="P593" s="35">
        <f t="shared" si="9"/>
        <v>7.4599999999999795</v>
      </c>
      <c r="Q593" s="7"/>
      <c r="R593" s="7">
        <v>0</v>
      </c>
      <c r="S593" s="7"/>
      <c r="T593" s="7"/>
    </row>
    <row r="594" spans="1:20" s="5" customFormat="1" ht="14.25" customHeight="1" x14ac:dyDescent="0.35">
      <c r="A594" s="5" t="s">
        <v>20</v>
      </c>
      <c r="B594" s="5" t="s">
        <v>21</v>
      </c>
      <c r="C594" s="5" t="s">
        <v>470</v>
      </c>
      <c r="D594" s="5" t="s">
        <v>468</v>
      </c>
      <c r="E594" s="19">
        <v>64.547300000000007</v>
      </c>
      <c r="F594" s="19">
        <v>40.560200000000002</v>
      </c>
      <c r="G594" s="7">
        <v>1</v>
      </c>
      <c r="I594" s="5" t="s">
        <v>478</v>
      </c>
      <c r="J594" s="5" t="s">
        <v>100</v>
      </c>
      <c r="K594" s="8">
        <v>43828</v>
      </c>
      <c r="L594" s="8">
        <v>43811</v>
      </c>
      <c r="M594" s="8">
        <v>43828</v>
      </c>
      <c r="N594" s="7">
        <v>-20.100000000000001</v>
      </c>
      <c r="O594" s="35">
        <v>-148.83000000000001</v>
      </c>
      <c r="P594" s="35">
        <f t="shared" si="9"/>
        <v>11.969999999999999</v>
      </c>
      <c r="Q594" s="7"/>
      <c r="R594" s="7"/>
      <c r="S594" s="7"/>
      <c r="T594" s="7"/>
    </row>
    <row r="595" spans="1:20" s="5" customFormat="1" ht="14.25" customHeight="1" x14ac:dyDescent="0.35">
      <c r="A595" s="5" t="s">
        <v>20</v>
      </c>
      <c r="B595" s="5" t="s">
        <v>21</v>
      </c>
      <c r="C595" s="5" t="s">
        <v>470</v>
      </c>
      <c r="D595" s="5" t="s">
        <v>468</v>
      </c>
      <c r="E595" s="19">
        <v>64.547300000000007</v>
      </c>
      <c r="F595" s="19">
        <v>40.560200000000002</v>
      </c>
      <c r="G595" s="7">
        <v>1</v>
      </c>
      <c r="I595" s="5" t="s">
        <v>479</v>
      </c>
      <c r="J595" s="5" t="s">
        <v>100</v>
      </c>
      <c r="K595" s="8">
        <v>43850</v>
      </c>
      <c r="L595" s="8">
        <v>43826</v>
      </c>
      <c r="M595" s="8">
        <v>43485</v>
      </c>
      <c r="N595" s="7">
        <v>-13.38</v>
      </c>
      <c r="O595" s="35">
        <v>-101.66</v>
      </c>
      <c r="P595" s="35">
        <f t="shared" si="9"/>
        <v>5.3800000000000097</v>
      </c>
      <c r="Q595" s="7"/>
      <c r="R595" s="7">
        <v>-5.5</v>
      </c>
      <c r="S595" s="7"/>
      <c r="T595" s="7"/>
    </row>
    <row r="596" spans="1:20" s="5" customFormat="1" ht="14.25" customHeight="1" x14ac:dyDescent="0.35">
      <c r="A596" s="5" t="s">
        <v>20</v>
      </c>
      <c r="B596" s="5" t="s">
        <v>21</v>
      </c>
      <c r="C596" s="5" t="s">
        <v>470</v>
      </c>
      <c r="D596" s="5" t="s">
        <v>468</v>
      </c>
      <c r="E596" s="19">
        <v>64.547300000000007</v>
      </c>
      <c r="F596" s="19">
        <v>40.560200000000002</v>
      </c>
      <c r="G596" s="7">
        <v>1</v>
      </c>
      <c r="I596" s="5" t="s">
        <v>480</v>
      </c>
      <c r="J596" s="5" t="s">
        <v>100</v>
      </c>
      <c r="K596" s="8">
        <v>43874</v>
      </c>
      <c r="L596" s="8">
        <v>43850</v>
      </c>
      <c r="M596" s="8">
        <v>43874</v>
      </c>
      <c r="N596" s="7">
        <v>-13.59</v>
      </c>
      <c r="O596" s="35">
        <v>-101.08</v>
      </c>
      <c r="P596" s="35">
        <f t="shared" si="9"/>
        <v>7.6400000000000006</v>
      </c>
      <c r="Q596" s="7"/>
      <c r="R596" s="7">
        <v>-17.5</v>
      </c>
      <c r="S596" s="7"/>
      <c r="T596" s="7"/>
    </row>
    <row r="597" spans="1:20" s="5" customFormat="1" x14ac:dyDescent="0.35">
      <c r="A597" s="5" t="s">
        <v>20</v>
      </c>
      <c r="B597" s="5" t="s">
        <v>21</v>
      </c>
      <c r="C597" s="5" t="s">
        <v>481</v>
      </c>
      <c r="D597" s="5" t="s">
        <v>468</v>
      </c>
      <c r="E597" s="7">
        <v>67.633332999999993</v>
      </c>
      <c r="F597" s="7">
        <v>53.05</v>
      </c>
      <c r="G597" s="7">
        <v>3</v>
      </c>
      <c r="I597" s="5" t="s">
        <v>482</v>
      </c>
      <c r="J597" s="5" t="s">
        <v>41</v>
      </c>
      <c r="K597" s="16">
        <v>43713</v>
      </c>
      <c r="L597" s="16"/>
      <c r="M597" s="16"/>
      <c r="N597" s="7">
        <v>-8.4700000000000006</v>
      </c>
      <c r="O597" s="35">
        <v>-59.4</v>
      </c>
      <c r="P597" s="35">
        <f t="shared" si="9"/>
        <v>8.3600000000000065</v>
      </c>
      <c r="Q597" s="7"/>
      <c r="R597" s="7">
        <v>19</v>
      </c>
      <c r="S597" s="7"/>
      <c r="T597" s="7"/>
    </row>
    <row r="598" spans="1:20" s="5" customFormat="1" x14ac:dyDescent="0.35">
      <c r="A598" s="5" t="s">
        <v>20</v>
      </c>
      <c r="B598" s="5" t="s">
        <v>21</v>
      </c>
      <c r="C598" s="5" t="s">
        <v>481</v>
      </c>
      <c r="D598" s="5" t="s">
        <v>468</v>
      </c>
      <c r="E598" s="7">
        <v>67.633332999999993</v>
      </c>
      <c r="F598" s="7">
        <v>53.05</v>
      </c>
      <c r="G598" s="7">
        <v>3</v>
      </c>
      <c r="I598" s="5" t="s">
        <v>483</v>
      </c>
      <c r="J598" s="5" t="s">
        <v>41</v>
      </c>
      <c r="K598" s="16">
        <v>43713</v>
      </c>
      <c r="L598" s="16">
        <v>43712</v>
      </c>
      <c r="M598" s="16">
        <v>43713</v>
      </c>
      <c r="N598" s="7">
        <v>-10.09</v>
      </c>
      <c r="O598" s="35">
        <v>-69.400000000000006</v>
      </c>
      <c r="P598" s="35">
        <f t="shared" si="9"/>
        <v>11.319999999999993</v>
      </c>
      <c r="Q598" s="7">
        <v>7.62</v>
      </c>
      <c r="R598" s="7">
        <v>8</v>
      </c>
      <c r="S598" s="7"/>
      <c r="T598" s="7"/>
    </row>
    <row r="599" spans="1:20" s="5" customFormat="1" x14ac:dyDescent="0.35">
      <c r="A599" s="5" t="s">
        <v>20</v>
      </c>
      <c r="B599" s="5" t="s">
        <v>21</v>
      </c>
      <c r="C599" s="5" t="s">
        <v>481</v>
      </c>
      <c r="D599" s="5" t="s">
        <v>468</v>
      </c>
      <c r="E599" s="7">
        <v>67.633332999999993</v>
      </c>
      <c r="F599" s="7">
        <v>53.05</v>
      </c>
      <c r="G599" s="7">
        <v>3</v>
      </c>
      <c r="I599" s="5" t="s">
        <v>484</v>
      </c>
      <c r="J599" s="5" t="s">
        <v>41</v>
      </c>
      <c r="K599" s="16">
        <v>43714</v>
      </c>
      <c r="L599" s="16">
        <v>43619</v>
      </c>
      <c r="M599" s="16">
        <v>43714</v>
      </c>
      <c r="N599" s="7">
        <v>-15.55</v>
      </c>
      <c r="O599" s="35">
        <v>-112.92</v>
      </c>
      <c r="P599" s="35">
        <f t="shared" si="9"/>
        <v>11.480000000000004</v>
      </c>
      <c r="Q599" s="7">
        <v>5.59</v>
      </c>
      <c r="R599" s="7">
        <v>1.5</v>
      </c>
      <c r="S599" s="7"/>
      <c r="T599" s="7"/>
    </row>
    <row r="600" spans="1:20" s="5" customFormat="1" x14ac:dyDescent="0.35">
      <c r="A600" s="5" t="s">
        <v>20</v>
      </c>
      <c r="B600" s="5" t="s">
        <v>21</v>
      </c>
      <c r="C600" s="5" t="s">
        <v>481</v>
      </c>
      <c r="D600" s="5" t="s">
        <v>468</v>
      </c>
      <c r="E600" s="7">
        <v>67.633332999999993</v>
      </c>
      <c r="F600" s="7">
        <v>53.05</v>
      </c>
      <c r="G600" s="7">
        <v>3</v>
      </c>
      <c r="I600" s="5" t="s">
        <v>485</v>
      </c>
      <c r="J600" s="5" t="s">
        <v>41</v>
      </c>
      <c r="K600" s="16">
        <v>43733</v>
      </c>
      <c r="L600" s="16">
        <v>43731</v>
      </c>
      <c r="M600" s="16">
        <v>43733</v>
      </c>
      <c r="N600" s="7">
        <v>-12.69</v>
      </c>
      <c r="O600" s="35">
        <v>-90.26</v>
      </c>
      <c r="P600" s="35">
        <f t="shared" si="9"/>
        <v>11.259999999999991</v>
      </c>
      <c r="Q600" s="7">
        <v>17.78</v>
      </c>
      <c r="R600" s="7">
        <v>2</v>
      </c>
      <c r="S600" s="7"/>
      <c r="T600" s="7"/>
    </row>
    <row r="601" spans="1:20" s="5" customFormat="1" x14ac:dyDescent="0.35">
      <c r="A601" s="5" t="s">
        <v>20</v>
      </c>
      <c r="B601" s="5" t="s">
        <v>21</v>
      </c>
      <c r="C601" s="5" t="s">
        <v>481</v>
      </c>
      <c r="D601" s="5" t="s">
        <v>468</v>
      </c>
      <c r="E601" s="7">
        <v>67.633332999999993</v>
      </c>
      <c r="F601" s="7">
        <v>53.05</v>
      </c>
      <c r="G601" s="7">
        <v>3</v>
      </c>
      <c r="I601" s="5" t="s">
        <v>486</v>
      </c>
      <c r="J601" s="5" t="s">
        <v>41</v>
      </c>
      <c r="K601" s="16">
        <v>43738</v>
      </c>
      <c r="L601" s="16">
        <v>43733</v>
      </c>
      <c r="M601" s="16">
        <v>43738</v>
      </c>
      <c r="N601" s="7">
        <v>-10.97</v>
      </c>
      <c r="O601" s="35">
        <v>-76.099999999999994</v>
      </c>
      <c r="P601" s="35">
        <f t="shared" si="9"/>
        <v>11.660000000000011</v>
      </c>
      <c r="Q601" s="7">
        <v>8.1300000000000008</v>
      </c>
      <c r="R601" s="7">
        <v>2</v>
      </c>
      <c r="S601" s="7"/>
      <c r="T601" s="7"/>
    </row>
    <row r="602" spans="1:20" s="5" customFormat="1" x14ac:dyDescent="0.35">
      <c r="A602" s="5" t="s">
        <v>20</v>
      </c>
      <c r="B602" s="5" t="s">
        <v>21</v>
      </c>
      <c r="C602" s="5" t="s">
        <v>481</v>
      </c>
      <c r="D602" s="5" t="s">
        <v>468</v>
      </c>
      <c r="E602" s="7">
        <v>67.633332999999993</v>
      </c>
      <c r="F602" s="7">
        <v>53.05</v>
      </c>
      <c r="G602" s="7">
        <v>3</v>
      </c>
      <c r="I602" s="5" t="s">
        <v>487</v>
      </c>
      <c r="J602" s="5" t="s">
        <v>41</v>
      </c>
      <c r="K602" s="16">
        <v>43740</v>
      </c>
      <c r="L602" s="16">
        <v>43739</v>
      </c>
      <c r="M602" s="16">
        <v>43740</v>
      </c>
      <c r="N602" s="7">
        <v>-19.329999999999998</v>
      </c>
      <c r="O602" s="35">
        <v>-143.41999999999999</v>
      </c>
      <c r="P602" s="35">
        <f t="shared" si="9"/>
        <v>11.219999999999999</v>
      </c>
      <c r="Q602" s="7">
        <v>9.4</v>
      </c>
      <c r="R602" s="7">
        <v>4</v>
      </c>
      <c r="S602" s="7"/>
      <c r="T602" s="7"/>
    </row>
    <row r="603" spans="1:20" s="5" customFormat="1" x14ac:dyDescent="0.35">
      <c r="A603" s="5" t="s">
        <v>20</v>
      </c>
      <c r="B603" s="5" t="s">
        <v>21</v>
      </c>
      <c r="C603" s="5" t="s">
        <v>481</v>
      </c>
      <c r="D603" s="5" t="s">
        <v>468</v>
      </c>
      <c r="E603" s="7">
        <v>67.633332999999993</v>
      </c>
      <c r="F603" s="7">
        <v>53.05</v>
      </c>
      <c r="G603" s="7">
        <v>3</v>
      </c>
      <c r="I603" s="5" t="s">
        <v>488</v>
      </c>
      <c r="J603" s="5" t="s">
        <v>41</v>
      </c>
      <c r="K603" s="16">
        <v>43750</v>
      </c>
      <c r="L603" s="16"/>
      <c r="M603" s="16"/>
      <c r="N603" s="7">
        <v>-15.42</v>
      </c>
      <c r="O603" s="35">
        <v>-111.69</v>
      </c>
      <c r="P603" s="35">
        <f t="shared" si="9"/>
        <v>11.670000000000002</v>
      </c>
      <c r="Q603" s="7"/>
      <c r="R603" s="7">
        <v>-0.5</v>
      </c>
      <c r="S603" s="7"/>
      <c r="T603" s="7"/>
    </row>
    <row r="604" spans="1:20" s="5" customFormat="1" x14ac:dyDescent="0.35">
      <c r="A604" s="5" t="s">
        <v>20</v>
      </c>
      <c r="B604" s="5" t="s">
        <v>21</v>
      </c>
      <c r="C604" s="5" t="s">
        <v>481</v>
      </c>
      <c r="D604" s="5" t="s">
        <v>468</v>
      </c>
      <c r="E604" s="7">
        <v>67.633332999999993</v>
      </c>
      <c r="F604" s="7">
        <v>53.05</v>
      </c>
      <c r="G604" s="7">
        <v>3</v>
      </c>
      <c r="I604" s="5" t="s">
        <v>489</v>
      </c>
      <c r="J604" s="5" t="s">
        <v>100</v>
      </c>
      <c r="K604" s="16">
        <v>43783</v>
      </c>
      <c r="L604" s="16">
        <v>43756</v>
      </c>
      <c r="M604" s="16">
        <v>43783</v>
      </c>
      <c r="N604" s="7">
        <v>-15.17</v>
      </c>
      <c r="O604" s="35">
        <v>-108.81</v>
      </c>
      <c r="P604" s="35">
        <f t="shared" si="9"/>
        <v>12.549999999999997</v>
      </c>
      <c r="Q604" s="7"/>
      <c r="R604" s="7">
        <v>-4.5</v>
      </c>
      <c r="S604" s="7"/>
      <c r="T604" s="7"/>
    </row>
    <row r="605" spans="1:20" s="5" customFormat="1" x14ac:dyDescent="0.35">
      <c r="A605" s="5" t="s">
        <v>20</v>
      </c>
      <c r="B605" s="5" t="s">
        <v>21</v>
      </c>
      <c r="C605" s="5" t="s">
        <v>481</v>
      </c>
      <c r="D605" s="5" t="s">
        <v>468</v>
      </c>
      <c r="E605" s="7">
        <v>67.633332999999993</v>
      </c>
      <c r="F605" s="7">
        <v>53.05</v>
      </c>
      <c r="G605" s="7">
        <v>3</v>
      </c>
      <c r="I605" s="5" t="s">
        <v>490</v>
      </c>
      <c r="J605" s="5" t="s">
        <v>100</v>
      </c>
      <c r="K605" s="16">
        <v>43821</v>
      </c>
      <c r="L605" s="16">
        <v>43783</v>
      </c>
      <c r="M605" s="16">
        <v>43821</v>
      </c>
      <c r="N605" s="7">
        <v>-16.57</v>
      </c>
      <c r="O605" s="35">
        <v>-121.83</v>
      </c>
      <c r="P605" s="35">
        <f t="shared" si="9"/>
        <v>10.730000000000004</v>
      </c>
      <c r="Q605" s="7"/>
      <c r="R605" s="7">
        <v>-3</v>
      </c>
      <c r="S605" s="7"/>
      <c r="T605" s="7"/>
    </row>
    <row r="606" spans="1:20" s="5" customFormat="1" x14ac:dyDescent="0.35">
      <c r="A606" s="5" t="s">
        <v>20</v>
      </c>
      <c r="B606" s="5" t="s">
        <v>21</v>
      </c>
      <c r="C606" s="5" t="s">
        <v>491</v>
      </c>
      <c r="D606" s="5" t="s">
        <v>468</v>
      </c>
      <c r="E606" s="7">
        <v>60.933332999999998</v>
      </c>
      <c r="F606" s="7">
        <v>149.73333299999999</v>
      </c>
      <c r="G606" s="7">
        <v>800</v>
      </c>
      <c r="J606" s="5" t="s">
        <v>41</v>
      </c>
      <c r="K606" s="15">
        <v>44020</v>
      </c>
      <c r="N606" s="7">
        <v>-17.638748189629766</v>
      </c>
      <c r="O606" s="35">
        <v>-147.11242471200919</v>
      </c>
      <c r="P606" s="35">
        <f>O606-8*N606</f>
        <v>-6.0024391949710605</v>
      </c>
      <c r="Q606" s="5" t="s">
        <v>492</v>
      </c>
      <c r="R606" s="5">
        <v>13.4</v>
      </c>
    </row>
    <row r="607" spans="1:20" s="5" customFormat="1" x14ac:dyDescent="0.35">
      <c r="A607" s="5" t="s">
        <v>20</v>
      </c>
      <c r="B607" s="5" t="s">
        <v>21</v>
      </c>
      <c r="C607" s="5" t="s">
        <v>491</v>
      </c>
      <c r="D607" s="5" t="s">
        <v>468</v>
      </c>
      <c r="E607" s="7">
        <v>60.933332999999998</v>
      </c>
      <c r="F607" s="7">
        <v>149.73333299999999</v>
      </c>
      <c r="G607" s="7">
        <v>800</v>
      </c>
      <c r="J607" s="5" t="s">
        <v>41</v>
      </c>
      <c r="K607" s="15">
        <v>44021.592361111114</v>
      </c>
      <c r="N607" s="7">
        <v>-9.3521801357939633</v>
      </c>
      <c r="O607" s="35">
        <v>-84.538337461036576</v>
      </c>
      <c r="P607" s="35">
        <f t="shared" ref="P607:P670" si="10">O607-8*N607</f>
        <v>-9.7208963746848696</v>
      </c>
      <c r="Q607" s="5">
        <v>8.1</v>
      </c>
      <c r="R607" s="5">
        <v>14.5</v>
      </c>
    </row>
    <row r="608" spans="1:20" s="5" customFormat="1" x14ac:dyDescent="0.35">
      <c r="A608" s="5" t="s">
        <v>20</v>
      </c>
      <c r="B608" s="5" t="s">
        <v>21</v>
      </c>
      <c r="C608" s="5" t="s">
        <v>491</v>
      </c>
      <c r="D608" s="5" t="s">
        <v>468</v>
      </c>
      <c r="E608" s="7">
        <v>60.933332999999998</v>
      </c>
      <c r="F608" s="7">
        <v>149.73333299999999</v>
      </c>
      <c r="G608" s="7">
        <v>800</v>
      </c>
      <c r="J608" s="5" t="s">
        <v>41</v>
      </c>
      <c r="K608" s="15">
        <v>44022.479166666664</v>
      </c>
      <c r="N608" s="7">
        <v>-19.568107907888752</v>
      </c>
      <c r="O608" s="35">
        <v>-156.61475764147184</v>
      </c>
      <c r="P608" s="35">
        <f t="shared" si="10"/>
        <v>-6.9894378361823328E-2</v>
      </c>
      <c r="Q608" s="5">
        <v>7</v>
      </c>
      <c r="R608" s="5">
        <v>11.8</v>
      </c>
    </row>
    <row r="609" spans="1:20" s="5" customFormat="1" x14ac:dyDescent="0.35">
      <c r="A609" s="5" t="s">
        <v>20</v>
      </c>
      <c r="B609" s="5" t="s">
        <v>21</v>
      </c>
      <c r="C609" s="5" t="s">
        <v>491</v>
      </c>
      <c r="D609" s="5" t="s">
        <v>468</v>
      </c>
      <c r="E609" s="7">
        <v>60.933332999999998</v>
      </c>
      <c r="F609" s="7">
        <v>149.73333299999999</v>
      </c>
      <c r="G609" s="7">
        <v>800</v>
      </c>
      <c r="J609" s="5" t="s">
        <v>41</v>
      </c>
      <c r="K609" s="15">
        <v>44026.736111111109</v>
      </c>
      <c r="N609" s="7">
        <v>-8.6678345631540292</v>
      </c>
      <c r="O609" s="35">
        <v>-85.551932582728753</v>
      </c>
      <c r="P609" s="35">
        <f t="shared" si="10"/>
        <v>-16.209256077496519</v>
      </c>
      <c r="Q609" s="5" t="s">
        <v>492</v>
      </c>
      <c r="R609" s="5">
        <v>19.399999999999999</v>
      </c>
    </row>
    <row r="610" spans="1:20" s="5" customFormat="1" x14ac:dyDescent="0.35">
      <c r="A610" s="5" t="s">
        <v>20</v>
      </c>
      <c r="B610" s="5" t="s">
        <v>21</v>
      </c>
      <c r="C610" s="5" t="s">
        <v>491</v>
      </c>
      <c r="D610" s="5" t="s">
        <v>468</v>
      </c>
      <c r="E610" s="7">
        <v>60.933332999999998</v>
      </c>
      <c r="F610" s="7">
        <v>149.73333299999999</v>
      </c>
      <c r="G610" s="7">
        <v>800</v>
      </c>
      <c r="J610" s="5" t="s">
        <v>100</v>
      </c>
      <c r="K610" s="15">
        <v>44146</v>
      </c>
      <c r="L610" s="5" t="s">
        <v>493</v>
      </c>
      <c r="N610" s="7">
        <v>-25.142219202017866</v>
      </c>
      <c r="O610" s="35">
        <v>-184.90332273113259</v>
      </c>
      <c r="P610" s="35">
        <f t="shared" si="10"/>
        <v>16.23443088501034</v>
      </c>
      <c r="Q610" s="5">
        <v>10.3</v>
      </c>
      <c r="R610" s="5">
        <v>-23.9</v>
      </c>
    </row>
    <row r="611" spans="1:20" s="5" customFormat="1" ht="14.25" customHeight="1" x14ac:dyDescent="0.35">
      <c r="A611" s="5" t="s">
        <v>20</v>
      </c>
      <c r="B611" s="5" t="s">
        <v>21</v>
      </c>
      <c r="C611" s="5" t="s">
        <v>491</v>
      </c>
      <c r="D611" s="5" t="s">
        <v>468</v>
      </c>
      <c r="E611" s="7">
        <v>60.933332999999998</v>
      </c>
      <c r="F611" s="7">
        <v>149.73333299999999</v>
      </c>
      <c r="G611" s="7">
        <v>800</v>
      </c>
      <c r="J611" s="5" t="s">
        <v>100</v>
      </c>
      <c r="K611" s="21">
        <v>44195</v>
      </c>
      <c r="N611" s="7">
        <v>-31.437599503259008</v>
      </c>
      <c r="O611" s="35">
        <v>-231.94793092718214</v>
      </c>
      <c r="P611" s="35">
        <f t="shared" si="10"/>
        <v>19.552865098889924</v>
      </c>
      <c r="Q611" s="5">
        <v>25.2</v>
      </c>
      <c r="R611" s="5">
        <v>-23.8</v>
      </c>
    </row>
    <row r="612" spans="1:20" s="5" customFormat="1" ht="14.25" customHeight="1" x14ac:dyDescent="0.35">
      <c r="A612" s="5" t="s">
        <v>494</v>
      </c>
      <c r="B612" s="5" t="s">
        <v>21</v>
      </c>
      <c r="C612" s="5" t="s">
        <v>495</v>
      </c>
      <c r="D612" s="5" t="s">
        <v>496</v>
      </c>
      <c r="E612" s="7">
        <v>68.627778000000006</v>
      </c>
      <c r="F612" s="7">
        <v>-149.59472199999999</v>
      </c>
      <c r="G612" s="7">
        <v>719</v>
      </c>
      <c r="I612" s="5" t="s">
        <v>497</v>
      </c>
      <c r="K612" s="8">
        <v>43745</v>
      </c>
      <c r="L612" s="8"/>
      <c r="M612" s="8"/>
      <c r="N612" s="9">
        <v>-18.163284825562901</v>
      </c>
      <c r="O612" s="41">
        <v>-126.21044152200446</v>
      </c>
      <c r="P612" s="41">
        <f t="shared" si="10"/>
        <v>19.095837082498747</v>
      </c>
      <c r="Q612" s="7"/>
      <c r="R612" s="7"/>
      <c r="S612" s="7"/>
      <c r="T612" s="7"/>
    </row>
    <row r="613" spans="1:20" s="5" customFormat="1" ht="14.25" customHeight="1" x14ac:dyDescent="0.35">
      <c r="A613" s="5" t="s">
        <v>494</v>
      </c>
      <c r="B613" s="5" t="s">
        <v>21</v>
      </c>
      <c r="C613" s="5" t="s">
        <v>495</v>
      </c>
      <c r="D613" s="5" t="s">
        <v>496</v>
      </c>
      <c r="E613" s="7">
        <v>68.627778000000006</v>
      </c>
      <c r="F613" s="7">
        <v>-149.59472199999999</v>
      </c>
      <c r="G613" s="7">
        <v>719</v>
      </c>
      <c r="I613" s="5" t="s">
        <v>498</v>
      </c>
      <c r="K613" s="8">
        <v>43760</v>
      </c>
      <c r="L613" s="8"/>
      <c r="M613" s="8"/>
      <c r="N613" s="9">
        <v>-28.356675161712207</v>
      </c>
      <c r="O613" s="41">
        <v>-216.3400734639456</v>
      </c>
      <c r="P613" s="41">
        <f t="shared" si="10"/>
        <v>10.513327829752058</v>
      </c>
      <c r="Q613" s="7"/>
      <c r="R613" s="7"/>
      <c r="S613" s="7"/>
      <c r="T613" s="7"/>
    </row>
    <row r="614" spans="1:20" s="5" customFormat="1" ht="14.25" customHeight="1" x14ac:dyDescent="0.35">
      <c r="A614" s="5" t="s">
        <v>494</v>
      </c>
      <c r="B614" s="5" t="s">
        <v>21</v>
      </c>
      <c r="C614" s="5" t="s">
        <v>495</v>
      </c>
      <c r="D614" s="5" t="s">
        <v>496</v>
      </c>
      <c r="E614" s="7">
        <v>68.627778000000006</v>
      </c>
      <c r="F614" s="7">
        <v>-149.59472199999999</v>
      </c>
      <c r="G614" s="7">
        <v>719</v>
      </c>
      <c r="I614" s="5" t="s">
        <v>499</v>
      </c>
      <c r="K614" s="8">
        <v>43768</v>
      </c>
      <c r="L614" s="8"/>
      <c r="M614" s="8"/>
      <c r="N614" s="9">
        <v>-25.24254229260189</v>
      </c>
      <c r="O614" s="41">
        <v>-194.83398874696525</v>
      </c>
      <c r="P614" s="41">
        <f t="shared" si="10"/>
        <v>7.1063495938498704</v>
      </c>
      <c r="Q614" s="7"/>
      <c r="R614" s="7"/>
      <c r="S614" s="7"/>
      <c r="T614" s="7"/>
    </row>
    <row r="615" spans="1:20" s="5" customFormat="1" ht="14.25" customHeight="1" x14ac:dyDescent="0.35">
      <c r="A615" s="5" t="s">
        <v>494</v>
      </c>
      <c r="B615" s="5" t="s">
        <v>21</v>
      </c>
      <c r="C615" s="5" t="s">
        <v>495</v>
      </c>
      <c r="D615" s="5" t="s">
        <v>496</v>
      </c>
      <c r="E615" s="7">
        <v>68.627778000000006</v>
      </c>
      <c r="F615" s="7">
        <v>-149.59472199999999</v>
      </c>
      <c r="G615" s="7">
        <v>719</v>
      </c>
      <c r="I615" s="5" t="s">
        <v>500</v>
      </c>
      <c r="K615" s="8">
        <v>43771</v>
      </c>
      <c r="L615" s="8"/>
      <c r="M615" s="8"/>
      <c r="N615" s="9">
        <v>-19.684791788908132</v>
      </c>
      <c r="O615" s="41">
        <v>-149.82707829349965</v>
      </c>
      <c r="P615" s="41">
        <f t="shared" si="10"/>
        <v>7.6512560177654052</v>
      </c>
      <c r="Q615" s="7"/>
      <c r="R615" s="7"/>
      <c r="S615" s="7"/>
      <c r="T615" s="7"/>
    </row>
    <row r="616" spans="1:20" s="5" customFormat="1" ht="14.25" customHeight="1" x14ac:dyDescent="0.35">
      <c r="A616" s="5" t="s">
        <v>494</v>
      </c>
      <c r="B616" s="5" t="s">
        <v>21</v>
      </c>
      <c r="C616" s="5" t="s">
        <v>495</v>
      </c>
      <c r="D616" s="5" t="s">
        <v>496</v>
      </c>
      <c r="E616" s="7">
        <v>68.627778000000006</v>
      </c>
      <c r="F616" s="7">
        <v>-149.59472199999999</v>
      </c>
      <c r="G616" s="7">
        <v>719</v>
      </c>
      <c r="I616" s="5" t="s">
        <v>501</v>
      </c>
      <c r="K616" s="8">
        <v>43792</v>
      </c>
      <c r="L616" s="8"/>
      <c r="M616" s="8"/>
      <c r="N616" s="9">
        <v>-36.170990739104305</v>
      </c>
      <c r="O616" s="41">
        <v>-279.2962252821946</v>
      </c>
      <c r="P616" s="41">
        <f t="shared" si="10"/>
        <v>10.071700630639839</v>
      </c>
      <c r="Q616" s="7"/>
      <c r="R616" s="7"/>
      <c r="S616" s="7"/>
      <c r="T616" s="7"/>
    </row>
    <row r="617" spans="1:20" s="5" customFormat="1" ht="14.25" customHeight="1" x14ac:dyDescent="0.35">
      <c r="A617" s="5" t="s">
        <v>494</v>
      </c>
      <c r="B617" s="5" t="s">
        <v>21</v>
      </c>
      <c r="C617" s="5" t="s">
        <v>495</v>
      </c>
      <c r="D617" s="5" t="s">
        <v>496</v>
      </c>
      <c r="E617" s="7">
        <v>68.627778000000006</v>
      </c>
      <c r="F617" s="7">
        <v>-149.59472199999999</v>
      </c>
      <c r="G617" s="7">
        <v>719</v>
      </c>
      <c r="I617" s="5" t="s">
        <v>502</v>
      </c>
      <c r="K617" s="8">
        <v>43830</v>
      </c>
      <c r="L617" s="8"/>
      <c r="M617" s="8"/>
      <c r="N617" s="9">
        <v>-35.739162366123502</v>
      </c>
      <c r="O617" s="41">
        <v>-276.86027604897311</v>
      </c>
      <c r="P617" s="41">
        <f t="shared" si="10"/>
        <v>9.0530228800149075</v>
      </c>
      <c r="Q617" s="7"/>
      <c r="R617" s="7"/>
      <c r="S617" s="7"/>
      <c r="T617" s="7"/>
    </row>
    <row r="618" spans="1:20" s="5" customFormat="1" ht="14.25" customHeight="1" x14ac:dyDescent="0.35">
      <c r="A618" s="5" t="s">
        <v>494</v>
      </c>
      <c r="B618" s="5" t="s">
        <v>21</v>
      </c>
      <c r="C618" s="5" t="s">
        <v>495</v>
      </c>
      <c r="D618" s="5" t="s">
        <v>496</v>
      </c>
      <c r="E618" s="7">
        <v>68.627778000000006</v>
      </c>
      <c r="F618" s="7">
        <v>-149.59472199999999</v>
      </c>
      <c r="G618" s="7">
        <v>719</v>
      </c>
      <c r="I618" s="5" t="s">
        <v>503</v>
      </c>
      <c r="K618" s="8">
        <v>43866</v>
      </c>
      <c r="L618" s="8"/>
      <c r="M618" s="8"/>
      <c r="N618" s="9">
        <v>-33.362279629564171</v>
      </c>
      <c r="O618" s="41">
        <v>-256.34923582730005</v>
      </c>
      <c r="P618" s="41">
        <f t="shared" si="10"/>
        <v>10.549001209213316</v>
      </c>
      <c r="Q618" s="7"/>
      <c r="R618" s="7"/>
      <c r="S618" s="7"/>
      <c r="T618" s="7"/>
    </row>
    <row r="619" spans="1:20" s="5" customFormat="1" ht="14.25" customHeight="1" x14ac:dyDescent="0.35">
      <c r="A619" s="5" t="s">
        <v>494</v>
      </c>
      <c r="B619" s="5" t="s">
        <v>21</v>
      </c>
      <c r="C619" s="5" t="s">
        <v>495</v>
      </c>
      <c r="D619" s="5" t="s">
        <v>496</v>
      </c>
      <c r="E619" s="7">
        <v>68.627778000000006</v>
      </c>
      <c r="F619" s="7">
        <v>-149.59472199999999</v>
      </c>
      <c r="G619" s="7">
        <v>719</v>
      </c>
      <c r="I619" s="5" t="s">
        <v>504</v>
      </c>
      <c r="K619" s="8">
        <v>43880</v>
      </c>
      <c r="L619" s="8"/>
      <c r="M619" s="8"/>
      <c r="N619" s="9">
        <v>-27.953343077303735</v>
      </c>
      <c r="O619" s="41">
        <v>-229.16743102033018</v>
      </c>
      <c r="P619" s="41">
        <f t="shared" si="10"/>
        <v>-5.5406864019003024</v>
      </c>
      <c r="Q619" s="7"/>
      <c r="R619" s="7"/>
      <c r="S619" s="7"/>
      <c r="T619" s="7"/>
    </row>
    <row r="620" spans="1:20" s="5" customFormat="1" ht="14.25" customHeight="1" x14ac:dyDescent="0.35">
      <c r="A620" s="5" t="s">
        <v>494</v>
      </c>
      <c r="B620" s="5" t="s">
        <v>21</v>
      </c>
      <c r="C620" s="5" t="s">
        <v>495</v>
      </c>
      <c r="D620" s="5" t="s">
        <v>496</v>
      </c>
      <c r="E620" s="7">
        <v>68.627778000000006</v>
      </c>
      <c r="F620" s="7">
        <v>-149.59472199999999</v>
      </c>
      <c r="G620" s="7">
        <v>719</v>
      </c>
      <c r="I620" s="5" t="s">
        <v>505</v>
      </c>
      <c r="K620" s="8">
        <v>43884</v>
      </c>
      <c r="L620" s="8"/>
      <c r="M620" s="8"/>
      <c r="N620" s="9">
        <v>-29.076145558658226</v>
      </c>
      <c r="O620" s="41">
        <v>-227.13669798783062</v>
      </c>
      <c r="P620" s="41">
        <f t="shared" si="10"/>
        <v>5.4724664814351911</v>
      </c>
      <c r="Q620" s="7"/>
      <c r="R620" s="7"/>
      <c r="S620" s="7"/>
      <c r="T620" s="7"/>
    </row>
    <row r="621" spans="1:20" s="5" customFormat="1" ht="14.25" customHeight="1" x14ac:dyDescent="0.35">
      <c r="A621" s="5" t="s">
        <v>494</v>
      </c>
      <c r="B621" s="5" t="s">
        <v>21</v>
      </c>
      <c r="C621" s="5" t="s">
        <v>495</v>
      </c>
      <c r="D621" s="5" t="s">
        <v>496</v>
      </c>
      <c r="E621" s="7">
        <v>68.627778000000006</v>
      </c>
      <c r="F621" s="7">
        <v>-149.59472199999999</v>
      </c>
      <c r="G621" s="7">
        <v>719</v>
      </c>
      <c r="I621" s="5" t="s">
        <v>506</v>
      </c>
      <c r="K621" s="8">
        <v>43906</v>
      </c>
      <c r="L621" s="8"/>
      <c r="M621" s="8"/>
      <c r="N621" s="9">
        <v>-19.478985260330138</v>
      </c>
      <c r="O621" s="41">
        <v>-149.89955200674055</v>
      </c>
      <c r="P621" s="41">
        <f t="shared" si="10"/>
        <v>5.9323300759005519</v>
      </c>
      <c r="Q621" s="7"/>
      <c r="R621" s="7"/>
      <c r="S621" s="7"/>
      <c r="T621" s="7"/>
    </row>
    <row r="622" spans="1:20" s="5" customFormat="1" ht="14.25" customHeight="1" x14ac:dyDescent="0.35">
      <c r="A622" s="5" t="s">
        <v>494</v>
      </c>
      <c r="B622" s="5" t="s">
        <v>21</v>
      </c>
      <c r="C622" s="5" t="s">
        <v>495</v>
      </c>
      <c r="D622" s="5" t="s">
        <v>496</v>
      </c>
      <c r="E622" s="7">
        <v>68.627778000000006</v>
      </c>
      <c r="F622" s="7">
        <v>-149.59472199999999</v>
      </c>
      <c r="G622" s="7">
        <v>719</v>
      </c>
      <c r="I622" s="5" t="s">
        <v>507</v>
      </c>
      <c r="K622" s="8">
        <v>43906</v>
      </c>
      <c r="L622" s="8"/>
      <c r="M622" s="8"/>
      <c r="N622" s="9">
        <v>-18.447029921176345</v>
      </c>
      <c r="O622" s="41">
        <v>-139.08627811630021</v>
      </c>
      <c r="P622" s="41">
        <f t="shared" si="10"/>
        <v>8.4899612531105504</v>
      </c>
      <c r="Q622" s="7"/>
      <c r="R622" s="7"/>
      <c r="S622" s="7"/>
      <c r="T622" s="7"/>
    </row>
    <row r="623" spans="1:20" s="5" customFormat="1" ht="14.25" customHeight="1" x14ac:dyDescent="0.35">
      <c r="A623" s="5" t="s">
        <v>494</v>
      </c>
      <c r="B623" s="5" t="s">
        <v>21</v>
      </c>
      <c r="C623" s="5" t="s">
        <v>495</v>
      </c>
      <c r="D623" s="5" t="s">
        <v>496</v>
      </c>
      <c r="E623" s="7">
        <v>68.627778000000006</v>
      </c>
      <c r="F623" s="7">
        <v>-149.59472199999999</v>
      </c>
      <c r="G623" s="7">
        <v>719</v>
      </c>
      <c r="I623" s="5" t="s">
        <v>508</v>
      </c>
      <c r="K623" s="8">
        <v>43908</v>
      </c>
      <c r="L623" s="8"/>
      <c r="M623" s="8"/>
      <c r="N623" s="9">
        <v>-25.845591955038707</v>
      </c>
      <c r="O623" s="41">
        <v>-202.76031144543524</v>
      </c>
      <c r="P623" s="41">
        <f t="shared" si="10"/>
        <v>4.0044241948744173</v>
      </c>
      <c r="Q623" s="7"/>
      <c r="R623" s="7"/>
      <c r="S623" s="7"/>
      <c r="T623" s="7"/>
    </row>
    <row r="624" spans="1:20" s="5" customFormat="1" ht="14.25" customHeight="1" x14ac:dyDescent="0.35">
      <c r="A624" s="5" t="s">
        <v>494</v>
      </c>
      <c r="B624" s="5" t="s">
        <v>21</v>
      </c>
      <c r="C624" s="5" t="s">
        <v>495</v>
      </c>
      <c r="D624" s="5" t="s">
        <v>496</v>
      </c>
      <c r="E624" s="7">
        <v>68.627778000000006</v>
      </c>
      <c r="F624" s="7">
        <v>-149.59472199999999</v>
      </c>
      <c r="G624" s="7">
        <v>719</v>
      </c>
      <c r="I624" s="5" t="s">
        <v>509</v>
      </c>
      <c r="K624" s="8">
        <v>43910</v>
      </c>
      <c r="L624" s="8"/>
      <c r="M624" s="8"/>
      <c r="N624" s="9">
        <v>-29.44148259163692</v>
      </c>
      <c r="O624" s="41">
        <v>-232.13077342355453</v>
      </c>
      <c r="P624" s="41">
        <f t="shared" si="10"/>
        <v>3.4010873095408272</v>
      </c>
      <c r="Q624" s="7"/>
      <c r="R624" s="7"/>
      <c r="S624" s="7"/>
      <c r="T624" s="7"/>
    </row>
    <row r="625" spans="1:20" s="5" customFormat="1" ht="14.25" customHeight="1" x14ac:dyDescent="0.35">
      <c r="A625" s="5" t="s">
        <v>494</v>
      </c>
      <c r="B625" s="5" t="s">
        <v>21</v>
      </c>
      <c r="C625" s="5" t="s">
        <v>495</v>
      </c>
      <c r="D625" s="5" t="s">
        <v>496</v>
      </c>
      <c r="E625" s="7">
        <v>68.627778000000006</v>
      </c>
      <c r="F625" s="7">
        <v>-149.59472199999999</v>
      </c>
      <c r="G625" s="7">
        <v>719</v>
      </c>
      <c r="I625" s="5" t="s">
        <v>510</v>
      </c>
      <c r="K625" s="8">
        <v>43911</v>
      </c>
      <c r="L625" s="8"/>
      <c r="M625" s="8"/>
      <c r="N625" s="9">
        <v>-23.834533367502033</v>
      </c>
      <c r="O625" s="41">
        <v>-179.66225347341359</v>
      </c>
      <c r="P625" s="41">
        <f t="shared" si="10"/>
        <v>11.014013466602677</v>
      </c>
      <c r="Q625" s="7"/>
      <c r="R625" s="7"/>
      <c r="S625" s="7"/>
      <c r="T625" s="7"/>
    </row>
    <row r="626" spans="1:20" s="5" customFormat="1" ht="14.25" customHeight="1" x14ac:dyDescent="0.35">
      <c r="A626" s="5" t="s">
        <v>494</v>
      </c>
      <c r="B626" s="5" t="s">
        <v>21</v>
      </c>
      <c r="C626" s="5" t="s">
        <v>495</v>
      </c>
      <c r="D626" s="5" t="s">
        <v>496</v>
      </c>
      <c r="E626" s="7">
        <v>68.627778000000006</v>
      </c>
      <c r="F626" s="7">
        <v>-149.59472199999999</v>
      </c>
      <c r="G626" s="7">
        <v>719</v>
      </c>
      <c r="I626" s="5" t="s">
        <v>511</v>
      </c>
      <c r="K626" s="8">
        <v>43913</v>
      </c>
      <c r="L626" s="8"/>
      <c r="M626" s="8"/>
      <c r="N626" s="9">
        <v>-22.370262539323459</v>
      </c>
      <c r="O626" s="41">
        <v>-170.78593750678615</v>
      </c>
      <c r="P626" s="41">
        <f t="shared" si="10"/>
        <v>8.1761628078015178</v>
      </c>
      <c r="Q626" s="7"/>
      <c r="R626" s="7"/>
      <c r="S626" s="7"/>
      <c r="T626" s="7"/>
    </row>
    <row r="627" spans="1:20" s="5" customFormat="1" ht="14.25" customHeight="1" x14ac:dyDescent="0.35">
      <c r="A627" s="5" t="s">
        <v>494</v>
      </c>
      <c r="B627" s="5" t="s">
        <v>21</v>
      </c>
      <c r="C627" s="5" t="s">
        <v>495</v>
      </c>
      <c r="D627" s="5" t="s">
        <v>496</v>
      </c>
      <c r="E627" s="7">
        <v>68.627778000000006</v>
      </c>
      <c r="F627" s="7">
        <v>-149.59472199999999</v>
      </c>
      <c r="G627" s="7">
        <v>719</v>
      </c>
      <c r="I627" s="22" t="s">
        <v>647</v>
      </c>
      <c r="J627" s="5" t="s">
        <v>100</v>
      </c>
      <c r="K627" s="8">
        <v>43937</v>
      </c>
      <c r="L627" s="8"/>
      <c r="M627" s="8"/>
      <c r="N627" s="9">
        <v>-22.22</v>
      </c>
      <c r="O627" s="41">
        <v>-167.7</v>
      </c>
      <c r="P627" s="41">
        <f t="shared" si="10"/>
        <v>10.060000000000002</v>
      </c>
      <c r="Q627" s="7"/>
      <c r="R627" s="7"/>
      <c r="S627" s="7"/>
      <c r="T627" s="7"/>
    </row>
    <row r="628" spans="1:20" s="5" customFormat="1" ht="14.25" customHeight="1" x14ac:dyDescent="0.35">
      <c r="A628" s="5" t="s">
        <v>494</v>
      </c>
      <c r="B628" s="5" t="s">
        <v>21</v>
      </c>
      <c r="C628" s="5" t="s">
        <v>495</v>
      </c>
      <c r="D628" s="5" t="s">
        <v>496</v>
      </c>
      <c r="E628" s="7">
        <v>68.627778000000006</v>
      </c>
      <c r="F628" s="7">
        <v>-149.59472199999999</v>
      </c>
      <c r="G628" s="7">
        <v>719</v>
      </c>
      <c r="I628" s="22" t="s">
        <v>648</v>
      </c>
      <c r="J628" s="5" t="s">
        <v>100</v>
      </c>
      <c r="K628" s="8">
        <v>43942</v>
      </c>
      <c r="L628" s="8"/>
      <c r="M628" s="8"/>
      <c r="N628" s="9">
        <v>-24</v>
      </c>
      <c r="O628" s="41">
        <v>-180.42</v>
      </c>
      <c r="P628" s="41">
        <f t="shared" si="10"/>
        <v>11.580000000000013</v>
      </c>
      <c r="Q628" s="7"/>
      <c r="R628" s="7"/>
      <c r="S628" s="7"/>
      <c r="T628" s="7"/>
    </row>
    <row r="629" spans="1:20" s="5" customFormat="1" ht="14.25" customHeight="1" x14ac:dyDescent="0.35">
      <c r="A629" s="5" t="s">
        <v>494</v>
      </c>
      <c r="B629" s="5" t="s">
        <v>21</v>
      </c>
      <c r="C629" s="5" t="s">
        <v>495</v>
      </c>
      <c r="D629" s="5" t="s">
        <v>496</v>
      </c>
      <c r="E629" s="7">
        <v>68.627778000000006</v>
      </c>
      <c r="F629" s="7">
        <v>-149.59472199999999</v>
      </c>
      <c r="G629" s="7">
        <v>719</v>
      </c>
      <c r="I629" s="22" t="s">
        <v>649</v>
      </c>
      <c r="J629" s="5" t="s">
        <v>41</v>
      </c>
      <c r="K629" s="8">
        <v>43979</v>
      </c>
      <c r="L629" s="8"/>
      <c r="M629" s="8"/>
      <c r="N629" s="9">
        <v>-19.53</v>
      </c>
      <c r="O629" s="41">
        <v>-157.68</v>
      </c>
      <c r="P629" s="41">
        <f t="shared" si="10"/>
        <v>-1.4399999999999977</v>
      </c>
      <c r="Q629" s="7"/>
      <c r="R629" s="7"/>
      <c r="S629" s="7"/>
      <c r="T629" s="7"/>
    </row>
    <row r="630" spans="1:20" s="5" customFormat="1" ht="14.25" customHeight="1" x14ac:dyDescent="0.35">
      <c r="A630" s="5" t="s">
        <v>494</v>
      </c>
      <c r="B630" s="5" t="s">
        <v>21</v>
      </c>
      <c r="C630" s="5" t="s">
        <v>495</v>
      </c>
      <c r="D630" s="5" t="s">
        <v>496</v>
      </c>
      <c r="E630" s="7">
        <v>68.627778000000006</v>
      </c>
      <c r="F630" s="7">
        <v>-149.59472199999999</v>
      </c>
      <c r="G630" s="7">
        <v>719</v>
      </c>
      <c r="I630" s="22" t="s">
        <v>650</v>
      </c>
      <c r="J630" s="5" t="s">
        <v>41</v>
      </c>
      <c r="K630" s="8">
        <v>43986</v>
      </c>
      <c r="L630" s="8"/>
      <c r="M630" s="8"/>
      <c r="N630" s="9">
        <v>-15.14</v>
      </c>
      <c r="O630" s="41">
        <v>-127.13</v>
      </c>
      <c r="P630" s="41">
        <f t="shared" si="10"/>
        <v>-6.0099999999999909</v>
      </c>
      <c r="Q630" s="7"/>
      <c r="R630" s="7"/>
      <c r="S630" s="7"/>
      <c r="T630" s="7"/>
    </row>
    <row r="631" spans="1:20" s="5" customFormat="1" ht="14.25" customHeight="1" x14ac:dyDescent="0.35">
      <c r="A631" s="5" t="s">
        <v>494</v>
      </c>
      <c r="B631" s="5" t="s">
        <v>21</v>
      </c>
      <c r="C631" s="5" t="s">
        <v>495</v>
      </c>
      <c r="D631" s="5" t="s">
        <v>496</v>
      </c>
      <c r="E631" s="7">
        <v>68.627778000000006</v>
      </c>
      <c r="F631" s="7">
        <v>-149.59472199999999</v>
      </c>
      <c r="G631" s="7">
        <v>719</v>
      </c>
      <c r="I631" s="22" t="s">
        <v>651</v>
      </c>
      <c r="J631" s="5" t="s">
        <v>41</v>
      </c>
      <c r="K631" s="8">
        <v>43987</v>
      </c>
      <c r="L631" s="8"/>
      <c r="M631" s="8"/>
      <c r="N631" s="9">
        <v>-15.41</v>
      </c>
      <c r="O631" s="41">
        <v>-129.62</v>
      </c>
      <c r="P631" s="41">
        <f t="shared" si="10"/>
        <v>-6.3400000000000034</v>
      </c>
      <c r="Q631" s="7"/>
      <c r="R631" s="7"/>
      <c r="S631" s="7"/>
      <c r="T631" s="7"/>
    </row>
    <row r="632" spans="1:20" s="5" customFormat="1" ht="14.25" customHeight="1" x14ac:dyDescent="0.35">
      <c r="A632" s="5" t="s">
        <v>494</v>
      </c>
      <c r="B632" s="5" t="s">
        <v>21</v>
      </c>
      <c r="C632" s="5" t="s">
        <v>495</v>
      </c>
      <c r="D632" s="5" t="s">
        <v>496</v>
      </c>
      <c r="E632" s="7">
        <v>68.627778000000006</v>
      </c>
      <c r="F632" s="7">
        <v>-149.59472199999999</v>
      </c>
      <c r="G632" s="7">
        <v>719</v>
      </c>
      <c r="I632" s="22" t="s">
        <v>652</v>
      </c>
      <c r="J632" s="5" t="s">
        <v>41</v>
      </c>
      <c r="K632" s="8">
        <v>43989</v>
      </c>
      <c r="L632" s="8"/>
      <c r="M632" s="8"/>
      <c r="N632" s="9">
        <v>-18.059999999999999</v>
      </c>
      <c r="O632" s="41">
        <v>-142.09</v>
      </c>
      <c r="P632" s="41">
        <f t="shared" si="10"/>
        <v>2.3899999999999864</v>
      </c>
      <c r="Q632" s="7"/>
      <c r="R632" s="7"/>
      <c r="S632" s="7"/>
      <c r="T632" s="7"/>
    </row>
    <row r="633" spans="1:20" s="5" customFormat="1" ht="14.25" customHeight="1" x14ac:dyDescent="0.35">
      <c r="A633" s="5" t="s">
        <v>494</v>
      </c>
      <c r="B633" s="5" t="s">
        <v>21</v>
      </c>
      <c r="C633" s="5" t="s">
        <v>495</v>
      </c>
      <c r="D633" s="5" t="s">
        <v>496</v>
      </c>
      <c r="E633" s="7">
        <v>68.627778000000006</v>
      </c>
      <c r="F633" s="7">
        <v>-149.59472199999999</v>
      </c>
      <c r="G633" s="7">
        <v>719</v>
      </c>
      <c r="I633" s="22" t="s">
        <v>653</v>
      </c>
      <c r="J633" s="5" t="s">
        <v>41</v>
      </c>
      <c r="K633" s="8">
        <v>43990</v>
      </c>
      <c r="L633" s="8"/>
      <c r="M633" s="8"/>
      <c r="N633" s="9">
        <v>-16.55</v>
      </c>
      <c r="O633" s="41">
        <v>-131.21</v>
      </c>
      <c r="P633" s="41">
        <f t="shared" si="10"/>
        <v>1.1899999999999977</v>
      </c>
      <c r="Q633" s="7"/>
      <c r="R633" s="7"/>
      <c r="S633" s="7"/>
      <c r="T633" s="7"/>
    </row>
    <row r="634" spans="1:20" s="5" customFormat="1" ht="14.25" customHeight="1" x14ac:dyDescent="0.35">
      <c r="A634" s="5" t="s">
        <v>494</v>
      </c>
      <c r="B634" s="5" t="s">
        <v>21</v>
      </c>
      <c r="C634" s="5" t="s">
        <v>495</v>
      </c>
      <c r="D634" s="5" t="s">
        <v>496</v>
      </c>
      <c r="E634" s="7">
        <v>68.627778000000006</v>
      </c>
      <c r="F634" s="7">
        <v>-149.59472199999999</v>
      </c>
      <c r="G634" s="7">
        <v>719</v>
      </c>
      <c r="I634" s="22" t="s">
        <v>654</v>
      </c>
      <c r="J634" s="5" t="s">
        <v>41</v>
      </c>
      <c r="K634" s="8">
        <v>43995</v>
      </c>
      <c r="L634" s="8"/>
      <c r="M634" s="8"/>
      <c r="N634" s="9">
        <v>-14.68</v>
      </c>
      <c r="O634" s="41">
        <v>-118.34</v>
      </c>
      <c r="P634" s="41">
        <f t="shared" si="10"/>
        <v>-0.90000000000000568</v>
      </c>
      <c r="Q634" s="7"/>
      <c r="R634" s="7"/>
      <c r="S634" s="7"/>
      <c r="T634" s="7"/>
    </row>
    <row r="635" spans="1:20" s="5" customFormat="1" ht="14.25" customHeight="1" x14ac:dyDescent="0.35">
      <c r="A635" s="5" t="s">
        <v>494</v>
      </c>
      <c r="B635" s="5" t="s">
        <v>21</v>
      </c>
      <c r="C635" s="5" t="s">
        <v>495</v>
      </c>
      <c r="D635" s="5" t="s">
        <v>496</v>
      </c>
      <c r="E635" s="7">
        <v>68.627778000000006</v>
      </c>
      <c r="F635" s="7">
        <v>-149.59472199999999</v>
      </c>
      <c r="G635" s="7">
        <v>719</v>
      </c>
      <c r="I635" s="22" t="s">
        <v>655</v>
      </c>
      <c r="J635" s="5" t="s">
        <v>41</v>
      </c>
      <c r="K635" s="8">
        <v>43998</v>
      </c>
      <c r="L635" s="8"/>
      <c r="M635" s="8"/>
      <c r="N635" s="9">
        <v>-13.31</v>
      </c>
      <c r="O635" s="41">
        <v>-115.01</v>
      </c>
      <c r="P635" s="41">
        <f t="shared" si="10"/>
        <v>-8.5300000000000011</v>
      </c>
      <c r="Q635" s="7"/>
      <c r="R635" s="7"/>
      <c r="S635" s="7"/>
      <c r="T635" s="7"/>
    </row>
    <row r="636" spans="1:20" s="5" customFormat="1" ht="14.25" customHeight="1" x14ac:dyDescent="0.35">
      <c r="A636" s="5" t="s">
        <v>494</v>
      </c>
      <c r="B636" s="5" t="s">
        <v>21</v>
      </c>
      <c r="C636" s="5" t="s">
        <v>495</v>
      </c>
      <c r="D636" s="5" t="s">
        <v>496</v>
      </c>
      <c r="E636" s="7">
        <v>68.627778000000006</v>
      </c>
      <c r="F636" s="7">
        <v>-149.59472199999999</v>
      </c>
      <c r="G636" s="7">
        <v>719</v>
      </c>
      <c r="I636" s="22" t="s">
        <v>656</v>
      </c>
      <c r="J636" s="5" t="s">
        <v>41</v>
      </c>
      <c r="K636" s="8">
        <v>44000</v>
      </c>
      <c r="L636" s="8"/>
      <c r="M636" s="8"/>
      <c r="N636" s="9">
        <v>-12.05</v>
      </c>
      <c r="O636" s="41">
        <v>-104.25</v>
      </c>
      <c r="P636" s="41">
        <f t="shared" si="10"/>
        <v>-7.8499999999999943</v>
      </c>
      <c r="Q636" s="7"/>
      <c r="R636" s="7"/>
      <c r="S636" s="7"/>
      <c r="T636" s="7"/>
    </row>
    <row r="637" spans="1:20" s="5" customFormat="1" ht="14.25" customHeight="1" x14ac:dyDescent="0.35">
      <c r="A637" s="5" t="s">
        <v>494</v>
      </c>
      <c r="B637" s="5" t="s">
        <v>21</v>
      </c>
      <c r="C637" s="5" t="s">
        <v>495</v>
      </c>
      <c r="D637" s="5" t="s">
        <v>496</v>
      </c>
      <c r="E637" s="7">
        <v>68.627778000000006</v>
      </c>
      <c r="F637" s="7">
        <v>-149.59472199999999</v>
      </c>
      <c r="G637" s="7">
        <v>719</v>
      </c>
      <c r="I637" s="22" t="s">
        <v>657</v>
      </c>
      <c r="J637" s="5" t="s">
        <v>41</v>
      </c>
      <c r="K637" s="8">
        <v>44006</v>
      </c>
      <c r="L637" s="8"/>
      <c r="M637" s="8"/>
      <c r="N637" s="9">
        <v>-18.920000000000002</v>
      </c>
      <c r="O637" s="41">
        <v>-143.66999999999999</v>
      </c>
      <c r="P637" s="41">
        <f t="shared" si="10"/>
        <v>7.6900000000000261</v>
      </c>
      <c r="Q637" s="7"/>
      <c r="R637" s="7"/>
      <c r="S637" s="7"/>
      <c r="T637" s="7"/>
    </row>
    <row r="638" spans="1:20" s="5" customFormat="1" ht="14.25" customHeight="1" x14ac:dyDescent="0.35">
      <c r="A638" s="5" t="s">
        <v>494</v>
      </c>
      <c r="B638" s="5" t="s">
        <v>21</v>
      </c>
      <c r="C638" s="5" t="s">
        <v>495</v>
      </c>
      <c r="D638" s="5" t="s">
        <v>496</v>
      </c>
      <c r="E638" s="7">
        <v>68.627778000000006</v>
      </c>
      <c r="F638" s="7">
        <v>-149.59472199999999</v>
      </c>
      <c r="G638" s="7">
        <v>719</v>
      </c>
      <c r="I638" s="22" t="s">
        <v>658</v>
      </c>
      <c r="J638" s="5" t="s">
        <v>41</v>
      </c>
      <c r="K638" s="8">
        <v>44009</v>
      </c>
      <c r="L638" s="8"/>
      <c r="M638" s="8"/>
      <c r="N638" s="9">
        <v>-14.07</v>
      </c>
      <c r="O638" s="41">
        <v>-112.88</v>
      </c>
      <c r="P638" s="41">
        <f t="shared" si="10"/>
        <v>-0.31999999999999318</v>
      </c>
      <c r="Q638" s="7"/>
      <c r="R638" s="7"/>
      <c r="S638" s="7"/>
      <c r="T638" s="7"/>
    </row>
    <row r="639" spans="1:20" s="5" customFormat="1" ht="14.25" customHeight="1" x14ac:dyDescent="0.35">
      <c r="A639" s="5" t="s">
        <v>494</v>
      </c>
      <c r="B639" s="5" t="s">
        <v>21</v>
      </c>
      <c r="C639" s="5" t="s">
        <v>495</v>
      </c>
      <c r="D639" s="5" t="s">
        <v>496</v>
      </c>
      <c r="E639" s="7">
        <v>68.627778000000006</v>
      </c>
      <c r="F639" s="7">
        <v>-149.59472199999999</v>
      </c>
      <c r="G639" s="7">
        <v>719</v>
      </c>
      <c r="I639" s="22" t="s">
        <v>659</v>
      </c>
      <c r="J639" s="5" t="s">
        <v>41</v>
      </c>
      <c r="K639" s="8">
        <v>44010</v>
      </c>
      <c r="L639" s="8"/>
      <c r="M639" s="8"/>
      <c r="N639" s="9">
        <v>-13.59</v>
      </c>
      <c r="O639" s="41">
        <v>-111.2</v>
      </c>
      <c r="P639" s="41">
        <f t="shared" si="10"/>
        <v>-2.480000000000004</v>
      </c>
      <c r="Q639" s="7"/>
      <c r="R639" s="7"/>
      <c r="S639" s="7"/>
      <c r="T639" s="7"/>
    </row>
    <row r="640" spans="1:20" s="5" customFormat="1" ht="14.25" customHeight="1" x14ac:dyDescent="0.35">
      <c r="A640" s="5" t="s">
        <v>494</v>
      </c>
      <c r="B640" s="5" t="s">
        <v>21</v>
      </c>
      <c r="C640" s="5" t="s">
        <v>495</v>
      </c>
      <c r="D640" s="5" t="s">
        <v>496</v>
      </c>
      <c r="E640" s="7">
        <v>68.627778000000006</v>
      </c>
      <c r="F640" s="7">
        <v>-149.59472199999999</v>
      </c>
      <c r="G640" s="7">
        <v>719</v>
      </c>
      <c r="I640" s="22" t="s">
        <v>660</v>
      </c>
      <c r="J640" s="5" t="s">
        <v>41</v>
      </c>
      <c r="K640" s="8">
        <v>44012</v>
      </c>
      <c r="L640" s="8"/>
      <c r="M640" s="8"/>
      <c r="N640" s="9">
        <v>-18.11</v>
      </c>
      <c r="O640" s="41">
        <v>-141.52000000000001</v>
      </c>
      <c r="P640" s="41">
        <f t="shared" si="10"/>
        <v>3.3599999999999852</v>
      </c>
      <c r="Q640" s="7"/>
      <c r="R640" s="7"/>
      <c r="S640" s="7"/>
      <c r="T640" s="7"/>
    </row>
    <row r="641" spans="1:20" s="5" customFormat="1" ht="14.25" customHeight="1" x14ac:dyDescent="0.35">
      <c r="A641" s="5" t="s">
        <v>494</v>
      </c>
      <c r="B641" s="5" t="s">
        <v>21</v>
      </c>
      <c r="C641" s="5" t="s">
        <v>495</v>
      </c>
      <c r="D641" s="5" t="s">
        <v>496</v>
      </c>
      <c r="E641" s="7">
        <v>68.627778000000006</v>
      </c>
      <c r="F641" s="7">
        <v>-149.59472199999999</v>
      </c>
      <c r="G641" s="7">
        <v>719</v>
      </c>
      <c r="I641" s="22" t="s">
        <v>661</v>
      </c>
      <c r="J641" s="5" t="s">
        <v>41</v>
      </c>
      <c r="K641" s="8">
        <v>44013</v>
      </c>
      <c r="L641" s="8"/>
      <c r="M641" s="8"/>
      <c r="N641" s="9">
        <v>-20.6</v>
      </c>
      <c r="O641" s="41">
        <v>-157.82</v>
      </c>
      <c r="P641" s="41">
        <f t="shared" si="10"/>
        <v>6.9800000000000182</v>
      </c>
      <c r="Q641" s="7"/>
      <c r="R641" s="7"/>
      <c r="S641" s="7"/>
      <c r="T641" s="7"/>
    </row>
    <row r="642" spans="1:20" s="5" customFormat="1" ht="14.25" customHeight="1" x14ac:dyDescent="0.35">
      <c r="A642" s="5" t="s">
        <v>494</v>
      </c>
      <c r="B642" s="5" t="s">
        <v>21</v>
      </c>
      <c r="C642" s="5" t="s">
        <v>495</v>
      </c>
      <c r="D642" s="5" t="s">
        <v>496</v>
      </c>
      <c r="E642" s="7">
        <v>68.627778000000006</v>
      </c>
      <c r="F642" s="7">
        <v>-149.59472199999999</v>
      </c>
      <c r="G642" s="7">
        <v>719</v>
      </c>
      <c r="I642" s="22" t="s">
        <v>662</v>
      </c>
      <c r="J642" s="5" t="s">
        <v>41</v>
      </c>
      <c r="K642" s="8">
        <v>44025</v>
      </c>
      <c r="L642" s="8"/>
      <c r="M642" s="8"/>
      <c r="N642" s="9">
        <v>-16.57</v>
      </c>
      <c r="O642" s="41">
        <v>-127.12</v>
      </c>
      <c r="P642" s="41">
        <f t="shared" si="10"/>
        <v>5.4399999999999977</v>
      </c>
      <c r="Q642" s="7"/>
      <c r="R642" s="7"/>
      <c r="S642" s="7"/>
      <c r="T642" s="7"/>
    </row>
    <row r="643" spans="1:20" s="5" customFormat="1" ht="14.25" customHeight="1" x14ac:dyDescent="0.35">
      <c r="A643" s="5" t="s">
        <v>494</v>
      </c>
      <c r="B643" s="5" t="s">
        <v>21</v>
      </c>
      <c r="C643" s="5" t="s">
        <v>495</v>
      </c>
      <c r="D643" s="5" t="s">
        <v>496</v>
      </c>
      <c r="E643" s="7">
        <v>68.627778000000006</v>
      </c>
      <c r="F643" s="7">
        <v>-149.59472199999999</v>
      </c>
      <c r="G643" s="7">
        <v>719</v>
      </c>
      <c r="I643" s="22" t="s">
        <v>663</v>
      </c>
      <c r="J643" s="5" t="s">
        <v>41</v>
      </c>
      <c r="K643" s="8">
        <v>44026</v>
      </c>
      <c r="L643" s="8"/>
      <c r="M643" s="8"/>
      <c r="N643" s="9">
        <v>-14.91</v>
      </c>
      <c r="O643" s="41">
        <v>-119.73</v>
      </c>
      <c r="P643" s="41">
        <f t="shared" si="10"/>
        <v>-0.45000000000000284</v>
      </c>
      <c r="Q643" s="7"/>
      <c r="R643" s="7"/>
      <c r="S643" s="7"/>
      <c r="T643" s="7"/>
    </row>
    <row r="644" spans="1:20" s="5" customFormat="1" ht="14.25" customHeight="1" x14ac:dyDescent="0.35">
      <c r="A644" s="5" t="s">
        <v>494</v>
      </c>
      <c r="B644" s="5" t="s">
        <v>21</v>
      </c>
      <c r="C644" s="5" t="s">
        <v>495</v>
      </c>
      <c r="D644" s="5" t="s">
        <v>496</v>
      </c>
      <c r="E644" s="7">
        <v>68.627778000000006</v>
      </c>
      <c r="F644" s="7">
        <v>-149.59472199999999</v>
      </c>
      <c r="G644" s="7">
        <v>719</v>
      </c>
      <c r="I644" s="22" t="s">
        <v>664</v>
      </c>
      <c r="J644" s="5" t="s">
        <v>41</v>
      </c>
      <c r="K644" s="8">
        <v>44031</v>
      </c>
      <c r="L644" s="8"/>
      <c r="M644" s="8"/>
      <c r="N644" s="9">
        <v>-15.4</v>
      </c>
      <c r="O644" s="41">
        <v>-121.89</v>
      </c>
      <c r="P644" s="41">
        <f t="shared" si="10"/>
        <v>1.3100000000000023</v>
      </c>
      <c r="Q644" s="7"/>
      <c r="R644" s="7"/>
      <c r="S644" s="7"/>
      <c r="T644" s="7"/>
    </row>
    <row r="645" spans="1:20" s="5" customFormat="1" ht="14.25" customHeight="1" x14ac:dyDescent="0.35">
      <c r="A645" s="5" t="s">
        <v>494</v>
      </c>
      <c r="B645" s="5" t="s">
        <v>21</v>
      </c>
      <c r="C645" s="5" t="s">
        <v>495</v>
      </c>
      <c r="D645" s="5" t="s">
        <v>496</v>
      </c>
      <c r="E645" s="7">
        <v>68.627778000000006</v>
      </c>
      <c r="F645" s="7">
        <v>-149.59472199999999</v>
      </c>
      <c r="G645" s="7">
        <v>719</v>
      </c>
      <c r="I645" s="22" t="s">
        <v>665</v>
      </c>
      <c r="J645" s="5" t="s">
        <v>41</v>
      </c>
      <c r="K645" s="8">
        <v>44033</v>
      </c>
      <c r="L645" s="8"/>
      <c r="M645" s="8"/>
      <c r="N645" s="9">
        <v>-16.2</v>
      </c>
      <c r="O645" s="41">
        <v>-125.94</v>
      </c>
      <c r="P645" s="41">
        <f t="shared" si="10"/>
        <v>3.6599999999999966</v>
      </c>
      <c r="Q645" s="7"/>
      <c r="R645" s="7"/>
      <c r="S645" s="7"/>
      <c r="T645" s="7"/>
    </row>
    <row r="646" spans="1:20" s="5" customFormat="1" ht="14.25" customHeight="1" x14ac:dyDescent="0.35">
      <c r="A646" s="5" t="s">
        <v>494</v>
      </c>
      <c r="B646" s="5" t="s">
        <v>21</v>
      </c>
      <c r="C646" s="5" t="s">
        <v>495</v>
      </c>
      <c r="D646" s="5" t="s">
        <v>496</v>
      </c>
      <c r="E646" s="7">
        <v>68.627778000000006</v>
      </c>
      <c r="F646" s="7">
        <v>-149.59472199999999</v>
      </c>
      <c r="G646" s="7">
        <v>719</v>
      </c>
      <c r="I646" s="22" t="s">
        <v>666</v>
      </c>
      <c r="J646" s="5" t="s">
        <v>41</v>
      </c>
      <c r="K646" s="8">
        <v>44037</v>
      </c>
      <c r="L646" s="8"/>
      <c r="M646" s="8"/>
      <c r="N646" s="9">
        <v>-17.59</v>
      </c>
      <c r="O646" s="41">
        <v>-138.65</v>
      </c>
      <c r="P646" s="41">
        <f t="shared" si="10"/>
        <v>2.0699999999999932</v>
      </c>
      <c r="Q646" s="7"/>
      <c r="R646" s="7"/>
      <c r="S646" s="7"/>
      <c r="T646" s="7"/>
    </row>
    <row r="647" spans="1:20" s="5" customFormat="1" ht="14.25" customHeight="1" x14ac:dyDescent="0.35">
      <c r="A647" s="5" t="s">
        <v>494</v>
      </c>
      <c r="B647" s="5" t="s">
        <v>21</v>
      </c>
      <c r="C647" s="5" t="s">
        <v>495</v>
      </c>
      <c r="D647" s="5" t="s">
        <v>496</v>
      </c>
      <c r="E647" s="7">
        <v>68.627778000000006</v>
      </c>
      <c r="F647" s="7">
        <v>-149.59472199999999</v>
      </c>
      <c r="G647" s="7">
        <v>719</v>
      </c>
      <c r="I647" s="22" t="s">
        <v>667</v>
      </c>
      <c r="J647" s="5" t="s">
        <v>41</v>
      </c>
      <c r="K647" s="8">
        <v>44038</v>
      </c>
      <c r="L647" s="8"/>
      <c r="M647" s="8"/>
      <c r="N647" s="9">
        <v>-17.309999999999999</v>
      </c>
      <c r="O647" s="41">
        <v>-137.44999999999999</v>
      </c>
      <c r="P647" s="41">
        <f t="shared" si="10"/>
        <v>1.0300000000000011</v>
      </c>
      <c r="Q647" s="7"/>
      <c r="R647" s="7"/>
      <c r="S647" s="7"/>
      <c r="T647" s="7"/>
    </row>
    <row r="648" spans="1:20" s="5" customFormat="1" ht="14.25" customHeight="1" x14ac:dyDescent="0.35">
      <c r="A648" s="5" t="s">
        <v>494</v>
      </c>
      <c r="B648" s="5" t="s">
        <v>21</v>
      </c>
      <c r="C648" s="5" t="s">
        <v>495</v>
      </c>
      <c r="D648" s="5" t="s">
        <v>496</v>
      </c>
      <c r="E648" s="7">
        <v>68.627778000000006</v>
      </c>
      <c r="F648" s="7">
        <v>-149.59472199999999</v>
      </c>
      <c r="G648" s="7">
        <v>719</v>
      </c>
      <c r="I648" s="22" t="s">
        <v>668</v>
      </c>
      <c r="J648" s="5" t="s">
        <v>41</v>
      </c>
      <c r="K648" s="8">
        <v>44039</v>
      </c>
      <c r="L648" s="8"/>
      <c r="M648" s="8"/>
      <c r="N648" s="9">
        <v>-16.68</v>
      </c>
      <c r="O648" s="41">
        <v>-128.6</v>
      </c>
      <c r="P648" s="41">
        <f t="shared" si="10"/>
        <v>4.8400000000000034</v>
      </c>
      <c r="Q648" s="7"/>
      <c r="R648" s="7"/>
      <c r="S648" s="7"/>
      <c r="T648" s="7"/>
    </row>
    <row r="649" spans="1:20" s="5" customFormat="1" ht="14.25" customHeight="1" x14ac:dyDescent="0.35">
      <c r="A649" s="5" t="s">
        <v>494</v>
      </c>
      <c r="B649" s="5" t="s">
        <v>21</v>
      </c>
      <c r="C649" s="5" t="s">
        <v>495</v>
      </c>
      <c r="D649" s="5" t="s">
        <v>496</v>
      </c>
      <c r="E649" s="7">
        <v>68.627778000000006</v>
      </c>
      <c r="F649" s="7">
        <v>-149.59472199999999</v>
      </c>
      <c r="G649" s="7">
        <v>719</v>
      </c>
      <c r="I649" s="22" t="s">
        <v>669</v>
      </c>
      <c r="J649" s="5" t="s">
        <v>41</v>
      </c>
      <c r="K649" s="8">
        <v>44040</v>
      </c>
      <c r="L649" s="8"/>
      <c r="M649" s="8"/>
      <c r="N649" s="9">
        <v>-15.85</v>
      </c>
      <c r="O649" s="41">
        <v>-119.32</v>
      </c>
      <c r="P649" s="41">
        <f t="shared" si="10"/>
        <v>7.480000000000004</v>
      </c>
      <c r="Q649" s="7"/>
      <c r="R649" s="7"/>
      <c r="S649" s="7"/>
      <c r="T649" s="7"/>
    </row>
    <row r="650" spans="1:20" s="5" customFormat="1" ht="14.25" customHeight="1" x14ac:dyDescent="0.35">
      <c r="A650" s="5" t="s">
        <v>494</v>
      </c>
      <c r="B650" s="6" t="s">
        <v>21</v>
      </c>
      <c r="C650" s="6" t="s">
        <v>512</v>
      </c>
      <c r="D650" s="6" t="s">
        <v>496</v>
      </c>
      <c r="E650" s="25">
        <v>61.064999999999998</v>
      </c>
      <c r="F650" s="25">
        <v>-149.797</v>
      </c>
      <c r="G650" s="7">
        <v>36.6</v>
      </c>
      <c r="I650" s="23" t="s">
        <v>513</v>
      </c>
      <c r="J650" s="23" t="s">
        <v>469</v>
      </c>
      <c r="K650" s="24">
        <v>43739</v>
      </c>
      <c r="L650" s="24"/>
      <c r="M650" s="24"/>
      <c r="N650" s="9">
        <v>-15.689869893431984</v>
      </c>
      <c r="O650" s="41">
        <v>-125.05564897958297</v>
      </c>
      <c r="P650" s="41">
        <f t="shared" si="10"/>
        <v>0.4633101678729048</v>
      </c>
      <c r="Q650" s="7"/>
      <c r="R650" s="7"/>
      <c r="S650" s="7"/>
      <c r="T650" s="7"/>
    </row>
    <row r="651" spans="1:20" s="5" customFormat="1" ht="14.25" customHeight="1" x14ac:dyDescent="0.35">
      <c r="A651" s="5" t="s">
        <v>494</v>
      </c>
      <c r="B651" s="6" t="s">
        <v>21</v>
      </c>
      <c r="C651" s="6" t="s">
        <v>512</v>
      </c>
      <c r="D651" s="6" t="s">
        <v>496</v>
      </c>
      <c r="E651" s="25">
        <v>61.064999999999998</v>
      </c>
      <c r="F651" s="25">
        <v>-149.797</v>
      </c>
      <c r="G651" s="7">
        <v>36.6</v>
      </c>
      <c r="I651" s="23" t="s">
        <v>514</v>
      </c>
      <c r="J651" s="23" t="s">
        <v>469</v>
      </c>
      <c r="K651" s="24">
        <v>43740</v>
      </c>
      <c r="L651" s="24"/>
      <c r="M651" s="24"/>
      <c r="N651" s="9">
        <v>-14.644441417811258</v>
      </c>
      <c r="O651" s="41">
        <v>-111.6480582096422</v>
      </c>
      <c r="P651" s="41">
        <f t="shared" si="10"/>
        <v>5.5074731328478634</v>
      </c>
      <c r="Q651" s="7"/>
      <c r="R651" s="7"/>
      <c r="S651" s="7"/>
      <c r="T651" s="7"/>
    </row>
    <row r="652" spans="1:20" s="5" customFormat="1" ht="14.25" customHeight="1" x14ac:dyDescent="0.35">
      <c r="A652" s="5" t="s">
        <v>494</v>
      </c>
      <c r="B652" s="6" t="s">
        <v>21</v>
      </c>
      <c r="C652" s="6" t="s">
        <v>512</v>
      </c>
      <c r="D652" s="6" t="s">
        <v>496</v>
      </c>
      <c r="E652" s="25">
        <v>61.064999999999998</v>
      </c>
      <c r="F652" s="25">
        <v>-149.797</v>
      </c>
      <c r="G652" s="7">
        <v>36.6</v>
      </c>
      <c r="I652" s="23" t="s">
        <v>515</v>
      </c>
      <c r="J652" s="23" t="s">
        <v>469</v>
      </c>
      <c r="K652" s="24">
        <v>43742</v>
      </c>
      <c r="L652" s="24"/>
      <c r="M652" s="24"/>
      <c r="N652" s="9">
        <v>-6.5121249446167511</v>
      </c>
      <c r="O652" s="41">
        <v>-48.387689861951216</v>
      </c>
      <c r="P652" s="41">
        <f t="shared" si="10"/>
        <v>3.7093096949827924</v>
      </c>
      <c r="Q652" s="7"/>
      <c r="R652" s="7"/>
      <c r="S652" s="7"/>
      <c r="T652" s="7"/>
    </row>
    <row r="653" spans="1:20" s="5" customFormat="1" ht="14.25" customHeight="1" x14ac:dyDescent="0.35">
      <c r="A653" s="5" t="s">
        <v>494</v>
      </c>
      <c r="B653" s="6" t="s">
        <v>21</v>
      </c>
      <c r="C653" s="6" t="s">
        <v>512</v>
      </c>
      <c r="D653" s="6" t="s">
        <v>496</v>
      </c>
      <c r="E653" s="25">
        <v>61.064999999999998</v>
      </c>
      <c r="F653" s="25">
        <v>-149.797</v>
      </c>
      <c r="G653" s="7">
        <v>36.6</v>
      </c>
      <c r="I653" s="23" t="s">
        <v>516</v>
      </c>
      <c r="J653" s="23" t="s">
        <v>469</v>
      </c>
      <c r="K653" s="24">
        <v>43747</v>
      </c>
      <c r="L653" s="24"/>
      <c r="M653" s="24"/>
      <c r="N653" s="9">
        <v>-6.568247149564054</v>
      </c>
      <c r="O653" s="41">
        <v>-60.427887021809099</v>
      </c>
      <c r="P653" s="41">
        <f t="shared" si="10"/>
        <v>-7.8819098252966668</v>
      </c>
      <c r="Q653" s="7"/>
      <c r="R653" s="7"/>
      <c r="S653" s="7"/>
      <c r="T653" s="7"/>
    </row>
    <row r="654" spans="1:20" s="5" customFormat="1" ht="14.25" customHeight="1" x14ac:dyDescent="0.35">
      <c r="A654" s="5" t="s">
        <v>494</v>
      </c>
      <c r="B654" s="6" t="s">
        <v>21</v>
      </c>
      <c r="C654" s="6" t="s">
        <v>512</v>
      </c>
      <c r="D654" s="6" t="s">
        <v>496</v>
      </c>
      <c r="E654" s="25">
        <v>61.064999999999998</v>
      </c>
      <c r="F654" s="25">
        <v>-149.797</v>
      </c>
      <c r="G654" s="7">
        <v>36.6</v>
      </c>
      <c r="I654" s="23" t="s">
        <v>517</v>
      </c>
      <c r="J654" s="23" t="s">
        <v>469</v>
      </c>
      <c r="K654" s="24">
        <v>43748</v>
      </c>
      <c r="L654" s="24"/>
      <c r="M654" s="24"/>
      <c r="N654" s="9">
        <v>-26.921682144439529</v>
      </c>
      <c r="O654" s="41">
        <v>-206.8974632843792</v>
      </c>
      <c r="P654" s="41">
        <f t="shared" si="10"/>
        <v>8.4759938711370353</v>
      </c>
      <c r="Q654" s="7"/>
      <c r="R654" s="7"/>
      <c r="S654" s="7"/>
      <c r="T654" s="7"/>
    </row>
    <row r="655" spans="1:20" s="5" customFormat="1" ht="14.25" customHeight="1" x14ac:dyDescent="0.35">
      <c r="A655" s="5" t="s">
        <v>494</v>
      </c>
      <c r="B655" s="6" t="s">
        <v>21</v>
      </c>
      <c r="C655" s="6" t="s">
        <v>512</v>
      </c>
      <c r="D655" s="6" t="s">
        <v>496</v>
      </c>
      <c r="E655" s="25">
        <v>61.064999999999998</v>
      </c>
      <c r="F655" s="25">
        <v>-149.797</v>
      </c>
      <c r="G655" s="7">
        <v>36.6</v>
      </c>
      <c r="I655" s="23" t="s">
        <v>518</v>
      </c>
      <c r="J655" s="23" t="s">
        <v>469</v>
      </c>
      <c r="K655" s="24">
        <v>43755</v>
      </c>
      <c r="L655" s="24"/>
      <c r="M655" s="24"/>
      <c r="N655" s="9">
        <v>-17.781649127159952</v>
      </c>
      <c r="O655" s="41">
        <v>-135.09480927027946</v>
      </c>
      <c r="P655" s="41">
        <f t="shared" si="10"/>
        <v>7.1583837470001583</v>
      </c>
      <c r="Q655" s="7"/>
      <c r="R655" s="7"/>
      <c r="S655" s="7"/>
      <c r="T655" s="7"/>
    </row>
    <row r="656" spans="1:20" s="5" customFormat="1" ht="14.25" customHeight="1" x14ac:dyDescent="0.35">
      <c r="A656" s="5" t="s">
        <v>494</v>
      </c>
      <c r="B656" s="6" t="s">
        <v>21</v>
      </c>
      <c r="C656" s="6" t="s">
        <v>512</v>
      </c>
      <c r="D656" s="6" t="s">
        <v>496</v>
      </c>
      <c r="E656" s="25">
        <v>61.064999999999998</v>
      </c>
      <c r="F656" s="25">
        <v>-149.797</v>
      </c>
      <c r="G656" s="7">
        <v>36.6</v>
      </c>
      <c r="I656" s="23" t="s">
        <v>519</v>
      </c>
      <c r="J656" s="23" t="s">
        <v>469</v>
      </c>
      <c r="K656" s="24">
        <v>43761</v>
      </c>
      <c r="L656" s="24"/>
      <c r="M656" s="24"/>
      <c r="N656" s="9">
        <v>-16.569091390681699</v>
      </c>
      <c r="O656" s="41">
        <v>-131.7374715555155</v>
      </c>
      <c r="P656" s="41">
        <f t="shared" si="10"/>
        <v>0.81525956993809245</v>
      </c>
      <c r="Q656" s="7"/>
      <c r="R656" s="7"/>
      <c r="S656" s="7"/>
      <c r="T656" s="7"/>
    </row>
    <row r="657" spans="1:20" s="5" customFormat="1" ht="14.25" customHeight="1" x14ac:dyDescent="0.35">
      <c r="A657" s="5" t="s">
        <v>494</v>
      </c>
      <c r="B657" s="6" t="s">
        <v>21</v>
      </c>
      <c r="C657" s="6" t="s">
        <v>512</v>
      </c>
      <c r="D657" s="6" t="s">
        <v>496</v>
      </c>
      <c r="E657" s="25">
        <v>61.064999999999998</v>
      </c>
      <c r="F657" s="25">
        <v>-149.797</v>
      </c>
      <c r="G657" s="7">
        <v>36.6</v>
      </c>
      <c r="I657" s="23" t="s">
        <v>520</v>
      </c>
      <c r="J657" s="23" t="s">
        <v>469</v>
      </c>
      <c r="K657" s="24">
        <v>43762</v>
      </c>
      <c r="L657" s="24"/>
      <c r="M657" s="24"/>
      <c r="N657" s="9">
        <v>-15.94806364061769</v>
      </c>
      <c r="O657" s="41">
        <v>-129.27416181775328</v>
      </c>
      <c r="P657" s="41">
        <f t="shared" si="10"/>
        <v>-1.6896526928117623</v>
      </c>
      <c r="Q657" s="7"/>
      <c r="R657" s="7"/>
      <c r="S657" s="7"/>
      <c r="T657" s="7"/>
    </row>
    <row r="658" spans="1:20" s="5" customFormat="1" ht="14.25" customHeight="1" x14ac:dyDescent="0.35">
      <c r="A658" s="5" t="s">
        <v>494</v>
      </c>
      <c r="B658" s="6" t="s">
        <v>21</v>
      </c>
      <c r="C658" s="6" t="s">
        <v>512</v>
      </c>
      <c r="D658" s="6" t="s">
        <v>496</v>
      </c>
      <c r="E658" s="25">
        <v>61.064999999999998</v>
      </c>
      <c r="F658" s="25">
        <v>-149.797</v>
      </c>
      <c r="G658" s="7">
        <v>36.6</v>
      </c>
      <c r="I658" s="23" t="s">
        <v>521</v>
      </c>
      <c r="J658" s="23" t="s">
        <v>469</v>
      </c>
      <c r="K658" s="24">
        <v>43763</v>
      </c>
      <c r="L658" s="24"/>
      <c r="M658" s="24"/>
      <c r="N658" s="9">
        <v>-15.350282622950825</v>
      </c>
      <c r="O658" s="41">
        <v>-114.57752189009416</v>
      </c>
      <c r="P658" s="41">
        <f t="shared" si="10"/>
        <v>8.22473909351244</v>
      </c>
      <c r="Q658" s="7"/>
      <c r="R658" s="7"/>
      <c r="S658" s="7"/>
      <c r="T658" s="7"/>
    </row>
    <row r="659" spans="1:20" s="5" customFormat="1" ht="14.25" customHeight="1" x14ac:dyDescent="0.35">
      <c r="A659" s="5" t="s">
        <v>494</v>
      </c>
      <c r="B659" s="6" t="s">
        <v>21</v>
      </c>
      <c r="C659" s="6" t="s">
        <v>512</v>
      </c>
      <c r="D659" s="6" t="s">
        <v>496</v>
      </c>
      <c r="E659" s="25">
        <v>61.064999999999998</v>
      </c>
      <c r="F659" s="25">
        <v>-149.797</v>
      </c>
      <c r="G659" s="7">
        <v>36.6</v>
      </c>
      <c r="I659" s="23" t="s">
        <v>522</v>
      </c>
      <c r="J659" s="23" t="s">
        <v>469</v>
      </c>
      <c r="K659" s="24">
        <v>43765</v>
      </c>
      <c r="L659" s="24"/>
      <c r="M659" s="24"/>
      <c r="N659" s="9">
        <v>-12.844871685752379</v>
      </c>
      <c r="O659" s="41">
        <v>-104.03313615444691</v>
      </c>
      <c r="P659" s="41">
        <f t="shared" si="10"/>
        <v>-1.2741626684278771</v>
      </c>
      <c r="Q659" s="7"/>
      <c r="R659" s="7"/>
      <c r="S659" s="7"/>
      <c r="T659" s="7"/>
    </row>
    <row r="660" spans="1:20" s="5" customFormat="1" ht="14.25" customHeight="1" x14ac:dyDescent="0.35">
      <c r="A660" s="5" t="s">
        <v>494</v>
      </c>
      <c r="B660" s="6" t="s">
        <v>21</v>
      </c>
      <c r="C660" s="6" t="s">
        <v>512</v>
      </c>
      <c r="D660" s="6" t="s">
        <v>496</v>
      </c>
      <c r="E660" s="25">
        <v>61.064999999999998</v>
      </c>
      <c r="F660" s="25">
        <v>-149.797</v>
      </c>
      <c r="G660" s="7">
        <v>36.6</v>
      </c>
      <c r="I660" s="23" t="s">
        <v>523</v>
      </c>
      <c r="J660" s="23" t="s">
        <v>469</v>
      </c>
      <c r="K660" s="24">
        <v>43766</v>
      </c>
      <c r="L660" s="24"/>
      <c r="M660" s="24"/>
      <c r="N660" s="9">
        <v>-10.332948409393003</v>
      </c>
      <c r="O660" s="41">
        <v>-95.516991848952628</v>
      </c>
      <c r="P660" s="41">
        <f t="shared" si="10"/>
        <v>-12.853404573808604</v>
      </c>
      <c r="Q660" s="7"/>
      <c r="R660" s="7"/>
      <c r="S660" s="7"/>
      <c r="T660" s="7"/>
    </row>
    <row r="661" spans="1:20" s="5" customFormat="1" ht="14.25" customHeight="1" x14ac:dyDescent="0.35">
      <c r="A661" s="5" t="s">
        <v>494</v>
      </c>
      <c r="B661" s="6" t="s">
        <v>21</v>
      </c>
      <c r="C661" s="6" t="s">
        <v>512</v>
      </c>
      <c r="D661" s="6" t="s">
        <v>496</v>
      </c>
      <c r="E661" s="25">
        <v>61.064999999999998</v>
      </c>
      <c r="F661" s="25">
        <v>-149.797</v>
      </c>
      <c r="G661" s="7">
        <v>36.6</v>
      </c>
      <c r="I661" s="23" t="s">
        <v>524</v>
      </c>
      <c r="J661" s="23" t="s">
        <v>469</v>
      </c>
      <c r="K661" s="24">
        <v>43775</v>
      </c>
      <c r="L661" s="24"/>
      <c r="M661" s="24"/>
      <c r="N661" s="9">
        <v>-12.610526182887314</v>
      </c>
      <c r="O661" s="41">
        <v>-99.466325966460772</v>
      </c>
      <c r="P661" s="41">
        <f t="shared" si="10"/>
        <v>1.4178834966377423</v>
      </c>
      <c r="Q661" s="7"/>
      <c r="R661" s="7"/>
      <c r="S661" s="7"/>
      <c r="T661" s="7"/>
    </row>
    <row r="662" spans="1:20" s="5" customFormat="1" ht="14.25" customHeight="1" x14ac:dyDescent="0.35">
      <c r="A662" s="5" t="s">
        <v>494</v>
      </c>
      <c r="B662" s="6" t="s">
        <v>21</v>
      </c>
      <c r="C662" s="6" t="s">
        <v>512</v>
      </c>
      <c r="D662" s="6" t="s">
        <v>496</v>
      </c>
      <c r="E662" s="25">
        <v>61.064999999999998</v>
      </c>
      <c r="F662" s="25">
        <v>-149.797</v>
      </c>
      <c r="G662" s="7">
        <v>36.6</v>
      </c>
      <c r="I662" s="23" t="s">
        <v>525</v>
      </c>
      <c r="J662" s="23" t="s">
        <v>469</v>
      </c>
      <c r="K662" s="24">
        <v>43776</v>
      </c>
      <c r="L662" s="24"/>
      <c r="M662" s="24"/>
      <c r="N662" s="9">
        <v>-12.763105580853544</v>
      </c>
      <c r="O662" s="41">
        <v>-108.82410916458113</v>
      </c>
      <c r="P662" s="41">
        <f t="shared" si="10"/>
        <v>-6.7192645177527766</v>
      </c>
      <c r="Q662" s="7"/>
      <c r="R662" s="7"/>
      <c r="S662" s="7"/>
      <c r="T662" s="7"/>
    </row>
    <row r="663" spans="1:20" s="5" customFormat="1" ht="14.25" customHeight="1" x14ac:dyDescent="0.35">
      <c r="A663" s="5" t="s">
        <v>494</v>
      </c>
      <c r="B663" s="6" t="s">
        <v>21</v>
      </c>
      <c r="C663" s="6" t="s">
        <v>512</v>
      </c>
      <c r="D663" s="6" t="s">
        <v>496</v>
      </c>
      <c r="E663" s="25">
        <v>61.064999999999998</v>
      </c>
      <c r="F663" s="25">
        <v>-149.797</v>
      </c>
      <c r="G663" s="7">
        <v>36.6</v>
      </c>
      <c r="I663" s="23" t="s">
        <v>526</v>
      </c>
      <c r="J663" s="23" t="s">
        <v>469</v>
      </c>
      <c r="K663" s="24">
        <v>43777</v>
      </c>
      <c r="L663" s="24"/>
      <c r="M663" s="24"/>
      <c r="N663" s="9">
        <v>-9.6691157465662414</v>
      </c>
      <c r="O663" s="41">
        <v>-84.560272593830618</v>
      </c>
      <c r="P663" s="41">
        <f t="shared" si="10"/>
        <v>-7.2073466213006867</v>
      </c>
      <c r="Q663" s="7"/>
      <c r="R663" s="7"/>
      <c r="S663" s="7"/>
      <c r="T663" s="7"/>
    </row>
    <row r="664" spans="1:20" s="5" customFormat="1" ht="14.25" customHeight="1" x14ac:dyDescent="0.35">
      <c r="A664" s="5" t="s">
        <v>494</v>
      </c>
      <c r="B664" s="6" t="s">
        <v>21</v>
      </c>
      <c r="C664" s="6" t="s">
        <v>512</v>
      </c>
      <c r="D664" s="6" t="s">
        <v>496</v>
      </c>
      <c r="E664" s="25">
        <v>61.064999999999998</v>
      </c>
      <c r="F664" s="25">
        <v>-149.797</v>
      </c>
      <c r="G664" s="7">
        <v>36.6</v>
      </c>
      <c r="I664" s="23" t="s">
        <v>527</v>
      </c>
      <c r="J664" s="23" t="s">
        <v>469</v>
      </c>
      <c r="K664" s="24">
        <v>43785</v>
      </c>
      <c r="L664" s="24"/>
      <c r="M664" s="24"/>
      <c r="N664" s="9">
        <v>-12.107036208403601</v>
      </c>
      <c r="O664" s="41">
        <v>-82.617013033140623</v>
      </c>
      <c r="P664" s="41">
        <f t="shared" si="10"/>
        <v>14.239276634088185</v>
      </c>
      <c r="Q664" s="7"/>
      <c r="R664" s="7"/>
      <c r="S664" s="7"/>
      <c r="T664" s="7"/>
    </row>
    <row r="665" spans="1:20" s="5" customFormat="1" ht="14.25" customHeight="1" x14ac:dyDescent="0.35">
      <c r="A665" s="5" t="s">
        <v>494</v>
      </c>
      <c r="B665" s="6" t="s">
        <v>21</v>
      </c>
      <c r="C665" s="6" t="s">
        <v>512</v>
      </c>
      <c r="D665" s="6" t="s">
        <v>496</v>
      </c>
      <c r="E665" s="25">
        <v>61.064999999999998</v>
      </c>
      <c r="F665" s="25">
        <v>-149.797</v>
      </c>
      <c r="G665" s="7">
        <v>36.6</v>
      </c>
      <c r="I665" s="23" t="s">
        <v>528</v>
      </c>
      <c r="J665" s="23" t="s">
        <v>469</v>
      </c>
      <c r="K665" s="24">
        <v>43786</v>
      </c>
      <c r="L665" s="24"/>
      <c r="M665" s="24"/>
      <c r="N665" s="9">
        <v>-12.066777722640678</v>
      </c>
      <c r="O665" s="41">
        <v>-79.135158097240208</v>
      </c>
      <c r="P665" s="41">
        <f t="shared" si="10"/>
        <v>17.399063683885217</v>
      </c>
      <c r="Q665" s="7"/>
      <c r="R665" s="7"/>
      <c r="S665" s="7"/>
      <c r="T665" s="7"/>
    </row>
    <row r="666" spans="1:20" s="5" customFormat="1" ht="14.25" customHeight="1" x14ac:dyDescent="0.35">
      <c r="A666" s="5" t="s">
        <v>494</v>
      </c>
      <c r="B666" s="6" t="s">
        <v>21</v>
      </c>
      <c r="C666" s="6" t="s">
        <v>512</v>
      </c>
      <c r="D666" s="6" t="s">
        <v>496</v>
      </c>
      <c r="E666" s="25">
        <v>61.064999999999998</v>
      </c>
      <c r="F666" s="25">
        <v>-149.797</v>
      </c>
      <c r="G666" s="7">
        <v>36.6</v>
      </c>
      <c r="I666" s="23" t="s">
        <v>529</v>
      </c>
      <c r="J666" s="23" t="s">
        <v>469</v>
      </c>
      <c r="K666" s="24">
        <v>43791</v>
      </c>
      <c r="L666" s="24"/>
      <c r="M666" s="24"/>
      <c r="N666" s="9">
        <v>-12.501018938557847</v>
      </c>
      <c r="O666" s="41">
        <v>-87.914953733925799</v>
      </c>
      <c r="P666" s="41">
        <f t="shared" si="10"/>
        <v>12.093197774536975</v>
      </c>
      <c r="Q666" s="7"/>
      <c r="R666" s="7"/>
      <c r="S666" s="7"/>
      <c r="T666" s="7"/>
    </row>
    <row r="667" spans="1:20" s="5" customFormat="1" ht="14.25" customHeight="1" x14ac:dyDescent="0.35">
      <c r="A667" s="5" t="s">
        <v>494</v>
      </c>
      <c r="B667" s="6" t="s">
        <v>21</v>
      </c>
      <c r="C667" s="6" t="s">
        <v>512</v>
      </c>
      <c r="D667" s="6" t="s">
        <v>496</v>
      </c>
      <c r="E667" s="25">
        <v>61.064999999999998</v>
      </c>
      <c r="F667" s="25">
        <v>-149.797</v>
      </c>
      <c r="G667" s="7">
        <v>36.6</v>
      </c>
      <c r="I667" s="23" t="s">
        <v>530</v>
      </c>
      <c r="J667" s="23" t="s">
        <v>469</v>
      </c>
      <c r="K667" s="24">
        <v>43792</v>
      </c>
      <c r="L667" s="24"/>
      <c r="M667" s="24"/>
      <c r="N667" s="9">
        <v>-14.872702501302305</v>
      </c>
      <c r="O667" s="41">
        <v>-112.38712891827865</v>
      </c>
      <c r="P667" s="41">
        <f t="shared" si="10"/>
        <v>6.5944910921397906</v>
      </c>
      <c r="Q667" s="7"/>
      <c r="R667" s="7"/>
      <c r="S667" s="7"/>
      <c r="T667" s="7"/>
    </row>
    <row r="668" spans="1:20" s="5" customFormat="1" ht="14.25" customHeight="1" x14ac:dyDescent="0.35">
      <c r="A668" s="5" t="s">
        <v>494</v>
      </c>
      <c r="B668" s="6" t="s">
        <v>21</v>
      </c>
      <c r="C668" s="6" t="s">
        <v>512</v>
      </c>
      <c r="D668" s="6" t="s">
        <v>496</v>
      </c>
      <c r="E668" s="25">
        <v>61.064999999999998</v>
      </c>
      <c r="F668" s="25">
        <v>-149.797</v>
      </c>
      <c r="G668" s="7">
        <v>36.6</v>
      </c>
      <c r="I668" s="23" t="s">
        <v>531</v>
      </c>
      <c r="J668" s="23" t="s">
        <v>469</v>
      </c>
      <c r="K668" s="24">
        <v>43793</v>
      </c>
      <c r="L668" s="24"/>
      <c r="M668" s="24"/>
      <c r="N668" s="9">
        <v>-15.820436366858669</v>
      </c>
      <c r="O668" s="41">
        <v>-105.913287697914</v>
      </c>
      <c r="P668" s="41">
        <f t="shared" si="10"/>
        <v>20.650203236955349</v>
      </c>
      <c r="Q668" s="7"/>
      <c r="R668" s="7"/>
      <c r="S668" s="7"/>
      <c r="T668" s="7"/>
    </row>
    <row r="669" spans="1:20" s="5" customFormat="1" ht="14.25" customHeight="1" x14ac:dyDescent="0.35">
      <c r="A669" s="5" t="s">
        <v>494</v>
      </c>
      <c r="B669" s="6" t="s">
        <v>21</v>
      </c>
      <c r="C669" s="6" t="s">
        <v>512</v>
      </c>
      <c r="D669" s="6" t="s">
        <v>496</v>
      </c>
      <c r="E669" s="25">
        <v>61.064999999999998</v>
      </c>
      <c r="F669" s="25">
        <v>-149.797</v>
      </c>
      <c r="G669" s="7">
        <v>36.6</v>
      </c>
      <c r="I669" s="23" t="s">
        <v>532</v>
      </c>
      <c r="J669" s="23" t="s">
        <v>469</v>
      </c>
      <c r="K669" s="24">
        <v>43794</v>
      </c>
      <c r="L669" s="24"/>
      <c r="M669" s="24"/>
      <c r="N669" s="9">
        <v>-24.622691395657959</v>
      </c>
      <c r="O669" s="41">
        <v>-192.97275737386337</v>
      </c>
      <c r="P669" s="41">
        <f t="shared" si="10"/>
        <v>4.0087737914003014</v>
      </c>
      <c r="Q669" s="7"/>
      <c r="R669" s="7"/>
      <c r="S669" s="7"/>
      <c r="T669" s="7"/>
    </row>
    <row r="670" spans="1:20" s="5" customFormat="1" ht="14.25" customHeight="1" x14ac:dyDescent="0.35">
      <c r="A670" s="5" t="s">
        <v>494</v>
      </c>
      <c r="B670" s="6" t="s">
        <v>21</v>
      </c>
      <c r="C670" s="6" t="s">
        <v>512</v>
      </c>
      <c r="D670" s="6" t="s">
        <v>496</v>
      </c>
      <c r="E670" s="25">
        <v>61.064999999999998</v>
      </c>
      <c r="F670" s="25">
        <v>-149.797</v>
      </c>
      <c r="G670" s="7">
        <v>36.6</v>
      </c>
      <c r="I670" s="23" t="s">
        <v>533</v>
      </c>
      <c r="J670" s="23" t="s">
        <v>469</v>
      </c>
      <c r="K670" s="24">
        <v>43797</v>
      </c>
      <c r="L670" s="24"/>
      <c r="M670" s="24"/>
      <c r="N670" s="9">
        <v>-19.963406734603463</v>
      </c>
      <c r="O670" s="41">
        <v>-167.91589318221637</v>
      </c>
      <c r="P670" s="41">
        <f t="shared" si="10"/>
        <v>-8.2086393053886582</v>
      </c>
      <c r="Q670" s="7"/>
      <c r="R670" s="7"/>
      <c r="S670" s="7"/>
      <c r="T670" s="7"/>
    </row>
    <row r="671" spans="1:20" s="5" customFormat="1" ht="14.25" customHeight="1" x14ac:dyDescent="0.35">
      <c r="A671" s="5" t="s">
        <v>494</v>
      </c>
      <c r="B671" s="6" t="s">
        <v>21</v>
      </c>
      <c r="C671" s="6" t="s">
        <v>512</v>
      </c>
      <c r="D671" s="6" t="s">
        <v>496</v>
      </c>
      <c r="E671" s="25">
        <v>61.064999999999998</v>
      </c>
      <c r="F671" s="25">
        <v>-149.797</v>
      </c>
      <c r="G671" s="7">
        <v>36.6</v>
      </c>
      <c r="I671" s="23" t="s">
        <v>534</v>
      </c>
      <c r="J671" s="23" t="s">
        <v>469</v>
      </c>
      <c r="K671" s="24">
        <v>43800</v>
      </c>
      <c r="L671" s="24"/>
      <c r="M671" s="24"/>
      <c r="N671" s="9">
        <v>-12.822726887454643</v>
      </c>
      <c r="O671" s="41">
        <v>-95.09056495769849</v>
      </c>
      <c r="P671" s="41">
        <f t="shared" ref="P671:P719" si="11">O671-8*N671</f>
        <v>7.4912501419386501</v>
      </c>
      <c r="Q671" s="7"/>
      <c r="R671" s="7"/>
      <c r="S671" s="7"/>
      <c r="T671" s="7"/>
    </row>
    <row r="672" spans="1:20" s="5" customFormat="1" ht="14.25" customHeight="1" x14ac:dyDescent="0.35">
      <c r="A672" s="5" t="s">
        <v>494</v>
      </c>
      <c r="B672" s="6" t="s">
        <v>21</v>
      </c>
      <c r="C672" s="6" t="s">
        <v>512</v>
      </c>
      <c r="D672" s="6" t="s">
        <v>496</v>
      </c>
      <c r="E672" s="25">
        <v>61.064999999999998</v>
      </c>
      <c r="F672" s="25">
        <v>-149.797</v>
      </c>
      <c r="G672" s="7">
        <v>36.6</v>
      </c>
      <c r="I672" s="23" t="s">
        <v>670</v>
      </c>
      <c r="J672" s="23" t="s">
        <v>100</v>
      </c>
      <c r="K672" s="24">
        <v>43801</v>
      </c>
      <c r="L672" s="24"/>
      <c r="M672" s="24"/>
      <c r="N672" s="9">
        <v>-21.62</v>
      </c>
      <c r="O672" s="41">
        <v>-166.39</v>
      </c>
      <c r="P672" s="41">
        <f t="shared" si="11"/>
        <v>6.5700000000000216</v>
      </c>
      <c r="Q672" s="7"/>
      <c r="R672" s="7"/>
      <c r="S672" s="7"/>
      <c r="T672" s="7"/>
    </row>
    <row r="673" spans="1:20" s="5" customFormat="1" ht="14.25" customHeight="1" x14ac:dyDescent="0.35">
      <c r="A673" s="5" t="s">
        <v>494</v>
      </c>
      <c r="B673" s="6" t="s">
        <v>21</v>
      </c>
      <c r="C673" s="6" t="s">
        <v>512</v>
      </c>
      <c r="D673" s="6" t="s">
        <v>496</v>
      </c>
      <c r="E673" s="25">
        <v>61.064999999999998</v>
      </c>
      <c r="F673" s="25">
        <v>-149.797</v>
      </c>
      <c r="G673" s="7">
        <v>36.6</v>
      </c>
      <c r="I673" s="23" t="s">
        <v>535</v>
      </c>
      <c r="J673" s="23" t="s">
        <v>469</v>
      </c>
      <c r="K673" s="24">
        <v>43802</v>
      </c>
      <c r="L673" s="24"/>
      <c r="M673" s="24"/>
      <c r="N673" s="9">
        <v>-26.441461964771083</v>
      </c>
      <c r="O673" s="41">
        <v>-201.47062328685502</v>
      </c>
      <c r="P673" s="41">
        <f t="shared" si="11"/>
        <v>10.061072431313647</v>
      </c>
      <c r="Q673" s="7"/>
      <c r="R673" s="7"/>
      <c r="S673" s="7"/>
      <c r="T673" s="7"/>
    </row>
    <row r="674" spans="1:20" s="5" customFormat="1" ht="14.25" customHeight="1" x14ac:dyDescent="0.35">
      <c r="A674" s="5" t="s">
        <v>494</v>
      </c>
      <c r="B674" s="6" t="s">
        <v>21</v>
      </c>
      <c r="C674" s="6" t="s">
        <v>512</v>
      </c>
      <c r="D674" s="6" t="s">
        <v>496</v>
      </c>
      <c r="E674" s="25">
        <v>61.064999999999998</v>
      </c>
      <c r="F674" s="25">
        <v>-149.797</v>
      </c>
      <c r="G674" s="7">
        <v>36.6</v>
      </c>
      <c r="I674" s="23" t="s">
        <v>536</v>
      </c>
      <c r="J674" s="23" t="s">
        <v>469</v>
      </c>
      <c r="K674" s="24">
        <v>43803</v>
      </c>
      <c r="L674" s="24"/>
      <c r="M674" s="24"/>
      <c r="N674" s="9">
        <v>-24.460099650534787</v>
      </c>
      <c r="O674" s="41">
        <v>-179.99631748301752</v>
      </c>
      <c r="P674" s="41">
        <f t="shared" si="11"/>
        <v>15.684479721260772</v>
      </c>
      <c r="Q674" s="7"/>
      <c r="R674" s="7"/>
      <c r="S674" s="7"/>
      <c r="T674" s="7"/>
    </row>
    <row r="675" spans="1:20" s="5" customFormat="1" ht="14.25" customHeight="1" x14ac:dyDescent="0.35">
      <c r="A675" s="5" t="s">
        <v>494</v>
      </c>
      <c r="B675" s="6" t="s">
        <v>21</v>
      </c>
      <c r="C675" s="6" t="s">
        <v>512</v>
      </c>
      <c r="D675" s="6" t="s">
        <v>496</v>
      </c>
      <c r="E675" s="25">
        <v>61.064999999999998</v>
      </c>
      <c r="F675" s="25">
        <v>-149.797</v>
      </c>
      <c r="G675" s="7">
        <v>36.6</v>
      </c>
      <c r="I675" s="23" t="s">
        <v>537</v>
      </c>
      <c r="J675" s="23" t="s">
        <v>469</v>
      </c>
      <c r="K675" s="24">
        <v>43805</v>
      </c>
      <c r="L675" s="24"/>
      <c r="M675" s="24"/>
      <c r="N675" s="9">
        <v>-21.700899583517948</v>
      </c>
      <c r="O675" s="41">
        <v>-159.84937852480297</v>
      </c>
      <c r="P675" s="41">
        <f t="shared" si="11"/>
        <v>13.757818143340614</v>
      </c>
      <c r="Q675" s="7"/>
      <c r="R675" s="7"/>
      <c r="S675" s="7"/>
      <c r="T675" s="7"/>
    </row>
    <row r="676" spans="1:20" s="5" customFormat="1" ht="14.25" customHeight="1" x14ac:dyDescent="0.35">
      <c r="A676" s="5" t="s">
        <v>494</v>
      </c>
      <c r="B676" s="6" t="s">
        <v>21</v>
      </c>
      <c r="C676" s="6" t="s">
        <v>512</v>
      </c>
      <c r="D676" s="6" t="s">
        <v>496</v>
      </c>
      <c r="E676" s="25">
        <v>61.064999999999998</v>
      </c>
      <c r="F676" s="25">
        <v>-149.797</v>
      </c>
      <c r="G676" s="7">
        <v>36.6</v>
      </c>
      <c r="I676" s="23" t="s">
        <v>538</v>
      </c>
      <c r="J676" s="23" t="s">
        <v>469</v>
      </c>
      <c r="K676" s="24">
        <v>43808</v>
      </c>
      <c r="L676" s="24"/>
      <c r="M676" s="24"/>
      <c r="N676" s="9">
        <v>-17.772210981714803</v>
      </c>
      <c r="O676" s="41">
        <v>-143.41547510299753</v>
      </c>
      <c r="P676" s="41">
        <f t="shared" si="11"/>
        <v>-1.2377872492791084</v>
      </c>
      <c r="Q676" s="7"/>
      <c r="R676" s="7"/>
      <c r="S676" s="7"/>
      <c r="T676" s="7"/>
    </row>
    <row r="677" spans="1:20" s="5" customFormat="1" ht="14.25" customHeight="1" x14ac:dyDescent="0.35">
      <c r="A677" s="5" t="s">
        <v>494</v>
      </c>
      <c r="B677" s="6" t="s">
        <v>21</v>
      </c>
      <c r="C677" s="6" t="s">
        <v>512</v>
      </c>
      <c r="D677" s="6" t="s">
        <v>496</v>
      </c>
      <c r="E677" s="25">
        <v>61.064999999999998</v>
      </c>
      <c r="F677" s="25">
        <v>-149.797</v>
      </c>
      <c r="G677" s="7">
        <v>36.6</v>
      </c>
      <c r="I677" s="23" t="s">
        <v>539</v>
      </c>
      <c r="J677" s="23" t="s">
        <v>469</v>
      </c>
      <c r="K677" s="24">
        <v>43809</v>
      </c>
      <c r="L677" s="24"/>
      <c r="M677" s="24"/>
      <c r="N677" s="9">
        <v>-14.762651501993803</v>
      </c>
      <c r="O677" s="41">
        <v>-114.38098110711049</v>
      </c>
      <c r="P677" s="41">
        <f t="shared" si="11"/>
        <v>3.7202309088399375</v>
      </c>
      <c r="Q677" s="7"/>
      <c r="R677" s="7"/>
      <c r="S677" s="7"/>
      <c r="T677" s="7"/>
    </row>
    <row r="678" spans="1:20" s="5" customFormat="1" ht="14.25" customHeight="1" x14ac:dyDescent="0.35">
      <c r="A678" s="5" t="s">
        <v>494</v>
      </c>
      <c r="B678" s="6" t="s">
        <v>21</v>
      </c>
      <c r="C678" s="6" t="s">
        <v>512</v>
      </c>
      <c r="D678" s="6" t="s">
        <v>496</v>
      </c>
      <c r="E678" s="25">
        <v>61.064999999999998</v>
      </c>
      <c r="F678" s="25">
        <v>-149.797</v>
      </c>
      <c r="G678" s="7">
        <v>36.6</v>
      </c>
      <c r="I678" s="23" t="s">
        <v>540</v>
      </c>
      <c r="J678" s="23" t="s">
        <v>469</v>
      </c>
      <c r="K678" s="24">
        <v>43824</v>
      </c>
      <c r="L678" s="24"/>
      <c r="M678" s="24"/>
      <c r="N678" s="9">
        <v>-17.960918139122736</v>
      </c>
      <c r="O678" s="41">
        <v>-133.09038772696658</v>
      </c>
      <c r="P678" s="41">
        <f t="shared" si="11"/>
        <v>10.596957386015305</v>
      </c>
      <c r="Q678" s="7"/>
      <c r="R678" s="7"/>
      <c r="S678" s="7"/>
      <c r="T678" s="7"/>
    </row>
    <row r="679" spans="1:20" s="5" customFormat="1" ht="14.25" customHeight="1" x14ac:dyDescent="0.35">
      <c r="A679" s="5" t="s">
        <v>494</v>
      </c>
      <c r="B679" s="6" t="s">
        <v>21</v>
      </c>
      <c r="C679" s="6" t="s">
        <v>512</v>
      </c>
      <c r="D679" s="6" t="s">
        <v>496</v>
      </c>
      <c r="E679" s="25">
        <v>61.064999999999998</v>
      </c>
      <c r="F679" s="25">
        <v>-149.797</v>
      </c>
      <c r="G679" s="7">
        <v>36.6</v>
      </c>
      <c r="I679" s="23" t="s">
        <v>541</v>
      </c>
      <c r="J679" s="23" t="s">
        <v>469</v>
      </c>
      <c r="K679" s="24">
        <v>43827</v>
      </c>
      <c r="L679" s="24"/>
      <c r="M679" s="24"/>
      <c r="N679" s="9">
        <v>-23.462694095937703</v>
      </c>
      <c r="O679" s="41">
        <v>-179.26928267219029</v>
      </c>
      <c r="P679" s="41">
        <f t="shared" si="11"/>
        <v>8.4322700953113383</v>
      </c>
      <c r="Q679" s="7"/>
      <c r="R679" s="7"/>
      <c r="S679" s="7"/>
      <c r="T679" s="7"/>
    </row>
    <row r="680" spans="1:20" s="5" customFormat="1" ht="14.25" customHeight="1" x14ac:dyDescent="0.35">
      <c r="A680" s="5" t="s">
        <v>494</v>
      </c>
      <c r="B680" s="6" t="s">
        <v>21</v>
      </c>
      <c r="C680" s="6" t="s">
        <v>512</v>
      </c>
      <c r="D680" s="6" t="s">
        <v>496</v>
      </c>
      <c r="E680" s="25">
        <v>61.064999999999998</v>
      </c>
      <c r="F680" s="25">
        <v>-149.797</v>
      </c>
      <c r="G680" s="7">
        <v>36.6</v>
      </c>
      <c r="I680" s="23" t="s">
        <v>542</v>
      </c>
      <c r="J680" s="23" t="s">
        <v>469</v>
      </c>
      <c r="K680" s="24">
        <v>43831</v>
      </c>
      <c r="L680" s="24"/>
      <c r="M680" s="24"/>
      <c r="N680" s="9">
        <v>-17.542245768622919</v>
      </c>
      <c r="O680" s="41">
        <v>-130.09861250655786</v>
      </c>
      <c r="P680" s="41">
        <f t="shared" si="11"/>
        <v>10.239353642425499</v>
      </c>
      <c r="Q680" s="7"/>
      <c r="R680" s="7"/>
      <c r="S680" s="7"/>
      <c r="T680" s="7"/>
    </row>
    <row r="681" spans="1:20" s="5" customFormat="1" ht="14.25" customHeight="1" x14ac:dyDescent="0.35">
      <c r="A681" s="5" t="s">
        <v>494</v>
      </c>
      <c r="B681" s="6" t="s">
        <v>21</v>
      </c>
      <c r="C681" s="6" t="s">
        <v>512</v>
      </c>
      <c r="D681" s="6" t="s">
        <v>496</v>
      </c>
      <c r="E681" s="25">
        <v>61.064999999999998</v>
      </c>
      <c r="F681" s="25">
        <v>-149.797</v>
      </c>
      <c r="G681" s="7">
        <v>36.6</v>
      </c>
      <c r="I681" s="23" t="s">
        <v>543</v>
      </c>
      <c r="J681" s="23" t="s">
        <v>469</v>
      </c>
      <c r="K681" s="24">
        <v>43833</v>
      </c>
      <c r="L681" s="24"/>
      <c r="M681" s="24"/>
      <c r="N681" s="9">
        <v>-24.955805076070455</v>
      </c>
      <c r="O681" s="41">
        <v>-171.40957573590754</v>
      </c>
      <c r="P681" s="41">
        <f t="shared" si="11"/>
        <v>28.236864872656099</v>
      </c>
      <c r="Q681" s="7"/>
      <c r="R681" s="7"/>
      <c r="S681" s="7"/>
      <c r="T681" s="7"/>
    </row>
    <row r="682" spans="1:20" s="5" customFormat="1" ht="14.25" customHeight="1" x14ac:dyDescent="0.35">
      <c r="A682" s="5" t="s">
        <v>494</v>
      </c>
      <c r="B682" s="6" t="s">
        <v>21</v>
      </c>
      <c r="C682" s="6" t="s">
        <v>512</v>
      </c>
      <c r="D682" s="6" t="s">
        <v>496</v>
      </c>
      <c r="E682" s="25">
        <v>61.064999999999998</v>
      </c>
      <c r="F682" s="25">
        <v>-149.797</v>
      </c>
      <c r="G682" s="7">
        <v>36.6</v>
      </c>
      <c r="I682" s="23" t="s">
        <v>544</v>
      </c>
      <c r="J682" s="23" t="s">
        <v>469</v>
      </c>
      <c r="K682" s="24">
        <v>43843</v>
      </c>
      <c r="L682" s="24"/>
      <c r="M682" s="24"/>
      <c r="N682" s="9">
        <v>-18.746338757383391</v>
      </c>
      <c r="O682" s="41">
        <v>-129.88160023374715</v>
      </c>
      <c r="P682" s="41">
        <f t="shared" si="11"/>
        <v>20.08910982531998</v>
      </c>
      <c r="Q682" s="7"/>
      <c r="R682" s="7"/>
      <c r="S682" s="7"/>
      <c r="T682" s="7"/>
    </row>
    <row r="683" spans="1:20" s="5" customFormat="1" ht="14.25" customHeight="1" x14ac:dyDescent="0.35">
      <c r="A683" s="5" t="s">
        <v>494</v>
      </c>
      <c r="B683" s="6" t="s">
        <v>21</v>
      </c>
      <c r="C683" s="6" t="s">
        <v>512</v>
      </c>
      <c r="D683" s="6" t="s">
        <v>496</v>
      </c>
      <c r="E683" s="25">
        <v>61.064999999999998</v>
      </c>
      <c r="F683" s="25">
        <v>-149.797</v>
      </c>
      <c r="G683" s="7">
        <v>36.6</v>
      </c>
      <c r="I683" s="23" t="s">
        <v>545</v>
      </c>
      <c r="J683" s="23" t="s">
        <v>469</v>
      </c>
      <c r="K683" s="24">
        <v>43850</v>
      </c>
      <c r="L683" s="24"/>
      <c r="M683" s="24"/>
      <c r="N683" s="9">
        <v>-18.19904795746567</v>
      </c>
      <c r="O683" s="41">
        <v>-136.13861013271702</v>
      </c>
      <c r="P683" s="41">
        <f t="shared" si="11"/>
        <v>9.4537735270083374</v>
      </c>
      <c r="Q683" s="7"/>
      <c r="R683" s="7"/>
      <c r="S683" s="7"/>
      <c r="T683" s="7"/>
    </row>
    <row r="684" spans="1:20" s="5" customFormat="1" ht="14.25" customHeight="1" x14ac:dyDescent="0.35">
      <c r="A684" s="5" t="s">
        <v>494</v>
      </c>
      <c r="B684" s="6" t="s">
        <v>21</v>
      </c>
      <c r="C684" s="6" t="s">
        <v>512</v>
      </c>
      <c r="D684" s="6" t="s">
        <v>496</v>
      </c>
      <c r="E684" s="25">
        <v>61.064999999999998</v>
      </c>
      <c r="F684" s="25">
        <v>-149.797</v>
      </c>
      <c r="G684" s="7">
        <v>36.6</v>
      </c>
      <c r="I684" s="23" t="s">
        <v>546</v>
      </c>
      <c r="J684" s="23" t="s">
        <v>469</v>
      </c>
      <c r="K684" s="24">
        <v>43852</v>
      </c>
      <c r="L684" s="24"/>
      <c r="M684" s="24"/>
      <c r="N684" s="9">
        <v>-18.794765294320204</v>
      </c>
      <c r="O684" s="41">
        <v>-134.12975018818162</v>
      </c>
      <c r="P684" s="41">
        <f t="shared" si="11"/>
        <v>16.228372166380012</v>
      </c>
      <c r="Q684" s="7"/>
      <c r="R684" s="7"/>
      <c r="S684" s="7"/>
      <c r="T684" s="7"/>
    </row>
    <row r="685" spans="1:20" s="5" customFormat="1" ht="14.25" customHeight="1" x14ac:dyDescent="0.35">
      <c r="A685" s="5" t="s">
        <v>494</v>
      </c>
      <c r="B685" s="6" t="s">
        <v>21</v>
      </c>
      <c r="C685" s="6" t="s">
        <v>512</v>
      </c>
      <c r="D685" s="6" t="s">
        <v>496</v>
      </c>
      <c r="E685" s="25">
        <v>61.064999999999998</v>
      </c>
      <c r="F685" s="25">
        <v>-149.797</v>
      </c>
      <c r="G685" s="7">
        <v>36.6</v>
      </c>
      <c r="I685" s="23" t="s">
        <v>671</v>
      </c>
      <c r="J685" s="23" t="s">
        <v>100</v>
      </c>
      <c r="K685" s="24">
        <v>43866</v>
      </c>
      <c r="L685" s="24"/>
      <c r="M685" s="24"/>
      <c r="N685" s="9">
        <v>-24.44</v>
      </c>
      <c r="O685" s="41">
        <v>-212.01</v>
      </c>
      <c r="P685" s="41">
        <f t="shared" si="11"/>
        <v>-16.489999999999981</v>
      </c>
      <c r="Q685" s="7"/>
      <c r="R685" s="7"/>
      <c r="S685" s="7"/>
      <c r="T685" s="7"/>
    </row>
    <row r="686" spans="1:20" s="5" customFormat="1" ht="14.25" customHeight="1" x14ac:dyDescent="0.35">
      <c r="A686" s="5" t="s">
        <v>494</v>
      </c>
      <c r="B686" s="6" t="s">
        <v>21</v>
      </c>
      <c r="C686" s="6" t="s">
        <v>512</v>
      </c>
      <c r="D686" s="6" t="s">
        <v>496</v>
      </c>
      <c r="E686" s="25">
        <v>61.064999999999998</v>
      </c>
      <c r="F686" s="25">
        <v>-149.797</v>
      </c>
      <c r="G686" s="7">
        <v>36.6</v>
      </c>
      <c r="I686" s="23" t="s">
        <v>547</v>
      </c>
      <c r="J686" s="23" t="s">
        <v>469</v>
      </c>
      <c r="K686" s="24">
        <v>43867</v>
      </c>
      <c r="L686" s="24"/>
      <c r="M686" s="24"/>
      <c r="N686" s="9">
        <v>-13.727824793974307</v>
      </c>
      <c r="O686" s="41">
        <v>-104.1000088137076</v>
      </c>
      <c r="P686" s="41">
        <f t="shared" si="11"/>
        <v>5.7225895380868508</v>
      </c>
      <c r="Q686" s="7"/>
      <c r="R686" s="7"/>
      <c r="S686" s="7"/>
      <c r="T686" s="7"/>
    </row>
    <row r="687" spans="1:20" s="5" customFormat="1" ht="14.25" customHeight="1" x14ac:dyDescent="0.35">
      <c r="A687" s="5" t="s">
        <v>494</v>
      </c>
      <c r="B687" s="6" t="s">
        <v>21</v>
      </c>
      <c r="C687" s="6" t="s">
        <v>512</v>
      </c>
      <c r="D687" s="6" t="s">
        <v>496</v>
      </c>
      <c r="E687" s="25">
        <v>61.064999999999998</v>
      </c>
      <c r="F687" s="25">
        <v>-149.797</v>
      </c>
      <c r="G687" s="7">
        <v>36.6</v>
      </c>
      <c r="I687" s="23" t="s">
        <v>672</v>
      </c>
      <c r="J687" s="23" t="s">
        <v>100</v>
      </c>
      <c r="K687" s="24">
        <v>43873</v>
      </c>
      <c r="L687" s="24"/>
      <c r="M687" s="24"/>
      <c r="N687" s="9">
        <v>-26.22</v>
      </c>
      <c r="O687" s="41">
        <v>-213.17</v>
      </c>
      <c r="P687" s="41">
        <f t="shared" si="11"/>
        <v>-3.4099999999999966</v>
      </c>
      <c r="Q687" s="7"/>
      <c r="R687" s="7"/>
      <c r="S687" s="7"/>
      <c r="T687" s="7"/>
    </row>
    <row r="688" spans="1:20" s="5" customFormat="1" ht="14.25" customHeight="1" x14ac:dyDescent="0.35">
      <c r="A688" s="5" t="s">
        <v>494</v>
      </c>
      <c r="B688" s="6" t="s">
        <v>21</v>
      </c>
      <c r="C688" s="6" t="s">
        <v>512</v>
      </c>
      <c r="D688" s="6" t="s">
        <v>496</v>
      </c>
      <c r="E688" s="25">
        <v>61.064999999999998</v>
      </c>
      <c r="F688" s="25">
        <v>-149.797</v>
      </c>
      <c r="G688" s="7">
        <v>36.6</v>
      </c>
      <c r="I688" s="23" t="s">
        <v>673</v>
      </c>
      <c r="J688" s="23" t="s">
        <v>100</v>
      </c>
      <c r="K688" s="24">
        <v>43880</v>
      </c>
      <c r="L688" s="24"/>
      <c r="M688" s="24"/>
      <c r="N688" s="9">
        <v>-16.52</v>
      </c>
      <c r="O688" s="41">
        <v>-129.19</v>
      </c>
      <c r="P688" s="41">
        <f t="shared" si="11"/>
        <v>2.9699999999999989</v>
      </c>
      <c r="Q688" s="7"/>
      <c r="R688" s="7"/>
      <c r="S688" s="7"/>
      <c r="T688" s="7"/>
    </row>
    <row r="689" spans="1:20" s="5" customFormat="1" ht="14.25" customHeight="1" x14ac:dyDescent="0.35">
      <c r="A689" s="5" t="s">
        <v>494</v>
      </c>
      <c r="B689" s="6" t="s">
        <v>21</v>
      </c>
      <c r="C689" s="6" t="s">
        <v>512</v>
      </c>
      <c r="D689" s="6" t="s">
        <v>496</v>
      </c>
      <c r="E689" s="25">
        <v>61.064999999999998</v>
      </c>
      <c r="F689" s="25">
        <v>-149.797</v>
      </c>
      <c r="G689" s="7">
        <v>36.6</v>
      </c>
      <c r="I689" s="23" t="s">
        <v>674</v>
      </c>
      <c r="J689" s="23" t="s">
        <v>100</v>
      </c>
      <c r="K689" s="24">
        <v>43882</v>
      </c>
      <c r="L689" s="24"/>
      <c r="M689" s="24"/>
      <c r="N689" s="9">
        <v>-17.48</v>
      </c>
      <c r="O689" s="41">
        <v>-141.86000000000001</v>
      </c>
      <c r="P689" s="41">
        <f t="shared" si="11"/>
        <v>-2.0200000000000102</v>
      </c>
      <c r="Q689" s="7"/>
      <c r="R689" s="7"/>
      <c r="S689" s="7"/>
      <c r="T689" s="7"/>
    </row>
    <row r="690" spans="1:20" s="5" customFormat="1" ht="14.25" customHeight="1" x14ac:dyDescent="0.35">
      <c r="A690" s="5" t="s">
        <v>494</v>
      </c>
      <c r="B690" s="6" t="s">
        <v>21</v>
      </c>
      <c r="C690" s="6" t="s">
        <v>512</v>
      </c>
      <c r="D690" s="6" t="s">
        <v>496</v>
      </c>
      <c r="E690" s="25">
        <v>61.064999999999998</v>
      </c>
      <c r="F690" s="25">
        <v>-149.797</v>
      </c>
      <c r="G690" s="7">
        <v>36.6</v>
      </c>
      <c r="I690" s="23" t="s">
        <v>675</v>
      </c>
      <c r="J690" s="23" t="s">
        <v>100</v>
      </c>
      <c r="K690" s="24">
        <v>43883</v>
      </c>
      <c r="L690" s="24"/>
      <c r="M690" s="24"/>
      <c r="N690" s="9">
        <v>-19.670000000000002</v>
      </c>
      <c r="O690" s="41">
        <v>-146.85</v>
      </c>
      <c r="P690" s="41">
        <f t="shared" si="11"/>
        <v>10.510000000000019</v>
      </c>
      <c r="Q690" s="7"/>
      <c r="R690" s="7"/>
      <c r="S690" s="7"/>
      <c r="T690" s="7"/>
    </row>
    <row r="691" spans="1:20" s="5" customFormat="1" ht="14.25" customHeight="1" x14ac:dyDescent="0.35">
      <c r="A691" s="5" t="s">
        <v>494</v>
      </c>
      <c r="B691" s="6" t="s">
        <v>21</v>
      </c>
      <c r="C691" s="6" t="s">
        <v>512</v>
      </c>
      <c r="D691" s="6" t="s">
        <v>496</v>
      </c>
      <c r="E691" s="25">
        <v>61.064999999999998</v>
      </c>
      <c r="F691" s="25">
        <v>-149.797</v>
      </c>
      <c r="G691" s="7">
        <v>36.6</v>
      </c>
      <c r="I691" s="23" t="s">
        <v>676</v>
      </c>
      <c r="J691" s="23" t="s">
        <v>100</v>
      </c>
      <c r="K691" s="24">
        <v>43891</v>
      </c>
      <c r="L691" s="24"/>
      <c r="M691" s="24"/>
      <c r="N691" s="9">
        <v>-17.89</v>
      </c>
      <c r="O691" s="41">
        <v>-137.88999999999999</v>
      </c>
      <c r="P691" s="41">
        <f t="shared" si="11"/>
        <v>5.2300000000000182</v>
      </c>
      <c r="Q691" s="7"/>
      <c r="R691" s="7"/>
      <c r="S691" s="7"/>
      <c r="T691" s="7"/>
    </row>
    <row r="692" spans="1:20" s="5" customFormat="1" ht="14.25" customHeight="1" x14ac:dyDescent="0.35">
      <c r="A692" s="5" t="s">
        <v>494</v>
      </c>
      <c r="B692" s="6" t="s">
        <v>21</v>
      </c>
      <c r="C692" s="6" t="s">
        <v>512</v>
      </c>
      <c r="D692" s="6" t="s">
        <v>496</v>
      </c>
      <c r="E692" s="25">
        <v>61.064999999999998</v>
      </c>
      <c r="F692" s="25">
        <v>-149.797</v>
      </c>
      <c r="G692" s="7">
        <v>36.6</v>
      </c>
      <c r="I692" s="23" t="s">
        <v>677</v>
      </c>
      <c r="J692" s="23" t="s">
        <v>100</v>
      </c>
      <c r="K692" s="24">
        <v>43923</v>
      </c>
      <c r="L692" s="24"/>
      <c r="M692" s="24"/>
      <c r="N692" s="9">
        <v>-23.25</v>
      </c>
      <c r="O692" s="41">
        <v>-176.31</v>
      </c>
      <c r="P692" s="41">
        <f t="shared" si="11"/>
        <v>9.6899999999999977</v>
      </c>
      <c r="Q692" s="7"/>
      <c r="R692" s="7"/>
      <c r="S692" s="7"/>
      <c r="T692" s="7"/>
    </row>
    <row r="693" spans="1:20" s="5" customFormat="1" ht="14.25" customHeight="1" x14ac:dyDescent="0.35">
      <c r="A693" s="5" t="s">
        <v>494</v>
      </c>
      <c r="B693" s="6" t="s">
        <v>21</v>
      </c>
      <c r="C693" s="6" t="s">
        <v>512</v>
      </c>
      <c r="D693" s="6" t="s">
        <v>496</v>
      </c>
      <c r="E693" s="25">
        <v>61.064999999999998</v>
      </c>
      <c r="F693" s="25">
        <v>-149.797</v>
      </c>
      <c r="G693" s="7">
        <v>36.6</v>
      </c>
      <c r="I693" s="23" t="s">
        <v>678</v>
      </c>
      <c r="J693" s="23" t="s">
        <v>100</v>
      </c>
      <c r="K693" s="24">
        <v>43924</v>
      </c>
      <c r="L693" s="24"/>
      <c r="M693" s="24"/>
      <c r="N693" s="9">
        <v>-17.53</v>
      </c>
      <c r="O693" s="41">
        <v>-131.25</v>
      </c>
      <c r="P693" s="41">
        <f t="shared" si="11"/>
        <v>8.9900000000000091</v>
      </c>
      <c r="Q693" s="7"/>
      <c r="R693" s="7"/>
      <c r="S693" s="7"/>
      <c r="T693" s="7"/>
    </row>
    <row r="694" spans="1:20" s="5" customFormat="1" ht="14.25" customHeight="1" x14ac:dyDescent="0.35">
      <c r="A694" s="5" t="s">
        <v>494</v>
      </c>
      <c r="B694" s="6" t="s">
        <v>21</v>
      </c>
      <c r="C694" s="6" t="s">
        <v>512</v>
      </c>
      <c r="D694" s="6" t="s">
        <v>496</v>
      </c>
      <c r="E694" s="25">
        <v>61.064999999999998</v>
      </c>
      <c r="F694" s="25">
        <v>-149.797</v>
      </c>
      <c r="G694" s="7">
        <v>36.6</v>
      </c>
      <c r="I694" s="23" t="s">
        <v>679</v>
      </c>
      <c r="J694" s="23" t="s">
        <v>41</v>
      </c>
      <c r="K694" s="24">
        <v>43934</v>
      </c>
      <c r="L694" s="24"/>
      <c r="M694" s="24"/>
      <c r="N694" s="9">
        <v>-14.34</v>
      </c>
      <c r="O694" s="41">
        <v>-126.3</v>
      </c>
      <c r="P694" s="41">
        <f t="shared" si="11"/>
        <v>-11.579999999999998</v>
      </c>
      <c r="Q694" s="7"/>
      <c r="R694" s="7"/>
      <c r="S694" s="7"/>
      <c r="T694" s="7"/>
    </row>
    <row r="695" spans="1:20" s="5" customFormat="1" ht="14.25" customHeight="1" x14ac:dyDescent="0.35">
      <c r="A695" s="5" t="s">
        <v>494</v>
      </c>
      <c r="B695" s="6" t="s">
        <v>21</v>
      </c>
      <c r="C695" s="6" t="s">
        <v>512</v>
      </c>
      <c r="D695" s="6" t="s">
        <v>496</v>
      </c>
      <c r="E695" s="25">
        <v>61.064999999999998</v>
      </c>
      <c r="F695" s="25">
        <v>-149.797</v>
      </c>
      <c r="G695" s="7">
        <v>36.6</v>
      </c>
      <c r="I695" s="23" t="s">
        <v>680</v>
      </c>
      <c r="J695" s="23" t="s">
        <v>41</v>
      </c>
      <c r="K695" s="24">
        <v>43936</v>
      </c>
      <c r="L695" s="24"/>
      <c r="M695" s="24"/>
      <c r="N695" s="9">
        <v>-13</v>
      </c>
      <c r="O695" s="41">
        <v>-117.68</v>
      </c>
      <c r="P695" s="41">
        <f t="shared" si="11"/>
        <v>-13.680000000000007</v>
      </c>
      <c r="Q695" s="7"/>
      <c r="R695" s="7"/>
      <c r="S695" s="7"/>
      <c r="T695" s="7"/>
    </row>
    <row r="696" spans="1:20" s="5" customFormat="1" ht="14.25" customHeight="1" x14ac:dyDescent="0.35">
      <c r="A696" s="5" t="s">
        <v>494</v>
      </c>
      <c r="B696" s="6" t="s">
        <v>21</v>
      </c>
      <c r="C696" s="6" t="s">
        <v>512</v>
      </c>
      <c r="D696" s="6" t="s">
        <v>496</v>
      </c>
      <c r="E696" s="25">
        <v>61.064999999999998</v>
      </c>
      <c r="F696" s="25">
        <v>-149.797</v>
      </c>
      <c r="G696" s="7">
        <v>36.6</v>
      </c>
      <c r="I696" s="23" t="s">
        <v>681</v>
      </c>
      <c r="J696" s="23" t="s">
        <v>41</v>
      </c>
      <c r="K696" s="24">
        <v>43938</v>
      </c>
      <c r="L696" s="24"/>
      <c r="M696" s="24"/>
      <c r="N696" s="9">
        <v>-12.86</v>
      </c>
      <c r="O696" s="41">
        <v>-97.74</v>
      </c>
      <c r="P696" s="41">
        <f t="shared" si="11"/>
        <v>5.1400000000000006</v>
      </c>
      <c r="Q696" s="7"/>
      <c r="R696" s="7"/>
      <c r="S696" s="7"/>
      <c r="T696" s="7"/>
    </row>
    <row r="697" spans="1:20" s="5" customFormat="1" ht="14.25" customHeight="1" x14ac:dyDescent="0.35">
      <c r="A697" s="5" t="s">
        <v>494</v>
      </c>
      <c r="B697" s="6" t="s">
        <v>21</v>
      </c>
      <c r="C697" s="6" t="s">
        <v>512</v>
      </c>
      <c r="D697" s="6" t="s">
        <v>496</v>
      </c>
      <c r="E697" s="25">
        <v>61.064999999999998</v>
      </c>
      <c r="F697" s="25">
        <v>-149.797</v>
      </c>
      <c r="G697" s="7">
        <v>36.6</v>
      </c>
      <c r="I697" s="23" t="s">
        <v>682</v>
      </c>
      <c r="J697" s="23" t="s">
        <v>41</v>
      </c>
      <c r="K697" s="24">
        <v>43975</v>
      </c>
      <c r="L697" s="24"/>
      <c r="M697" s="24"/>
      <c r="N697" s="9">
        <v>-23</v>
      </c>
      <c r="O697" s="41">
        <v>-185.38</v>
      </c>
      <c r="P697" s="41">
        <f t="shared" si="11"/>
        <v>-1.3799999999999955</v>
      </c>
      <c r="Q697" s="7"/>
      <c r="R697" s="7"/>
      <c r="S697" s="7"/>
      <c r="T697" s="7"/>
    </row>
    <row r="698" spans="1:20" s="5" customFormat="1" ht="14.25" customHeight="1" x14ac:dyDescent="0.35">
      <c r="A698" s="5" t="s">
        <v>494</v>
      </c>
      <c r="B698" s="6" t="s">
        <v>21</v>
      </c>
      <c r="C698" s="6" t="s">
        <v>512</v>
      </c>
      <c r="D698" s="6" t="s">
        <v>496</v>
      </c>
      <c r="E698" s="25">
        <v>61.064999999999998</v>
      </c>
      <c r="F698" s="25">
        <v>-149.797</v>
      </c>
      <c r="G698" s="7">
        <v>36.6</v>
      </c>
      <c r="I698" s="23" t="s">
        <v>683</v>
      </c>
      <c r="J698" s="23" t="s">
        <v>41</v>
      </c>
      <c r="K698" s="24">
        <v>43976</v>
      </c>
      <c r="L698" s="24"/>
      <c r="M698" s="24"/>
      <c r="N698" s="9">
        <v>-24.97</v>
      </c>
      <c r="O698" s="41">
        <v>-194.52</v>
      </c>
      <c r="P698" s="41">
        <f t="shared" si="11"/>
        <v>5.2399999999999807</v>
      </c>
      <c r="Q698" s="7"/>
      <c r="R698" s="7"/>
      <c r="S698" s="7"/>
      <c r="T698" s="7"/>
    </row>
    <row r="699" spans="1:20" s="5" customFormat="1" ht="14.25" customHeight="1" x14ac:dyDescent="0.35">
      <c r="A699" s="5" t="s">
        <v>494</v>
      </c>
      <c r="B699" s="6" t="s">
        <v>21</v>
      </c>
      <c r="C699" s="6" t="s">
        <v>512</v>
      </c>
      <c r="D699" s="6" t="s">
        <v>496</v>
      </c>
      <c r="E699" s="25">
        <v>61.064999999999998</v>
      </c>
      <c r="F699" s="25">
        <v>-149.797</v>
      </c>
      <c r="G699" s="7">
        <v>36.6</v>
      </c>
      <c r="I699" s="23" t="s">
        <v>684</v>
      </c>
      <c r="J699" s="23" t="s">
        <v>41</v>
      </c>
      <c r="K699" s="24">
        <v>43989</v>
      </c>
      <c r="L699" s="24"/>
      <c r="M699" s="24"/>
      <c r="N699" s="9">
        <v>-13.71</v>
      </c>
      <c r="O699" s="41">
        <v>-108.72</v>
      </c>
      <c r="P699" s="41">
        <f t="shared" si="11"/>
        <v>0.96000000000000796</v>
      </c>
      <c r="Q699" s="7"/>
      <c r="R699" s="7"/>
      <c r="S699" s="7"/>
      <c r="T699" s="7"/>
    </row>
    <row r="700" spans="1:20" s="5" customFormat="1" ht="14.25" customHeight="1" x14ac:dyDescent="0.35">
      <c r="A700" s="5" t="s">
        <v>494</v>
      </c>
      <c r="B700" s="6" t="s">
        <v>21</v>
      </c>
      <c r="C700" s="6" t="s">
        <v>512</v>
      </c>
      <c r="D700" s="6" t="s">
        <v>496</v>
      </c>
      <c r="E700" s="25">
        <v>61.064999999999998</v>
      </c>
      <c r="F700" s="25">
        <v>-149.797</v>
      </c>
      <c r="G700" s="7">
        <v>36.6</v>
      </c>
      <c r="I700" s="23" t="s">
        <v>685</v>
      </c>
      <c r="J700" s="23" t="s">
        <v>41</v>
      </c>
      <c r="K700" s="24">
        <v>43990</v>
      </c>
      <c r="L700" s="24"/>
      <c r="M700" s="24"/>
      <c r="N700" s="9">
        <v>-14.65</v>
      </c>
      <c r="O700" s="41">
        <v>-118.22</v>
      </c>
      <c r="P700" s="41">
        <f t="shared" si="11"/>
        <v>-1.019999999999996</v>
      </c>
      <c r="Q700" s="7"/>
      <c r="R700" s="7"/>
      <c r="S700" s="7"/>
      <c r="T700" s="7"/>
    </row>
    <row r="701" spans="1:20" s="5" customFormat="1" ht="14.25" customHeight="1" x14ac:dyDescent="0.35">
      <c r="A701" s="5" t="s">
        <v>494</v>
      </c>
      <c r="B701" s="6" t="s">
        <v>21</v>
      </c>
      <c r="C701" s="6" t="s">
        <v>512</v>
      </c>
      <c r="D701" s="6" t="s">
        <v>496</v>
      </c>
      <c r="E701" s="25">
        <v>61.064999999999998</v>
      </c>
      <c r="F701" s="25">
        <v>-149.797</v>
      </c>
      <c r="G701" s="7">
        <v>36.6</v>
      </c>
      <c r="I701" s="23" t="s">
        <v>686</v>
      </c>
      <c r="J701" s="23" t="s">
        <v>41</v>
      </c>
      <c r="K701" s="24">
        <v>43991</v>
      </c>
      <c r="L701" s="24"/>
      <c r="M701" s="24"/>
      <c r="N701" s="9">
        <v>-17.98</v>
      </c>
      <c r="O701" s="41">
        <v>-143.84</v>
      </c>
      <c r="P701" s="41">
        <f t="shared" si="11"/>
        <v>0</v>
      </c>
      <c r="Q701" s="7"/>
      <c r="R701" s="7"/>
      <c r="S701" s="7"/>
      <c r="T701" s="7"/>
    </row>
    <row r="702" spans="1:20" s="5" customFormat="1" ht="14.25" customHeight="1" x14ac:dyDescent="0.35">
      <c r="A702" s="5" t="s">
        <v>494</v>
      </c>
      <c r="B702" s="6" t="s">
        <v>21</v>
      </c>
      <c r="C702" s="6" t="s">
        <v>512</v>
      </c>
      <c r="D702" s="6" t="s">
        <v>496</v>
      </c>
      <c r="E702" s="25">
        <v>61.064999999999998</v>
      </c>
      <c r="F702" s="25">
        <v>-149.797</v>
      </c>
      <c r="G702" s="7">
        <v>36.6</v>
      </c>
      <c r="I702" s="23" t="s">
        <v>687</v>
      </c>
      <c r="J702" s="23" t="s">
        <v>41</v>
      </c>
      <c r="K702" s="24">
        <v>44001</v>
      </c>
      <c r="L702" s="24"/>
      <c r="M702" s="24"/>
      <c r="N702" s="9">
        <v>-10.94</v>
      </c>
      <c r="O702" s="41">
        <v>-84.85</v>
      </c>
      <c r="P702" s="41">
        <f t="shared" si="11"/>
        <v>2.6700000000000017</v>
      </c>
      <c r="Q702" s="7"/>
      <c r="R702" s="7"/>
      <c r="S702" s="7"/>
      <c r="T702" s="7"/>
    </row>
    <row r="703" spans="1:20" s="5" customFormat="1" ht="14.25" customHeight="1" x14ac:dyDescent="0.35">
      <c r="A703" s="5" t="s">
        <v>494</v>
      </c>
      <c r="B703" s="6" t="s">
        <v>21</v>
      </c>
      <c r="C703" s="6" t="s">
        <v>512</v>
      </c>
      <c r="D703" s="6" t="s">
        <v>496</v>
      </c>
      <c r="E703" s="25">
        <v>61.064999999999998</v>
      </c>
      <c r="F703" s="25">
        <v>-149.797</v>
      </c>
      <c r="G703" s="7">
        <v>36.6</v>
      </c>
      <c r="I703" s="23" t="s">
        <v>688</v>
      </c>
      <c r="J703" s="23" t="s">
        <v>41</v>
      </c>
      <c r="K703" s="24">
        <v>44009</v>
      </c>
      <c r="L703" s="24"/>
      <c r="M703" s="24"/>
      <c r="N703" s="9">
        <v>-12.45</v>
      </c>
      <c r="O703" s="41">
        <v>-100.3</v>
      </c>
      <c r="P703" s="41">
        <f t="shared" si="11"/>
        <v>-0.70000000000000284</v>
      </c>
      <c r="Q703" s="7"/>
      <c r="R703" s="7"/>
      <c r="S703" s="7"/>
      <c r="T703" s="7"/>
    </row>
    <row r="704" spans="1:20" s="5" customFormat="1" ht="14.25" customHeight="1" x14ac:dyDescent="0.35">
      <c r="A704" s="5" t="s">
        <v>494</v>
      </c>
      <c r="B704" s="6" t="s">
        <v>21</v>
      </c>
      <c r="C704" s="6" t="s">
        <v>512</v>
      </c>
      <c r="D704" s="6" t="s">
        <v>496</v>
      </c>
      <c r="E704" s="25">
        <v>61.064999999999998</v>
      </c>
      <c r="F704" s="25">
        <v>-149.797</v>
      </c>
      <c r="G704" s="7">
        <v>36.6</v>
      </c>
      <c r="I704" s="23" t="s">
        <v>689</v>
      </c>
      <c r="J704" s="23" t="s">
        <v>41</v>
      </c>
      <c r="K704" s="24">
        <v>44011</v>
      </c>
      <c r="L704" s="24"/>
      <c r="M704" s="24"/>
      <c r="N704" s="9">
        <v>-13.44</v>
      </c>
      <c r="O704" s="41">
        <v>-118.71</v>
      </c>
      <c r="P704" s="41">
        <f t="shared" si="11"/>
        <v>-11.189999999999998</v>
      </c>
      <c r="Q704" s="7"/>
      <c r="R704" s="7"/>
      <c r="S704" s="7"/>
      <c r="T704" s="7"/>
    </row>
    <row r="705" spans="1:20" s="5" customFormat="1" ht="14.25" customHeight="1" x14ac:dyDescent="0.35">
      <c r="A705" s="5" t="s">
        <v>494</v>
      </c>
      <c r="B705" s="6" t="s">
        <v>21</v>
      </c>
      <c r="C705" s="6" t="s">
        <v>512</v>
      </c>
      <c r="D705" s="6" t="s">
        <v>496</v>
      </c>
      <c r="E705" s="25">
        <v>61.064999999999998</v>
      </c>
      <c r="F705" s="25">
        <v>-149.797</v>
      </c>
      <c r="G705" s="7">
        <v>36.6</v>
      </c>
      <c r="I705" s="23" t="s">
        <v>690</v>
      </c>
      <c r="J705" s="23" t="s">
        <v>41</v>
      </c>
      <c r="K705" s="24">
        <v>44020</v>
      </c>
      <c r="L705" s="24"/>
      <c r="M705" s="24"/>
      <c r="N705" s="9">
        <v>-15.47</v>
      </c>
      <c r="O705" s="41">
        <v>-119.73</v>
      </c>
      <c r="P705" s="41">
        <f t="shared" si="11"/>
        <v>4.0300000000000011</v>
      </c>
      <c r="Q705" s="7"/>
      <c r="R705" s="7"/>
      <c r="S705" s="7"/>
      <c r="T705" s="7"/>
    </row>
    <row r="706" spans="1:20" s="5" customFormat="1" ht="14.25" customHeight="1" x14ac:dyDescent="0.35">
      <c r="A706" s="5" t="s">
        <v>494</v>
      </c>
      <c r="B706" s="6" t="s">
        <v>21</v>
      </c>
      <c r="C706" s="6" t="s">
        <v>512</v>
      </c>
      <c r="D706" s="6" t="s">
        <v>496</v>
      </c>
      <c r="E706" s="25">
        <v>61.064999999999998</v>
      </c>
      <c r="F706" s="25">
        <v>-149.797</v>
      </c>
      <c r="G706" s="7">
        <v>36.6</v>
      </c>
      <c r="I706" s="23" t="s">
        <v>691</v>
      </c>
      <c r="J706" s="23" t="s">
        <v>41</v>
      </c>
      <c r="K706" s="24">
        <v>44032</v>
      </c>
      <c r="L706" s="24"/>
      <c r="M706" s="24"/>
      <c r="N706" s="9">
        <v>-21.62</v>
      </c>
      <c r="O706" s="41">
        <v>-166.08</v>
      </c>
      <c r="P706" s="41">
        <f t="shared" si="11"/>
        <v>6.8799999999999955</v>
      </c>
      <c r="Q706" s="7"/>
      <c r="R706" s="7"/>
      <c r="S706" s="7"/>
      <c r="T706" s="7"/>
    </row>
    <row r="707" spans="1:20" s="5" customFormat="1" ht="14.25" customHeight="1" x14ac:dyDescent="0.35">
      <c r="A707" s="5" t="s">
        <v>494</v>
      </c>
      <c r="B707" s="6" t="s">
        <v>21</v>
      </c>
      <c r="C707" s="6" t="s">
        <v>512</v>
      </c>
      <c r="D707" s="6" t="s">
        <v>496</v>
      </c>
      <c r="E707" s="25">
        <v>61.064999999999998</v>
      </c>
      <c r="F707" s="25">
        <v>-149.797</v>
      </c>
      <c r="G707" s="7">
        <v>36.6</v>
      </c>
      <c r="I707" s="23" t="s">
        <v>692</v>
      </c>
      <c r="J707" s="23" t="s">
        <v>41</v>
      </c>
      <c r="K707" s="24">
        <v>44033</v>
      </c>
      <c r="L707" s="24"/>
      <c r="M707" s="24"/>
      <c r="N707" s="9">
        <v>-14.79</v>
      </c>
      <c r="O707" s="41">
        <v>-120.08</v>
      </c>
      <c r="P707" s="41">
        <f t="shared" si="11"/>
        <v>-1.7600000000000051</v>
      </c>
      <c r="Q707" s="7"/>
      <c r="R707" s="7"/>
      <c r="S707" s="7"/>
      <c r="T707" s="7"/>
    </row>
    <row r="708" spans="1:20" s="5" customFormat="1" ht="14.25" customHeight="1" x14ac:dyDescent="0.35">
      <c r="A708" s="5" t="s">
        <v>494</v>
      </c>
      <c r="B708" s="6" t="s">
        <v>21</v>
      </c>
      <c r="C708" s="6" t="s">
        <v>512</v>
      </c>
      <c r="D708" s="6" t="s">
        <v>496</v>
      </c>
      <c r="E708" s="25">
        <v>61.064999999999998</v>
      </c>
      <c r="F708" s="25">
        <v>-149.797</v>
      </c>
      <c r="G708" s="7">
        <v>36.6</v>
      </c>
      <c r="I708" s="23" t="s">
        <v>693</v>
      </c>
      <c r="J708" s="23" t="s">
        <v>41</v>
      </c>
      <c r="K708" s="24">
        <v>44037</v>
      </c>
      <c r="L708" s="24"/>
      <c r="M708" s="24"/>
      <c r="N708" s="9">
        <v>-13.17</v>
      </c>
      <c r="O708" s="41">
        <v>-110.52</v>
      </c>
      <c r="P708" s="41">
        <f t="shared" si="11"/>
        <v>-5.1599999999999966</v>
      </c>
      <c r="Q708" s="7"/>
      <c r="R708" s="7"/>
      <c r="S708" s="7"/>
      <c r="T708" s="7"/>
    </row>
    <row r="709" spans="1:20" s="5" customFormat="1" ht="14.25" customHeight="1" x14ac:dyDescent="0.35">
      <c r="A709" s="5" t="s">
        <v>494</v>
      </c>
      <c r="B709" s="6" t="s">
        <v>21</v>
      </c>
      <c r="C709" s="6" t="s">
        <v>512</v>
      </c>
      <c r="D709" s="6" t="s">
        <v>496</v>
      </c>
      <c r="E709" s="25">
        <v>61.064999999999998</v>
      </c>
      <c r="F709" s="25">
        <v>-149.797</v>
      </c>
      <c r="G709" s="7">
        <v>36.6</v>
      </c>
      <c r="I709" s="23" t="s">
        <v>694</v>
      </c>
      <c r="J709" s="23" t="s">
        <v>41</v>
      </c>
      <c r="K709" s="24">
        <v>44044</v>
      </c>
      <c r="L709" s="24"/>
      <c r="M709" s="24"/>
      <c r="N709" s="9">
        <v>-12.81</v>
      </c>
      <c r="O709" s="41">
        <v>-109.21</v>
      </c>
      <c r="P709" s="41">
        <f t="shared" si="11"/>
        <v>-6.7299999999999898</v>
      </c>
      <c r="Q709" s="7"/>
      <c r="R709" s="7"/>
      <c r="S709" s="7"/>
      <c r="T709" s="7"/>
    </row>
    <row r="710" spans="1:20" s="5" customFormat="1" ht="14.25" customHeight="1" x14ac:dyDescent="0.35">
      <c r="A710" s="5" t="s">
        <v>494</v>
      </c>
      <c r="B710" s="6" t="s">
        <v>21</v>
      </c>
      <c r="C710" s="6" t="s">
        <v>512</v>
      </c>
      <c r="D710" s="6" t="s">
        <v>496</v>
      </c>
      <c r="E710" s="25">
        <v>61.064999999999998</v>
      </c>
      <c r="F710" s="25">
        <v>-149.797</v>
      </c>
      <c r="G710" s="7">
        <v>36.6</v>
      </c>
      <c r="I710" s="23" t="s">
        <v>695</v>
      </c>
      <c r="J710" s="23" t="s">
        <v>41</v>
      </c>
      <c r="K710" s="24">
        <v>44052</v>
      </c>
      <c r="L710" s="24"/>
      <c r="M710" s="24"/>
      <c r="N710" s="9">
        <v>-16.09</v>
      </c>
      <c r="O710" s="41">
        <v>-130.75</v>
      </c>
      <c r="P710" s="41">
        <f t="shared" si="11"/>
        <v>-2.0300000000000011</v>
      </c>
      <c r="Q710" s="7"/>
      <c r="R710" s="7"/>
      <c r="S710" s="7"/>
      <c r="T710" s="7"/>
    </row>
    <row r="711" spans="1:20" s="5" customFormat="1" ht="14.25" customHeight="1" x14ac:dyDescent="0.35">
      <c r="A711" s="5" t="s">
        <v>494</v>
      </c>
      <c r="B711" s="6" t="s">
        <v>21</v>
      </c>
      <c r="C711" s="6" t="s">
        <v>512</v>
      </c>
      <c r="D711" s="6" t="s">
        <v>496</v>
      </c>
      <c r="E711" s="25">
        <v>61.064999999999998</v>
      </c>
      <c r="F711" s="25">
        <v>-149.797</v>
      </c>
      <c r="G711" s="7">
        <v>36.6</v>
      </c>
      <c r="I711" s="23" t="s">
        <v>696</v>
      </c>
      <c r="J711" s="23" t="s">
        <v>41</v>
      </c>
      <c r="K711" s="24">
        <v>44054</v>
      </c>
      <c r="L711" s="24"/>
      <c r="M711" s="24"/>
      <c r="N711" s="9">
        <v>-13.19</v>
      </c>
      <c r="O711" s="41">
        <v>-107.89</v>
      </c>
      <c r="P711" s="41">
        <f t="shared" si="11"/>
        <v>-2.3700000000000045</v>
      </c>
      <c r="Q711" s="7"/>
      <c r="R711" s="7"/>
      <c r="S711" s="7"/>
      <c r="T711" s="7"/>
    </row>
    <row r="712" spans="1:20" s="5" customFormat="1" ht="14.25" customHeight="1" x14ac:dyDescent="0.35">
      <c r="A712" s="5" t="s">
        <v>494</v>
      </c>
      <c r="B712" s="6" t="s">
        <v>21</v>
      </c>
      <c r="C712" s="6" t="s">
        <v>512</v>
      </c>
      <c r="D712" s="6" t="s">
        <v>496</v>
      </c>
      <c r="E712" s="25">
        <v>61.064999999999998</v>
      </c>
      <c r="F712" s="25">
        <v>-149.797</v>
      </c>
      <c r="G712" s="7">
        <v>36.6</v>
      </c>
      <c r="I712" s="23" t="s">
        <v>697</v>
      </c>
      <c r="J712" s="23" t="s">
        <v>41</v>
      </c>
      <c r="K712" s="24">
        <v>44066</v>
      </c>
      <c r="L712" s="24"/>
      <c r="M712" s="24"/>
      <c r="N712" s="9">
        <v>-10.99</v>
      </c>
      <c r="O712" s="41">
        <v>-96.93</v>
      </c>
      <c r="P712" s="41">
        <f t="shared" si="11"/>
        <v>-9.0100000000000051</v>
      </c>
      <c r="Q712" s="7"/>
      <c r="R712" s="7"/>
      <c r="S712" s="7"/>
      <c r="T712" s="7"/>
    </row>
    <row r="713" spans="1:20" s="5" customFormat="1" ht="14.25" customHeight="1" x14ac:dyDescent="0.35">
      <c r="A713" s="5" t="s">
        <v>494</v>
      </c>
      <c r="B713" s="6" t="s">
        <v>21</v>
      </c>
      <c r="C713" s="6" t="s">
        <v>512</v>
      </c>
      <c r="D713" s="6" t="s">
        <v>496</v>
      </c>
      <c r="E713" s="25">
        <v>61.064999999999998</v>
      </c>
      <c r="F713" s="25">
        <v>-149.797</v>
      </c>
      <c r="G713" s="7">
        <v>36.6</v>
      </c>
      <c r="I713" s="23" t="s">
        <v>698</v>
      </c>
      <c r="J713" s="23" t="s">
        <v>41</v>
      </c>
      <c r="K713" s="24">
        <v>44067</v>
      </c>
      <c r="L713" s="24"/>
      <c r="M713" s="24"/>
      <c r="N713" s="9">
        <v>-10.82</v>
      </c>
      <c r="O713" s="41">
        <v>-83.96</v>
      </c>
      <c r="P713" s="41">
        <f t="shared" si="11"/>
        <v>2.6000000000000085</v>
      </c>
      <c r="Q713" s="7"/>
      <c r="R713" s="7"/>
      <c r="S713" s="7"/>
      <c r="T713" s="7"/>
    </row>
    <row r="714" spans="1:20" s="5" customFormat="1" ht="14.25" customHeight="1" x14ac:dyDescent="0.35">
      <c r="A714" s="5" t="s">
        <v>494</v>
      </c>
      <c r="B714" s="6" t="s">
        <v>21</v>
      </c>
      <c r="C714" s="6" t="s">
        <v>512</v>
      </c>
      <c r="D714" s="6" t="s">
        <v>496</v>
      </c>
      <c r="E714" s="25">
        <v>61.064999999999998</v>
      </c>
      <c r="F714" s="25">
        <v>-149.797</v>
      </c>
      <c r="G714" s="7">
        <v>36.6</v>
      </c>
      <c r="I714" s="23" t="s">
        <v>699</v>
      </c>
      <c r="J714" s="23" t="s">
        <v>41</v>
      </c>
      <c r="K714" s="24">
        <v>44068</v>
      </c>
      <c r="L714" s="24"/>
      <c r="M714" s="24"/>
      <c r="N714" s="9">
        <v>-15.04</v>
      </c>
      <c r="O714" s="41">
        <v>-118.29</v>
      </c>
      <c r="P714" s="41">
        <f t="shared" si="11"/>
        <v>2.0299999999999869</v>
      </c>
      <c r="Q714" s="7"/>
      <c r="R714" s="7"/>
      <c r="S714" s="7"/>
      <c r="T714" s="7"/>
    </row>
    <row r="715" spans="1:20" s="5" customFormat="1" ht="14.25" customHeight="1" x14ac:dyDescent="0.35">
      <c r="A715" s="5" t="s">
        <v>494</v>
      </c>
      <c r="B715" s="6" t="s">
        <v>21</v>
      </c>
      <c r="C715" s="6" t="s">
        <v>512</v>
      </c>
      <c r="D715" s="6" t="s">
        <v>496</v>
      </c>
      <c r="E715" s="25">
        <v>61.064999999999998</v>
      </c>
      <c r="F715" s="25">
        <v>-149.797</v>
      </c>
      <c r="G715" s="7">
        <v>36.6</v>
      </c>
      <c r="I715" s="23" t="s">
        <v>700</v>
      </c>
      <c r="J715" s="23" t="s">
        <v>41</v>
      </c>
      <c r="K715" s="24">
        <v>44069</v>
      </c>
      <c r="L715" s="24"/>
      <c r="M715" s="24"/>
      <c r="N715" s="9">
        <v>-18.32</v>
      </c>
      <c r="O715" s="41">
        <v>-141.82</v>
      </c>
      <c r="P715" s="41">
        <f t="shared" si="11"/>
        <v>4.7400000000000091</v>
      </c>
      <c r="Q715" s="7"/>
      <c r="R715" s="7"/>
      <c r="S715" s="7"/>
      <c r="T715" s="7"/>
    </row>
    <row r="716" spans="1:20" s="5" customFormat="1" ht="14.25" customHeight="1" x14ac:dyDescent="0.35">
      <c r="A716" s="5" t="s">
        <v>494</v>
      </c>
      <c r="B716" s="6" t="s">
        <v>21</v>
      </c>
      <c r="C716" s="6" t="s">
        <v>512</v>
      </c>
      <c r="D716" s="6" t="s">
        <v>496</v>
      </c>
      <c r="E716" s="25">
        <v>61.064999999999998</v>
      </c>
      <c r="F716" s="25">
        <v>-149.797</v>
      </c>
      <c r="G716" s="7">
        <v>36.6</v>
      </c>
      <c r="I716" s="23" t="s">
        <v>701</v>
      </c>
      <c r="J716" s="23" t="s">
        <v>41</v>
      </c>
      <c r="K716" s="24">
        <v>44069</v>
      </c>
      <c r="L716" s="24"/>
      <c r="M716" s="24"/>
      <c r="N716" s="9">
        <v>-18.02</v>
      </c>
      <c r="O716" s="41">
        <v>-136.87</v>
      </c>
      <c r="P716" s="41">
        <f t="shared" si="11"/>
        <v>7.289999999999992</v>
      </c>
      <c r="Q716" s="7"/>
      <c r="R716" s="7"/>
      <c r="S716" s="7"/>
      <c r="T716" s="7"/>
    </row>
    <row r="717" spans="1:20" s="5" customFormat="1" ht="14.25" customHeight="1" x14ac:dyDescent="0.35">
      <c r="A717" s="5" t="s">
        <v>494</v>
      </c>
      <c r="B717" s="6" t="s">
        <v>21</v>
      </c>
      <c r="C717" s="6" t="s">
        <v>512</v>
      </c>
      <c r="D717" s="6" t="s">
        <v>496</v>
      </c>
      <c r="E717" s="25">
        <v>61.064999999999998</v>
      </c>
      <c r="F717" s="25">
        <v>-149.797</v>
      </c>
      <c r="G717" s="7">
        <v>36.6</v>
      </c>
      <c r="I717" s="23" t="s">
        <v>702</v>
      </c>
      <c r="J717" s="23" t="s">
        <v>41</v>
      </c>
      <c r="K717" s="24">
        <v>44074</v>
      </c>
      <c r="L717" s="24"/>
      <c r="M717" s="24"/>
      <c r="N717" s="9">
        <v>-13.93</v>
      </c>
      <c r="O717" s="41">
        <v>-115.02</v>
      </c>
      <c r="P717" s="41">
        <f t="shared" si="11"/>
        <v>-3.5799999999999983</v>
      </c>
      <c r="Q717" s="7"/>
      <c r="R717" s="7"/>
      <c r="S717" s="7"/>
      <c r="T717" s="7"/>
    </row>
    <row r="718" spans="1:20" s="5" customFormat="1" ht="14.25" customHeight="1" x14ac:dyDescent="0.35">
      <c r="A718" s="5" t="s">
        <v>494</v>
      </c>
      <c r="B718" s="6" t="s">
        <v>21</v>
      </c>
      <c r="C718" s="6" t="s">
        <v>512</v>
      </c>
      <c r="D718" s="6" t="s">
        <v>496</v>
      </c>
      <c r="E718" s="25">
        <v>61.064999999999998</v>
      </c>
      <c r="F718" s="25">
        <v>-149.797</v>
      </c>
      <c r="G718" s="7">
        <v>36.6</v>
      </c>
      <c r="I718" s="23" t="s">
        <v>703</v>
      </c>
      <c r="J718" s="23" t="s">
        <v>41</v>
      </c>
      <c r="K718" s="24">
        <v>44075</v>
      </c>
      <c r="L718" s="24"/>
      <c r="M718" s="24"/>
      <c r="N718" s="9">
        <v>-13.23</v>
      </c>
      <c r="O718" s="41">
        <v>-108.27</v>
      </c>
      <c r="P718" s="41">
        <f t="shared" si="11"/>
        <v>-2.4299999999999926</v>
      </c>
      <c r="Q718" s="7"/>
      <c r="R718" s="7"/>
      <c r="S718" s="7"/>
      <c r="T718" s="7"/>
    </row>
    <row r="719" spans="1:20" s="5" customFormat="1" ht="14.25" customHeight="1" x14ac:dyDescent="0.35">
      <c r="A719" s="5" t="s">
        <v>494</v>
      </c>
      <c r="B719" s="6" t="s">
        <v>21</v>
      </c>
      <c r="C719" s="6" t="s">
        <v>512</v>
      </c>
      <c r="D719" s="6" t="s">
        <v>496</v>
      </c>
      <c r="E719" s="25">
        <v>61.064999999999998</v>
      </c>
      <c r="F719" s="25">
        <v>-149.797</v>
      </c>
      <c r="G719" s="7">
        <v>36.6</v>
      </c>
      <c r="I719" s="23" t="s">
        <v>704</v>
      </c>
      <c r="J719" s="23" t="s">
        <v>41</v>
      </c>
      <c r="K719" s="24">
        <v>44104</v>
      </c>
      <c r="L719" s="24"/>
      <c r="M719" s="24"/>
      <c r="N719" s="9">
        <v>-11.72</v>
      </c>
      <c r="O719" s="41">
        <v>-96.61</v>
      </c>
      <c r="P719" s="41">
        <f t="shared" si="11"/>
        <v>-2.8499999999999943</v>
      </c>
      <c r="Q719" s="7"/>
      <c r="R719" s="7"/>
      <c r="S719" s="7"/>
      <c r="T719" s="7"/>
    </row>
    <row r="720" spans="1:20" s="13" customFormat="1" x14ac:dyDescent="0.35">
      <c r="A720" s="13" t="s">
        <v>20</v>
      </c>
      <c r="C720" s="13" t="s">
        <v>548</v>
      </c>
      <c r="D720" s="13" t="s">
        <v>468</v>
      </c>
      <c r="E720" s="13">
        <v>71.599999999999994</v>
      </c>
      <c r="F720" s="13">
        <v>128.9</v>
      </c>
      <c r="G720" s="13">
        <v>9</v>
      </c>
      <c r="I720" s="14" t="s">
        <v>709</v>
      </c>
      <c r="J720" s="13" t="s">
        <v>469</v>
      </c>
      <c r="K720" s="28">
        <v>43828</v>
      </c>
      <c r="N720" s="14">
        <v>-30.517434544754028</v>
      </c>
      <c r="O720" s="29">
        <v>-239.26885751342775</v>
      </c>
      <c r="P720" s="29">
        <f>O720-8*N720</f>
        <v>4.8706188446044791</v>
      </c>
    </row>
    <row r="721" spans="1:16" s="13" customFormat="1" x14ac:dyDescent="0.35">
      <c r="A721" s="13" t="s">
        <v>20</v>
      </c>
      <c r="C721" s="13" t="s">
        <v>548</v>
      </c>
      <c r="D721" s="13" t="s">
        <v>468</v>
      </c>
      <c r="E721" s="13">
        <v>71.599999999999994</v>
      </c>
      <c r="F721" s="13">
        <v>128.9</v>
      </c>
      <c r="G721" s="13">
        <v>9</v>
      </c>
      <c r="I721" s="14" t="s">
        <v>710</v>
      </c>
      <c r="J721" s="13" t="s">
        <v>469</v>
      </c>
      <c r="K721" s="28">
        <v>43836</v>
      </c>
      <c r="N721" s="14">
        <v>-38.612451098251341</v>
      </c>
      <c r="O721" s="29">
        <v>-300.98828126525876</v>
      </c>
      <c r="P721" s="29">
        <f t="shared" ref="P721:P784" si="12">O721-8*N721</f>
        <v>7.9113275207519678</v>
      </c>
    </row>
    <row r="722" spans="1:16" s="13" customFormat="1" x14ac:dyDescent="0.35">
      <c r="A722" s="13" t="s">
        <v>20</v>
      </c>
      <c r="C722" s="13" t="s">
        <v>548</v>
      </c>
      <c r="D722" s="13" t="s">
        <v>468</v>
      </c>
      <c r="E722" s="13">
        <v>71.599999999999994</v>
      </c>
      <c r="F722" s="13">
        <v>128.9</v>
      </c>
      <c r="G722" s="13">
        <v>9</v>
      </c>
      <c r="I722" s="14" t="s">
        <v>711</v>
      </c>
      <c r="J722" s="13" t="s">
        <v>469</v>
      </c>
      <c r="K722" s="28">
        <v>43837</v>
      </c>
      <c r="N722" s="14">
        <v>-38.536279685211177</v>
      </c>
      <c r="O722" s="29">
        <v>-299.68389994812009</v>
      </c>
      <c r="P722" s="29">
        <f t="shared" si="12"/>
        <v>8.6063375335693308</v>
      </c>
    </row>
    <row r="723" spans="1:16" s="13" customFormat="1" x14ac:dyDescent="0.35">
      <c r="A723" s="13" t="s">
        <v>20</v>
      </c>
      <c r="C723" s="13" t="s">
        <v>548</v>
      </c>
      <c r="D723" s="13" t="s">
        <v>468</v>
      </c>
      <c r="E723" s="13">
        <v>71.599999999999994</v>
      </c>
      <c r="F723" s="13">
        <v>128.9</v>
      </c>
      <c r="G723" s="13">
        <v>9</v>
      </c>
      <c r="I723" s="14" t="s">
        <v>712</v>
      </c>
      <c r="J723" s="13" t="s">
        <v>469</v>
      </c>
      <c r="K723" s="28">
        <v>43848</v>
      </c>
      <c r="N723" s="14">
        <v>-40.689743819427491</v>
      </c>
      <c r="O723" s="29">
        <v>-316.41785998535158</v>
      </c>
      <c r="P723" s="29">
        <f t="shared" si="12"/>
        <v>9.1000905700683461</v>
      </c>
    </row>
    <row r="724" spans="1:16" s="13" customFormat="1" x14ac:dyDescent="0.35">
      <c r="A724" s="13" t="s">
        <v>20</v>
      </c>
      <c r="C724" s="13" t="s">
        <v>548</v>
      </c>
      <c r="D724" s="13" t="s">
        <v>468</v>
      </c>
      <c r="E724" s="13">
        <v>71.599999999999994</v>
      </c>
      <c r="F724" s="13">
        <v>128.9</v>
      </c>
      <c r="G724" s="13">
        <v>9</v>
      </c>
      <c r="I724" s="14" t="s">
        <v>713</v>
      </c>
      <c r="J724" s="13" t="s">
        <v>469</v>
      </c>
      <c r="K724" s="28">
        <v>43859</v>
      </c>
      <c r="N724" s="14">
        <v>-36.745745234680172</v>
      </c>
      <c r="O724" s="29">
        <v>-285.42609811401371</v>
      </c>
      <c r="P724" s="29">
        <f t="shared" si="12"/>
        <v>8.5398637634276611</v>
      </c>
    </row>
    <row r="725" spans="1:16" s="13" customFormat="1" x14ac:dyDescent="0.35">
      <c r="A725" s="13" t="s">
        <v>20</v>
      </c>
      <c r="C725" s="13" t="s">
        <v>548</v>
      </c>
      <c r="D725" s="13" t="s">
        <v>468</v>
      </c>
      <c r="E725" s="13">
        <v>71.599999999999994</v>
      </c>
      <c r="F725" s="13">
        <v>128.9</v>
      </c>
      <c r="G725" s="13">
        <v>9</v>
      </c>
      <c r="I725" s="14" t="s">
        <v>714</v>
      </c>
      <c r="J725" s="13" t="s">
        <v>469</v>
      </c>
      <c r="K725" s="28">
        <v>43860</v>
      </c>
      <c r="N725" s="14">
        <v>-37.552044139099124</v>
      </c>
      <c r="O725" s="29">
        <v>-286.60214300537109</v>
      </c>
      <c r="P725" s="29">
        <f t="shared" si="12"/>
        <v>13.8142101074219</v>
      </c>
    </row>
    <row r="726" spans="1:16" s="13" customFormat="1" x14ac:dyDescent="0.35">
      <c r="A726" s="13" t="s">
        <v>20</v>
      </c>
      <c r="C726" s="13" t="s">
        <v>548</v>
      </c>
      <c r="D726" s="13" t="s">
        <v>468</v>
      </c>
      <c r="E726" s="13">
        <v>71.599999999999994</v>
      </c>
      <c r="F726" s="13">
        <v>128.9</v>
      </c>
      <c r="G726" s="13">
        <v>9</v>
      </c>
      <c r="I726" s="14" t="s">
        <v>715</v>
      </c>
      <c r="J726" s="13" t="s">
        <v>469</v>
      </c>
      <c r="K726" s="28">
        <v>43861</v>
      </c>
      <c r="N726" s="14">
        <v>-39.344070960235598</v>
      </c>
      <c r="O726" s="29">
        <v>-303.07884161376955</v>
      </c>
      <c r="P726" s="29">
        <f t="shared" si="12"/>
        <v>11.673726068115229</v>
      </c>
    </row>
    <row r="727" spans="1:16" s="13" customFormat="1" x14ac:dyDescent="0.35">
      <c r="A727" s="13" t="s">
        <v>20</v>
      </c>
      <c r="C727" s="13" t="s">
        <v>548</v>
      </c>
      <c r="D727" s="13" t="s">
        <v>468</v>
      </c>
      <c r="E727" s="13">
        <v>71.599999999999994</v>
      </c>
      <c r="F727" s="13">
        <v>128.9</v>
      </c>
      <c r="G727" s="13">
        <v>9</v>
      </c>
      <c r="I727" s="14" t="s">
        <v>716</v>
      </c>
      <c r="J727" s="13" t="s">
        <v>469</v>
      </c>
      <c r="K727" s="28">
        <v>43870</v>
      </c>
      <c r="N727" s="14">
        <v>-35.289056372833244</v>
      </c>
      <c r="O727" s="29">
        <v>-274.52122293090815</v>
      </c>
      <c r="P727" s="29">
        <f t="shared" si="12"/>
        <v>7.7912280517577983</v>
      </c>
    </row>
    <row r="728" spans="1:16" s="13" customFormat="1" x14ac:dyDescent="0.35">
      <c r="A728" s="13" t="s">
        <v>20</v>
      </c>
      <c r="C728" s="13" t="s">
        <v>548</v>
      </c>
      <c r="D728" s="13" t="s">
        <v>468</v>
      </c>
      <c r="E728" s="13">
        <v>71.599999999999994</v>
      </c>
      <c r="F728" s="13">
        <v>128.9</v>
      </c>
      <c r="G728" s="13">
        <v>9</v>
      </c>
      <c r="I728" s="14" t="s">
        <v>717</v>
      </c>
      <c r="J728" s="13" t="s">
        <v>469</v>
      </c>
      <c r="K728" s="28">
        <v>43875</v>
      </c>
      <c r="N728" s="14">
        <v>-26.138209105682375</v>
      </c>
      <c r="O728" s="29">
        <v>-199.37576908111572</v>
      </c>
      <c r="P728" s="29">
        <f t="shared" si="12"/>
        <v>9.7299037643432769</v>
      </c>
    </row>
    <row r="729" spans="1:16" s="13" customFormat="1" x14ac:dyDescent="0.35">
      <c r="A729" s="13" t="s">
        <v>20</v>
      </c>
      <c r="C729" s="13" t="s">
        <v>548</v>
      </c>
      <c r="D729" s="13" t="s">
        <v>468</v>
      </c>
      <c r="E729" s="13">
        <v>71.599999999999994</v>
      </c>
      <c r="F729" s="13">
        <v>128.9</v>
      </c>
      <c r="G729" s="13">
        <v>9</v>
      </c>
      <c r="I729" s="14" t="s">
        <v>718</v>
      </c>
      <c r="J729" s="13" t="s">
        <v>469</v>
      </c>
      <c r="K729" s="28">
        <v>43876</v>
      </c>
      <c r="N729" s="14">
        <v>-19.432013746643069</v>
      </c>
      <c r="O729" s="29">
        <v>-139.17778776550293</v>
      </c>
      <c r="P729" s="29">
        <f t="shared" si="12"/>
        <v>16.278322207641622</v>
      </c>
    </row>
    <row r="730" spans="1:16" s="13" customFormat="1" x14ac:dyDescent="0.35">
      <c r="A730" s="13" t="s">
        <v>20</v>
      </c>
      <c r="C730" s="13" t="s">
        <v>548</v>
      </c>
      <c r="D730" s="13" t="s">
        <v>468</v>
      </c>
      <c r="E730" s="13">
        <v>71.599999999999994</v>
      </c>
      <c r="F730" s="13">
        <v>128.9</v>
      </c>
      <c r="G730" s="13">
        <v>9</v>
      </c>
      <c r="I730" s="14" t="s">
        <v>719</v>
      </c>
      <c r="J730" s="13" t="s">
        <v>469</v>
      </c>
      <c r="K730" s="28">
        <v>43881</v>
      </c>
      <c r="N730" s="14">
        <v>-31.959328148841855</v>
      </c>
      <c r="O730" s="29">
        <v>-255.96036022949221</v>
      </c>
      <c r="P730" s="29">
        <f t="shared" si="12"/>
        <v>-0.28573503875736606</v>
      </c>
    </row>
    <row r="731" spans="1:16" s="13" customFormat="1" x14ac:dyDescent="0.35">
      <c r="A731" s="13" t="s">
        <v>20</v>
      </c>
      <c r="C731" s="13" t="s">
        <v>548</v>
      </c>
      <c r="D731" s="13" t="s">
        <v>468</v>
      </c>
      <c r="E731" s="13">
        <v>71.599999999999994</v>
      </c>
      <c r="F731" s="13">
        <v>128.9</v>
      </c>
      <c r="G731" s="13">
        <v>9</v>
      </c>
      <c r="I731" s="14" t="s">
        <v>720</v>
      </c>
      <c r="J731" s="13" t="s">
        <v>469</v>
      </c>
      <c r="K731" s="28">
        <v>43886</v>
      </c>
      <c r="N731" s="14">
        <v>-22.222307241439818</v>
      </c>
      <c r="O731" s="29">
        <v>-167.92421209716795</v>
      </c>
      <c r="P731" s="29">
        <f t="shared" si="12"/>
        <v>9.8542458343505928</v>
      </c>
    </row>
    <row r="732" spans="1:16" s="13" customFormat="1" x14ac:dyDescent="0.35">
      <c r="A732" s="13" t="s">
        <v>20</v>
      </c>
      <c r="C732" s="13" t="s">
        <v>548</v>
      </c>
      <c r="D732" s="13" t="s">
        <v>468</v>
      </c>
      <c r="E732" s="13">
        <v>71.599999999999994</v>
      </c>
      <c r="F732" s="13">
        <v>128.9</v>
      </c>
      <c r="G732" s="13">
        <v>9</v>
      </c>
      <c r="I732" s="14" t="s">
        <v>721</v>
      </c>
      <c r="J732" s="13" t="s">
        <v>469</v>
      </c>
      <c r="K732" s="28">
        <v>43887</v>
      </c>
      <c r="N732" s="14">
        <v>-29.72170829582214</v>
      </c>
      <c r="O732" s="29">
        <v>-230.29588653564451</v>
      </c>
      <c r="P732" s="29">
        <f t="shared" si="12"/>
        <v>7.4777798309326045</v>
      </c>
    </row>
    <row r="733" spans="1:16" s="13" customFormat="1" x14ac:dyDescent="0.35">
      <c r="A733" s="13" t="s">
        <v>20</v>
      </c>
      <c r="C733" s="13" t="s">
        <v>548</v>
      </c>
      <c r="D733" s="13" t="s">
        <v>468</v>
      </c>
      <c r="E733" s="13">
        <v>71.599999999999994</v>
      </c>
      <c r="F733" s="13">
        <v>128.9</v>
      </c>
      <c r="G733" s="13">
        <v>9</v>
      </c>
      <c r="I733" s="14" t="s">
        <v>722</v>
      </c>
      <c r="J733" s="13" t="s">
        <v>469</v>
      </c>
      <c r="K733" s="28">
        <v>43893</v>
      </c>
      <c r="N733" s="14">
        <v>-25.361271026611327</v>
      </c>
      <c r="O733" s="29">
        <v>-193.45625341796875</v>
      </c>
      <c r="P733" s="29">
        <f t="shared" si="12"/>
        <v>9.4339147949218614</v>
      </c>
    </row>
    <row r="734" spans="1:16" s="13" customFormat="1" x14ac:dyDescent="0.35">
      <c r="A734" s="13" t="s">
        <v>20</v>
      </c>
      <c r="C734" s="13" t="s">
        <v>548</v>
      </c>
      <c r="D734" s="13" t="s">
        <v>468</v>
      </c>
      <c r="E734" s="13">
        <v>71.599999999999994</v>
      </c>
      <c r="F734" s="13">
        <v>128.9</v>
      </c>
      <c r="G734" s="13">
        <v>9</v>
      </c>
      <c r="I734" s="14" t="s">
        <v>723</v>
      </c>
      <c r="J734" s="13" t="s">
        <v>469</v>
      </c>
      <c r="K734" s="28">
        <v>43897</v>
      </c>
      <c r="N734" s="14">
        <v>-38.62002634811401</v>
      </c>
      <c r="O734" s="29">
        <v>-299.82308178710934</v>
      </c>
      <c r="P734" s="29">
        <f t="shared" si="12"/>
        <v>9.1371289978027335</v>
      </c>
    </row>
    <row r="735" spans="1:16" s="13" customFormat="1" x14ac:dyDescent="0.35">
      <c r="A735" s="13" t="s">
        <v>20</v>
      </c>
      <c r="C735" s="13" t="s">
        <v>548</v>
      </c>
      <c r="D735" s="13" t="s">
        <v>468</v>
      </c>
      <c r="E735" s="13">
        <v>71.599999999999994</v>
      </c>
      <c r="F735" s="13">
        <v>128.9</v>
      </c>
      <c r="G735" s="13">
        <v>9</v>
      </c>
      <c r="I735" s="14" t="s">
        <v>724</v>
      </c>
      <c r="J735" s="13" t="s">
        <v>469</v>
      </c>
      <c r="K735" s="28">
        <v>43906</v>
      </c>
      <c r="N735" s="14">
        <v>-38.57565171051025</v>
      </c>
      <c r="O735" s="29">
        <v>-300.37877783203123</v>
      </c>
      <c r="P735" s="29">
        <f t="shared" si="12"/>
        <v>8.2264358520507699</v>
      </c>
    </row>
    <row r="736" spans="1:16" s="13" customFormat="1" x14ac:dyDescent="0.35">
      <c r="A736" s="13" t="s">
        <v>20</v>
      </c>
      <c r="C736" s="13" t="s">
        <v>548</v>
      </c>
      <c r="D736" s="13" t="s">
        <v>468</v>
      </c>
      <c r="E736" s="13">
        <v>71.599999999999994</v>
      </c>
      <c r="F736" s="13">
        <v>128.9</v>
      </c>
      <c r="G736" s="13">
        <v>9</v>
      </c>
      <c r="I736" s="14" t="s">
        <v>725</v>
      </c>
      <c r="J736" s="13" t="s">
        <v>469</v>
      </c>
      <c r="K736" s="28">
        <v>43907</v>
      </c>
      <c r="N736" s="14">
        <v>-23.047354391098022</v>
      </c>
      <c r="O736" s="29">
        <v>-171.02785766601562</v>
      </c>
      <c r="P736" s="29">
        <f t="shared" si="12"/>
        <v>13.350977462768554</v>
      </c>
    </row>
    <row r="737" spans="1:16" s="13" customFormat="1" x14ac:dyDescent="0.35">
      <c r="A737" s="13" t="s">
        <v>20</v>
      </c>
      <c r="C737" s="13" t="s">
        <v>548</v>
      </c>
      <c r="D737" s="13" t="s">
        <v>468</v>
      </c>
      <c r="E737" s="13">
        <v>71.599999999999994</v>
      </c>
      <c r="F737" s="13">
        <v>128.9</v>
      </c>
      <c r="G737" s="13">
        <v>9</v>
      </c>
      <c r="I737" s="14" t="s">
        <v>726</v>
      </c>
      <c r="J737" s="13" t="s">
        <v>469</v>
      </c>
      <c r="K737" s="28">
        <v>43908</v>
      </c>
      <c r="N737" s="14">
        <v>-31.680500677108764</v>
      </c>
      <c r="O737" s="29">
        <v>-249.6116710205078</v>
      </c>
      <c r="P737" s="29">
        <f t="shared" si="12"/>
        <v>3.8323343963623131</v>
      </c>
    </row>
    <row r="738" spans="1:16" s="13" customFormat="1" x14ac:dyDescent="0.35">
      <c r="A738" s="13" t="s">
        <v>20</v>
      </c>
      <c r="C738" s="13" t="s">
        <v>548</v>
      </c>
      <c r="D738" s="13" t="s">
        <v>468</v>
      </c>
      <c r="E738" s="13">
        <v>71.599999999999994</v>
      </c>
      <c r="F738" s="13">
        <v>128.9</v>
      </c>
      <c r="G738" s="13">
        <v>9</v>
      </c>
      <c r="I738" s="14" t="s">
        <v>727</v>
      </c>
      <c r="J738" s="13" t="s">
        <v>469</v>
      </c>
      <c r="K738" s="28">
        <v>43913</v>
      </c>
      <c r="N738" s="14">
        <v>-25.730784490585325</v>
      </c>
      <c r="O738" s="29">
        <v>-208.29559179687499</v>
      </c>
      <c r="P738" s="29">
        <f t="shared" si="12"/>
        <v>-2.4493158721923862</v>
      </c>
    </row>
    <row r="739" spans="1:16" s="13" customFormat="1" x14ac:dyDescent="0.35">
      <c r="A739" s="13" t="s">
        <v>20</v>
      </c>
      <c r="C739" s="13" t="s">
        <v>548</v>
      </c>
      <c r="D739" s="13" t="s">
        <v>468</v>
      </c>
      <c r="E739" s="13">
        <v>71.599999999999994</v>
      </c>
      <c r="F739" s="13">
        <v>128.9</v>
      </c>
      <c r="G739" s="13">
        <v>9</v>
      </c>
      <c r="I739" s="14" t="s">
        <v>728</v>
      </c>
      <c r="J739" s="13" t="s">
        <v>469</v>
      </c>
      <c r="K739" s="28">
        <v>43918</v>
      </c>
      <c r="N739" s="14">
        <v>-37.472077892303467</v>
      </c>
      <c r="O739" s="29">
        <v>-303.02213745117189</v>
      </c>
      <c r="P739" s="29">
        <f t="shared" si="12"/>
        <v>-3.2455143127441488</v>
      </c>
    </row>
    <row r="740" spans="1:16" s="13" customFormat="1" x14ac:dyDescent="0.35">
      <c r="A740" s="13" t="s">
        <v>20</v>
      </c>
      <c r="C740" s="13" t="s">
        <v>548</v>
      </c>
      <c r="D740" s="13" t="s">
        <v>468</v>
      </c>
      <c r="E740" s="13">
        <v>71.599999999999994</v>
      </c>
      <c r="F740" s="13">
        <v>128.9</v>
      </c>
      <c r="G740" s="13">
        <v>9</v>
      </c>
      <c r="I740" s="14" t="s">
        <v>729</v>
      </c>
      <c r="J740" s="13" t="s">
        <v>469</v>
      </c>
      <c r="K740" s="28">
        <v>43923</v>
      </c>
      <c r="N740" s="14">
        <v>-20.862310569763181</v>
      </c>
      <c r="O740" s="29">
        <v>-167.93049694824219</v>
      </c>
      <c r="P740" s="29">
        <f t="shared" si="12"/>
        <v>-1.0320123901367424</v>
      </c>
    </row>
    <row r="741" spans="1:16" s="13" customFormat="1" x14ac:dyDescent="0.35">
      <c r="A741" s="13" t="s">
        <v>20</v>
      </c>
      <c r="C741" s="13" t="s">
        <v>548</v>
      </c>
      <c r="D741" s="13" t="s">
        <v>468</v>
      </c>
      <c r="E741" s="13">
        <v>71.599999999999994</v>
      </c>
      <c r="F741" s="13">
        <v>128.9</v>
      </c>
      <c r="G741" s="13">
        <v>9</v>
      </c>
      <c r="I741" s="14" t="s">
        <v>730</v>
      </c>
      <c r="J741" s="13" t="s">
        <v>469</v>
      </c>
      <c r="K741" s="28">
        <v>43925</v>
      </c>
      <c r="N741" s="14">
        <v>-19.281157305908202</v>
      </c>
      <c r="O741" s="29">
        <v>-147.16368621826172</v>
      </c>
      <c r="P741" s="29">
        <f t="shared" si="12"/>
        <v>7.0855722290039012</v>
      </c>
    </row>
    <row r="742" spans="1:16" s="13" customFormat="1" x14ac:dyDescent="0.35">
      <c r="A742" s="13" t="s">
        <v>20</v>
      </c>
      <c r="C742" s="13" t="s">
        <v>548</v>
      </c>
      <c r="D742" s="13" t="s">
        <v>468</v>
      </c>
      <c r="E742" s="13">
        <v>71.599999999999994</v>
      </c>
      <c r="F742" s="13">
        <v>128.9</v>
      </c>
      <c r="G742" s="13">
        <v>9</v>
      </c>
      <c r="I742" s="14" t="s">
        <v>731</v>
      </c>
      <c r="J742" s="13" t="s">
        <v>469</v>
      </c>
      <c r="K742" s="28">
        <v>43926</v>
      </c>
      <c r="N742" s="14">
        <v>-19.703022687911986</v>
      </c>
      <c r="O742" s="29">
        <v>-149.06074487304687</v>
      </c>
      <c r="P742" s="29">
        <f t="shared" si="12"/>
        <v>8.563436630249015</v>
      </c>
    </row>
    <row r="743" spans="1:16" s="13" customFormat="1" x14ac:dyDescent="0.35">
      <c r="A743" s="13" t="s">
        <v>20</v>
      </c>
      <c r="C743" s="13" t="s">
        <v>548</v>
      </c>
      <c r="D743" s="13" t="s">
        <v>468</v>
      </c>
      <c r="E743" s="13">
        <v>71.599999999999994</v>
      </c>
      <c r="F743" s="13">
        <v>128.9</v>
      </c>
      <c r="G743" s="13">
        <v>9</v>
      </c>
      <c r="I743" s="13" t="s">
        <v>732</v>
      </c>
      <c r="J743" s="13" t="s">
        <v>469</v>
      </c>
      <c r="K743" s="28">
        <v>43927</v>
      </c>
      <c r="N743" s="14">
        <v>-19.759731204986569</v>
      </c>
      <c r="O743" s="29">
        <v>-149.16204101562499</v>
      </c>
      <c r="P743" s="29">
        <f t="shared" si="12"/>
        <v>8.9158086242675552</v>
      </c>
    </row>
    <row r="744" spans="1:16" s="13" customFormat="1" x14ac:dyDescent="0.35">
      <c r="A744" s="13" t="s">
        <v>20</v>
      </c>
      <c r="C744" s="13" t="s">
        <v>548</v>
      </c>
      <c r="D744" s="13" t="s">
        <v>468</v>
      </c>
      <c r="E744" s="13">
        <v>71.599999999999994</v>
      </c>
      <c r="F744" s="13">
        <v>128.9</v>
      </c>
      <c r="G744" s="13">
        <v>9</v>
      </c>
      <c r="I744" s="13" t="s">
        <v>733</v>
      </c>
      <c r="J744" s="13" t="s">
        <v>469</v>
      </c>
      <c r="K744" s="28">
        <v>43928</v>
      </c>
      <c r="N744" s="14">
        <v>-18.394363725662231</v>
      </c>
      <c r="O744" s="29">
        <v>-136.41986364746094</v>
      </c>
      <c r="P744" s="29">
        <f t="shared" si="12"/>
        <v>10.735046157836905</v>
      </c>
    </row>
    <row r="745" spans="1:16" s="13" customFormat="1" x14ac:dyDescent="0.35">
      <c r="A745" s="13" t="s">
        <v>20</v>
      </c>
      <c r="C745" s="13" t="s">
        <v>548</v>
      </c>
      <c r="D745" s="13" t="s">
        <v>468</v>
      </c>
      <c r="E745" s="13">
        <v>71.599999999999994</v>
      </c>
      <c r="F745" s="13">
        <v>128.9</v>
      </c>
      <c r="G745" s="13">
        <v>9</v>
      </c>
      <c r="I745" s="14" t="s">
        <v>734</v>
      </c>
      <c r="J745" s="13" t="s">
        <v>469</v>
      </c>
      <c r="K745" s="28">
        <v>43931</v>
      </c>
      <c r="N745" s="14">
        <v>-27.789069660186765</v>
      </c>
      <c r="O745" s="29">
        <v>-218.65419323730467</v>
      </c>
      <c r="P745" s="29">
        <f t="shared" si="12"/>
        <v>3.6583640441894545</v>
      </c>
    </row>
    <row r="746" spans="1:16" s="13" customFormat="1" x14ac:dyDescent="0.35">
      <c r="A746" s="13" t="s">
        <v>20</v>
      </c>
      <c r="C746" s="13" t="s">
        <v>548</v>
      </c>
      <c r="D746" s="13" t="s">
        <v>468</v>
      </c>
      <c r="E746" s="13">
        <v>71.599999999999994</v>
      </c>
      <c r="F746" s="13">
        <v>128.9</v>
      </c>
      <c r="G746" s="13">
        <v>9</v>
      </c>
      <c r="I746" s="14" t="s">
        <v>735</v>
      </c>
      <c r="J746" s="13" t="s">
        <v>469</v>
      </c>
      <c r="K746" s="28">
        <v>43932</v>
      </c>
      <c r="N746" s="14">
        <v>-25.952143371582032</v>
      </c>
      <c r="O746" s="29">
        <v>-202.52943664550781</v>
      </c>
      <c r="P746" s="29">
        <f t="shared" si="12"/>
        <v>5.087710327148443</v>
      </c>
    </row>
    <row r="747" spans="1:16" s="13" customFormat="1" x14ac:dyDescent="0.35">
      <c r="A747" s="13" t="s">
        <v>20</v>
      </c>
      <c r="C747" s="13" t="s">
        <v>548</v>
      </c>
      <c r="D747" s="13" t="s">
        <v>468</v>
      </c>
      <c r="E747" s="13">
        <v>71.599999999999994</v>
      </c>
      <c r="F747" s="13">
        <v>128.9</v>
      </c>
      <c r="G747" s="13">
        <v>9</v>
      </c>
      <c r="I747" s="14" t="s">
        <v>736</v>
      </c>
      <c r="J747" s="13" t="s">
        <v>469</v>
      </c>
      <c r="K747" s="28">
        <v>43933</v>
      </c>
      <c r="N747" s="14">
        <v>-24.184633348464963</v>
      </c>
      <c r="O747" s="29">
        <v>-186.78302661132815</v>
      </c>
      <c r="P747" s="29">
        <f t="shared" si="12"/>
        <v>6.6940401763915531</v>
      </c>
    </row>
    <row r="748" spans="1:16" s="13" customFormat="1" x14ac:dyDescent="0.35">
      <c r="A748" s="13" t="s">
        <v>20</v>
      </c>
      <c r="C748" s="13" t="s">
        <v>548</v>
      </c>
      <c r="D748" s="13" t="s">
        <v>468</v>
      </c>
      <c r="E748" s="13">
        <v>71.599999999999994</v>
      </c>
      <c r="F748" s="13">
        <v>128.9</v>
      </c>
      <c r="G748" s="13">
        <v>9</v>
      </c>
      <c r="I748" s="14" t="s">
        <v>737</v>
      </c>
      <c r="J748" s="13" t="s">
        <v>469</v>
      </c>
      <c r="K748" s="28">
        <v>43935</v>
      </c>
      <c r="N748" s="14">
        <v>-26.901510484695432</v>
      </c>
      <c r="O748" s="29">
        <v>-210.24240380859374</v>
      </c>
      <c r="P748" s="29">
        <f t="shared" si="12"/>
        <v>4.9696800689697227</v>
      </c>
    </row>
    <row r="749" spans="1:16" s="13" customFormat="1" x14ac:dyDescent="0.35">
      <c r="A749" s="13" t="s">
        <v>20</v>
      </c>
      <c r="C749" s="13" t="s">
        <v>548</v>
      </c>
      <c r="D749" s="13" t="s">
        <v>468</v>
      </c>
      <c r="E749" s="13">
        <v>71.599999999999994</v>
      </c>
      <c r="F749" s="13">
        <v>128.9</v>
      </c>
      <c r="G749" s="13">
        <v>9</v>
      </c>
      <c r="I749" s="13" t="s">
        <v>738</v>
      </c>
      <c r="J749" s="13" t="s">
        <v>469</v>
      </c>
      <c r="K749" s="28">
        <v>43936</v>
      </c>
      <c r="N749" s="14">
        <v>-30.520687101364135</v>
      </c>
      <c r="O749" s="29">
        <v>-235.61447314453125</v>
      </c>
      <c r="P749" s="29">
        <f t="shared" si="12"/>
        <v>8.5510236663818375</v>
      </c>
    </row>
    <row r="750" spans="1:16" s="13" customFormat="1" x14ac:dyDescent="0.35">
      <c r="A750" s="13" t="s">
        <v>20</v>
      </c>
      <c r="C750" s="13" t="s">
        <v>548</v>
      </c>
      <c r="D750" s="13" t="s">
        <v>468</v>
      </c>
      <c r="E750" s="13">
        <v>71.599999999999994</v>
      </c>
      <c r="F750" s="13">
        <v>128.9</v>
      </c>
      <c r="G750" s="13">
        <v>9</v>
      </c>
      <c r="I750" s="14" t="s">
        <v>739</v>
      </c>
      <c r="J750" s="13" t="s">
        <v>469</v>
      </c>
      <c r="K750" s="28">
        <v>43937</v>
      </c>
      <c r="N750" s="14">
        <v>-20.228010595321653</v>
      </c>
      <c r="O750" s="29">
        <v>-168.78418798828125</v>
      </c>
      <c r="P750" s="29">
        <f t="shared" si="12"/>
        <v>-6.9601032257080249</v>
      </c>
    </row>
    <row r="751" spans="1:16" s="13" customFormat="1" x14ac:dyDescent="0.35">
      <c r="A751" s="13" t="s">
        <v>20</v>
      </c>
      <c r="C751" s="13" t="s">
        <v>548</v>
      </c>
      <c r="D751" s="13" t="s">
        <v>468</v>
      </c>
      <c r="E751" s="13">
        <v>71.599999999999994</v>
      </c>
      <c r="F751" s="13">
        <v>128.9</v>
      </c>
      <c r="G751" s="13">
        <v>9</v>
      </c>
      <c r="I751" s="14" t="s">
        <v>740</v>
      </c>
      <c r="J751" s="13" t="s">
        <v>469</v>
      </c>
      <c r="K751" s="28">
        <v>43938</v>
      </c>
      <c r="N751" s="14">
        <v>-24.024442842483516</v>
      </c>
      <c r="O751" s="29">
        <v>-193.22030932617184</v>
      </c>
      <c r="P751" s="29">
        <f t="shared" si="12"/>
        <v>-1.0247665863037128</v>
      </c>
    </row>
    <row r="752" spans="1:16" s="13" customFormat="1" x14ac:dyDescent="0.35">
      <c r="A752" s="13" t="s">
        <v>20</v>
      </c>
      <c r="C752" s="13" t="s">
        <v>548</v>
      </c>
      <c r="D752" s="13" t="s">
        <v>468</v>
      </c>
      <c r="E752" s="13">
        <v>71.599999999999994</v>
      </c>
      <c r="F752" s="13">
        <v>128.9</v>
      </c>
      <c r="G752" s="13">
        <v>9</v>
      </c>
      <c r="I752" s="14" t="s">
        <v>741</v>
      </c>
      <c r="J752" s="13" t="s">
        <v>469</v>
      </c>
      <c r="K752" s="28">
        <v>43939</v>
      </c>
      <c r="N752" s="14">
        <v>-25.132696664810179</v>
      </c>
      <c r="O752" s="29">
        <v>-192.06222766113277</v>
      </c>
      <c r="P752" s="29">
        <f t="shared" si="12"/>
        <v>8.9993456573486696</v>
      </c>
    </row>
    <row r="753" spans="1:16" s="13" customFormat="1" x14ac:dyDescent="0.35">
      <c r="A753" s="13" t="s">
        <v>20</v>
      </c>
      <c r="C753" s="13" t="s">
        <v>548</v>
      </c>
      <c r="D753" s="13" t="s">
        <v>468</v>
      </c>
      <c r="E753" s="13">
        <v>71.599999999999994</v>
      </c>
      <c r="F753" s="13">
        <v>128.9</v>
      </c>
      <c r="G753" s="13">
        <v>9</v>
      </c>
      <c r="I753" s="14" t="s">
        <v>742</v>
      </c>
      <c r="J753" s="13" t="s">
        <v>469</v>
      </c>
      <c r="K753" s="28">
        <v>43944</v>
      </c>
      <c r="N753" s="14">
        <v>-19.507916238784787</v>
      </c>
      <c r="O753" s="29">
        <v>-135.85753564453125</v>
      </c>
      <c r="P753" s="29">
        <f t="shared" si="12"/>
        <v>20.205794265747045</v>
      </c>
    </row>
    <row r="754" spans="1:16" s="13" customFormat="1" x14ac:dyDescent="0.35">
      <c r="A754" s="13" t="s">
        <v>20</v>
      </c>
      <c r="C754" s="13" t="s">
        <v>548</v>
      </c>
      <c r="D754" s="13" t="s">
        <v>468</v>
      </c>
      <c r="E754" s="13">
        <v>71.599999999999994</v>
      </c>
      <c r="F754" s="13">
        <v>128.9</v>
      </c>
      <c r="G754" s="13">
        <v>9</v>
      </c>
      <c r="I754" s="14" t="s">
        <v>743</v>
      </c>
      <c r="J754" s="13" t="s">
        <v>469</v>
      </c>
      <c r="K754" s="28">
        <v>43947</v>
      </c>
      <c r="N754" s="14">
        <v>-25.220958202362059</v>
      </c>
      <c r="O754" s="29">
        <v>-197.88725805664063</v>
      </c>
      <c r="P754" s="29">
        <f t="shared" si="12"/>
        <v>3.88040756225584</v>
      </c>
    </row>
    <row r="755" spans="1:16" s="13" customFormat="1" x14ac:dyDescent="0.35">
      <c r="A755" s="13" t="s">
        <v>20</v>
      </c>
      <c r="C755" s="13" t="s">
        <v>548</v>
      </c>
      <c r="D755" s="13" t="s">
        <v>468</v>
      </c>
      <c r="E755" s="13">
        <v>71.599999999999994</v>
      </c>
      <c r="F755" s="13">
        <v>128.9</v>
      </c>
      <c r="G755" s="13">
        <v>9</v>
      </c>
      <c r="I755" s="30" t="s">
        <v>744</v>
      </c>
      <c r="J755" s="13" t="s">
        <v>469</v>
      </c>
      <c r="K755" s="31">
        <v>43956</v>
      </c>
      <c r="N755" s="14">
        <v>-27.790320171871183</v>
      </c>
      <c r="O755" s="29">
        <v>-210.21240659729003</v>
      </c>
      <c r="P755" s="29">
        <f t="shared" si="12"/>
        <v>12.11015477767944</v>
      </c>
    </row>
    <row r="756" spans="1:16" s="13" customFormat="1" x14ac:dyDescent="0.35">
      <c r="A756" s="13" t="s">
        <v>20</v>
      </c>
      <c r="C756" s="13" t="s">
        <v>548</v>
      </c>
      <c r="D756" s="13" t="s">
        <v>468</v>
      </c>
      <c r="E756" s="13">
        <v>71.599999999999994</v>
      </c>
      <c r="F756" s="13">
        <v>128.9</v>
      </c>
      <c r="G756" s="13">
        <v>9</v>
      </c>
      <c r="I756" s="30" t="s">
        <v>745</v>
      </c>
      <c r="J756" s="13" t="s">
        <v>469</v>
      </c>
      <c r="K756" s="31">
        <v>43957</v>
      </c>
      <c r="N756" s="14">
        <v>-26.879994130172729</v>
      </c>
      <c r="O756" s="29">
        <v>-208.52640670257568</v>
      </c>
      <c r="P756" s="29">
        <f t="shared" si="12"/>
        <v>6.513546338806151</v>
      </c>
    </row>
    <row r="757" spans="1:16" s="13" customFormat="1" x14ac:dyDescent="0.35">
      <c r="A757" s="13" t="s">
        <v>20</v>
      </c>
      <c r="C757" s="13" t="s">
        <v>548</v>
      </c>
      <c r="D757" s="13" t="s">
        <v>468</v>
      </c>
      <c r="E757" s="13">
        <v>71.599999999999994</v>
      </c>
      <c r="F757" s="13">
        <v>128.9</v>
      </c>
      <c r="G757" s="13">
        <v>9</v>
      </c>
      <c r="I757" s="30" t="s">
        <v>746</v>
      </c>
      <c r="J757" s="13" t="s">
        <v>469</v>
      </c>
      <c r="K757" s="31">
        <v>43958</v>
      </c>
      <c r="N757" s="14">
        <v>-25.496838397064209</v>
      </c>
      <c r="O757" s="29">
        <v>-199.76062210327149</v>
      </c>
      <c r="P757" s="29">
        <f t="shared" si="12"/>
        <v>4.2140850732421882</v>
      </c>
    </row>
    <row r="758" spans="1:16" s="13" customFormat="1" x14ac:dyDescent="0.35">
      <c r="A758" s="13" t="s">
        <v>20</v>
      </c>
      <c r="C758" s="13" t="s">
        <v>548</v>
      </c>
      <c r="D758" s="13" t="s">
        <v>468</v>
      </c>
      <c r="E758" s="13">
        <v>71.599999999999994</v>
      </c>
      <c r="F758" s="13">
        <v>128.9</v>
      </c>
      <c r="G758" s="13">
        <v>9</v>
      </c>
      <c r="I758" s="30" t="s">
        <v>747</v>
      </c>
      <c r="J758" s="13" t="s">
        <v>469</v>
      </c>
      <c r="K758" s="31">
        <v>43959</v>
      </c>
      <c r="N758" s="14">
        <v>-26.770531501331327</v>
      </c>
      <c r="O758" s="29">
        <v>-202.71026682678223</v>
      </c>
      <c r="P758" s="29">
        <f t="shared" si="12"/>
        <v>11.453985183868383</v>
      </c>
    </row>
    <row r="759" spans="1:16" s="13" customFormat="1" x14ac:dyDescent="0.35">
      <c r="A759" s="13" t="s">
        <v>20</v>
      </c>
      <c r="C759" s="13" t="s">
        <v>548</v>
      </c>
      <c r="D759" s="13" t="s">
        <v>468</v>
      </c>
      <c r="E759" s="13">
        <v>71.599999999999994</v>
      </c>
      <c r="F759" s="13">
        <v>128.9</v>
      </c>
      <c r="G759" s="13">
        <v>9</v>
      </c>
      <c r="I759" s="30" t="s">
        <v>748</v>
      </c>
      <c r="J759" s="13" t="s">
        <v>469</v>
      </c>
      <c r="K759" s="31">
        <v>43962</v>
      </c>
      <c r="N759" s="14">
        <v>-17.308897222795487</v>
      </c>
      <c r="O759" s="29">
        <v>-133.19667508941652</v>
      </c>
      <c r="P759" s="29">
        <f t="shared" si="12"/>
        <v>5.2745026929473795</v>
      </c>
    </row>
    <row r="760" spans="1:16" s="13" customFormat="1" x14ac:dyDescent="0.35">
      <c r="A760" s="13" t="s">
        <v>20</v>
      </c>
      <c r="C760" s="13" t="s">
        <v>548</v>
      </c>
      <c r="D760" s="13" t="s">
        <v>468</v>
      </c>
      <c r="E760" s="13">
        <v>71.599999999999994</v>
      </c>
      <c r="F760" s="13">
        <v>128.9</v>
      </c>
      <c r="G760" s="13">
        <v>9</v>
      </c>
      <c r="I760" s="30" t="s">
        <v>749</v>
      </c>
      <c r="J760" s="13" t="s">
        <v>469</v>
      </c>
      <c r="K760" s="31">
        <v>43963</v>
      </c>
      <c r="N760" s="14">
        <v>-16.037654093780517</v>
      </c>
      <c r="O760" s="29">
        <v>-126.19503195281982</v>
      </c>
      <c r="P760" s="29">
        <f t="shared" si="12"/>
        <v>2.1062007974243215</v>
      </c>
    </row>
    <row r="761" spans="1:16" s="13" customFormat="1" x14ac:dyDescent="0.35">
      <c r="A761" s="13" t="s">
        <v>20</v>
      </c>
      <c r="C761" s="13" t="s">
        <v>548</v>
      </c>
      <c r="D761" s="13" t="s">
        <v>468</v>
      </c>
      <c r="E761" s="13">
        <v>71.599999999999994</v>
      </c>
      <c r="F761" s="13">
        <v>128.9</v>
      </c>
      <c r="G761" s="13">
        <v>9</v>
      </c>
      <c r="I761" s="30" t="s">
        <v>750</v>
      </c>
      <c r="J761" s="13" t="s">
        <v>469</v>
      </c>
      <c r="K761" s="31">
        <v>43967</v>
      </c>
      <c r="N761" s="14">
        <v>-22.819669949092862</v>
      </c>
      <c r="O761" s="29">
        <v>-176.03768823486328</v>
      </c>
      <c r="P761" s="29">
        <f t="shared" si="12"/>
        <v>6.5196713578796164</v>
      </c>
    </row>
    <row r="762" spans="1:16" s="13" customFormat="1" x14ac:dyDescent="0.35">
      <c r="A762" s="13" t="s">
        <v>20</v>
      </c>
      <c r="C762" s="13" t="s">
        <v>548</v>
      </c>
      <c r="D762" s="13" t="s">
        <v>468</v>
      </c>
      <c r="E762" s="13">
        <v>71.599999999999994</v>
      </c>
      <c r="F762" s="13">
        <v>128.9</v>
      </c>
      <c r="G762" s="13">
        <v>9</v>
      </c>
      <c r="I762" s="30" t="s">
        <v>751</v>
      </c>
      <c r="J762" s="13" t="s">
        <v>469</v>
      </c>
      <c r="K762" s="31">
        <v>43973</v>
      </c>
      <c r="N762" s="14">
        <v>-15.412518959321975</v>
      </c>
      <c r="O762" s="29">
        <v>-125.41012788482666</v>
      </c>
      <c r="P762" s="29">
        <f t="shared" si="12"/>
        <v>-2.1099762102508635</v>
      </c>
    </row>
    <row r="763" spans="1:16" s="13" customFormat="1" x14ac:dyDescent="0.35">
      <c r="A763" s="13" t="s">
        <v>20</v>
      </c>
      <c r="C763" s="13" t="s">
        <v>548</v>
      </c>
      <c r="D763" s="13" t="s">
        <v>468</v>
      </c>
      <c r="E763" s="13">
        <v>71.599999999999994</v>
      </c>
      <c r="F763" s="13">
        <v>128.9</v>
      </c>
      <c r="G763" s="13">
        <v>9</v>
      </c>
      <c r="I763" s="30" t="s">
        <v>752</v>
      </c>
      <c r="J763" s="13" t="s">
        <v>469</v>
      </c>
      <c r="K763" s="31">
        <v>43975</v>
      </c>
      <c r="N763" s="14">
        <v>-10.558245906152726</v>
      </c>
      <c r="O763" s="29">
        <v>-94.854183678588868</v>
      </c>
      <c r="P763" s="29">
        <f t="shared" si="12"/>
        <v>-10.388216429367063</v>
      </c>
    </row>
    <row r="764" spans="1:16" s="13" customFormat="1" x14ac:dyDescent="0.35">
      <c r="A764" s="13" t="s">
        <v>20</v>
      </c>
      <c r="C764" s="13" t="s">
        <v>548</v>
      </c>
      <c r="D764" s="13" t="s">
        <v>468</v>
      </c>
      <c r="E764" s="13">
        <v>71.599999999999994</v>
      </c>
      <c r="F764" s="13">
        <v>128.9</v>
      </c>
      <c r="G764" s="13">
        <v>9</v>
      </c>
      <c r="I764" s="30" t="s">
        <v>753</v>
      </c>
      <c r="J764" s="13" t="s">
        <v>469</v>
      </c>
      <c r="K764" s="31">
        <v>43976</v>
      </c>
      <c r="N764" s="14">
        <v>-16.9398726818943</v>
      </c>
      <c r="O764" s="29">
        <v>-127.76046506744385</v>
      </c>
      <c r="P764" s="29">
        <f t="shared" si="12"/>
        <v>7.7585163877105572</v>
      </c>
    </row>
    <row r="765" spans="1:16" s="13" customFormat="1" x14ac:dyDescent="0.35">
      <c r="A765" s="13" t="s">
        <v>20</v>
      </c>
      <c r="C765" s="13" t="s">
        <v>548</v>
      </c>
      <c r="D765" s="13" t="s">
        <v>468</v>
      </c>
      <c r="E765" s="13">
        <v>71.599999999999994</v>
      </c>
      <c r="F765" s="13">
        <v>128.9</v>
      </c>
      <c r="G765" s="13">
        <v>9</v>
      </c>
      <c r="I765" s="30" t="s">
        <v>754</v>
      </c>
      <c r="J765" s="13" t="s">
        <v>469</v>
      </c>
      <c r="K765" s="31">
        <v>43977</v>
      </c>
      <c r="N765" s="14">
        <v>-18.328587817192073</v>
      </c>
      <c r="O765" s="29">
        <v>-137.17000301361082</v>
      </c>
      <c r="P765" s="29">
        <f t="shared" si="12"/>
        <v>9.458699523925759</v>
      </c>
    </row>
    <row r="766" spans="1:16" s="13" customFormat="1" x14ac:dyDescent="0.35">
      <c r="A766" s="13" t="s">
        <v>20</v>
      </c>
      <c r="C766" s="13" t="s">
        <v>548</v>
      </c>
      <c r="D766" s="13" t="s">
        <v>468</v>
      </c>
      <c r="E766" s="13">
        <v>71.599999999999994</v>
      </c>
      <c r="F766" s="13">
        <v>128.9</v>
      </c>
      <c r="G766" s="13">
        <v>9</v>
      </c>
      <c r="I766" s="30" t="s">
        <v>755</v>
      </c>
      <c r="J766" s="13" t="s">
        <v>469</v>
      </c>
      <c r="K766" s="31">
        <v>43980</v>
      </c>
      <c r="N766" s="14">
        <v>-22.728102283477778</v>
      </c>
      <c r="O766" s="29">
        <v>-178.78655987548825</v>
      </c>
      <c r="P766" s="29">
        <f t="shared" si="12"/>
        <v>3.0382583923339723</v>
      </c>
    </row>
    <row r="767" spans="1:16" s="13" customFormat="1" x14ac:dyDescent="0.35">
      <c r="A767" s="13" t="s">
        <v>20</v>
      </c>
      <c r="C767" s="13" t="s">
        <v>548</v>
      </c>
      <c r="D767" s="13" t="s">
        <v>468</v>
      </c>
      <c r="E767" s="13">
        <v>71.599999999999994</v>
      </c>
      <c r="F767" s="13">
        <v>128.9</v>
      </c>
      <c r="G767" s="13">
        <v>9</v>
      </c>
      <c r="I767" s="30" t="s">
        <v>756</v>
      </c>
      <c r="J767" s="13" t="s">
        <v>469</v>
      </c>
      <c r="K767" s="31">
        <v>43988</v>
      </c>
      <c r="N767" s="14">
        <v>-16.561042511940002</v>
      </c>
      <c r="O767" s="29">
        <v>-127.76403142547606</v>
      </c>
      <c r="P767" s="29">
        <f t="shared" si="12"/>
        <v>4.7243086700439534</v>
      </c>
    </row>
    <row r="768" spans="1:16" s="13" customFormat="1" x14ac:dyDescent="0.35">
      <c r="A768" s="13" t="s">
        <v>20</v>
      </c>
      <c r="C768" s="13" t="s">
        <v>548</v>
      </c>
      <c r="D768" s="13" t="s">
        <v>468</v>
      </c>
      <c r="E768" s="13">
        <v>71.599999999999994</v>
      </c>
      <c r="F768" s="13">
        <v>128.9</v>
      </c>
      <c r="G768" s="13">
        <v>9</v>
      </c>
      <c r="I768" s="30" t="s">
        <v>757</v>
      </c>
      <c r="J768" s="13" t="s">
        <v>469</v>
      </c>
      <c r="K768" s="31">
        <v>43991</v>
      </c>
      <c r="N768" s="14">
        <v>-16.608087789535517</v>
      </c>
      <c r="O768" s="29">
        <v>-129.77787088775634</v>
      </c>
      <c r="P768" s="29">
        <f t="shared" si="12"/>
        <v>3.0868314285278018</v>
      </c>
    </row>
    <row r="769" spans="1:16" s="13" customFormat="1" x14ac:dyDescent="0.35">
      <c r="A769" s="13" t="s">
        <v>20</v>
      </c>
      <c r="C769" s="13" t="s">
        <v>548</v>
      </c>
      <c r="D769" s="13" t="s">
        <v>468</v>
      </c>
      <c r="E769" s="13">
        <v>71.599999999999994</v>
      </c>
      <c r="F769" s="13">
        <v>128.9</v>
      </c>
      <c r="G769" s="13">
        <v>9</v>
      </c>
      <c r="I769" s="30" t="s">
        <v>758</v>
      </c>
      <c r="J769" s="13" t="s">
        <v>469</v>
      </c>
      <c r="K769" s="31">
        <v>43996</v>
      </c>
      <c r="N769" s="14">
        <v>-15.368708298206329</v>
      </c>
      <c r="O769" s="29">
        <v>-123.2190472946167</v>
      </c>
      <c r="P769" s="29">
        <f t="shared" si="12"/>
        <v>-0.26938090896607036</v>
      </c>
    </row>
    <row r="770" spans="1:16" s="13" customFormat="1" x14ac:dyDescent="0.35">
      <c r="A770" s="13" t="s">
        <v>20</v>
      </c>
      <c r="C770" s="13" t="s">
        <v>548</v>
      </c>
      <c r="D770" s="13" t="s">
        <v>468</v>
      </c>
      <c r="E770" s="13">
        <v>71.599999999999994</v>
      </c>
      <c r="F770" s="13">
        <v>128.9</v>
      </c>
      <c r="G770" s="13">
        <v>9</v>
      </c>
      <c r="I770" s="30" t="s">
        <v>759</v>
      </c>
      <c r="J770" s="13" t="s">
        <v>469</v>
      </c>
      <c r="K770" s="31">
        <v>43998</v>
      </c>
      <c r="N770" s="14">
        <v>-13.741195462226866</v>
      </c>
      <c r="O770" s="29">
        <v>-115.38499820327759</v>
      </c>
      <c r="P770" s="29">
        <f t="shared" si="12"/>
        <v>-5.4554345054626623</v>
      </c>
    </row>
    <row r="771" spans="1:16" s="13" customFormat="1" x14ac:dyDescent="0.35">
      <c r="A771" s="13" t="s">
        <v>20</v>
      </c>
      <c r="C771" s="13" t="s">
        <v>548</v>
      </c>
      <c r="D771" s="13" t="s">
        <v>468</v>
      </c>
      <c r="E771" s="13">
        <v>71.599999999999994</v>
      </c>
      <c r="F771" s="13">
        <v>128.9</v>
      </c>
      <c r="G771" s="13">
        <v>9</v>
      </c>
      <c r="I771" s="30" t="s">
        <v>760</v>
      </c>
      <c r="J771" s="13" t="s">
        <v>469</v>
      </c>
      <c r="K771" s="31">
        <v>43999</v>
      </c>
      <c r="N771" s="14">
        <v>-14.531052605628965</v>
      </c>
      <c r="O771" s="29">
        <v>-108.34562001800538</v>
      </c>
      <c r="P771" s="29">
        <f t="shared" si="12"/>
        <v>7.9028008270263399</v>
      </c>
    </row>
    <row r="772" spans="1:16" s="13" customFormat="1" x14ac:dyDescent="0.35">
      <c r="A772" s="13" t="s">
        <v>20</v>
      </c>
      <c r="C772" s="13" t="s">
        <v>548</v>
      </c>
      <c r="D772" s="13" t="s">
        <v>468</v>
      </c>
      <c r="E772" s="13">
        <v>71.599999999999994</v>
      </c>
      <c r="F772" s="13">
        <v>128.9</v>
      </c>
      <c r="G772" s="13">
        <v>9</v>
      </c>
      <c r="I772" s="30" t="s">
        <v>761</v>
      </c>
      <c r="J772" s="13" t="s">
        <v>469</v>
      </c>
      <c r="K772" s="31">
        <v>44009</v>
      </c>
      <c r="N772" s="14">
        <v>-11.571476786613463</v>
      </c>
      <c r="O772" s="29">
        <v>-103.60413115692138</v>
      </c>
      <c r="P772" s="29">
        <f t="shared" si="12"/>
        <v>-11.03231686401368</v>
      </c>
    </row>
    <row r="773" spans="1:16" s="13" customFormat="1" x14ac:dyDescent="0.35">
      <c r="A773" s="13" t="s">
        <v>20</v>
      </c>
      <c r="C773" s="13" t="s">
        <v>548</v>
      </c>
      <c r="D773" s="13" t="s">
        <v>468</v>
      </c>
      <c r="E773" s="13">
        <v>71.599999999999994</v>
      </c>
      <c r="F773" s="13">
        <v>128.9</v>
      </c>
      <c r="G773" s="13">
        <v>9</v>
      </c>
      <c r="I773" s="30" t="s">
        <v>762</v>
      </c>
      <c r="J773" s="13" t="s">
        <v>469</v>
      </c>
      <c r="K773" s="31">
        <v>44011</v>
      </c>
      <c r="N773" s="14">
        <v>-14.688668585777279</v>
      </c>
      <c r="O773" s="29">
        <v>-119.18600776672363</v>
      </c>
      <c r="P773" s="29">
        <f t="shared" si="12"/>
        <v>-1.6766590805054022</v>
      </c>
    </row>
    <row r="774" spans="1:16" s="13" customFormat="1" x14ac:dyDescent="0.35">
      <c r="A774" s="13" t="s">
        <v>20</v>
      </c>
      <c r="C774" s="13" t="s">
        <v>548</v>
      </c>
      <c r="D774" s="13" t="s">
        <v>468</v>
      </c>
      <c r="E774" s="13">
        <v>71.599999999999994</v>
      </c>
      <c r="F774" s="13">
        <v>128.9</v>
      </c>
      <c r="G774" s="13">
        <v>9</v>
      </c>
      <c r="I774" s="30" t="s">
        <v>763</v>
      </c>
      <c r="J774" s="13" t="s">
        <v>469</v>
      </c>
      <c r="K774" s="31">
        <v>44015</v>
      </c>
      <c r="N774" s="14">
        <v>-13.582348421096802</v>
      </c>
      <c r="O774" s="29">
        <v>-101.57478001403808</v>
      </c>
      <c r="P774" s="29">
        <f t="shared" si="12"/>
        <v>7.0840073547363289</v>
      </c>
    </row>
    <row r="775" spans="1:16" s="13" customFormat="1" x14ac:dyDescent="0.35">
      <c r="A775" s="13" t="s">
        <v>20</v>
      </c>
      <c r="C775" s="13" t="s">
        <v>548</v>
      </c>
      <c r="D775" s="13" t="s">
        <v>468</v>
      </c>
      <c r="E775" s="13">
        <v>71.599999999999994</v>
      </c>
      <c r="F775" s="13">
        <v>128.9</v>
      </c>
      <c r="G775" s="13">
        <v>9</v>
      </c>
      <c r="I775" s="30" t="s">
        <v>764</v>
      </c>
      <c r="J775" s="13" t="s">
        <v>469</v>
      </c>
      <c r="K775" s="31">
        <v>44016</v>
      </c>
      <c r="N775" s="14">
        <v>-15.921439374446868</v>
      </c>
      <c r="O775" s="29">
        <v>-124.87802823638916</v>
      </c>
      <c r="P775" s="29">
        <f t="shared" si="12"/>
        <v>2.4934867591857852</v>
      </c>
    </row>
    <row r="776" spans="1:16" s="13" customFormat="1" x14ac:dyDescent="0.35">
      <c r="A776" s="13" t="s">
        <v>20</v>
      </c>
      <c r="C776" s="13" t="s">
        <v>548</v>
      </c>
      <c r="D776" s="13" t="s">
        <v>468</v>
      </c>
      <c r="E776" s="13">
        <v>71.599999999999994</v>
      </c>
      <c r="F776" s="13">
        <v>128.9</v>
      </c>
      <c r="G776" s="13">
        <v>9</v>
      </c>
      <c r="I776" s="30" t="s">
        <v>765</v>
      </c>
      <c r="J776" s="13" t="s">
        <v>469</v>
      </c>
      <c r="K776" s="31">
        <v>44017</v>
      </c>
      <c r="N776" s="14">
        <v>-17.583644790649412</v>
      </c>
      <c r="O776" s="29">
        <v>-140.79586446380614</v>
      </c>
      <c r="P776" s="29">
        <f t="shared" si="12"/>
        <v>-0.12670613861084234</v>
      </c>
    </row>
    <row r="777" spans="1:16" s="13" customFormat="1" x14ac:dyDescent="0.35">
      <c r="A777" s="13" t="s">
        <v>20</v>
      </c>
      <c r="C777" s="13" t="s">
        <v>548</v>
      </c>
      <c r="D777" s="13" t="s">
        <v>468</v>
      </c>
      <c r="E777" s="13">
        <v>71.599999999999994</v>
      </c>
      <c r="F777" s="13">
        <v>128.9</v>
      </c>
      <c r="G777" s="13">
        <v>9</v>
      </c>
      <c r="I777" s="30" t="s">
        <v>766</v>
      </c>
      <c r="J777" s="13" t="s">
        <v>469</v>
      </c>
      <c r="K777" s="31">
        <v>44018</v>
      </c>
      <c r="N777" s="14">
        <v>-20.433251567840571</v>
      </c>
      <c r="O777" s="29">
        <v>-157.06961916351315</v>
      </c>
      <c r="P777" s="29">
        <f t="shared" si="12"/>
        <v>6.3963933792114176</v>
      </c>
    </row>
    <row r="778" spans="1:16" s="13" customFormat="1" x14ac:dyDescent="0.35">
      <c r="A778" s="13" t="s">
        <v>20</v>
      </c>
      <c r="C778" s="13" t="s">
        <v>548</v>
      </c>
      <c r="D778" s="13" t="s">
        <v>468</v>
      </c>
      <c r="E778" s="13">
        <v>71.599999999999994</v>
      </c>
      <c r="F778" s="13">
        <v>128.9</v>
      </c>
      <c r="G778" s="13">
        <v>9</v>
      </c>
      <c r="I778" s="30" t="s">
        <v>767</v>
      </c>
      <c r="J778" s="13" t="s">
        <v>469</v>
      </c>
      <c r="K778" s="31">
        <v>44019</v>
      </c>
      <c r="N778" s="14">
        <v>-19.735618761405945</v>
      </c>
      <c r="O778" s="29">
        <v>-151.89525631713866</v>
      </c>
      <c r="P778" s="29">
        <f t="shared" si="12"/>
        <v>5.9896937741089005</v>
      </c>
    </row>
    <row r="779" spans="1:16" s="13" customFormat="1" x14ac:dyDescent="0.35">
      <c r="A779" s="13" t="s">
        <v>20</v>
      </c>
      <c r="C779" s="13" t="s">
        <v>548</v>
      </c>
      <c r="D779" s="13" t="s">
        <v>468</v>
      </c>
      <c r="E779" s="13">
        <v>71.599999999999994</v>
      </c>
      <c r="F779" s="13">
        <v>128.9</v>
      </c>
      <c r="G779" s="13">
        <v>9</v>
      </c>
      <c r="I779" s="30" t="s">
        <v>768</v>
      </c>
      <c r="J779" s="13" t="s">
        <v>469</v>
      </c>
      <c r="K779" s="31">
        <v>44024</v>
      </c>
      <c r="N779" s="14">
        <v>-16.198903789062499</v>
      </c>
      <c r="O779" s="29">
        <v>-130.31068011474608</v>
      </c>
      <c r="P779" s="29">
        <f t="shared" si="12"/>
        <v>-0.71944980224608912</v>
      </c>
    </row>
    <row r="780" spans="1:16" s="13" customFormat="1" x14ac:dyDescent="0.35">
      <c r="A780" s="13" t="s">
        <v>20</v>
      </c>
      <c r="C780" s="13" t="s">
        <v>548</v>
      </c>
      <c r="D780" s="13" t="s">
        <v>468</v>
      </c>
      <c r="E780" s="13">
        <v>71.599999999999994</v>
      </c>
      <c r="F780" s="13">
        <v>128.9</v>
      </c>
      <c r="G780" s="13">
        <v>9</v>
      </c>
      <c r="I780" s="30" t="s">
        <v>769</v>
      </c>
      <c r="J780" s="13" t="s">
        <v>469</v>
      </c>
      <c r="K780" s="31">
        <v>44025</v>
      </c>
      <c r="N780" s="14">
        <v>-14.949414949760435</v>
      </c>
      <c r="O780" s="29">
        <v>-122.75284829711913</v>
      </c>
      <c r="P780" s="29">
        <f t="shared" si="12"/>
        <v>-3.1575286990356517</v>
      </c>
    </row>
    <row r="781" spans="1:16" s="13" customFormat="1" x14ac:dyDescent="0.35">
      <c r="A781" s="13" t="s">
        <v>20</v>
      </c>
      <c r="C781" s="13" t="s">
        <v>548</v>
      </c>
      <c r="D781" s="13" t="s">
        <v>468</v>
      </c>
      <c r="E781" s="13">
        <v>71.599999999999994</v>
      </c>
      <c r="F781" s="13">
        <v>128.9</v>
      </c>
      <c r="G781" s="13">
        <v>9</v>
      </c>
      <c r="I781" s="30" t="s">
        <v>770</v>
      </c>
      <c r="J781" s="13" t="s">
        <v>469</v>
      </c>
      <c r="K781" s="31">
        <v>44026</v>
      </c>
      <c r="N781" s="14">
        <v>-14.163633679504393</v>
      </c>
      <c r="O781" s="29">
        <v>-119.42378508682251</v>
      </c>
      <c r="P781" s="29">
        <f t="shared" si="12"/>
        <v>-6.1147156507873603</v>
      </c>
    </row>
    <row r="782" spans="1:16" s="13" customFormat="1" x14ac:dyDescent="0.35">
      <c r="A782" s="13" t="s">
        <v>20</v>
      </c>
      <c r="C782" s="13" t="s">
        <v>548</v>
      </c>
      <c r="D782" s="13" t="s">
        <v>468</v>
      </c>
      <c r="E782" s="13">
        <v>71.599999999999994</v>
      </c>
      <c r="F782" s="13">
        <v>128.9</v>
      </c>
      <c r="G782" s="13">
        <v>9</v>
      </c>
      <c r="I782" s="30" t="s">
        <v>771</v>
      </c>
      <c r="J782" s="13" t="s">
        <v>469</v>
      </c>
      <c r="K782" s="31">
        <v>44030</v>
      </c>
      <c r="N782" s="14">
        <v>-11.040364080772397</v>
      </c>
      <c r="O782" s="29">
        <v>-105.07420196533204</v>
      </c>
      <c r="P782" s="29">
        <f t="shared" si="12"/>
        <v>-16.75128931915286</v>
      </c>
    </row>
    <row r="783" spans="1:16" s="13" customFormat="1" x14ac:dyDescent="0.35">
      <c r="A783" s="13" t="s">
        <v>20</v>
      </c>
      <c r="C783" s="13" t="s">
        <v>548</v>
      </c>
      <c r="D783" s="13" t="s">
        <v>468</v>
      </c>
      <c r="E783" s="13">
        <v>71.599999999999994</v>
      </c>
      <c r="F783" s="13">
        <v>128.9</v>
      </c>
      <c r="G783" s="13">
        <v>9</v>
      </c>
      <c r="I783" s="30" t="s">
        <v>772</v>
      </c>
      <c r="J783" s="13" t="s">
        <v>469</v>
      </c>
      <c r="K783" s="31">
        <v>44031</v>
      </c>
      <c r="N783" s="14">
        <v>-13.338558082923887</v>
      </c>
      <c r="O783" s="29">
        <v>-110.78340167236328</v>
      </c>
      <c r="P783" s="29">
        <f t="shared" si="12"/>
        <v>-4.074937008972185</v>
      </c>
    </row>
    <row r="784" spans="1:16" s="13" customFormat="1" x14ac:dyDescent="0.35">
      <c r="A784" s="13" t="s">
        <v>20</v>
      </c>
      <c r="C784" s="13" t="s">
        <v>548</v>
      </c>
      <c r="D784" s="13" t="s">
        <v>468</v>
      </c>
      <c r="E784" s="13">
        <v>71.599999999999994</v>
      </c>
      <c r="F784" s="13">
        <v>128.9</v>
      </c>
      <c r="G784" s="13">
        <v>9</v>
      </c>
      <c r="I784" s="30" t="s">
        <v>773</v>
      </c>
      <c r="J784" s="13" t="s">
        <v>469</v>
      </c>
      <c r="K784" s="31">
        <v>44035</v>
      </c>
      <c r="N784" s="14">
        <v>-11.529732446537016</v>
      </c>
      <c r="O784" s="29">
        <v>-103.03526274108887</v>
      </c>
      <c r="P784" s="29">
        <f t="shared" si="12"/>
        <v>-10.797403168792741</v>
      </c>
    </row>
    <row r="785" spans="1:16" s="13" customFormat="1" x14ac:dyDescent="0.35">
      <c r="A785" s="13" t="s">
        <v>20</v>
      </c>
      <c r="C785" s="13" t="s">
        <v>548</v>
      </c>
      <c r="D785" s="13" t="s">
        <v>468</v>
      </c>
      <c r="E785" s="13">
        <v>71.599999999999994</v>
      </c>
      <c r="F785" s="13">
        <v>128.9</v>
      </c>
      <c r="G785" s="13">
        <v>9</v>
      </c>
      <c r="I785" s="30" t="s">
        <v>774</v>
      </c>
      <c r="J785" s="13" t="s">
        <v>469</v>
      </c>
      <c r="K785" s="31">
        <v>44037</v>
      </c>
      <c r="N785" s="14">
        <v>-15.546319217071531</v>
      </c>
      <c r="O785" s="29">
        <v>-123.87055560302734</v>
      </c>
      <c r="P785" s="29">
        <f t="shared" ref="P785:P813" si="13">O785-8*N785</f>
        <v>0.49999813354490641</v>
      </c>
    </row>
    <row r="786" spans="1:16" s="13" customFormat="1" x14ac:dyDescent="0.35">
      <c r="A786" s="13" t="s">
        <v>20</v>
      </c>
      <c r="C786" s="13" t="s">
        <v>548</v>
      </c>
      <c r="D786" s="13" t="s">
        <v>468</v>
      </c>
      <c r="E786" s="13">
        <v>71.599999999999994</v>
      </c>
      <c r="F786" s="13">
        <v>128.9</v>
      </c>
      <c r="G786" s="13">
        <v>9</v>
      </c>
      <c r="I786" s="30" t="s">
        <v>775</v>
      </c>
      <c r="J786" s="13" t="s">
        <v>469</v>
      </c>
      <c r="K786" s="31">
        <v>44038</v>
      </c>
      <c r="N786" s="14">
        <v>-16.429706321582792</v>
      </c>
      <c r="O786" s="29">
        <v>-125.44199951171873</v>
      </c>
      <c r="P786" s="29">
        <f t="shared" si="13"/>
        <v>5.9956510609436009</v>
      </c>
    </row>
    <row r="787" spans="1:16" s="13" customFormat="1" x14ac:dyDescent="0.35">
      <c r="A787" s="13" t="s">
        <v>20</v>
      </c>
      <c r="C787" s="13" t="s">
        <v>548</v>
      </c>
      <c r="D787" s="13" t="s">
        <v>468</v>
      </c>
      <c r="E787" s="13">
        <v>71.599999999999994</v>
      </c>
      <c r="F787" s="13">
        <v>128.9</v>
      </c>
      <c r="G787" s="13">
        <v>9</v>
      </c>
      <c r="I787" s="30" t="s">
        <v>776</v>
      </c>
      <c r="J787" s="13" t="s">
        <v>469</v>
      </c>
      <c r="K787" s="31">
        <v>44039</v>
      </c>
      <c r="N787" s="14">
        <v>-15.23349846349716</v>
      </c>
      <c r="O787" s="29">
        <v>-122.23174859619141</v>
      </c>
      <c r="P787" s="29">
        <f t="shared" si="13"/>
        <v>-0.36376088821413077</v>
      </c>
    </row>
    <row r="788" spans="1:16" s="13" customFormat="1" x14ac:dyDescent="0.35">
      <c r="A788" s="13" t="s">
        <v>20</v>
      </c>
      <c r="C788" s="13" t="s">
        <v>548</v>
      </c>
      <c r="D788" s="13" t="s">
        <v>468</v>
      </c>
      <c r="E788" s="13">
        <v>71.599999999999994</v>
      </c>
      <c r="F788" s="13">
        <v>128.9</v>
      </c>
      <c r="G788" s="13">
        <v>9</v>
      </c>
      <c r="I788" s="30" t="s">
        <v>777</v>
      </c>
      <c r="J788" s="13" t="s">
        <v>469</v>
      </c>
      <c r="K788" s="31">
        <v>44040</v>
      </c>
      <c r="N788" s="14">
        <v>-15.258372528419493</v>
      </c>
      <c r="O788" s="29">
        <v>-119.34556698608398</v>
      </c>
      <c r="P788" s="29">
        <f t="shared" si="13"/>
        <v>2.7214132412719607</v>
      </c>
    </row>
    <row r="789" spans="1:16" s="13" customFormat="1" x14ac:dyDescent="0.35">
      <c r="A789" s="13" t="s">
        <v>20</v>
      </c>
      <c r="C789" s="13" t="s">
        <v>548</v>
      </c>
      <c r="D789" s="13" t="s">
        <v>468</v>
      </c>
      <c r="E789" s="13">
        <v>71.599999999999994</v>
      </c>
      <c r="F789" s="13">
        <v>128.9</v>
      </c>
      <c r="G789" s="13">
        <v>9</v>
      </c>
      <c r="I789" s="30" t="s">
        <v>778</v>
      </c>
      <c r="J789" s="13" t="s">
        <v>469</v>
      </c>
      <c r="K789" s="31">
        <v>44049</v>
      </c>
      <c r="N789" s="14">
        <v>-15.133938425407408</v>
      </c>
      <c r="O789" s="29">
        <v>-119.3599690246582</v>
      </c>
      <c r="P789" s="29">
        <f t="shared" si="13"/>
        <v>1.7115383786010625</v>
      </c>
    </row>
    <row r="790" spans="1:16" s="13" customFormat="1" x14ac:dyDescent="0.35">
      <c r="A790" s="13" t="s">
        <v>20</v>
      </c>
      <c r="C790" s="13" t="s">
        <v>548</v>
      </c>
      <c r="D790" s="13" t="s">
        <v>468</v>
      </c>
      <c r="E790" s="13">
        <v>71.599999999999994</v>
      </c>
      <c r="F790" s="13">
        <v>128.9</v>
      </c>
      <c r="G790" s="13">
        <v>9</v>
      </c>
      <c r="I790" s="30" t="s">
        <v>779</v>
      </c>
      <c r="J790" s="13" t="s">
        <v>469</v>
      </c>
      <c r="K790" s="31">
        <v>44051</v>
      </c>
      <c r="N790" s="14">
        <v>-11.650252356395718</v>
      </c>
      <c r="O790" s="29">
        <v>-109.82183026123046</v>
      </c>
      <c r="P790" s="29">
        <f t="shared" si="13"/>
        <v>-16.619811410064713</v>
      </c>
    </row>
    <row r="791" spans="1:16" s="13" customFormat="1" x14ac:dyDescent="0.35">
      <c r="A791" s="13" t="s">
        <v>20</v>
      </c>
      <c r="C791" s="13" t="s">
        <v>548</v>
      </c>
      <c r="D791" s="13" t="s">
        <v>468</v>
      </c>
      <c r="E791" s="13">
        <v>71.599999999999994</v>
      </c>
      <c r="F791" s="13">
        <v>128.9</v>
      </c>
      <c r="G791" s="13">
        <v>9</v>
      </c>
      <c r="I791" s="30" t="s">
        <v>780</v>
      </c>
      <c r="J791" s="13" t="s">
        <v>469</v>
      </c>
      <c r="K791" s="31">
        <v>44052</v>
      </c>
      <c r="N791" s="14">
        <v>-13.938084402046204</v>
      </c>
      <c r="O791" s="29">
        <v>-115.65929926300049</v>
      </c>
      <c r="P791" s="29">
        <f t="shared" si="13"/>
        <v>-4.1546240466308575</v>
      </c>
    </row>
    <row r="792" spans="1:16" s="13" customFormat="1" x14ac:dyDescent="0.35">
      <c r="A792" s="13" t="s">
        <v>20</v>
      </c>
      <c r="C792" s="13" t="s">
        <v>548</v>
      </c>
      <c r="D792" s="13" t="s">
        <v>468</v>
      </c>
      <c r="E792" s="13">
        <v>71.599999999999994</v>
      </c>
      <c r="F792" s="13">
        <v>128.9</v>
      </c>
      <c r="G792" s="13">
        <v>9</v>
      </c>
      <c r="I792" s="30" t="s">
        <v>781</v>
      </c>
      <c r="J792" s="13" t="s">
        <v>469</v>
      </c>
      <c r="K792" s="31">
        <v>44055</v>
      </c>
      <c r="N792" s="14">
        <v>-18.603792084655758</v>
      </c>
      <c r="O792" s="29">
        <v>-142.74552304840086</v>
      </c>
      <c r="P792" s="29">
        <f t="shared" si="13"/>
        <v>6.084813628845211</v>
      </c>
    </row>
    <row r="793" spans="1:16" s="13" customFormat="1" x14ac:dyDescent="0.35">
      <c r="A793" s="13" t="s">
        <v>20</v>
      </c>
      <c r="C793" s="13" t="s">
        <v>548</v>
      </c>
      <c r="D793" s="13" t="s">
        <v>468</v>
      </c>
      <c r="E793" s="13">
        <v>71.599999999999994</v>
      </c>
      <c r="F793" s="13">
        <v>128.9</v>
      </c>
      <c r="G793" s="13">
        <v>9</v>
      </c>
      <c r="I793" s="30" t="s">
        <v>782</v>
      </c>
      <c r="J793" s="13" t="s">
        <v>469</v>
      </c>
      <c r="K793" s="31">
        <v>44056</v>
      </c>
      <c r="N793" s="14">
        <v>-16.05154705329895</v>
      </c>
      <c r="O793" s="29">
        <v>-117.45048265838622</v>
      </c>
      <c r="P793" s="29">
        <f t="shared" si="13"/>
        <v>10.961893768005382</v>
      </c>
    </row>
    <row r="794" spans="1:16" s="13" customFormat="1" x14ac:dyDescent="0.35">
      <c r="A794" s="13" t="s">
        <v>20</v>
      </c>
      <c r="C794" s="13" t="s">
        <v>548</v>
      </c>
      <c r="D794" s="13" t="s">
        <v>468</v>
      </c>
      <c r="E794" s="13">
        <v>71.599999999999994</v>
      </c>
      <c r="F794" s="13">
        <v>128.9</v>
      </c>
      <c r="G794" s="13">
        <v>9</v>
      </c>
      <c r="I794" s="30" t="s">
        <v>783</v>
      </c>
      <c r="J794" s="13" t="s">
        <v>469</v>
      </c>
      <c r="K794" s="31">
        <v>44057</v>
      </c>
      <c r="N794" s="14">
        <v>-14.050416153869628</v>
      </c>
      <c r="O794" s="29">
        <v>-114.27709336395264</v>
      </c>
      <c r="P794" s="29">
        <f t="shared" si="13"/>
        <v>-1.8737641329956176</v>
      </c>
    </row>
    <row r="795" spans="1:16" s="13" customFormat="1" x14ac:dyDescent="0.35">
      <c r="A795" s="13" t="s">
        <v>20</v>
      </c>
      <c r="C795" s="13" t="s">
        <v>548</v>
      </c>
      <c r="D795" s="13" t="s">
        <v>468</v>
      </c>
      <c r="E795" s="13">
        <v>71.599999999999994</v>
      </c>
      <c r="F795" s="13">
        <v>128.9</v>
      </c>
      <c r="G795" s="13">
        <v>9</v>
      </c>
      <c r="I795" s="32" t="s">
        <v>784</v>
      </c>
      <c r="J795" s="13" t="s">
        <v>469</v>
      </c>
      <c r="K795" s="31">
        <v>44058</v>
      </c>
      <c r="N795" s="14">
        <v>-14.546739201507568</v>
      </c>
      <c r="O795" s="29">
        <v>-118.70431321258545</v>
      </c>
      <c r="P795" s="29">
        <f t="shared" si="13"/>
        <v>-2.330399600524899</v>
      </c>
    </row>
    <row r="796" spans="1:16" s="13" customFormat="1" x14ac:dyDescent="0.35">
      <c r="A796" s="13" t="s">
        <v>20</v>
      </c>
      <c r="C796" s="13" t="s">
        <v>548</v>
      </c>
      <c r="D796" s="13" t="s">
        <v>468</v>
      </c>
      <c r="E796" s="13">
        <v>71.599999999999994</v>
      </c>
      <c r="F796" s="13">
        <v>128.9</v>
      </c>
      <c r="G796" s="13">
        <v>9</v>
      </c>
      <c r="I796" s="30" t="s">
        <v>785</v>
      </c>
      <c r="J796" s="13" t="s">
        <v>469</v>
      </c>
      <c r="K796" s="31">
        <v>44061</v>
      </c>
      <c r="N796" s="14">
        <v>-15.753651230773924</v>
      </c>
      <c r="O796" s="29">
        <v>-137.99518573303223</v>
      </c>
      <c r="P796" s="29">
        <f t="shared" si="13"/>
        <v>-11.965975886840837</v>
      </c>
    </row>
    <row r="797" spans="1:16" s="13" customFormat="1" x14ac:dyDescent="0.35">
      <c r="A797" s="13" t="s">
        <v>20</v>
      </c>
      <c r="C797" s="13" t="s">
        <v>548</v>
      </c>
      <c r="D797" s="13" t="s">
        <v>468</v>
      </c>
      <c r="E797" s="13">
        <v>71.599999999999994</v>
      </c>
      <c r="F797" s="13">
        <v>128.9</v>
      </c>
      <c r="G797" s="13">
        <v>9</v>
      </c>
      <c r="I797" s="30" t="s">
        <v>786</v>
      </c>
      <c r="J797" s="13" t="s">
        <v>469</v>
      </c>
      <c r="K797" s="31">
        <v>44062</v>
      </c>
      <c r="N797" s="14">
        <v>-13.14670834060669</v>
      </c>
      <c r="O797" s="29">
        <v>-121.80755943603516</v>
      </c>
      <c r="P797" s="29">
        <f t="shared" si="13"/>
        <v>-16.633892711181645</v>
      </c>
    </row>
    <row r="798" spans="1:16" s="13" customFormat="1" x14ac:dyDescent="0.35">
      <c r="A798" s="13" t="s">
        <v>20</v>
      </c>
      <c r="C798" s="13" t="s">
        <v>548</v>
      </c>
      <c r="D798" s="13" t="s">
        <v>468</v>
      </c>
      <c r="E798" s="13">
        <v>71.599999999999994</v>
      </c>
      <c r="F798" s="13">
        <v>128.9</v>
      </c>
      <c r="G798" s="13">
        <v>9</v>
      </c>
      <c r="I798" s="30" t="s">
        <v>787</v>
      </c>
      <c r="J798" s="13" t="s">
        <v>469</v>
      </c>
      <c r="K798" s="31">
        <v>44063</v>
      </c>
      <c r="N798" s="14">
        <v>-15.549544255218509</v>
      </c>
      <c r="O798" s="29">
        <v>-118.94375596923828</v>
      </c>
      <c r="P798" s="29">
        <f t="shared" si="13"/>
        <v>5.4525980725097867</v>
      </c>
    </row>
    <row r="799" spans="1:16" s="13" customFormat="1" x14ac:dyDescent="0.35">
      <c r="A799" s="13" t="s">
        <v>20</v>
      </c>
      <c r="C799" s="13" t="s">
        <v>548</v>
      </c>
      <c r="D799" s="13" t="s">
        <v>468</v>
      </c>
      <c r="E799" s="13">
        <v>71.599999999999994</v>
      </c>
      <c r="F799" s="13">
        <v>128.9</v>
      </c>
      <c r="G799" s="13">
        <v>9</v>
      </c>
      <c r="I799" s="30" t="s">
        <v>788</v>
      </c>
      <c r="J799" s="13" t="s">
        <v>469</v>
      </c>
      <c r="K799" s="31">
        <v>44064</v>
      </c>
      <c r="N799" s="14">
        <v>-13.987917015991211</v>
      </c>
      <c r="O799" s="29">
        <v>-115.16382728118897</v>
      </c>
      <c r="P799" s="29">
        <f t="shared" si="13"/>
        <v>-3.2604911532592808</v>
      </c>
    </row>
    <row r="800" spans="1:16" s="13" customFormat="1" x14ac:dyDescent="0.35">
      <c r="A800" s="13" t="s">
        <v>20</v>
      </c>
      <c r="C800" s="13" t="s">
        <v>548</v>
      </c>
      <c r="D800" s="13" t="s">
        <v>468</v>
      </c>
      <c r="E800" s="13">
        <v>71.599999999999994</v>
      </c>
      <c r="F800" s="13">
        <v>128.9</v>
      </c>
      <c r="G800" s="13">
        <v>9</v>
      </c>
      <c r="I800" s="30" t="s">
        <v>789</v>
      </c>
      <c r="J800" s="13" t="s">
        <v>469</v>
      </c>
      <c r="K800" s="31">
        <v>44065</v>
      </c>
      <c r="N800" s="14">
        <v>-14.69219327255249</v>
      </c>
      <c r="O800" s="29">
        <v>-118.26009878845215</v>
      </c>
      <c r="P800" s="29">
        <f t="shared" si="13"/>
        <v>-0.72255260803223109</v>
      </c>
    </row>
    <row r="801" spans="1:16" s="13" customFormat="1" x14ac:dyDescent="0.35">
      <c r="A801" s="13" t="s">
        <v>20</v>
      </c>
      <c r="C801" s="13" t="s">
        <v>548</v>
      </c>
      <c r="D801" s="13" t="s">
        <v>468</v>
      </c>
      <c r="E801" s="13">
        <v>71.599999999999994</v>
      </c>
      <c r="F801" s="13">
        <v>128.9</v>
      </c>
      <c r="G801" s="13">
        <v>9</v>
      </c>
      <c r="I801" s="30" t="s">
        <v>790</v>
      </c>
      <c r="J801" s="13" t="s">
        <v>469</v>
      </c>
      <c r="K801" s="31">
        <v>44066</v>
      </c>
      <c r="N801" s="14">
        <v>-15.080024197540283</v>
      </c>
      <c r="O801" s="29">
        <v>-118.34352539367676</v>
      </c>
      <c r="P801" s="29">
        <f t="shared" si="13"/>
        <v>2.2966681866455048</v>
      </c>
    </row>
    <row r="802" spans="1:16" s="13" customFormat="1" x14ac:dyDescent="0.35">
      <c r="A802" s="13" t="s">
        <v>20</v>
      </c>
      <c r="C802" s="13" t="s">
        <v>548</v>
      </c>
      <c r="D802" s="13" t="s">
        <v>468</v>
      </c>
      <c r="E802" s="13">
        <v>71.599999999999994</v>
      </c>
      <c r="F802" s="13">
        <v>128.9</v>
      </c>
      <c r="G802" s="13">
        <v>9</v>
      </c>
      <c r="I802" s="30" t="s">
        <v>791</v>
      </c>
      <c r="J802" s="13" t="s">
        <v>469</v>
      </c>
      <c r="K802" s="31">
        <v>44078</v>
      </c>
      <c r="N802" s="14">
        <v>-14.713636239013672</v>
      </c>
      <c r="O802" s="29">
        <v>-124.88418924255372</v>
      </c>
      <c r="P802" s="29">
        <f t="shared" si="13"/>
        <v>-7.1750993304443398</v>
      </c>
    </row>
    <row r="803" spans="1:16" s="13" customFormat="1" x14ac:dyDescent="0.35">
      <c r="A803" s="13" t="s">
        <v>20</v>
      </c>
      <c r="C803" s="13" t="s">
        <v>548</v>
      </c>
      <c r="D803" s="13" t="s">
        <v>468</v>
      </c>
      <c r="E803" s="13">
        <v>71.599999999999994</v>
      </c>
      <c r="F803" s="13">
        <v>128.9</v>
      </c>
      <c r="G803" s="13">
        <v>9</v>
      </c>
      <c r="I803" s="30" t="s">
        <v>792</v>
      </c>
      <c r="J803" s="13" t="s">
        <v>469</v>
      </c>
      <c r="K803" s="31">
        <v>44079</v>
      </c>
      <c r="N803" s="14">
        <v>-14.971028435668945</v>
      </c>
      <c r="O803" s="29">
        <v>-127.38970228881837</v>
      </c>
      <c r="P803" s="29">
        <f t="shared" si="13"/>
        <v>-7.6214748034668105</v>
      </c>
    </row>
    <row r="804" spans="1:16" s="13" customFormat="1" x14ac:dyDescent="0.35">
      <c r="A804" s="13" t="s">
        <v>20</v>
      </c>
      <c r="C804" s="13" t="s">
        <v>548</v>
      </c>
      <c r="D804" s="13" t="s">
        <v>468</v>
      </c>
      <c r="E804" s="13">
        <v>71.599999999999994</v>
      </c>
      <c r="F804" s="13">
        <v>128.9</v>
      </c>
      <c r="G804" s="13">
        <v>9</v>
      </c>
      <c r="I804" s="30" t="s">
        <v>793</v>
      </c>
      <c r="J804" s="13" t="s">
        <v>469</v>
      </c>
      <c r="K804" s="31">
        <v>44080</v>
      </c>
      <c r="N804" s="14">
        <v>-16.832495041809082</v>
      </c>
      <c r="O804" s="29">
        <v>-130.78922266845703</v>
      </c>
      <c r="P804" s="29">
        <f t="shared" si="13"/>
        <v>3.8707376660156285</v>
      </c>
    </row>
    <row r="805" spans="1:16" s="13" customFormat="1" x14ac:dyDescent="0.35">
      <c r="A805" s="13" t="s">
        <v>20</v>
      </c>
      <c r="C805" s="13" t="s">
        <v>548</v>
      </c>
      <c r="D805" s="13" t="s">
        <v>468</v>
      </c>
      <c r="E805" s="13">
        <v>71.599999999999994</v>
      </c>
      <c r="F805" s="13">
        <v>128.9</v>
      </c>
      <c r="G805" s="13">
        <v>9</v>
      </c>
      <c r="I805" s="30" t="s">
        <v>794</v>
      </c>
      <c r="J805" s="13" t="s">
        <v>469</v>
      </c>
      <c r="K805" s="31">
        <v>44081</v>
      </c>
      <c r="N805" s="14">
        <v>-14.963521597824098</v>
      </c>
      <c r="O805" s="29">
        <v>-123.68341981201171</v>
      </c>
      <c r="P805" s="29">
        <f t="shared" si="13"/>
        <v>-3.9752470294189237</v>
      </c>
    </row>
    <row r="806" spans="1:16" s="13" customFormat="1" x14ac:dyDescent="0.35">
      <c r="A806" s="13" t="s">
        <v>20</v>
      </c>
      <c r="C806" s="13" t="s">
        <v>548</v>
      </c>
      <c r="D806" s="13" t="s">
        <v>468</v>
      </c>
      <c r="E806" s="13">
        <v>71.599999999999994</v>
      </c>
      <c r="F806" s="13">
        <v>128.9</v>
      </c>
      <c r="G806" s="13">
        <v>9</v>
      </c>
      <c r="I806" s="30" t="s">
        <v>795</v>
      </c>
      <c r="J806" s="13" t="s">
        <v>469</v>
      </c>
      <c r="K806" s="31">
        <v>44100</v>
      </c>
      <c r="N806" s="14">
        <v>-16.135589333496092</v>
      </c>
      <c r="O806" s="29">
        <v>-126.38942963867187</v>
      </c>
      <c r="P806" s="29">
        <f t="shared" si="13"/>
        <v>2.6952850292968691</v>
      </c>
    </row>
    <row r="807" spans="1:16" s="13" customFormat="1" x14ac:dyDescent="0.35">
      <c r="A807" s="13" t="s">
        <v>20</v>
      </c>
      <c r="C807" s="13" t="s">
        <v>548</v>
      </c>
      <c r="D807" s="13" t="s">
        <v>468</v>
      </c>
      <c r="E807" s="13">
        <v>71.599999999999994</v>
      </c>
      <c r="F807" s="13">
        <v>128.9</v>
      </c>
      <c r="G807" s="13">
        <v>9</v>
      </c>
      <c r="I807" s="30" t="s">
        <v>796</v>
      </c>
      <c r="J807" s="13" t="s">
        <v>469</v>
      </c>
      <c r="K807" s="31">
        <v>44101</v>
      </c>
      <c r="N807" s="14">
        <v>-16.207456719360351</v>
      </c>
      <c r="O807" s="29">
        <v>-126.89535450439452</v>
      </c>
      <c r="P807" s="29">
        <f t="shared" si="13"/>
        <v>2.7642992504882926</v>
      </c>
    </row>
    <row r="808" spans="1:16" s="13" customFormat="1" x14ac:dyDescent="0.35">
      <c r="A808" s="13" t="s">
        <v>20</v>
      </c>
      <c r="C808" s="13" t="s">
        <v>548</v>
      </c>
      <c r="D808" s="13" t="s">
        <v>468</v>
      </c>
      <c r="E808" s="13">
        <v>71.599999999999994</v>
      </c>
      <c r="F808" s="13">
        <v>128.9</v>
      </c>
      <c r="G808" s="13">
        <v>9</v>
      </c>
      <c r="I808" s="30" t="s">
        <v>797</v>
      </c>
      <c r="J808" s="13" t="s">
        <v>469</v>
      </c>
      <c r="K808" s="31">
        <v>44103</v>
      </c>
      <c r="N808" s="14">
        <v>-17.423623593292238</v>
      </c>
      <c r="O808" s="29">
        <v>-135.6923776977539</v>
      </c>
      <c r="P808" s="29">
        <f t="shared" si="13"/>
        <v>3.6966110485840034</v>
      </c>
    </row>
    <row r="809" spans="1:16" s="13" customFormat="1" x14ac:dyDescent="0.35">
      <c r="A809" s="13" t="s">
        <v>20</v>
      </c>
      <c r="C809" s="13" t="s">
        <v>548</v>
      </c>
      <c r="D809" s="13" t="s">
        <v>468</v>
      </c>
      <c r="E809" s="13">
        <v>71.599999999999994</v>
      </c>
      <c r="F809" s="13">
        <v>128.9</v>
      </c>
      <c r="G809" s="13">
        <v>9</v>
      </c>
      <c r="I809" s="30" t="s">
        <v>798</v>
      </c>
      <c r="J809" s="13" t="s">
        <v>469</v>
      </c>
      <c r="K809" s="31">
        <v>44104</v>
      </c>
      <c r="N809" s="14">
        <v>-17.526050480804443</v>
      </c>
      <c r="O809" s="29">
        <v>-137.0433700073242</v>
      </c>
      <c r="P809" s="29">
        <f t="shared" si="13"/>
        <v>3.1650338391113451</v>
      </c>
    </row>
    <row r="810" spans="1:16" s="13" customFormat="1" x14ac:dyDescent="0.35">
      <c r="A810" s="13" t="s">
        <v>20</v>
      </c>
      <c r="C810" s="13" t="s">
        <v>548</v>
      </c>
      <c r="D810" s="13" t="s">
        <v>468</v>
      </c>
      <c r="E810" s="13">
        <v>71.599999999999994</v>
      </c>
      <c r="F810" s="13">
        <v>128.9</v>
      </c>
      <c r="G810" s="13">
        <v>9</v>
      </c>
      <c r="I810" s="30" t="s">
        <v>799</v>
      </c>
      <c r="J810" s="13" t="s">
        <v>469</v>
      </c>
      <c r="K810" s="31">
        <v>44106</v>
      </c>
      <c r="N810" s="14">
        <v>-17.427121022186281</v>
      </c>
      <c r="O810" s="29">
        <v>-136.91876948242188</v>
      </c>
      <c r="P810" s="29">
        <f t="shared" si="13"/>
        <v>2.4981986950683677</v>
      </c>
    </row>
    <row r="811" spans="1:16" s="13" customFormat="1" x14ac:dyDescent="0.35">
      <c r="A811" s="13" t="s">
        <v>20</v>
      </c>
      <c r="C811" s="13" t="s">
        <v>548</v>
      </c>
      <c r="D811" s="13" t="s">
        <v>468</v>
      </c>
      <c r="E811" s="13">
        <v>71.599999999999994</v>
      </c>
      <c r="F811" s="13">
        <v>128.9</v>
      </c>
      <c r="G811" s="13">
        <v>9</v>
      </c>
      <c r="I811" s="30" t="s">
        <v>800</v>
      </c>
      <c r="J811" s="13" t="s">
        <v>469</v>
      </c>
      <c r="K811" s="31">
        <v>44109</v>
      </c>
      <c r="N811" s="14">
        <v>-16.508713395080566</v>
      </c>
      <c r="O811" s="29">
        <v>-130.14737543945313</v>
      </c>
      <c r="P811" s="29">
        <f t="shared" si="13"/>
        <v>1.9223317211913979</v>
      </c>
    </row>
    <row r="812" spans="1:16" s="13" customFormat="1" x14ac:dyDescent="0.35">
      <c r="A812" s="13" t="s">
        <v>20</v>
      </c>
      <c r="C812" s="13" t="s">
        <v>548</v>
      </c>
      <c r="D812" s="13" t="s">
        <v>468</v>
      </c>
      <c r="E812" s="13">
        <v>71.599999999999994</v>
      </c>
      <c r="F812" s="13">
        <v>128.9</v>
      </c>
      <c r="G812" s="13">
        <v>9</v>
      </c>
      <c r="I812" s="30" t="s">
        <v>801</v>
      </c>
      <c r="J812" s="13" t="s">
        <v>469</v>
      </c>
      <c r="K812" s="31">
        <v>44114</v>
      </c>
      <c r="N812" s="14">
        <v>-15.391025900802612</v>
      </c>
      <c r="O812" s="29">
        <v>-119.59695225219726</v>
      </c>
      <c r="P812" s="29">
        <f t="shared" si="13"/>
        <v>3.5312549542236411</v>
      </c>
    </row>
    <row r="813" spans="1:16" s="13" customFormat="1" x14ac:dyDescent="0.35">
      <c r="A813" s="13" t="s">
        <v>20</v>
      </c>
      <c r="C813" s="13" t="s">
        <v>548</v>
      </c>
      <c r="D813" s="13" t="s">
        <v>468</v>
      </c>
      <c r="E813" s="13">
        <v>71.599999999999994</v>
      </c>
      <c r="F813" s="13">
        <v>128.9</v>
      </c>
      <c r="G813" s="13">
        <v>9</v>
      </c>
      <c r="I813" s="30" t="s">
        <v>802</v>
      </c>
      <c r="J813" s="13" t="s">
        <v>469</v>
      </c>
      <c r="K813" s="31">
        <v>44120</v>
      </c>
      <c r="N813" s="14">
        <v>-16.753619972724913</v>
      </c>
      <c r="O813" s="29">
        <v>-135.04731401977537</v>
      </c>
      <c r="P813" s="29">
        <f t="shared" si="13"/>
        <v>-1.0183542379760695</v>
      </c>
    </row>
    <row r="814" spans="1:16" s="5" customFormat="1" x14ac:dyDescent="0.35">
      <c r="A814" s="5" t="s">
        <v>20</v>
      </c>
      <c r="C814" s="5" t="s">
        <v>548</v>
      </c>
      <c r="D814" s="5" t="s">
        <v>468</v>
      </c>
      <c r="E814" s="5">
        <v>72.22</v>
      </c>
      <c r="F814" s="5">
        <v>126.29</v>
      </c>
      <c r="G814" s="5">
        <v>9</v>
      </c>
      <c r="I814" s="5" t="s">
        <v>549</v>
      </c>
      <c r="K814" s="34">
        <v>43710</v>
      </c>
      <c r="N814" s="7">
        <v>-16.280974841308591</v>
      </c>
      <c r="O814" s="35">
        <v>-128.03928981781007</v>
      </c>
      <c r="P814" s="35">
        <f>O814-(8*N814)</f>
        <v>2.2085089126586581</v>
      </c>
    </row>
    <row r="815" spans="1:16" s="5" customFormat="1" x14ac:dyDescent="0.35">
      <c r="A815" s="5" t="s">
        <v>20</v>
      </c>
      <c r="C815" s="5" t="s">
        <v>548</v>
      </c>
      <c r="D815" s="5" t="s">
        <v>468</v>
      </c>
      <c r="E815" s="5">
        <v>72.22</v>
      </c>
      <c r="F815" s="5">
        <v>126.29</v>
      </c>
      <c r="G815" s="5">
        <v>9</v>
      </c>
      <c r="I815" s="36" t="s">
        <v>550</v>
      </c>
      <c r="K815" s="34">
        <v>43713</v>
      </c>
      <c r="N815" s="7">
        <v>-18.032608962249753</v>
      </c>
      <c r="O815" s="35">
        <v>-131.75204664611817</v>
      </c>
      <c r="P815" s="35">
        <f t="shared" ref="P815:P878" si="14">O815-(8*N815)</f>
        <v>12.508825051879853</v>
      </c>
    </row>
    <row r="816" spans="1:16" s="5" customFormat="1" x14ac:dyDescent="0.35">
      <c r="A816" s="5" t="s">
        <v>20</v>
      </c>
      <c r="C816" s="5" t="s">
        <v>548</v>
      </c>
      <c r="D816" s="5" t="s">
        <v>468</v>
      </c>
      <c r="E816" s="5">
        <v>72.22</v>
      </c>
      <c r="F816" s="5">
        <v>126.29</v>
      </c>
      <c r="G816" s="5">
        <v>9</v>
      </c>
      <c r="I816" s="36" t="s">
        <v>551</v>
      </c>
      <c r="K816" s="34">
        <v>43714</v>
      </c>
      <c r="N816" s="7">
        <v>-14.912989064884185</v>
      </c>
      <c r="O816" s="35">
        <v>-108.90428414916991</v>
      </c>
      <c r="P816" s="35">
        <f t="shared" si="14"/>
        <v>10.399628369903567</v>
      </c>
    </row>
    <row r="817" spans="1:16" s="5" customFormat="1" x14ac:dyDescent="0.35">
      <c r="A817" s="5" t="s">
        <v>20</v>
      </c>
      <c r="C817" s="5" t="s">
        <v>548</v>
      </c>
      <c r="D817" s="5" t="s">
        <v>468</v>
      </c>
      <c r="E817" s="5">
        <v>72.22</v>
      </c>
      <c r="F817" s="5">
        <v>126.29</v>
      </c>
      <c r="G817" s="5">
        <v>9</v>
      </c>
      <c r="I817" s="5" t="s">
        <v>552</v>
      </c>
      <c r="K817" s="34">
        <v>43716</v>
      </c>
      <c r="N817" s="7">
        <v>-14.727620551300049</v>
      </c>
      <c r="O817" s="35">
        <v>-109.39892620468139</v>
      </c>
      <c r="P817" s="35">
        <f t="shared" si="14"/>
        <v>8.4220382057190051</v>
      </c>
    </row>
    <row r="818" spans="1:16" s="5" customFormat="1" x14ac:dyDescent="0.35">
      <c r="A818" s="5" t="s">
        <v>20</v>
      </c>
      <c r="C818" s="5" t="s">
        <v>548</v>
      </c>
      <c r="D818" s="5" t="s">
        <v>468</v>
      </c>
      <c r="E818" s="5">
        <v>72.22</v>
      </c>
      <c r="F818" s="5">
        <v>126.29</v>
      </c>
      <c r="G818" s="5">
        <v>9</v>
      </c>
      <c r="I818" s="36" t="s">
        <v>553</v>
      </c>
      <c r="K818" s="34">
        <v>43720</v>
      </c>
      <c r="N818" s="7">
        <v>-15.855914308547971</v>
      </c>
      <c r="O818" s="35">
        <v>-118.42308298492432</v>
      </c>
      <c r="P818" s="35">
        <f t="shared" si="14"/>
        <v>8.4242314834594509</v>
      </c>
    </row>
    <row r="819" spans="1:16" s="5" customFormat="1" x14ac:dyDescent="0.35">
      <c r="A819" s="5" t="s">
        <v>20</v>
      </c>
      <c r="C819" s="5" t="s">
        <v>548</v>
      </c>
      <c r="D819" s="5" t="s">
        <v>468</v>
      </c>
      <c r="E819" s="5">
        <v>72.22</v>
      </c>
      <c r="F819" s="5">
        <v>126.29</v>
      </c>
      <c r="G819" s="5">
        <v>9</v>
      </c>
      <c r="I819" s="36" t="s">
        <v>554</v>
      </c>
      <c r="K819" s="34">
        <v>43723</v>
      </c>
      <c r="N819" s="7">
        <v>-16.268534873199464</v>
      </c>
      <c r="O819" s="35">
        <v>-120.23176345825195</v>
      </c>
      <c r="P819" s="35">
        <f t="shared" si="14"/>
        <v>9.916515527343762</v>
      </c>
    </row>
    <row r="820" spans="1:16" s="5" customFormat="1" x14ac:dyDescent="0.35">
      <c r="A820" s="5" t="s">
        <v>20</v>
      </c>
      <c r="C820" s="5" t="s">
        <v>548</v>
      </c>
      <c r="D820" s="5" t="s">
        <v>468</v>
      </c>
      <c r="E820" s="5">
        <v>72.22</v>
      </c>
      <c r="F820" s="5">
        <v>126.29</v>
      </c>
      <c r="G820" s="5">
        <v>9</v>
      </c>
      <c r="I820" s="36" t="s">
        <v>555</v>
      </c>
      <c r="K820" s="34">
        <v>43730</v>
      </c>
      <c r="N820" s="7">
        <v>-22.153840964508056</v>
      </c>
      <c r="O820" s="35">
        <v>-163.16973052978514</v>
      </c>
      <c r="P820" s="35">
        <f t="shared" si="14"/>
        <v>14.060997186279309</v>
      </c>
    </row>
    <row r="821" spans="1:16" s="5" customFormat="1" x14ac:dyDescent="0.35">
      <c r="A821" s="5" t="s">
        <v>20</v>
      </c>
      <c r="C821" s="5" t="s">
        <v>548</v>
      </c>
      <c r="D821" s="5" t="s">
        <v>468</v>
      </c>
      <c r="E821" s="5">
        <v>72.22</v>
      </c>
      <c r="F821" s="5">
        <v>126.29</v>
      </c>
      <c r="G821" s="5">
        <v>9</v>
      </c>
      <c r="I821" s="36" t="s">
        <v>556</v>
      </c>
      <c r="K821" s="34">
        <v>43732</v>
      </c>
      <c r="N821" s="7">
        <v>-22.429316296768189</v>
      </c>
      <c r="O821" s="35">
        <v>-166.1896725463867</v>
      </c>
      <c r="P821" s="35">
        <f t="shared" si="14"/>
        <v>13.244857827758807</v>
      </c>
    </row>
    <row r="822" spans="1:16" s="5" customFormat="1" x14ac:dyDescent="0.35">
      <c r="A822" s="5" t="s">
        <v>20</v>
      </c>
      <c r="C822" s="5" t="s">
        <v>548</v>
      </c>
      <c r="D822" s="5" t="s">
        <v>468</v>
      </c>
      <c r="E822" s="5">
        <v>72.22</v>
      </c>
      <c r="F822" s="5">
        <v>126.29</v>
      </c>
      <c r="G822" s="5">
        <v>9</v>
      </c>
      <c r="I822" s="36" t="s">
        <v>557</v>
      </c>
      <c r="K822" s="34">
        <v>43733</v>
      </c>
      <c r="N822" s="7">
        <v>-18.015874888610842</v>
      </c>
      <c r="O822" s="35">
        <v>-133.12469985961914</v>
      </c>
      <c r="P822" s="35">
        <f t="shared" si="14"/>
        <v>11.002299249267594</v>
      </c>
    </row>
    <row r="823" spans="1:16" s="5" customFormat="1" x14ac:dyDescent="0.35">
      <c r="A823" s="5" t="s">
        <v>20</v>
      </c>
      <c r="C823" s="5" t="s">
        <v>548</v>
      </c>
      <c r="D823" s="5" t="s">
        <v>468</v>
      </c>
      <c r="E823" s="5">
        <v>72.22</v>
      </c>
      <c r="F823" s="5">
        <v>126.29</v>
      </c>
      <c r="G823" s="5">
        <v>9</v>
      </c>
      <c r="I823" s="36" t="s">
        <v>558</v>
      </c>
      <c r="K823" s="34">
        <v>43735</v>
      </c>
      <c r="N823" s="7">
        <v>-20.308415049743655</v>
      </c>
      <c r="O823" s="35">
        <v>-146.78805923461914</v>
      </c>
      <c r="P823" s="35">
        <f t="shared" si="14"/>
        <v>15.679261163330096</v>
      </c>
    </row>
    <row r="824" spans="1:16" s="5" customFormat="1" x14ac:dyDescent="0.35">
      <c r="A824" s="5" t="s">
        <v>20</v>
      </c>
      <c r="C824" s="5" t="s">
        <v>548</v>
      </c>
      <c r="D824" s="5" t="s">
        <v>468</v>
      </c>
      <c r="E824" s="5">
        <v>72.22</v>
      </c>
      <c r="F824" s="5">
        <v>126.29</v>
      </c>
      <c r="G824" s="5">
        <v>9</v>
      </c>
      <c r="I824" s="36" t="s">
        <v>559</v>
      </c>
      <c r="K824" s="34">
        <v>43738</v>
      </c>
      <c r="N824" s="7">
        <v>-22.833543158721927</v>
      </c>
      <c r="O824" s="35">
        <v>-167.89663040161133</v>
      </c>
      <c r="P824" s="35">
        <f t="shared" si="14"/>
        <v>14.771714868164082</v>
      </c>
    </row>
    <row r="825" spans="1:16" s="5" customFormat="1" x14ac:dyDescent="0.35">
      <c r="A825" s="5" t="s">
        <v>20</v>
      </c>
      <c r="C825" s="5" t="s">
        <v>548</v>
      </c>
      <c r="D825" s="5" t="s">
        <v>468</v>
      </c>
      <c r="E825" s="5">
        <v>72.22</v>
      </c>
      <c r="F825" s="5">
        <v>126.29</v>
      </c>
      <c r="G825" s="5">
        <v>9</v>
      </c>
      <c r="I825" s="36" t="s">
        <v>560</v>
      </c>
      <c r="K825" s="34">
        <v>43739</v>
      </c>
      <c r="N825" s="7">
        <v>-22.891630244445803</v>
      </c>
      <c r="O825" s="35">
        <v>-170.36702514648437</v>
      </c>
      <c r="P825" s="35">
        <f t="shared" si="14"/>
        <v>12.76601680908206</v>
      </c>
    </row>
    <row r="826" spans="1:16" s="5" customFormat="1" x14ac:dyDescent="0.35">
      <c r="A826" s="5" t="s">
        <v>20</v>
      </c>
      <c r="C826" s="5" t="s">
        <v>548</v>
      </c>
      <c r="D826" s="5" t="s">
        <v>468</v>
      </c>
      <c r="E826" s="5">
        <v>72.22</v>
      </c>
      <c r="F826" s="5">
        <v>126.29</v>
      </c>
      <c r="G826" s="5">
        <v>9</v>
      </c>
      <c r="I826" s="36" t="s">
        <v>561</v>
      </c>
      <c r="K826" s="34">
        <v>43743</v>
      </c>
      <c r="N826" s="7">
        <v>-16.905640631866458</v>
      </c>
      <c r="O826" s="35">
        <v>-129.47474479675293</v>
      </c>
      <c r="P826" s="35">
        <f t="shared" si="14"/>
        <v>5.7703802581787329</v>
      </c>
    </row>
    <row r="827" spans="1:16" s="5" customFormat="1" x14ac:dyDescent="0.35">
      <c r="A827" s="5" t="s">
        <v>20</v>
      </c>
      <c r="C827" s="5" t="s">
        <v>548</v>
      </c>
      <c r="D827" s="5" t="s">
        <v>468</v>
      </c>
      <c r="E827" s="5">
        <v>72.22</v>
      </c>
      <c r="F827" s="5">
        <v>126.29</v>
      </c>
      <c r="G827" s="5">
        <v>9</v>
      </c>
      <c r="I827" s="36" t="s">
        <v>562</v>
      </c>
      <c r="K827" s="34">
        <v>43753</v>
      </c>
      <c r="N827" s="7">
        <v>-22.455241172027591</v>
      </c>
      <c r="O827" s="35">
        <v>-170.60403396606446</v>
      </c>
      <c r="P827" s="35">
        <f t="shared" si="14"/>
        <v>9.037895410156267</v>
      </c>
    </row>
    <row r="828" spans="1:16" s="5" customFormat="1" x14ac:dyDescent="0.35">
      <c r="A828" s="5" t="s">
        <v>20</v>
      </c>
      <c r="C828" s="5" t="s">
        <v>548</v>
      </c>
      <c r="D828" s="5" t="s">
        <v>468</v>
      </c>
      <c r="E828" s="5">
        <v>72.22</v>
      </c>
      <c r="F828" s="5">
        <v>126.29</v>
      </c>
      <c r="G828" s="5">
        <v>9</v>
      </c>
      <c r="I828" s="36" t="s">
        <v>563</v>
      </c>
      <c r="K828" s="34">
        <v>43755</v>
      </c>
      <c r="N828" s="7">
        <v>-16.266148331832888</v>
      </c>
      <c r="O828" s="35">
        <v>-129.24498107910156</v>
      </c>
      <c r="P828" s="35">
        <f t="shared" si="14"/>
        <v>0.88420557556153767</v>
      </c>
    </row>
    <row r="829" spans="1:16" s="5" customFormat="1" x14ac:dyDescent="0.35">
      <c r="A829" s="5" t="s">
        <v>20</v>
      </c>
      <c r="C829" s="5" t="s">
        <v>548</v>
      </c>
      <c r="D829" s="5" t="s">
        <v>468</v>
      </c>
      <c r="E829" s="5">
        <v>72.22</v>
      </c>
      <c r="F829" s="5">
        <v>126.29</v>
      </c>
      <c r="G829" s="5">
        <v>9</v>
      </c>
      <c r="I829" s="36" t="s">
        <v>564</v>
      </c>
      <c r="K829" s="34">
        <v>43756</v>
      </c>
      <c r="N829" s="7">
        <v>-20.828522032470705</v>
      </c>
      <c r="O829" s="35">
        <v>-165.12126052856448</v>
      </c>
      <c r="P829" s="35">
        <f t="shared" si="14"/>
        <v>1.5069157312011612</v>
      </c>
    </row>
    <row r="830" spans="1:16" s="5" customFormat="1" x14ac:dyDescent="0.35">
      <c r="A830" s="5" t="s">
        <v>20</v>
      </c>
      <c r="C830" s="5" t="s">
        <v>548</v>
      </c>
      <c r="D830" s="5" t="s">
        <v>468</v>
      </c>
      <c r="E830" s="5">
        <v>72.22</v>
      </c>
      <c r="F830" s="5">
        <v>126.29</v>
      </c>
      <c r="G830" s="5">
        <v>9</v>
      </c>
      <c r="I830" s="36" t="s">
        <v>565</v>
      </c>
      <c r="K830" s="34">
        <v>43774</v>
      </c>
      <c r="N830" s="7">
        <v>-29.212685927124024</v>
      </c>
      <c r="O830" s="35">
        <v>-225.42501907348631</v>
      </c>
      <c r="P830" s="35">
        <f t="shared" si="14"/>
        <v>8.2764683435058828</v>
      </c>
    </row>
    <row r="831" spans="1:16" s="5" customFormat="1" x14ac:dyDescent="0.35">
      <c r="A831" s="5" t="s">
        <v>20</v>
      </c>
      <c r="C831" s="5" t="s">
        <v>548</v>
      </c>
      <c r="D831" s="5" t="s">
        <v>468</v>
      </c>
      <c r="E831" s="5">
        <v>72.22</v>
      </c>
      <c r="F831" s="5">
        <v>126.29</v>
      </c>
      <c r="G831" s="5">
        <v>9</v>
      </c>
      <c r="I831" s="36" t="s">
        <v>566</v>
      </c>
      <c r="K831" s="34">
        <v>43782</v>
      </c>
      <c r="N831" s="7">
        <v>-28.549238428802489</v>
      </c>
      <c r="O831" s="35">
        <v>-214.39691566467286</v>
      </c>
      <c r="P831" s="35">
        <f t="shared" si="14"/>
        <v>13.996991765747055</v>
      </c>
    </row>
    <row r="832" spans="1:16" s="5" customFormat="1" x14ac:dyDescent="0.35">
      <c r="A832" s="5" t="s">
        <v>20</v>
      </c>
      <c r="C832" s="5" t="s">
        <v>548</v>
      </c>
      <c r="D832" s="5" t="s">
        <v>468</v>
      </c>
      <c r="E832" s="5">
        <v>72.22</v>
      </c>
      <c r="F832" s="5">
        <v>126.29</v>
      </c>
      <c r="G832" s="5">
        <v>9</v>
      </c>
      <c r="I832" s="36" t="s">
        <v>567</v>
      </c>
      <c r="K832" s="34">
        <v>43787</v>
      </c>
      <c r="N832" s="7">
        <v>-24.783710890502931</v>
      </c>
      <c r="O832" s="35">
        <v>-186.00494491577149</v>
      </c>
      <c r="P832" s="35">
        <f t="shared" si="14"/>
        <v>12.26474220825196</v>
      </c>
    </row>
    <row r="833" spans="1:16" s="5" customFormat="1" x14ac:dyDescent="0.35">
      <c r="A833" s="5" t="s">
        <v>20</v>
      </c>
      <c r="C833" s="5" t="s">
        <v>548</v>
      </c>
      <c r="D833" s="5" t="s">
        <v>468</v>
      </c>
      <c r="E833" s="5">
        <v>72.22</v>
      </c>
      <c r="F833" s="5">
        <v>126.29</v>
      </c>
      <c r="G833" s="5">
        <v>9</v>
      </c>
      <c r="I833" s="36" t="s">
        <v>568</v>
      </c>
      <c r="K833" s="34">
        <v>43802</v>
      </c>
      <c r="N833" s="7">
        <v>-30.92519353363037</v>
      </c>
      <c r="O833" s="35">
        <v>-248.01264190673828</v>
      </c>
      <c r="P833" s="35">
        <f t="shared" si="14"/>
        <v>-0.6110936376953191</v>
      </c>
    </row>
    <row r="834" spans="1:16" s="5" customFormat="1" x14ac:dyDescent="0.35">
      <c r="A834" s="5" t="s">
        <v>20</v>
      </c>
      <c r="C834" s="5" t="s">
        <v>548</v>
      </c>
      <c r="D834" s="5" t="s">
        <v>468</v>
      </c>
      <c r="E834" s="5">
        <v>72.22</v>
      </c>
      <c r="F834" s="5">
        <v>126.29</v>
      </c>
      <c r="G834" s="5">
        <v>9</v>
      </c>
      <c r="I834" s="36" t="s">
        <v>569</v>
      </c>
      <c r="K834" s="34">
        <v>43804</v>
      </c>
      <c r="N834" s="7">
        <v>-32.910090483398434</v>
      </c>
      <c r="O834" s="35">
        <v>-259.49098510742186</v>
      </c>
      <c r="P834" s="35">
        <f t="shared" si="14"/>
        <v>3.789738759765612</v>
      </c>
    </row>
    <row r="835" spans="1:16" s="5" customFormat="1" x14ac:dyDescent="0.35">
      <c r="A835" s="5" t="s">
        <v>20</v>
      </c>
      <c r="C835" s="5" t="s">
        <v>548</v>
      </c>
      <c r="D835" s="5" t="s">
        <v>468</v>
      </c>
      <c r="E835" s="5">
        <v>72.22</v>
      </c>
      <c r="F835" s="5">
        <v>126.29</v>
      </c>
      <c r="G835" s="5">
        <v>9</v>
      </c>
      <c r="I835" s="36" t="s">
        <v>570</v>
      </c>
      <c r="K835" s="34">
        <v>43808</v>
      </c>
      <c r="N835" s="7">
        <v>-30.581990256042481</v>
      </c>
      <c r="O835" s="35">
        <v>-244.1587953186035</v>
      </c>
      <c r="P835" s="35">
        <f t="shared" si="14"/>
        <v>0.49712672973635108</v>
      </c>
    </row>
    <row r="836" spans="1:16" s="5" customFormat="1" x14ac:dyDescent="0.35">
      <c r="A836" s="5" t="s">
        <v>20</v>
      </c>
      <c r="C836" s="5" t="s">
        <v>548</v>
      </c>
      <c r="D836" s="5" t="s">
        <v>468</v>
      </c>
      <c r="E836" s="5">
        <v>72.22</v>
      </c>
      <c r="F836" s="5">
        <v>126.29</v>
      </c>
      <c r="G836" s="5">
        <v>9</v>
      </c>
      <c r="I836" s="36" t="s">
        <v>571</v>
      </c>
      <c r="K836" s="34">
        <v>43819</v>
      </c>
      <c r="N836" s="7">
        <v>-34.30427163574219</v>
      </c>
      <c r="O836" s="35">
        <v>-280.15555511474611</v>
      </c>
      <c r="P836" s="35">
        <f t="shared" si="14"/>
        <v>-5.7213820288085913</v>
      </c>
    </row>
    <row r="837" spans="1:16" s="5" customFormat="1" x14ac:dyDescent="0.35">
      <c r="A837" s="5" t="s">
        <v>20</v>
      </c>
      <c r="C837" s="5" t="s">
        <v>548</v>
      </c>
      <c r="D837" s="5" t="s">
        <v>468</v>
      </c>
      <c r="E837" s="5">
        <v>72.22</v>
      </c>
      <c r="F837" s="5">
        <v>126.29</v>
      </c>
      <c r="G837" s="5">
        <v>9</v>
      </c>
      <c r="I837" s="36" t="s">
        <v>572</v>
      </c>
      <c r="K837" s="34">
        <v>43827</v>
      </c>
      <c r="N837" s="7">
        <v>-33.165351958007811</v>
      </c>
      <c r="O837" s="35">
        <v>-262.53366149902342</v>
      </c>
      <c r="P837" s="35">
        <f t="shared" si="14"/>
        <v>2.789154165039065</v>
      </c>
    </row>
    <row r="838" spans="1:16" s="5" customFormat="1" x14ac:dyDescent="0.35">
      <c r="A838" s="5" t="s">
        <v>20</v>
      </c>
      <c r="C838" s="5" t="s">
        <v>548</v>
      </c>
      <c r="D838" s="5" t="s">
        <v>468</v>
      </c>
      <c r="E838" s="5">
        <v>72.22</v>
      </c>
      <c r="F838" s="5">
        <v>126.29</v>
      </c>
      <c r="G838" s="5">
        <v>9</v>
      </c>
      <c r="I838" s="36" t="s">
        <v>803</v>
      </c>
      <c r="K838" s="34">
        <v>43834</v>
      </c>
      <c r="N838" s="7">
        <v>-28.463339773864746</v>
      </c>
      <c r="O838" s="35">
        <v>-244.12846801757811</v>
      </c>
      <c r="P838" s="35">
        <f t="shared" si="14"/>
        <v>-16.421749826660147</v>
      </c>
    </row>
    <row r="839" spans="1:16" s="5" customFormat="1" x14ac:dyDescent="0.35">
      <c r="A839" s="5" t="s">
        <v>20</v>
      </c>
      <c r="C839" s="5" t="s">
        <v>548</v>
      </c>
      <c r="D839" s="5" t="s">
        <v>468</v>
      </c>
      <c r="E839" s="5">
        <v>72.22</v>
      </c>
      <c r="F839" s="5">
        <v>126.29</v>
      </c>
      <c r="G839" s="5">
        <v>9</v>
      </c>
      <c r="I839" s="36" t="s">
        <v>804</v>
      </c>
      <c r="K839" s="34">
        <v>43850</v>
      </c>
      <c r="N839" s="7">
        <v>-33.540117171020505</v>
      </c>
      <c r="O839" s="35">
        <v>-264.62919067382813</v>
      </c>
      <c r="P839" s="35">
        <f t="shared" si="14"/>
        <v>3.6917466943359045</v>
      </c>
    </row>
    <row r="840" spans="1:16" s="5" customFormat="1" x14ac:dyDescent="0.35">
      <c r="A840" s="5" t="s">
        <v>20</v>
      </c>
      <c r="C840" s="5" t="s">
        <v>548</v>
      </c>
      <c r="D840" s="5" t="s">
        <v>468</v>
      </c>
      <c r="E840" s="5">
        <v>72.22</v>
      </c>
      <c r="F840" s="5">
        <v>126.29</v>
      </c>
      <c r="G840" s="5">
        <v>9</v>
      </c>
      <c r="I840" s="36" t="s">
        <v>805</v>
      </c>
      <c r="K840" s="34">
        <v>43852</v>
      </c>
      <c r="N840" s="7">
        <v>-36.869823298645017</v>
      </c>
      <c r="O840" s="35">
        <v>-289.64205834960939</v>
      </c>
      <c r="P840" s="35">
        <f t="shared" si="14"/>
        <v>5.3165280395507466</v>
      </c>
    </row>
    <row r="841" spans="1:16" s="5" customFormat="1" x14ac:dyDescent="0.35">
      <c r="A841" s="5" t="s">
        <v>20</v>
      </c>
      <c r="C841" s="5" t="s">
        <v>548</v>
      </c>
      <c r="D841" s="5" t="s">
        <v>468</v>
      </c>
      <c r="E841" s="5">
        <v>72.22</v>
      </c>
      <c r="F841" s="5">
        <v>126.29</v>
      </c>
      <c r="G841" s="5">
        <v>9</v>
      </c>
      <c r="I841" s="36" t="s">
        <v>806</v>
      </c>
      <c r="K841" s="34">
        <v>43865</v>
      </c>
      <c r="N841" s="7">
        <v>-35.897633422088624</v>
      </c>
      <c r="O841" s="35">
        <v>-273.7886220703125</v>
      </c>
      <c r="P841" s="35">
        <f t="shared" si="14"/>
        <v>13.392445306396496</v>
      </c>
    </row>
    <row r="842" spans="1:16" s="5" customFormat="1" x14ac:dyDescent="0.35">
      <c r="A842" s="5" t="s">
        <v>20</v>
      </c>
      <c r="C842" s="5" t="s">
        <v>548</v>
      </c>
      <c r="D842" s="5" t="s">
        <v>468</v>
      </c>
      <c r="E842" s="5">
        <v>72.22</v>
      </c>
      <c r="F842" s="5">
        <v>126.29</v>
      </c>
      <c r="G842" s="5">
        <v>9</v>
      </c>
      <c r="I842" s="36" t="s">
        <v>807</v>
      </c>
      <c r="K842" s="34">
        <v>43870</v>
      </c>
      <c r="N842" s="7">
        <v>-26.353547690582275</v>
      </c>
      <c r="O842" s="35">
        <v>-215.27522616577147</v>
      </c>
      <c r="P842" s="35">
        <f t="shared" si="14"/>
        <v>-4.4468446411132732</v>
      </c>
    </row>
    <row r="843" spans="1:16" s="5" customFormat="1" x14ac:dyDescent="0.35">
      <c r="A843" s="5" t="s">
        <v>20</v>
      </c>
      <c r="C843" s="5" t="s">
        <v>548</v>
      </c>
      <c r="D843" s="5" t="s">
        <v>468</v>
      </c>
      <c r="E843" s="5">
        <v>72.22</v>
      </c>
      <c r="F843" s="5">
        <v>126.29</v>
      </c>
      <c r="G843" s="5">
        <v>9</v>
      </c>
      <c r="I843" s="36" t="s">
        <v>808</v>
      </c>
      <c r="K843" s="34">
        <v>43877</v>
      </c>
      <c r="N843" s="7">
        <v>-27.39515037536621</v>
      </c>
      <c r="O843" s="35">
        <v>-209.23634838867187</v>
      </c>
      <c r="P843" s="35">
        <f t="shared" si="14"/>
        <v>9.9248546142578107</v>
      </c>
    </row>
    <row r="844" spans="1:16" s="5" customFormat="1" x14ac:dyDescent="0.35">
      <c r="A844" s="5" t="s">
        <v>20</v>
      </c>
      <c r="C844" s="5" t="s">
        <v>548</v>
      </c>
      <c r="D844" s="5" t="s">
        <v>468</v>
      </c>
      <c r="E844" s="5">
        <v>72.22</v>
      </c>
      <c r="F844" s="5">
        <v>126.29</v>
      </c>
      <c r="G844" s="5">
        <v>9</v>
      </c>
      <c r="I844" s="36" t="s">
        <v>809</v>
      </c>
      <c r="K844" s="34">
        <v>43884</v>
      </c>
      <c r="N844" s="7">
        <v>-24.472563934326171</v>
      </c>
      <c r="O844" s="35">
        <v>-186.59970593261718</v>
      </c>
      <c r="P844" s="35">
        <f t="shared" si="14"/>
        <v>9.1808055419921857</v>
      </c>
    </row>
    <row r="845" spans="1:16" s="5" customFormat="1" x14ac:dyDescent="0.35">
      <c r="A845" s="5" t="s">
        <v>20</v>
      </c>
      <c r="C845" s="5" t="s">
        <v>548</v>
      </c>
      <c r="D845" s="5" t="s">
        <v>468</v>
      </c>
      <c r="E845" s="5">
        <v>72.22</v>
      </c>
      <c r="F845" s="5">
        <v>126.29</v>
      </c>
      <c r="G845" s="5">
        <v>9</v>
      </c>
      <c r="I845" s="36" t="s">
        <v>810</v>
      </c>
      <c r="K845" s="34">
        <v>43888</v>
      </c>
      <c r="N845" s="7">
        <v>-24.476094436645507</v>
      </c>
      <c r="O845" s="35">
        <v>-190.24371221923829</v>
      </c>
      <c r="P845" s="35">
        <f t="shared" si="14"/>
        <v>5.5650432739257667</v>
      </c>
    </row>
    <row r="846" spans="1:16" s="5" customFormat="1" x14ac:dyDescent="0.35">
      <c r="A846" s="5" t="s">
        <v>20</v>
      </c>
      <c r="C846" s="5" t="s">
        <v>548</v>
      </c>
      <c r="D846" s="5" t="s">
        <v>468</v>
      </c>
      <c r="E846" s="5">
        <v>72.22</v>
      </c>
      <c r="F846" s="5">
        <v>126.29</v>
      </c>
      <c r="G846" s="5">
        <v>9</v>
      </c>
      <c r="I846" s="36" t="s">
        <v>811</v>
      </c>
      <c r="K846" s="34">
        <v>43889</v>
      </c>
      <c r="N846" s="7">
        <v>-24.568881225585937</v>
      </c>
      <c r="O846" s="35">
        <v>-192.39900238037109</v>
      </c>
      <c r="P846" s="35">
        <f t="shared" si="14"/>
        <v>4.1520474243164074</v>
      </c>
    </row>
    <row r="847" spans="1:16" s="5" customFormat="1" x14ac:dyDescent="0.35">
      <c r="A847" s="5" t="s">
        <v>20</v>
      </c>
      <c r="C847" s="5" t="s">
        <v>548</v>
      </c>
      <c r="D847" s="5" t="s">
        <v>468</v>
      </c>
      <c r="E847" s="5">
        <v>72.22</v>
      </c>
      <c r="F847" s="5">
        <v>126.29</v>
      </c>
      <c r="G847" s="5">
        <v>9</v>
      </c>
      <c r="I847" s="36" t="s">
        <v>812</v>
      </c>
      <c r="K847" s="34">
        <v>43892</v>
      </c>
      <c r="N847" s="7">
        <v>-28.400422286987304</v>
      </c>
      <c r="O847" s="35">
        <v>-221.4219292602539</v>
      </c>
      <c r="P847" s="35">
        <f t="shared" si="14"/>
        <v>5.7814490356445276</v>
      </c>
    </row>
    <row r="848" spans="1:16" s="5" customFormat="1" x14ac:dyDescent="0.35">
      <c r="A848" s="5" t="s">
        <v>20</v>
      </c>
      <c r="C848" s="5" t="s">
        <v>548</v>
      </c>
      <c r="D848" s="5" t="s">
        <v>468</v>
      </c>
      <c r="E848" s="5">
        <v>72.22</v>
      </c>
      <c r="F848" s="5">
        <v>126.29</v>
      </c>
      <c r="G848" s="5">
        <v>9</v>
      </c>
      <c r="I848" s="36" t="s">
        <v>813</v>
      </c>
      <c r="K848" s="34">
        <v>43893</v>
      </c>
      <c r="N848" s="7">
        <v>-28.077351760864254</v>
      </c>
      <c r="O848" s="35">
        <v>-217.97048089599608</v>
      </c>
      <c r="P848" s="35">
        <f t="shared" si="14"/>
        <v>6.6483331909179526</v>
      </c>
    </row>
    <row r="849" spans="1:16" s="5" customFormat="1" x14ac:dyDescent="0.35">
      <c r="A849" s="5" t="s">
        <v>20</v>
      </c>
      <c r="C849" s="5" t="s">
        <v>548</v>
      </c>
      <c r="D849" s="5" t="s">
        <v>468</v>
      </c>
      <c r="E849" s="5">
        <v>72.22</v>
      </c>
      <c r="F849" s="5">
        <v>126.29</v>
      </c>
      <c r="G849" s="5">
        <v>9</v>
      </c>
      <c r="I849" s="36" t="s">
        <v>814</v>
      </c>
      <c r="K849" s="34">
        <v>43894</v>
      </c>
      <c r="N849" s="7">
        <v>-28.380023193359374</v>
      </c>
      <c r="O849" s="35">
        <v>-218.92942913818359</v>
      </c>
      <c r="P849" s="35">
        <f t="shared" si="14"/>
        <v>8.110756408691401</v>
      </c>
    </row>
    <row r="850" spans="1:16" s="5" customFormat="1" x14ac:dyDescent="0.35">
      <c r="A850" s="5" t="s">
        <v>20</v>
      </c>
      <c r="C850" s="5" t="s">
        <v>548</v>
      </c>
      <c r="D850" s="5" t="s">
        <v>468</v>
      </c>
      <c r="E850" s="5">
        <v>72.22</v>
      </c>
      <c r="F850" s="5">
        <v>126.29</v>
      </c>
      <c r="G850" s="5">
        <v>9</v>
      </c>
      <c r="I850" s="36" t="s">
        <v>815</v>
      </c>
      <c r="K850" s="34">
        <v>43895</v>
      </c>
      <c r="N850" s="7">
        <v>-30.554928970336917</v>
      </c>
      <c r="O850" s="35">
        <v>-239.73744616699219</v>
      </c>
      <c r="P850" s="35">
        <f t="shared" si="14"/>
        <v>4.7019855957031496</v>
      </c>
    </row>
    <row r="851" spans="1:16" s="5" customFormat="1" x14ac:dyDescent="0.35">
      <c r="A851" s="5" t="s">
        <v>20</v>
      </c>
      <c r="C851" s="5" t="s">
        <v>548</v>
      </c>
      <c r="D851" s="5" t="s">
        <v>468</v>
      </c>
      <c r="E851" s="5">
        <v>72.22</v>
      </c>
      <c r="F851" s="5">
        <v>126.29</v>
      </c>
      <c r="G851" s="5">
        <v>9</v>
      </c>
      <c r="I851" s="36" t="s">
        <v>816</v>
      </c>
      <c r="K851" s="34">
        <v>43907</v>
      </c>
      <c r="N851" s="7">
        <v>-31.050643157958984</v>
      </c>
      <c r="O851" s="35">
        <v>-242.90644262695312</v>
      </c>
      <c r="P851" s="35">
        <f t="shared" si="14"/>
        <v>5.4987026367187468</v>
      </c>
    </row>
    <row r="852" spans="1:16" s="5" customFormat="1" x14ac:dyDescent="0.35">
      <c r="A852" s="5" t="s">
        <v>20</v>
      </c>
      <c r="C852" s="5" t="s">
        <v>548</v>
      </c>
      <c r="D852" s="5" t="s">
        <v>468</v>
      </c>
      <c r="E852" s="5">
        <v>72.22</v>
      </c>
      <c r="F852" s="5">
        <v>126.29</v>
      </c>
      <c r="G852" s="5">
        <v>9</v>
      </c>
      <c r="I852" s="36" t="s">
        <v>817</v>
      </c>
      <c r="K852" s="34">
        <v>43908</v>
      </c>
      <c r="N852" s="7">
        <v>-28.277369689941406</v>
      </c>
      <c r="O852" s="35">
        <v>-216.98149877929686</v>
      </c>
      <c r="P852" s="35">
        <f t="shared" si="14"/>
        <v>9.2374587402343877</v>
      </c>
    </row>
    <row r="853" spans="1:16" s="5" customFormat="1" x14ac:dyDescent="0.35">
      <c r="A853" s="5" t="s">
        <v>20</v>
      </c>
      <c r="C853" s="5" t="s">
        <v>548</v>
      </c>
      <c r="D853" s="5" t="s">
        <v>468</v>
      </c>
      <c r="E853" s="5">
        <v>72.22</v>
      </c>
      <c r="F853" s="5">
        <v>126.29</v>
      </c>
      <c r="G853" s="5">
        <v>9</v>
      </c>
      <c r="I853" s="36" t="s">
        <v>818</v>
      </c>
      <c r="K853" s="34">
        <v>43909</v>
      </c>
      <c r="N853" s="7">
        <v>-26.125310134887695</v>
      </c>
      <c r="O853" s="35">
        <v>-201.76911145019528</v>
      </c>
      <c r="P853" s="35">
        <f t="shared" si="14"/>
        <v>7.2333696289062743</v>
      </c>
    </row>
    <row r="854" spans="1:16" s="5" customFormat="1" x14ac:dyDescent="0.35">
      <c r="A854" s="5" t="s">
        <v>20</v>
      </c>
      <c r="C854" s="5" t="s">
        <v>548</v>
      </c>
      <c r="D854" s="5" t="s">
        <v>468</v>
      </c>
      <c r="E854" s="5">
        <v>72.22</v>
      </c>
      <c r="F854" s="5">
        <v>126.29</v>
      </c>
      <c r="G854" s="5">
        <v>9</v>
      </c>
      <c r="I854" s="36" t="s">
        <v>819</v>
      </c>
      <c r="K854" s="34">
        <v>43925</v>
      </c>
      <c r="N854" s="7">
        <v>-27.506829452514648</v>
      </c>
      <c r="O854" s="35">
        <v>-220.1371171875</v>
      </c>
      <c r="P854" s="35">
        <f t="shared" si="14"/>
        <v>-8.2481567382814092E-2</v>
      </c>
    </row>
    <row r="855" spans="1:16" s="5" customFormat="1" x14ac:dyDescent="0.35">
      <c r="A855" s="5" t="s">
        <v>20</v>
      </c>
      <c r="C855" s="5" t="s">
        <v>548</v>
      </c>
      <c r="D855" s="5" t="s">
        <v>468</v>
      </c>
      <c r="E855" s="5">
        <v>72.22</v>
      </c>
      <c r="F855" s="5">
        <v>126.29</v>
      </c>
      <c r="G855" s="5">
        <v>9</v>
      </c>
      <c r="I855" s="36" t="s">
        <v>820</v>
      </c>
      <c r="K855" s="34">
        <v>43926</v>
      </c>
      <c r="N855" s="7">
        <v>-26.765854116821291</v>
      </c>
      <c r="O855" s="35">
        <v>-203.62475994873043</v>
      </c>
      <c r="P855" s="35">
        <f t="shared" si="14"/>
        <v>10.502072985839902</v>
      </c>
    </row>
    <row r="856" spans="1:16" s="5" customFormat="1" x14ac:dyDescent="0.35">
      <c r="A856" s="5" t="s">
        <v>20</v>
      </c>
      <c r="C856" s="5" t="s">
        <v>548</v>
      </c>
      <c r="D856" s="5" t="s">
        <v>468</v>
      </c>
      <c r="E856" s="5">
        <v>72.22</v>
      </c>
      <c r="F856" s="5">
        <v>126.29</v>
      </c>
      <c r="G856" s="5">
        <v>9</v>
      </c>
      <c r="I856" s="36" t="s">
        <v>821</v>
      </c>
      <c r="K856" s="34">
        <v>43927</v>
      </c>
      <c r="N856" s="7">
        <v>-23.288061449432373</v>
      </c>
      <c r="O856" s="35">
        <v>-177.53480035400389</v>
      </c>
      <c r="P856" s="35">
        <f t="shared" si="14"/>
        <v>8.7696912414550923</v>
      </c>
    </row>
    <row r="857" spans="1:16" s="5" customFormat="1" x14ac:dyDescent="0.35">
      <c r="A857" s="5" t="s">
        <v>20</v>
      </c>
      <c r="C857" s="5" t="s">
        <v>548</v>
      </c>
      <c r="D857" s="5" t="s">
        <v>468</v>
      </c>
      <c r="E857" s="5">
        <v>72.22</v>
      </c>
      <c r="F857" s="5">
        <v>126.29</v>
      </c>
      <c r="G857" s="5">
        <v>9</v>
      </c>
      <c r="I857" s="36" t="s">
        <v>822</v>
      </c>
      <c r="K857" s="34">
        <v>43928</v>
      </c>
      <c r="N857" s="7">
        <v>-19.898109259033205</v>
      </c>
      <c r="O857" s="35">
        <v>-152.19679998779296</v>
      </c>
      <c r="P857" s="35">
        <f t="shared" si="14"/>
        <v>6.9880740844726859</v>
      </c>
    </row>
    <row r="858" spans="1:16" s="5" customFormat="1" x14ac:dyDescent="0.35">
      <c r="A858" s="5" t="s">
        <v>20</v>
      </c>
      <c r="C858" s="5" t="s">
        <v>548</v>
      </c>
      <c r="D858" s="5" t="s">
        <v>468</v>
      </c>
      <c r="E858" s="5">
        <v>72.22</v>
      </c>
      <c r="F858" s="5">
        <v>126.29</v>
      </c>
      <c r="G858" s="5">
        <v>9</v>
      </c>
      <c r="I858" s="36" t="s">
        <v>823</v>
      </c>
      <c r="K858" s="34">
        <v>43929</v>
      </c>
      <c r="N858" s="7">
        <v>-19.437170420074462</v>
      </c>
      <c r="O858" s="35">
        <v>-150.13487438964845</v>
      </c>
      <c r="P858" s="35">
        <f t="shared" si="14"/>
        <v>5.3624889709472541</v>
      </c>
    </row>
    <row r="859" spans="1:16" s="5" customFormat="1" x14ac:dyDescent="0.35">
      <c r="A859" s="5" t="s">
        <v>20</v>
      </c>
      <c r="C859" s="5" t="s">
        <v>548</v>
      </c>
      <c r="D859" s="5" t="s">
        <v>468</v>
      </c>
      <c r="E859" s="5">
        <v>72.22</v>
      </c>
      <c r="F859" s="5">
        <v>126.29</v>
      </c>
      <c r="G859" s="5">
        <v>9</v>
      </c>
      <c r="I859" s="36" t="s">
        <v>824</v>
      </c>
      <c r="K859" s="34">
        <v>43931</v>
      </c>
      <c r="N859" s="7">
        <v>-17.256412464523315</v>
      </c>
      <c r="O859" s="35">
        <v>-183.21453863525392</v>
      </c>
      <c r="P859" s="35">
        <f t="shared" si="14"/>
        <v>-45.163238919067396</v>
      </c>
    </row>
    <row r="860" spans="1:16" s="5" customFormat="1" x14ac:dyDescent="0.35">
      <c r="A860" s="5" t="s">
        <v>20</v>
      </c>
      <c r="C860" s="5" t="s">
        <v>548</v>
      </c>
      <c r="D860" s="5" t="s">
        <v>468</v>
      </c>
      <c r="E860" s="5">
        <v>72.22</v>
      </c>
      <c r="F860" s="5">
        <v>126.29</v>
      </c>
      <c r="G860" s="5">
        <v>9</v>
      </c>
      <c r="I860" s="36" t="s">
        <v>825</v>
      </c>
      <c r="K860" s="34">
        <v>43936</v>
      </c>
      <c r="N860" s="7">
        <v>-19.449480574035647</v>
      </c>
      <c r="O860" s="35">
        <v>-147.34574340820313</v>
      </c>
      <c r="P860" s="35">
        <f t="shared" si="14"/>
        <v>8.2501011840820411</v>
      </c>
    </row>
    <row r="861" spans="1:16" s="5" customFormat="1" x14ac:dyDescent="0.35">
      <c r="A861" s="5" t="s">
        <v>20</v>
      </c>
      <c r="C861" s="5" t="s">
        <v>548</v>
      </c>
      <c r="D861" s="5" t="s">
        <v>468</v>
      </c>
      <c r="E861" s="5">
        <v>72.22</v>
      </c>
      <c r="F861" s="5">
        <v>126.29</v>
      </c>
      <c r="G861" s="5">
        <v>9</v>
      </c>
      <c r="I861" s="36" t="s">
        <v>826</v>
      </c>
      <c r="K861" s="34">
        <v>43937</v>
      </c>
      <c r="N861" s="7">
        <v>-21.602674406433106</v>
      </c>
      <c r="O861" s="35">
        <v>-160.36531677246094</v>
      </c>
      <c r="P861" s="35">
        <f t="shared" si="14"/>
        <v>12.456078479003907</v>
      </c>
    </row>
    <row r="862" spans="1:16" s="5" customFormat="1" x14ac:dyDescent="0.35">
      <c r="A862" s="5" t="s">
        <v>20</v>
      </c>
      <c r="C862" s="5" t="s">
        <v>548</v>
      </c>
      <c r="D862" s="5" t="s">
        <v>468</v>
      </c>
      <c r="E862" s="5">
        <v>72.22</v>
      </c>
      <c r="F862" s="5">
        <v>126.29</v>
      </c>
      <c r="G862" s="5">
        <v>9</v>
      </c>
      <c r="I862" s="36" t="s">
        <v>827</v>
      </c>
      <c r="K862" s="34">
        <v>43939</v>
      </c>
      <c r="N862" s="7">
        <v>-19.938810621643068</v>
      </c>
      <c r="O862" s="35">
        <v>-149.54002569580078</v>
      </c>
      <c r="P862" s="35">
        <f t="shared" si="14"/>
        <v>9.9704592773437639</v>
      </c>
    </row>
    <row r="863" spans="1:16" s="5" customFormat="1" x14ac:dyDescent="0.35">
      <c r="A863" s="5" t="s">
        <v>20</v>
      </c>
      <c r="C863" s="5" t="s">
        <v>548</v>
      </c>
      <c r="D863" s="5" t="s">
        <v>468</v>
      </c>
      <c r="E863" s="5">
        <v>72.22</v>
      </c>
      <c r="F863" s="5">
        <v>126.29</v>
      </c>
      <c r="G863" s="5">
        <v>9</v>
      </c>
      <c r="I863" s="37" t="s">
        <v>828</v>
      </c>
      <c r="K863" s="38">
        <v>43957</v>
      </c>
      <c r="N863" s="10">
        <v>-24.885594345092773</v>
      </c>
      <c r="O863" s="39">
        <v>-182.70012059020996</v>
      </c>
      <c r="P863" s="35">
        <f t="shared" si="14"/>
        <v>16.384634170532223</v>
      </c>
    </row>
    <row r="864" spans="1:16" s="5" customFormat="1" x14ac:dyDescent="0.35">
      <c r="A864" s="5" t="s">
        <v>20</v>
      </c>
      <c r="C864" s="5" t="s">
        <v>548</v>
      </c>
      <c r="D864" s="5" t="s">
        <v>468</v>
      </c>
      <c r="E864" s="5">
        <v>72.22</v>
      </c>
      <c r="F864" s="5">
        <v>126.29</v>
      </c>
      <c r="G864" s="5">
        <v>9</v>
      </c>
      <c r="I864" s="37" t="s">
        <v>829</v>
      </c>
      <c r="K864" s="38">
        <v>43965</v>
      </c>
      <c r="N864" s="10">
        <v>-19.244238430023195</v>
      </c>
      <c r="O864" s="39">
        <v>-146.76324710845947</v>
      </c>
      <c r="P864" s="35">
        <f t="shared" si="14"/>
        <v>7.1906603317260931</v>
      </c>
    </row>
    <row r="865" spans="1:16" s="5" customFormat="1" x14ac:dyDescent="0.35">
      <c r="A865" s="5" t="s">
        <v>20</v>
      </c>
      <c r="C865" s="5" t="s">
        <v>548</v>
      </c>
      <c r="D865" s="5" t="s">
        <v>468</v>
      </c>
      <c r="E865" s="5">
        <v>72.22</v>
      </c>
      <c r="F865" s="5">
        <v>126.29</v>
      </c>
      <c r="G865" s="5">
        <v>9</v>
      </c>
      <c r="I865" s="37" t="s">
        <v>830</v>
      </c>
      <c r="K865" s="38">
        <v>43973</v>
      </c>
      <c r="N865" s="10">
        <v>-19.931312757492066</v>
      </c>
      <c r="O865" s="39">
        <v>-152.3247667312622</v>
      </c>
      <c r="P865" s="35">
        <f t="shared" si="14"/>
        <v>7.1257353286743239</v>
      </c>
    </row>
    <row r="866" spans="1:16" s="5" customFormat="1" x14ac:dyDescent="0.35">
      <c r="A866" s="5" t="s">
        <v>20</v>
      </c>
      <c r="C866" s="5" t="s">
        <v>548</v>
      </c>
      <c r="D866" s="5" t="s">
        <v>468</v>
      </c>
      <c r="E866" s="5">
        <v>72.22</v>
      </c>
      <c r="F866" s="5">
        <v>126.29</v>
      </c>
      <c r="G866" s="5">
        <v>9</v>
      </c>
      <c r="I866" s="37" t="s">
        <v>831</v>
      </c>
      <c r="K866" s="38">
        <v>43974</v>
      </c>
      <c r="N866" s="10">
        <v>-12.688181686401368</v>
      </c>
      <c r="O866" s="39">
        <v>-100.01642102050781</v>
      </c>
      <c r="P866" s="35">
        <f t="shared" si="14"/>
        <v>1.4890324707031368</v>
      </c>
    </row>
    <row r="867" spans="1:16" s="5" customFormat="1" x14ac:dyDescent="0.35">
      <c r="A867" s="5" t="s">
        <v>20</v>
      </c>
      <c r="C867" s="5" t="s">
        <v>548</v>
      </c>
      <c r="D867" s="5" t="s">
        <v>468</v>
      </c>
      <c r="E867" s="5">
        <v>72.22</v>
      </c>
      <c r="F867" s="5">
        <v>126.29</v>
      </c>
      <c r="G867" s="5">
        <v>9</v>
      </c>
      <c r="I867" s="37" t="s">
        <v>832</v>
      </c>
      <c r="K867" s="38">
        <v>43975</v>
      </c>
      <c r="N867" s="10">
        <v>-12.678095386981964</v>
      </c>
      <c r="O867" s="39">
        <v>-100.05869054794312</v>
      </c>
      <c r="P867" s="35">
        <f t="shared" si="14"/>
        <v>1.3660725479125944</v>
      </c>
    </row>
    <row r="868" spans="1:16" s="5" customFormat="1" x14ac:dyDescent="0.35">
      <c r="A868" s="5" t="s">
        <v>20</v>
      </c>
      <c r="C868" s="5" t="s">
        <v>548</v>
      </c>
      <c r="D868" s="5" t="s">
        <v>468</v>
      </c>
      <c r="E868" s="5">
        <v>72.22</v>
      </c>
      <c r="F868" s="5">
        <v>126.29</v>
      </c>
      <c r="G868" s="5">
        <v>9</v>
      </c>
      <c r="I868" s="37" t="s">
        <v>833</v>
      </c>
      <c r="K868" s="38">
        <v>43977</v>
      </c>
      <c r="N868" s="10">
        <v>-18.619418025970457</v>
      </c>
      <c r="O868" s="39">
        <v>-141.9492660217285</v>
      </c>
      <c r="P868" s="35">
        <f t="shared" si="14"/>
        <v>7.006078186035154</v>
      </c>
    </row>
    <row r="869" spans="1:16" s="5" customFormat="1" x14ac:dyDescent="0.35">
      <c r="A869" s="5" t="s">
        <v>20</v>
      </c>
      <c r="C869" s="5" t="s">
        <v>548</v>
      </c>
      <c r="D869" s="5" t="s">
        <v>468</v>
      </c>
      <c r="E869" s="5">
        <v>72.22</v>
      </c>
      <c r="F869" s="5">
        <v>126.29</v>
      </c>
      <c r="G869" s="5">
        <v>9</v>
      </c>
      <c r="I869" s="37" t="s">
        <v>834</v>
      </c>
      <c r="K869" s="38">
        <v>43978</v>
      </c>
      <c r="N869" s="10">
        <v>-23.994951225280765</v>
      </c>
      <c r="O869" s="39">
        <v>-185.17725323486326</v>
      </c>
      <c r="P869" s="35">
        <f t="shared" si="14"/>
        <v>6.7823565673828625</v>
      </c>
    </row>
    <row r="870" spans="1:16" s="5" customFormat="1" x14ac:dyDescent="0.35">
      <c r="A870" s="5" t="s">
        <v>20</v>
      </c>
      <c r="C870" s="5" t="s">
        <v>548</v>
      </c>
      <c r="D870" s="5" t="s">
        <v>468</v>
      </c>
      <c r="E870" s="5">
        <v>72.22</v>
      </c>
      <c r="F870" s="5">
        <v>126.29</v>
      </c>
      <c r="G870" s="5">
        <v>9</v>
      </c>
      <c r="I870" s="37" t="s">
        <v>835</v>
      </c>
      <c r="K870" s="38">
        <v>43979</v>
      </c>
      <c r="N870" s="10">
        <v>-23.953781991958621</v>
      </c>
      <c r="O870" s="39">
        <v>-186.47926106262207</v>
      </c>
      <c r="P870" s="35">
        <f t="shared" si="14"/>
        <v>5.1509948730468977</v>
      </c>
    </row>
    <row r="871" spans="1:16" s="5" customFormat="1" x14ac:dyDescent="0.35">
      <c r="A871" s="5" t="s">
        <v>20</v>
      </c>
      <c r="C871" s="5" t="s">
        <v>548</v>
      </c>
      <c r="D871" s="5" t="s">
        <v>468</v>
      </c>
      <c r="E871" s="5">
        <v>72.22</v>
      </c>
      <c r="F871" s="5">
        <v>126.29</v>
      </c>
      <c r="G871" s="5">
        <v>9</v>
      </c>
      <c r="I871" s="37" t="s">
        <v>836</v>
      </c>
      <c r="K871" s="38">
        <v>43980</v>
      </c>
      <c r="N871" s="10">
        <v>-23.978771430015566</v>
      </c>
      <c r="O871" s="39">
        <v>-186.24230587005613</v>
      </c>
      <c r="P871" s="35">
        <f t="shared" si="14"/>
        <v>5.5878655700684021</v>
      </c>
    </row>
    <row r="872" spans="1:16" s="5" customFormat="1" x14ac:dyDescent="0.35">
      <c r="A872" s="5" t="s">
        <v>20</v>
      </c>
      <c r="C872" s="5" t="s">
        <v>548</v>
      </c>
      <c r="D872" s="5" t="s">
        <v>468</v>
      </c>
      <c r="E872" s="5">
        <v>72.22</v>
      </c>
      <c r="F872" s="5">
        <v>126.29</v>
      </c>
      <c r="G872" s="5">
        <v>9</v>
      </c>
      <c r="I872" s="37" t="s">
        <v>837</v>
      </c>
      <c r="K872" s="38">
        <v>43988</v>
      </c>
      <c r="N872" s="10">
        <v>-13.502568510055543</v>
      </c>
      <c r="O872" s="39">
        <v>-118.40850120162963</v>
      </c>
      <c r="P872" s="35">
        <f t="shared" si="14"/>
        <v>-10.387953121185291</v>
      </c>
    </row>
    <row r="873" spans="1:16" s="5" customFormat="1" x14ac:dyDescent="0.35">
      <c r="A873" s="5" t="s">
        <v>20</v>
      </c>
      <c r="C873" s="5" t="s">
        <v>548</v>
      </c>
      <c r="D873" s="5" t="s">
        <v>468</v>
      </c>
      <c r="E873" s="5">
        <v>72.22</v>
      </c>
      <c r="F873" s="5">
        <v>126.29</v>
      </c>
      <c r="G873" s="5">
        <v>9</v>
      </c>
      <c r="I873" s="37" t="s">
        <v>838</v>
      </c>
      <c r="K873" s="38">
        <v>43989</v>
      </c>
      <c r="N873" s="10">
        <v>-13.454102802276612</v>
      </c>
      <c r="O873" s="39">
        <v>-118.98527110290527</v>
      </c>
      <c r="P873" s="35">
        <f t="shared" si="14"/>
        <v>-11.352448684692376</v>
      </c>
    </row>
    <row r="874" spans="1:16" s="5" customFormat="1" x14ac:dyDescent="0.35">
      <c r="A874" s="5" t="s">
        <v>20</v>
      </c>
      <c r="C874" s="5" t="s">
        <v>548</v>
      </c>
      <c r="D874" s="5" t="s">
        <v>468</v>
      </c>
      <c r="E874" s="5">
        <v>72.22</v>
      </c>
      <c r="F874" s="5">
        <v>126.29</v>
      </c>
      <c r="G874" s="5">
        <v>9</v>
      </c>
      <c r="I874" s="37" t="s">
        <v>839</v>
      </c>
      <c r="K874" s="38">
        <v>43990</v>
      </c>
      <c r="N874" s="10">
        <v>-16.304364109039305</v>
      </c>
      <c r="O874" s="39">
        <v>-124.69446813812255</v>
      </c>
      <c r="P874" s="35">
        <f t="shared" si="14"/>
        <v>5.7404447341918967</v>
      </c>
    </row>
    <row r="875" spans="1:16" s="5" customFormat="1" x14ac:dyDescent="0.35">
      <c r="A875" s="5" t="s">
        <v>20</v>
      </c>
      <c r="C875" s="5" t="s">
        <v>548</v>
      </c>
      <c r="D875" s="5" t="s">
        <v>468</v>
      </c>
      <c r="E875" s="5">
        <v>72.22</v>
      </c>
      <c r="F875" s="5">
        <v>126.29</v>
      </c>
      <c r="G875" s="5">
        <v>9</v>
      </c>
      <c r="I875" s="37" t="s">
        <v>840</v>
      </c>
      <c r="K875" s="38">
        <v>43993</v>
      </c>
      <c r="N875" s="10">
        <v>-16.348405300140378</v>
      </c>
      <c r="O875" s="39">
        <v>-123.23924241485595</v>
      </c>
      <c r="P875" s="35">
        <f t="shared" si="14"/>
        <v>7.5479999862670724</v>
      </c>
    </row>
    <row r="876" spans="1:16" s="5" customFormat="1" x14ac:dyDescent="0.35">
      <c r="A876" s="5" t="s">
        <v>20</v>
      </c>
      <c r="C876" s="5" t="s">
        <v>548</v>
      </c>
      <c r="D876" s="5" t="s">
        <v>468</v>
      </c>
      <c r="E876" s="5">
        <v>72.22</v>
      </c>
      <c r="F876" s="5">
        <v>126.29</v>
      </c>
      <c r="G876" s="5">
        <v>9</v>
      </c>
      <c r="I876" s="37" t="s">
        <v>841</v>
      </c>
      <c r="K876" s="38">
        <v>43995</v>
      </c>
      <c r="N876" s="10">
        <v>-16.925738525390624</v>
      </c>
      <c r="O876" s="39">
        <v>-131.96565074005127</v>
      </c>
      <c r="P876" s="35">
        <f t="shared" si="14"/>
        <v>3.4402574630737206</v>
      </c>
    </row>
    <row r="877" spans="1:16" s="5" customFormat="1" x14ac:dyDescent="0.35">
      <c r="A877" s="5" t="s">
        <v>20</v>
      </c>
      <c r="C877" s="5" t="s">
        <v>548</v>
      </c>
      <c r="D877" s="5" t="s">
        <v>468</v>
      </c>
      <c r="E877" s="5">
        <v>72.22</v>
      </c>
      <c r="F877" s="5">
        <v>126.29</v>
      </c>
      <c r="G877" s="5">
        <v>9</v>
      </c>
      <c r="I877" s="40" t="s">
        <v>842</v>
      </c>
      <c r="K877" s="38">
        <v>43997</v>
      </c>
      <c r="N877" s="10">
        <v>-16.84493813332158</v>
      </c>
      <c r="O877" s="39">
        <v>-132.97697927705178</v>
      </c>
      <c r="P877" s="35">
        <f t="shared" si="14"/>
        <v>1.7825257895208608</v>
      </c>
    </row>
    <row r="878" spans="1:16" s="5" customFormat="1" x14ac:dyDescent="0.35">
      <c r="A878" s="5" t="s">
        <v>20</v>
      </c>
      <c r="C878" s="5" t="s">
        <v>548</v>
      </c>
      <c r="D878" s="5" t="s">
        <v>468</v>
      </c>
      <c r="E878" s="5">
        <v>72.22</v>
      </c>
      <c r="F878" s="5">
        <v>126.29</v>
      </c>
      <c r="G878" s="5">
        <v>9</v>
      </c>
      <c r="I878" s="40" t="s">
        <v>843</v>
      </c>
      <c r="K878" s="38">
        <v>43998</v>
      </c>
      <c r="N878" s="10">
        <v>-16.878697677612305</v>
      </c>
      <c r="O878" s="39">
        <v>-132.07016168100398</v>
      </c>
      <c r="P878" s="35">
        <f t="shared" si="14"/>
        <v>2.9594197398944573</v>
      </c>
    </row>
    <row r="879" spans="1:16" s="5" customFormat="1" x14ac:dyDescent="0.35">
      <c r="A879" s="5" t="s">
        <v>20</v>
      </c>
      <c r="C879" s="5" t="s">
        <v>548</v>
      </c>
      <c r="D879" s="5" t="s">
        <v>468</v>
      </c>
      <c r="E879" s="5">
        <v>72.22</v>
      </c>
      <c r="F879" s="5">
        <v>126.29</v>
      </c>
      <c r="G879" s="5">
        <v>9</v>
      </c>
      <c r="I879" s="37" t="s">
        <v>844</v>
      </c>
      <c r="K879" s="38">
        <v>44000</v>
      </c>
      <c r="N879" s="10">
        <v>-12.673690799979049</v>
      </c>
      <c r="O879" s="39">
        <v>-104.81170456980436</v>
      </c>
      <c r="P879" s="35">
        <f t="shared" ref="P879:P922" si="15">O879-(8*N879)</f>
        <v>-3.4221781699719713</v>
      </c>
    </row>
    <row r="880" spans="1:16" s="5" customFormat="1" x14ac:dyDescent="0.35">
      <c r="A880" s="5" t="s">
        <v>20</v>
      </c>
      <c r="C880" s="5" t="s">
        <v>548</v>
      </c>
      <c r="D880" s="5" t="s">
        <v>468</v>
      </c>
      <c r="E880" s="5">
        <v>72.22</v>
      </c>
      <c r="F880" s="5">
        <v>126.29</v>
      </c>
      <c r="G880" s="5">
        <v>9</v>
      </c>
      <c r="I880" s="37" t="s">
        <v>845</v>
      </c>
      <c r="K880" s="38">
        <v>44003</v>
      </c>
      <c r="N880" s="10">
        <v>-12.66322116279602</v>
      </c>
      <c r="O880" s="39">
        <v>-105.43235771408081</v>
      </c>
      <c r="P880" s="35">
        <f t="shared" si="15"/>
        <v>-4.1265884117126461</v>
      </c>
    </row>
    <row r="881" spans="1:16" s="5" customFormat="1" x14ac:dyDescent="0.35">
      <c r="A881" s="5" t="s">
        <v>20</v>
      </c>
      <c r="C881" s="5" t="s">
        <v>548</v>
      </c>
      <c r="D881" s="5" t="s">
        <v>468</v>
      </c>
      <c r="E881" s="5">
        <v>72.22</v>
      </c>
      <c r="F881" s="5">
        <v>126.29</v>
      </c>
      <c r="G881" s="5">
        <v>9</v>
      </c>
      <c r="I881" s="40" t="s">
        <v>846</v>
      </c>
      <c r="K881" s="38">
        <v>44009</v>
      </c>
      <c r="N881" s="10">
        <v>-12.189518096923829</v>
      </c>
      <c r="O881" s="39">
        <v>-104.96911883392335</v>
      </c>
      <c r="P881" s="35">
        <f t="shared" si="15"/>
        <v>-7.4529740585327175</v>
      </c>
    </row>
    <row r="882" spans="1:16" s="5" customFormat="1" x14ac:dyDescent="0.35">
      <c r="A882" s="5" t="s">
        <v>20</v>
      </c>
      <c r="C882" s="5" t="s">
        <v>548</v>
      </c>
      <c r="D882" s="5" t="s">
        <v>468</v>
      </c>
      <c r="E882" s="5">
        <v>72.22</v>
      </c>
      <c r="F882" s="5">
        <v>126.29</v>
      </c>
      <c r="G882" s="5">
        <v>9</v>
      </c>
      <c r="I882" s="40" t="s">
        <v>847</v>
      </c>
      <c r="K882" s="38">
        <v>44010</v>
      </c>
      <c r="N882" s="10">
        <v>-12.257887567520143</v>
      </c>
      <c r="O882" s="39">
        <v>-105.8730029663086</v>
      </c>
      <c r="P882" s="35">
        <f t="shared" si="15"/>
        <v>-7.8099024261474597</v>
      </c>
    </row>
    <row r="883" spans="1:16" s="5" customFormat="1" x14ac:dyDescent="0.35">
      <c r="A883" s="5" t="s">
        <v>20</v>
      </c>
      <c r="C883" s="5" t="s">
        <v>548</v>
      </c>
      <c r="D883" s="5" t="s">
        <v>468</v>
      </c>
      <c r="E883" s="5">
        <v>72.22</v>
      </c>
      <c r="F883" s="5">
        <v>126.29</v>
      </c>
      <c r="G883" s="5">
        <v>9</v>
      </c>
      <c r="I883" s="37" t="s">
        <v>848</v>
      </c>
      <c r="K883" s="38">
        <v>44012</v>
      </c>
      <c r="N883" s="10">
        <v>-15.837285364151001</v>
      </c>
      <c r="O883" s="39">
        <v>-114.92701889648437</v>
      </c>
      <c r="P883" s="35">
        <f t="shared" si="15"/>
        <v>11.771264016723634</v>
      </c>
    </row>
    <row r="884" spans="1:16" s="5" customFormat="1" x14ac:dyDescent="0.35">
      <c r="A884" s="5" t="s">
        <v>20</v>
      </c>
      <c r="C884" s="5" t="s">
        <v>548</v>
      </c>
      <c r="D884" s="5" t="s">
        <v>468</v>
      </c>
      <c r="E884" s="5">
        <v>72.22</v>
      </c>
      <c r="F884" s="5">
        <v>126.29</v>
      </c>
      <c r="G884" s="5">
        <v>9</v>
      </c>
      <c r="I884" s="37" t="s">
        <v>849</v>
      </c>
      <c r="K884" s="38">
        <v>44016</v>
      </c>
      <c r="N884" s="10">
        <v>-15.828233201980591</v>
      </c>
      <c r="O884" s="39">
        <v>-114.4828872894287</v>
      </c>
      <c r="P884" s="35">
        <f t="shared" si="15"/>
        <v>12.142978326416028</v>
      </c>
    </row>
    <row r="885" spans="1:16" s="5" customFormat="1" x14ac:dyDescent="0.35">
      <c r="A885" s="5" t="s">
        <v>20</v>
      </c>
      <c r="C885" s="5" t="s">
        <v>548</v>
      </c>
      <c r="D885" s="5" t="s">
        <v>468</v>
      </c>
      <c r="E885" s="5">
        <v>72.22</v>
      </c>
      <c r="F885" s="5">
        <v>126.29</v>
      </c>
      <c r="G885" s="5">
        <v>9</v>
      </c>
      <c r="I885" s="37" t="s">
        <v>850</v>
      </c>
      <c r="K885" s="38">
        <v>44017</v>
      </c>
      <c r="N885" s="10">
        <v>-15.841760152816772</v>
      </c>
      <c r="O885" s="39">
        <v>-115.02034199371337</v>
      </c>
      <c r="P885" s="35">
        <f t="shared" si="15"/>
        <v>11.713739228820799</v>
      </c>
    </row>
    <row r="886" spans="1:16" s="5" customFormat="1" x14ac:dyDescent="0.35">
      <c r="A886" s="5" t="s">
        <v>20</v>
      </c>
      <c r="C886" s="5" t="s">
        <v>548</v>
      </c>
      <c r="D886" s="5" t="s">
        <v>468</v>
      </c>
      <c r="E886" s="5">
        <v>72.22</v>
      </c>
      <c r="F886" s="5">
        <v>126.29</v>
      </c>
      <c r="G886" s="5">
        <v>9</v>
      </c>
      <c r="I886" s="37" t="s">
        <v>851</v>
      </c>
      <c r="K886" s="38">
        <v>44018</v>
      </c>
      <c r="N886" s="10">
        <v>-16.183344394683836</v>
      </c>
      <c r="O886" s="39">
        <v>-118.24339472045898</v>
      </c>
      <c r="P886" s="35">
        <f t="shared" si="15"/>
        <v>11.223360437011706</v>
      </c>
    </row>
    <row r="887" spans="1:16" s="5" customFormat="1" x14ac:dyDescent="0.35">
      <c r="A887" s="5" t="s">
        <v>20</v>
      </c>
      <c r="C887" s="5" t="s">
        <v>548</v>
      </c>
      <c r="D887" s="5" t="s">
        <v>468</v>
      </c>
      <c r="E887" s="5">
        <v>72.22</v>
      </c>
      <c r="F887" s="5">
        <v>126.29</v>
      </c>
      <c r="G887" s="5">
        <v>9</v>
      </c>
      <c r="I887" s="37" t="s">
        <v>852</v>
      </c>
      <c r="K887" s="38">
        <v>44019</v>
      </c>
      <c r="N887" s="10">
        <v>-14.996398389816285</v>
      </c>
      <c r="O887" s="39">
        <v>-109.22917006149291</v>
      </c>
      <c r="P887" s="35">
        <f t="shared" si="15"/>
        <v>10.742017057037373</v>
      </c>
    </row>
    <row r="888" spans="1:16" s="5" customFormat="1" x14ac:dyDescent="0.35">
      <c r="A888" s="5" t="s">
        <v>20</v>
      </c>
      <c r="C888" s="5" t="s">
        <v>548</v>
      </c>
      <c r="D888" s="5" t="s">
        <v>468</v>
      </c>
      <c r="E888" s="5">
        <v>72.22</v>
      </c>
      <c r="F888" s="5">
        <v>126.29</v>
      </c>
      <c r="G888" s="5">
        <v>9</v>
      </c>
      <c r="I888" s="37" t="s">
        <v>853</v>
      </c>
      <c r="K888" s="38">
        <v>44020</v>
      </c>
      <c r="N888" s="10">
        <v>-15.047544463253022</v>
      </c>
      <c r="O888" s="39">
        <v>-108.54852024459839</v>
      </c>
      <c r="P888" s="35">
        <f t="shared" si="15"/>
        <v>11.831835461425783</v>
      </c>
    </row>
    <row r="889" spans="1:16" s="5" customFormat="1" x14ac:dyDescent="0.35">
      <c r="A889" s="5" t="s">
        <v>20</v>
      </c>
      <c r="C889" s="5" t="s">
        <v>548</v>
      </c>
      <c r="D889" s="5" t="s">
        <v>468</v>
      </c>
      <c r="E889" s="5">
        <v>72.22</v>
      </c>
      <c r="F889" s="5">
        <v>126.29</v>
      </c>
      <c r="G889" s="5">
        <v>9</v>
      </c>
      <c r="I889" s="37" t="s">
        <v>854</v>
      </c>
      <c r="K889" s="38">
        <v>44032</v>
      </c>
      <c r="N889" s="10">
        <v>-13.873943117713928</v>
      </c>
      <c r="O889" s="39">
        <v>-112.02617528915405</v>
      </c>
      <c r="P889" s="35">
        <f t="shared" si="15"/>
        <v>-1.0346303474426293</v>
      </c>
    </row>
    <row r="890" spans="1:16" s="5" customFormat="1" x14ac:dyDescent="0.35">
      <c r="A890" s="5" t="s">
        <v>20</v>
      </c>
      <c r="C890" s="5" t="s">
        <v>548</v>
      </c>
      <c r="D890" s="5" t="s">
        <v>468</v>
      </c>
      <c r="E890" s="5">
        <v>72.22</v>
      </c>
      <c r="F890" s="5">
        <v>126.29</v>
      </c>
      <c r="G890" s="5">
        <v>9</v>
      </c>
      <c r="I890" s="37" t="s">
        <v>855</v>
      </c>
      <c r="K890" s="38">
        <v>44033</v>
      </c>
      <c r="N890" s="10">
        <v>-13.946615736579894</v>
      </c>
      <c r="O890" s="39">
        <v>-109.91071900558471</v>
      </c>
      <c r="P890" s="35">
        <f t="shared" si="15"/>
        <v>1.6622068870544382</v>
      </c>
    </row>
    <row r="891" spans="1:16" s="5" customFormat="1" x14ac:dyDescent="0.35">
      <c r="A891" s="5" t="s">
        <v>20</v>
      </c>
      <c r="C891" s="5" t="s">
        <v>548</v>
      </c>
      <c r="D891" s="5" t="s">
        <v>468</v>
      </c>
      <c r="E891" s="5">
        <v>72.22</v>
      </c>
      <c r="F891" s="5">
        <v>126.29</v>
      </c>
      <c r="G891" s="5">
        <v>9</v>
      </c>
      <c r="I891" s="37" t="s">
        <v>856</v>
      </c>
      <c r="K891" s="38">
        <v>44035</v>
      </c>
      <c r="N891" s="10">
        <v>-16.380012321472169</v>
      </c>
      <c r="O891" s="39">
        <v>-127.53870721435547</v>
      </c>
      <c r="P891" s="35">
        <f t="shared" si="15"/>
        <v>3.5013913574218805</v>
      </c>
    </row>
    <row r="892" spans="1:16" s="5" customFormat="1" x14ac:dyDescent="0.35">
      <c r="A892" s="5" t="s">
        <v>20</v>
      </c>
      <c r="C892" s="5" t="s">
        <v>548</v>
      </c>
      <c r="D892" s="5" t="s">
        <v>468</v>
      </c>
      <c r="E892" s="5">
        <v>72.22</v>
      </c>
      <c r="F892" s="5">
        <v>126.29</v>
      </c>
      <c r="G892" s="5">
        <v>9</v>
      </c>
      <c r="I892" s="37" t="s">
        <v>857</v>
      </c>
      <c r="K892" s="38">
        <v>44037</v>
      </c>
      <c r="N892" s="10">
        <v>-17.636504652595519</v>
      </c>
      <c r="O892" s="39">
        <v>-130.57690915679933</v>
      </c>
      <c r="P892" s="35">
        <f t="shared" si="15"/>
        <v>10.515128063964823</v>
      </c>
    </row>
    <row r="893" spans="1:16" s="5" customFormat="1" x14ac:dyDescent="0.35">
      <c r="A893" s="5" t="s">
        <v>20</v>
      </c>
      <c r="C893" s="5" t="s">
        <v>548</v>
      </c>
      <c r="D893" s="5" t="s">
        <v>468</v>
      </c>
      <c r="E893" s="5">
        <v>72.22</v>
      </c>
      <c r="F893" s="5">
        <v>126.29</v>
      </c>
      <c r="G893" s="5">
        <v>9</v>
      </c>
      <c r="I893" s="37" t="s">
        <v>858</v>
      </c>
      <c r="K893" s="38">
        <v>44038</v>
      </c>
      <c r="N893" s="10">
        <v>-17.672912054061889</v>
      </c>
      <c r="O893" s="39">
        <v>-133.55437641906738</v>
      </c>
      <c r="P893" s="35">
        <f t="shared" si="15"/>
        <v>7.8289200134277337</v>
      </c>
    </row>
    <row r="894" spans="1:16" s="5" customFormat="1" x14ac:dyDescent="0.35">
      <c r="A894" s="5" t="s">
        <v>20</v>
      </c>
      <c r="C894" s="5" t="s">
        <v>548</v>
      </c>
      <c r="D894" s="5" t="s">
        <v>468</v>
      </c>
      <c r="E894" s="5">
        <v>72.22</v>
      </c>
      <c r="F894" s="5">
        <v>126.29</v>
      </c>
      <c r="G894" s="5">
        <v>9</v>
      </c>
      <c r="I894" s="37" t="s">
        <v>859</v>
      </c>
      <c r="K894" s="38">
        <v>44039</v>
      </c>
      <c r="N894" s="10">
        <v>-14.422452769279479</v>
      </c>
      <c r="O894" s="39">
        <v>-111.82499658203125</v>
      </c>
      <c r="P894" s="35">
        <f t="shared" si="15"/>
        <v>3.5546255722045856</v>
      </c>
    </row>
    <row r="895" spans="1:16" s="5" customFormat="1" x14ac:dyDescent="0.35">
      <c r="A895" s="5" t="s">
        <v>20</v>
      </c>
      <c r="C895" s="5" t="s">
        <v>548</v>
      </c>
      <c r="D895" s="5" t="s">
        <v>468</v>
      </c>
      <c r="E895" s="5">
        <v>72.22</v>
      </c>
      <c r="F895" s="5">
        <v>126.29</v>
      </c>
      <c r="G895" s="5">
        <v>9</v>
      </c>
      <c r="I895" s="37" t="s">
        <v>860</v>
      </c>
      <c r="K895" s="38">
        <v>44044</v>
      </c>
      <c r="N895" s="10">
        <v>-12.905597890472412</v>
      </c>
      <c r="O895" s="39">
        <v>-94.698754116058353</v>
      </c>
      <c r="P895" s="35">
        <f t="shared" si="15"/>
        <v>8.5460290077209464</v>
      </c>
    </row>
    <row r="896" spans="1:16" s="5" customFormat="1" x14ac:dyDescent="0.35">
      <c r="A896" s="5" t="s">
        <v>20</v>
      </c>
      <c r="C896" s="5" t="s">
        <v>548</v>
      </c>
      <c r="D896" s="5" t="s">
        <v>468</v>
      </c>
      <c r="E896" s="5">
        <v>72.22</v>
      </c>
      <c r="F896" s="5">
        <v>126.29</v>
      </c>
      <c r="G896" s="5">
        <v>9</v>
      </c>
      <c r="I896" s="37" t="s">
        <v>861</v>
      </c>
      <c r="K896" s="38">
        <v>44045</v>
      </c>
      <c r="N896" s="10">
        <v>-12.864825864887237</v>
      </c>
      <c r="O896" s="39">
        <v>-94.153000141143792</v>
      </c>
      <c r="P896" s="35">
        <f t="shared" si="15"/>
        <v>8.7656067779541047</v>
      </c>
    </row>
    <row r="897" spans="1:16" s="5" customFormat="1" x14ac:dyDescent="0.35">
      <c r="A897" s="5" t="s">
        <v>20</v>
      </c>
      <c r="C897" s="5" t="s">
        <v>548</v>
      </c>
      <c r="D897" s="5" t="s">
        <v>468</v>
      </c>
      <c r="E897" s="5">
        <v>72.22</v>
      </c>
      <c r="F897" s="5">
        <v>126.29</v>
      </c>
      <c r="G897" s="5">
        <v>9</v>
      </c>
      <c r="I897" s="37" t="s">
        <v>862</v>
      </c>
      <c r="K897" s="38">
        <v>44048</v>
      </c>
      <c r="N897" s="10">
        <v>-13.33419303894043</v>
      </c>
      <c r="O897" s="39">
        <v>-101.61771226501465</v>
      </c>
      <c r="P897" s="35">
        <f t="shared" si="15"/>
        <v>5.0558320465087974</v>
      </c>
    </row>
    <row r="898" spans="1:16" s="5" customFormat="1" x14ac:dyDescent="0.35">
      <c r="A898" s="5" t="s">
        <v>20</v>
      </c>
      <c r="C898" s="5" t="s">
        <v>548</v>
      </c>
      <c r="D898" s="5" t="s">
        <v>468</v>
      </c>
      <c r="E898" s="5">
        <v>72.22</v>
      </c>
      <c r="F898" s="5">
        <v>126.29</v>
      </c>
      <c r="G898" s="5">
        <v>9</v>
      </c>
      <c r="I898" s="37" t="s">
        <v>863</v>
      </c>
      <c r="K898" s="38">
        <v>44050</v>
      </c>
      <c r="N898" s="10">
        <v>-16.328794374465943</v>
      </c>
      <c r="O898" s="39">
        <v>-129.01908445739747</v>
      </c>
      <c r="P898" s="35">
        <f t="shared" si="15"/>
        <v>1.6112705383300749</v>
      </c>
    </row>
    <row r="899" spans="1:16" s="5" customFormat="1" x14ac:dyDescent="0.35">
      <c r="A899" s="5" t="s">
        <v>20</v>
      </c>
      <c r="C899" s="5" t="s">
        <v>548</v>
      </c>
      <c r="D899" s="5" t="s">
        <v>468</v>
      </c>
      <c r="E899" s="5">
        <v>72.22</v>
      </c>
      <c r="F899" s="5">
        <v>126.29</v>
      </c>
      <c r="G899" s="5">
        <v>9</v>
      </c>
      <c r="I899" s="37" t="s">
        <v>864</v>
      </c>
      <c r="K899" s="38">
        <v>44053</v>
      </c>
      <c r="N899" s="10">
        <v>-17.348422279357909</v>
      </c>
      <c r="O899" s="39">
        <v>-121.26009202575683</v>
      </c>
      <c r="P899" s="35">
        <f t="shared" si="15"/>
        <v>17.527286209106435</v>
      </c>
    </row>
    <row r="900" spans="1:16" s="5" customFormat="1" x14ac:dyDescent="0.35">
      <c r="A900" s="5" t="s">
        <v>20</v>
      </c>
      <c r="C900" s="5" t="s">
        <v>548</v>
      </c>
      <c r="D900" s="5" t="s">
        <v>468</v>
      </c>
      <c r="E900" s="5">
        <v>72.22</v>
      </c>
      <c r="F900" s="5">
        <v>126.29</v>
      </c>
      <c r="G900" s="5">
        <v>9</v>
      </c>
      <c r="I900" s="37" t="s">
        <v>865</v>
      </c>
      <c r="K900" s="38">
        <v>44055</v>
      </c>
      <c r="N900" s="10">
        <v>-16.293597555160524</v>
      </c>
      <c r="O900" s="39">
        <v>-119.65073075866698</v>
      </c>
      <c r="P900" s="35">
        <f t="shared" si="15"/>
        <v>10.69804968261721</v>
      </c>
    </row>
    <row r="901" spans="1:16" s="5" customFormat="1" x14ac:dyDescent="0.35">
      <c r="A901" s="5" t="s">
        <v>20</v>
      </c>
      <c r="C901" s="5" t="s">
        <v>548</v>
      </c>
      <c r="D901" s="5" t="s">
        <v>468</v>
      </c>
      <c r="E901" s="5">
        <v>72.22</v>
      </c>
      <c r="F901" s="5">
        <v>126.29</v>
      </c>
      <c r="G901" s="5">
        <v>9</v>
      </c>
      <c r="I901" s="37" t="s">
        <v>866</v>
      </c>
      <c r="K901" s="38">
        <v>44056</v>
      </c>
      <c r="N901" s="10">
        <v>-16.307064428329468</v>
      </c>
      <c r="O901" s="39">
        <v>-119.46405940628051</v>
      </c>
      <c r="P901" s="35">
        <f t="shared" si="15"/>
        <v>10.992456020355235</v>
      </c>
    </row>
    <row r="902" spans="1:16" s="5" customFormat="1" x14ac:dyDescent="0.35">
      <c r="A902" s="5" t="s">
        <v>20</v>
      </c>
      <c r="C902" s="5" t="s">
        <v>548</v>
      </c>
      <c r="D902" s="5" t="s">
        <v>468</v>
      </c>
      <c r="E902" s="5">
        <v>72.22</v>
      </c>
      <c r="F902" s="5">
        <v>126.29</v>
      </c>
      <c r="G902" s="5">
        <v>9</v>
      </c>
      <c r="I902" s="37" t="s">
        <v>867</v>
      </c>
      <c r="K902" s="38">
        <v>44059</v>
      </c>
      <c r="N902" s="10">
        <v>-13.017424392700196</v>
      </c>
      <c r="O902" s="39">
        <v>-94.831880905151365</v>
      </c>
      <c r="P902" s="35">
        <f t="shared" si="15"/>
        <v>9.3075142364502028</v>
      </c>
    </row>
    <row r="903" spans="1:16" s="5" customFormat="1" x14ac:dyDescent="0.35">
      <c r="A903" s="5" t="s">
        <v>20</v>
      </c>
      <c r="C903" s="5" t="s">
        <v>548</v>
      </c>
      <c r="D903" s="5" t="s">
        <v>468</v>
      </c>
      <c r="E903" s="5">
        <v>72.22</v>
      </c>
      <c r="F903" s="5">
        <v>126.29</v>
      </c>
      <c r="G903" s="5">
        <v>9</v>
      </c>
      <c r="I903" s="37" t="s">
        <v>868</v>
      </c>
      <c r="K903" s="38">
        <v>44063</v>
      </c>
      <c r="N903" s="10">
        <v>-17.144516754150391</v>
      </c>
      <c r="O903" s="39">
        <v>-132.86112506103515</v>
      </c>
      <c r="P903" s="35">
        <f t="shared" si="15"/>
        <v>4.2950089721679774</v>
      </c>
    </row>
    <row r="904" spans="1:16" s="5" customFormat="1" x14ac:dyDescent="0.35">
      <c r="A904" s="5" t="s">
        <v>20</v>
      </c>
      <c r="C904" s="5" t="s">
        <v>548</v>
      </c>
      <c r="D904" s="5" t="s">
        <v>468</v>
      </c>
      <c r="E904" s="5">
        <v>72.22</v>
      </c>
      <c r="F904" s="5">
        <v>126.29</v>
      </c>
      <c r="G904" s="5">
        <v>9</v>
      </c>
      <c r="I904" s="37" t="s">
        <v>869</v>
      </c>
      <c r="K904" s="38">
        <v>44064</v>
      </c>
      <c r="N904" s="10">
        <v>-14.837025928497315</v>
      </c>
      <c r="O904" s="39">
        <v>-108.09156211853028</v>
      </c>
      <c r="P904" s="35">
        <f t="shared" si="15"/>
        <v>10.604645309448244</v>
      </c>
    </row>
    <row r="905" spans="1:16" s="5" customFormat="1" x14ac:dyDescent="0.35">
      <c r="A905" s="5" t="s">
        <v>20</v>
      </c>
      <c r="C905" s="5" t="s">
        <v>548</v>
      </c>
      <c r="D905" s="5" t="s">
        <v>468</v>
      </c>
      <c r="E905" s="5">
        <v>72.22</v>
      </c>
      <c r="F905" s="5">
        <v>126.29</v>
      </c>
      <c r="G905" s="5">
        <v>9</v>
      </c>
      <c r="I905" s="37" t="s">
        <v>870</v>
      </c>
      <c r="K905" s="38">
        <v>44065</v>
      </c>
      <c r="N905" s="10">
        <v>-15.590098667144776</v>
      </c>
      <c r="O905" s="39">
        <v>-113.51144174194336</v>
      </c>
      <c r="P905" s="35">
        <f t="shared" si="15"/>
        <v>11.209347595214851</v>
      </c>
    </row>
    <row r="906" spans="1:16" s="5" customFormat="1" x14ac:dyDescent="0.35">
      <c r="A906" s="5" t="s">
        <v>20</v>
      </c>
      <c r="C906" s="5" t="s">
        <v>548</v>
      </c>
      <c r="D906" s="5" t="s">
        <v>468</v>
      </c>
      <c r="E906" s="5">
        <v>72.22</v>
      </c>
      <c r="F906" s="5">
        <v>126.29</v>
      </c>
      <c r="G906" s="5">
        <v>9</v>
      </c>
      <c r="I906" s="36" t="s">
        <v>871</v>
      </c>
      <c r="K906" s="34">
        <v>44079</v>
      </c>
      <c r="N906" s="7">
        <v>-14.058082037353516</v>
      </c>
      <c r="O906" s="35">
        <v>-109.24952792358398</v>
      </c>
      <c r="P906" s="35">
        <f t="shared" si="15"/>
        <v>3.2151283752441486</v>
      </c>
    </row>
    <row r="907" spans="1:16" s="5" customFormat="1" x14ac:dyDescent="0.35">
      <c r="A907" s="5" t="s">
        <v>20</v>
      </c>
      <c r="C907" s="5" t="s">
        <v>548</v>
      </c>
      <c r="D907" s="5" t="s">
        <v>468</v>
      </c>
      <c r="E907" s="5">
        <v>72.22</v>
      </c>
      <c r="F907" s="5">
        <v>126.29</v>
      </c>
      <c r="G907" s="5">
        <v>9</v>
      </c>
      <c r="I907" s="36" t="s">
        <v>872</v>
      </c>
      <c r="K907" s="34">
        <v>44088</v>
      </c>
      <c r="N907" s="7">
        <v>-15.238795781517029</v>
      </c>
      <c r="O907" s="35">
        <v>-114.15163737487794</v>
      </c>
      <c r="P907" s="35">
        <f t="shared" si="15"/>
        <v>7.7587288772582923</v>
      </c>
    </row>
    <row r="908" spans="1:16" s="5" customFormat="1" x14ac:dyDescent="0.35">
      <c r="A908" s="5" t="s">
        <v>20</v>
      </c>
      <c r="C908" s="5" t="s">
        <v>548</v>
      </c>
      <c r="D908" s="5" t="s">
        <v>468</v>
      </c>
      <c r="E908" s="5">
        <v>72.22</v>
      </c>
      <c r="F908" s="5">
        <v>126.29</v>
      </c>
      <c r="G908" s="5">
        <v>9</v>
      </c>
      <c r="I908" s="36" t="s">
        <v>873</v>
      </c>
      <c r="K908" s="34">
        <v>44089</v>
      </c>
      <c r="N908" s="7">
        <v>-18.390076152420043</v>
      </c>
      <c r="O908" s="35">
        <v>-132.34440015106202</v>
      </c>
      <c r="P908" s="35">
        <f t="shared" si="15"/>
        <v>14.776209068298328</v>
      </c>
    </row>
    <row r="909" spans="1:16" s="5" customFormat="1" x14ac:dyDescent="0.35">
      <c r="A909" s="5" t="s">
        <v>20</v>
      </c>
      <c r="C909" s="5" t="s">
        <v>548</v>
      </c>
      <c r="D909" s="5" t="s">
        <v>468</v>
      </c>
      <c r="E909" s="5">
        <v>72.22</v>
      </c>
      <c r="F909" s="5">
        <v>126.29</v>
      </c>
      <c r="G909" s="5">
        <v>9</v>
      </c>
      <c r="I909" s="36" t="s">
        <v>874</v>
      </c>
      <c r="K909" s="34">
        <v>44090</v>
      </c>
      <c r="N909" s="7">
        <v>-13.388828043556213</v>
      </c>
      <c r="O909" s="35">
        <v>-101.17994216995238</v>
      </c>
      <c r="P909" s="35">
        <f t="shared" si="15"/>
        <v>5.9306821784973209</v>
      </c>
    </row>
    <row r="910" spans="1:16" s="5" customFormat="1" x14ac:dyDescent="0.35">
      <c r="A910" s="5" t="s">
        <v>20</v>
      </c>
      <c r="C910" s="5" t="s">
        <v>548</v>
      </c>
      <c r="D910" s="5" t="s">
        <v>468</v>
      </c>
      <c r="E910" s="5">
        <v>72.22</v>
      </c>
      <c r="F910" s="5">
        <v>126.29</v>
      </c>
      <c r="G910" s="5">
        <v>9</v>
      </c>
      <c r="I910" s="36" t="s">
        <v>875</v>
      </c>
      <c r="K910" s="34">
        <v>44091</v>
      </c>
      <c r="N910" s="7">
        <v>-12.681754115200043</v>
      </c>
      <c r="O910" s="35">
        <v>-96.734861553955071</v>
      </c>
      <c r="P910" s="35">
        <f t="shared" si="15"/>
        <v>4.7191713676452736</v>
      </c>
    </row>
    <row r="911" spans="1:16" s="5" customFormat="1" x14ac:dyDescent="0.35">
      <c r="A911" s="5" t="s">
        <v>20</v>
      </c>
      <c r="C911" s="5" t="s">
        <v>548</v>
      </c>
      <c r="D911" s="5" t="s">
        <v>468</v>
      </c>
      <c r="E911" s="5">
        <v>72.22</v>
      </c>
      <c r="F911" s="5">
        <v>126.29</v>
      </c>
      <c r="G911" s="5">
        <v>9</v>
      </c>
      <c r="I911" s="36" t="s">
        <v>876</v>
      </c>
      <c r="K911" s="34">
        <v>44092</v>
      </c>
      <c r="N911" s="7">
        <v>-12.727593401527404</v>
      </c>
      <c r="O911" s="35">
        <v>-97.334215255737305</v>
      </c>
      <c r="P911" s="35">
        <f t="shared" si="15"/>
        <v>4.4865319564819259</v>
      </c>
    </row>
    <row r="912" spans="1:16" s="5" customFormat="1" x14ac:dyDescent="0.35">
      <c r="A912" s="5" t="s">
        <v>20</v>
      </c>
      <c r="C912" s="5" t="s">
        <v>548</v>
      </c>
      <c r="D912" s="5" t="s">
        <v>468</v>
      </c>
      <c r="E912" s="5">
        <v>72.22</v>
      </c>
      <c r="F912" s="5">
        <v>126.29</v>
      </c>
      <c r="G912" s="5">
        <v>9</v>
      </c>
      <c r="I912" s="36" t="s">
        <v>877</v>
      </c>
      <c r="K912" s="34">
        <v>44102</v>
      </c>
      <c r="N912" s="7">
        <v>-16.599260442657471</v>
      </c>
      <c r="O912" s="35">
        <v>-123.08180438232421</v>
      </c>
      <c r="P912" s="35">
        <f t="shared" si="15"/>
        <v>9.7122791589355586</v>
      </c>
    </row>
    <row r="913" spans="1:16" s="5" customFormat="1" x14ac:dyDescent="0.35">
      <c r="A913" s="5" t="s">
        <v>20</v>
      </c>
      <c r="C913" s="5" t="s">
        <v>548</v>
      </c>
      <c r="D913" s="5" t="s">
        <v>468</v>
      </c>
      <c r="E913" s="5">
        <v>72.22</v>
      </c>
      <c r="F913" s="5">
        <v>126.29</v>
      </c>
      <c r="G913" s="5">
        <v>9</v>
      </c>
      <c r="I913" s="36" t="s">
        <v>878</v>
      </c>
      <c r="K913" s="34">
        <v>44103</v>
      </c>
      <c r="N913" s="7">
        <v>-16.558322175903321</v>
      </c>
      <c r="O913" s="35">
        <v>-123.3423108215332</v>
      </c>
      <c r="P913" s="35">
        <f t="shared" si="15"/>
        <v>9.1242665856933627</v>
      </c>
    </row>
    <row r="914" spans="1:16" s="5" customFormat="1" x14ac:dyDescent="0.35">
      <c r="A914" s="5" t="s">
        <v>20</v>
      </c>
      <c r="C914" s="5" t="s">
        <v>548</v>
      </c>
      <c r="D914" s="5" t="s">
        <v>468</v>
      </c>
      <c r="E914" s="5">
        <v>72.22</v>
      </c>
      <c r="F914" s="5">
        <v>126.29</v>
      </c>
      <c r="G914" s="5">
        <v>9</v>
      </c>
      <c r="I914" s="36" t="s">
        <v>879</v>
      </c>
      <c r="K914" s="34">
        <v>44104</v>
      </c>
      <c r="N914" s="7">
        <v>-16.58222033302307</v>
      </c>
      <c r="O914" s="35">
        <v>-123.87478930664062</v>
      </c>
      <c r="P914" s="35">
        <f t="shared" si="15"/>
        <v>8.7829733575439377</v>
      </c>
    </row>
    <row r="915" spans="1:16" s="5" customFormat="1" x14ac:dyDescent="0.35">
      <c r="A915" s="5" t="s">
        <v>20</v>
      </c>
      <c r="C915" s="5" t="s">
        <v>548</v>
      </c>
      <c r="D915" s="5" t="s">
        <v>468</v>
      </c>
      <c r="E915" s="5">
        <v>72.22</v>
      </c>
      <c r="F915" s="5">
        <v>126.29</v>
      </c>
      <c r="G915" s="5">
        <v>9</v>
      </c>
      <c r="I915" s="36" t="s">
        <v>880</v>
      </c>
      <c r="K915" s="34">
        <v>44105</v>
      </c>
      <c r="N915" s="7">
        <v>-16.550188745422364</v>
      </c>
      <c r="O915" s="35">
        <v>-123.37039324951172</v>
      </c>
      <c r="P915" s="35">
        <f t="shared" si="15"/>
        <v>9.0311167138671919</v>
      </c>
    </row>
    <row r="916" spans="1:16" s="5" customFormat="1" x14ac:dyDescent="0.35">
      <c r="A916" s="5" t="s">
        <v>20</v>
      </c>
      <c r="C916" s="5" t="s">
        <v>548</v>
      </c>
      <c r="D916" s="5" t="s">
        <v>468</v>
      </c>
      <c r="E916" s="5">
        <v>72.22</v>
      </c>
      <c r="F916" s="5">
        <v>126.29</v>
      </c>
      <c r="G916" s="5">
        <v>9</v>
      </c>
      <c r="I916" s="36" t="s">
        <v>881</v>
      </c>
      <c r="K916" s="34">
        <v>44107</v>
      </c>
      <c r="N916" s="7">
        <v>-25.01164658729553</v>
      </c>
      <c r="O916" s="35">
        <v>-191.85224139404298</v>
      </c>
      <c r="P916" s="35">
        <f t="shared" si="15"/>
        <v>8.2409313043212649</v>
      </c>
    </row>
    <row r="917" spans="1:16" s="5" customFormat="1" x14ac:dyDescent="0.35">
      <c r="A917" s="5" t="s">
        <v>20</v>
      </c>
      <c r="C917" s="5" t="s">
        <v>548</v>
      </c>
      <c r="D917" s="5" t="s">
        <v>468</v>
      </c>
      <c r="E917" s="5">
        <v>72.22</v>
      </c>
      <c r="F917" s="5">
        <v>126.29</v>
      </c>
      <c r="G917" s="5">
        <v>9</v>
      </c>
      <c r="I917" s="36" t="s">
        <v>882</v>
      </c>
      <c r="K917" s="34">
        <v>44109</v>
      </c>
      <c r="N917" s="7">
        <v>-20.697241659088135</v>
      </c>
      <c r="O917" s="35">
        <v>-151.75547396850587</v>
      </c>
      <c r="P917" s="35">
        <f t="shared" si="15"/>
        <v>13.822459304199214</v>
      </c>
    </row>
    <row r="918" spans="1:16" s="5" customFormat="1" x14ac:dyDescent="0.35">
      <c r="A918" s="5" t="s">
        <v>20</v>
      </c>
      <c r="C918" s="5" t="s">
        <v>548</v>
      </c>
      <c r="D918" s="5" t="s">
        <v>468</v>
      </c>
      <c r="E918" s="5">
        <v>72.22</v>
      </c>
      <c r="F918" s="5">
        <v>126.29</v>
      </c>
      <c r="G918" s="5">
        <v>9</v>
      </c>
      <c r="I918" s="36" t="s">
        <v>883</v>
      </c>
      <c r="K918" s="34">
        <v>44110</v>
      </c>
      <c r="N918" s="7">
        <v>-20.779900764083859</v>
      </c>
      <c r="O918" s="35">
        <v>-153.38550187683106</v>
      </c>
      <c r="P918" s="35">
        <f t="shared" si="15"/>
        <v>12.853704235839814</v>
      </c>
    </row>
    <row r="919" spans="1:16" s="5" customFormat="1" x14ac:dyDescent="0.35">
      <c r="A919" s="5" t="s">
        <v>20</v>
      </c>
      <c r="C919" s="5" t="s">
        <v>548</v>
      </c>
      <c r="D919" s="5" t="s">
        <v>468</v>
      </c>
      <c r="E919" s="5">
        <v>72.22</v>
      </c>
      <c r="F919" s="5">
        <v>126.29</v>
      </c>
      <c r="G919" s="5">
        <v>9</v>
      </c>
      <c r="I919" s="36" t="s">
        <v>884</v>
      </c>
      <c r="K919" s="34">
        <v>44111</v>
      </c>
      <c r="N919" s="7">
        <v>-19.74591362342834</v>
      </c>
      <c r="O919" s="35">
        <v>-148.93365536499024</v>
      </c>
      <c r="P919" s="35">
        <f t="shared" si="15"/>
        <v>9.033653622436475</v>
      </c>
    </row>
    <row r="920" spans="1:16" s="5" customFormat="1" x14ac:dyDescent="0.35">
      <c r="A920" s="5" t="s">
        <v>20</v>
      </c>
      <c r="C920" s="5" t="s">
        <v>548</v>
      </c>
      <c r="D920" s="5" t="s">
        <v>468</v>
      </c>
      <c r="E920" s="5">
        <v>72.22</v>
      </c>
      <c r="F920" s="5">
        <v>126.29</v>
      </c>
      <c r="G920" s="5">
        <v>9</v>
      </c>
      <c r="I920" s="36" t="s">
        <v>885</v>
      </c>
      <c r="K920" s="34">
        <v>44112</v>
      </c>
      <c r="N920" s="7">
        <v>-19.853266872024538</v>
      </c>
      <c r="O920" s="35">
        <v>-149.08383792114259</v>
      </c>
      <c r="P920" s="35">
        <f t="shared" si="15"/>
        <v>9.7422970550537116</v>
      </c>
    </row>
    <row r="921" spans="1:16" s="5" customFormat="1" x14ac:dyDescent="0.35">
      <c r="A921" s="5" t="s">
        <v>20</v>
      </c>
      <c r="C921" s="5" t="s">
        <v>548</v>
      </c>
      <c r="D921" s="5" t="s">
        <v>468</v>
      </c>
      <c r="E921" s="5">
        <v>72.22</v>
      </c>
      <c r="F921" s="5">
        <v>126.29</v>
      </c>
      <c r="G921" s="5">
        <v>9</v>
      </c>
      <c r="I921" s="36" t="s">
        <v>886</v>
      </c>
      <c r="K921" s="34">
        <v>44114</v>
      </c>
      <c r="N921" s="7">
        <v>-21.855413392639157</v>
      </c>
      <c r="O921" s="35">
        <v>-159.64941870117187</v>
      </c>
      <c r="P921" s="35">
        <f t="shared" si="15"/>
        <v>15.193888439941389</v>
      </c>
    </row>
    <row r="922" spans="1:16" s="5" customFormat="1" x14ac:dyDescent="0.35">
      <c r="A922" s="5" t="s">
        <v>20</v>
      </c>
      <c r="C922" s="5" t="s">
        <v>548</v>
      </c>
      <c r="D922" s="5" t="s">
        <v>468</v>
      </c>
      <c r="E922" s="5">
        <v>72.22</v>
      </c>
      <c r="F922" s="5">
        <v>126.29</v>
      </c>
      <c r="G922" s="5">
        <v>9</v>
      </c>
      <c r="I922" s="36" t="s">
        <v>887</v>
      </c>
      <c r="K922" s="34">
        <v>44115</v>
      </c>
      <c r="N922" s="7">
        <v>-21.851253751373292</v>
      </c>
      <c r="O922" s="35">
        <v>-159.7392240142822</v>
      </c>
      <c r="P922" s="35">
        <f t="shared" si="15"/>
        <v>15.070805996704138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59CF-5D7A-420C-9884-2D8635C0B517}">
  <dimension ref="A1:T114"/>
  <sheetViews>
    <sheetView zoomScale="85" zoomScaleNormal="85" workbookViewId="0">
      <selection activeCell="K3" sqref="A1:T108"/>
    </sheetView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32.1796875" style="5" bestFit="1" customWidth="1"/>
    <col min="4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37.90625" style="5" bestFit="1" customWidth="1"/>
    <col min="10" max="10" width="10.54296875" style="5" bestFit="1" customWidth="1"/>
    <col min="11" max="13" width="17.542968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20</v>
      </c>
      <c r="B2" s="6" t="s">
        <v>21</v>
      </c>
      <c r="C2" s="6" t="s">
        <v>22</v>
      </c>
      <c r="D2" s="6" t="s">
        <v>23</v>
      </c>
      <c r="E2" s="7">
        <v>67.966667000000001</v>
      </c>
      <c r="F2" s="7">
        <v>24.116667</v>
      </c>
      <c r="G2" s="7">
        <v>342</v>
      </c>
      <c r="I2" s="5" t="s">
        <v>24</v>
      </c>
      <c r="J2" s="6" t="s">
        <v>100</v>
      </c>
      <c r="K2" s="8">
        <v>43769</v>
      </c>
      <c r="L2" s="8"/>
      <c r="M2" s="8"/>
      <c r="N2" s="9">
        <v>-20.76</v>
      </c>
      <c r="O2" s="41">
        <v>-149.63999999999999</v>
      </c>
      <c r="P2" s="41">
        <f t="shared" ref="P2:P33" si="0">O2-(8*N2)</f>
        <v>16.440000000000026</v>
      </c>
      <c r="Q2" s="7">
        <v>-1</v>
      </c>
      <c r="R2" s="7">
        <v>-10.237500000000001</v>
      </c>
      <c r="S2" s="7">
        <v>1009.2583333333333</v>
      </c>
      <c r="T2" s="7">
        <v>91.25</v>
      </c>
    </row>
    <row r="3" spans="1:20" ht="14.25" customHeight="1" x14ac:dyDescent="0.35">
      <c r="A3" s="5" t="s">
        <v>20</v>
      </c>
      <c r="B3" s="6" t="s">
        <v>21</v>
      </c>
      <c r="C3" s="6" t="s">
        <v>22</v>
      </c>
      <c r="D3" s="6" t="s">
        <v>23</v>
      </c>
      <c r="E3" s="7">
        <v>67.966667000000001</v>
      </c>
      <c r="F3" s="7">
        <v>24.116667</v>
      </c>
      <c r="G3" s="7">
        <v>342</v>
      </c>
      <c r="I3" s="5" t="s">
        <v>25</v>
      </c>
      <c r="J3" s="6" t="s">
        <v>100</v>
      </c>
      <c r="K3" s="8">
        <v>43773</v>
      </c>
      <c r="L3" s="8"/>
      <c r="M3" s="8"/>
      <c r="N3" s="9">
        <v>-19.7</v>
      </c>
      <c r="O3" s="41">
        <v>-142.12</v>
      </c>
      <c r="P3" s="41">
        <f t="shared" si="0"/>
        <v>15.47999999999999</v>
      </c>
      <c r="Q3" s="7">
        <v>-1</v>
      </c>
      <c r="R3" s="7">
        <v>-10.608333333333331</v>
      </c>
      <c r="S3" s="7">
        <v>1003.8333333333334</v>
      </c>
      <c r="T3" s="7">
        <v>90.625</v>
      </c>
    </row>
    <row r="4" spans="1:20" ht="14.25" customHeight="1" x14ac:dyDescent="0.35">
      <c r="A4" s="5" t="s">
        <v>20</v>
      </c>
      <c r="B4" s="6" t="s">
        <v>21</v>
      </c>
      <c r="C4" s="6" t="s">
        <v>22</v>
      </c>
      <c r="D4" s="6" t="s">
        <v>23</v>
      </c>
      <c r="E4" s="7">
        <v>67.966667000000001</v>
      </c>
      <c r="F4" s="7">
        <v>24.116667</v>
      </c>
      <c r="G4" s="7">
        <v>342</v>
      </c>
      <c r="I4" s="5" t="s">
        <v>26</v>
      </c>
      <c r="J4" s="6" t="s">
        <v>100</v>
      </c>
      <c r="K4" s="8">
        <v>43780</v>
      </c>
      <c r="L4" s="8"/>
      <c r="M4" s="8"/>
      <c r="N4" s="9">
        <v>-18.36</v>
      </c>
      <c r="O4" s="41">
        <v>-125.39</v>
      </c>
      <c r="P4" s="41">
        <f t="shared" si="0"/>
        <v>21.489999999999995</v>
      </c>
      <c r="Q4" s="7">
        <v>4.3</v>
      </c>
      <c r="R4" s="7">
        <v>-11.75</v>
      </c>
      <c r="S4" s="7">
        <v>1021.3208333333332</v>
      </c>
      <c r="T4" s="7">
        <v>89.958333333333329</v>
      </c>
    </row>
    <row r="5" spans="1:20" ht="14.25" customHeight="1" x14ac:dyDescent="0.35">
      <c r="A5" s="5" t="s">
        <v>20</v>
      </c>
      <c r="B5" s="6" t="s">
        <v>21</v>
      </c>
      <c r="C5" s="6" t="s">
        <v>22</v>
      </c>
      <c r="D5" s="6" t="s">
        <v>23</v>
      </c>
      <c r="E5" s="7">
        <v>67.966667000000001</v>
      </c>
      <c r="F5" s="7">
        <v>24.116667</v>
      </c>
      <c r="G5" s="7">
        <v>342</v>
      </c>
      <c r="I5" s="5" t="s">
        <v>26</v>
      </c>
      <c r="J5" s="6" t="s">
        <v>100</v>
      </c>
      <c r="K5" s="8">
        <v>43780</v>
      </c>
      <c r="L5" s="8"/>
      <c r="M5" s="8"/>
      <c r="N5" s="9">
        <v>-16.79</v>
      </c>
      <c r="O5" s="41">
        <v>-113.44</v>
      </c>
      <c r="P5" s="41">
        <f t="shared" si="0"/>
        <v>20.879999999999995</v>
      </c>
      <c r="Q5" s="7">
        <v>4.3</v>
      </c>
      <c r="R5" s="7">
        <v>-11.75</v>
      </c>
      <c r="S5" s="7">
        <v>1021.3208333333332</v>
      </c>
      <c r="T5" s="7">
        <v>89.958333333333329</v>
      </c>
    </row>
    <row r="6" spans="1:20" ht="14.25" customHeight="1" x14ac:dyDescent="0.35">
      <c r="A6" s="5" t="s">
        <v>20</v>
      </c>
      <c r="B6" s="6" t="s">
        <v>21</v>
      </c>
      <c r="C6" s="6" t="s">
        <v>22</v>
      </c>
      <c r="D6" s="6" t="s">
        <v>23</v>
      </c>
      <c r="E6" s="7">
        <v>67.966667000000001</v>
      </c>
      <c r="F6" s="7">
        <v>24.116667</v>
      </c>
      <c r="G6" s="7">
        <v>342</v>
      </c>
      <c r="I6" s="5" t="s">
        <v>573</v>
      </c>
      <c r="J6" s="6" t="s">
        <v>100</v>
      </c>
      <c r="K6" s="8">
        <v>43781</v>
      </c>
      <c r="L6" s="8"/>
      <c r="M6" s="8"/>
      <c r="N6" s="9">
        <v>-28.44</v>
      </c>
      <c r="O6" s="39">
        <v>-211.4</v>
      </c>
      <c r="P6" s="41">
        <f t="shared" si="0"/>
        <v>16.120000000000005</v>
      </c>
      <c r="Q6" s="7">
        <v>4.2</v>
      </c>
      <c r="R6" s="7">
        <v>-9.5</v>
      </c>
      <c r="S6" s="7"/>
      <c r="T6" s="7"/>
    </row>
    <row r="7" spans="1:20" ht="14.25" customHeight="1" x14ac:dyDescent="0.35">
      <c r="A7" s="5" t="s">
        <v>20</v>
      </c>
      <c r="B7" s="6" t="s">
        <v>21</v>
      </c>
      <c r="C7" s="6" t="s">
        <v>22</v>
      </c>
      <c r="D7" s="6" t="s">
        <v>23</v>
      </c>
      <c r="E7" s="7">
        <v>67.966667000000001</v>
      </c>
      <c r="F7" s="7">
        <v>24.116667</v>
      </c>
      <c r="G7" s="7">
        <v>342</v>
      </c>
      <c r="I7" s="5" t="s">
        <v>27</v>
      </c>
      <c r="J7" s="6" t="s">
        <v>100</v>
      </c>
      <c r="K7" s="8">
        <v>43782</v>
      </c>
      <c r="L7" s="8"/>
      <c r="M7" s="8"/>
      <c r="N7" s="9">
        <v>-21.47</v>
      </c>
      <c r="O7" s="41">
        <v>-154.87</v>
      </c>
      <c r="P7" s="41">
        <f t="shared" si="0"/>
        <v>16.889999999999986</v>
      </c>
      <c r="Q7" s="7">
        <v>9.6</v>
      </c>
      <c r="R7" s="7">
        <v>-3.9208333333333343</v>
      </c>
      <c r="S7" s="7">
        <v>1009.9625</v>
      </c>
      <c r="T7" s="7">
        <v>96.5</v>
      </c>
    </row>
    <row r="8" spans="1:20" ht="14.25" customHeight="1" x14ac:dyDescent="0.35">
      <c r="A8" s="5" t="s">
        <v>20</v>
      </c>
      <c r="B8" s="6" t="s">
        <v>21</v>
      </c>
      <c r="C8" s="6" t="s">
        <v>22</v>
      </c>
      <c r="D8" s="6" t="s">
        <v>23</v>
      </c>
      <c r="E8" s="7">
        <v>67.966667000000001</v>
      </c>
      <c r="F8" s="7">
        <v>24.116667</v>
      </c>
      <c r="G8" s="7">
        <v>342</v>
      </c>
      <c r="I8" s="5" t="s">
        <v>28</v>
      </c>
      <c r="J8" s="6" t="s">
        <v>100</v>
      </c>
      <c r="K8" s="8">
        <v>43783</v>
      </c>
      <c r="L8" s="8"/>
      <c r="M8" s="8"/>
      <c r="N8" s="9">
        <v>-23.26</v>
      </c>
      <c r="O8" s="41">
        <v>-171.81</v>
      </c>
      <c r="P8" s="41">
        <f t="shared" si="0"/>
        <v>14.27000000000001</v>
      </c>
      <c r="Q8" s="7">
        <v>1</v>
      </c>
      <c r="R8" s="7">
        <v>-2.4333333333333336</v>
      </c>
      <c r="S8" s="7">
        <v>1007.3916666666665</v>
      </c>
      <c r="T8" s="7">
        <v>97.583333333333329</v>
      </c>
    </row>
    <row r="9" spans="1:20" ht="14.25" customHeight="1" x14ac:dyDescent="0.35">
      <c r="A9" s="5" t="s">
        <v>20</v>
      </c>
      <c r="B9" s="6" t="s">
        <v>21</v>
      </c>
      <c r="C9" s="6" t="s">
        <v>22</v>
      </c>
      <c r="D9" s="6" t="s">
        <v>23</v>
      </c>
      <c r="E9" s="7">
        <v>67.966667000000001</v>
      </c>
      <c r="F9" s="7">
        <v>24.116667</v>
      </c>
      <c r="G9" s="7">
        <v>342</v>
      </c>
      <c r="I9" s="5" t="s">
        <v>29</v>
      </c>
      <c r="J9" s="6" t="s">
        <v>100</v>
      </c>
      <c r="K9" s="8">
        <v>43787</v>
      </c>
      <c r="L9" s="8"/>
      <c r="M9" s="8"/>
      <c r="N9" s="9">
        <v>-18</v>
      </c>
      <c r="O9" s="41">
        <v>-128.21</v>
      </c>
      <c r="P9" s="41">
        <f t="shared" si="0"/>
        <v>15.789999999999992</v>
      </c>
      <c r="Q9" s="7">
        <v>0.2</v>
      </c>
      <c r="R9" s="7">
        <v>-7.2416666666666671</v>
      </c>
      <c r="S9" s="7">
        <v>1027.3583333333333</v>
      </c>
      <c r="T9" s="7">
        <v>93.75</v>
      </c>
    </row>
    <row r="10" spans="1:20" ht="14.25" customHeight="1" x14ac:dyDescent="0.35">
      <c r="A10" s="5" t="s">
        <v>20</v>
      </c>
      <c r="B10" s="6" t="s">
        <v>21</v>
      </c>
      <c r="C10" s="6" t="s">
        <v>22</v>
      </c>
      <c r="D10" s="6" t="s">
        <v>23</v>
      </c>
      <c r="E10" s="7">
        <v>67.966667000000001</v>
      </c>
      <c r="F10" s="7">
        <v>24.116667</v>
      </c>
      <c r="G10" s="7">
        <v>342</v>
      </c>
      <c r="I10" s="5" t="s">
        <v>30</v>
      </c>
      <c r="J10" s="6" t="s">
        <v>100</v>
      </c>
      <c r="K10" s="8">
        <v>43788</v>
      </c>
      <c r="L10" s="8"/>
      <c r="M10" s="8"/>
      <c r="N10" s="9">
        <v>-27.99</v>
      </c>
      <c r="O10" s="41">
        <v>-211.62</v>
      </c>
      <c r="P10" s="41">
        <f t="shared" si="0"/>
        <v>12.299999999999983</v>
      </c>
      <c r="Q10" s="7">
        <v>1.4</v>
      </c>
      <c r="R10" s="7">
        <v>-2.3458333333333337</v>
      </c>
      <c r="S10" s="7">
        <v>1027.0916666666667</v>
      </c>
      <c r="T10" s="7">
        <v>98</v>
      </c>
    </row>
    <row r="11" spans="1:20" ht="14.25" customHeight="1" x14ac:dyDescent="0.35">
      <c r="A11" s="5" t="s">
        <v>20</v>
      </c>
      <c r="B11" s="6" t="s">
        <v>21</v>
      </c>
      <c r="C11" s="6" t="s">
        <v>22</v>
      </c>
      <c r="D11" s="6" t="s">
        <v>23</v>
      </c>
      <c r="E11" s="7">
        <v>67.966667000000001</v>
      </c>
      <c r="F11" s="7">
        <v>24.116667</v>
      </c>
      <c r="G11" s="7">
        <v>342</v>
      </c>
      <c r="I11" s="5" t="s">
        <v>31</v>
      </c>
      <c r="J11" s="6" t="s">
        <v>100</v>
      </c>
      <c r="K11" s="8">
        <v>43789</v>
      </c>
      <c r="L11" s="8"/>
      <c r="M11" s="8"/>
      <c r="N11" s="9">
        <v>-13.73</v>
      </c>
      <c r="O11" s="41">
        <v>-96.49</v>
      </c>
      <c r="P11" s="41">
        <f t="shared" si="0"/>
        <v>13.350000000000009</v>
      </c>
      <c r="Q11" s="7">
        <v>1.7</v>
      </c>
      <c r="R11" s="7">
        <v>-0.25833333333333336</v>
      </c>
      <c r="S11" s="7">
        <v>1023.4666666666668</v>
      </c>
      <c r="T11" s="7">
        <v>99.666666666666671</v>
      </c>
    </row>
    <row r="12" spans="1:20" ht="14.25" customHeight="1" x14ac:dyDescent="0.35">
      <c r="A12" s="5" t="s">
        <v>20</v>
      </c>
      <c r="B12" s="6" t="s">
        <v>21</v>
      </c>
      <c r="C12" s="6" t="s">
        <v>22</v>
      </c>
      <c r="D12" s="6" t="s">
        <v>23</v>
      </c>
      <c r="E12" s="7">
        <v>67.966667000000001</v>
      </c>
      <c r="F12" s="7">
        <v>24.116667</v>
      </c>
      <c r="G12" s="7">
        <v>342</v>
      </c>
      <c r="I12" s="5" t="s">
        <v>32</v>
      </c>
      <c r="J12" s="6" t="s">
        <v>100</v>
      </c>
      <c r="K12" s="8">
        <v>43794</v>
      </c>
      <c r="L12" s="8"/>
      <c r="M12" s="8"/>
      <c r="N12" s="9">
        <v>-14.57</v>
      </c>
      <c r="O12" s="41">
        <v>-105.41</v>
      </c>
      <c r="P12" s="41">
        <f t="shared" si="0"/>
        <v>11.150000000000006</v>
      </c>
      <c r="Q12" s="7">
        <v>-1</v>
      </c>
      <c r="R12" s="7">
        <v>-3.7250000000000001</v>
      </c>
      <c r="S12" s="7">
        <v>1013.3166666666667</v>
      </c>
      <c r="T12" s="7">
        <v>96.5</v>
      </c>
    </row>
    <row r="13" spans="1:20" ht="14.25" customHeight="1" x14ac:dyDescent="0.35">
      <c r="A13" s="5" t="s">
        <v>20</v>
      </c>
      <c r="B13" s="6" t="s">
        <v>21</v>
      </c>
      <c r="C13" s="6" t="s">
        <v>22</v>
      </c>
      <c r="D13" s="6" t="s">
        <v>23</v>
      </c>
      <c r="E13" s="7">
        <v>67.966667000000001</v>
      </c>
      <c r="F13" s="7">
        <v>24.116667</v>
      </c>
      <c r="G13" s="7">
        <v>342</v>
      </c>
      <c r="I13" s="5" t="s">
        <v>33</v>
      </c>
      <c r="J13" s="6" t="s">
        <v>100</v>
      </c>
      <c r="K13" s="8">
        <v>43794</v>
      </c>
      <c r="L13" s="8"/>
      <c r="M13" s="8"/>
      <c r="N13" s="9">
        <v>-24.83</v>
      </c>
      <c r="O13" s="41">
        <v>-186.48</v>
      </c>
      <c r="P13" s="41">
        <f t="shared" si="0"/>
        <v>12.159999999999997</v>
      </c>
      <c r="Q13" s="7">
        <v>-1</v>
      </c>
      <c r="R13" s="7">
        <v>-3.7250000000000001</v>
      </c>
      <c r="S13" s="7">
        <v>1013.3166666666667</v>
      </c>
      <c r="T13" s="7">
        <v>96.5</v>
      </c>
    </row>
    <row r="14" spans="1:20" ht="14.25" customHeight="1" x14ac:dyDescent="0.35">
      <c r="A14" s="5" t="s">
        <v>20</v>
      </c>
      <c r="B14" s="6" t="s">
        <v>21</v>
      </c>
      <c r="C14" s="6" t="s">
        <v>22</v>
      </c>
      <c r="D14" s="6" t="s">
        <v>23</v>
      </c>
      <c r="E14" s="7">
        <v>67.966667000000001</v>
      </c>
      <c r="F14" s="7">
        <v>24.116667</v>
      </c>
      <c r="G14" s="7">
        <v>342</v>
      </c>
      <c r="I14" s="5" t="s">
        <v>34</v>
      </c>
      <c r="J14" s="6" t="s">
        <v>100</v>
      </c>
      <c r="K14" s="8">
        <v>43801</v>
      </c>
      <c r="L14" s="8"/>
      <c r="M14" s="8"/>
      <c r="N14" s="9">
        <v>-17.96</v>
      </c>
      <c r="O14" s="41">
        <v>-134.37</v>
      </c>
      <c r="P14" s="41">
        <f t="shared" si="0"/>
        <v>9.3100000000000023</v>
      </c>
      <c r="Q14" s="7">
        <v>2.6</v>
      </c>
      <c r="R14" s="7">
        <v>-4.458333333333333</v>
      </c>
      <c r="S14" s="7">
        <v>989.47499999999991</v>
      </c>
      <c r="T14" s="7">
        <v>89.125</v>
      </c>
    </row>
    <row r="15" spans="1:20" ht="14.25" customHeight="1" x14ac:dyDescent="0.35">
      <c r="A15" s="5" t="s">
        <v>20</v>
      </c>
      <c r="B15" s="6" t="s">
        <v>21</v>
      </c>
      <c r="C15" s="6" t="s">
        <v>22</v>
      </c>
      <c r="D15" s="6" t="s">
        <v>23</v>
      </c>
      <c r="E15" s="7">
        <v>67.966667000000001</v>
      </c>
      <c r="F15" s="7">
        <v>24.116667</v>
      </c>
      <c r="G15" s="7">
        <v>342</v>
      </c>
      <c r="I15" s="5" t="s">
        <v>35</v>
      </c>
      <c r="J15" s="6" t="s">
        <v>100</v>
      </c>
      <c r="K15" s="8">
        <v>43802</v>
      </c>
      <c r="L15" s="8"/>
      <c r="M15" s="8"/>
      <c r="N15" s="9">
        <v>-13.94</v>
      </c>
      <c r="O15" s="41">
        <v>-100.65</v>
      </c>
      <c r="P15" s="41">
        <f t="shared" si="0"/>
        <v>10.86999999999999</v>
      </c>
      <c r="Q15" s="7">
        <v>2.5</v>
      </c>
      <c r="R15" s="7">
        <v>-5.9041666666666659</v>
      </c>
      <c r="S15" s="7">
        <v>995.1</v>
      </c>
      <c r="T15" s="7">
        <v>88.291666666666671</v>
      </c>
    </row>
    <row r="16" spans="1:20" x14ac:dyDescent="0.35">
      <c r="A16" s="5" t="s">
        <v>20</v>
      </c>
      <c r="B16" s="6" t="s">
        <v>21</v>
      </c>
      <c r="C16" s="6" t="s">
        <v>22</v>
      </c>
      <c r="D16" s="6" t="s">
        <v>23</v>
      </c>
      <c r="E16" s="7">
        <v>67.966667000000001</v>
      </c>
      <c r="F16" s="7">
        <v>24.116667</v>
      </c>
      <c r="G16" s="7">
        <v>342</v>
      </c>
      <c r="I16" s="5" t="s">
        <v>573</v>
      </c>
      <c r="J16" s="6" t="s">
        <v>100</v>
      </c>
      <c r="K16" s="8">
        <v>43803</v>
      </c>
      <c r="L16" s="8"/>
      <c r="M16" s="8"/>
      <c r="N16" s="9">
        <v>-22.82</v>
      </c>
      <c r="O16" s="39">
        <v>-174.6</v>
      </c>
      <c r="P16" s="41">
        <f t="shared" si="0"/>
        <v>7.960000000000008</v>
      </c>
      <c r="Q16" s="7">
        <v>2.5</v>
      </c>
      <c r="R16" s="7">
        <v>-1.2</v>
      </c>
      <c r="S16" s="7"/>
      <c r="T16" s="7"/>
    </row>
    <row r="17" spans="1:20" x14ac:dyDescent="0.35">
      <c r="A17" s="5" t="s">
        <v>20</v>
      </c>
      <c r="B17" s="6" t="s">
        <v>21</v>
      </c>
      <c r="C17" s="6" t="s">
        <v>22</v>
      </c>
      <c r="D17" s="6" t="s">
        <v>23</v>
      </c>
      <c r="E17" s="7">
        <v>67.966667000000001</v>
      </c>
      <c r="F17" s="7">
        <v>24.116667</v>
      </c>
      <c r="G17" s="7">
        <v>342</v>
      </c>
      <c r="I17" s="5" t="s">
        <v>573</v>
      </c>
      <c r="J17" s="6" t="s">
        <v>100</v>
      </c>
      <c r="K17" s="8">
        <v>43803</v>
      </c>
      <c r="L17" s="8"/>
      <c r="M17" s="8"/>
      <c r="N17" s="9">
        <v>-22.03</v>
      </c>
      <c r="O17" s="39">
        <v>-171.06</v>
      </c>
      <c r="P17" s="41">
        <f t="shared" si="0"/>
        <v>5.1800000000000068</v>
      </c>
      <c r="Q17" s="7">
        <v>2.5</v>
      </c>
      <c r="R17" s="7">
        <v>-1.2</v>
      </c>
      <c r="S17" s="7"/>
      <c r="T17" s="7"/>
    </row>
    <row r="18" spans="1:20" x14ac:dyDescent="0.35">
      <c r="A18" s="5" t="s">
        <v>20</v>
      </c>
      <c r="B18" s="6" t="s">
        <v>21</v>
      </c>
      <c r="C18" s="6" t="s">
        <v>22</v>
      </c>
      <c r="D18" s="6" t="s">
        <v>23</v>
      </c>
      <c r="E18" s="7">
        <v>67.966667000000001</v>
      </c>
      <c r="F18" s="7">
        <v>24.116667</v>
      </c>
      <c r="G18" s="7">
        <v>342</v>
      </c>
      <c r="I18" s="5" t="s">
        <v>573</v>
      </c>
      <c r="J18" s="6" t="s">
        <v>100</v>
      </c>
      <c r="K18" s="8">
        <v>43808</v>
      </c>
      <c r="L18" s="8"/>
      <c r="M18" s="8"/>
      <c r="N18" s="9">
        <v>-12.96</v>
      </c>
      <c r="O18" s="39">
        <v>-90.15</v>
      </c>
      <c r="P18" s="41">
        <f t="shared" si="0"/>
        <v>13.530000000000001</v>
      </c>
      <c r="Q18" s="7">
        <v>0.7</v>
      </c>
      <c r="R18" s="7">
        <v>-11</v>
      </c>
      <c r="S18" s="7"/>
      <c r="T18" s="7"/>
    </row>
    <row r="19" spans="1:20" x14ac:dyDescent="0.35">
      <c r="A19" s="5" t="s">
        <v>20</v>
      </c>
      <c r="B19" s="6" t="s">
        <v>21</v>
      </c>
      <c r="C19" s="6" t="s">
        <v>22</v>
      </c>
      <c r="D19" s="6" t="s">
        <v>23</v>
      </c>
      <c r="E19" s="7">
        <v>67.966667000000001</v>
      </c>
      <c r="F19" s="7">
        <v>24.116667</v>
      </c>
      <c r="G19" s="7">
        <v>342</v>
      </c>
      <c r="I19" s="5" t="s">
        <v>573</v>
      </c>
      <c r="J19" s="6" t="s">
        <v>100</v>
      </c>
      <c r="K19" s="8">
        <v>43811</v>
      </c>
      <c r="L19" s="8"/>
      <c r="M19" s="8"/>
      <c r="N19" s="9">
        <v>-20.39</v>
      </c>
      <c r="O19" s="39">
        <v>-152.51</v>
      </c>
      <c r="P19" s="41">
        <f t="shared" si="0"/>
        <v>10.610000000000014</v>
      </c>
      <c r="Q19" s="7">
        <v>1.6</v>
      </c>
      <c r="R19" s="7">
        <v>-1.9</v>
      </c>
      <c r="S19" s="7"/>
      <c r="T19" s="7"/>
    </row>
    <row r="20" spans="1:20" x14ac:dyDescent="0.35">
      <c r="A20" s="5" t="s">
        <v>20</v>
      </c>
      <c r="B20" s="6" t="s">
        <v>21</v>
      </c>
      <c r="C20" s="6" t="s">
        <v>22</v>
      </c>
      <c r="D20" s="6" t="s">
        <v>23</v>
      </c>
      <c r="E20" s="7">
        <v>67.966667000000001</v>
      </c>
      <c r="F20" s="7">
        <v>24.116667</v>
      </c>
      <c r="G20" s="7">
        <v>342</v>
      </c>
      <c r="I20" s="5" t="s">
        <v>573</v>
      </c>
      <c r="J20" s="6" t="s">
        <v>100</v>
      </c>
      <c r="K20" s="8">
        <v>43812</v>
      </c>
      <c r="L20" s="8"/>
      <c r="M20" s="8"/>
      <c r="N20" s="9">
        <v>-12.77</v>
      </c>
      <c r="O20" s="39">
        <v>-94.61</v>
      </c>
      <c r="P20" s="41">
        <f t="shared" si="0"/>
        <v>7.5499999999999972</v>
      </c>
      <c r="Q20" s="7">
        <v>1.1000000000000001</v>
      </c>
      <c r="R20" s="7">
        <v>-1.5</v>
      </c>
      <c r="S20" s="7"/>
      <c r="T20" s="7"/>
    </row>
    <row r="21" spans="1:20" x14ac:dyDescent="0.35">
      <c r="A21" s="5" t="s">
        <v>20</v>
      </c>
      <c r="B21" s="6" t="s">
        <v>21</v>
      </c>
      <c r="C21" s="6" t="s">
        <v>22</v>
      </c>
      <c r="D21" s="6" t="s">
        <v>23</v>
      </c>
      <c r="E21" s="7">
        <v>67.966667000000001</v>
      </c>
      <c r="F21" s="7">
        <v>24.116667</v>
      </c>
      <c r="G21" s="7">
        <v>342</v>
      </c>
      <c r="I21" s="5" t="s">
        <v>573</v>
      </c>
      <c r="J21" s="6" t="s">
        <v>100</v>
      </c>
      <c r="K21" s="8">
        <v>43812</v>
      </c>
      <c r="L21" s="8"/>
      <c r="M21" s="8"/>
      <c r="N21" s="9">
        <v>-22.8</v>
      </c>
      <c r="O21" s="39">
        <v>-176.1</v>
      </c>
      <c r="P21" s="41">
        <f t="shared" si="0"/>
        <v>6.3000000000000114</v>
      </c>
      <c r="Q21" s="7">
        <v>1.1000000000000001</v>
      </c>
      <c r="R21" s="7">
        <v>-1.5</v>
      </c>
      <c r="S21" s="7"/>
      <c r="T21" s="7"/>
    </row>
    <row r="22" spans="1:20" x14ac:dyDescent="0.35">
      <c r="A22" s="5" t="s">
        <v>20</v>
      </c>
      <c r="B22" s="6" t="s">
        <v>21</v>
      </c>
      <c r="C22" s="6" t="s">
        <v>22</v>
      </c>
      <c r="D22" s="6" t="s">
        <v>23</v>
      </c>
      <c r="E22" s="7">
        <v>67.966667000000001</v>
      </c>
      <c r="F22" s="7">
        <v>24.116667</v>
      </c>
      <c r="G22" s="7">
        <v>342</v>
      </c>
      <c r="I22" s="5" t="s">
        <v>573</v>
      </c>
      <c r="J22" s="6" t="s">
        <v>100</v>
      </c>
      <c r="K22" s="8">
        <v>43815</v>
      </c>
      <c r="L22" s="8"/>
      <c r="M22" s="8"/>
      <c r="N22" s="9">
        <v>-18.079999999999998</v>
      </c>
      <c r="O22" s="39">
        <v>-131.02000000000001</v>
      </c>
      <c r="P22" s="41">
        <f t="shared" si="0"/>
        <v>13.619999999999976</v>
      </c>
      <c r="Q22" s="7">
        <v>7.2</v>
      </c>
      <c r="R22" s="7">
        <v>-3.5</v>
      </c>
      <c r="S22" s="7"/>
      <c r="T22" s="7"/>
    </row>
    <row r="23" spans="1:20" x14ac:dyDescent="0.35">
      <c r="A23" s="5" t="s">
        <v>20</v>
      </c>
      <c r="B23" s="6" t="s">
        <v>21</v>
      </c>
      <c r="C23" s="6" t="s">
        <v>22</v>
      </c>
      <c r="D23" s="6" t="s">
        <v>23</v>
      </c>
      <c r="E23" s="7">
        <v>67.966667000000001</v>
      </c>
      <c r="F23" s="7">
        <v>24.116667</v>
      </c>
      <c r="G23" s="7">
        <v>342</v>
      </c>
      <c r="I23" s="5" t="s">
        <v>573</v>
      </c>
      <c r="J23" s="6" t="s">
        <v>100</v>
      </c>
      <c r="K23" s="8">
        <v>43815</v>
      </c>
      <c r="L23" s="8"/>
      <c r="M23" s="8"/>
      <c r="N23" s="9">
        <v>-24.11</v>
      </c>
      <c r="O23" s="39">
        <v>-179.47</v>
      </c>
      <c r="P23" s="41">
        <f t="shared" si="0"/>
        <v>13.409999999999997</v>
      </c>
      <c r="Q23" s="7">
        <v>7.2</v>
      </c>
      <c r="R23" s="7">
        <v>-3.5</v>
      </c>
      <c r="S23" s="7"/>
      <c r="T23" s="7"/>
    </row>
    <row r="24" spans="1:20" x14ac:dyDescent="0.35">
      <c r="A24" s="5" t="s">
        <v>20</v>
      </c>
      <c r="B24" s="6" t="s">
        <v>21</v>
      </c>
      <c r="C24" s="6" t="s">
        <v>22</v>
      </c>
      <c r="D24" s="6" t="s">
        <v>23</v>
      </c>
      <c r="E24" s="7">
        <v>67.966667000000001</v>
      </c>
      <c r="F24" s="7">
        <v>24.116667</v>
      </c>
      <c r="G24" s="7">
        <v>342</v>
      </c>
      <c r="I24" s="5" t="s">
        <v>573</v>
      </c>
      <c r="J24" s="6" t="s">
        <v>100</v>
      </c>
      <c r="K24" s="8">
        <v>43816</v>
      </c>
      <c r="L24" s="8"/>
      <c r="M24" s="8"/>
      <c r="N24" s="9">
        <v>-23.49</v>
      </c>
      <c r="O24" s="39">
        <v>-173.23</v>
      </c>
      <c r="P24" s="41">
        <f t="shared" si="0"/>
        <v>14.689999999999998</v>
      </c>
      <c r="Q24" s="7">
        <v>8.4</v>
      </c>
      <c r="R24" s="7">
        <v>-5.6</v>
      </c>
      <c r="S24" s="7"/>
      <c r="T24" s="7"/>
    </row>
    <row r="25" spans="1:20" x14ac:dyDescent="0.35">
      <c r="A25" s="5" t="s">
        <v>20</v>
      </c>
      <c r="B25" s="6" t="s">
        <v>21</v>
      </c>
      <c r="C25" s="6" t="s">
        <v>22</v>
      </c>
      <c r="D25" s="6" t="s">
        <v>23</v>
      </c>
      <c r="E25" s="7">
        <v>67.966667000000001</v>
      </c>
      <c r="F25" s="7">
        <v>24.116667</v>
      </c>
      <c r="G25" s="7">
        <v>342</v>
      </c>
      <c r="I25" s="5" t="s">
        <v>573</v>
      </c>
      <c r="J25" s="6" t="s">
        <v>100</v>
      </c>
      <c r="K25" s="8">
        <v>43816</v>
      </c>
      <c r="L25" s="8"/>
      <c r="M25" s="8"/>
      <c r="N25" s="9">
        <v>-30.62</v>
      </c>
      <c r="O25" s="39">
        <v>-233.84</v>
      </c>
      <c r="P25" s="41">
        <f t="shared" si="0"/>
        <v>11.120000000000005</v>
      </c>
      <c r="Q25" s="7">
        <v>8.4</v>
      </c>
      <c r="R25" s="7">
        <v>-5.6</v>
      </c>
      <c r="S25" s="7"/>
      <c r="T25" s="7"/>
    </row>
    <row r="26" spans="1:20" x14ac:dyDescent="0.35">
      <c r="A26" s="5" t="s">
        <v>20</v>
      </c>
      <c r="B26" s="6" t="s">
        <v>21</v>
      </c>
      <c r="C26" s="6" t="s">
        <v>22</v>
      </c>
      <c r="D26" s="6" t="s">
        <v>23</v>
      </c>
      <c r="E26" s="7">
        <v>67.966667000000001</v>
      </c>
      <c r="F26" s="7">
        <v>24.116667</v>
      </c>
      <c r="G26" s="7">
        <v>342</v>
      </c>
      <c r="I26" s="5" t="s">
        <v>573</v>
      </c>
      <c r="J26" s="6" t="s">
        <v>100</v>
      </c>
      <c r="K26" s="8">
        <v>43817</v>
      </c>
      <c r="L26" s="8"/>
      <c r="M26" s="8"/>
      <c r="N26" s="9">
        <v>-24.37</v>
      </c>
      <c r="O26" s="39">
        <v>-181.47</v>
      </c>
      <c r="P26" s="41">
        <f t="shared" si="0"/>
        <v>13.490000000000009</v>
      </c>
      <c r="Q26" s="7">
        <v>3.2</v>
      </c>
      <c r="R26" s="7">
        <v>-8.1999999999999993</v>
      </c>
      <c r="S26" s="7"/>
      <c r="T26" s="7"/>
    </row>
    <row r="27" spans="1:20" x14ac:dyDescent="0.35">
      <c r="A27" s="5" t="s">
        <v>20</v>
      </c>
      <c r="B27" s="6" t="s">
        <v>21</v>
      </c>
      <c r="C27" s="6" t="s">
        <v>22</v>
      </c>
      <c r="D27" s="6" t="s">
        <v>23</v>
      </c>
      <c r="E27" s="7">
        <v>67.966667000000001</v>
      </c>
      <c r="F27" s="7">
        <v>24.116667</v>
      </c>
      <c r="G27" s="7">
        <v>342</v>
      </c>
      <c r="I27" s="5" t="s">
        <v>573</v>
      </c>
      <c r="J27" s="6" t="s">
        <v>100</v>
      </c>
      <c r="K27" s="8">
        <v>43817</v>
      </c>
      <c r="L27" s="8"/>
      <c r="M27" s="8"/>
      <c r="N27" s="9">
        <v>-25.59</v>
      </c>
      <c r="O27" s="39">
        <v>-194.75</v>
      </c>
      <c r="P27" s="41">
        <f t="shared" si="0"/>
        <v>9.9699999999999989</v>
      </c>
      <c r="Q27" s="7">
        <v>3.2</v>
      </c>
      <c r="R27" s="7">
        <v>-8.1999999999999993</v>
      </c>
      <c r="S27" s="7"/>
      <c r="T27" s="7"/>
    </row>
    <row r="28" spans="1:20" x14ac:dyDescent="0.35">
      <c r="A28" s="5" t="s">
        <v>20</v>
      </c>
      <c r="B28" s="6" t="s">
        <v>21</v>
      </c>
      <c r="C28" s="6" t="s">
        <v>22</v>
      </c>
      <c r="D28" s="6" t="s">
        <v>23</v>
      </c>
      <c r="E28" s="7">
        <v>67.966667000000001</v>
      </c>
      <c r="F28" s="7">
        <v>24.116667</v>
      </c>
      <c r="G28" s="7">
        <v>342</v>
      </c>
      <c r="I28" s="5" t="s">
        <v>573</v>
      </c>
      <c r="J28" s="6" t="s">
        <v>100</v>
      </c>
      <c r="K28" s="8">
        <v>43822</v>
      </c>
      <c r="L28" s="8"/>
      <c r="M28" s="8"/>
      <c r="N28" s="9">
        <v>-18.190000000000001</v>
      </c>
      <c r="O28" s="39">
        <v>-134.02000000000001</v>
      </c>
      <c r="P28" s="41">
        <f t="shared" si="0"/>
        <v>11.5</v>
      </c>
      <c r="Q28" s="7">
        <v>0.9</v>
      </c>
      <c r="R28" s="7">
        <v>-4</v>
      </c>
      <c r="S28" s="7"/>
      <c r="T28" s="7"/>
    </row>
    <row r="29" spans="1:20" x14ac:dyDescent="0.35">
      <c r="A29" s="5" t="s">
        <v>20</v>
      </c>
      <c r="B29" s="6" t="s">
        <v>21</v>
      </c>
      <c r="C29" s="6" t="s">
        <v>22</v>
      </c>
      <c r="D29" s="6" t="s">
        <v>23</v>
      </c>
      <c r="E29" s="7">
        <v>67.966667000000001</v>
      </c>
      <c r="F29" s="7">
        <v>24.116667</v>
      </c>
      <c r="G29" s="7">
        <v>342</v>
      </c>
      <c r="I29" s="5" t="s">
        <v>573</v>
      </c>
      <c r="J29" s="6" t="s">
        <v>100</v>
      </c>
      <c r="K29" s="8">
        <v>43822</v>
      </c>
      <c r="L29" s="8"/>
      <c r="M29" s="8"/>
      <c r="N29" s="9">
        <v>-17.63</v>
      </c>
      <c r="O29" s="39">
        <v>-129.96</v>
      </c>
      <c r="P29" s="41">
        <f t="shared" si="0"/>
        <v>11.079999999999984</v>
      </c>
      <c r="Q29" s="7">
        <v>0.9</v>
      </c>
      <c r="R29" s="7">
        <v>-4</v>
      </c>
      <c r="S29" s="7"/>
      <c r="T29" s="7"/>
    </row>
    <row r="30" spans="1:20" x14ac:dyDescent="0.35">
      <c r="A30" s="5" t="s">
        <v>20</v>
      </c>
      <c r="B30" s="6" t="s">
        <v>21</v>
      </c>
      <c r="C30" s="6" t="s">
        <v>22</v>
      </c>
      <c r="D30" s="6" t="s">
        <v>23</v>
      </c>
      <c r="E30" s="7">
        <v>67.966667000000001</v>
      </c>
      <c r="F30" s="7">
        <v>24.116667</v>
      </c>
      <c r="G30" s="7">
        <v>342</v>
      </c>
      <c r="I30" s="5" t="s">
        <v>573</v>
      </c>
      <c r="J30" s="6" t="s">
        <v>100</v>
      </c>
      <c r="K30" s="8">
        <v>43829</v>
      </c>
      <c r="L30" s="8"/>
      <c r="M30" s="8"/>
      <c r="N30" s="9">
        <v>-21.74</v>
      </c>
      <c r="O30" s="39">
        <v>-167.65</v>
      </c>
      <c r="P30" s="41">
        <f t="shared" si="0"/>
        <v>6.2699999999999818</v>
      </c>
      <c r="Q30" s="7">
        <v>4.5999999999999996</v>
      </c>
      <c r="R30" s="7">
        <v>-3.9</v>
      </c>
      <c r="S30" s="7"/>
      <c r="T30" s="7"/>
    </row>
    <row r="31" spans="1:20" x14ac:dyDescent="0.35">
      <c r="A31" s="5" t="s">
        <v>20</v>
      </c>
      <c r="B31" s="6" t="s">
        <v>21</v>
      </c>
      <c r="C31" s="6" t="s">
        <v>22</v>
      </c>
      <c r="D31" s="6" t="s">
        <v>23</v>
      </c>
      <c r="E31" s="7">
        <v>67.966667000000001</v>
      </c>
      <c r="F31" s="7">
        <v>24.116667</v>
      </c>
      <c r="G31" s="7">
        <v>342</v>
      </c>
      <c r="I31" s="5" t="s">
        <v>573</v>
      </c>
      <c r="J31" s="6" t="s">
        <v>100</v>
      </c>
      <c r="K31" s="8">
        <v>43830</v>
      </c>
      <c r="L31" s="8"/>
      <c r="M31" s="8"/>
      <c r="N31" s="9">
        <v>-20.75</v>
      </c>
      <c r="O31" s="39">
        <v>-159.41</v>
      </c>
      <c r="P31" s="41">
        <f t="shared" si="0"/>
        <v>6.5900000000000034</v>
      </c>
      <c r="Q31" s="7">
        <v>1</v>
      </c>
      <c r="R31" s="7">
        <v>-8.1</v>
      </c>
      <c r="S31" s="7"/>
      <c r="T31" s="7"/>
    </row>
    <row r="32" spans="1:20" x14ac:dyDescent="0.35">
      <c r="A32" s="5" t="s">
        <v>20</v>
      </c>
      <c r="B32" s="6" t="s">
        <v>21</v>
      </c>
      <c r="C32" s="6" t="s">
        <v>22</v>
      </c>
      <c r="D32" s="6" t="s">
        <v>23</v>
      </c>
      <c r="E32" s="7">
        <v>67.966667000000001</v>
      </c>
      <c r="F32" s="7">
        <v>24.116667</v>
      </c>
      <c r="G32" s="7">
        <v>342</v>
      </c>
      <c r="I32" s="5" t="s">
        <v>573</v>
      </c>
      <c r="J32" s="6" t="s">
        <v>100</v>
      </c>
      <c r="K32" s="8">
        <v>43832</v>
      </c>
      <c r="L32" s="8"/>
      <c r="M32" s="8"/>
      <c r="N32" s="9">
        <v>-20.3</v>
      </c>
      <c r="O32" s="39">
        <v>-154.82</v>
      </c>
      <c r="P32" s="41">
        <f t="shared" si="0"/>
        <v>7.5800000000000125</v>
      </c>
      <c r="Q32" s="7">
        <v>3.5</v>
      </c>
      <c r="R32" s="7">
        <v>0.1</v>
      </c>
      <c r="S32" s="7"/>
      <c r="T32" s="7"/>
    </row>
    <row r="33" spans="1:20" x14ac:dyDescent="0.35">
      <c r="A33" s="5" t="s">
        <v>20</v>
      </c>
      <c r="B33" s="6" t="s">
        <v>21</v>
      </c>
      <c r="C33" s="6" t="s">
        <v>22</v>
      </c>
      <c r="D33" s="6" t="s">
        <v>23</v>
      </c>
      <c r="E33" s="7">
        <v>67.966667000000001</v>
      </c>
      <c r="F33" s="7">
        <v>24.116667</v>
      </c>
      <c r="G33" s="7">
        <v>342</v>
      </c>
      <c r="I33" s="5" t="s">
        <v>573</v>
      </c>
      <c r="J33" s="6" t="s">
        <v>100</v>
      </c>
      <c r="K33" s="8">
        <v>43837</v>
      </c>
      <c r="L33" s="8"/>
      <c r="M33" s="8"/>
      <c r="N33" s="9">
        <v>-15.8</v>
      </c>
      <c r="O33" s="39">
        <v>-117.87</v>
      </c>
      <c r="P33" s="41">
        <f t="shared" si="0"/>
        <v>8.5300000000000011</v>
      </c>
      <c r="Q33" s="7">
        <v>4.2</v>
      </c>
      <c r="R33" s="7">
        <v>-3.4</v>
      </c>
      <c r="S33" s="7"/>
      <c r="T33" s="7"/>
    </row>
    <row r="34" spans="1:20" x14ac:dyDescent="0.35">
      <c r="A34" s="5" t="s">
        <v>20</v>
      </c>
      <c r="B34" s="6" t="s">
        <v>21</v>
      </c>
      <c r="C34" s="6" t="s">
        <v>22</v>
      </c>
      <c r="D34" s="6" t="s">
        <v>23</v>
      </c>
      <c r="E34" s="7">
        <v>67.966667000000001</v>
      </c>
      <c r="F34" s="7">
        <v>24.116667</v>
      </c>
      <c r="G34" s="7">
        <v>342</v>
      </c>
      <c r="I34" s="5" t="s">
        <v>573</v>
      </c>
      <c r="J34" s="6" t="s">
        <v>100</v>
      </c>
      <c r="K34" s="8">
        <v>43838</v>
      </c>
      <c r="L34" s="8"/>
      <c r="M34" s="8"/>
      <c r="N34" s="9">
        <v>-16.5</v>
      </c>
      <c r="O34" s="39">
        <v>-126.18</v>
      </c>
      <c r="P34" s="41">
        <f t="shared" ref="P34:P65" si="1">O34-(8*N34)</f>
        <v>5.8199999999999932</v>
      </c>
      <c r="Q34" s="7">
        <v>3</v>
      </c>
      <c r="R34" s="7">
        <v>-1.3</v>
      </c>
      <c r="S34" s="7"/>
      <c r="T34" s="7"/>
    </row>
    <row r="35" spans="1:20" x14ac:dyDescent="0.35">
      <c r="A35" s="5" t="s">
        <v>20</v>
      </c>
      <c r="B35" s="6" t="s">
        <v>21</v>
      </c>
      <c r="C35" s="6" t="s">
        <v>22</v>
      </c>
      <c r="D35" s="6" t="s">
        <v>23</v>
      </c>
      <c r="E35" s="7">
        <v>67.966667000000001</v>
      </c>
      <c r="F35" s="7">
        <v>24.116667</v>
      </c>
      <c r="G35" s="7">
        <v>342</v>
      </c>
      <c r="I35" s="5" t="s">
        <v>573</v>
      </c>
      <c r="J35" s="6" t="s">
        <v>100</v>
      </c>
      <c r="K35" s="8">
        <v>43839</v>
      </c>
      <c r="L35" s="8"/>
      <c r="M35" s="8"/>
      <c r="N35" s="9">
        <v>-15.91</v>
      </c>
      <c r="O35" s="39">
        <v>-124.78</v>
      </c>
      <c r="P35" s="41">
        <f t="shared" si="1"/>
        <v>2.5</v>
      </c>
      <c r="Q35" s="7">
        <v>1</v>
      </c>
      <c r="R35" s="7">
        <v>-2.8</v>
      </c>
      <c r="S35" s="7"/>
      <c r="T35" s="7"/>
    </row>
    <row r="36" spans="1:20" x14ac:dyDescent="0.35">
      <c r="A36" s="5" t="s">
        <v>20</v>
      </c>
      <c r="B36" s="6" t="s">
        <v>21</v>
      </c>
      <c r="C36" s="6" t="s">
        <v>22</v>
      </c>
      <c r="D36" s="6" t="s">
        <v>23</v>
      </c>
      <c r="E36" s="7">
        <v>67.966667000000001</v>
      </c>
      <c r="F36" s="7">
        <v>24.116667</v>
      </c>
      <c r="G36" s="7">
        <v>342</v>
      </c>
      <c r="I36" s="5" t="s">
        <v>573</v>
      </c>
      <c r="J36" s="6" t="s">
        <v>100</v>
      </c>
      <c r="K36" s="8">
        <v>43843</v>
      </c>
      <c r="L36" s="8"/>
      <c r="M36" s="8"/>
      <c r="N36" s="9">
        <v>-23.76</v>
      </c>
      <c r="O36" s="39">
        <v>-186.96</v>
      </c>
      <c r="P36" s="41">
        <f t="shared" si="1"/>
        <v>3.1200000000000045</v>
      </c>
      <c r="Q36" s="7">
        <v>1</v>
      </c>
      <c r="R36" s="7">
        <v>-8.3000000000000007</v>
      </c>
      <c r="S36" s="7"/>
      <c r="T36" s="7"/>
    </row>
    <row r="37" spans="1:20" x14ac:dyDescent="0.35">
      <c r="A37" s="5" t="s">
        <v>20</v>
      </c>
      <c r="B37" s="6" t="s">
        <v>21</v>
      </c>
      <c r="C37" s="6" t="s">
        <v>22</v>
      </c>
      <c r="D37" s="6" t="s">
        <v>23</v>
      </c>
      <c r="E37" s="7">
        <v>67.966667000000001</v>
      </c>
      <c r="F37" s="7">
        <v>24.116667</v>
      </c>
      <c r="G37" s="7">
        <v>342</v>
      </c>
      <c r="I37" s="5" t="s">
        <v>573</v>
      </c>
      <c r="J37" s="6" t="s">
        <v>100</v>
      </c>
      <c r="K37" s="8">
        <v>43845</v>
      </c>
      <c r="L37" s="8"/>
      <c r="M37" s="8"/>
      <c r="N37" s="9">
        <v>-19.7</v>
      </c>
      <c r="O37" s="39">
        <v>-150.55000000000001</v>
      </c>
      <c r="P37" s="41">
        <f t="shared" si="1"/>
        <v>7.0499999999999829</v>
      </c>
      <c r="Q37" s="7">
        <v>0.6</v>
      </c>
      <c r="R37" s="7">
        <v>-8.3000000000000007</v>
      </c>
      <c r="S37" s="7"/>
      <c r="T37" s="7"/>
    </row>
    <row r="38" spans="1:20" x14ac:dyDescent="0.35">
      <c r="A38" s="5" t="s">
        <v>20</v>
      </c>
      <c r="B38" s="6" t="s">
        <v>21</v>
      </c>
      <c r="C38" s="6" t="s">
        <v>22</v>
      </c>
      <c r="D38" s="6" t="s">
        <v>23</v>
      </c>
      <c r="E38" s="7">
        <v>67.966667000000001</v>
      </c>
      <c r="F38" s="7">
        <v>24.116667</v>
      </c>
      <c r="G38" s="7">
        <v>342</v>
      </c>
      <c r="I38" s="5" t="s">
        <v>573</v>
      </c>
      <c r="J38" s="6" t="s">
        <v>100</v>
      </c>
      <c r="K38" s="8">
        <v>43846</v>
      </c>
      <c r="L38" s="8"/>
      <c r="M38" s="8"/>
      <c r="N38" s="9">
        <v>-17.36</v>
      </c>
      <c r="O38" s="39">
        <v>-129.02000000000001</v>
      </c>
      <c r="P38" s="41">
        <f t="shared" si="1"/>
        <v>9.8599999999999852</v>
      </c>
      <c r="Q38" s="7">
        <v>0.9</v>
      </c>
      <c r="R38" s="7">
        <v>-6.3</v>
      </c>
      <c r="S38" s="7"/>
      <c r="T38" s="7"/>
    </row>
    <row r="39" spans="1:20" x14ac:dyDescent="0.35">
      <c r="A39" s="5" t="s">
        <v>20</v>
      </c>
      <c r="B39" s="6" t="s">
        <v>21</v>
      </c>
      <c r="C39" s="6" t="s">
        <v>22</v>
      </c>
      <c r="D39" s="6" t="s">
        <v>23</v>
      </c>
      <c r="E39" s="7">
        <v>67.966667000000001</v>
      </c>
      <c r="F39" s="7">
        <v>24.116667</v>
      </c>
      <c r="G39" s="7">
        <v>342</v>
      </c>
      <c r="I39" s="5" t="s">
        <v>573</v>
      </c>
      <c r="J39" s="6" t="s">
        <v>100</v>
      </c>
      <c r="K39" s="8">
        <v>43847</v>
      </c>
      <c r="L39" s="8"/>
      <c r="M39" s="8"/>
      <c r="N39" s="9">
        <v>-16.77</v>
      </c>
      <c r="O39" s="39">
        <v>-122.69</v>
      </c>
      <c r="P39" s="41">
        <f t="shared" si="1"/>
        <v>11.469999999999999</v>
      </c>
      <c r="Q39" s="7">
        <v>-1</v>
      </c>
      <c r="R39" s="7">
        <v>-10.4</v>
      </c>
      <c r="S39" s="7"/>
      <c r="T39" s="7"/>
    </row>
    <row r="40" spans="1:20" x14ac:dyDescent="0.35">
      <c r="A40" s="5" t="s">
        <v>20</v>
      </c>
      <c r="B40" s="6" t="s">
        <v>21</v>
      </c>
      <c r="C40" s="6" t="s">
        <v>22</v>
      </c>
      <c r="D40" s="6" t="s">
        <v>23</v>
      </c>
      <c r="E40" s="7">
        <v>67.966667000000001</v>
      </c>
      <c r="F40" s="7">
        <v>24.116667</v>
      </c>
      <c r="G40" s="7">
        <v>342</v>
      </c>
      <c r="I40" s="5" t="s">
        <v>573</v>
      </c>
      <c r="J40" s="6" t="s">
        <v>100</v>
      </c>
      <c r="K40" s="8">
        <v>43850</v>
      </c>
      <c r="L40" s="8"/>
      <c r="M40" s="8"/>
      <c r="N40" s="9">
        <v>-19.350000000000001</v>
      </c>
      <c r="O40" s="39">
        <v>-146.29</v>
      </c>
      <c r="P40" s="41">
        <f t="shared" si="1"/>
        <v>8.5100000000000193</v>
      </c>
      <c r="Q40" s="7">
        <v>1.4</v>
      </c>
      <c r="R40" s="7">
        <v>-5.2</v>
      </c>
      <c r="S40" s="7"/>
      <c r="T40" s="7"/>
    </row>
    <row r="41" spans="1:20" x14ac:dyDescent="0.35">
      <c r="A41" s="5" t="s">
        <v>20</v>
      </c>
      <c r="B41" s="6" t="s">
        <v>21</v>
      </c>
      <c r="C41" s="6" t="s">
        <v>22</v>
      </c>
      <c r="D41" s="6" t="s">
        <v>23</v>
      </c>
      <c r="E41" s="7">
        <v>67.966667000000001</v>
      </c>
      <c r="F41" s="7">
        <v>24.116667</v>
      </c>
      <c r="G41" s="7">
        <v>342</v>
      </c>
      <c r="I41" s="5" t="s">
        <v>573</v>
      </c>
      <c r="J41" s="6" t="s">
        <v>100</v>
      </c>
      <c r="K41" s="8">
        <v>43850</v>
      </c>
      <c r="L41" s="8"/>
      <c r="M41" s="8"/>
      <c r="N41" s="9">
        <v>-17.45</v>
      </c>
      <c r="O41" s="39">
        <v>-132.69999999999999</v>
      </c>
      <c r="P41" s="41">
        <f t="shared" si="1"/>
        <v>6.9000000000000057</v>
      </c>
      <c r="Q41" s="7">
        <v>1.4</v>
      </c>
      <c r="R41" s="7">
        <v>-5.2</v>
      </c>
      <c r="S41" s="7"/>
      <c r="T41" s="7"/>
    </row>
    <row r="42" spans="1:20" x14ac:dyDescent="0.35">
      <c r="A42" s="5" t="s">
        <v>20</v>
      </c>
      <c r="B42" s="6" t="s">
        <v>21</v>
      </c>
      <c r="C42" s="6" t="s">
        <v>22</v>
      </c>
      <c r="D42" s="6" t="s">
        <v>23</v>
      </c>
      <c r="E42" s="7">
        <v>67.966667000000001</v>
      </c>
      <c r="F42" s="7">
        <v>24.116667</v>
      </c>
      <c r="G42" s="7">
        <v>342</v>
      </c>
      <c r="I42" s="5" t="s">
        <v>573</v>
      </c>
      <c r="J42" s="6" t="s">
        <v>100</v>
      </c>
      <c r="K42" s="8">
        <v>43851</v>
      </c>
      <c r="L42" s="8"/>
      <c r="M42" s="8"/>
      <c r="N42" s="9">
        <v>-17.25</v>
      </c>
      <c r="O42" s="39">
        <v>-135.29</v>
      </c>
      <c r="P42" s="41">
        <f t="shared" si="1"/>
        <v>2.710000000000008</v>
      </c>
      <c r="Q42" s="7">
        <v>0.4</v>
      </c>
      <c r="R42" s="7">
        <v>-4</v>
      </c>
      <c r="S42" s="7"/>
      <c r="T42" s="7"/>
    </row>
    <row r="43" spans="1:20" x14ac:dyDescent="0.35">
      <c r="A43" s="5" t="s">
        <v>20</v>
      </c>
      <c r="B43" s="6" t="s">
        <v>21</v>
      </c>
      <c r="C43" s="6" t="s">
        <v>22</v>
      </c>
      <c r="D43" s="6" t="s">
        <v>23</v>
      </c>
      <c r="E43" s="7">
        <v>67.966667000000001</v>
      </c>
      <c r="F43" s="7">
        <v>24.116667</v>
      </c>
      <c r="G43" s="7">
        <v>342</v>
      </c>
      <c r="I43" s="5" t="s">
        <v>573</v>
      </c>
      <c r="J43" s="6" t="s">
        <v>100</v>
      </c>
      <c r="K43" s="8">
        <v>43854</v>
      </c>
      <c r="L43" s="8"/>
      <c r="M43" s="8"/>
      <c r="N43" s="9">
        <v>-19.32</v>
      </c>
      <c r="O43" s="39">
        <v>-147.63999999999999</v>
      </c>
      <c r="P43" s="41">
        <f t="shared" si="1"/>
        <v>6.9200000000000159</v>
      </c>
      <c r="Q43" s="7">
        <v>1</v>
      </c>
      <c r="R43" s="7">
        <v>-7.5</v>
      </c>
      <c r="S43" s="7"/>
      <c r="T43" s="7"/>
    </row>
    <row r="44" spans="1:20" x14ac:dyDescent="0.35">
      <c r="A44" s="5" t="s">
        <v>20</v>
      </c>
      <c r="B44" s="6" t="s">
        <v>21</v>
      </c>
      <c r="C44" s="6" t="s">
        <v>22</v>
      </c>
      <c r="D44" s="6" t="s">
        <v>23</v>
      </c>
      <c r="E44" s="7">
        <v>67.966667000000001</v>
      </c>
      <c r="F44" s="7">
        <v>24.116667</v>
      </c>
      <c r="G44" s="7">
        <v>342</v>
      </c>
      <c r="I44" s="5" t="s">
        <v>573</v>
      </c>
      <c r="J44" s="6" t="s">
        <v>100</v>
      </c>
      <c r="K44" s="8">
        <v>43857</v>
      </c>
      <c r="L44" s="8"/>
      <c r="M44" s="8"/>
      <c r="N44" s="9">
        <v>-13.57</v>
      </c>
      <c r="O44" s="39">
        <v>-82.63</v>
      </c>
      <c r="P44" s="41">
        <f t="shared" si="1"/>
        <v>25.930000000000007</v>
      </c>
      <c r="Q44" s="7">
        <v>0.1</v>
      </c>
      <c r="R44" s="7">
        <v>-21.9</v>
      </c>
      <c r="S44" s="7"/>
      <c r="T44" s="7"/>
    </row>
    <row r="45" spans="1:20" x14ac:dyDescent="0.35">
      <c r="A45" s="5" t="s">
        <v>20</v>
      </c>
      <c r="B45" s="6" t="s">
        <v>21</v>
      </c>
      <c r="C45" s="6" t="s">
        <v>22</v>
      </c>
      <c r="D45" s="6" t="s">
        <v>23</v>
      </c>
      <c r="E45" s="7">
        <v>67.966667000000001</v>
      </c>
      <c r="F45" s="7">
        <v>24.116667</v>
      </c>
      <c r="G45" s="7">
        <v>342</v>
      </c>
      <c r="I45" s="5" t="s">
        <v>573</v>
      </c>
      <c r="J45" s="6" t="s">
        <v>100</v>
      </c>
      <c r="K45" s="8">
        <v>43858</v>
      </c>
      <c r="L45" s="8"/>
      <c r="M45" s="8"/>
      <c r="N45" s="9">
        <v>-19.940000000000001</v>
      </c>
      <c r="O45" s="39">
        <v>-139.41</v>
      </c>
      <c r="P45" s="41">
        <f t="shared" si="1"/>
        <v>20.110000000000014</v>
      </c>
      <c r="Q45" s="7">
        <v>6.7</v>
      </c>
      <c r="R45" s="7">
        <v>-16.8</v>
      </c>
      <c r="S45" s="7"/>
      <c r="T45" s="7"/>
    </row>
    <row r="46" spans="1:20" x14ac:dyDescent="0.35">
      <c r="A46" s="5" t="s">
        <v>20</v>
      </c>
      <c r="B46" s="6" t="s">
        <v>21</v>
      </c>
      <c r="C46" s="6" t="s">
        <v>22</v>
      </c>
      <c r="D46" s="6" t="s">
        <v>23</v>
      </c>
      <c r="E46" s="7">
        <v>67.966667000000001</v>
      </c>
      <c r="F46" s="7">
        <v>24.116667</v>
      </c>
      <c r="G46" s="7">
        <v>342</v>
      </c>
      <c r="I46" s="5" t="s">
        <v>573</v>
      </c>
      <c r="J46" s="6" t="s">
        <v>100</v>
      </c>
      <c r="K46" s="8">
        <v>43859</v>
      </c>
      <c r="L46" s="8"/>
      <c r="M46" s="8"/>
      <c r="N46" s="9">
        <v>-19.02</v>
      </c>
      <c r="O46" s="39">
        <v>-139.52000000000001</v>
      </c>
      <c r="P46" s="41">
        <f t="shared" si="1"/>
        <v>12.639999999999986</v>
      </c>
      <c r="Q46" s="7">
        <v>2.4</v>
      </c>
      <c r="R46" s="7">
        <v>-12.3</v>
      </c>
      <c r="S46" s="7"/>
      <c r="T46" s="7"/>
    </row>
    <row r="47" spans="1:20" x14ac:dyDescent="0.35">
      <c r="A47" s="5" t="s">
        <v>20</v>
      </c>
      <c r="B47" s="6" t="s">
        <v>21</v>
      </c>
      <c r="C47" s="6" t="s">
        <v>22</v>
      </c>
      <c r="D47" s="6" t="s">
        <v>23</v>
      </c>
      <c r="E47" s="7">
        <v>67.966667000000001</v>
      </c>
      <c r="F47" s="7">
        <v>24.116667</v>
      </c>
      <c r="G47" s="7">
        <v>342</v>
      </c>
      <c r="I47" s="5" t="s">
        <v>573</v>
      </c>
      <c r="J47" s="6" t="s">
        <v>100</v>
      </c>
      <c r="K47" s="8">
        <v>43860</v>
      </c>
      <c r="L47" s="8"/>
      <c r="M47" s="8"/>
      <c r="N47" s="9">
        <v>-18.14</v>
      </c>
      <c r="O47" s="39">
        <v>-131.86000000000001</v>
      </c>
      <c r="P47" s="41">
        <f t="shared" si="1"/>
        <v>13.259999999999991</v>
      </c>
      <c r="Q47" s="7">
        <v>3.8</v>
      </c>
      <c r="R47" s="7">
        <v>-9.8000000000000007</v>
      </c>
      <c r="S47" s="7"/>
      <c r="T47" s="7"/>
    </row>
    <row r="48" spans="1:20" x14ac:dyDescent="0.35">
      <c r="A48" s="5" t="s">
        <v>20</v>
      </c>
      <c r="B48" s="6" t="s">
        <v>21</v>
      </c>
      <c r="C48" s="6" t="s">
        <v>22</v>
      </c>
      <c r="D48" s="6" t="s">
        <v>23</v>
      </c>
      <c r="E48" s="7">
        <v>67.966667000000001</v>
      </c>
      <c r="F48" s="7">
        <v>24.116667</v>
      </c>
      <c r="G48" s="7">
        <v>342</v>
      </c>
      <c r="I48" s="5" t="s">
        <v>573</v>
      </c>
      <c r="J48" s="6" t="s">
        <v>100</v>
      </c>
      <c r="K48" s="8">
        <v>43861</v>
      </c>
      <c r="L48" s="8"/>
      <c r="M48" s="8"/>
      <c r="N48" s="9">
        <v>-18.53</v>
      </c>
      <c r="O48" s="39">
        <v>-135.5</v>
      </c>
      <c r="P48" s="41">
        <f t="shared" si="1"/>
        <v>12.740000000000009</v>
      </c>
      <c r="Q48" s="7">
        <v>2.5</v>
      </c>
      <c r="R48" s="7">
        <v>-10.7</v>
      </c>
      <c r="S48" s="7"/>
      <c r="T48" s="7"/>
    </row>
    <row r="49" spans="1:20" x14ac:dyDescent="0.35">
      <c r="A49" s="5" t="s">
        <v>20</v>
      </c>
      <c r="B49" s="6" t="s">
        <v>21</v>
      </c>
      <c r="C49" s="6" t="s">
        <v>22</v>
      </c>
      <c r="D49" s="6" t="s">
        <v>23</v>
      </c>
      <c r="E49" s="7">
        <v>67.966667000000001</v>
      </c>
      <c r="F49" s="7">
        <v>24.116667</v>
      </c>
      <c r="G49" s="7">
        <v>342</v>
      </c>
      <c r="I49" s="5" t="s">
        <v>573</v>
      </c>
      <c r="J49" s="6" t="s">
        <v>100</v>
      </c>
      <c r="K49" s="8">
        <v>43861</v>
      </c>
      <c r="L49" s="8"/>
      <c r="M49" s="8"/>
      <c r="N49" s="9">
        <v>-19.54</v>
      </c>
      <c r="O49" s="39">
        <v>-144.93</v>
      </c>
      <c r="P49" s="41">
        <f t="shared" si="1"/>
        <v>11.389999999999986</v>
      </c>
      <c r="Q49" s="7">
        <v>2.5</v>
      </c>
      <c r="R49" s="7">
        <v>-10.7</v>
      </c>
      <c r="S49" s="7"/>
      <c r="T49" s="7"/>
    </row>
    <row r="50" spans="1:20" x14ac:dyDescent="0.35">
      <c r="A50" s="5" t="s">
        <v>20</v>
      </c>
      <c r="B50" s="6" t="s">
        <v>21</v>
      </c>
      <c r="C50" s="6" t="s">
        <v>22</v>
      </c>
      <c r="D50" s="6" t="s">
        <v>23</v>
      </c>
      <c r="E50" s="7">
        <v>67.966667000000001</v>
      </c>
      <c r="F50" s="7">
        <v>24.116667</v>
      </c>
      <c r="G50" s="7">
        <v>342</v>
      </c>
      <c r="I50" s="5" t="s">
        <v>573</v>
      </c>
      <c r="J50" s="6" t="s">
        <v>100</v>
      </c>
      <c r="K50" s="8">
        <v>43864</v>
      </c>
      <c r="L50" s="8"/>
      <c r="M50" s="8"/>
      <c r="N50" s="9">
        <v>-21.02</v>
      </c>
      <c r="O50" s="39">
        <v>-159.52000000000001</v>
      </c>
      <c r="P50" s="41">
        <f t="shared" si="1"/>
        <v>8.6399999999999864</v>
      </c>
      <c r="Q50" s="7">
        <v>1</v>
      </c>
      <c r="R50" s="7">
        <v>-8.5</v>
      </c>
      <c r="S50" s="7"/>
      <c r="T50" s="7"/>
    </row>
    <row r="51" spans="1:20" x14ac:dyDescent="0.35">
      <c r="A51" s="5" t="s">
        <v>20</v>
      </c>
      <c r="B51" s="6" t="s">
        <v>21</v>
      </c>
      <c r="C51" s="6" t="s">
        <v>22</v>
      </c>
      <c r="D51" s="6" t="s">
        <v>23</v>
      </c>
      <c r="E51" s="7">
        <v>67.966667000000001</v>
      </c>
      <c r="F51" s="7">
        <v>24.116667</v>
      </c>
      <c r="G51" s="7">
        <v>342</v>
      </c>
      <c r="I51" s="5" t="s">
        <v>573</v>
      </c>
      <c r="J51" s="6" t="s">
        <v>100</v>
      </c>
      <c r="K51" s="8">
        <v>43868</v>
      </c>
      <c r="L51" s="8"/>
      <c r="M51" s="8"/>
      <c r="N51" s="9">
        <v>-16.87</v>
      </c>
      <c r="O51" s="39">
        <v>-129.32</v>
      </c>
      <c r="P51" s="41">
        <f t="shared" si="1"/>
        <v>5.6400000000000148</v>
      </c>
      <c r="Q51" s="7">
        <v>3.9</v>
      </c>
      <c r="R51" s="7">
        <v>-7.1</v>
      </c>
      <c r="S51" s="7"/>
      <c r="T51" s="7"/>
    </row>
    <row r="52" spans="1:20" x14ac:dyDescent="0.35">
      <c r="A52" s="5" t="s">
        <v>20</v>
      </c>
      <c r="B52" s="6" t="s">
        <v>21</v>
      </c>
      <c r="C52" s="6" t="s">
        <v>22</v>
      </c>
      <c r="D52" s="6" t="s">
        <v>23</v>
      </c>
      <c r="E52" s="7">
        <v>67.966667000000001</v>
      </c>
      <c r="F52" s="7">
        <v>24.116667</v>
      </c>
      <c r="G52" s="7">
        <v>342</v>
      </c>
      <c r="I52" s="5" t="s">
        <v>573</v>
      </c>
      <c r="J52" s="6" t="s">
        <v>100</v>
      </c>
      <c r="K52" s="8">
        <v>43871</v>
      </c>
      <c r="L52" s="8"/>
      <c r="M52" s="8"/>
      <c r="N52" s="9">
        <v>-19.39</v>
      </c>
      <c r="O52" s="39">
        <v>-154.91999999999999</v>
      </c>
      <c r="P52" s="41">
        <f t="shared" si="1"/>
        <v>0.20000000000001705</v>
      </c>
      <c r="Q52" s="7">
        <v>10.1</v>
      </c>
      <c r="R52" s="7">
        <v>-0.9</v>
      </c>
      <c r="S52" s="7"/>
      <c r="T52" s="7"/>
    </row>
    <row r="53" spans="1:20" x14ac:dyDescent="0.35">
      <c r="A53" s="5" t="s">
        <v>20</v>
      </c>
      <c r="B53" s="6" t="s">
        <v>21</v>
      </c>
      <c r="C53" s="6" t="s">
        <v>22</v>
      </c>
      <c r="D53" s="6" t="s">
        <v>23</v>
      </c>
      <c r="E53" s="7">
        <v>67.966667000000001</v>
      </c>
      <c r="F53" s="7">
        <v>24.116667</v>
      </c>
      <c r="G53" s="7">
        <v>342</v>
      </c>
      <c r="I53" s="5" t="s">
        <v>573</v>
      </c>
      <c r="J53" s="6" t="s">
        <v>100</v>
      </c>
      <c r="K53" s="8">
        <v>43872</v>
      </c>
      <c r="L53" s="8"/>
      <c r="M53" s="8"/>
      <c r="N53" s="9">
        <v>-14.74</v>
      </c>
      <c r="O53" s="39">
        <v>-117.37</v>
      </c>
      <c r="P53" s="41">
        <f t="shared" si="1"/>
        <v>0.54999999999999716</v>
      </c>
      <c r="Q53" s="7">
        <v>1</v>
      </c>
      <c r="R53" s="7">
        <v>-2.6</v>
      </c>
      <c r="S53" s="7"/>
      <c r="T53" s="7"/>
    </row>
    <row r="54" spans="1:20" x14ac:dyDescent="0.35">
      <c r="A54" s="5" t="s">
        <v>20</v>
      </c>
      <c r="B54" s="6" t="s">
        <v>21</v>
      </c>
      <c r="C54" s="6" t="s">
        <v>22</v>
      </c>
      <c r="D54" s="6" t="s">
        <v>23</v>
      </c>
      <c r="E54" s="7">
        <v>67.966667000000001</v>
      </c>
      <c r="F54" s="7">
        <v>24.116667</v>
      </c>
      <c r="G54" s="7">
        <v>342</v>
      </c>
      <c r="I54" s="5" t="s">
        <v>573</v>
      </c>
      <c r="J54" s="6" t="s">
        <v>100</v>
      </c>
      <c r="K54" s="8">
        <v>43874</v>
      </c>
      <c r="L54" s="8"/>
      <c r="M54" s="8"/>
      <c r="N54" s="9">
        <v>-14.08</v>
      </c>
      <c r="O54" s="39">
        <v>-104.51</v>
      </c>
      <c r="P54" s="41">
        <f t="shared" si="1"/>
        <v>8.1299999999999955</v>
      </c>
      <c r="Q54" s="7">
        <v>1</v>
      </c>
      <c r="R54" s="7">
        <v>-9.4</v>
      </c>
      <c r="S54" s="7"/>
      <c r="T54" s="7"/>
    </row>
    <row r="55" spans="1:20" x14ac:dyDescent="0.35">
      <c r="A55" s="5" t="s">
        <v>20</v>
      </c>
      <c r="B55" s="6" t="s">
        <v>21</v>
      </c>
      <c r="C55" s="6" t="s">
        <v>22</v>
      </c>
      <c r="D55" s="6" t="s">
        <v>23</v>
      </c>
      <c r="E55" s="7">
        <v>67.966667000000001</v>
      </c>
      <c r="F55" s="7">
        <v>24.116667</v>
      </c>
      <c r="G55" s="7">
        <v>342</v>
      </c>
      <c r="I55" s="5" t="s">
        <v>573</v>
      </c>
      <c r="J55" s="6" t="s">
        <v>100</v>
      </c>
      <c r="K55" s="8">
        <v>43878</v>
      </c>
      <c r="L55" s="8"/>
      <c r="M55" s="8"/>
      <c r="N55" s="9">
        <v>-17.739999999999998</v>
      </c>
      <c r="O55" s="39">
        <v>-136.36000000000001</v>
      </c>
      <c r="P55" s="41">
        <f t="shared" si="1"/>
        <v>5.5599999999999739</v>
      </c>
      <c r="Q55" s="7">
        <v>0.1</v>
      </c>
      <c r="R55" s="7">
        <v>-3.8</v>
      </c>
      <c r="S55" s="7"/>
      <c r="T55" s="7"/>
    </row>
    <row r="56" spans="1:20" x14ac:dyDescent="0.35">
      <c r="A56" s="5" t="s">
        <v>20</v>
      </c>
      <c r="B56" s="6" t="s">
        <v>21</v>
      </c>
      <c r="C56" s="6" t="s">
        <v>22</v>
      </c>
      <c r="D56" s="6" t="s">
        <v>23</v>
      </c>
      <c r="E56" s="7">
        <v>67.966667000000001</v>
      </c>
      <c r="F56" s="7">
        <v>24.116667</v>
      </c>
      <c r="G56" s="7">
        <v>342</v>
      </c>
      <c r="I56" s="5" t="s">
        <v>573</v>
      </c>
      <c r="J56" s="6" t="s">
        <v>100</v>
      </c>
      <c r="K56" s="8">
        <v>43880</v>
      </c>
      <c r="L56" s="8"/>
      <c r="M56" s="8"/>
      <c r="N56" s="9">
        <v>-17.52</v>
      </c>
      <c r="O56" s="39">
        <v>-133.63999999999999</v>
      </c>
      <c r="P56" s="41">
        <f t="shared" si="1"/>
        <v>6.5200000000000102</v>
      </c>
      <c r="Q56" s="7">
        <v>1.2</v>
      </c>
      <c r="R56" s="7">
        <v>-6.6</v>
      </c>
      <c r="S56" s="7"/>
      <c r="T56" s="7"/>
    </row>
    <row r="57" spans="1:20" x14ac:dyDescent="0.35">
      <c r="A57" s="5" t="s">
        <v>20</v>
      </c>
      <c r="B57" s="6" t="s">
        <v>21</v>
      </c>
      <c r="C57" s="6" t="s">
        <v>22</v>
      </c>
      <c r="D57" s="6" t="s">
        <v>23</v>
      </c>
      <c r="E57" s="7">
        <v>67.966667000000001</v>
      </c>
      <c r="F57" s="7">
        <v>24.116667</v>
      </c>
      <c r="G57" s="7">
        <v>342</v>
      </c>
      <c r="I57" s="5" t="s">
        <v>573</v>
      </c>
      <c r="J57" s="6" t="s">
        <v>100</v>
      </c>
      <c r="K57" s="8">
        <v>43882</v>
      </c>
      <c r="L57" s="8"/>
      <c r="M57" s="8"/>
      <c r="N57" s="9">
        <v>-14.19</v>
      </c>
      <c r="O57" s="39">
        <v>-105.64</v>
      </c>
      <c r="P57" s="41">
        <f t="shared" si="1"/>
        <v>7.8799999999999955</v>
      </c>
      <c r="Q57" s="7">
        <v>3.1</v>
      </c>
      <c r="R57" s="7">
        <v>-2.8</v>
      </c>
      <c r="S57" s="7"/>
      <c r="T57" s="7"/>
    </row>
    <row r="58" spans="1:20" x14ac:dyDescent="0.35">
      <c r="A58" s="5" t="s">
        <v>20</v>
      </c>
      <c r="B58" s="6" t="s">
        <v>21</v>
      </c>
      <c r="C58" s="6" t="s">
        <v>22</v>
      </c>
      <c r="D58" s="6" t="s">
        <v>23</v>
      </c>
      <c r="E58" s="7">
        <v>67.966667000000001</v>
      </c>
      <c r="F58" s="7">
        <v>24.116667</v>
      </c>
      <c r="G58" s="7">
        <v>342</v>
      </c>
      <c r="I58" s="5" t="s">
        <v>573</v>
      </c>
      <c r="J58" s="6" t="s">
        <v>100</v>
      </c>
      <c r="K58" s="8">
        <v>43885</v>
      </c>
      <c r="L58" s="8"/>
      <c r="M58" s="8"/>
      <c r="N58" s="9">
        <v>-15.36</v>
      </c>
      <c r="O58" s="39">
        <v>-121.08</v>
      </c>
      <c r="P58" s="41">
        <f t="shared" si="1"/>
        <v>1.7999999999999972</v>
      </c>
      <c r="Q58" s="7">
        <v>0.7</v>
      </c>
      <c r="R58" s="7">
        <v>-5.5</v>
      </c>
      <c r="S58" s="7"/>
      <c r="T58" s="7"/>
    </row>
    <row r="59" spans="1:20" x14ac:dyDescent="0.35">
      <c r="A59" s="5" t="s">
        <v>20</v>
      </c>
      <c r="B59" s="6" t="s">
        <v>21</v>
      </c>
      <c r="C59" s="6" t="s">
        <v>22</v>
      </c>
      <c r="D59" s="6" t="s">
        <v>23</v>
      </c>
      <c r="E59" s="7">
        <v>67.966667000000001</v>
      </c>
      <c r="F59" s="7">
        <v>24.116667</v>
      </c>
      <c r="G59" s="7">
        <v>342</v>
      </c>
      <c r="I59" s="5" t="s">
        <v>573</v>
      </c>
      <c r="J59" s="6" t="s">
        <v>100</v>
      </c>
      <c r="K59" s="8">
        <v>43899</v>
      </c>
      <c r="L59" s="8"/>
      <c r="M59" s="8"/>
      <c r="N59" s="9">
        <v>-14.78</v>
      </c>
      <c r="O59" s="39">
        <v>-112.55</v>
      </c>
      <c r="P59" s="41">
        <f t="shared" si="1"/>
        <v>5.6899999999999977</v>
      </c>
      <c r="Q59" s="7">
        <v>1.4</v>
      </c>
      <c r="R59" s="7">
        <v>0.9</v>
      </c>
      <c r="S59" s="7"/>
      <c r="T59" s="7"/>
    </row>
    <row r="60" spans="1:20" x14ac:dyDescent="0.35">
      <c r="A60" s="5" t="s">
        <v>20</v>
      </c>
      <c r="B60" s="6" t="s">
        <v>21</v>
      </c>
      <c r="C60" s="6" t="s">
        <v>22</v>
      </c>
      <c r="D60" s="6" t="s">
        <v>23</v>
      </c>
      <c r="E60" s="7">
        <v>67.966667000000001</v>
      </c>
      <c r="F60" s="7">
        <v>24.116667</v>
      </c>
      <c r="G60" s="7">
        <v>342</v>
      </c>
      <c r="I60" s="5" t="s">
        <v>573</v>
      </c>
      <c r="J60" s="6" t="s">
        <v>100</v>
      </c>
      <c r="K60" s="8">
        <v>43901</v>
      </c>
      <c r="L60" s="8"/>
      <c r="M60" s="8"/>
      <c r="N60" s="9">
        <v>-10.65</v>
      </c>
      <c r="O60" s="39">
        <v>-78.17</v>
      </c>
      <c r="P60" s="41">
        <f t="shared" si="1"/>
        <v>7.0300000000000011</v>
      </c>
      <c r="Q60" s="7">
        <v>0.5</v>
      </c>
      <c r="R60" s="7">
        <v>-2.4</v>
      </c>
      <c r="S60" s="7"/>
      <c r="T60" s="7"/>
    </row>
    <row r="61" spans="1:20" x14ac:dyDescent="0.35">
      <c r="A61" s="5" t="s">
        <v>20</v>
      </c>
      <c r="B61" s="6" t="s">
        <v>21</v>
      </c>
      <c r="C61" s="6" t="s">
        <v>22</v>
      </c>
      <c r="D61" s="6" t="s">
        <v>23</v>
      </c>
      <c r="E61" s="7">
        <v>67.966667000000001</v>
      </c>
      <c r="F61" s="7">
        <v>24.116667</v>
      </c>
      <c r="G61" s="7">
        <v>342</v>
      </c>
      <c r="I61" s="5" t="s">
        <v>573</v>
      </c>
      <c r="J61" s="6" t="s">
        <v>100</v>
      </c>
      <c r="K61" s="8">
        <v>43902</v>
      </c>
      <c r="L61" s="8"/>
      <c r="M61" s="8"/>
      <c r="N61" s="9">
        <v>-12.12</v>
      </c>
      <c r="O61" s="39">
        <v>-91.97</v>
      </c>
      <c r="P61" s="41">
        <f t="shared" si="1"/>
        <v>4.9899999999999949</v>
      </c>
      <c r="Q61" s="7">
        <v>2.1</v>
      </c>
      <c r="R61" s="7">
        <v>-6.6</v>
      </c>
      <c r="S61" s="7"/>
      <c r="T61" s="7"/>
    </row>
    <row r="62" spans="1:20" x14ac:dyDescent="0.35">
      <c r="A62" s="5" t="s">
        <v>20</v>
      </c>
      <c r="B62" s="6" t="s">
        <v>21</v>
      </c>
      <c r="C62" s="6" t="s">
        <v>22</v>
      </c>
      <c r="D62" s="6" t="s">
        <v>23</v>
      </c>
      <c r="E62" s="7">
        <v>67.966667000000001</v>
      </c>
      <c r="F62" s="7">
        <v>24.116667</v>
      </c>
      <c r="G62" s="7">
        <v>342</v>
      </c>
      <c r="I62" s="5" t="s">
        <v>573</v>
      </c>
      <c r="J62" s="6" t="s">
        <v>100</v>
      </c>
      <c r="K62" s="8">
        <v>43903</v>
      </c>
      <c r="L62" s="8"/>
      <c r="M62" s="8"/>
      <c r="N62" s="9">
        <v>-15.55</v>
      </c>
      <c r="O62" s="39">
        <v>-119.25</v>
      </c>
      <c r="P62" s="41">
        <f t="shared" si="1"/>
        <v>5.1500000000000057</v>
      </c>
      <c r="Q62" s="7">
        <v>5.4</v>
      </c>
      <c r="R62" s="7">
        <v>-2.4</v>
      </c>
      <c r="S62" s="7"/>
      <c r="T62" s="7"/>
    </row>
    <row r="63" spans="1:20" x14ac:dyDescent="0.35">
      <c r="A63" s="5" t="s">
        <v>20</v>
      </c>
      <c r="B63" s="6" t="s">
        <v>21</v>
      </c>
      <c r="C63" s="6" t="s">
        <v>22</v>
      </c>
      <c r="D63" s="6" t="s">
        <v>23</v>
      </c>
      <c r="E63" s="7">
        <v>67.966667000000001</v>
      </c>
      <c r="F63" s="7">
        <v>24.116667</v>
      </c>
      <c r="G63" s="7">
        <v>342</v>
      </c>
      <c r="I63" s="5" t="s">
        <v>573</v>
      </c>
      <c r="J63" s="6" t="s">
        <v>100</v>
      </c>
      <c r="K63" s="8">
        <v>43906</v>
      </c>
      <c r="L63" s="8"/>
      <c r="M63" s="8"/>
      <c r="N63" s="9">
        <v>-20.67</v>
      </c>
      <c r="O63" s="39">
        <v>-157.43</v>
      </c>
      <c r="P63" s="41">
        <f t="shared" si="1"/>
        <v>7.9300000000000068</v>
      </c>
      <c r="Q63" s="7">
        <v>3.5</v>
      </c>
      <c r="R63" s="7">
        <v>-5.5</v>
      </c>
      <c r="S63" s="7"/>
      <c r="T63" s="7"/>
    </row>
    <row r="64" spans="1:20" x14ac:dyDescent="0.35">
      <c r="A64" s="5" t="s">
        <v>20</v>
      </c>
      <c r="B64" s="6" t="s">
        <v>21</v>
      </c>
      <c r="C64" s="6" t="s">
        <v>22</v>
      </c>
      <c r="D64" s="6" t="s">
        <v>23</v>
      </c>
      <c r="E64" s="7">
        <v>67.966667000000001</v>
      </c>
      <c r="F64" s="7">
        <v>24.116667</v>
      </c>
      <c r="G64" s="7">
        <v>342</v>
      </c>
      <c r="I64" s="5" t="s">
        <v>573</v>
      </c>
      <c r="J64" s="6" t="s">
        <v>100</v>
      </c>
      <c r="K64" s="8">
        <v>43908</v>
      </c>
      <c r="L64" s="8"/>
      <c r="M64" s="8"/>
      <c r="N64" s="9">
        <v>-15.86</v>
      </c>
      <c r="O64" s="39">
        <v>-123.32</v>
      </c>
      <c r="P64" s="41">
        <f t="shared" si="1"/>
        <v>3.5600000000000023</v>
      </c>
      <c r="Q64" s="7">
        <v>1.3</v>
      </c>
      <c r="R64" s="7">
        <v>-3.2</v>
      </c>
      <c r="S64" s="7"/>
      <c r="T64" s="7"/>
    </row>
    <row r="65" spans="1:20" x14ac:dyDescent="0.35">
      <c r="A65" s="5" t="s">
        <v>20</v>
      </c>
      <c r="B65" s="6" t="s">
        <v>21</v>
      </c>
      <c r="C65" s="6" t="s">
        <v>22</v>
      </c>
      <c r="D65" s="6" t="s">
        <v>23</v>
      </c>
      <c r="E65" s="7">
        <v>67.966667000000001</v>
      </c>
      <c r="F65" s="7">
        <v>24.116667</v>
      </c>
      <c r="G65" s="7">
        <v>342</v>
      </c>
      <c r="I65" s="5" t="s">
        <v>573</v>
      </c>
      <c r="J65" s="6" t="s">
        <v>100</v>
      </c>
      <c r="K65" s="8">
        <v>43920</v>
      </c>
      <c r="L65" s="8"/>
      <c r="M65" s="8"/>
      <c r="N65" s="9">
        <v>-8.6999999999999993</v>
      </c>
      <c r="O65" s="39">
        <v>-76.17</v>
      </c>
      <c r="P65" s="41">
        <f t="shared" si="1"/>
        <v>-6.5700000000000074</v>
      </c>
      <c r="Q65" s="7">
        <v>1.6</v>
      </c>
      <c r="R65" s="7">
        <v>-7.3</v>
      </c>
      <c r="S65" s="7"/>
      <c r="T65" s="7"/>
    </row>
    <row r="66" spans="1:20" x14ac:dyDescent="0.35">
      <c r="A66" s="5" t="s">
        <v>20</v>
      </c>
      <c r="B66" s="6" t="s">
        <v>21</v>
      </c>
      <c r="C66" s="6" t="s">
        <v>22</v>
      </c>
      <c r="D66" s="6" t="s">
        <v>23</v>
      </c>
      <c r="E66" s="7">
        <v>67.966667000000001</v>
      </c>
      <c r="F66" s="7">
        <v>24.116667</v>
      </c>
      <c r="G66" s="7">
        <v>342</v>
      </c>
      <c r="I66" s="5" t="s">
        <v>573</v>
      </c>
      <c r="J66" s="6" t="s">
        <v>100</v>
      </c>
      <c r="K66" s="8">
        <v>43922</v>
      </c>
      <c r="L66" s="8"/>
      <c r="M66" s="8"/>
      <c r="N66" s="9">
        <v>-23.87</v>
      </c>
      <c r="O66" s="39">
        <v>-189.46</v>
      </c>
      <c r="P66" s="41">
        <f t="shared" ref="P66:P97" si="2">O66-(8*N66)</f>
        <v>1.5</v>
      </c>
      <c r="Q66" s="7">
        <v>4.8</v>
      </c>
      <c r="R66" s="7">
        <v>-4.4000000000000004</v>
      </c>
      <c r="S66" s="7"/>
      <c r="T66" s="7"/>
    </row>
    <row r="67" spans="1:20" x14ac:dyDescent="0.35">
      <c r="A67" s="5" t="s">
        <v>20</v>
      </c>
      <c r="B67" s="6" t="s">
        <v>21</v>
      </c>
      <c r="C67" s="6" t="s">
        <v>22</v>
      </c>
      <c r="D67" s="6" t="s">
        <v>23</v>
      </c>
      <c r="E67" s="7">
        <v>67.966667000000001</v>
      </c>
      <c r="F67" s="7">
        <v>24.116667</v>
      </c>
      <c r="G67" s="7">
        <v>342</v>
      </c>
      <c r="I67" s="5" t="s">
        <v>100</v>
      </c>
      <c r="J67" s="6" t="s">
        <v>100</v>
      </c>
      <c r="K67" s="8">
        <v>43949</v>
      </c>
      <c r="L67" s="8"/>
      <c r="M67" s="8"/>
      <c r="N67" s="9">
        <v>-7.72</v>
      </c>
      <c r="O67" s="39">
        <v>-59.94</v>
      </c>
      <c r="P67" s="41">
        <f t="shared" si="2"/>
        <v>1.8200000000000003</v>
      </c>
      <c r="Q67" s="7">
        <v>0.9</v>
      </c>
      <c r="R67" s="7">
        <v>-2.6</v>
      </c>
      <c r="S67" s="7"/>
      <c r="T67" s="7"/>
    </row>
    <row r="68" spans="1:20" x14ac:dyDescent="0.35">
      <c r="A68" s="5" t="s">
        <v>20</v>
      </c>
      <c r="B68" s="6" t="s">
        <v>21</v>
      </c>
      <c r="C68" s="6" t="s">
        <v>22</v>
      </c>
      <c r="D68" s="6" t="s">
        <v>23</v>
      </c>
      <c r="E68" s="7">
        <v>67.966667000000001</v>
      </c>
      <c r="F68" s="7">
        <v>24.116667</v>
      </c>
      <c r="G68" s="7">
        <v>342</v>
      </c>
      <c r="I68" s="5" t="s">
        <v>41</v>
      </c>
      <c r="J68" s="6" t="s">
        <v>41</v>
      </c>
      <c r="K68" s="8">
        <v>43955</v>
      </c>
      <c r="L68" s="8">
        <v>43954</v>
      </c>
      <c r="M68" s="8">
        <v>43955</v>
      </c>
      <c r="N68" s="9">
        <v>-8.59</v>
      </c>
      <c r="O68" s="39">
        <v>-66.010000000000005</v>
      </c>
      <c r="P68" s="41">
        <f t="shared" si="2"/>
        <v>2.7099999999999937</v>
      </c>
      <c r="Q68" s="7">
        <v>2.9</v>
      </c>
      <c r="R68" s="7">
        <v>1.2</v>
      </c>
      <c r="S68" s="7"/>
      <c r="T68" s="7"/>
    </row>
    <row r="69" spans="1:20" x14ac:dyDescent="0.35">
      <c r="A69" s="5" t="s">
        <v>20</v>
      </c>
      <c r="B69" s="6" t="s">
        <v>21</v>
      </c>
      <c r="C69" s="6" t="s">
        <v>22</v>
      </c>
      <c r="D69" s="6" t="s">
        <v>23</v>
      </c>
      <c r="E69" s="7">
        <v>67.966667000000001</v>
      </c>
      <c r="F69" s="7">
        <v>24.116667</v>
      </c>
      <c r="G69" s="7">
        <v>342</v>
      </c>
      <c r="I69" s="5" t="s">
        <v>574</v>
      </c>
      <c r="J69" s="6" t="s">
        <v>41</v>
      </c>
      <c r="K69" s="8">
        <v>43988</v>
      </c>
      <c r="L69" s="8">
        <v>43987</v>
      </c>
      <c r="M69" s="8">
        <v>43988</v>
      </c>
      <c r="N69" s="9">
        <v>-9.91</v>
      </c>
      <c r="O69" s="39">
        <v>-73.75</v>
      </c>
      <c r="P69" s="41">
        <f t="shared" si="2"/>
        <v>5.5300000000000011</v>
      </c>
      <c r="Q69" s="7">
        <v>9.3000000000000007</v>
      </c>
      <c r="R69" s="7">
        <v>9.9</v>
      </c>
      <c r="S69" s="7"/>
      <c r="T69" s="7"/>
    </row>
    <row r="70" spans="1:20" x14ac:dyDescent="0.35">
      <c r="A70" s="5" t="s">
        <v>20</v>
      </c>
      <c r="B70" s="6" t="s">
        <v>21</v>
      </c>
      <c r="C70" s="6" t="s">
        <v>22</v>
      </c>
      <c r="D70" s="6" t="s">
        <v>23</v>
      </c>
      <c r="E70" s="7">
        <v>67.966667000000001</v>
      </c>
      <c r="F70" s="7">
        <v>24.116667</v>
      </c>
      <c r="G70" s="7">
        <v>342</v>
      </c>
      <c r="I70" s="5" t="s">
        <v>574</v>
      </c>
      <c r="J70" s="6" t="s">
        <v>41</v>
      </c>
      <c r="K70" s="8">
        <v>43989</v>
      </c>
      <c r="L70" s="8">
        <v>43988</v>
      </c>
      <c r="M70" s="8">
        <v>43989</v>
      </c>
      <c r="N70" s="9">
        <v>-15.12</v>
      </c>
      <c r="O70" s="39">
        <v>-112.02</v>
      </c>
      <c r="P70" s="41">
        <f t="shared" si="2"/>
        <v>8.9399999999999977</v>
      </c>
      <c r="Q70" s="7">
        <v>10.199999999999999</v>
      </c>
      <c r="R70" s="7">
        <v>10.1</v>
      </c>
      <c r="S70" s="7"/>
      <c r="T70" s="7"/>
    </row>
    <row r="71" spans="1:20" x14ac:dyDescent="0.35">
      <c r="A71" s="5" t="s">
        <v>20</v>
      </c>
      <c r="B71" s="6" t="s">
        <v>21</v>
      </c>
      <c r="C71" s="6" t="s">
        <v>22</v>
      </c>
      <c r="D71" s="6" t="s">
        <v>23</v>
      </c>
      <c r="E71" s="7">
        <v>67.966667000000001</v>
      </c>
      <c r="F71" s="7">
        <v>24.116667</v>
      </c>
      <c r="G71" s="7">
        <v>342</v>
      </c>
      <c r="I71" s="5" t="s">
        <v>574</v>
      </c>
      <c r="J71" s="6" t="s">
        <v>41</v>
      </c>
      <c r="K71" s="8">
        <v>43998</v>
      </c>
      <c r="L71" s="8">
        <v>43997</v>
      </c>
      <c r="M71" s="8">
        <v>43998</v>
      </c>
      <c r="N71" s="9">
        <v>-4.53</v>
      </c>
      <c r="O71" s="39">
        <v>-50.31</v>
      </c>
      <c r="P71" s="41">
        <f t="shared" si="2"/>
        <v>-14.07</v>
      </c>
      <c r="Q71" s="7">
        <v>0.3</v>
      </c>
      <c r="R71" s="7">
        <v>12.5</v>
      </c>
      <c r="S71" s="7"/>
      <c r="T71" s="7"/>
    </row>
    <row r="72" spans="1:20" x14ac:dyDescent="0.35">
      <c r="A72" s="5" t="s">
        <v>20</v>
      </c>
      <c r="B72" s="6" t="s">
        <v>21</v>
      </c>
      <c r="C72" s="6" t="s">
        <v>22</v>
      </c>
      <c r="D72" s="6" t="s">
        <v>23</v>
      </c>
      <c r="E72" s="7">
        <v>67.966667000000001</v>
      </c>
      <c r="F72" s="7">
        <v>24.116667</v>
      </c>
      <c r="G72" s="7">
        <v>342</v>
      </c>
      <c r="I72" s="5" t="s">
        <v>574</v>
      </c>
      <c r="J72" s="6" t="s">
        <v>41</v>
      </c>
      <c r="K72" s="8">
        <v>44012</v>
      </c>
      <c r="L72" s="8">
        <v>43998</v>
      </c>
      <c r="M72" s="8">
        <v>44012</v>
      </c>
      <c r="N72" s="9">
        <v>-14.54</v>
      </c>
      <c r="O72" s="39">
        <v>-103.89</v>
      </c>
      <c r="P72" s="41">
        <f t="shared" si="2"/>
        <v>12.429999999999993</v>
      </c>
      <c r="Q72" s="7">
        <v>19</v>
      </c>
      <c r="R72" s="7">
        <v>6.9</v>
      </c>
      <c r="S72" s="7"/>
      <c r="T72" s="7"/>
    </row>
    <row r="73" spans="1:20" x14ac:dyDescent="0.35">
      <c r="A73" s="5" t="s">
        <v>20</v>
      </c>
      <c r="B73" s="6" t="s">
        <v>21</v>
      </c>
      <c r="C73" s="6" t="s">
        <v>22</v>
      </c>
      <c r="D73" s="6" t="s">
        <v>23</v>
      </c>
      <c r="E73" s="7">
        <v>67.966667000000001</v>
      </c>
      <c r="F73" s="7">
        <v>24.116667</v>
      </c>
      <c r="G73" s="7">
        <v>342</v>
      </c>
      <c r="I73" s="5" t="s">
        <v>574</v>
      </c>
      <c r="J73" s="6" t="s">
        <v>41</v>
      </c>
      <c r="K73" s="8">
        <v>44014</v>
      </c>
      <c r="L73" s="8">
        <v>44012</v>
      </c>
      <c r="M73" s="8">
        <v>44014</v>
      </c>
      <c r="N73" s="9">
        <v>-14.85</v>
      </c>
      <c r="O73" s="39">
        <v>-111.49</v>
      </c>
      <c r="P73" s="41">
        <f t="shared" si="2"/>
        <v>7.3100000000000023</v>
      </c>
      <c r="Q73" s="7">
        <v>0.2</v>
      </c>
      <c r="R73" s="7">
        <v>9.1999999999999993</v>
      </c>
      <c r="S73" s="7"/>
      <c r="T73" s="7"/>
    </row>
    <row r="74" spans="1:20" x14ac:dyDescent="0.35">
      <c r="A74" s="5" t="s">
        <v>20</v>
      </c>
      <c r="B74" s="6" t="s">
        <v>21</v>
      </c>
      <c r="C74" s="6" t="s">
        <v>22</v>
      </c>
      <c r="D74" s="6" t="s">
        <v>23</v>
      </c>
      <c r="E74" s="7">
        <v>67.966667000000001</v>
      </c>
      <c r="F74" s="7">
        <v>24.116667</v>
      </c>
      <c r="G74" s="7">
        <v>342</v>
      </c>
      <c r="I74" s="5" t="s">
        <v>574</v>
      </c>
      <c r="J74" s="6" t="s">
        <v>41</v>
      </c>
      <c r="K74" s="8">
        <v>44015</v>
      </c>
      <c r="L74" s="8">
        <v>44014</v>
      </c>
      <c r="M74" s="8">
        <v>44015</v>
      </c>
      <c r="N74" s="9">
        <v>-12.23</v>
      </c>
      <c r="O74" s="39">
        <v>-107.96</v>
      </c>
      <c r="P74" s="41">
        <f t="shared" si="2"/>
        <v>-10.11999999999999</v>
      </c>
      <c r="Q74" s="7">
        <v>10.8</v>
      </c>
      <c r="R74" s="7">
        <v>8.9</v>
      </c>
      <c r="S74" s="7"/>
      <c r="T74" s="7"/>
    </row>
    <row r="75" spans="1:20" x14ac:dyDescent="0.35">
      <c r="A75" s="5" t="s">
        <v>20</v>
      </c>
      <c r="B75" s="6" t="s">
        <v>21</v>
      </c>
      <c r="C75" s="6" t="s">
        <v>22</v>
      </c>
      <c r="D75" s="6" t="s">
        <v>23</v>
      </c>
      <c r="E75" s="7">
        <v>67.966667000000001</v>
      </c>
      <c r="F75" s="7">
        <v>24.116667</v>
      </c>
      <c r="G75" s="7">
        <v>342</v>
      </c>
      <c r="I75" s="5" t="s">
        <v>574</v>
      </c>
      <c r="J75" s="6" t="s">
        <v>41</v>
      </c>
      <c r="K75" s="8">
        <v>44018</v>
      </c>
      <c r="L75" s="8">
        <v>44015</v>
      </c>
      <c r="M75" s="8">
        <v>44018</v>
      </c>
      <c r="N75" s="9">
        <v>-17.27</v>
      </c>
      <c r="O75" s="39">
        <v>-126.43</v>
      </c>
      <c r="P75" s="41">
        <f t="shared" si="2"/>
        <v>11.72999999999999</v>
      </c>
      <c r="Q75" s="7">
        <v>0.3</v>
      </c>
      <c r="R75" s="7">
        <v>10.5</v>
      </c>
      <c r="S75" s="7"/>
      <c r="T75" s="7"/>
    </row>
    <row r="76" spans="1:20" x14ac:dyDescent="0.35">
      <c r="A76" s="5" t="s">
        <v>20</v>
      </c>
      <c r="B76" s="6" t="s">
        <v>21</v>
      </c>
      <c r="C76" s="6" t="s">
        <v>22</v>
      </c>
      <c r="D76" s="6" t="s">
        <v>23</v>
      </c>
      <c r="E76" s="7">
        <v>67.966667000000001</v>
      </c>
      <c r="F76" s="7">
        <v>24.116667</v>
      </c>
      <c r="G76" s="7">
        <v>342</v>
      </c>
      <c r="I76" s="5" t="s">
        <v>574</v>
      </c>
      <c r="J76" s="6" t="s">
        <v>41</v>
      </c>
      <c r="K76" s="8">
        <v>44019</v>
      </c>
      <c r="L76" s="8">
        <v>44018</v>
      </c>
      <c r="M76" s="8">
        <v>44019</v>
      </c>
      <c r="N76" s="9">
        <v>-10.16</v>
      </c>
      <c r="O76" s="39">
        <v>-80.53</v>
      </c>
      <c r="P76" s="41">
        <f t="shared" si="2"/>
        <v>0.75</v>
      </c>
      <c r="Q76" s="7">
        <v>2</v>
      </c>
      <c r="R76" s="7">
        <v>12.6</v>
      </c>
      <c r="S76" s="7"/>
      <c r="T76" s="7"/>
    </row>
    <row r="77" spans="1:20" x14ac:dyDescent="0.35">
      <c r="A77" s="5" t="s">
        <v>20</v>
      </c>
      <c r="B77" s="6" t="s">
        <v>21</v>
      </c>
      <c r="C77" s="6" t="s">
        <v>22</v>
      </c>
      <c r="D77" s="6" t="s">
        <v>23</v>
      </c>
      <c r="E77" s="7">
        <v>67.966667000000001</v>
      </c>
      <c r="F77" s="7">
        <v>24.116667</v>
      </c>
      <c r="G77" s="7">
        <v>342</v>
      </c>
      <c r="I77" s="5" t="s">
        <v>574</v>
      </c>
      <c r="J77" s="6" t="s">
        <v>41</v>
      </c>
      <c r="K77" s="8">
        <v>44020</v>
      </c>
      <c r="L77" s="8">
        <v>44019</v>
      </c>
      <c r="M77" s="8">
        <v>44020</v>
      </c>
      <c r="N77" s="9">
        <v>-15.02</v>
      </c>
      <c r="O77" s="39">
        <v>-111.09</v>
      </c>
      <c r="P77" s="41">
        <f t="shared" si="2"/>
        <v>9.0699999999999932</v>
      </c>
      <c r="Q77" s="7">
        <v>3.5</v>
      </c>
      <c r="R77" s="7">
        <v>11.8</v>
      </c>
      <c r="S77" s="7"/>
      <c r="T77" s="7"/>
    </row>
    <row r="78" spans="1:20" x14ac:dyDescent="0.35">
      <c r="A78" s="5" t="s">
        <v>20</v>
      </c>
      <c r="B78" s="6" t="s">
        <v>21</v>
      </c>
      <c r="C78" s="6" t="s">
        <v>22</v>
      </c>
      <c r="D78" s="6" t="s">
        <v>23</v>
      </c>
      <c r="E78" s="7">
        <v>67.966667000000001</v>
      </c>
      <c r="F78" s="7">
        <v>24.116667</v>
      </c>
      <c r="G78" s="7">
        <v>342</v>
      </c>
      <c r="I78" s="5" t="s">
        <v>574</v>
      </c>
      <c r="J78" s="6" t="s">
        <v>41</v>
      </c>
      <c r="K78" s="8">
        <v>44021</v>
      </c>
      <c r="L78" s="8">
        <v>44020</v>
      </c>
      <c r="M78" s="8">
        <v>44021</v>
      </c>
      <c r="N78" s="9">
        <v>-15.46</v>
      </c>
      <c r="O78" s="39">
        <v>-118.47</v>
      </c>
      <c r="P78" s="41">
        <f t="shared" si="2"/>
        <v>5.210000000000008</v>
      </c>
      <c r="Q78" s="7">
        <v>14.6</v>
      </c>
      <c r="R78" s="7">
        <v>12.3</v>
      </c>
      <c r="S78" s="7"/>
      <c r="T78" s="7"/>
    </row>
    <row r="79" spans="1:20" x14ac:dyDescent="0.35">
      <c r="A79" s="5" t="s">
        <v>20</v>
      </c>
      <c r="B79" s="6" t="s">
        <v>21</v>
      </c>
      <c r="C79" s="6" t="s">
        <v>22</v>
      </c>
      <c r="D79" s="6" t="s">
        <v>23</v>
      </c>
      <c r="E79" s="7">
        <v>67.966667000000001</v>
      </c>
      <c r="F79" s="7">
        <v>24.116667</v>
      </c>
      <c r="G79" s="7">
        <v>342</v>
      </c>
      <c r="I79" s="5" t="s">
        <v>574</v>
      </c>
      <c r="J79" s="6" t="s">
        <v>41</v>
      </c>
      <c r="K79" s="8">
        <v>44022</v>
      </c>
      <c r="L79" s="8">
        <v>44021</v>
      </c>
      <c r="M79" s="8">
        <v>44022</v>
      </c>
      <c r="N79" s="9">
        <v>-12.99</v>
      </c>
      <c r="O79" s="39">
        <v>-99.82</v>
      </c>
      <c r="P79" s="41">
        <f t="shared" si="2"/>
        <v>4.1000000000000085</v>
      </c>
      <c r="Q79" s="7">
        <v>7.1</v>
      </c>
      <c r="R79" s="7">
        <v>7.6</v>
      </c>
      <c r="S79" s="7"/>
      <c r="T79" s="7"/>
    </row>
    <row r="80" spans="1:20" x14ac:dyDescent="0.35">
      <c r="A80" s="5" t="s">
        <v>20</v>
      </c>
      <c r="B80" s="6" t="s">
        <v>21</v>
      </c>
      <c r="C80" s="6" t="s">
        <v>22</v>
      </c>
      <c r="D80" s="6" t="s">
        <v>23</v>
      </c>
      <c r="E80" s="7">
        <v>67.966667000000001</v>
      </c>
      <c r="F80" s="7">
        <v>24.116667</v>
      </c>
      <c r="G80" s="7">
        <v>342</v>
      </c>
      <c r="I80" s="5" t="s">
        <v>574</v>
      </c>
      <c r="J80" s="6" t="s">
        <v>41</v>
      </c>
      <c r="K80" s="11">
        <v>44025</v>
      </c>
      <c r="L80" s="8">
        <v>44022</v>
      </c>
      <c r="M80" s="8">
        <v>44025</v>
      </c>
      <c r="N80" s="9">
        <v>-12.73</v>
      </c>
      <c r="O80" s="39">
        <v>-98.56</v>
      </c>
      <c r="P80" s="41">
        <f t="shared" si="2"/>
        <v>3.2800000000000011</v>
      </c>
      <c r="Q80" s="7">
        <v>1</v>
      </c>
      <c r="R80" s="7">
        <v>12.8</v>
      </c>
      <c r="S80" s="7"/>
      <c r="T80" s="7"/>
    </row>
    <row r="81" spans="1:20" x14ac:dyDescent="0.35">
      <c r="A81" s="5" t="s">
        <v>20</v>
      </c>
      <c r="B81" s="6" t="s">
        <v>21</v>
      </c>
      <c r="C81" s="6" t="s">
        <v>22</v>
      </c>
      <c r="D81" s="6" t="s">
        <v>23</v>
      </c>
      <c r="E81" s="7">
        <v>67.966667000000001</v>
      </c>
      <c r="F81" s="7">
        <v>24.116667</v>
      </c>
      <c r="G81" s="7">
        <v>342</v>
      </c>
      <c r="I81" s="5" t="s">
        <v>574</v>
      </c>
      <c r="J81" s="6" t="s">
        <v>41</v>
      </c>
      <c r="K81" s="8">
        <v>44027</v>
      </c>
      <c r="L81" s="8">
        <v>44025</v>
      </c>
      <c r="M81" s="8">
        <v>44027</v>
      </c>
      <c r="N81" s="9">
        <v>-9.93</v>
      </c>
      <c r="O81" s="39">
        <v>-77.319999999999993</v>
      </c>
      <c r="P81" s="41">
        <f t="shared" si="2"/>
        <v>2.1200000000000045</v>
      </c>
      <c r="Q81" s="7">
        <v>3.7</v>
      </c>
      <c r="R81" s="7">
        <v>12.3</v>
      </c>
      <c r="S81" s="7"/>
      <c r="T81" s="7"/>
    </row>
    <row r="82" spans="1:20" x14ac:dyDescent="0.35">
      <c r="A82" s="5" t="s">
        <v>20</v>
      </c>
      <c r="B82" s="6" t="s">
        <v>21</v>
      </c>
      <c r="C82" s="6" t="s">
        <v>22</v>
      </c>
      <c r="D82" s="6" t="s">
        <v>23</v>
      </c>
      <c r="E82" s="7">
        <v>67.966667000000001</v>
      </c>
      <c r="F82" s="7">
        <v>24.116667</v>
      </c>
      <c r="G82" s="7">
        <v>342</v>
      </c>
      <c r="I82" s="5" t="s">
        <v>574</v>
      </c>
      <c r="J82" s="6" t="s">
        <v>41</v>
      </c>
      <c r="K82" s="8">
        <v>44029</v>
      </c>
      <c r="L82" s="8">
        <v>44027</v>
      </c>
      <c r="M82" s="8">
        <v>44029</v>
      </c>
      <c r="N82" s="9">
        <v>-11.34</v>
      </c>
      <c r="O82" s="39">
        <v>-93.58</v>
      </c>
      <c r="P82" s="41">
        <f t="shared" si="2"/>
        <v>-2.8599999999999994</v>
      </c>
      <c r="Q82" s="7">
        <v>1.4</v>
      </c>
      <c r="R82" s="7">
        <v>17.7</v>
      </c>
      <c r="S82" s="7"/>
      <c r="T82" s="7"/>
    </row>
    <row r="83" spans="1:20" x14ac:dyDescent="0.35">
      <c r="A83" s="5" t="s">
        <v>20</v>
      </c>
      <c r="B83" s="6" t="s">
        <v>21</v>
      </c>
      <c r="C83" s="6" t="s">
        <v>22</v>
      </c>
      <c r="D83" s="6" t="s">
        <v>23</v>
      </c>
      <c r="E83" s="7">
        <v>67.966667000000001</v>
      </c>
      <c r="F83" s="7">
        <v>24.116667</v>
      </c>
      <c r="G83" s="7">
        <v>342</v>
      </c>
      <c r="I83" s="5" t="s">
        <v>574</v>
      </c>
      <c r="J83" s="6" t="s">
        <v>41</v>
      </c>
      <c r="K83" s="8">
        <v>44032</v>
      </c>
      <c r="L83" s="8">
        <v>44029</v>
      </c>
      <c r="M83" s="8">
        <v>44032</v>
      </c>
      <c r="N83" s="9">
        <v>-6.05</v>
      </c>
      <c r="O83" s="39">
        <v>-40.04</v>
      </c>
      <c r="P83" s="41">
        <f t="shared" si="2"/>
        <v>8.36</v>
      </c>
      <c r="Q83" s="7">
        <v>0.8</v>
      </c>
      <c r="R83" s="7">
        <v>17.600000000000001</v>
      </c>
      <c r="S83" s="7"/>
      <c r="T83" s="7"/>
    </row>
    <row r="84" spans="1:20" x14ac:dyDescent="0.35">
      <c r="A84" s="5" t="s">
        <v>20</v>
      </c>
      <c r="B84" s="6" t="s">
        <v>21</v>
      </c>
      <c r="C84" s="6" t="s">
        <v>22</v>
      </c>
      <c r="D84" s="6" t="s">
        <v>23</v>
      </c>
      <c r="E84" s="7">
        <v>67.966667000000001</v>
      </c>
      <c r="F84" s="7">
        <v>24.116667</v>
      </c>
      <c r="G84" s="7">
        <v>342</v>
      </c>
      <c r="I84" s="5" t="s">
        <v>574</v>
      </c>
      <c r="J84" s="6" t="s">
        <v>41</v>
      </c>
      <c r="K84" s="8">
        <v>44033</v>
      </c>
      <c r="L84" s="8">
        <v>44032</v>
      </c>
      <c r="M84" s="8">
        <v>44033</v>
      </c>
      <c r="N84" s="9">
        <v>-7</v>
      </c>
      <c r="O84" s="39">
        <v>-51</v>
      </c>
      <c r="P84" s="41">
        <f t="shared" si="2"/>
        <v>5</v>
      </c>
      <c r="Q84" s="7">
        <v>11.8</v>
      </c>
      <c r="R84" s="7">
        <v>16.3</v>
      </c>
      <c r="S84" s="7"/>
      <c r="T84" s="7"/>
    </row>
    <row r="85" spans="1:20" x14ac:dyDescent="0.35">
      <c r="A85" s="5" t="s">
        <v>20</v>
      </c>
      <c r="B85" s="6" t="s">
        <v>21</v>
      </c>
      <c r="C85" s="6" t="s">
        <v>22</v>
      </c>
      <c r="D85" s="6" t="s">
        <v>23</v>
      </c>
      <c r="E85" s="7">
        <v>67.966667000000001</v>
      </c>
      <c r="F85" s="7">
        <v>24.116667</v>
      </c>
      <c r="G85" s="7">
        <v>342</v>
      </c>
      <c r="I85" s="5" t="s">
        <v>574</v>
      </c>
      <c r="J85" s="6" t="s">
        <v>41</v>
      </c>
      <c r="K85" s="8">
        <v>44034</v>
      </c>
      <c r="L85" s="8">
        <v>44033</v>
      </c>
      <c r="M85" s="8">
        <v>44034</v>
      </c>
      <c r="N85" s="9">
        <v>-9.91</v>
      </c>
      <c r="O85" s="39">
        <v>-69.81</v>
      </c>
      <c r="P85" s="41">
        <f t="shared" si="2"/>
        <v>9.4699999999999989</v>
      </c>
      <c r="Q85" s="7">
        <v>8.1999999999999993</v>
      </c>
      <c r="R85" s="7">
        <v>12.9</v>
      </c>
      <c r="S85" s="7"/>
      <c r="T85" s="7"/>
    </row>
    <row r="86" spans="1:20" x14ac:dyDescent="0.35">
      <c r="A86" s="5" t="s">
        <v>20</v>
      </c>
      <c r="B86" s="6" t="s">
        <v>21</v>
      </c>
      <c r="C86" s="6" t="s">
        <v>22</v>
      </c>
      <c r="D86" s="6" t="s">
        <v>23</v>
      </c>
      <c r="E86" s="7">
        <v>67.966667000000001</v>
      </c>
      <c r="F86" s="7">
        <v>24.116667</v>
      </c>
      <c r="G86" s="7">
        <v>342</v>
      </c>
      <c r="I86" s="5" t="s">
        <v>574</v>
      </c>
      <c r="J86" s="6" t="s">
        <v>41</v>
      </c>
      <c r="K86" s="8">
        <v>44035</v>
      </c>
      <c r="L86" s="8">
        <v>44034</v>
      </c>
      <c r="M86" s="8">
        <v>44035</v>
      </c>
      <c r="N86" s="9">
        <v>-8.69</v>
      </c>
      <c r="O86" s="39">
        <v>-57.37</v>
      </c>
      <c r="P86" s="41">
        <f t="shared" si="2"/>
        <v>12.149999999999999</v>
      </c>
      <c r="Q86" s="7">
        <v>11.2</v>
      </c>
      <c r="R86" s="7">
        <v>11.4</v>
      </c>
      <c r="S86" s="7"/>
      <c r="T86" s="7"/>
    </row>
    <row r="87" spans="1:20" x14ac:dyDescent="0.35">
      <c r="A87" s="5" t="s">
        <v>20</v>
      </c>
      <c r="B87" s="6" t="s">
        <v>21</v>
      </c>
      <c r="C87" s="6" t="s">
        <v>22</v>
      </c>
      <c r="D87" s="6" t="s">
        <v>23</v>
      </c>
      <c r="E87" s="7">
        <v>67.966667000000001</v>
      </c>
      <c r="F87" s="7">
        <v>24.116667</v>
      </c>
      <c r="G87" s="7">
        <v>342</v>
      </c>
      <c r="I87" s="5" t="s">
        <v>574</v>
      </c>
      <c r="J87" s="6" t="s">
        <v>41</v>
      </c>
      <c r="K87" s="8">
        <v>44036</v>
      </c>
      <c r="L87" s="8">
        <v>44035</v>
      </c>
      <c r="M87" s="8">
        <v>44036</v>
      </c>
      <c r="N87" s="9">
        <v>-9.76</v>
      </c>
      <c r="O87" s="39">
        <v>-68.78</v>
      </c>
      <c r="P87" s="41">
        <f t="shared" si="2"/>
        <v>9.2999999999999972</v>
      </c>
      <c r="Q87" s="7">
        <v>14.3</v>
      </c>
      <c r="R87" s="7">
        <v>13.6</v>
      </c>
      <c r="S87" s="7"/>
      <c r="T87" s="7"/>
    </row>
    <row r="88" spans="1:20" x14ac:dyDescent="0.35">
      <c r="A88" s="5" t="s">
        <v>20</v>
      </c>
      <c r="B88" s="6" t="s">
        <v>21</v>
      </c>
      <c r="C88" s="6" t="s">
        <v>22</v>
      </c>
      <c r="D88" s="6" t="s">
        <v>23</v>
      </c>
      <c r="E88" s="7">
        <v>67.966667000000001</v>
      </c>
      <c r="F88" s="7">
        <v>24.116667</v>
      </c>
      <c r="G88" s="7">
        <v>342</v>
      </c>
      <c r="I88" s="5" t="s">
        <v>574</v>
      </c>
      <c r="J88" s="6" t="s">
        <v>41</v>
      </c>
      <c r="K88" s="8">
        <v>44039</v>
      </c>
      <c r="L88" s="8">
        <v>44036</v>
      </c>
      <c r="M88" s="8">
        <v>44039</v>
      </c>
      <c r="N88" s="9">
        <v>-13.01</v>
      </c>
      <c r="O88" s="39">
        <v>-93.88</v>
      </c>
      <c r="P88" s="41">
        <f t="shared" si="2"/>
        <v>10.200000000000003</v>
      </c>
      <c r="Q88" s="7">
        <v>0.6</v>
      </c>
      <c r="R88" s="7">
        <v>14</v>
      </c>
      <c r="S88" s="7"/>
      <c r="T88" s="7"/>
    </row>
    <row r="89" spans="1:20" x14ac:dyDescent="0.35">
      <c r="A89" s="5" t="s">
        <v>20</v>
      </c>
      <c r="B89" s="6" t="s">
        <v>21</v>
      </c>
      <c r="C89" s="6" t="s">
        <v>22</v>
      </c>
      <c r="D89" s="6" t="s">
        <v>23</v>
      </c>
      <c r="E89" s="7">
        <v>67.966667000000001</v>
      </c>
      <c r="F89" s="7">
        <v>24.116667</v>
      </c>
      <c r="G89" s="7">
        <v>342</v>
      </c>
      <c r="I89" s="5" t="s">
        <v>574</v>
      </c>
      <c r="J89" s="6" t="s">
        <v>41</v>
      </c>
      <c r="K89" s="8">
        <v>44049</v>
      </c>
      <c r="L89" s="8">
        <v>44039</v>
      </c>
      <c r="M89" s="8">
        <v>44049</v>
      </c>
      <c r="N89" s="9">
        <v>-11.21</v>
      </c>
      <c r="O89" s="39">
        <v>-89.64</v>
      </c>
      <c r="P89" s="41">
        <f t="shared" si="2"/>
        <v>4.0000000000006253E-2</v>
      </c>
      <c r="Q89" s="7">
        <v>1.7</v>
      </c>
      <c r="R89" s="7">
        <v>14.5</v>
      </c>
      <c r="S89" s="7"/>
      <c r="T89" s="7"/>
    </row>
    <row r="90" spans="1:20" x14ac:dyDescent="0.35">
      <c r="A90" s="5" t="s">
        <v>20</v>
      </c>
      <c r="B90" s="6" t="s">
        <v>21</v>
      </c>
      <c r="C90" s="6" t="s">
        <v>22</v>
      </c>
      <c r="D90" s="6" t="s">
        <v>23</v>
      </c>
      <c r="E90" s="7">
        <v>67.966667000000001</v>
      </c>
      <c r="F90" s="7">
        <v>24.116667</v>
      </c>
      <c r="G90" s="7">
        <v>342</v>
      </c>
      <c r="I90" s="5" t="s">
        <v>574</v>
      </c>
      <c r="J90" s="6" t="s">
        <v>41</v>
      </c>
      <c r="K90" s="8">
        <v>44053</v>
      </c>
      <c r="L90" s="8">
        <v>44049</v>
      </c>
      <c r="M90" s="8">
        <v>44053</v>
      </c>
      <c r="N90" s="9">
        <v>-9.4600000000000009</v>
      </c>
      <c r="O90" s="39">
        <v>-67.3</v>
      </c>
      <c r="P90" s="41">
        <f t="shared" si="2"/>
        <v>8.3800000000000097</v>
      </c>
      <c r="Q90" s="7">
        <v>0.1</v>
      </c>
      <c r="R90" s="7">
        <v>17.5</v>
      </c>
      <c r="S90" s="7"/>
      <c r="T90" s="7"/>
    </row>
    <row r="91" spans="1:20" x14ac:dyDescent="0.35">
      <c r="A91" s="5" t="s">
        <v>20</v>
      </c>
      <c r="B91" s="6" t="s">
        <v>21</v>
      </c>
      <c r="C91" s="6" t="s">
        <v>22</v>
      </c>
      <c r="D91" s="6" t="s">
        <v>23</v>
      </c>
      <c r="E91" s="7">
        <v>67.966667000000001</v>
      </c>
      <c r="F91" s="7">
        <v>24.116667</v>
      </c>
      <c r="G91" s="7">
        <v>342</v>
      </c>
      <c r="I91" s="5" t="s">
        <v>574</v>
      </c>
      <c r="J91" s="6" t="s">
        <v>41</v>
      </c>
      <c r="K91" s="8">
        <v>44054</v>
      </c>
      <c r="L91" s="8">
        <v>44053</v>
      </c>
      <c r="M91" s="8">
        <v>44054</v>
      </c>
      <c r="N91" s="9">
        <v>-7.25</v>
      </c>
      <c r="O91" s="39">
        <v>-60.73</v>
      </c>
      <c r="P91" s="41">
        <f t="shared" si="2"/>
        <v>-2.7299999999999969</v>
      </c>
      <c r="Q91" s="7">
        <v>7</v>
      </c>
      <c r="R91" s="7">
        <v>13.8</v>
      </c>
      <c r="S91" s="7"/>
      <c r="T91" s="7"/>
    </row>
    <row r="92" spans="1:20" x14ac:dyDescent="0.35">
      <c r="A92" s="5" t="s">
        <v>20</v>
      </c>
      <c r="B92" s="6" t="s">
        <v>21</v>
      </c>
      <c r="C92" s="6" t="s">
        <v>22</v>
      </c>
      <c r="D92" s="6" t="s">
        <v>23</v>
      </c>
      <c r="E92" s="7">
        <v>67.966667000000001</v>
      </c>
      <c r="F92" s="7">
        <v>24.116667</v>
      </c>
      <c r="G92" s="7">
        <v>342</v>
      </c>
      <c r="I92" s="5" t="s">
        <v>574</v>
      </c>
      <c r="J92" s="6" t="s">
        <v>41</v>
      </c>
      <c r="K92" s="8">
        <v>44060</v>
      </c>
      <c r="L92" s="8">
        <v>44054</v>
      </c>
      <c r="M92" s="8">
        <v>44060</v>
      </c>
      <c r="N92" s="9">
        <v>-8.7899999999999991</v>
      </c>
      <c r="O92" s="39">
        <v>-66.209999999999994</v>
      </c>
      <c r="P92" s="41">
        <f t="shared" si="2"/>
        <v>4.1099999999999994</v>
      </c>
      <c r="Q92" s="7">
        <v>0.3</v>
      </c>
      <c r="R92" s="7">
        <v>8.3000000000000007</v>
      </c>
      <c r="S92" s="7"/>
      <c r="T92" s="7"/>
    </row>
    <row r="93" spans="1:20" x14ac:dyDescent="0.35">
      <c r="A93" s="5" t="s">
        <v>20</v>
      </c>
      <c r="B93" s="6" t="s">
        <v>21</v>
      </c>
      <c r="C93" s="6" t="s">
        <v>22</v>
      </c>
      <c r="D93" s="6" t="s">
        <v>23</v>
      </c>
      <c r="E93" s="7">
        <v>67.966667000000001</v>
      </c>
      <c r="F93" s="7">
        <v>24.116667</v>
      </c>
      <c r="G93" s="7">
        <v>342</v>
      </c>
      <c r="I93" s="5" t="s">
        <v>574</v>
      </c>
      <c r="J93" s="6" t="s">
        <v>41</v>
      </c>
      <c r="K93" s="8">
        <v>44061</v>
      </c>
      <c r="L93" s="8">
        <v>44060</v>
      </c>
      <c r="M93" s="8">
        <v>44061</v>
      </c>
      <c r="N93" s="9">
        <v>-8.77</v>
      </c>
      <c r="O93" s="39">
        <v>-70.92</v>
      </c>
      <c r="P93" s="41">
        <f t="shared" si="2"/>
        <v>-0.76000000000000512</v>
      </c>
      <c r="Q93" s="7">
        <v>0.5</v>
      </c>
      <c r="R93" s="7">
        <v>10.4</v>
      </c>
      <c r="S93" s="7"/>
      <c r="T93" s="7"/>
    </row>
    <row r="94" spans="1:20" x14ac:dyDescent="0.35">
      <c r="A94" s="5" t="s">
        <v>20</v>
      </c>
      <c r="B94" s="6" t="s">
        <v>21</v>
      </c>
      <c r="C94" s="6" t="s">
        <v>22</v>
      </c>
      <c r="D94" s="6" t="s">
        <v>23</v>
      </c>
      <c r="E94" s="7">
        <v>67.966667000000001</v>
      </c>
      <c r="F94" s="7">
        <v>24.116667</v>
      </c>
      <c r="G94" s="7">
        <v>342</v>
      </c>
      <c r="I94" s="5" t="s">
        <v>574</v>
      </c>
      <c r="J94" s="6" t="s">
        <v>41</v>
      </c>
      <c r="K94" s="8">
        <v>44063</v>
      </c>
      <c r="L94" s="8">
        <v>44061</v>
      </c>
      <c r="M94" s="8">
        <v>44063</v>
      </c>
      <c r="N94" s="9">
        <v>-10.73</v>
      </c>
      <c r="O94" s="39">
        <v>-81.34</v>
      </c>
      <c r="P94" s="41">
        <f t="shared" si="2"/>
        <v>4.5</v>
      </c>
      <c r="Q94" s="7">
        <v>4.5</v>
      </c>
      <c r="R94" s="7">
        <v>10.7</v>
      </c>
      <c r="S94" s="7"/>
      <c r="T94" s="7"/>
    </row>
    <row r="95" spans="1:20" x14ac:dyDescent="0.35">
      <c r="A95" s="5" t="s">
        <v>20</v>
      </c>
      <c r="B95" s="6" t="s">
        <v>21</v>
      </c>
      <c r="C95" s="6" t="s">
        <v>22</v>
      </c>
      <c r="D95" s="6" t="s">
        <v>23</v>
      </c>
      <c r="E95" s="7">
        <v>67.966667000000001</v>
      </c>
      <c r="F95" s="7">
        <v>24.116667</v>
      </c>
      <c r="G95" s="7">
        <v>342</v>
      </c>
      <c r="I95" s="5" t="s">
        <v>574</v>
      </c>
      <c r="J95" s="6" t="s">
        <v>41</v>
      </c>
      <c r="K95" s="8">
        <v>44064</v>
      </c>
      <c r="L95" s="8">
        <v>44063</v>
      </c>
      <c r="M95" s="8">
        <v>44064</v>
      </c>
      <c r="N95" s="9">
        <v>-8.23</v>
      </c>
      <c r="O95" s="39">
        <v>-56.92</v>
      </c>
      <c r="P95" s="41">
        <f t="shared" si="2"/>
        <v>8.9200000000000017</v>
      </c>
      <c r="Q95" s="7">
        <v>0.7</v>
      </c>
      <c r="R95" s="7">
        <v>13.4</v>
      </c>
      <c r="S95" s="7"/>
      <c r="T95" s="7"/>
    </row>
    <row r="96" spans="1:20" x14ac:dyDescent="0.35">
      <c r="A96" s="5" t="s">
        <v>20</v>
      </c>
      <c r="B96" s="6" t="s">
        <v>21</v>
      </c>
      <c r="C96" s="6" t="s">
        <v>22</v>
      </c>
      <c r="D96" s="6" t="s">
        <v>23</v>
      </c>
      <c r="E96" s="7">
        <v>67.966667000000001</v>
      </c>
      <c r="F96" s="7">
        <v>24.116667</v>
      </c>
      <c r="G96" s="7">
        <v>342</v>
      </c>
      <c r="I96" s="5" t="s">
        <v>574</v>
      </c>
      <c r="J96" s="6" t="s">
        <v>41</v>
      </c>
      <c r="K96" s="8">
        <v>44067</v>
      </c>
      <c r="L96" s="8">
        <v>44064</v>
      </c>
      <c r="M96" s="8">
        <v>44067</v>
      </c>
      <c r="N96" s="9">
        <v>-8.85</v>
      </c>
      <c r="O96" s="39">
        <v>-68.14</v>
      </c>
      <c r="P96" s="41">
        <f t="shared" si="2"/>
        <v>2.6599999999999966</v>
      </c>
      <c r="Q96" s="7">
        <v>7.4</v>
      </c>
      <c r="R96" s="7">
        <v>10.3</v>
      </c>
      <c r="S96" s="7"/>
      <c r="T96" s="7"/>
    </row>
    <row r="97" spans="1:20" x14ac:dyDescent="0.35">
      <c r="A97" s="5" t="s">
        <v>20</v>
      </c>
      <c r="B97" s="6" t="s">
        <v>21</v>
      </c>
      <c r="C97" s="6" t="s">
        <v>22</v>
      </c>
      <c r="D97" s="6" t="s">
        <v>23</v>
      </c>
      <c r="E97" s="7">
        <v>67.966667000000001</v>
      </c>
      <c r="F97" s="7">
        <v>24.116667</v>
      </c>
      <c r="G97" s="7">
        <v>342</v>
      </c>
      <c r="I97" s="5" t="s">
        <v>574</v>
      </c>
      <c r="J97" s="6" t="s">
        <v>41</v>
      </c>
      <c r="K97" s="8">
        <v>44068</v>
      </c>
      <c r="L97" s="8">
        <v>44067</v>
      </c>
      <c r="M97" s="8">
        <v>44068</v>
      </c>
      <c r="N97" s="9">
        <v>-13.86</v>
      </c>
      <c r="O97" s="39">
        <v>-106.33</v>
      </c>
      <c r="P97" s="41">
        <f t="shared" si="2"/>
        <v>4.5499999999999972</v>
      </c>
      <c r="Q97" s="7">
        <v>2.2000000000000002</v>
      </c>
      <c r="R97" s="7">
        <v>9.1</v>
      </c>
      <c r="S97" s="7"/>
      <c r="T97" s="7"/>
    </row>
    <row r="98" spans="1:20" x14ac:dyDescent="0.35">
      <c r="A98" s="5" t="s">
        <v>20</v>
      </c>
      <c r="B98" s="6" t="s">
        <v>21</v>
      </c>
      <c r="C98" s="6" t="s">
        <v>22</v>
      </c>
      <c r="D98" s="6" t="s">
        <v>23</v>
      </c>
      <c r="E98" s="7">
        <v>67.966667000000001</v>
      </c>
      <c r="F98" s="7">
        <v>24.116667</v>
      </c>
      <c r="G98" s="7">
        <v>342</v>
      </c>
      <c r="I98" s="5" t="s">
        <v>574</v>
      </c>
      <c r="J98" s="6" t="s">
        <v>41</v>
      </c>
      <c r="K98" s="8">
        <v>44069</v>
      </c>
      <c r="L98" s="8">
        <v>44068</v>
      </c>
      <c r="M98" s="8">
        <v>44069</v>
      </c>
      <c r="N98" s="9">
        <v>-12.56</v>
      </c>
      <c r="O98" s="39">
        <v>-91.82</v>
      </c>
      <c r="P98" s="41">
        <f t="shared" ref="P98:P129" si="3">O98-(8*N98)</f>
        <v>8.6600000000000108</v>
      </c>
      <c r="Q98" s="7">
        <v>1</v>
      </c>
      <c r="R98" s="7">
        <v>8.1</v>
      </c>
      <c r="S98" s="7"/>
      <c r="T98" s="7"/>
    </row>
    <row r="99" spans="1:20" x14ac:dyDescent="0.35">
      <c r="A99" s="5" t="s">
        <v>20</v>
      </c>
      <c r="B99" s="6" t="s">
        <v>21</v>
      </c>
      <c r="C99" s="6" t="s">
        <v>22</v>
      </c>
      <c r="D99" s="6" t="s">
        <v>23</v>
      </c>
      <c r="E99" s="7">
        <v>67.966667000000001</v>
      </c>
      <c r="F99" s="7">
        <v>24.116667</v>
      </c>
      <c r="G99" s="7">
        <v>342</v>
      </c>
      <c r="I99" s="5" t="s">
        <v>574</v>
      </c>
      <c r="J99" s="6" t="s">
        <v>41</v>
      </c>
      <c r="K99" s="8">
        <v>44070</v>
      </c>
      <c r="L99" s="8">
        <v>44069</v>
      </c>
      <c r="M99" s="8">
        <v>44070</v>
      </c>
      <c r="N99" s="9">
        <v>-13.12</v>
      </c>
      <c r="O99" s="39">
        <v>-95.98</v>
      </c>
      <c r="P99" s="41">
        <f t="shared" si="3"/>
        <v>8.9799999999999898</v>
      </c>
      <c r="Q99" s="7">
        <v>1</v>
      </c>
      <c r="R99" s="7">
        <v>6.9</v>
      </c>
      <c r="S99" s="7"/>
      <c r="T99" s="7"/>
    </row>
    <row r="100" spans="1:20" x14ac:dyDescent="0.35">
      <c r="A100" s="5" t="s">
        <v>20</v>
      </c>
      <c r="B100" s="6" t="s">
        <v>21</v>
      </c>
      <c r="C100" s="6" t="s">
        <v>22</v>
      </c>
      <c r="D100" s="6" t="s">
        <v>23</v>
      </c>
      <c r="E100" s="7">
        <v>67.966667000000001</v>
      </c>
      <c r="F100" s="7">
        <v>24.116667</v>
      </c>
      <c r="G100" s="7">
        <v>342</v>
      </c>
      <c r="I100" s="5" t="s">
        <v>36</v>
      </c>
      <c r="J100" s="6" t="s">
        <v>41</v>
      </c>
      <c r="K100" s="8">
        <v>44071</v>
      </c>
      <c r="L100" s="8">
        <v>44070</v>
      </c>
      <c r="M100" s="8">
        <v>44071</v>
      </c>
      <c r="N100" s="9">
        <v>-8.0554900350348131</v>
      </c>
      <c r="O100" s="41">
        <v>-61.544841593174851</v>
      </c>
      <c r="P100" s="41">
        <f t="shared" si="3"/>
        <v>2.8990786871036534</v>
      </c>
      <c r="Q100" s="7">
        <v>1</v>
      </c>
      <c r="R100" s="7">
        <v>7</v>
      </c>
      <c r="S100" s="7"/>
      <c r="T100" s="7"/>
    </row>
    <row r="101" spans="1:20" x14ac:dyDescent="0.35">
      <c r="A101" s="5" t="s">
        <v>20</v>
      </c>
      <c r="B101" s="6" t="s">
        <v>21</v>
      </c>
      <c r="C101" s="6" t="s">
        <v>22</v>
      </c>
      <c r="D101" s="6" t="s">
        <v>23</v>
      </c>
      <c r="E101" s="7">
        <v>67.966667000000001</v>
      </c>
      <c r="F101" s="7">
        <v>24.116667</v>
      </c>
      <c r="G101" s="7">
        <v>342</v>
      </c>
      <c r="I101" s="5" t="s">
        <v>574</v>
      </c>
      <c r="J101" s="6" t="s">
        <v>41</v>
      </c>
      <c r="K101" s="8">
        <v>44074</v>
      </c>
      <c r="L101" s="8">
        <v>44071</v>
      </c>
      <c r="M101" s="8">
        <v>44074</v>
      </c>
      <c r="N101" s="9">
        <v>-10.89</v>
      </c>
      <c r="O101" s="39">
        <v>-71.989999999999995</v>
      </c>
      <c r="P101" s="41">
        <f t="shared" si="3"/>
        <v>15.13000000000001</v>
      </c>
      <c r="Q101" s="7">
        <v>0.6</v>
      </c>
      <c r="R101" s="7">
        <v>9.1</v>
      </c>
      <c r="S101" s="7"/>
      <c r="T101" s="7"/>
    </row>
    <row r="102" spans="1:20" x14ac:dyDescent="0.35">
      <c r="A102" s="5" t="s">
        <v>20</v>
      </c>
      <c r="B102" s="6" t="s">
        <v>21</v>
      </c>
      <c r="C102" s="6" t="s">
        <v>22</v>
      </c>
      <c r="D102" s="6" t="s">
        <v>23</v>
      </c>
      <c r="E102" s="7">
        <v>67.966667000000001</v>
      </c>
      <c r="F102" s="7">
        <v>24.116667</v>
      </c>
      <c r="G102" s="7">
        <v>342</v>
      </c>
      <c r="I102" s="5" t="s">
        <v>574</v>
      </c>
      <c r="J102" s="6" t="s">
        <v>41</v>
      </c>
      <c r="K102" s="8">
        <v>44082</v>
      </c>
      <c r="L102" s="8">
        <v>44074</v>
      </c>
      <c r="M102" s="8">
        <v>44082</v>
      </c>
      <c r="N102" s="9">
        <v>-11.07</v>
      </c>
      <c r="O102" s="39">
        <v>-79.64</v>
      </c>
      <c r="P102" s="41">
        <f t="shared" si="3"/>
        <v>8.9200000000000017</v>
      </c>
      <c r="Q102" s="7">
        <v>0.7</v>
      </c>
      <c r="R102" s="7">
        <v>8.6</v>
      </c>
      <c r="S102" s="7"/>
      <c r="T102" s="7"/>
    </row>
    <row r="103" spans="1:20" x14ac:dyDescent="0.35">
      <c r="A103" s="5" t="s">
        <v>20</v>
      </c>
      <c r="B103" s="6" t="s">
        <v>21</v>
      </c>
      <c r="C103" s="6" t="s">
        <v>22</v>
      </c>
      <c r="D103" s="6" t="s">
        <v>23</v>
      </c>
      <c r="E103" s="7">
        <v>67.966667000000001</v>
      </c>
      <c r="F103" s="7">
        <v>24.116667</v>
      </c>
      <c r="G103" s="7">
        <v>342</v>
      </c>
      <c r="I103" s="5" t="s">
        <v>574</v>
      </c>
      <c r="J103" s="6" t="s">
        <v>41</v>
      </c>
      <c r="K103" s="8">
        <v>44083</v>
      </c>
      <c r="L103" s="8">
        <v>44082</v>
      </c>
      <c r="M103" s="8">
        <v>44083</v>
      </c>
      <c r="N103" s="9">
        <v>-11.14</v>
      </c>
      <c r="O103" s="39">
        <v>-85.37</v>
      </c>
      <c r="P103" s="41">
        <f t="shared" si="3"/>
        <v>3.75</v>
      </c>
      <c r="Q103" s="7">
        <v>0.3</v>
      </c>
      <c r="R103" s="7">
        <v>8</v>
      </c>
      <c r="S103" s="7"/>
      <c r="T103" s="7"/>
    </row>
    <row r="104" spans="1:20" x14ac:dyDescent="0.35">
      <c r="A104" s="5" t="s">
        <v>20</v>
      </c>
      <c r="B104" s="6" t="s">
        <v>21</v>
      </c>
      <c r="C104" s="6" t="s">
        <v>22</v>
      </c>
      <c r="D104" s="6" t="s">
        <v>23</v>
      </c>
      <c r="E104" s="7">
        <v>67.966667000000001</v>
      </c>
      <c r="F104" s="7">
        <v>24.116667</v>
      </c>
      <c r="G104" s="7">
        <v>342</v>
      </c>
      <c r="I104" s="5" t="s">
        <v>574</v>
      </c>
      <c r="J104" s="6" t="s">
        <v>41</v>
      </c>
      <c r="K104" s="8">
        <v>44084</v>
      </c>
      <c r="L104" s="8">
        <v>44083</v>
      </c>
      <c r="M104" s="8">
        <v>44084</v>
      </c>
      <c r="N104" s="9">
        <v>-9.86</v>
      </c>
      <c r="O104" s="39">
        <v>-77.53</v>
      </c>
      <c r="P104" s="41">
        <f t="shared" si="3"/>
        <v>1.3499999999999943</v>
      </c>
      <c r="Q104" s="7">
        <v>1</v>
      </c>
      <c r="R104" s="7">
        <v>6.3</v>
      </c>
      <c r="S104" s="7"/>
      <c r="T104" s="7"/>
    </row>
    <row r="105" spans="1:20" x14ac:dyDescent="0.35">
      <c r="A105" s="5" t="s">
        <v>20</v>
      </c>
      <c r="B105" s="6" t="s">
        <v>21</v>
      </c>
      <c r="C105" s="6" t="s">
        <v>22</v>
      </c>
      <c r="D105" s="6" t="s">
        <v>23</v>
      </c>
      <c r="E105" s="7">
        <v>67.966667000000001</v>
      </c>
      <c r="F105" s="7">
        <v>24.116667</v>
      </c>
      <c r="G105" s="7">
        <v>342</v>
      </c>
      <c r="I105" s="5" t="s">
        <v>574</v>
      </c>
      <c r="J105" s="6" t="s">
        <v>41</v>
      </c>
      <c r="K105" s="8">
        <v>44089</v>
      </c>
      <c r="L105" s="8">
        <v>44084</v>
      </c>
      <c r="M105" s="8">
        <v>44089</v>
      </c>
      <c r="N105" s="9">
        <v>-13.26</v>
      </c>
      <c r="O105" s="39">
        <v>-96.8</v>
      </c>
      <c r="P105" s="41">
        <f t="shared" si="3"/>
        <v>9.2800000000000011</v>
      </c>
      <c r="Q105" s="12">
        <v>3.6</v>
      </c>
      <c r="R105" s="12">
        <v>6.8</v>
      </c>
      <c r="S105" s="7"/>
      <c r="T105" s="7"/>
    </row>
    <row r="106" spans="1:20" ht="14.25" customHeight="1" x14ac:dyDescent="0.35">
      <c r="A106" s="5" t="s">
        <v>20</v>
      </c>
      <c r="B106" s="6" t="s">
        <v>21</v>
      </c>
      <c r="C106" s="6" t="s">
        <v>22</v>
      </c>
      <c r="D106" s="6" t="s">
        <v>23</v>
      </c>
      <c r="E106" s="7">
        <v>67.966667000000001</v>
      </c>
      <c r="F106" s="7">
        <v>24.116667</v>
      </c>
      <c r="G106" s="7">
        <v>342</v>
      </c>
      <c r="I106" s="5" t="s">
        <v>37</v>
      </c>
      <c r="J106" s="6" t="s">
        <v>41</v>
      </c>
      <c r="K106" s="8">
        <v>44096</v>
      </c>
      <c r="L106" s="8">
        <v>44089</v>
      </c>
      <c r="M106" s="8">
        <v>44096</v>
      </c>
      <c r="N106" s="9">
        <v>-16.493553866059877</v>
      </c>
      <c r="O106" s="41">
        <v>-123.83307967824798</v>
      </c>
      <c r="P106" s="41">
        <f t="shared" si="3"/>
        <v>8.1153512502310292</v>
      </c>
      <c r="Q106" s="7">
        <v>15</v>
      </c>
      <c r="R106" s="5">
        <v>5.3</v>
      </c>
      <c r="S106" s="7"/>
      <c r="T106" s="7"/>
    </row>
    <row r="107" spans="1:20" ht="14.25" customHeight="1" x14ac:dyDescent="0.35">
      <c r="A107" s="5" t="s">
        <v>20</v>
      </c>
      <c r="B107" s="6" t="s">
        <v>21</v>
      </c>
      <c r="C107" s="6" t="s">
        <v>22</v>
      </c>
      <c r="D107" s="6" t="s">
        <v>23</v>
      </c>
      <c r="E107" s="7">
        <v>67.966667000000001</v>
      </c>
      <c r="F107" s="7">
        <v>24.116667</v>
      </c>
      <c r="G107" s="7">
        <v>342</v>
      </c>
      <c r="I107" s="5" t="s">
        <v>38</v>
      </c>
      <c r="J107" s="6" t="s">
        <v>41</v>
      </c>
      <c r="K107" s="8">
        <v>44099</v>
      </c>
      <c r="L107" s="8">
        <v>44096</v>
      </c>
      <c r="M107" s="8">
        <v>44099</v>
      </c>
      <c r="N107" s="9">
        <v>-7.6249672600722809</v>
      </c>
      <c r="O107" s="41">
        <v>-49.729390624811586</v>
      </c>
      <c r="P107" s="41">
        <f t="shared" si="3"/>
        <v>11.270347455766661</v>
      </c>
      <c r="Q107" s="7">
        <v>0.9</v>
      </c>
      <c r="R107" s="5">
        <v>8.3000000000000007</v>
      </c>
      <c r="S107" s="7"/>
      <c r="T107" s="7"/>
    </row>
    <row r="108" spans="1:20" ht="14.25" customHeight="1" x14ac:dyDescent="0.35">
      <c r="A108" s="5" t="s">
        <v>20</v>
      </c>
      <c r="B108" s="6" t="s">
        <v>21</v>
      </c>
      <c r="C108" s="6" t="s">
        <v>22</v>
      </c>
      <c r="D108" s="6" t="s">
        <v>23</v>
      </c>
      <c r="E108" s="7">
        <v>67.966667000000001</v>
      </c>
      <c r="F108" s="7">
        <v>24.116667</v>
      </c>
      <c r="G108" s="7">
        <v>342</v>
      </c>
      <c r="I108" s="5" t="s">
        <v>39</v>
      </c>
      <c r="J108" s="6" t="s">
        <v>41</v>
      </c>
      <c r="K108" s="8">
        <v>44103</v>
      </c>
      <c r="L108" s="8">
        <v>44099</v>
      </c>
      <c r="M108" s="8">
        <v>44103</v>
      </c>
      <c r="N108" s="9">
        <v>-10.474012082273683</v>
      </c>
      <c r="O108" s="41">
        <v>-69.634324236321334</v>
      </c>
      <c r="P108" s="41">
        <f t="shared" si="3"/>
        <v>14.157772421868131</v>
      </c>
      <c r="Q108" s="7">
        <v>1.2</v>
      </c>
      <c r="R108" s="7">
        <v>7.2</v>
      </c>
      <c r="S108" s="7"/>
      <c r="T108" s="7"/>
    </row>
    <row r="111" spans="1:20" x14ac:dyDescent="0.35">
      <c r="M111" s="5" t="s">
        <v>705</v>
      </c>
      <c r="N111" s="7">
        <f>AVERAGE(N2:N108)</f>
        <v>-15.681944142462058</v>
      </c>
      <c r="O111" s="35">
        <f t="shared" ref="O111:P111" si="4">AVERAGE(O2:O108)</f>
        <v>-117.55627697320143</v>
      </c>
      <c r="P111" s="35">
        <f t="shared" si="4"/>
        <v>7.8992761664950359</v>
      </c>
    </row>
    <row r="112" spans="1:20" x14ac:dyDescent="0.35">
      <c r="M112" s="5" t="s">
        <v>706</v>
      </c>
      <c r="N112" s="7">
        <f>MIN(N2:N108)</f>
        <v>-30.62</v>
      </c>
      <c r="O112" s="35">
        <f t="shared" ref="O112:P112" si="5">MIN(O2:O108)</f>
        <v>-233.84</v>
      </c>
      <c r="P112" s="35">
        <f t="shared" si="5"/>
        <v>-14.07</v>
      </c>
    </row>
    <row r="113" spans="13:16" x14ac:dyDescent="0.35">
      <c r="M113" s="5" t="s">
        <v>707</v>
      </c>
      <c r="N113" s="7">
        <f>MAX(N2:N108)</f>
        <v>-4.53</v>
      </c>
      <c r="O113" s="35">
        <f t="shared" ref="O113:P113" si="6">MAX(O2:O108)</f>
        <v>-40.04</v>
      </c>
      <c r="P113" s="35">
        <f t="shared" si="6"/>
        <v>25.930000000000007</v>
      </c>
    </row>
    <row r="114" spans="13:16" x14ac:dyDescent="0.35">
      <c r="M114" s="5" t="s">
        <v>708</v>
      </c>
      <c r="N114" s="7">
        <f>_xlfn.STDEV.P(N2:N108)</f>
        <v>5.374236290288918</v>
      </c>
      <c r="O114" s="35">
        <f t="shared" ref="O114:P114" si="7">_xlfn.STDEV.P(O2:O108)</f>
        <v>40.844796301157579</v>
      </c>
      <c r="P114" s="35">
        <f t="shared" si="7"/>
        <v>6.0192801536071956</v>
      </c>
    </row>
  </sheetData>
  <sortState ref="A2:T108">
    <sortCondition ref="K3"/>
  </sortState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989F-50B8-4242-9A1D-563C133AF95D}">
  <dimension ref="A1:T58"/>
  <sheetViews>
    <sheetView zoomScale="85" zoomScaleNormal="85" workbookViewId="0"/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24.08984375" style="5" bestFit="1" customWidth="1"/>
    <col min="4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32.26953125" style="5" bestFit="1" customWidth="1"/>
    <col min="10" max="10" width="10.54296875" style="5" bestFit="1" customWidth="1"/>
    <col min="11" max="11" width="17.54296875" style="5" bestFit="1" customWidth="1"/>
    <col min="12" max="13" width="17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20</v>
      </c>
      <c r="B2" s="6" t="s">
        <v>21</v>
      </c>
      <c r="C2" s="6" t="s">
        <v>40</v>
      </c>
      <c r="D2" s="6" t="s">
        <v>23</v>
      </c>
      <c r="E2" s="7">
        <v>66.37</v>
      </c>
      <c r="F2" s="7">
        <v>29.32</v>
      </c>
      <c r="G2" s="7">
        <v>222</v>
      </c>
      <c r="I2" s="5" t="s">
        <v>42</v>
      </c>
      <c r="J2" s="6" t="s">
        <v>41</v>
      </c>
      <c r="K2" s="8">
        <v>43794</v>
      </c>
      <c r="L2" s="8"/>
      <c r="M2" s="8"/>
      <c r="N2" s="7">
        <v>-15.25</v>
      </c>
      <c r="O2" s="35">
        <v>-106.19</v>
      </c>
      <c r="P2" s="35">
        <f t="shared" ref="P2:P52" si="0">O2-(8*N2)</f>
        <v>15.810000000000002</v>
      </c>
      <c r="Q2" s="5">
        <v>0.1</v>
      </c>
      <c r="R2" s="7">
        <v>-0.82500000000000007</v>
      </c>
      <c r="S2" s="7"/>
      <c r="T2" s="7">
        <v>93.458333333333329</v>
      </c>
    </row>
    <row r="3" spans="1:20" ht="14.25" customHeight="1" x14ac:dyDescent="0.35">
      <c r="A3" s="5" t="s">
        <v>20</v>
      </c>
      <c r="B3" s="6" t="s">
        <v>21</v>
      </c>
      <c r="C3" s="6" t="s">
        <v>40</v>
      </c>
      <c r="D3" s="6" t="s">
        <v>23</v>
      </c>
      <c r="E3" s="7">
        <v>66.37</v>
      </c>
      <c r="F3" s="7">
        <v>29.32</v>
      </c>
      <c r="G3" s="7">
        <v>222</v>
      </c>
      <c r="I3" s="5" t="s">
        <v>43</v>
      </c>
      <c r="J3" s="6" t="s">
        <v>41</v>
      </c>
      <c r="K3" s="8">
        <v>43796</v>
      </c>
      <c r="L3" s="8"/>
      <c r="M3" s="8"/>
      <c r="N3" s="7">
        <v>-13.26</v>
      </c>
      <c r="O3" s="35">
        <v>-99.6</v>
      </c>
      <c r="P3" s="35">
        <f t="shared" si="0"/>
        <v>6.480000000000004</v>
      </c>
      <c r="Q3" s="5">
        <v>0.5</v>
      </c>
      <c r="R3" s="7">
        <v>-15.22083333333333</v>
      </c>
      <c r="S3" s="7"/>
      <c r="T3" s="7">
        <v>87.125</v>
      </c>
    </row>
    <row r="4" spans="1:20" ht="14.25" customHeight="1" x14ac:dyDescent="0.35">
      <c r="A4" s="5" t="s">
        <v>20</v>
      </c>
      <c r="B4" s="6" t="s">
        <v>21</v>
      </c>
      <c r="C4" s="6" t="s">
        <v>40</v>
      </c>
      <c r="D4" s="6" t="s">
        <v>23</v>
      </c>
      <c r="E4" s="7">
        <v>66.37</v>
      </c>
      <c r="F4" s="7">
        <v>29.32</v>
      </c>
      <c r="G4" s="7">
        <v>222</v>
      </c>
      <c r="I4" s="5" t="s">
        <v>44</v>
      </c>
      <c r="J4" s="6" t="s">
        <v>41</v>
      </c>
      <c r="K4" s="8">
        <v>43796</v>
      </c>
      <c r="L4" s="8"/>
      <c r="M4" s="8"/>
      <c r="N4" s="7">
        <v>-9.36</v>
      </c>
      <c r="O4" s="35">
        <v>-67.41</v>
      </c>
      <c r="P4" s="35">
        <f t="shared" si="0"/>
        <v>7.4699999999999989</v>
      </c>
      <c r="Q4" s="5">
        <v>0.5</v>
      </c>
      <c r="R4" s="7">
        <v>-15.22083333333333</v>
      </c>
      <c r="S4" s="7"/>
      <c r="T4" s="7">
        <v>87.125</v>
      </c>
    </row>
    <row r="5" spans="1:20" ht="14.25" customHeight="1" x14ac:dyDescent="0.35">
      <c r="A5" s="5" t="s">
        <v>20</v>
      </c>
      <c r="B5" s="6" t="s">
        <v>21</v>
      </c>
      <c r="C5" s="6" t="s">
        <v>40</v>
      </c>
      <c r="D5" s="6" t="s">
        <v>23</v>
      </c>
      <c r="E5" s="7">
        <v>66.37</v>
      </c>
      <c r="F5" s="7">
        <v>29.32</v>
      </c>
      <c r="G5" s="7">
        <v>222</v>
      </c>
      <c r="I5" s="5" t="s">
        <v>45</v>
      </c>
      <c r="J5" s="6" t="s">
        <v>41</v>
      </c>
      <c r="K5" s="8">
        <v>43797</v>
      </c>
      <c r="L5" s="8"/>
      <c r="M5" s="8"/>
      <c r="N5" s="7">
        <v>-12.6</v>
      </c>
      <c r="O5" s="35">
        <v>-93.84</v>
      </c>
      <c r="P5" s="35">
        <f t="shared" si="0"/>
        <v>6.9599999999999937</v>
      </c>
      <c r="Q5" s="5">
        <v>11.2</v>
      </c>
      <c r="R5" s="7">
        <v>-12.383333333333335</v>
      </c>
      <c r="S5" s="7"/>
      <c r="T5" s="7">
        <v>89.208333333333329</v>
      </c>
    </row>
    <row r="6" spans="1:20" ht="14.25" customHeight="1" x14ac:dyDescent="0.35">
      <c r="A6" s="5" t="s">
        <v>20</v>
      </c>
      <c r="B6" s="6" t="s">
        <v>21</v>
      </c>
      <c r="C6" s="6" t="s">
        <v>40</v>
      </c>
      <c r="D6" s="6" t="s">
        <v>23</v>
      </c>
      <c r="E6" s="7">
        <v>66.37</v>
      </c>
      <c r="F6" s="7">
        <v>29.32</v>
      </c>
      <c r="G6" s="7">
        <v>222</v>
      </c>
      <c r="I6" s="5" t="s">
        <v>46</v>
      </c>
      <c r="J6" s="6" t="s">
        <v>41</v>
      </c>
      <c r="K6" s="8">
        <v>43798</v>
      </c>
      <c r="L6" s="8"/>
      <c r="M6" s="8"/>
      <c r="N6" s="7">
        <v>-23.13</v>
      </c>
      <c r="O6" s="35">
        <v>-173.79</v>
      </c>
      <c r="P6" s="35">
        <f t="shared" si="0"/>
        <v>11.25</v>
      </c>
      <c r="Q6" s="5">
        <v>2.6</v>
      </c>
      <c r="R6" s="7">
        <v>-4.6499999999999995</v>
      </c>
      <c r="S6" s="7"/>
      <c r="T6" s="7">
        <v>93.75</v>
      </c>
    </row>
    <row r="7" spans="1:20" ht="14.25" customHeight="1" x14ac:dyDescent="0.35">
      <c r="A7" s="5" t="s">
        <v>20</v>
      </c>
      <c r="B7" s="6" t="s">
        <v>21</v>
      </c>
      <c r="C7" s="6" t="s">
        <v>40</v>
      </c>
      <c r="D7" s="6" t="s">
        <v>23</v>
      </c>
      <c r="E7" s="7">
        <v>66.37</v>
      </c>
      <c r="F7" s="7">
        <v>29.32</v>
      </c>
      <c r="G7" s="7">
        <v>222</v>
      </c>
      <c r="I7" s="5" t="s">
        <v>47</v>
      </c>
      <c r="J7" s="6" t="s">
        <v>41</v>
      </c>
      <c r="K7" s="8">
        <v>43801</v>
      </c>
      <c r="L7" s="8"/>
      <c r="M7" s="8"/>
      <c r="N7" s="7">
        <v>-21.48</v>
      </c>
      <c r="O7" s="35">
        <v>-161.51</v>
      </c>
      <c r="P7" s="35">
        <f t="shared" si="0"/>
        <v>10.330000000000013</v>
      </c>
      <c r="Q7" s="5">
        <v>1.2</v>
      </c>
      <c r="R7" s="7">
        <v>-5.0750000000000011</v>
      </c>
      <c r="S7" s="7"/>
      <c r="T7" s="7">
        <v>88.958333333333329</v>
      </c>
    </row>
    <row r="8" spans="1:20" ht="14.25" customHeight="1" x14ac:dyDescent="0.35">
      <c r="A8" s="5" t="s">
        <v>20</v>
      </c>
      <c r="B8" s="6" t="s">
        <v>21</v>
      </c>
      <c r="C8" s="6" t="s">
        <v>40</v>
      </c>
      <c r="D8" s="6" t="s">
        <v>23</v>
      </c>
      <c r="E8" s="7">
        <v>66.37</v>
      </c>
      <c r="F8" s="7">
        <v>29.32</v>
      </c>
      <c r="G8" s="7">
        <v>222</v>
      </c>
      <c r="I8" s="5" t="s">
        <v>48</v>
      </c>
      <c r="J8" s="6" t="s">
        <v>41</v>
      </c>
      <c r="K8" s="8">
        <v>43802</v>
      </c>
      <c r="L8" s="8"/>
      <c r="M8" s="8"/>
      <c r="N8" s="7">
        <v>-21.4</v>
      </c>
      <c r="O8" s="35">
        <v>-163.13</v>
      </c>
      <c r="P8" s="35">
        <f t="shared" si="0"/>
        <v>8.0699999999999932</v>
      </c>
      <c r="Q8" s="5">
        <v>2</v>
      </c>
      <c r="R8" s="7">
        <v>-8.6</v>
      </c>
      <c r="S8" s="7"/>
      <c r="T8" s="7">
        <v>89.375</v>
      </c>
    </row>
    <row r="9" spans="1:20" ht="14.25" customHeight="1" x14ac:dyDescent="0.35">
      <c r="A9" s="5" t="s">
        <v>20</v>
      </c>
      <c r="B9" s="6" t="s">
        <v>21</v>
      </c>
      <c r="C9" s="6" t="s">
        <v>40</v>
      </c>
      <c r="D9" s="6" t="s">
        <v>23</v>
      </c>
      <c r="E9" s="7">
        <v>66.37</v>
      </c>
      <c r="F9" s="7">
        <v>29.32</v>
      </c>
      <c r="G9" s="7">
        <v>222</v>
      </c>
      <c r="I9" s="5" t="s">
        <v>49</v>
      </c>
      <c r="J9" s="6" t="s">
        <v>41</v>
      </c>
      <c r="K9" s="8">
        <v>43803</v>
      </c>
      <c r="L9" s="8"/>
      <c r="M9" s="8"/>
      <c r="N9" s="7">
        <v>-22.48</v>
      </c>
      <c r="O9" s="35">
        <v>-169.27</v>
      </c>
      <c r="P9" s="35">
        <f t="shared" si="0"/>
        <v>10.569999999999993</v>
      </c>
      <c r="Q9" s="5">
        <v>6.1</v>
      </c>
      <c r="R9" s="7">
        <v>-6.1416666666666684</v>
      </c>
      <c r="S9" s="7"/>
      <c r="T9" s="7">
        <v>94.958333333333329</v>
      </c>
    </row>
    <row r="10" spans="1:20" ht="14.25" customHeight="1" x14ac:dyDescent="0.35">
      <c r="A10" s="5" t="s">
        <v>20</v>
      </c>
      <c r="B10" s="6" t="s">
        <v>21</v>
      </c>
      <c r="C10" s="6" t="s">
        <v>40</v>
      </c>
      <c r="D10" s="6" t="s">
        <v>23</v>
      </c>
      <c r="E10" s="7">
        <v>66.37</v>
      </c>
      <c r="F10" s="7">
        <v>29.32</v>
      </c>
      <c r="G10" s="7">
        <v>222</v>
      </c>
      <c r="I10" s="5" t="s">
        <v>50</v>
      </c>
      <c r="J10" s="6" t="s">
        <v>41</v>
      </c>
      <c r="K10" s="8">
        <v>43804</v>
      </c>
      <c r="L10" s="8"/>
      <c r="M10" s="8"/>
      <c r="N10" s="7">
        <v>-16.14</v>
      </c>
      <c r="O10" s="35">
        <v>-120.68</v>
      </c>
      <c r="P10" s="35">
        <f t="shared" si="0"/>
        <v>8.4399999999999977</v>
      </c>
      <c r="Q10" s="5">
        <v>1.3</v>
      </c>
      <c r="R10" s="7">
        <v>0.92083333333333328</v>
      </c>
      <c r="S10" s="7"/>
      <c r="T10" s="7">
        <v>94.25</v>
      </c>
    </row>
    <row r="11" spans="1:20" ht="14.25" customHeight="1" x14ac:dyDescent="0.35">
      <c r="A11" s="5" t="s">
        <v>20</v>
      </c>
      <c r="B11" s="6" t="s">
        <v>21</v>
      </c>
      <c r="C11" s="6" t="s">
        <v>40</v>
      </c>
      <c r="D11" s="6" t="s">
        <v>23</v>
      </c>
      <c r="E11" s="7">
        <v>66.37</v>
      </c>
      <c r="F11" s="7">
        <v>29.32</v>
      </c>
      <c r="G11" s="7">
        <v>222</v>
      </c>
      <c r="I11" s="5" t="s">
        <v>51</v>
      </c>
      <c r="J11" s="6" t="s">
        <v>41</v>
      </c>
      <c r="K11" s="8">
        <v>43808</v>
      </c>
      <c r="L11" s="8">
        <v>43804</v>
      </c>
      <c r="M11" s="8">
        <v>43808</v>
      </c>
      <c r="N11" s="7">
        <v>-11.95</v>
      </c>
      <c r="O11" s="35">
        <v>-83.03</v>
      </c>
      <c r="P11" s="35">
        <f t="shared" si="0"/>
        <v>12.569999999999993</v>
      </c>
      <c r="Q11" s="5">
        <v>0.1</v>
      </c>
      <c r="R11" s="7">
        <v>-5.958333333333333</v>
      </c>
      <c r="S11" s="7"/>
      <c r="T11" s="7">
        <v>92.333333333333329</v>
      </c>
    </row>
    <row r="12" spans="1:20" ht="14.25" customHeight="1" x14ac:dyDescent="0.35">
      <c r="A12" s="5" t="s">
        <v>20</v>
      </c>
      <c r="B12" s="6" t="s">
        <v>21</v>
      </c>
      <c r="C12" s="6" t="s">
        <v>40</v>
      </c>
      <c r="D12" s="6" t="s">
        <v>23</v>
      </c>
      <c r="E12" s="7">
        <v>66.37</v>
      </c>
      <c r="F12" s="7">
        <v>29.32</v>
      </c>
      <c r="G12" s="7">
        <v>222</v>
      </c>
      <c r="I12" s="5" t="s">
        <v>52</v>
      </c>
      <c r="J12" s="6" t="s">
        <v>41</v>
      </c>
      <c r="K12" s="8">
        <v>43809</v>
      </c>
      <c r="L12" s="8"/>
      <c r="M12" s="8"/>
      <c r="N12" s="7">
        <v>-26.51</v>
      </c>
      <c r="O12" s="35">
        <v>-202.86</v>
      </c>
      <c r="P12" s="35">
        <f t="shared" si="0"/>
        <v>9.2199999999999989</v>
      </c>
      <c r="Q12" s="5">
        <v>2.2000000000000002</v>
      </c>
      <c r="R12" s="7">
        <v>-15.170833333333333</v>
      </c>
      <c r="S12" s="7"/>
      <c r="T12" s="7">
        <v>85.208333333333329</v>
      </c>
    </row>
    <row r="13" spans="1:20" ht="14.25" customHeight="1" x14ac:dyDescent="0.35">
      <c r="A13" s="5" t="s">
        <v>20</v>
      </c>
      <c r="B13" s="6" t="s">
        <v>21</v>
      </c>
      <c r="C13" s="6" t="s">
        <v>40</v>
      </c>
      <c r="D13" s="6" t="s">
        <v>23</v>
      </c>
      <c r="E13" s="7">
        <v>66.37</v>
      </c>
      <c r="F13" s="7">
        <v>29.32</v>
      </c>
      <c r="G13" s="7">
        <v>222</v>
      </c>
      <c r="I13" s="5" t="s">
        <v>53</v>
      </c>
      <c r="J13" s="6" t="s">
        <v>41</v>
      </c>
      <c r="K13" s="8">
        <v>43811</v>
      </c>
      <c r="L13" s="8"/>
      <c r="M13" s="8"/>
      <c r="N13" s="7">
        <v>-20.04</v>
      </c>
      <c r="O13" s="35">
        <v>-152.4</v>
      </c>
      <c r="P13" s="35">
        <f t="shared" si="0"/>
        <v>7.9199999999999875</v>
      </c>
      <c r="Q13" s="5">
        <v>0.4</v>
      </c>
      <c r="R13" s="7">
        <v>0.89583333333333315</v>
      </c>
      <c r="S13" s="7"/>
      <c r="T13" s="7">
        <v>92.041666666666671</v>
      </c>
    </row>
    <row r="14" spans="1:20" ht="14.25" customHeight="1" x14ac:dyDescent="0.35">
      <c r="A14" s="5" t="s">
        <v>20</v>
      </c>
      <c r="B14" s="6" t="s">
        <v>21</v>
      </c>
      <c r="C14" s="6" t="s">
        <v>40</v>
      </c>
      <c r="D14" s="6" t="s">
        <v>23</v>
      </c>
      <c r="E14" s="7">
        <v>66.37</v>
      </c>
      <c r="F14" s="7">
        <v>29.32</v>
      </c>
      <c r="G14" s="7">
        <v>222</v>
      </c>
      <c r="I14" s="5" t="s">
        <v>54</v>
      </c>
      <c r="J14" s="6" t="s">
        <v>41</v>
      </c>
      <c r="K14" s="8">
        <v>43812</v>
      </c>
      <c r="L14" s="8"/>
      <c r="M14" s="8"/>
      <c r="N14" s="7">
        <v>-15.88</v>
      </c>
      <c r="O14" s="35">
        <v>-115.96</v>
      </c>
      <c r="P14" s="35">
        <f t="shared" si="0"/>
        <v>11.080000000000013</v>
      </c>
      <c r="Q14" s="5">
        <v>0.5</v>
      </c>
      <c r="R14" s="7">
        <v>-0.71666666666666679</v>
      </c>
      <c r="S14" s="7"/>
      <c r="T14" s="7">
        <v>90.375</v>
      </c>
    </row>
    <row r="15" spans="1:20" ht="14.25" customHeight="1" x14ac:dyDescent="0.35">
      <c r="A15" s="5" t="s">
        <v>20</v>
      </c>
      <c r="B15" s="6" t="s">
        <v>21</v>
      </c>
      <c r="C15" s="6" t="s">
        <v>40</v>
      </c>
      <c r="D15" s="6" t="s">
        <v>23</v>
      </c>
      <c r="E15" s="7">
        <v>66.37</v>
      </c>
      <c r="F15" s="7">
        <v>29.32</v>
      </c>
      <c r="G15" s="7">
        <v>222</v>
      </c>
      <c r="I15" s="5" t="s">
        <v>55</v>
      </c>
      <c r="J15" s="6" t="s">
        <v>41</v>
      </c>
      <c r="K15" s="8">
        <v>43815</v>
      </c>
      <c r="L15" s="8">
        <v>43812</v>
      </c>
      <c r="M15" s="8">
        <v>43815</v>
      </c>
      <c r="N15" s="7">
        <v>-16.78</v>
      </c>
      <c r="O15" s="35">
        <v>-119.01</v>
      </c>
      <c r="P15" s="35">
        <f t="shared" si="0"/>
        <v>15.230000000000004</v>
      </c>
      <c r="Q15" s="5">
        <v>11.9</v>
      </c>
      <c r="R15" s="7">
        <v>-2.2374999999999998</v>
      </c>
      <c r="S15" s="7"/>
      <c r="T15" s="7">
        <v>97.541666666666671</v>
      </c>
    </row>
    <row r="16" spans="1:20" ht="14.25" customHeight="1" x14ac:dyDescent="0.35">
      <c r="A16" s="5" t="s">
        <v>20</v>
      </c>
      <c r="B16" s="6" t="s">
        <v>21</v>
      </c>
      <c r="C16" s="6" t="s">
        <v>40</v>
      </c>
      <c r="D16" s="6" t="s">
        <v>23</v>
      </c>
      <c r="E16" s="7">
        <v>66.37</v>
      </c>
      <c r="F16" s="7">
        <v>29.32</v>
      </c>
      <c r="G16" s="7">
        <v>222</v>
      </c>
      <c r="I16" s="5" t="s">
        <v>56</v>
      </c>
      <c r="J16" s="6" t="s">
        <v>41</v>
      </c>
      <c r="K16" s="8">
        <v>43816</v>
      </c>
      <c r="L16" s="8"/>
      <c r="M16" s="8"/>
      <c r="N16" s="7">
        <v>-26.74</v>
      </c>
      <c r="O16" s="35">
        <v>-199.28</v>
      </c>
      <c r="P16" s="35">
        <f t="shared" si="0"/>
        <v>14.639999999999986</v>
      </c>
      <c r="Q16" s="5">
        <v>0.1</v>
      </c>
      <c r="R16" s="7">
        <v>-2.6708333333333338</v>
      </c>
      <c r="S16" s="7"/>
      <c r="T16" s="7">
        <v>96.416666666666671</v>
      </c>
    </row>
    <row r="17" spans="1:20" ht="14.25" customHeight="1" x14ac:dyDescent="0.35">
      <c r="A17" s="5" t="s">
        <v>20</v>
      </c>
      <c r="B17" s="6" t="s">
        <v>21</v>
      </c>
      <c r="C17" s="6" t="s">
        <v>40</v>
      </c>
      <c r="D17" s="6" t="s">
        <v>23</v>
      </c>
      <c r="E17" s="7">
        <v>66.37</v>
      </c>
      <c r="F17" s="7">
        <v>29.32</v>
      </c>
      <c r="G17" s="7">
        <v>222</v>
      </c>
      <c r="I17" s="5" t="s">
        <v>57</v>
      </c>
      <c r="J17" s="6" t="s">
        <v>41</v>
      </c>
      <c r="K17" s="8">
        <v>43822</v>
      </c>
      <c r="L17" s="8">
        <v>43819</v>
      </c>
      <c r="M17" s="8">
        <v>43822</v>
      </c>
      <c r="N17" s="7">
        <v>-18.36</v>
      </c>
      <c r="O17" s="35">
        <v>-134.93</v>
      </c>
      <c r="P17" s="35">
        <f t="shared" si="0"/>
        <v>11.949999999999989</v>
      </c>
      <c r="Q17" s="5">
        <v>3.8</v>
      </c>
      <c r="R17" s="7">
        <v>-1.3625000000000005</v>
      </c>
      <c r="S17" s="7"/>
      <c r="T17" s="7">
        <v>97.541666666666671</v>
      </c>
    </row>
    <row r="18" spans="1:20" ht="14.25" customHeight="1" x14ac:dyDescent="0.35">
      <c r="A18" s="5" t="s">
        <v>20</v>
      </c>
      <c r="B18" s="6" t="s">
        <v>21</v>
      </c>
      <c r="C18" s="6" t="s">
        <v>40</v>
      </c>
      <c r="D18" s="6" t="s">
        <v>23</v>
      </c>
      <c r="E18" s="7">
        <v>66.37</v>
      </c>
      <c r="F18" s="7">
        <v>29.32</v>
      </c>
      <c r="G18" s="7">
        <v>222</v>
      </c>
      <c r="I18" s="5" t="s">
        <v>58</v>
      </c>
      <c r="J18" s="6" t="s">
        <v>41</v>
      </c>
      <c r="K18" s="8">
        <v>43826</v>
      </c>
      <c r="L18" s="8">
        <v>43822</v>
      </c>
      <c r="M18" s="8">
        <v>43826</v>
      </c>
      <c r="N18" s="7">
        <v>-16.28</v>
      </c>
      <c r="O18" s="35">
        <v>-120.4</v>
      </c>
      <c r="P18" s="35">
        <f t="shared" si="0"/>
        <v>9.8400000000000034</v>
      </c>
      <c r="Q18" s="5">
        <v>0.1</v>
      </c>
      <c r="R18" s="7">
        <v>-16.095833333333331</v>
      </c>
      <c r="S18" s="7"/>
      <c r="T18" s="7">
        <v>86.458333333333329</v>
      </c>
    </row>
    <row r="19" spans="1:20" ht="14.25" customHeight="1" x14ac:dyDescent="0.35">
      <c r="A19" s="5" t="s">
        <v>20</v>
      </c>
      <c r="B19" s="6" t="s">
        <v>21</v>
      </c>
      <c r="C19" s="6" t="s">
        <v>40</v>
      </c>
      <c r="D19" s="6" t="s">
        <v>23</v>
      </c>
      <c r="E19" s="7">
        <v>66.37</v>
      </c>
      <c r="F19" s="7">
        <v>29.32</v>
      </c>
      <c r="G19" s="7">
        <v>222</v>
      </c>
      <c r="I19" s="5" t="s">
        <v>59</v>
      </c>
      <c r="J19" s="6" t="s">
        <v>41</v>
      </c>
      <c r="K19" s="8">
        <v>43829</v>
      </c>
      <c r="L19" s="8">
        <v>43826</v>
      </c>
      <c r="M19" s="8">
        <v>43829</v>
      </c>
      <c r="N19" s="7">
        <v>-23.52</v>
      </c>
      <c r="O19" s="35">
        <v>-179.79</v>
      </c>
      <c r="P19" s="35">
        <f t="shared" si="0"/>
        <v>8.3700000000000045</v>
      </c>
      <c r="Q19" s="5">
        <v>7.5</v>
      </c>
      <c r="R19" s="7">
        <v>0.16666666666666674</v>
      </c>
      <c r="S19" s="7"/>
      <c r="T19" s="7">
        <v>95.166666666666671</v>
      </c>
    </row>
    <row r="20" spans="1:20" ht="14.25" customHeight="1" x14ac:dyDescent="0.35">
      <c r="A20" s="5" t="s">
        <v>20</v>
      </c>
      <c r="B20" s="6" t="s">
        <v>21</v>
      </c>
      <c r="C20" s="6" t="s">
        <v>40</v>
      </c>
      <c r="D20" s="6" t="s">
        <v>23</v>
      </c>
      <c r="E20" s="7">
        <v>66.37</v>
      </c>
      <c r="F20" s="7">
        <v>29.32</v>
      </c>
      <c r="G20" s="7">
        <v>222</v>
      </c>
      <c r="I20" s="5" t="s">
        <v>60</v>
      </c>
      <c r="J20" s="6" t="s">
        <v>41</v>
      </c>
      <c r="K20" s="8">
        <v>43830</v>
      </c>
      <c r="L20" s="8"/>
      <c r="M20" s="8"/>
      <c r="N20" s="7">
        <v>-19.170000000000002</v>
      </c>
      <c r="O20" s="35">
        <v>-145.18</v>
      </c>
      <c r="P20" s="35">
        <f t="shared" si="0"/>
        <v>8.1800000000000068</v>
      </c>
      <c r="Q20" s="5">
        <v>3.3</v>
      </c>
      <c r="R20" s="7">
        <v>-11.270833333333334</v>
      </c>
      <c r="S20" s="7"/>
      <c r="T20" s="7">
        <v>90.25</v>
      </c>
    </row>
    <row r="21" spans="1:20" ht="14.25" customHeight="1" x14ac:dyDescent="0.35">
      <c r="A21" s="5" t="s">
        <v>20</v>
      </c>
      <c r="B21" s="6" t="s">
        <v>21</v>
      </c>
      <c r="C21" s="6" t="s">
        <v>40</v>
      </c>
      <c r="D21" s="6" t="s">
        <v>23</v>
      </c>
      <c r="E21" s="7">
        <v>66.37</v>
      </c>
      <c r="F21" s="7">
        <v>29.32</v>
      </c>
      <c r="G21" s="7">
        <v>222</v>
      </c>
      <c r="I21" s="5" t="s">
        <v>61</v>
      </c>
      <c r="J21" s="6" t="s">
        <v>41</v>
      </c>
      <c r="K21" s="8">
        <v>43832</v>
      </c>
      <c r="L21" s="8">
        <v>43830</v>
      </c>
      <c r="M21" s="8">
        <v>43832</v>
      </c>
      <c r="N21" s="7">
        <v>-15.72</v>
      </c>
      <c r="O21" s="35">
        <v>-117.51</v>
      </c>
      <c r="P21" s="35">
        <f t="shared" si="0"/>
        <v>8.25</v>
      </c>
      <c r="Q21" s="5">
        <v>0.4</v>
      </c>
      <c r="R21" s="7">
        <v>0.80833333333333313</v>
      </c>
      <c r="S21" s="7"/>
      <c r="T21" s="7">
        <v>92.875</v>
      </c>
    </row>
    <row r="22" spans="1:20" ht="14.25" customHeight="1" x14ac:dyDescent="0.35">
      <c r="A22" s="5" t="s">
        <v>20</v>
      </c>
      <c r="B22" s="6" t="s">
        <v>21</v>
      </c>
      <c r="C22" s="6" t="s">
        <v>40</v>
      </c>
      <c r="D22" s="6" t="s">
        <v>23</v>
      </c>
      <c r="E22" s="7">
        <v>66.37</v>
      </c>
      <c r="F22" s="7">
        <v>29.32</v>
      </c>
      <c r="G22" s="7">
        <v>222</v>
      </c>
      <c r="I22" s="5" t="s">
        <v>62</v>
      </c>
      <c r="J22" s="6" t="s">
        <v>41</v>
      </c>
      <c r="K22" s="8">
        <v>43837</v>
      </c>
      <c r="L22" s="8">
        <v>43833</v>
      </c>
      <c r="M22" s="8">
        <v>43837</v>
      </c>
      <c r="N22" s="7">
        <v>-16.36</v>
      </c>
      <c r="O22" s="35">
        <v>-123.33</v>
      </c>
      <c r="P22" s="35">
        <f t="shared" si="0"/>
        <v>7.5499999999999972</v>
      </c>
      <c r="Q22" s="5">
        <v>0.9</v>
      </c>
      <c r="R22" s="7">
        <v>7.0833333333333096E-2</v>
      </c>
      <c r="S22" s="7"/>
      <c r="T22" s="7">
        <v>96.666666666666671</v>
      </c>
    </row>
    <row r="23" spans="1:20" ht="14.25" customHeight="1" x14ac:dyDescent="0.35">
      <c r="A23" s="5" t="s">
        <v>20</v>
      </c>
      <c r="B23" s="6" t="s">
        <v>21</v>
      </c>
      <c r="C23" s="6" t="s">
        <v>40</v>
      </c>
      <c r="D23" s="6" t="s">
        <v>23</v>
      </c>
      <c r="E23" s="7">
        <v>66.37</v>
      </c>
      <c r="F23" s="7">
        <v>29.32</v>
      </c>
      <c r="G23" s="7">
        <v>222</v>
      </c>
      <c r="I23" s="5" t="s">
        <v>63</v>
      </c>
      <c r="J23" s="6" t="s">
        <v>41</v>
      </c>
      <c r="K23" s="8">
        <v>43843</v>
      </c>
      <c r="L23" s="8">
        <v>43840</v>
      </c>
      <c r="M23" s="8">
        <v>43843</v>
      </c>
      <c r="N23" s="7">
        <v>-14.03</v>
      </c>
      <c r="O23" s="35">
        <v>-104.69</v>
      </c>
      <c r="P23" s="35">
        <f t="shared" si="0"/>
        <v>7.5499999999999972</v>
      </c>
      <c r="Q23" s="5">
        <v>0.8</v>
      </c>
      <c r="R23" s="7">
        <v>-5.6749999999999998</v>
      </c>
      <c r="S23" s="7"/>
      <c r="T23" s="7">
        <v>92.583333333333329</v>
      </c>
    </row>
    <row r="24" spans="1:20" ht="14.25" customHeight="1" x14ac:dyDescent="0.35">
      <c r="A24" s="5" t="s">
        <v>20</v>
      </c>
      <c r="B24" s="6" t="s">
        <v>21</v>
      </c>
      <c r="C24" s="6" t="s">
        <v>40</v>
      </c>
      <c r="D24" s="6" t="s">
        <v>23</v>
      </c>
      <c r="E24" s="7">
        <v>66.37</v>
      </c>
      <c r="F24" s="7">
        <v>29.32</v>
      </c>
      <c r="G24" s="7">
        <v>222</v>
      </c>
      <c r="I24" s="5" t="s">
        <v>64</v>
      </c>
      <c r="J24" s="6" t="s">
        <v>41</v>
      </c>
      <c r="K24" s="8">
        <v>43845</v>
      </c>
      <c r="L24" s="8"/>
      <c r="M24" s="8"/>
      <c r="N24" s="7">
        <v>-18.8</v>
      </c>
      <c r="O24" s="35">
        <v>-144.04</v>
      </c>
      <c r="P24" s="35">
        <f t="shared" si="0"/>
        <v>6.3600000000000136</v>
      </c>
      <c r="Q24" s="5">
        <v>1.5</v>
      </c>
      <c r="R24" s="7">
        <v>0.10833333333333323</v>
      </c>
      <c r="S24" s="7"/>
      <c r="T24" s="7">
        <v>95.791666666666671</v>
      </c>
    </row>
    <row r="25" spans="1:20" ht="14.25" customHeight="1" x14ac:dyDescent="0.35">
      <c r="A25" s="5" t="s">
        <v>20</v>
      </c>
      <c r="B25" s="6" t="s">
        <v>21</v>
      </c>
      <c r="C25" s="6" t="s">
        <v>40</v>
      </c>
      <c r="D25" s="6" t="s">
        <v>23</v>
      </c>
      <c r="E25" s="7">
        <v>66.37</v>
      </c>
      <c r="F25" s="7">
        <v>29.32</v>
      </c>
      <c r="G25" s="7">
        <v>222</v>
      </c>
      <c r="I25" s="5" t="s">
        <v>65</v>
      </c>
      <c r="J25" s="6" t="s">
        <v>41</v>
      </c>
      <c r="K25" s="8">
        <v>43846</v>
      </c>
      <c r="L25" s="8">
        <v>43845</v>
      </c>
      <c r="M25" s="8">
        <v>43846</v>
      </c>
      <c r="N25" s="7">
        <v>-14.31</v>
      </c>
      <c r="O25" s="35">
        <v>-109.23</v>
      </c>
      <c r="P25" s="35">
        <f t="shared" si="0"/>
        <v>5.25</v>
      </c>
      <c r="Q25" s="5">
        <v>1.1000000000000001</v>
      </c>
      <c r="R25" s="7">
        <v>-5.7749999999999995</v>
      </c>
      <c r="S25" s="7"/>
      <c r="T25" s="7">
        <v>94.875</v>
      </c>
    </row>
    <row r="26" spans="1:20" ht="14.25" customHeight="1" x14ac:dyDescent="0.35">
      <c r="A26" s="5" t="s">
        <v>20</v>
      </c>
      <c r="B26" s="6" t="s">
        <v>21</v>
      </c>
      <c r="C26" s="6" t="s">
        <v>40</v>
      </c>
      <c r="D26" s="6" t="s">
        <v>23</v>
      </c>
      <c r="E26" s="7">
        <v>66.37</v>
      </c>
      <c r="F26" s="7">
        <v>29.32</v>
      </c>
      <c r="G26" s="7">
        <v>222</v>
      </c>
      <c r="I26" s="5" t="s">
        <v>66</v>
      </c>
      <c r="J26" s="6" t="s">
        <v>41</v>
      </c>
      <c r="K26" s="8">
        <v>43847</v>
      </c>
      <c r="L26" s="8"/>
      <c r="M26" s="8"/>
      <c r="N26" s="7">
        <v>-13.4</v>
      </c>
      <c r="O26" s="35">
        <v>-98.54</v>
      </c>
      <c r="P26" s="35">
        <f t="shared" si="0"/>
        <v>8.6599999999999966</v>
      </c>
      <c r="Q26" s="5">
        <v>1.1000000000000001</v>
      </c>
      <c r="R26" s="7">
        <v>-8.2000000000000011</v>
      </c>
      <c r="S26" s="7"/>
      <c r="T26" s="7">
        <v>92.25</v>
      </c>
    </row>
    <row r="27" spans="1:20" ht="14.25" customHeight="1" x14ac:dyDescent="0.35">
      <c r="A27" s="5" t="s">
        <v>20</v>
      </c>
      <c r="B27" s="6" t="s">
        <v>21</v>
      </c>
      <c r="C27" s="6" t="s">
        <v>40</v>
      </c>
      <c r="D27" s="6" t="s">
        <v>23</v>
      </c>
      <c r="E27" s="7">
        <v>66.37</v>
      </c>
      <c r="F27" s="7">
        <v>29.32</v>
      </c>
      <c r="G27" s="7">
        <v>222</v>
      </c>
      <c r="I27" s="5" t="s">
        <v>67</v>
      </c>
      <c r="J27" s="6" t="s">
        <v>41</v>
      </c>
      <c r="K27" s="8">
        <v>43850</v>
      </c>
      <c r="L27" s="8"/>
      <c r="M27" s="8"/>
      <c r="N27" s="7">
        <v>-17.75</v>
      </c>
      <c r="O27" s="35">
        <v>-133.31</v>
      </c>
      <c r="P27" s="35">
        <f t="shared" si="0"/>
        <v>8.6899999999999977</v>
      </c>
      <c r="Q27" s="5">
        <v>1.3</v>
      </c>
      <c r="R27" s="7">
        <v>-2.4541666666666666</v>
      </c>
      <c r="S27" s="7"/>
      <c r="T27" s="7">
        <v>94.166666666666671</v>
      </c>
    </row>
    <row r="28" spans="1:20" ht="14.25" customHeight="1" x14ac:dyDescent="0.35">
      <c r="A28" s="5" t="s">
        <v>20</v>
      </c>
      <c r="B28" s="6" t="s">
        <v>21</v>
      </c>
      <c r="C28" s="6" t="s">
        <v>40</v>
      </c>
      <c r="D28" s="6" t="s">
        <v>23</v>
      </c>
      <c r="E28" s="7">
        <v>66.37</v>
      </c>
      <c r="F28" s="7">
        <v>29.32</v>
      </c>
      <c r="G28" s="7">
        <v>222</v>
      </c>
      <c r="I28" s="5" t="s">
        <v>68</v>
      </c>
      <c r="J28" s="6" t="s">
        <v>41</v>
      </c>
      <c r="K28" s="8">
        <v>43851</v>
      </c>
      <c r="L28" s="8"/>
      <c r="M28" s="8"/>
      <c r="N28" s="7">
        <v>-12.62</v>
      </c>
      <c r="O28" s="35">
        <v>-98.28</v>
      </c>
      <c r="P28" s="35">
        <f t="shared" si="0"/>
        <v>2.6799999999999926</v>
      </c>
      <c r="Q28" s="5">
        <v>1</v>
      </c>
      <c r="R28" s="7">
        <v>-1.6958333333333335</v>
      </c>
      <c r="S28" s="7"/>
      <c r="T28" s="7">
        <v>91.208333333333329</v>
      </c>
    </row>
    <row r="29" spans="1:20" ht="14.25" customHeight="1" x14ac:dyDescent="0.35">
      <c r="A29" s="5" t="s">
        <v>20</v>
      </c>
      <c r="B29" s="6" t="s">
        <v>21</v>
      </c>
      <c r="C29" s="6" t="s">
        <v>40</v>
      </c>
      <c r="D29" s="6" t="s">
        <v>23</v>
      </c>
      <c r="E29" s="7">
        <v>66.37</v>
      </c>
      <c r="F29" s="7">
        <v>29.32</v>
      </c>
      <c r="G29" s="7">
        <v>222</v>
      </c>
      <c r="I29" s="5" t="s">
        <v>69</v>
      </c>
      <c r="J29" s="6" t="s">
        <v>41</v>
      </c>
      <c r="K29" s="8">
        <v>43854</v>
      </c>
      <c r="L29" s="8"/>
      <c r="M29" s="8"/>
      <c r="N29" s="7">
        <v>-18.190000000000001</v>
      </c>
      <c r="O29" s="35">
        <v>-141.52000000000001</v>
      </c>
      <c r="P29" s="35">
        <f t="shared" si="0"/>
        <v>4</v>
      </c>
      <c r="Q29" s="5">
        <v>3.5</v>
      </c>
      <c r="R29" s="7">
        <v>-9.3916666666666675</v>
      </c>
      <c r="S29" s="7"/>
      <c r="T29" s="7">
        <v>91.583333333333329</v>
      </c>
    </row>
    <row r="30" spans="1:20" ht="14.25" customHeight="1" x14ac:dyDescent="0.35">
      <c r="A30" s="5" t="s">
        <v>20</v>
      </c>
      <c r="B30" s="6" t="s">
        <v>21</v>
      </c>
      <c r="C30" s="6" t="s">
        <v>40</v>
      </c>
      <c r="D30" s="6" t="s">
        <v>23</v>
      </c>
      <c r="E30" s="7">
        <v>66.37</v>
      </c>
      <c r="F30" s="7">
        <v>29.32</v>
      </c>
      <c r="G30" s="7">
        <v>222</v>
      </c>
      <c r="I30" s="5" t="s">
        <v>70</v>
      </c>
      <c r="J30" s="6" t="s">
        <v>41</v>
      </c>
      <c r="K30" s="8">
        <v>43857</v>
      </c>
      <c r="L30" s="8">
        <v>43854</v>
      </c>
      <c r="M30" s="8">
        <v>43857</v>
      </c>
      <c r="N30" s="7">
        <v>-16.850000000000001</v>
      </c>
      <c r="O30" s="35">
        <v>-126.61</v>
      </c>
      <c r="P30" s="35">
        <f t="shared" si="0"/>
        <v>8.1900000000000119</v>
      </c>
      <c r="Q30" s="5">
        <v>1.3</v>
      </c>
      <c r="R30" s="7">
        <v>-30.629166666666666</v>
      </c>
      <c r="S30" s="7"/>
      <c r="T30" s="7">
        <v>71.291666666666671</v>
      </c>
    </row>
    <row r="31" spans="1:20" ht="14.25" customHeight="1" x14ac:dyDescent="0.35">
      <c r="A31" s="5" t="s">
        <v>20</v>
      </c>
      <c r="B31" s="6" t="s">
        <v>21</v>
      </c>
      <c r="C31" s="6" t="s">
        <v>40</v>
      </c>
      <c r="D31" s="6" t="s">
        <v>23</v>
      </c>
      <c r="E31" s="7">
        <v>66.37</v>
      </c>
      <c r="F31" s="7">
        <v>29.32</v>
      </c>
      <c r="G31" s="7">
        <v>222</v>
      </c>
      <c r="I31" s="5" t="s">
        <v>71</v>
      </c>
      <c r="J31" s="6" t="s">
        <v>41</v>
      </c>
      <c r="K31" s="8">
        <v>43859</v>
      </c>
      <c r="L31" s="8"/>
      <c r="M31" s="8"/>
      <c r="N31" s="7">
        <v>-24.54</v>
      </c>
      <c r="O31" s="35">
        <v>-187.75</v>
      </c>
      <c r="P31" s="35">
        <f t="shared" si="0"/>
        <v>8.5699999999999932</v>
      </c>
      <c r="Q31" s="5">
        <v>0.4</v>
      </c>
      <c r="R31" s="7">
        <v>-11.029166666666667</v>
      </c>
      <c r="S31" s="7"/>
      <c r="T31" s="7">
        <v>89.208333333333329</v>
      </c>
    </row>
    <row r="32" spans="1:20" ht="14.25" customHeight="1" x14ac:dyDescent="0.35">
      <c r="A32" s="5" t="s">
        <v>20</v>
      </c>
      <c r="B32" s="6" t="s">
        <v>21</v>
      </c>
      <c r="C32" s="6" t="s">
        <v>40</v>
      </c>
      <c r="D32" s="6" t="s">
        <v>23</v>
      </c>
      <c r="E32" s="7">
        <v>66.37</v>
      </c>
      <c r="F32" s="7">
        <v>29.32</v>
      </c>
      <c r="G32" s="7">
        <v>222</v>
      </c>
      <c r="I32" s="5" t="s">
        <v>72</v>
      </c>
      <c r="J32" s="6" t="s">
        <v>41</v>
      </c>
      <c r="K32" s="8">
        <v>43860</v>
      </c>
      <c r="L32" s="8"/>
      <c r="M32" s="8"/>
      <c r="N32" s="7">
        <v>-15.59</v>
      </c>
      <c r="O32" s="35">
        <v>-117.21</v>
      </c>
      <c r="P32" s="35">
        <f t="shared" si="0"/>
        <v>7.5100000000000051</v>
      </c>
      <c r="Q32" s="5">
        <v>0.1</v>
      </c>
      <c r="R32" s="7">
        <v>-9.0083333333333329</v>
      </c>
      <c r="S32" s="7"/>
      <c r="T32" s="7">
        <v>88.708333333333329</v>
      </c>
    </row>
    <row r="33" spans="1:20" ht="14.25" customHeight="1" x14ac:dyDescent="0.35">
      <c r="A33" s="5" t="s">
        <v>20</v>
      </c>
      <c r="B33" s="6" t="s">
        <v>21</v>
      </c>
      <c r="C33" s="6" t="s">
        <v>40</v>
      </c>
      <c r="D33" s="6" t="s">
        <v>23</v>
      </c>
      <c r="E33" s="7">
        <v>66.37</v>
      </c>
      <c r="F33" s="7">
        <v>29.32</v>
      </c>
      <c r="G33" s="7">
        <v>222</v>
      </c>
      <c r="I33" s="5" t="s">
        <v>73</v>
      </c>
      <c r="J33" s="6" t="s">
        <v>41</v>
      </c>
      <c r="K33" s="8">
        <v>43864</v>
      </c>
      <c r="L33" s="8">
        <v>43861</v>
      </c>
      <c r="M33" s="8">
        <v>43864</v>
      </c>
      <c r="N33" s="7">
        <v>-24.52</v>
      </c>
      <c r="O33" s="35">
        <v>-188.09</v>
      </c>
      <c r="P33" s="35">
        <f t="shared" si="0"/>
        <v>8.0699999999999932</v>
      </c>
      <c r="Q33" s="5">
        <v>0.1</v>
      </c>
      <c r="R33" s="7">
        <v>-8.4</v>
      </c>
      <c r="S33" s="7"/>
      <c r="T33" s="7">
        <v>88.416666666666671</v>
      </c>
    </row>
    <row r="34" spans="1:20" ht="14.25" customHeight="1" x14ac:dyDescent="0.35">
      <c r="A34" s="5" t="s">
        <v>20</v>
      </c>
      <c r="B34" s="6" t="s">
        <v>21</v>
      </c>
      <c r="C34" s="6" t="s">
        <v>40</v>
      </c>
      <c r="D34" s="6" t="s">
        <v>23</v>
      </c>
      <c r="E34" s="7">
        <v>66.37</v>
      </c>
      <c r="F34" s="7">
        <v>29.32</v>
      </c>
      <c r="G34" s="7">
        <v>222</v>
      </c>
      <c r="I34" s="5" t="s">
        <v>74</v>
      </c>
      <c r="J34" s="6" t="s">
        <v>41</v>
      </c>
      <c r="K34" s="8">
        <v>43868</v>
      </c>
      <c r="L34" s="8">
        <v>43866</v>
      </c>
      <c r="M34" s="8">
        <v>43868</v>
      </c>
      <c r="N34" s="7">
        <v>-17.25</v>
      </c>
      <c r="O34" s="35">
        <v>-115.4</v>
      </c>
      <c r="P34" s="35">
        <f t="shared" si="0"/>
        <v>22.599999999999994</v>
      </c>
      <c r="Q34" s="5">
        <v>1.6</v>
      </c>
      <c r="R34" s="7">
        <v>-12.966666666666661</v>
      </c>
      <c r="S34" s="7"/>
      <c r="T34" s="7">
        <v>87.875</v>
      </c>
    </row>
    <row r="35" spans="1:20" ht="14.25" customHeight="1" x14ac:dyDescent="0.35">
      <c r="A35" s="5" t="s">
        <v>20</v>
      </c>
      <c r="B35" s="6" t="s">
        <v>21</v>
      </c>
      <c r="C35" s="6" t="s">
        <v>40</v>
      </c>
      <c r="D35" s="6" t="s">
        <v>23</v>
      </c>
      <c r="E35" s="7">
        <v>66.37</v>
      </c>
      <c r="F35" s="7">
        <v>29.32</v>
      </c>
      <c r="G35" s="7">
        <v>222</v>
      </c>
      <c r="I35" s="5" t="s">
        <v>75</v>
      </c>
      <c r="J35" s="6" t="s">
        <v>41</v>
      </c>
      <c r="K35" s="8">
        <v>43871</v>
      </c>
      <c r="L35" s="8">
        <v>43868</v>
      </c>
      <c r="M35" s="8">
        <v>43871</v>
      </c>
      <c r="N35" s="7">
        <v>-14.02</v>
      </c>
      <c r="O35" s="35">
        <v>-108.12</v>
      </c>
      <c r="P35" s="35">
        <f t="shared" si="0"/>
        <v>4.039999999999992</v>
      </c>
      <c r="Q35" s="5">
        <v>2</v>
      </c>
      <c r="R35" s="7">
        <v>1.2583333333333333</v>
      </c>
      <c r="S35" s="7"/>
      <c r="T35" s="7">
        <v>93</v>
      </c>
    </row>
    <row r="36" spans="1:20" ht="14.25" customHeight="1" x14ac:dyDescent="0.35">
      <c r="A36" s="5" t="s">
        <v>20</v>
      </c>
      <c r="B36" s="6" t="s">
        <v>21</v>
      </c>
      <c r="C36" s="6" t="s">
        <v>40</v>
      </c>
      <c r="D36" s="6" t="s">
        <v>23</v>
      </c>
      <c r="E36" s="7">
        <v>66.37</v>
      </c>
      <c r="F36" s="7">
        <v>29.32</v>
      </c>
      <c r="G36" s="7">
        <v>222</v>
      </c>
      <c r="I36" s="5" t="s">
        <v>76</v>
      </c>
      <c r="J36" s="6" t="s">
        <v>41</v>
      </c>
      <c r="K36" s="8">
        <v>43872</v>
      </c>
      <c r="L36" s="8"/>
      <c r="M36" s="8"/>
      <c r="N36" s="7">
        <v>-14.58</v>
      </c>
      <c r="O36" s="35">
        <v>-112.65</v>
      </c>
      <c r="P36" s="35">
        <f t="shared" si="0"/>
        <v>3.9899999999999949</v>
      </c>
      <c r="Q36" s="5">
        <v>1.5</v>
      </c>
      <c r="R36" s="7">
        <v>0.99583333333333302</v>
      </c>
      <c r="S36" s="7"/>
      <c r="T36" s="7">
        <v>92.791666666666671</v>
      </c>
    </row>
    <row r="37" spans="1:20" ht="14.25" customHeight="1" x14ac:dyDescent="0.35">
      <c r="A37" s="5" t="s">
        <v>20</v>
      </c>
      <c r="B37" s="6" t="s">
        <v>21</v>
      </c>
      <c r="C37" s="6" t="s">
        <v>40</v>
      </c>
      <c r="D37" s="6" t="s">
        <v>23</v>
      </c>
      <c r="E37" s="7">
        <v>66.37</v>
      </c>
      <c r="F37" s="7">
        <v>29.32</v>
      </c>
      <c r="G37" s="7">
        <v>222</v>
      </c>
      <c r="I37" s="5" t="s">
        <v>77</v>
      </c>
      <c r="J37" s="6" t="s">
        <v>41</v>
      </c>
      <c r="K37" s="8">
        <v>43875</v>
      </c>
      <c r="L37" s="8"/>
      <c r="M37" s="8"/>
      <c r="N37" s="7">
        <v>-14.94</v>
      </c>
      <c r="O37" s="35">
        <v>-109.44</v>
      </c>
      <c r="P37" s="35">
        <f t="shared" si="0"/>
        <v>10.079999999999998</v>
      </c>
      <c r="Q37" s="5">
        <v>1.2</v>
      </c>
      <c r="R37" s="7">
        <v>-2.9833333333333329</v>
      </c>
      <c r="S37" s="7"/>
      <c r="T37" s="7">
        <v>94.166666666666671</v>
      </c>
    </row>
    <row r="38" spans="1:20" ht="14.25" customHeight="1" x14ac:dyDescent="0.35">
      <c r="A38" s="5" t="s">
        <v>20</v>
      </c>
      <c r="B38" s="6" t="s">
        <v>21</v>
      </c>
      <c r="C38" s="6" t="s">
        <v>40</v>
      </c>
      <c r="D38" s="6" t="s">
        <v>23</v>
      </c>
      <c r="E38" s="7">
        <v>66.37</v>
      </c>
      <c r="F38" s="7">
        <v>29.32</v>
      </c>
      <c r="G38" s="7">
        <v>222</v>
      </c>
      <c r="I38" s="5" t="s">
        <v>78</v>
      </c>
      <c r="J38" s="6" t="s">
        <v>41</v>
      </c>
      <c r="K38" s="8">
        <v>43880</v>
      </c>
      <c r="L38" s="8"/>
      <c r="M38" s="8"/>
      <c r="N38" s="7">
        <v>-14.2</v>
      </c>
      <c r="O38" s="35">
        <v>-104.99</v>
      </c>
      <c r="P38" s="35">
        <f t="shared" si="0"/>
        <v>8.61</v>
      </c>
      <c r="Q38" s="5">
        <v>6.7</v>
      </c>
      <c r="R38" s="7">
        <v>-6.958333333333333</v>
      </c>
      <c r="S38" s="7"/>
      <c r="T38" s="7">
        <v>89.291666666666671</v>
      </c>
    </row>
    <row r="39" spans="1:20" ht="14.25" customHeight="1" x14ac:dyDescent="0.35">
      <c r="A39" s="5" t="s">
        <v>20</v>
      </c>
      <c r="B39" s="6" t="s">
        <v>21</v>
      </c>
      <c r="C39" s="6" t="s">
        <v>40</v>
      </c>
      <c r="D39" s="6" t="s">
        <v>23</v>
      </c>
      <c r="E39" s="7">
        <v>66.37</v>
      </c>
      <c r="F39" s="7">
        <v>29.32</v>
      </c>
      <c r="G39" s="7">
        <v>222</v>
      </c>
      <c r="I39" s="5" t="s">
        <v>79</v>
      </c>
      <c r="J39" s="6" t="s">
        <v>41</v>
      </c>
      <c r="K39" s="8">
        <v>43885</v>
      </c>
      <c r="L39" s="8">
        <v>43882</v>
      </c>
      <c r="M39" s="8">
        <v>43885</v>
      </c>
      <c r="N39" s="7">
        <v>-17.53</v>
      </c>
      <c r="O39" s="35">
        <v>-136.63</v>
      </c>
      <c r="P39" s="35">
        <f t="shared" si="0"/>
        <v>3.6100000000000136</v>
      </c>
      <c r="Q39" s="5">
        <v>1.9</v>
      </c>
      <c r="R39" s="7">
        <v>-5.0874999999999995</v>
      </c>
      <c r="S39" s="7"/>
      <c r="T39" s="7">
        <v>93.875</v>
      </c>
    </row>
    <row r="40" spans="1:20" ht="14.25" customHeight="1" x14ac:dyDescent="0.35">
      <c r="A40" s="5" t="s">
        <v>20</v>
      </c>
      <c r="B40" s="6" t="s">
        <v>21</v>
      </c>
      <c r="C40" s="6" t="s">
        <v>40</v>
      </c>
      <c r="D40" s="6" t="s">
        <v>23</v>
      </c>
      <c r="E40" s="7">
        <v>66.37</v>
      </c>
      <c r="F40" s="7">
        <v>29.32</v>
      </c>
      <c r="G40" s="7">
        <v>222</v>
      </c>
      <c r="I40" s="5" t="s">
        <v>80</v>
      </c>
      <c r="J40" s="6" t="s">
        <v>41</v>
      </c>
      <c r="K40" s="8">
        <v>43886</v>
      </c>
      <c r="L40" s="8"/>
      <c r="M40" s="8"/>
      <c r="N40" s="7">
        <v>-16.829999999999998</v>
      </c>
      <c r="O40" s="35">
        <v>-124.49</v>
      </c>
      <c r="P40" s="35">
        <f t="shared" si="0"/>
        <v>10.149999999999991</v>
      </c>
      <c r="Q40" s="5">
        <v>1.6</v>
      </c>
      <c r="R40" s="7">
        <v>-9.1999999999999993</v>
      </c>
      <c r="S40" s="7"/>
      <c r="T40" s="7">
        <v>88.666666666666671</v>
      </c>
    </row>
    <row r="41" spans="1:20" ht="14.25" customHeight="1" x14ac:dyDescent="0.35">
      <c r="A41" s="5" t="s">
        <v>20</v>
      </c>
      <c r="B41" s="6" t="s">
        <v>21</v>
      </c>
      <c r="C41" s="6" t="s">
        <v>40</v>
      </c>
      <c r="D41" s="6" t="s">
        <v>23</v>
      </c>
      <c r="E41" s="7">
        <v>66.37</v>
      </c>
      <c r="F41" s="7">
        <v>29.32</v>
      </c>
      <c r="G41" s="7">
        <v>222</v>
      </c>
      <c r="I41" s="5" t="s">
        <v>81</v>
      </c>
      <c r="J41" s="6" t="s">
        <v>41</v>
      </c>
      <c r="K41" s="8">
        <v>43895</v>
      </c>
      <c r="L41" s="8"/>
      <c r="M41" s="8"/>
      <c r="N41" s="7">
        <v>-22.9</v>
      </c>
      <c r="O41" s="35">
        <v>-178.05</v>
      </c>
      <c r="P41" s="35">
        <f t="shared" si="0"/>
        <v>5.1499999999999773</v>
      </c>
      <c r="Q41" s="5">
        <v>4.9000000000000004</v>
      </c>
      <c r="R41" s="7">
        <v>-5.5833333333333348</v>
      </c>
      <c r="S41" s="7"/>
      <c r="T41" s="7">
        <v>92.083333333333329</v>
      </c>
    </row>
    <row r="42" spans="1:20" ht="14.25" customHeight="1" x14ac:dyDescent="0.35">
      <c r="A42" s="5" t="s">
        <v>20</v>
      </c>
      <c r="B42" s="6" t="s">
        <v>21</v>
      </c>
      <c r="C42" s="6" t="s">
        <v>40</v>
      </c>
      <c r="D42" s="6" t="s">
        <v>23</v>
      </c>
      <c r="E42" s="7">
        <v>66.37</v>
      </c>
      <c r="F42" s="7">
        <v>29.32</v>
      </c>
      <c r="G42" s="7">
        <v>222</v>
      </c>
      <c r="I42" s="5" t="s">
        <v>82</v>
      </c>
      <c r="J42" s="6" t="s">
        <v>41</v>
      </c>
      <c r="K42" s="8">
        <v>43899</v>
      </c>
      <c r="L42" s="8">
        <v>43896</v>
      </c>
      <c r="M42" s="8">
        <v>43899</v>
      </c>
      <c r="N42" s="7">
        <v>-19.55</v>
      </c>
      <c r="O42" s="35">
        <v>-154.06</v>
      </c>
      <c r="P42" s="35">
        <f t="shared" si="0"/>
        <v>2.3400000000000034</v>
      </c>
      <c r="Q42" s="5">
        <v>0.4</v>
      </c>
      <c r="R42" s="7">
        <v>2.4499999999999997</v>
      </c>
      <c r="S42" s="7"/>
      <c r="T42" s="7">
        <v>89.666666666666671</v>
      </c>
    </row>
    <row r="43" spans="1:20" ht="14.25" customHeight="1" x14ac:dyDescent="0.35">
      <c r="A43" s="5" t="s">
        <v>20</v>
      </c>
      <c r="B43" s="6" t="s">
        <v>21</v>
      </c>
      <c r="C43" s="6" t="s">
        <v>40</v>
      </c>
      <c r="D43" s="6" t="s">
        <v>23</v>
      </c>
      <c r="E43" s="7">
        <v>66.37</v>
      </c>
      <c r="F43" s="7">
        <v>29.32</v>
      </c>
      <c r="G43" s="7">
        <v>222</v>
      </c>
      <c r="I43" s="5" t="s">
        <v>83</v>
      </c>
      <c r="J43" s="6" t="s">
        <v>41</v>
      </c>
      <c r="K43" s="8">
        <v>43903</v>
      </c>
      <c r="L43" s="8"/>
      <c r="M43" s="8"/>
      <c r="N43" s="7">
        <v>-18.059999999999999</v>
      </c>
      <c r="O43" s="35">
        <v>-139.91999999999999</v>
      </c>
      <c r="P43" s="35">
        <f t="shared" si="0"/>
        <v>4.5600000000000023</v>
      </c>
      <c r="Q43" s="5">
        <v>5.4</v>
      </c>
      <c r="R43" s="7">
        <v>-5.0041666666666664</v>
      </c>
      <c r="S43" s="7"/>
      <c r="T43" s="7">
        <v>87.875</v>
      </c>
    </row>
    <row r="44" spans="1:20" ht="14.25" customHeight="1" x14ac:dyDescent="0.35">
      <c r="A44" s="5" t="s">
        <v>20</v>
      </c>
      <c r="B44" s="6" t="s">
        <v>21</v>
      </c>
      <c r="C44" s="6" t="s">
        <v>40</v>
      </c>
      <c r="D44" s="6" t="s">
        <v>23</v>
      </c>
      <c r="E44" s="7">
        <v>66.37</v>
      </c>
      <c r="F44" s="7">
        <v>29.32</v>
      </c>
      <c r="G44" s="7">
        <v>222</v>
      </c>
      <c r="I44" s="5" t="s">
        <v>84</v>
      </c>
      <c r="J44" s="6" t="s">
        <v>41</v>
      </c>
      <c r="K44" s="8">
        <v>43906</v>
      </c>
      <c r="L44" s="8">
        <v>43903</v>
      </c>
      <c r="M44" s="8">
        <v>43906</v>
      </c>
      <c r="N44" s="7">
        <v>-18.21</v>
      </c>
      <c r="O44" s="35">
        <v>-137.71</v>
      </c>
      <c r="P44" s="35">
        <f t="shared" si="0"/>
        <v>7.9699999999999989</v>
      </c>
      <c r="Q44" s="5">
        <v>0.2</v>
      </c>
      <c r="R44" s="7">
        <v>-2.4708333333333332</v>
      </c>
      <c r="S44" s="7"/>
      <c r="T44" s="7">
        <v>77.25</v>
      </c>
    </row>
    <row r="45" spans="1:20" ht="14.25" customHeight="1" x14ac:dyDescent="0.35">
      <c r="A45" s="5" t="s">
        <v>20</v>
      </c>
      <c r="B45" s="6" t="s">
        <v>21</v>
      </c>
      <c r="C45" s="6" t="s">
        <v>40</v>
      </c>
      <c r="D45" s="6" t="s">
        <v>23</v>
      </c>
      <c r="E45" s="7">
        <v>66.37</v>
      </c>
      <c r="F45" s="7">
        <v>29.32</v>
      </c>
      <c r="G45" s="7">
        <v>222</v>
      </c>
      <c r="I45" s="5" t="s">
        <v>85</v>
      </c>
      <c r="J45" s="6" t="s">
        <v>41</v>
      </c>
      <c r="K45" s="8">
        <v>43908</v>
      </c>
      <c r="L45" s="8"/>
      <c r="M45" s="8"/>
      <c r="N45" s="7">
        <v>-17.190000000000001</v>
      </c>
      <c r="O45" s="35">
        <v>-134.47999999999999</v>
      </c>
      <c r="P45" s="35">
        <f t="shared" si="0"/>
        <v>3.0400000000000205</v>
      </c>
      <c r="Q45" s="5">
        <v>1.4</v>
      </c>
      <c r="R45" s="7">
        <v>-0.39583333333333331</v>
      </c>
      <c r="S45" s="7"/>
      <c r="T45" s="7">
        <v>83.083333333333329</v>
      </c>
    </row>
    <row r="46" spans="1:20" ht="14.25" customHeight="1" x14ac:dyDescent="0.35">
      <c r="A46" s="5" t="s">
        <v>20</v>
      </c>
      <c r="B46" s="6" t="s">
        <v>21</v>
      </c>
      <c r="C46" s="6" t="s">
        <v>40</v>
      </c>
      <c r="D46" s="6" t="s">
        <v>23</v>
      </c>
      <c r="E46" s="7">
        <v>66.37</v>
      </c>
      <c r="F46" s="7">
        <v>29.32</v>
      </c>
      <c r="G46" s="7">
        <v>222</v>
      </c>
      <c r="I46" s="5" t="s">
        <v>86</v>
      </c>
      <c r="J46" s="6" t="s">
        <v>41</v>
      </c>
      <c r="K46" s="8">
        <v>43920</v>
      </c>
      <c r="L46" s="8">
        <v>43917</v>
      </c>
      <c r="M46" s="8">
        <v>43920</v>
      </c>
      <c r="N46" s="7">
        <v>-16.149999999999999</v>
      </c>
      <c r="O46" s="35">
        <v>-121.12</v>
      </c>
      <c r="P46" s="35">
        <f t="shared" si="0"/>
        <v>8.0799999999999841</v>
      </c>
      <c r="Q46" s="5">
        <v>2</v>
      </c>
      <c r="R46" s="7">
        <v>-8.5375000000000014</v>
      </c>
      <c r="S46" s="7"/>
      <c r="T46" s="7">
        <v>61.125</v>
      </c>
    </row>
    <row r="47" spans="1:20" ht="14.25" customHeight="1" x14ac:dyDescent="0.35">
      <c r="A47" s="5" t="s">
        <v>20</v>
      </c>
      <c r="B47" s="6" t="s">
        <v>21</v>
      </c>
      <c r="C47" s="6" t="s">
        <v>40</v>
      </c>
      <c r="D47" s="6" t="s">
        <v>23</v>
      </c>
      <c r="E47" s="7">
        <v>66.37</v>
      </c>
      <c r="F47" s="7">
        <v>29.32</v>
      </c>
      <c r="G47" s="7">
        <v>222</v>
      </c>
      <c r="I47" s="5" t="s">
        <v>87</v>
      </c>
      <c r="J47" s="6" t="s">
        <v>41</v>
      </c>
      <c r="K47" s="8">
        <v>43922</v>
      </c>
      <c r="L47" s="8"/>
      <c r="M47" s="8"/>
      <c r="N47" s="7">
        <v>-20.079999999999998</v>
      </c>
      <c r="O47" s="35">
        <v>-154.69999999999999</v>
      </c>
      <c r="P47" s="35">
        <f t="shared" si="0"/>
        <v>5.9399999999999977</v>
      </c>
      <c r="Q47" s="5">
        <v>3.2</v>
      </c>
      <c r="R47" s="7">
        <v>-5.0333333333333341</v>
      </c>
      <c r="S47" s="7"/>
      <c r="T47" s="7">
        <v>84.083333333333329</v>
      </c>
    </row>
    <row r="48" spans="1:20" ht="14.25" customHeight="1" x14ac:dyDescent="0.35">
      <c r="A48" s="5" t="s">
        <v>20</v>
      </c>
      <c r="B48" s="6" t="s">
        <v>21</v>
      </c>
      <c r="C48" s="6" t="s">
        <v>40</v>
      </c>
      <c r="D48" s="6" t="s">
        <v>23</v>
      </c>
      <c r="E48" s="7">
        <v>66.37</v>
      </c>
      <c r="F48" s="7">
        <v>29.32</v>
      </c>
      <c r="G48" s="7">
        <v>222</v>
      </c>
      <c r="I48" s="5" t="s">
        <v>88</v>
      </c>
      <c r="J48" s="6"/>
      <c r="K48" s="8">
        <v>44090</v>
      </c>
      <c r="L48" s="8"/>
      <c r="M48" s="8"/>
      <c r="N48" s="7">
        <v>-14.778845156787041</v>
      </c>
      <c r="O48" s="35">
        <v>-111.21380876958536</v>
      </c>
      <c r="P48" s="35">
        <f t="shared" si="0"/>
        <v>7.0169524847109699</v>
      </c>
      <c r="Q48" s="7">
        <v>7.2</v>
      </c>
      <c r="R48" s="7">
        <v>6</v>
      </c>
      <c r="S48" s="7"/>
      <c r="T48" s="7"/>
    </row>
    <row r="49" spans="1:20" ht="14" customHeight="1" x14ac:dyDescent="0.35">
      <c r="A49" s="5" t="s">
        <v>20</v>
      </c>
      <c r="B49" s="6" t="s">
        <v>21</v>
      </c>
      <c r="C49" s="6" t="s">
        <v>40</v>
      </c>
      <c r="D49" s="6" t="s">
        <v>23</v>
      </c>
      <c r="E49" s="7">
        <v>66.37</v>
      </c>
      <c r="F49" s="7">
        <v>29.32</v>
      </c>
      <c r="G49" s="7">
        <v>222</v>
      </c>
      <c r="I49" s="5" t="s">
        <v>89</v>
      </c>
      <c r="J49" s="6"/>
      <c r="K49" s="8">
        <v>44096</v>
      </c>
      <c r="L49" s="8"/>
      <c r="M49" s="8"/>
      <c r="N49" s="7">
        <v>-13.465267302238052</v>
      </c>
      <c r="O49" s="35">
        <v>-98.08030116342313</v>
      </c>
      <c r="P49" s="35">
        <f t="shared" si="0"/>
        <v>9.6418372544812883</v>
      </c>
      <c r="Q49" s="7">
        <v>3.7</v>
      </c>
      <c r="R49" s="7">
        <v>6.7</v>
      </c>
      <c r="S49" s="7"/>
      <c r="T49" s="7"/>
    </row>
    <row r="50" spans="1:20" ht="14.25" customHeight="1" x14ac:dyDescent="0.35">
      <c r="A50" s="5" t="s">
        <v>20</v>
      </c>
      <c r="B50" s="6" t="s">
        <v>21</v>
      </c>
      <c r="C50" s="6" t="s">
        <v>40</v>
      </c>
      <c r="D50" s="6" t="s">
        <v>23</v>
      </c>
      <c r="E50" s="7">
        <v>66.37</v>
      </c>
      <c r="F50" s="7">
        <v>29.32</v>
      </c>
      <c r="G50" s="7">
        <v>222</v>
      </c>
      <c r="I50" s="5" t="s">
        <v>90</v>
      </c>
      <c r="J50" s="6"/>
      <c r="K50" s="8">
        <v>44098</v>
      </c>
      <c r="L50" s="8"/>
      <c r="M50" s="8"/>
      <c r="N50" s="7">
        <v>-9.5805446593449357</v>
      </c>
      <c r="O50" s="35">
        <v>-70.595162300618483</v>
      </c>
      <c r="P50" s="35">
        <f t="shared" si="0"/>
        <v>6.0491949741410025</v>
      </c>
      <c r="Q50" s="7">
        <v>10.9</v>
      </c>
      <c r="R50" s="7">
        <v>9.4</v>
      </c>
      <c r="S50" s="7"/>
      <c r="T50" s="7"/>
    </row>
    <row r="51" spans="1:20" ht="14.25" customHeight="1" x14ac:dyDescent="0.35">
      <c r="A51" s="5" t="s">
        <v>20</v>
      </c>
      <c r="B51" s="6" t="s">
        <v>21</v>
      </c>
      <c r="C51" s="6" t="s">
        <v>40</v>
      </c>
      <c r="D51" s="6" t="s">
        <v>23</v>
      </c>
      <c r="E51" s="7">
        <v>66.37</v>
      </c>
      <c r="F51" s="7">
        <v>29.32</v>
      </c>
      <c r="G51" s="7">
        <v>222</v>
      </c>
      <c r="I51" s="5" t="s">
        <v>91</v>
      </c>
      <c r="J51" s="6"/>
      <c r="K51" s="8">
        <v>44102</v>
      </c>
      <c r="L51" s="8"/>
      <c r="M51" s="8"/>
      <c r="N51" s="7">
        <v>-9.9835797630302476</v>
      </c>
      <c r="O51" s="35">
        <v>-65.840661187349454</v>
      </c>
      <c r="P51" s="35">
        <f t="shared" si="0"/>
        <v>14.027976916892527</v>
      </c>
      <c r="Q51" s="7">
        <v>9.5</v>
      </c>
      <c r="R51" s="7">
        <v>5.7</v>
      </c>
      <c r="S51" s="7"/>
      <c r="T51" s="7"/>
    </row>
    <row r="52" spans="1:20" ht="14.25" customHeight="1" x14ac:dyDescent="0.35">
      <c r="A52" s="5" t="s">
        <v>20</v>
      </c>
      <c r="B52" s="6" t="s">
        <v>21</v>
      </c>
      <c r="C52" s="6" t="s">
        <v>40</v>
      </c>
      <c r="D52" s="6" t="s">
        <v>23</v>
      </c>
      <c r="E52" s="7">
        <v>66.37</v>
      </c>
      <c r="F52" s="7">
        <v>29.32</v>
      </c>
      <c r="G52" s="7">
        <v>222</v>
      </c>
      <c r="I52" s="5" t="s">
        <v>92</v>
      </c>
      <c r="J52" s="6"/>
      <c r="K52" s="8">
        <v>44103</v>
      </c>
      <c r="L52" s="8"/>
      <c r="M52" s="8"/>
      <c r="N52" s="7">
        <v>-9.1889552655528011</v>
      </c>
      <c r="O52" s="35">
        <v>-59.886886005812237</v>
      </c>
      <c r="P52" s="35">
        <f t="shared" si="0"/>
        <v>13.624756118610172</v>
      </c>
      <c r="Q52" s="7">
        <v>4</v>
      </c>
      <c r="R52" s="7">
        <v>6.1</v>
      </c>
      <c r="S52" s="7"/>
      <c r="T52" s="7"/>
    </row>
    <row r="55" spans="1:20" x14ac:dyDescent="0.35">
      <c r="M55" s="5" t="s">
        <v>705</v>
      </c>
      <c r="N55" s="7">
        <f>AVERAGE(N2:N52)</f>
        <v>-17.08818023817555</v>
      </c>
      <c r="O55" s="35">
        <f t="shared" ref="O55:P55" si="1">AVERAGE(O2:O52)</f>
        <v>-128.15189842013308</v>
      </c>
      <c r="P55" s="35">
        <f t="shared" si="1"/>
        <v>8.553543485271291</v>
      </c>
    </row>
    <row r="56" spans="1:20" x14ac:dyDescent="0.35">
      <c r="M56" s="5" t="s">
        <v>706</v>
      </c>
      <c r="N56" s="7">
        <f>MIN(N2:N52)</f>
        <v>-26.74</v>
      </c>
      <c r="O56" s="35">
        <f t="shared" ref="O56:P56" si="2">MIN(O2:O52)</f>
        <v>-202.86</v>
      </c>
      <c r="P56" s="35">
        <f t="shared" si="2"/>
        <v>2.3400000000000034</v>
      </c>
    </row>
    <row r="57" spans="1:20" x14ac:dyDescent="0.35">
      <c r="M57" s="5" t="s">
        <v>707</v>
      </c>
      <c r="N57" s="7">
        <f>MAX(N2:N52)</f>
        <v>-9.1889552655528011</v>
      </c>
      <c r="O57" s="35">
        <f t="shared" ref="O57:P57" si="3">MAX(O2:O52)</f>
        <v>-59.886886005812237</v>
      </c>
      <c r="P57" s="35">
        <f t="shared" si="3"/>
        <v>22.599999999999994</v>
      </c>
    </row>
    <row r="58" spans="1:20" x14ac:dyDescent="0.35">
      <c r="M58" s="5" t="s">
        <v>708</v>
      </c>
      <c r="N58" s="5">
        <f>_xlfn.STDEV.P(N2:N52)</f>
        <v>4.2195613352175005</v>
      </c>
      <c r="O58" s="35">
        <f t="shared" ref="O58:P58" si="4">_xlfn.STDEV.P(O2:O52)</f>
        <v>33.849665638504852</v>
      </c>
      <c r="P58" s="35">
        <f t="shared" si="4"/>
        <v>3.7194866013176755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1324-AB71-4CD1-B53A-CFCCA7E95E4B}">
  <dimension ref="A1:U101"/>
  <sheetViews>
    <sheetView zoomScale="85" zoomScaleNormal="85" workbookViewId="0"/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30.81640625" style="5" bestFit="1" customWidth="1"/>
    <col min="4" max="4" width="7.7265625" style="5" bestFit="1" customWidth="1"/>
    <col min="5" max="5" width="7.7265625" style="5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46.1796875" style="5" bestFit="1" customWidth="1"/>
    <col min="10" max="10" width="16.36328125" style="5" bestFit="1" customWidth="1"/>
    <col min="11" max="13" width="17.542968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1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1" x14ac:dyDescent="0.35">
      <c r="A2" s="5" t="s">
        <v>20</v>
      </c>
      <c r="B2" s="5" t="s">
        <v>21</v>
      </c>
      <c r="C2" s="5" t="s">
        <v>93</v>
      </c>
      <c r="D2" s="5" t="s">
        <v>23</v>
      </c>
      <c r="E2" s="7">
        <v>69.75</v>
      </c>
      <c r="F2" s="7">
        <v>27.016667000000002</v>
      </c>
      <c r="G2" s="7">
        <v>80</v>
      </c>
      <c r="I2" s="5" t="s">
        <v>95</v>
      </c>
      <c r="J2" s="5" t="s">
        <v>41</v>
      </c>
      <c r="K2" s="42">
        <v>43739</v>
      </c>
      <c r="L2" s="43"/>
      <c r="M2" s="43"/>
      <c r="N2" s="44">
        <v>-8.6142872246227977</v>
      </c>
      <c r="O2" s="45">
        <v>-60.072516988865864</v>
      </c>
      <c r="P2" s="35">
        <f t="shared" ref="P2:P55" si="0">O2-(8*N2)</f>
        <v>8.8417808081165177</v>
      </c>
      <c r="Q2" s="7">
        <f>25.4*0.08</f>
        <v>2.032</v>
      </c>
      <c r="R2" s="7">
        <v>3.7</v>
      </c>
      <c r="S2" s="7">
        <v>1007.0958333333332</v>
      </c>
      <c r="T2" s="7">
        <v>87.166666666666671</v>
      </c>
      <c r="U2" s="7"/>
    </row>
    <row r="3" spans="1:21" x14ac:dyDescent="0.35">
      <c r="A3" s="5" t="s">
        <v>20</v>
      </c>
      <c r="B3" s="5" t="s">
        <v>21</v>
      </c>
      <c r="C3" s="5" t="s">
        <v>93</v>
      </c>
      <c r="D3" s="5" t="s">
        <v>23</v>
      </c>
      <c r="E3" s="7">
        <v>69.75</v>
      </c>
      <c r="F3" s="7">
        <v>27.016667000000002</v>
      </c>
      <c r="G3" s="7">
        <v>80</v>
      </c>
      <c r="I3" s="5" t="s">
        <v>96</v>
      </c>
      <c r="J3" s="5" t="s">
        <v>41</v>
      </c>
      <c r="K3" s="42">
        <v>43745</v>
      </c>
      <c r="L3" s="43">
        <v>43743</v>
      </c>
      <c r="M3" s="43">
        <v>43745</v>
      </c>
      <c r="N3" s="44">
        <v>-4.3360423188611126</v>
      </c>
      <c r="O3" s="45">
        <v>-35.615479846825409</v>
      </c>
      <c r="P3" s="35">
        <f t="shared" si="0"/>
        <v>-0.92714129593650796</v>
      </c>
      <c r="Q3" s="7">
        <f>25.4*0.01</f>
        <v>0.254</v>
      </c>
      <c r="R3" s="7">
        <v>2.6</v>
      </c>
      <c r="S3" s="7">
        <v>1016.9875000000001</v>
      </c>
      <c r="T3" s="7">
        <v>94</v>
      </c>
      <c r="U3" s="7"/>
    </row>
    <row r="4" spans="1:21" x14ac:dyDescent="0.35">
      <c r="A4" s="5" t="s">
        <v>20</v>
      </c>
      <c r="B4" s="5" t="s">
        <v>21</v>
      </c>
      <c r="C4" s="5" t="s">
        <v>93</v>
      </c>
      <c r="D4" s="5" t="s">
        <v>23</v>
      </c>
      <c r="E4" s="7">
        <v>69.75</v>
      </c>
      <c r="F4" s="7">
        <v>27.016667000000002</v>
      </c>
      <c r="G4" s="7">
        <v>80</v>
      </c>
      <c r="I4" s="5" t="s">
        <v>97</v>
      </c>
      <c r="J4" s="5" t="s">
        <v>41</v>
      </c>
      <c r="K4" s="42">
        <v>43747</v>
      </c>
      <c r="L4" s="43"/>
      <c r="M4" s="43"/>
      <c r="N4" s="44">
        <v>-6.3562438026772465</v>
      </c>
      <c r="O4" s="45">
        <v>-44.272800729278295</v>
      </c>
      <c r="P4" s="35">
        <f t="shared" si="0"/>
        <v>6.5771496921396775</v>
      </c>
      <c r="Q4" s="7">
        <f>25.4*0.02</f>
        <v>0.50800000000000001</v>
      </c>
      <c r="R4" s="7">
        <v>3</v>
      </c>
      <c r="S4" s="7">
        <v>1027.5083333333334</v>
      </c>
      <c r="T4" s="7">
        <v>84.541666666666671</v>
      </c>
      <c r="U4" s="7"/>
    </row>
    <row r="5" spans="1:21" x14ac:dyDescent="0.35">
      <c r="A5" s="5" t="s">
        <v>20</v>
      </c>
      <c r="B5" s="5" t="s">
        <v>21</v>
      </c>
      <c r="C5" s="5" t="s">
        <v>93</v>
      </c>
      <c r="D5" s="5" t="s">
        <v>23</v>
      </c>
      <c r="E5" s="7">
        <v>69.75</v>
      </c>
      <c r="F5" s="7">
        <v>27.016667000000002</v>
      </c>
      <c r="G5" s="7">
        <v>80</v>
      </c>
      <c r="I5" s="5" t="s">
        <v>98</v>
      </c>
      <c r="J5" s="5" t="s">
        <v>41</v>
      </c>
      <c r="K5" s="42">
        <v>43748</v>
      </c>
      <c r="L5" s="43"/>
      <c r="M5" s="43"/>
      <c r="N5" s="44">
        <v>-7.7230176205992791</v>
      </c>
      <c r="O5" s="45">
        <v>-49.486529956733833</v>
      </c>
      <c r="P5" s="35">
        <f t="shared" si="0"/>
        <v>12.2976110080604</v>
      </c>
      <c r="Q5" s="7">
        <f>25.4*0.03</f>
        <v>0.7619999999999999</v>
      </c>
      <c r="R5" s="7">
        <v>-3</v>
      </c>
      <c r="S5" s="7">
        <v>1027.8583333333333</v>
      </c>
      <c r="T5" s="7">
        <v>76.083333333333329</v>
      </c>
      <c r="U5" s="7"/>
    </row>
    <row r="6" spans="1:21" x14ac:dyDescent="0.35">
      <c r="A6" s="5" t="s">
        <v>20</v>
      </c>
      <c r="B6" s="5" t="s">
        <v>21</v>
      </c>
      <c r="C6" s="5" t="s">
        <v>93</v>
      </c>
      <c r="D6" s="5" t="s">
        <v>23</v>
      </c>
      <c r="E6" s="7">
        <v>69.75</v>
      </c>
      <c r="F6" s="7">
        <v>27.016667000000002</v>
      </c>
      <c r="G6" s="7">
        <v>80</v>
      </c>
      <c r="I6" s="5" t="s">
        <v>99</v>
      </c>
      <c r="J6" s="5" t="s">
        <v>100</v>
      </c>
      <c r="K6" s="42">
        <v>43749</v>
      </c>
      <c r="L6" s="43"/>
      <c r="M6" s="43"/>
      <c r="N6" s="44">
        <v>-12.79119830700574</v>
      </c>
      <c r="O6" s="45">
        <v>-87.511171302899214</v>
      </c>
      <c r="P6" s="35">
        <f t="shared" si="0"/>
        <v>14.818415153146702</v>
      </c>
      <c r="Q6" s="7">
        <v>2</v>
      </c>
      <c r="R6" s="7">
        <v>-0.2</v>
      </c>
      <c r="S6" s="7">
        <v>1025.4333333333334</v>
      </c>
      <c r="T6" s="7">
        <v>76.375</v>
      </c>
      <c r="U6" s="7"/>
    </row>
    <row r="7" spans="1:21" x14ac:dyDescent="0.35">
      <c r="A7" s="5" t="s">
        <v>20</v>
      </c>
      <c r="B7" s="5" t="s">
        <v>21</v>
      </c>
      <c r="C7" s="5" t="s">
        <v>93</v>
      </c>
      <c r="D7" s="5" t="s">
        <v>23</v>
      </c>
      <c r="E7" s="7">
        <v>69.75</v>
      </c>
      <c r="F7" s="7">
        <v>27.016667000000002</v>
      </c>
      <c r="G7" s="7">
        <v>80</v>
      </c>
      <c r="I7" s="5" t="s">
        <v>101</v>
      </c>
      <c r="J7" s="5" t="s">
        <v>100</v>
      </c>
      <c r="K7" s="42">
        <v>43754</v>
      </c>
      <c r="L7" s="43"/>
      <c r="M7" s="43"/>
      <c r="N7" s="44">
        <v>-16.106613852093222</v>
      </c>
      <c r="O7" s="45">
        <v>-118.22370291357554</v>
      </c>
      <c r="P7" s="35">
        <f t="shared" si="0"/>
        <v>10.62920790317024</v>
      </c>
      <c r="Q7" s="7">
        <v>10</v>
      </c>
      <c r="R7" s="7">
        <v>-0.9</v>
      </c>
      <c r="S7" s="7">
        <v>1025.1208333333334</v>
      </c>
      <c r="T7" s="7">
        <v>92.25</v>
      </c>
      <c r="U7" s="7"/>
    </row>
    <row r="8" spans="1:21" x14ac:dyDescent="0.35">
      <c r="A8" s="5" t="s">
        <v>20</v>
      </c>
      <c r="B8" s="5" t="s">
        <v>21</v>
      </c>
      <c r="C8" s="5" t="s">
        <v>93</v>
      </c>
      <c r="D8" s="5" t="s">
        <v>23</v>
      </c>
      <c r="E8" s="7">
        <v>69.75</v>
      </c>
      <c r="F8" s="7">
        <v>27.016667000000002</v>
      </c>
      <c r="G8" s="7">
        <v>80</v>
      </c>
      <c r="I8" s="5" t="s">
        <v>102</v>
      </c>
      <c r="J8" s="5" t="s">
        <v>100</v>
      </c>
      <c r="K8" s="42">
        <v>43761</v>
      </c>
      <c r="L8" s="43">
        <v>43760</v>
      </c>
      <c r="M8" s="43">
        <v>43761</v>
      </c>
      <c r="N8" s="44">
        <v>-26.26</v>
      </c>
      <c r="O8" s="45">
        <v>-203.54</v>
      </c>
      <c r="P8" s="35">
        <f t="shared" si="0"/>
        <v>6.5400000000000205</v>
      </c>
      <c r="Q8" s="7">
        <v>28</v>
      </c>
      <c r="R8" s="7">
        <v>-1.5</v>
      </c>
      <c r="S8" s="7">
        <v>1021.8166666666669</v>
      </c>
      <c r="T8" s="7">
        <v>95.541666666666671</v>
      </c>
      <c r="U8" s="7"/>
    </row>
    <row r="9" spans="1:21" x14ac:dyDescent="0.35">
      <c r="A9" s="5" t="s">
        <v>20</v>
      </c>
      <c r="B9" s="5" t="s">
        <v>21</v>
      </c>
      <c r="C9" s="5" t="s">
        <v>93</v>
      </c>
      <c r="D9" s="5" t="s">
        <v>23</v>
      </c>
      <c r="E9" s="7">
        <v>69.75</v>
      </c>
      <c r="F9" s="7">
        <v>27.016667000000002</v>
      </c>
      <c r="G9" s="7">
        <v>80</v>
      </c>
      <c r="I9" s="5" t="s">
        <v>103</v>
      </c>
      <c r="J9" s="5" t="s">
        <v>100</v>
      </c>
      <c r="K9" s="42">
        <v>43762</v>
      </c>
      <c r="L9" s="43">
        <v>43761</v>
      </c>
      <c r="M9" s="43">
        <v>43762</v>
      </c>
      <c r="N9" s="44">
        <v>-20.72</v>
      </c>
      <c r="O9" s="45">
        <v>-151.07</v>
      </c>
      <c r="P9" s="35">
        <f t="shared" si="0"/>
        <v>14.689999999999998</v>
      </c>
      <c r="Q9" s="7">
        <v>58</v>
      </c>
      <c r="R9" s="7">
        <v>-8.5</v>
      </c>
      <c r="S9" s="7">
        <v>1017.0708333333333</v>
      </c>
      <c r="T9" s="7">
        <v>96.708333333333329</v>
      </c>
      <c r="U9" s="7"/>
    </row>
    <row r="10" spans="1:21" x14ac:dyDescent="0.35">
      <c r="A10" s="5" t="s">
        <v>20</v>
      </c>
      <c r="B10" s="5" t="s">
        <v>21</v>
      </c>
      <c r="C10" s="5" t="s">
        <v>93</v>
      </c>
      <c r="D10" s="5" t="s">
        <v>23</v>
      </c>
      <c r="E10" s="7">
        <v>69.75</v>
      </c>
      <c r="F10" s="7">
        <v>27.016667000000002</v>
      </c>
      <c r="G10" s="7">
        <v>80</v>
      </c>
      <c r="I10" s="5" t="s">
        <v>104</v>
      </c>
      <c r="J10" s="5" t="s">
        <v>100</v>
      </c>
      <c r="K10" s="42">
        <v>43763</v>
      </c>
      <c r="L10" s="43">
        <v>43762</v>
      </c>
      <c r="M10" s="43">
        <v>43763</v>
      </c>
      <c r="N10" s="44">
        <v>-22.75</v>
      </c>
      <c r="O10" s="45">
        <v>-173.42</v>
      </c>
      <c r="P10" s="35">
        <f t="shared" si="0"/>
        <v>8.5800000000000125</v>
      </c>
      <c r="Q10" s="7">
        <v>62</v>
      </c>
      <c r="R10" s="7">
        <v>-1.7</v>
      </c>
      <c r="S10" s="7">
        <v>1011.0916666666667</v>
      </c>
      <c r="T10" s="7">
        <v>95.875</v>
      </c>
      <c r="U10" s="7"/>
    </row>
    <row r="11" spans="1:21" x14ac:dyDescent="0.35">
      <c r="A11" s="5" t="s">
        <v>20</v>
      </c>
      <c r="B11" s="5" t="s">
        <v>21</v>
      </c>
      <c r="C11" s="5" t="s">
        <v>93</v>
      </c>
      <c r="D11" s="5" t="s">
        <v>23</v>
      </c>
      <c r="E11" s="7">
        <v>69.75</v>
      </c>
      <c r="F11" s="7">
        <v>27.016667000000002</v>
      </c>
      <c r="G11" s="7">
        <v>80</v>
      </c>
      <c r="I11" s="5" t="s">
        <v>105</v>
      </c>
      <c r="J11" s="5" t="s">
        <v>100</v>
      </c>
      <c r="K11" s="42">
        <v>43782</v>
      </c>
      <c r="L11" s="43">
        <v>43780</v>
      </c>
      <c r="M11" s="43">
        <v>43782</v>
      </c>
      <c r="N11" s="44">
        <v>-19.59</v>
      </c>
      <c r="O11" s="45">
        <v>-131.93</v>
      </c>
      <c r="P11" s="35">
        <f t="shared" si="0"/>
        <v>24.789999999999992</v>
      </c>
      <c r="Q11" s="7">
        <v>8</v>
      </c>
      <c r="R11" s="7">
        <v>-7.9</v>
      </c>
      <c r="S11" s="7">
        <v>1013.2458333333331</v>
      </c>
      <c r="T11" s="7">
        <v>96.208333333333329</v>
      </c>
      <c r="U11" s="7"/>
    </row>
    <row r="12" spans="1:21" x14ac:dyDescent="0.35">
      <c r="A12" s="5" t="s">
        <v>20</v>
      </c>
      <c r="B12" s="5" t="s">
        <v>21</v>
      </c>
      <c r="C12" s="5" t="s">
        <v>93</v>
      </c>
      <c r="D12" s="5" t="s">
        <v>23</v>
      </c>
      <c r="E12" s="7">
        <v>69.75</v>
      </c>
      <c r="F12" s="7">
        <v>27.016667000000002</v>
      </c>
      <c r="G12" s="7">
        <v>80</v>
      </c>
      <c r="I12" s="5" t="s">
        <v>106</v>
      </c>
      <c r="J12" s="5" t="s">
        <v>100</v>
      </c>
      <c r="K12" s="42">
        <v>43784</v>
      </c>
      <c r="L12" s="43">
        <v>43782</v>
      </c>
      <c r="M12" s="43">
        <v>43784</v>
      </c>
      <c r="N12" s="44">
        <v>-25.91</v>
      </c>
      <c r="O12" s="45">
        <v>-194.16</v>
      </c>
      <c r="P12" s="35">
        <f t="shared" si="0"/>
        <v>13.120000000000005</v>
      </c>
      <c r="Q12" s="7">
        <v>87</v>
      </c>
      <c r="R12" s="7">
        <v>-1.8</v>
      </c>
      <c r="S12" s="7">
        <v>1014.0749999999999</v>
      </c>
      <c r="T12" s="7">
        <v>96.166666666666671</v>
      </c>
      <c r="U12" s="7"/>
    </row>
    <row r="13" spans="1:21" x14ac:dyDescent="0.35">
      <c r="A13" s="5" t="s">
        <v>20</v>
      </c>
      <c r="B13" s="5" t="s">
        <v>21</v>
      </c>
      <c r="C13" s="5" t="s">
        <v>93</v>
      </c>
      <c r="D13" s="5" t="s">
        <v>23</v>
      </c>
      <c r="E13" s="7">
        <v>69.75</v>
      </c>
      <c r="F13" s="7">
        <v>27.016667000000002</v>
      </c>
      <c r="G13" s="7">
        <v>80</v>
      </c>
      <c r="I13" s="5" t="s">
        <v>107</v>
      </c>
      <c r="J13" s="5" t="s">
        <v>100</v>
      </c>
      <c r="K13" s="42">
        <v>43787</v>
      </c>
      <c r="L13" s="43">
        <v>43784</v>
      </c>
      <c r="M13" s="43">
        <v>43787</v>
      </c>
      <c r="N13" s="44">
        <v>-19.25</v>
      </c>
      <c r="O13" s="45">
        <v>-139.51</v>
      </c>
      <c r="P13" s="35">
        <f t="shared" si="0"/>
        <v>14.490000000000009</v>
      </c>
      <c r="Q13" s="7">
        <v>3</v>
      </c>
      <c r="R13" s="7">
        <v>-10.9</v>
      </c>
      <c r="S13" s="7">
        <v>1028.2541666666668</v>
      </c>
      <c r="T13" s="7">
        <v>94.166666666666671</v>
      </c>
      <c r="U13" s="7"/>
    </row>
    <row r="14" spans="1:21" x14ac:dyDescent="0.35">
      <c r="A14" s="5" t="s">
        <v>20</v>
      </c>
      <c r="B14" s="5" t="s">
        <v>21</v>
      </c>
      <c r="C14" s="5" t="s">
        <v>93</v>
      </c>
      <c r="D14" s="5" t="s">
        <v>23</v>
      </c>
      <c r="E14" s="7">
        <v>69.75</v>
      </c>
      <c r="F14" s="7">
        <v>27.016667000000002</v>
      </c>
      <c r="G14" s="7">
        <v>80</v>
      </c>
      <c r="I14" s="5" t="s">
        <v>108</v>
      </c>
      <c r="J14" s="5" t="s">
        <v>100</v>
      </c>
      <c r="K14" s="42">
        <v>43788</v>
      </c>
      <c r="L14" s="43">
        <v>43787</v>
      </c>
      <c r="M14" s="43">
        <v>43788</v>
      </c>
      <c r="N14" s="44">
        <v>-15.8</v>
      </c>
      <c r="O14" s="45">
        <v>-114.6</v>
      </c>
      <c r="P14" s="35">
        <f t="shared" si="0"/>
        <v>11.800000000000011</v>
      </c>
      <c r="Q14" s="7">
        <v>1</v>
      </c>
      <c r="R14" s="7">
        <v>-1.9</v>
      </c>
      <c r="S14" s="7">
        <v>1027.7041666666667</v>
      </c>
      <c r="T14" s="7">
        <v>98.166666666666671</v>
      </c>
      <c r="U14" s="7"/>
    </row>
    <row r="15" spans="1:21" x14ac:dyDescent="0.35">
      <c r="A15" s="5" t="s">
        <v>20</v>
      </c>
      <c r="B15" s="5" t="s">
        <v>21</v>
      </c>
      <c r="C15" s="5" t="s">
        <v>93</v>
      </c>
      <c r="D15" s="5" t="s">
        <v>23</v>
      </c>
      <c r="E15" s="7">
        <v>69.75</v>
      </c>
      <c r="F15" s="7">
        <v>27.016667000000002</v>
      </c>
      <c r="G15" s="7">
        <v>80</v>
      </c>
      <c r="I15" s="5" t="s">
        <v>109</v>
      </c>
      <c r="J15" s="5" t="s">
        <v>100</v>
      </c>
      <c r="K15" s="42">
        <v>43794</v>
      </c>
      <c r="L15" s="43">
        <v>43791</v>
      </c>
      <c r="M15" s="43">
        <v>43794</v>
      </c>
      <c r="N15" s="44">
        <v>-13.39</v>
      </c>
      <c r="O15" s="45">
        <v>-93.13</v>
      </c>
      <c r="P15" s="35">
        <f t="shared" si="0"/>
        <v>13.990000000000009</v>
      </c>
      <c r="Q15" s="7">
        <v>5</v>
      </c>
      <c r="R15" s="7">
        <v>-6.3</v>
      </c>
      <c r="S15" s="7">
        <v>1011.0916666666667</v>
      </c>
      <c r="T15" s="7">
        <v>95.875</v>
      </c>
      <c r="U15" s="7"/>
    </row>
    <row r="16" spans="1:21" x14ac:dyDescent="0.35">
      <c r="A16" s="5" t="s">
        <v>20</v>
      </c>
      <c r="B16" s="5" t="s">
        <v>21</v>
      </c>
      <c r="C16" s="5" t="s">
        <v>93</v>
      </c>
      <c r="D16" s="5" t="s">
        <v>23</v>
      </c>
      <c r="E16" s="7">
        <v>69.75</v>
      </c>
      <c r="F16" s="7">
        <v>27.016667000000002</v>
      </c>
      <c r="G16" s="7">
        <v>80</v>
      </c>
      <c r="I16" s="5" t="s">
        <v>110</v>
      </c>
      <c r="J16" s="5" t="s">
        <v>100</v>
      </c>
      <c r="K16" s="42">
        <v>43796</v>
      </c>
      <c r="L16" s="43">
        <v>43795</v>
      </c>
      <c r="M16" s="43">
        <v>43796</v>
      </c>
      <c r="N16" s="44">
        <v>-14.85</v>
      </c>
      <c r="O16" s="45">
        <v>-103.97</v>
      </c>
      <c r="P16" s="35">
        <f t="shared" si="0"/>
        <v>14.829999999999998</v>
      </c>
      <c r="Q16" s="7">
        <v>7</v>
      </c>
      <c r="R16" s="7">
        <v>-9.8000000000000007</v>
      </c>
      <c r="S16" s="7">
        <v>1006.7999999999998</v>
      </c>
      <c r="T16" s="7">
        <v>90.166666666666671</v>
      </c>
      <c r="U16" s="7"/>
    </row>
    <row r="17" spans="1:21" x14ac:dyDescent="0.35">
      <c r="A17" s="5" t="s">
        <v>20</v>
      </c>
      <c r="B17" s="5" t="s">
        <v>21</v>
      </c>
      <c r="C17" s="5" t="s">
        <v>93</v>
      </c>
      <c r="D17" s="5" t="s">
        <v>23</v>
      </c>
      <c r="E17" s="7">
        <v>69.75</v>
      </c>
      <c r="F17" s="7">
        <v>27.016667000000002</v>
      </c>
      <c r="G17" s="7">
        <v>80</v>
      </c>
      <c r="I17" s="5" t="s">
        <v>111</v>
      </c>
      <c r="J17" s="5" t="s">
        <v>100</v>
      </c>
      <c r="K17" s="42">
        <v>43801</v>
      </c>
      <c r="L17" s="43">
        <v>43798</v>
      </c>
      <c r="M17" s="43">
        <v>43801</v>
      </c>
      <c r="N17" s="44">
        <v>-24.22</v>
      </c>
      <c r="O17" s="45">
        <v>-181.32</v>
      </c>
      <c r="P17" s="35">
        <f t="shared" si="0"/>
        <v>12.439999999999998</v>
      </c>
      <c r="Q17" s="7">
        <v>138</v>
      </c>
      <c r="R17" s="7">
        <v>-5.0999999999999996</v>
      </c>
      <c r="S17" s="7">
        <v>983.15416666666658</v>
      </c>
      <c r="T17" s="7">
        <v>94.083333333333329</v>
      </c>
      <c r="U17" s="7"/>
    </row>
    <row r="18" spans="1:21" x14ac:dyDescent="0.35">
      <c r="A18" s="5" t="s">
        <v>20</v>
      </c>
      <c r="B18" s="5" t="s">
        <v>21</v>
      </c>
      <c r="C18" s="5" t="s">
        <v>93</v>
      </c>
      <c r="D18" s="5" t="s">
        <v>23</v>
      </c>
      <c r="E18" s="7">
        <v>69.75</v>
      </c>
      <c r="F18" s="7">
        <v>27.016667000000002</v>
      </c>
      <c r="G18" s="7">
        <v>80</v>
      </c>
      <c r="I18" s="5" t="s">
        <v>112</v>
      </c>
      <c r="J18" s="5" t="s">
        <v>100</v>
      </c>
      <c r="K18" s="42">
        <v>43802</v>
      </c>
      <c r="L18" s="43">
        <v>43801</v>
      </c>
      <c r="M18" s="43">
        <v>43802</v>
      </c>
      <c r="N18" s="44">
        <v>-11.57</v>
      </c>
      <c r="O18" s="45">
        <v>-79.650000000000006</v>
      </c>
      <c r="P18" s="35">
        <f t="shared" si="0"/>
        <v>12.909999999999997</v>
      </c>
      <c r="Q18" s="7">
        <v>15</v>
      </c>
      <c r="R18" s="7">
        <v>-6.1</v>
      </c>
      <c r="S18" s="7">
        <v>993.1875</v>
      </c>
      <c r="T18" s="7">
        <v>91.625</v>
      </c>
      <c r="U18" s="7"/>
    </row>
    <row r="19" spans="1:21" x14ac:dyDescent="0.35">
      <c r="A19" s="5" t="s">
        <v>20</v>
      </c>
      <c r="B19" s="5" t="s">
        <v>21</v>
      </c>
      <c r="C19" s="5" t="s">
        <v>93</v>
      </c>
      <c r="D19" s="5" t="s">
        <v>23</v>
      </c>
      <c r="E19" s="7">
        <v>69.75</v>
      </c>
      <c r="F19" s="7">
        <v>27.016667000000002</v>
      </c>
      <c r="G19" s="7">
        <v>80</v>
      </c>
      <c r="I19" s="5" t="s">
        <v>113</v>
      </c>
      <c r="J19" s="5" t="s">
        <v>100</v>
      </c>
      <c r="K19" s="42">
        <v>43808</v>
      </c>
      <c r="L19" s="43">
        <v>43805</v>
      </c>
      <c r="M19" s="43">
        <v>43808</v>
      </c>
      <c r="N19" s="44">
        <v>-20.38</v>
      </c>
      <c r="O19" s="45">
        <v>-156.13</v>
      </c>
      <c r="P19" s="35">
        <f t="shared" si="0"/>
        <v>6.9099999999999966</v>
      </c>
      <c r="Q19" s="7">
        <v>175</v>
      </c>
      <c r="R19" s="7">
        <v>-27</v>
      </c>
      <c r="S19" s="7">
        <v>984.9458333333331</v>
      </c>
      <c r="T19" s="7">
        <v>77.458333333333329</v>
      </c>
      <c r="U19" s="7"/>
    </row>
    <row r="20" spans="1:21" x14ac:dyDescent="0.35">
      <c r="A20" s="5" t="s">
        <v>20</v>
      </c>
      <c r="B20" s="5" t="s">
        <v>21</v>
      </c>
      <c r="C20" s="5" t="s">
        <v>93</v>
      </c>
      <c r="D20" s="5" t="s">
        <v>23</v>
      </c>
      <c r="E20" s="7">
        <v>69.75</v>
      </c>
      <c r="F20" s="7">
        <v>27.016667000000002</v>
      </c>
      <c r="G20" s="7">
        <v>80</v>
      </c>
      <c r="I20" s="5" t="s">
        <v>114</v>
      </c>
      <c r="J20" s="5" t="s">
        <v>100</v>
      </c>
      <c r="K20" s="42">
        <v>43812</v>
      </c>
      <c r="L20" s="43">
        <v>43810</v>
      </c>
      <c r="M20" s="43">
        <v>43812</v>
      </c>
      <c r="N20" s="44">
        <v>-23.46</v>
      </c>
      <c r="O20" s="45">
        <v>-181.69</v>
      </c>
      <c r="P20" s="35">
        <f t="shared" si="0"/>
        <v>5.9900000000000091</v>
      </c>
      <c r="Q20" s="7">
        <v>36</v>
      </c>
      <c r="R20" s="7">
        <v>0.3</v>
      </c>
      <c r="S20" s="7">
        <v>993.11249999999984</v>
      </c>
      <c r="T20" s="7">
        <v>91.833333333333329</v>
      </c>
      <c r="U20" s="7"/>
    </row>
    <row r="21" spans="1:21" x14ac:dyDescent="0.35">
      <c r="A21" s="5" t="s">
        <v>20</v>
      </c>
      <c r="B21" s="5" t="s">
        <v>21</v>
      </c>
      <c r="C21" s="5" t="s">
        <v>93</v>
      </c>
      <c r="D21" s="5" t="s">
        <v>23</v>
      </c>
      <c r="E21" s="7">
        <v>69.75</v>
      </c>
      <c r="F21" s="7">
        <v>27.016667000000002</v>
      </c>
      <c r="G21" s="7">
        <v>80</v>
      </c>
      <c r="I21" s="5" t="s">
        <v>115</v>
      </c>
      <c r="J21" s="5" t="s">
        <v>100</v>
      </c>
      <c r="K21" s="42">
        <v>43815</v>
      </c>
      <c r="L21" s="43">
        <v>43814</v>
      </c>
      <c r="M21" s="43">
        <v>43815</v>
      </c>
      <c r="N21" s="44">
        <v>-12</v>
      </c>
      <c r="O21" s="45">
        <v>-85.92</v>
      </c>
      <c r="P21" s="35">
        <f t="shared" si="0"/>
        <v>10.079999999999998</v>
      </c>
      <c r="Q21" s="7">
        <v>2</v>
      </c>
      <c r="R21" s="7">
        <v>-1.1000000000000001</v>
      </c>
      <c r="S21" s="7">
        <v>998.72500000000025</v>
      </c>
      <c r="T21" s="7">
        <v>94.375</v>
      </c>
      <c r="U21" s="7"/>
    </row>
    <row r="22" spans="1:21" x14ac:dyDescent="0.35">
      <c r="A22" s="5" t="s">
        <v>20</v>
      </c>
      <c r="B22" s="5" t="s">
        <v>21</v>
      </c>
      <c r="C22" s="5" t="s">
        <v>93</v>
      </c>
      <c r="D22" s="5" t="s">
        <v>23</v>
      </c>
      <c r="E22" s="7">
        <v>69.75</v>
      </c>
      <c r="F22" s="7">
        <v>27.016667000000002</v>
      </c>
      <c r="G22" s="7">
        <v>80</v>
      </c>
      <c r="I22" s="5" t="s">
        <v>116</v>
      </c>
      <c r="J22" s="5" t="s">
        <v>100</v>
      </c>
      <c r="K22" s="42">
        <v>43817</v>
      </c>
      <c r="L22" s="43">
        <v>43815</v>
      </c>
      <c r="M22" s="43">
        <v>43817</v>
      </c>
      <c r="N22" s="44">
        <v>-19.79</v>
      </c>
      <c r="O22" s="45">
        <v>-146.22</v>
      </c>
      <c r="P22" s="35">
        <f t="shared" si="0"/>
        <v>12.099999999999994</v>
      </c>
      <c r="Q22" s="7">
        <v>58</v>
      </c>
      <c r="R22" s="7">
        <v>-10</v>
      </c>
      <c r="S22" s="7">
        <v>994.29166666666686</v>
      </c>
      <c r="T22" s="7">
        <v>93.75</v>
      </c>
      <c r="U22" s="7"/>
    </row>
    <row r="23" spans="1:21" x14ac:dyDescent="0.35">
      <c r="A23" s="5" t="s">
        <v>20</v>
      </c>
      <c r="B23" s="5" t="s">
        <v>21</v>
      </c>
      <c r="C23" s="5" t="s">
        <v>93</v>
      </c>
      <c r="D23" s="5" t="s">
        <v>23</v>
      </c>
      <c r="E23" s="7">
        <v>69.75</v>
      </c>
      <c r="F23" s="7">
        <v>27.016667000000002</v>
      </c>
      <c r="G23" s="7">
        <v>80</v>
      </c>
      <c r="I23" s="5" t="s">
        <v>117</v>
      </c>
      <c r="J23" s="5" t="s">
        <v>100</v>
      </c>
      <c r="K23" s="42">
        <v>43819</v>
      </c>
      <c r="L23" s="43">
        <v>43818</v>
      </c>
      <c r="M23" s="43">
        <v>43819</v>
      </c>
      <c r="N23" s="44">
        <v>-21.5</v>
      </c>
      <c r="O23" s="45">
        <v>-156.66999999999999</v>
      </c>
      <c r="P23" s="35">
        <f t="shared" si="0"/>
        <v>15.330000000000013</v>
      </c>
      <c r="Q23" s="7">
        <v>45</v>
      </c>
      <c r="R23" s="7">
        <v>-21.3</v>
      </c>
      <c r="S23" s="7">
        <v>1008.0166666666669</v>
      </c>
      <c r="T23" s="7">
        <v>90.291666666666671</v>
      </c>
      <c r="U23" s="7"/>
    </row>
    <row r="24" spans="1:21" x14ac:dyDescent="0.35">
      <c r="A24" s="5" t="s">
        <v>20</v>
      </c>
      <c r="B24" s="5" t="s">
        <v>21</v>
      </c>
      <c r="C24" s="5" t="s">
        <v>93</v>
      </c>
      <c r="D24" s="5" t="s">
        <v>23</v>
      </c>
      <c r="E24" s="7">
        <v>69.75</v>
      </c>
      <c r="F24" s="7">
        <v>27.016667000000002</v>
      </c>
      <c r="G24" s="7">
        <v>80</v>
      </c>
      <c r="I24" s="5" t="s">
        <v>118</v>
      </c>
      <c r="J24" s="5" t="s">
        <v>100</v>
      </c>
      <c r="K24" s="42">
        <v>43838</v>
      </c>
      <c r="L24" s="43">
        <v>43836</v>
      </c>
      <c r="M24" s="43">
        <v>43838</v>
      </c>
      <c r="N24" s="44">
        <v>-17.510000000000002</v>
      </c>
      <c r="O24" s="45">
        <v>-133.58000000000001</v>
      </c>
      <c r="P24" s="35">
        <f t="shared" si="0"/>
        <v>6.5</v>
      </c>
      <c r="Q24" s="7">
        <v>40</v>
      </c>
      <c r="R24" s="7">
        <v>0.1</v>
      </c>
      <c r="S24" s="7">
        <v>974.4</v>
      </c>
      <c r="T24" s="7">
        <v>97.333333333333329</v>
      </c>
      <c r="U24" s="7"/>
    </row>
    <row r="25" spans="1:21" x14ac:dyDescent="0.35">
      <c r="A25" s="5" t="s">
        <v>20</v>
      </c>
      <c r="B25" s="5" t="s">
        <v>21</v>
      </c>
      <c r="C25" s="5" t="s">
        <v>93</v>
      </c>
      <c r="D25" s="5" t="s">
        <v>23</v>
      </c>
      <c r="E25" s="7">
        <v>69.75</v>
      </c>
      <c r="F25" s="7">
        <v>27.016667000000002</v>
      </c>
      <c r="G25" s="7">
        <v>80</v>
      </c>
      <c r="I25" s="5" t="s">
        <v>119</v>
      </c>
      <c r="J25" s="5" t="s">
        <v>100</v>
      </c>
      <c r="K25" s="42">
        <v>43843</v>
      </c>
      <c r="L25" s="43">
        <v>43840</v>
      </c>
      <c r="M25" s="43">
        <v>43843</v>
      </c>
      <c r="N25" s="44">
        <v>-17.32</v>
      </c>
      <c r="O25" s="45">
        <v>-125.95</v>
      </c>
      <c r="P25" s="35">
        <f t="shared" si="0"/>
        <v>12.61</v>
      </c>
      <c r="Q25" s="7">
        <v>90</v>
      </c>
      <c r="R25" s="7">
        <v>-17.100000000000001</v>
      </c>
      <c r="S25" s="7">
        <v>986.14999999999975</v>
      </c>
      <c r="T25" s="7">
        <v>87.125</v>
      </c>
      <c r="U25" s="7"/>
    </row>
    <row r="26" spans="1:21" x14ac:dyDescent="0.35">
      <c r="A26" s="5" t="s">
        <v>20</v>
      </c>
      <c r="B26" s="5" t="s">
        <v>21</v>
      </c>
      <c r="C26" s="5" t="s">
        <v>93</v>
      </c>
      <c r="D26" s="5" t="s">
        <v>23</v>
      </c>
      <c r="E26" s="7">
        <v>69.75</v>
      </c>
      <c r="F26" s="7">
        <v>27.016667000000002</v>
      </c>
      <c r="G26" s="7">
        <v>80</v>
      </c>
      <c r="I26" s="5" t="s">
        <v>120</v>
      </c>
      <c r="J26" s="5" t="s">
        <v>100</v>
      </c>
      <c r="K26" s="42">
        <v>43845</v>
      </c>
      <c r="L26" s="43">
        <v>43844</v>
      </c>
      <c r="M26" s="43">
        <v>43845</v>
      </c>
      <c r="N26" s="44">
        <v>-25.52</v>
      </c>
      <c r="O26" s="45">
        <v>-197.63</v>
      </c>
      <c r="P26" s="35">
        <f t="shared" si="0"/>
        <v>6.5300000000000011</v>
      </c>
      <c r="Q26" s="7">
        <v>20</v>
      </c>
      <c r="R26" s="7">
        <v>-4.8</v>
      </c>
      <c r="S26" s="7">
        <v>985.5916666666667</v>
      </c>
      <c r="T26" s="7">
        <v>93.666666666666671</v>
      </c>
      <c r="U26" s="7"/>
    </row>
    <row r="27" spans="1:21" x14ac:dyDescent="0.35">
      <c r="A27" s="5" t="s">
        <v>20</v>
      </c>
      <c r="B27" s="5" t="s">
        <v>21</v>
      </c>
      <c r="C27" s="5" t="s">
        <v>93</v>
      </c>
      <c r="D27" s="5" t="s">
        <v>23</v>
      </c>
      <c r="E27" s="7">
        <v>69.75</v>
      </c>
      <c r="F27" s="7">
        <v>27.016667000000002</v>
      </c>
      <c r="G27" s="7">
        <v>80</v>
      </c>
      <c r="I27" s="5" t="s">
        <v>121</v>
      </c>
      <c r="J27" s="5" t="s">
        <v>100</v>
      </c>
      <c r="K27" s="42">
        <v>43857</v>
      </c>
      <c r="L27" s="43">
        <v>43854</v>
      </c>
      <c r="M27" s="43">
        <v>43857</v>
      </c>
      <c r="N27" s="44">
        <v>-16.13</v>
      </c>
      <c r="O27" s="45">
        <v>-115.39</v>
      </c>
      <c r="P27" s="35">
        <f t="shared" si="0"/>
        <v>13.649999999999991</v>
      </c>
      <c r="Q27" s="7">
        <v>150</v>
      </c>
      <c r="R27" s="7">
        <v>-31.3</v>
      </c>
      <c r="S27" s="7">
        <v>1018.7916666666666</v>
      </c>
      <c r="T27" s="7">
        <v>73.291666666666671</v>
      </c>
      <c r="U27" s="7"/>
    </row>
    <row r="28" spans="1:21" x14ac:dyDescent="0.35">
      <c r="A28" s="5" t="s">
        <v>20</v>
      </c>
      <c r="B28" s="5" t="s">
        <v>21</v>
      </c>
      <c r="C28" s="5" t="s">
        <v>93</v>
      </c>
      <c r="D28" s="5" t="s">
        <v>23</v>
      </c>
      <c r="E28" s="7">
        <v>69.75</v>
      </c>
      <c r="F28" s="7">
        <v>27.016667000000002</v>
      </c>
      <c r="G28" s="7">
        <v>80</v>
      </c>
      <c r="I28" s="5" t="s">
        <v>122</v>
      </c>
      <c r="J28" s="5" t="s">
        <v>100</v>
      </c>
      <c r="K28" s="42">
        <v>43861</v>
      </c>
      <c r="L28" s="43">
        <v>43858</v>
      </c>
      <c r="M28" s="43">
        <v>43861</v>
      </c>
      <c r="N28" s="44">
        <v>-18.39</v>
      </c>
      <c r="O28" s="45">
        <v>-134.94</v>
      </c>
      <c r="P28" s="35">
        <f t="shared" si="0"/>
        <v>12.180000000000007</v>
      </c>
      <c r="Q28" s="7">
        <v>18</v>
      </c>
      <c r="R28" s="7">
        <v>-10.199999999999999</v>
      </c>
      <c r="S28" s="7">
        <v>1006.2791666666667</v>
      </c>
      <c r="T28" s="7">
        <v>85.25</v>
      </c>
      <c r="U28" s="7"/>
    </row>
    <row r="29" spans="1:21" x14ac:dyDescent="0.35">
      <c r="A29" s="5" t="s">
        <v>20</v>
      </c>
      <c r="B29" s="5" t="s">
        <v>21</v>
      </c>
      <c r="C29" s="5" t="s">
        <v>93</v>
      </c>
      <c r="D29" s="5" t="s">
        <v>23</v>
      </c>
      <c r="E29" s="7">
        <v>69.75</v>
      </c>
      <c r="F29" s="7">
        <v>27.016667000000002</v>
      </c>
      <c r="G29" s="7">
        <v>80</v>
      </c>
      <c r="I29" s="5" t="s">
        <v>123</v>
      </c>
      <c r="J29" s="5" t="s">
        <v>100</v>
      </c>
      <c r="K29" s="42">
        <v>43865</v>
      </c>
      <c r="L29" s="43">
        <v>43862</v>
      </c>
      <c r="M29" s="43">
        <v>43834</v>
      </c>
      <c r="N29" s="44">
        <v>-25.25</v>
      </c>
      <c r="O29" s="45">
        <v>-194.45</v>
      </c>
      <c r="P29" s="35">
        <f t="shared" si="0"/>
        <v>7.5500000000000114</v>
      </c>
      <c r="Q29" s="7">
        <v>70</v>
      </c>
      <c r="R29" s="7">
        <v>-20.2</v>
      </c>
      <c r="S29" s="7">
        <v>995.93333333333305</v>
      </c>
      <c r="T29" s="7">
        <v>86.333333333333329</v>
      </c>
      <c r="U29" s="7"/>
    </row>
    <row r="30" spans="1:21" x14ac:dyDescent="0.35">
      <c r="A30" s="5" t="s">
        <v>20</v>
      </c>
      <c r="B30" s="5" t="s">
        <v>21</v>
      </c>
      <c r="C30" s="5" t="s">
        <v>93</v>
      </c>
      <c r="D30" s="5" t="s">
        <v>23</v>
      </c>
      <c r="E30" s="7">
        <v>69.75</v>
      </c>
      <c r="F30" s="7">
        <v>27.016667000000002</v>
      </c>
      <c r="G30" s="7">
        <v>80</v>
      </c>
      <c r="I30" s="5" t="s">
        <v>124</v>
      </c>
      <c r="J30" s="5" t="s">
        <v>100</v>
      </c>
      <c r="K30" s="42">
        <v>43871</v>
      </c>
      <c r="L30" s="43">
        <v>43865</v>
      </c>
      <c r="M30" s="43">
        <v>43867</v>
      </c>
      <c r="N30" s="44">
        <v>-29.44</v>
      </c>
      <c r="O30" s="45">
        <v>-230.65</v>
      </c>
      <c r="P30" s="35">
        <f t="shared" si="0"/>
        <v>4.8700000000000045</v>
      </c>
      <c r="Q30" s="7">
        <v>28</v>
      </c>
      <c r="R30" s="7">
        <v>-1.1000000000000001</v>
      </c>
      <c r="S30" s="7">
        <v>953.17499999999984</v>
      </c>
      <c r="T30" s="7">
        <v>96.541666666666671</v>
      </c>
      <c r="U30" s="7"/>
    </row>
    <row r="31" spans="1:21" x14ac:dyDescent="0.35">
      <c r="A31" s="5" t="s">
        <v>20</v>
      </c>
      <c r="B31" s="5" t="s">
        <v>21</v>
      </c>
      <c r="C31" s="5" t="s">
        <v>93</v>
      </c>
      <c r="D31" s="5" t="s">
        <v>23</v>
      </c>
      <c r="E31" s="7">
        <v>69.75</v>
      </c>
      <c r="F31" s="7">
        <v>27.016667000000002</v>
      </c>
      <c r="G31" s="7">
        <v>80</v>
      </c>
      <c r="I31" s="5" t="s">
        <v>125</v>
      </c>
      <c r="J31" s="5" t="s">
        <v>100</v>
      </c>
      <c r="K31" s="42">
        <v>43879</v>
      </c>
      <c r="L31" s="43">
        <v>43877</v>
      </c>
      <c r="M31" s="43">
        <v>43879</v>
      </c>
      <c r="N31" s="44">
        <v>-21.72</v>
      </c>
      <c r="O31" s="45">
        <v>-169.66</v>
      </c>
      <c r="P31" s="35">
        <f t="shared" si="0"/>
        <v>4.0999999999999943</v>
      </c>
      <c r="Q31" s="7">
        <v>56</v>
      </c>
      <c r="R31" s="7">
        <v>-3.5</v>
      </c>
      <c r="S31" s="7">
        <v>976.0291666666667</v>
      </c>
      <c r="T31" s="7">
        <v>85</v>
      </c>
      <c r="U31" s="7"/>
    </row>
    <row r="32" spans="1:21" x14ac:dyDescent="0.35">
      <c r="A32" s="5" t="s">
        <v>20</v>
      </c>
      <c r="B32" s="5" t="s">
        <v>21</v>
      </c>
      <c r="C32" s="5" t="s">
        <v>93</v>
      </c>
      <c r="D32" s="5" t="s">
        <v>23</v>
      </c>
      <c r="E32" s="7">
        <v>69.75</v>
      </c>
      <c r="F32" s="7">
        <v>27.016667000000002</v>
      </c>
      <c r="G32" s="7">
        <v>80</v>
      </c>
      <c r="I32" s="5" t="s">
        <v>126</v>
      </c>
      <c r="J32" s="5" t="s">
        <v>100</v>
      </c>
      <c r="K32" s="42">
        <v>43882</v>
      </c>
      <c r="L32" s="43"/>
      <c r="M32" s="43"/>
      <c r="N32" s="44">
        <v>-23.157417872506848</v>
      </c>
      <c r="O32" s="45">
        <v>-185.72105547568131</v>
      </c>
      <c r="P32" s="35">
        <f t="shared" si="0"/>
        <v>-0.46171249562652861</v>
      </c>
      <c r="Q32" s="7">
        <v>8</v>
      </c>
      <c r="R32" s="7">
        <v>0.1</v>
      </c>
      <c r="S32" s="7">
        <v>980.53749999999991</v>
      </c>
      <c r="T32" s="7">
        <v>85.958333333333329</v>
      </c>
      <c r="U32" s="7"/>
    </row>
    <row r="33" spans="1:21" x14ac:dyDescent="0.35">
      <c r="A33" s="5" t="s">
        <v>20</v>
      </c>
      <c r="B33" s="5" t="s">
        <v>21</v>
      </c>
      <c r="C33" s="5" t="s">
        <v>93</v>
      </c>
      <c r="D33" s="5" t="s">
        <v>23</v>
      </c>
      <c r="E33" s="7">
        <v>69.75</v>
      </c>
      <c r="F33" s="7">
        <v>27.016667000000002</v>
      </c>
      <c r="G33" s="7">
        <v>80</v>
      </c>
      <c r="I33" s="5" t="s">
        <v>127</v>
      </c>
      <c r="J33" s="5" t="s">
        <v>100</v>
      </c>
      <c r="K33" s="42">
        <v>43888</v>
      </c>
      <c r="L33" s="43"/>
      <c r="M33" s="43"/>
      <c r="N33" s="44">
        <v>-22.343600508408294</v>
      </c>
      <c r="O33" s="45">
        <v>-169.38600930325984</v>
      </c>
      <c r="P33" s="35">
        <f t="shared" si="0"/>
        <v>9.3627947640065088</v>
      </c>
      <c r="Q33" s="7">
        <v>21</v>
      </c>
      <c r="R33" s="7">
        <v>-19</v>
      </c>
      <c r="S33" s="7">
        <v>994.25416666666661</v>
      </c>
      <c r="T33" s="7">
        <v>82.583333333333329</v>
      </c>
      <c r="U33" s="7"/>
    </row>
    <row r="34" spans="1:21" x14ac:dyDescent="0.35">
      <c r="A34" s="5" t="s">
        <v>20</v>
      </c>
      <c r="B34" s="5" t="s">
        <v>21</v>
      </c>
      <c r="C34" s="5" t="s">
        <v>93</v>
      </c>
      <c r="D34" s="5" t="s">
        <v>23</v>
      </c>
      <c r="E34" s="7">
        <v>69.75</v>
      </c>
      <c r="F34" s="7">
        <v>27.016667000000002</v>
      </c>
      <c r="G34" s="7">
        <v>80</v>
      </c>
      <c r="I34" s="5" t="s">
        <v>128</v>
      </c>
      <c r="J34" s="5" t="s">
        <v>100</v>
      </c>
      <c r="K34" s="42">
        <v>43892</v>
      </c>
      <c r="L34" s="43"/>
      <c r="M34" s="43"/>
      <c r="N34" s="44">
        <v>-11.150059569097312</v>
      </c>
      <c r="O34" s="45">
        <v>-64.576930273584836</v>
      </c>
      <c r="P34" s="35">
        <f t="shared" si="0"/>
        <v>24.623546279193661</v>
      </c>
      <c r="Q34" s="7">
        <v>28</v>
      </c>
      <c r="R34" s="7">
        <v>-25.1</v>
      </c>
      <c r="S34" s="7">
        <v>998.41666666666686</v>
      </c>
      <c r="T34" s="7">
        <v>84.208333333333329</v>
      </c>
      <c r="U34" s="7"/>
    </row>
    <row r="35" spans="1:21" x14ac:dyDescent="0.35">
      <c r="A35" s="5" t="s">
        <v>20</v>
      </c>
      <c r="B35" s="5" t="s">
        <v>21</v>
      </c>
      <c r="C35" s="5" t="s">
        <v>93</v>
      </c>
      <c r="D35" s="5" t="s">
        <v>23</v>
      </c>
      <c r="E35" s="7">
        <v>69.75</v>
      </c>
      <c r="F35" s="7">
        <v>27.016667000000002</v>
      </c>
      <c r="G35" s="7">
        <v>80</v>
      </c>
      <c r="I35" s="5" t="s">
        <v>129</v>
      </c>
      <c r="J35" s="5" t="s">
        <v>100</v>
      </c>
      <c r="K35" s="42">
        <v>43894</v>
      </c>
      <c r="L35" s="43"/>
      <c r="M35" s="43"/>
      <c r="N35" s="44">
        <v>-8.7105673018807597</v>
      </c>
      <c r="O35" s="45">
        <v>-51.423914465029817</v>
      </c>
      <c r="P35" s="35">
        <f t="shared" si="0"/>
        <v>18.26062395001626</v>
      </c>
      <c r="Q35" s="7">
        <v>4</v>
      </c>
      <c r="R35" s="7">
        <v>-22.7</v>
      </c>
      <c r="S35" s="7">
        <v>1026.0416666666665</v>
      </c>
      <c r="T35" s="7">
        <v>82.083333333333329</v>
      </c>
      <c r="U35" s="7"/>
    </row>
    <row r="36" spans="1:21" x14ac:dyDescent="0.35">
      <c r="A36" s="5" t="s">
        <v>20</v>
      </c>
      <c r="B36" s="5" t="s">
        <v>21</v>
      </c>
      <c r="C36" s="5" t="s">
        <v>93</v>
      </c>
      <c r="D36" s="5" t="s">
        <v>23</v>
      </c>
      <c r="E36" s="7">
        <v>69.75</v>
      </c>
      <c r="F36" s="7">
        <v>27.016667000000002</v>
      </c>
      <c r="G36" s="7">
        <v>80</v>
      </c>
      <c r="I36" s="5" t="s">
        <v>130</v>
      </c>
      <c r="J36" s="5" t="s">
        <v>100</v>
      </c>
      <c r="K36" s="42">
        <v>43896</v>
      </c>
      <c r="L36" s="43"/>
      <c r="M36" s="43"/>
      <c r="N36" s="44">
        <v>-22.659132346144279</v>
      </c>
      <c r="O36" s="45">
        <v>-175.42586037686826</v>
      </c>
      <c r="P36" s="35">
        <f t="shared" si="0"/>
        <v>5.8471983922859749</v>
      </c>
      <c r="Q36" s="7">
        <v>40</v>
      </c>
      <c r="R36" s="7">
        <v>-14.4</v>
      </c>
      <c r="S36" s="7">
        <v>989.89583333333314</v>
      </c>
      <c r="T36" s="7">
        <v>90</v>
      </c>
      <c r="U36" s="7"/>
    </row>
    <row r="37" spans="1:21" x14ac:dyDescent="0.35">
      <c r="A37" s="5" t="s">
        <v>20</v>
      </c>
      <c r="B37" s="5" t="s">
        <v>21</v>
      </c>
      <c r="C37" s="5" t="s">
        <v>93</v>
      </c>
      <c r="D37" s="5" t="s">
        <v>23</v>
      </c>
      <c r="E37" s="7">
        <v>69.75</v>
      </c>
      <c r="F37" s="7">
        <v>27.016667000000002</v>
      </c>
      <c r="G37" s="7">
        <v>80</v>
      </c>
      <c r="I37" s="5" t="s">
        <v>131</v>
      </c>
      <c r="J37" s="5" t="s">
        <v>132</v>
      </c>
      <c r="K37" s="42">
        <v>43908</v>
      </c>
      <c r="L37" s="43"/>
      <c r="M37" s="43"/>
      <c r="N37" s="44">
        <v>-15.527573861414304</v>
      </c>
      <c r="O37" s="45">
        <v>-121.1612387461887</v>
      </c>
      <c r="P37" s="35">
        <f t="shared" si="0"/>
        <v>3.0593521451257288</v>
      </c>
      <c r="Q37" s="7">
        <v>2</v>
      </c>
      <c r="R37" s="7">
        <v>-0.9</v>
      </c>
      <c r="S37" s="7">
        <v>991.71666666666681</v>
      </c>
      <c r="T37" s="7">
        <v>88.083333333333329</v>
      </c>
      <c r="U37" s="7"/>
    </row>
    <row r="38" spans="1:21" x14ac:dyDescent="0.35">
      <c r="A38" s="5" t="s">
        <v>20</v>
      </c>
      <c r="B38" s="5" t="s">
        <v>21</v>
      </c>
      <c r="C38" s="5" t="s">
        <v>93</v>
      </c>
      <c r="D38" s="5" t="s">
        <v>23</v>
      </c>
      <c r="E38" s="7">
        <v>69.75</v>
      </c>
      <c r="F38" s="7">
        <v>27.016667000000002</v>
      </c>
      <c r="G38" s="7">
        <v>80</v>
      </c>
      <c r="I38" s="5" t="s">
        <v>133</v>
      </c>
      <c r="J38" s="5" t="s">
        <v>100</v>
      </c>
      <c r="K38" s="42">
        <v>43910</v>
      </c>
      <c r="L38" s="43"/>
      <c r="M38" s="43"/>
      <c r="N38" s="44">
        <v>-11.635116276175919</v>
      </c>
      <c r="O38" s="45">
        <v>-64.095662335989388</v>
      </c>
      <c r="P38" s="35">
        <f t="shared" si="0"/>
        <v>28.985267873417968</v>
      </c>
      <c r="Q38" s="7">
        <v>15</v>
      </c>
      <c r="R38" s="7">
        <v>-6.3</v>
      </c>
      <c r="S38" s="7">
        <v>1017.6791666666668</v>
      </c>
      <c r="T38" s="7">
        <v>79.791666666666671</v>
      </c>
      <c r="U38" s="7"/>
    </row>
    <row r="39" spans="1:21" x14ac:dyDescent="0.35">
      <c r="A39" s="5" t="s">
        <v>20</v>
      </c>
      <c r="B39" s="5" t="s">
        <v>21</v>
      </c>
      <c r="C39" s="5" t="s">
        <v>93</v>
      </c>
      <c r="D39" s="5" t="s">
        <v>23</v>
      </c>
      <c r="E39" s="7">
        <v>69.75</v>
      </c>
      <c r="F39" s="7">
        <v>27.016667000000002</v>
      </c>
      <c r="G39" s="7">
        <v>80</v>
      </c>
      <c r="I39" s="5" t="s">
        <v>134</v>
      </c>
      <c r="J39" s="5" t="s">
        <v>100</v>
      </c>
      <c r="K39" s="42">
        <v>43916</v>
      </c>
      <c r="L39" s="43"/>
      <c r="M39" s="43"/>
      <c r="N39" s="44">
        <v>-2.5062003697524471</v>
      </c>
      <c r="O39" s="45">
        <v>-26.87996673412249</v>
      </c>
      <c r="P39" s="35">
        <f t="shared" si="0"/>
        <v>-6.8303637761029137</v>
      </c>
      <c r="Q39" s="7">
        <v>2</v>
      </c>
      <c r="R39" s="7">
        <v>1.8</v>
      </c>
      <c r="S39" s="7">
        <v>1010.5708333333336</v>
      </c>
      <c r="T39" s="7">
        <v>70.375</v>
      </c>
      <c r="U39" s="7"/>
    </row>
    <row r="40" spans="1:21" x14ac:dyDescent="0.35">
      <c r="A40" s="5" t="s">
        <v>20</v>
      </c>
      <c r="B40" s="5" t="s">
        <v>21</v>
      </c>
      <c r="C40" s="5" t="s">
        <v>93</v>
      </c>
      <c r="D40" s="5" t="s">
        <v>23</v>
      </c>
      <c r="E40" s="7">
        <v>69.75</v>
      </c>
      <c r="F40" s="7">
        <v>27.016667000000002</v>
      </c>
      <c r="G40" s="7">
        <v>80</v>
      </c>
      <c r="I40" s="5" t="s">
        <v>135</v>
      </c>
      <c r="J40" s="5" t="s">
        <v>100</v>
      </c>
      <c r="K40" s="42">
        <v>43920</v>
      </c>
      <c r="L40" s="43"/>
      <c r="M40" s="43"/>
      <c r="N40" s="44">
        <v>-16.678481139118997</v>
      </c>
      <c r="O40" s="45">
        <v>-122.2589235204793</v>
      </c>
      <c r="P40" s="35">
        <f t="shared" si="0"/>
        <v>11.168925592472675</v>
      </c>
      <c r="Q40" s="7">
        <v>150</v>
      </c>
      <c r="R40" s="7">
        <v>-5.5</v>
      </c>
      <c r="S40" s="7">
        <v>1015.4875000000001</v>
      </c>
      <c r="T40" s="7">
        <v>80.875</v>
      </c>
      <c r="U40" s="7"/>
    </row>
    <row r="41" spans="1:21" x14ac:dyDescent="0.35">
      <c r="A41" s="5" t="s">
        <v>20</v>
      </c>
      <c r="B41" s="5" t="s">
        <v>21</v>
      </c>
      <c r="C41" s="5" t="s">
        <v>93</v>
      </c>
      <c r="D41" s="5" t="s">
        <v>23</v>
      </c>
      <c r="E41" s="7">
        <v>69.75</v>
      </c>
      <c r="F41" s="7">
        <v>27.016667000000002</v>
      </c>
      <c r="G41" s="7">
        <v>80</v>
      </c>
      <c r="I41" s="5" t="s">
        <v>136</v>
      </c>
      <c r="J41" s="5" t="s">
        <v>100</v>
      </c>
      <c r="K41" s="42">
        <v>43922</v>
      </c>
      <c r="L41" s="43"/>
      <c r="M41" s="43"/>
      <c r="N41" s="44">
        <v>-23.155213069292856</v>
      </c>
      <c r="O41" s="45">
        <v>-186.49329973155696</v>
      </c>
      <c r="P41" s="35">
        <f t="shared" si="0"/>
        <v>-1.2515951772141136</v>
      </c>
      <c r="Q41" s="7">
        <v>10</v>
      </c>
      <c r="R41" s="7">
        <v>-4.9000000000000004</v>
      </c>
      <c r="S41" s="7">
        <v>995.03333333333364</v>
      </c>
      <c r="T41" s="7">
        <v>81.541666666666671</v>
      </c>
      <c r="U41" s="7"/>
    </row>
    <row r="42" spans="1:21" x14ac:dyDescent="0.35">
      <c r="A42" s="5" t="s">
        <v>20</v>
      </c>
      <c r="B42" s="5" t="s">
        <v>21</v>
      </c>
      <c r="C42" s="5" t="s">
        <v>93</v>
      </c>
      <c r="D42" s="5" t="s">
        <v>23</v>
      </c>
      <c r="E42" s="7">
        <v>69.75</v>
      </c>
      <c r="F42" s="7">
        <v>27.016667000000002</v>
      </c>
      <c r="G42" s="7">
        <v>80</v>
      </c>
      <c r="I42" s="5" t="s">
        <v>137</v>
      </c>
      <c r="J42" s="5" t="s">
        <v>100</v>
      </c>
      <c r="K42" s="42">
        <v>43928</v>
      </c>
      <c r="L42" s="43"/>
      <c r="M42" s="43"/>
      <c r="N42" s="44">
        <v>-21.262511999146735</v>
      </c>
      <c r="O42" s="45">
        <v>-165.96962237847742</v>
      </c>
      <c r="P42" s="35">
        <f t="shared" si="0"/>
        <v>4.1304736146964558</v>
      </c>
      <c r="Q42" s="7">
        <v>7.5</v>
      </c>
      <c r="R42" s="7">
        <v>0.6</v>
      </c>
      <c r="S42" s="7">
        <v>1006.5125000000002</v>
      </c>
      <c r="T42" s="7">
        <v>81.333333333333329</v>
      </c>
      <c r="U42" s="7"/>
    </row>
    <row r="43" spans="1:21" x14ac:dyDescent="0.35">
      <c r="A43" s="5" t="s">
        <v>20</v>
      </c>
      <c r="B43" s="5" t="s">
        <v>21</v>
      </c>
      <c r="C43" s="5" t="s">
        <v>93</v>
      </c>
      <c r="D43" s="5" t="s">
        <v>23</v>
      </c>
      <c r="E43" s="7">
        <v>69.75</v>
      </c>
      <c r="F43" s="7">
        <v>27.016667000000002</v>
      </c>
      <c r="G43" s="7">
        <v>80</v>
      </c>
      <c r="I43" s="5" t="s">
        <v>138</v>
      </c>
      <c r="J43" s="5" t="s">
        <v>100</v>
      </c>
      <c r="K43" s="42">
        <v>43929</v>
      </c>
      <c r="L43" s="43"/>
      <c r="M43" s="43"/>
      <c r="N43" s="44">
        <v>-14.460204127706477</v>
      </c>
      <c r="O43" s="45">
        <v>-113.19902382363762</v>
      </c>
      <c r="P43" s="35">
        <f t="shared" si="0"/>
        <v>2.4826091980142024</v>
      </c>
      <c r="Q43" s="7">
        <v>15</v>
      </c>
      <c r="R43" s="7">
        <v>2.4</v>
      </c>
      <c r="S43" s="7">
        <v>993.92083333333323</v>
      </c>
      <c r="T43" s="7">
        <v>72.25</v>
      </c>
      <c r="U43" s="7"/>
    </row>
    <row r="44" spans="1:21" x14ac:dyDescent="0.35">
      <c r="A44" s="5" t="s">
        <v>20</v>
      </c>
      <c r="B44" s="5" t="s">
        <v>21</v>
      </c>
      <c r="C44" s="5" t="s">
        <v>93</v>
      </c>
      <c r="D44" s="5" t="s">
        <v>23</v>
      </c>
      <c r="E44" s="7">
        <v>69.75</v>
      </c>
      <c r="F44" s="7">
        <v>27.016667000000002</v>
      </c>
      <c r="G44" s="7">
        <v>80</v>
      </c>
      <c r="I44" s="5" t="s">
        <v>139</v>
      </c>
      <c r="J44" s="5" t="s">
        <v>100</v>
      </c>
      <c r="K44" s="42">
        <v>43930</v>
      </c>
      <c r="L44" s="43"/>
      <c r="M44" s="43"/>
      <c r="N44" s="44">
        <v>-18.077061311195649</v>
      </c>
      <c r="O44" s="45">
        <v>-136.49780780613588</v>
      </c>
      <c r="P44" s="35">
        <f t="shared" si="0"/>
        <v>8.1186826834293129</v>
      </c>
      <c r="Q44" s="7">
        <v>30</v>
      </c>
      <c r="R44" s="7">
        <v>-3.8</v>
      </c>
      <c r="S44" s="7">
        <v>1002.6541666666667</v>
      </c>
      <c r="T44" s="7">
        <v>80.666666666666671</v>
      </c>
      <c r="U44" s="7"/>
    </row>
    <row r="45" spans="1:21" x14ac:dyDescent="0.35">
      <c r="A45" s="5" t="s">
        <v>20</v>
      </c>
      <c r="B45" s="5" t="s">
        <v>21</v>
      </c>
      <c r="C45" s="5" t="s">
        <v>93</v>
      </c>
      <c r="D45" s="5" t="s">
        <v>23</v>
      </c>
      <c r="E45" s="7">
        <v>69.75</v>
      </c>
      <c r="F45" s="7">
        <v>27.016667000000002</v>
      </c>
      <c r="G45" s="7">
        <v>80</v>
      </c>
      <c r="I45" s="5" t="s">
        <v>140</v>
      </c>
      <c r="J45" s="5" t="s">
        <v>100</v>
      </c>
      <c r="K45" s="42">
        <v>43935</v>
      </c>
      <c r="L45" s="43">
        <v>43930</v>
      </c>
      <c r="M45" s="43">
        <v>43935</v>
      </c>
      <c r="N45" s="44">
        <v>-24.674322483734496</v>
      </c>
      <c r="O45" s="45">
        <v>-194.86662332714354</v>
      </c>
      <c r="P45" s="35">
        <f t="shared" si="0"/>
        <v>2.5279565427324258</v>
      </c>
      <c r="Q45" s="7">
        <v>20</v>
      </c>
      <c r="R45" s="7">
        <v>1.5</v>
      </c>
      <c r="S45" s="7">
        <v>999.87499999999966</v>
      </c>
      <c r="T45" s="7">
        <v>84.916666666666671</v>
      </c>
      <c r="U45" s="7"/>
    </row>
    <row r="46" spans="1:21" x14ac:dyDescent="0.35">
      <c r="A46" s="5" t="s">
        <v>20</v>
      </c>
      <c r="B46" s="5" t="s">
        <v>21</v>
      </c>
      <c r="C46" s="5" t="s">
        <v>93</v>
      </c>
      <c r="D46" s="5" t="s">
        <v>23</v>
      </c>
      <c r="E46" s="7">
        <v>69.75</v>
      </c>
      <c r="F46" s="7">
        <v>27.016667000000002</v>
      </c>
      <c r="G46" s="7">
        <v>80</v>
      </c>
      <c r="I46" s="5" t="s">
        <v>141</v>
      </c>
      <c r="J46" s="5" t="s">
        <v>132</v>
      </c>
      <c r="K46" s="42">
        <v>43936</v>
      </c>
      <c r="L46" s="43"/>
      <c r="M46" s="43"/>
      <c r="N46" s="44">
        <v>-8.678230188075517</v>
      </c>
      <c r="O46" s="45">
        <v>-58.144679664156911</v>
      </c>
      <c r="P46" s="35">
        <f t="shared" si="0"/>
        <v>11.281161840447226</v>
      </c>
      <c r="Q46" s="7">
        <v>10</v>
      </c>
      <c r="R46" s="7">
        <v>3</v>
      </c>
      <c r="S46" s="7">
        <v>991.92499999999984</v>
      </c>
      <c r="T46" s="7">
        <v>78.083333333333329</v>
      </c>
      <c r="U46" s="7"/>
    </row>
    <row r="47" spans="1:21" x14ac:dyDescent="0.35">
      <c r="A47" s="5" t="s">
        <v>20</v>
      </c>
      <c r="B47" s="5" t="s">
        <v>21</v>
      </c>
      <c r="C47" s="5" t="s">
        <v>93</v>
      </c>
      <c r="D47" s="5" t="s">
        <v>23</v>
      </c>
      <c r="E47" s="7">
        <v>69.75</v>
      </c>
      <c r="F47" s="7">
        <v>27.016667000000002</v>
      </c>
      <c r="G47" s="7">
        <v>80</v>
      </c>
      <c r="I47" s="5" t="s">
        <v>142</v>
      </c>
      <c r="J47" s="5" t="s">
        <v>94</v>
      </c>
      <c r="K47" s="42">
        <v>43941</v>
      </c>
      <c r="L47" s="43">
        <v>43938</v>
      </c>
      <c r="M47" s="43">
        <v>43941</v>
      </c>
      <c r="N47" s="44">
        <v>-6.061128773065029</v>
      </c>
      <c r="O47" s="45">
        <v>-45.691040945478449</v>
      </c>
      <c r="P47" s="35">
        <f t="shared" si="0"/>
        <v>2.7979892390417831</v>
      </c>
      <c r="Q47" s="7">
        <v>20</v>
      </c>
      <c r="R47" s="7">
        <v>4.0999999999999996</v>
      </c>
      <c r="S47" s="7">
        <v>1020.4958333333334</v>
      </c>
      <c r="T47" s="7">
        <v>69.166666666666671</v>
      </c>
      <c r="U47" s="7"/>
    </row>
    <row r="48" spans="1:21" x14ac:dyDescent="0.35">
      <c r="A48" s="5" t="s">
        <v>20</v>
      </c>
      <c r="B48" s="5" t="s">
        <v>21</v>
      </c>
      <c r="C48" s="5" t="s">
        <v>93</v>
      </c>
      <c r="D48" s="5" t="s">
        <v>23</v>
      </c>
      <c r="E48" s="7">
        <v>69.75</v>
      </c>
      <c r="F48" s="7">
        <v>27.016667000000002</v>
      </c>
      <c r="G48" s="7">
        <v>80</v>
      </c>
      <c r="I48" s="5" t="s">
        <v>143</v>
      </c>
      <c r="J48" s="5" t="s">
        <v>100</v>
      </c>
      <c r="K48" s="42">
        <v>43948</v>
      </c>
      <c r="L48" s="43">
        <v>43945</v>
      </c>
      <c r="M48" s="43">
        <v>43948</v>
      </c>
      <c r="N48" s="44">
        <v>-7.7093416645927428</v>
      </c>
      <c r="O48" s="45">
        <v>-58.255703623162312</v>
      </c>
      <c r="P48" s="35">
        <f t="shared" si="0"/>
        <v>3.4190296935796312</v>
      </c>
      <c r="Q48" s="7">
        <v>2</v>
      </c>
      <c r="R48" s="7">
        <v>-0.4</v>
      </c>
      <c r="S48" s="7">
        <v>1014.6458333333334</v>
      </c>
      <c r="T48" s="7">
        <v>78.166666666666671</v>
      </c>
      <c r="U48" s="7"/>
    </row>
    <row r="49" spans="1:21" x14ac:dyDescent="0.35">
      <c r="A49" s="5" t="s">
        <v>20</v>
      </c>
      <c r="B49" s="5" t="s">
        <v>21</v>
      </c>
      <c r="C49" s="5" t="s">
        <v>93</v>
      </c>
      <c r="D49" s="5" t="s">
        <v>23</v>
      </c>
      <c r="E49" s="7">
        <v>69.75</v>
      </c>
      <c r="F49" s="7">
        <v>27.016667000000002</v>
      </c>
      <c r="G49" s="7">
        <v>80</v>
      </c>
      <c r="I49" s="5" t="s">
        <v>144</v>
      </c>
      <c r="J49" s="5" t="s">
        <v>100</v>
      </c>
      <c r="K49" s="42">
        <v>43950</v>
      </c>
      <c r="L49" s="43"/>
      <c r="M49" s="43"/>
      <c r="N49" s="44">
        <v>-7.2615216340171385</v>
      </c>
      <c r="O49" s="45">
        <v>-45.12902831042453</v>
      </c>
      <c r="P49" s="35">
        <f t="shared" si="0"/>
        <v>12.963144761712577</v>
      </c>
      <c r="Q49" s="7">
        <v>1</v>
      </c>
      <c r="R49" s="7">
        <v>-1.1000000000000001</v>
      </c>
      <c r="S49" s="7">
        <v>1019.2249999999999</v>
      </c>
      <c r="T49" s="7">
        <v>72.625</v>
      </c>
      <c r="U49" s="7"/>
    </row>
    <row r="50" spans="1:21" x14ac:dyDescent="0.35">
      <c r="A50" s="5" t="s">
        <v>20</v>
      </c>
      <c r="B50" s="5" t="s">
        <v>21</v>
      </c>
      <c r="C50" s="5" t="s">
        <v>93</v>
      </c>
      <c r="D50" s="5" t="s">
        <v>23</v>
      </c>
      <c r="E50" s="7">
        <v>69.75</v>
      </c>
      <c r="F50" s="7">
        <v>27.016667000000002</v>
      </c>
      <c r="G50" s="7">
        <v>80</v>
      </c>
      <c r="I50" s="5" t="s">
        <v>145</v>
      </c>
      <c r="J50" s="5" t="s">
        <v>132</v>
      </c>
      <c r="K50" s="42">
        <v>43955</v>
      </c>
      <c r="L50" s="43">
        <v>43951</v>
      </c>
      <c r="M50" s="43">
        <v>43955</v>
      </c>
      <c r="N50" s="44">
        <v>-19.868831389767848</v>
      </c>
      <c r="O50" s="45">
        <v>-146.12242803947066</v>
      </c>
      <c r="P50" s="35">
        <f t="shared" si="0"/>
        <v>12.828223078672124</v>
      </c>
      <c r="Q50" s="7">
        <v>100</v>
      </c>
      <c r="R50" s="7">
        <v>1.8</v>
      </c>
      <c r="S50" s="7">
        <v>1005.4333333333334</v>
      </c>
      <c r="T50" s="7">
        <v>92.875</v>
      </c>
      <c r="U50" s="7"/>
    </row>
    <row r="51" spans="1:21" x14ac:dyDescent="0.35">
      <c r="A51" s="5" t="s">
        <v>20</v>
      </c>
      <c r="B51" s="5" t="s">
        <v>21</v>
      </c>
      <c r="C51" s="5" t="s">
        <v>93</v>
      </c>
      <c r="D51" s="5" t="s">
        <v>23</v>
      </c>
      <c r="E51" s="7">
        <v>69.75</v>
      </c>
      <c r="F51" s="7">
        <v>27.016667000000002</v>
      </c>
      <c r="G51" s="7">
        <v>80</v>
      </c>
      <c r="I51" s="5" t="s">
        <v>146</v>
      </c>
      <c r="J51" s="5" t="s">
        <v>132</v>
      </c>
      <c r="K51" s="42">
        <v>43956</v>
      </c>
      <c r="L51" s="43"/>
      <c r="M51" s="43"/>
      <c r="N51" s="44">
        <v>-14.825711504959651</v>
      </c>
      <c r="O51" s="45">
        <v>-108.13967924386178</v>
      </c>
      <c r="P51" s="35">
        <f t="shared" si="0"/>
        <v>10.466012795815431</v>
      </c>
      <c r="Q51" s="7">
        <v>30</v>
      </c>
      <c r="R51" s="7">
        <v>5.4</v>
      </c>
      <c r="S51" s="7">
        <v>1007.5500000000001</v>
      </c>
      <c r="T51" s="7">
        <v>68.958333333333329</v>
      </c>
      <c r="U51" s="7"/>
    </row>
    <row r="52" spans="1:21" x14ac:dyDescent="0.35">
      <c r="A52" s="5" t="s">
        <v>20</v>
      </c>
      <c r="B52" s="5" t="s">
        <v>21</v>
      </c>
      <c r="C52" s="5" t="s">
        <v>93</v>
      </c>
      <c r="D52" s="5" t="s">
        <v>23</v>
      </c>
      <c r="E52" s="7">
        <v>69.75</v>
      </c>
      <c r="F52" s="7">
        <v>27.016667000000002</v>
      </c>
      <c r="G52" s="7">
        <v>80</v>
      </c>
      <c r="I52" s="5" t="s">
        <v>147</v>
      </c>
      <c r="J52" s="5" t="s">
        <v>100</v>
      </c>
      <c r="K52" s="42">
        <v>43963</v>
      </c>
      <c r="L52" s="43"/>
      <c r="M52" s="43"/>
      <c r="N52" s="44">
        <v>-19.980786397411745</v>
      </c>
      <c r="O52" s="45">
        <v>-152.39491246398836</v>
      </c>
      <c r="P52" s="35">
        <f t="shared" si="0"/>
        <v>7.4513787153055944</v>
      </c>
      <c r="Q52" s="7">
        <v>8</v>
      </c>
      <c r="R52" s="7">
        <v>-0.9</v>
      </c>
      <c r="S52" s="7">
        <v>992.35416666666663</v>
      </c>
      <c r="T52" s="7">
        <v>72.5</v>
      </c>
      <c r="U52" s="7"/>
    </row>
    <row r="53" spans="1:21" x14ac:dyDescent="0.35">
      <c r="A53" s="5" t="s">
        <v>20</v>
      </c>
      <c r="B53" s="5" t="s">
        <v>21</v>
      </c>
      <c r="C53" s="5" t="s">
        <v>93</v>
      </c>
      <c r="D53" s="5" t="s">
        <v>23</v>
      </c>
      <c r="E53" s="7">
        <v>69.75</v>
      </c>
      <c r="F53" s="7">
        <v>27.016667000000002</v>
      </c>
      <c r="G53" s="7">
        <v>80</v>
      </c>
      <c r="I53" s="5" t="s">
        <v>148</v>
      </c>
      <c r="J53" s="5" t="s">
        <v>100</v>
      </c>
      <c r="K53" s="42">
        <v>43966</v>
      </c>
      <c r="L53" s="43"/>
      <c r="M53" s="43"/>
      <c r="N53" s="44">
        <v>-16.311839860102808</v>
      </c>
      <c r="O53" s="45">
        <v>-122.70789338083344</v>
      </c>
      <c r="P53" s="35">
        <f t="shared" si="0"/>
        <v>7.7868254999890212</v>
      </c>
      <c r="Q53" s="7">
        <v>80</v>
      </c>
      <c r="R53" s="7">
        <v>4.5</v>
      </c>
      <c r="S53" s="7">
        <v>993.62083333333328</v>
      </c>
      <c r="T53" s="7">
        <v>68.875</v>
      </c>
      <c r="U53" s="7"/>
    </row>
    <row r="54" spans="1:21" x14ac:dyDescent="0.35">
      <c r="A54" s="5" t="s">
        <v>20</v>
      </c>
      <c r="B54" s="5" t="s">
        <v>21</v>
      </c>
      <c r="C54" s="5" t="s">
        <v>93</v>
      </c>
      <c r="D54" s="5" t="s">
        <v>23</v>
      </c>
      <c r="E54" s="7">
        <v>69.75</v>
      </c>
      <c r="F54" s="7">
        <v>27.016667000000002</v>
      </c>
      <c r="G54" s="7">
        <v>80</v>
      </c>
      <c r="I54" s="5" t="s">
        <v>149</v>
      </c>
      <c r="J54" s="5" t="s">
        <v>94</v>
      </c>
      <c r="K54" s="42">
        <v>43969</v>
      </c>
      <c r="L54" s="43">
        <v>43967</v>
      </c>
      <c r="M54" s="43">
        <v>43969</v>
      </c>
      <c r="N54" s="44">
        <v>-14.922371928708957</v>
      </c>
      <c r="O54" s="45">
        <v>-107.29878501621246</v>
      </c>
      <c r="P54" s="35">
        <f t="shared" si="0"/>
        <v>12.080190413459192</v>
      </c>
      <c r="Q54" s="7">
        <v>8</v>
      </c>
      <c r="R54" s="7">
        <v>3.4</v>
      </c>
      <c r="S54" s="7">
        <v>1009.2208333333333</v>
      </c>
      <c r="T54" s="7">
        <v>79.583333333333329</v>
      </c>
      <c r="U54" s="7"/>
    </row>
    <row r="55" spans="1:21" x14ac:dyDescent="0.35">
      <c r="A55" s="5" t="s">
        <v>20</v>
      </c>
      <c r="B55" s="5" t="s">
        <v>21</v>
      </c>
      <c r="C55" s="5" t="s">
        <v>93</v>
      </c>
      <c r="D55" s="5" t="s">
        <v>23</v>
      </c>
      <c r="E55" s="7">
        <v>69.75</v>
      </c>
      <c r="F55" s="7">
        <v>27.016667000000002</v>
      </c>
      <c r="G55" s="7">
        <v>80</v>
      </c>
      <c r="I55" s="5" t="s">
        <v>150</v>
      </c>
      <c r="J55" s="5" t="s">
        <v>151</v>
      </c>
      <c r="K55" s="42">
        <v>43970</v>
      </c>
      <c r="L55" s="43"/>
      <c r="M55" s="43"/>
      <c r="N55" s="44">
        <v>-11.5100451133132</v>
      </c>
      <c r="O55" s="45">
        <v>-90.998511536379553</v>
      </c>
      <c r="P55" s="35">
        <f t="shared" si="0"/>
        <v>1.0818493701260508</v>
      </c>
      <c r="Q55" s="7">
        <v>75</v>
      </c>
      <c r="R55" s="7">
        <v>4.5</v>
      </c>
      <c r="S55" s="7">
        <v>1015.4874999999998</v>
      </c>
      <c r="T55" s="7">
        <v>77.916666666666671</v>
      </c>
      <c r="U55" s="7"/>
    </row>
    <row r="56" spans="1:21" x14ac:dyDescent="0.35">
      <c r="A56" s="5" t="s">
        <v>20</v>
      </c>
      <c r="B56" s="5" t="s">
        <v>21</v>
      </c>
      <c r="C56" s="5" t="s">
        <v>93</v>
      </c>
      <c r="D56" s="5" t="s">
        <v>23</v>
      </c>
      <c r="E56" s="7">
        <v>69.75</v>
      </c>
      <c r="F56" s="7">
        <v>27.016667000000002</v>
      </c>
      <c r="G56" s="7">
        <v>80</v>
      </c>
      <c r="I56" s="5" t="s">
        <v>152</v>
      </c>
      <c r="J56" s="5" t="s">
        <v>41</v>
      </c>
      <c r="K56" s="42">
        <v>43978</v>
      </c>
      <c r="L56" s="43"/>
      <c r="M56" s="43"/>
      <c r="N56" s="44">
        <v>-8.3691367883701648</v>
      </c>
      <c r="O56" s="45">
        <v>-77.000394218846793</v>
      </c>
      <c r="P56" s="35">
        <f t="shared" ref="P56:P95" si="1">O56-(8*N56)</f>
        <v>-10.047299911885474</v>
      </c>
      <c r="Q56" s="7">
        <v>0.63</v>
      </c>
      <c r="R56" s="7">
        <v>10.3</v>
      </c>
      <c r="S56" s="7">
        <v>1017.9916666666667</v>
      </c>
      <c r="T56" s="7">
        <v>68.875</v>
      </c>
      <c r="U56" s="7"/>
    </row>
    <row r="57" spans="1:21" x14ac:dyDescent="0.35">
      <c r="A57" s="5" t="s">
        <v>20</v>
      </c>
      <c r="B57" s="5" t="s">
        <v>21</v>
      </c>
      <c r="C57" s="5" t="s">
        <v>93</v>
      </c>
      <c r="D57" s="5" t="s">
        <v>23</v>
      </c>
      <c r="E57" s="7">
        <v>69.75</v>
      </c>
      <c r="F57" s="7">
        <v>27.016667000000002</v>
      </c>
      <c r="G57" s="7">
        <v>80</v>
      </c>
      <c r="I57" s="5" t="s">
        <v>153</v>
      </c>
      <c r="J57" s="5" t="s">
        <v>41</v>
      </c>
      <c r="K57" s="42">
        <v>43983</v>
      </c>
      <c r="L57" s="43">
        <v>43980</v>
      </c>
      <c r="M57" s="43">
        <v>43983</v>
      </c>
      <c r="N57" s="44">
        <v>-7.1551780333139057</v>
      </c>
      <c r="O57" s="45">
        <v>-48.093179927166076</v>
      </c>
      <c r="P57" s="35">
        <f t="shared" si="1"/>
        <v>9.1482443393451689</v>
      </c>
      <c r="Q57" s="7">
        <v>7.85</v>
      </c>
      <c r="R57" s="7">
        <v>17.7</v>
      </c>
      <c r="S57" s="7">
        <v>1024.7875000000001</v>
      </c>
      <c r="T57" s="7">
        <v>58.291666666666664</v>
      </c>
      <c r="U57" s="7"/>
    </row>
    <row r="58" spans="1:21" x14ac:dyDescent="0.35">
      <c r="A58" s="5" t="s">
        <v>20</v>
      </c>
      <c r="B58" s="5" t="s">
        <v>21</v>
      </c>
      <c r="C58" s="5" t="s">
        <v>93</v>
      </c>
      <c r="D58" s="5" t="s">
        <v>23</v>
      </c>
      <c r="E58" s="7">
        <v>69.75</v>
      </c>
      <c r="F58" s="7">
        <v>27.016667000000002</v>
      </c>
      <c r="G58" s="7">
        <v>80</v>
      </c>
      <c r="I58" s="5" t="s">
        <v>154</v>
      </c>
      <c r="J58" s="5" t="s">
        <v>41</v>
      </c>
      <c r="K58" s="42">
        <v>43985</v>
      </c>
      <c r="L58" s="43"/>
      <c r="M58" s="43"/>
      <c r="N58" s="44">
        <v>-8.2683589811527405</v>
      </c>
      <c r="O58" s="45">
        <v>-64.152743422544248</v>
      </c>
      <c r="P58" s="35">
        <f t="shared" si="1"/>
        <v>1.9941284266776762</v>
      </c>
      <c r="Q58" s="7">
        <v>8.6</v>
      </c>
      <c r="R58" s="7">
        <v>1.8</v>
      </c>
      <c r="S58" s="7">
        <v>1016.6041666666665</v>
      </c>
      <c r="T58" s="7">
        <v>82.291666666666671</v>
      </c>
      <c r="U58" s="7"/>
    </row>
    <row r="59" spans="1:21" x14ac:dyDescent="0.35">
      <c r="A59" s="5" t="s">
        <v>20</v>
      </c>
      <c r="B59" s="5" t="s">
        <v>21</v>
      </c>
      <c r="C59" s="5" t="s">
        <v>93</v>
      </c>
      <c r="D59" s="5" t="s">
        <v>23</v>
      </c>
      <c r="E59" s="7">
        <v>69.75</v>
      </c>
      <c r="F59" s="7">
        <v>27.016667000000002</v>
      </c>
      <c r="G59" s="7">
        <v>80</v>
      </c>
      <c r="I59" s="5" t="s">
        <v>155</v>
      </c>
      <c r="J59" s="5" t="s">
        <v>41</v>
      </c>
      <c r="K59" s="42">
        <v>43990</v>
      </c>
      <c r="L59" s="43"/>
      <c r="M59" s="43"/>
      <c r="N59" s="44">
        <v>-11.501038401073961</v>
      </c>
      <c r="O59" s="45">
        <v>-87.947561408209623</v>
      </c>
      <c r="P59" s="35">
        <f t="shared" si="1"/>
        <v>4.0607458003820653</v>
      </c>
      <c r="Q59" s="7">
        <v>10.6</v>
      </c>
      <c r="R59" s="7">
        <v>5.0999999999999996</v>
      </c>
      <c r="S59" s="7">
        <v>1003.7083333333334</v>
      </c>
      <c r="T59" s="7">
        <v>64.416666666666671</v>
      </c>
      <c r="U59" s="7"/>
    </row>
    <row r="60" spans="1:21" x14ac:dyDescent="0.35">
      <c r="A60" s="5" t="s">
        <v>20</v>
      </c>
      <c r="B60" s="5" t="s">
        <v>21</v>
      </c>
      <c r="C60" s="5" t="s">
        <v>93</v>
      </c>
      <c r="D60" s="5" t="s">
        <v>23</v>
      </c>
      <c r="E60" s="7">
        <v>69.75</v>
      </c>
      <c r="F60" s="7">
        <v>27.016667000000002</v>
      </c>
      <c r="G60" s="7">
        <v>80</v>
      </c>
      <c r="I60" s="5" t="s">
        <v>156</v>
      </c>
      <c r="J60" s="5" t="s">
        <v>41</v>
      </c>
      <c r="K60" s="42">
        <v>43991</v>
      </c>
      <c r="L60" s="43"/>
      <c r="M60" s="43"/>
      <c r="N60" s="44">
        <v>-10.937510324483778</v>
      </c>
      <c r="O60" s="45">
        <v>-81.409007369093644</v>
      </c>
      <c r="P60" s="35">
        <f t="shared" si="1"/>
        <v>6.0910752267765815</v>
      </c>
      <c r="Q60" s="7">
        <v>7.4</v>
      </c>
      <c r="R60" s="7">
        <v>9.65</v>
      </c>
      <c r="S60" s="7">
        <v>1019.5250000000001</v>
      </c>
      <c r="T60" s="7">
        <v>76.666666666666671</v>
      </c>
      <c r="U60" s="7"/>
    </row>
    <row r="61" spans="1:21" x14ac:dyDescent="0.35">
      <c r="A61" s="5" t="s">
        <v>20</v>
      </c>
      <c r="B61" s="5" t="s">
        <v>21</v>
      </c>
      <c r="C61" s="5" t="s">
        <v>93</v>
      </c>
      <c r="D61" s="5" t="s">
        <v>23</v>
      </c>
      <c r="E61" s="7">
        <v>69.75</v>
      </c>
      <c r="F61" s="7">
        <v>27.016667000000002</v>
      </c>
      <c r="G61" s="7">
        <v>80</v>
      </c>
      <c r="I61" s="5" t="s">
        <v>157</v>
      </c>
      <c r="J61" s="5" t="s">
        <v>41</v>
      </c>
      <c r="K61" s="42">
        <v>43997</v>
      </c>
      <c r="L61" s="43"/>
      <c r="M61" s="43"/>
      <c r="N61" s="44">
        <v>-5.2450247646300339</v>
      </c>
      <c r="O61" s="45">
        <v>-55.63542610674719</v>
      </c>
      <c r="P61" s="35">
        <f t="shared" si="1"/>
        <v>-13.675227989706919</v>
      </c>
      <c r="Q61" s="7">
        <v>10.7</v>
      </c>
      <c r="R61" s="7">
        <v>0.75</v>
      </c>
      <c r="S61" s="7">
        <v>1016.7958333333336</v>
      </c>
      <c r="T61" s="7">
        <v>60.791666666666664</v>
      </c>
      <c r="U61" s="7"/>
    </row>
    <row r="62" spans="1:21" x14ac:dyDescent="0.35">
      <c r="A62" s="5" t="s">
        <v>20</v>
      </c>
      <c r="B62" s="5" t="s">
        <v>21</v>
      </c>
      <c r="C62" s="5" t="s">
        <v>93</v>
      </c>
      <c r="D62" s="5" t="s">
        <v>23</v>
      </c>
      <c r="E62" s="7">
        <v>69.75</v>
      </c>
      <c r="F62" s="7">
        <v>27.016667000000002</v>
      </c>
      <c r="G62" s="7">
        <v>80</v>
      </c>
      <c r="I62" s="5" t="s">
        <v>158</v>
      </c>
      <c r="J62" s="5" t="s">
        <v>41</v>
      </c>
      <c r="K62" s="42">
        <v>44008</v>
      </c>
      <c r="L62" s="43"/>
      <c r="M62" s="43"/>
      <c r="N62" s="44">
        <v>-7.2574163884620164</v>
      </c>
      <c r="O62" s="45">
        <v>-53.488850788058016</v>
      </c>
      <c r="P62" s="35">
        <f t="shared" si="1"/>
        <v>4.570480319638115</v>
      </c>
      <c r="Q62" s="7">
        <v>14.5</v>
      </c>
      <c r="R62" s="7">
        <v>6.1</v>
      </c>
      <c r="S62" s="7">
        <v>1015.0500000000001</v>
      </c>
      <c r="T62" s="7">
        <v>70.833333333333329</v>
      </c>
      <c r="U62" s="7"/>
    </row>
    <row r="63" spans="1:21" x14ac:dyDescent="0.35">
      <c r="A63" s="5" t="s">
        <v>20</v>
      </c>
      <c r="B63" s="5" t="s">
        <v>21</v>
      </c>
      <c r="C63" s="5" t="s">
        <v>93</v>
      </c>
      <c r="D63" s="5" t="s">
        <v>23</v>
      </c>
      <c r="E63" s="7">
        <v>69.75</v>
      </c>
      <c r="F63" s="7">
        <v>27.016667000000002</v>
      </c>
      <c r="G63" s="7">
        <v>80</v>
      </c>
      <c r="I63" s="5" t="s">
        <v>159</v>
      </c>
      <c r="J63" s="5" t="s">
        <v>41</v>
      </c>
      <c r="K63" s="42">
        <v>44012</v>
      </c>
      <c r="L63" s="43"/>
      <c r="M63" s="43"/>
      <c r="N63" s="44">
        <v>-12.721326197163199</v>
      </c>
      <c r="O63" s="45">
        <v>-90.531769005546636</v>
      </c>
      <c r="P63" s="35">
        <f t="shared" si="1"/>
        <v>11.238840571758956</v>
      </c>
      <c r="Q63" s="7">
        <v>5.7</v>
      </c>
      <c r="R63" s="7">
        <v>18.8</v>
      </c>
      <c r="S63" s="7">
        <v>996.23333333333346</v>
      </c>
      <c r="T63" s="7">
        <v>95.875</v>
      </c>
      <c r="U63" s="7"/>
    </row>
    <row r="64" spans="1:21" x14ac:dyDescent="0.35">
      <c r="A64" s="5" t="s">
        <v>20</v>
      </c>
      <c r="B64" s="5" t="s">
        <v>21</v>
      </c>
      <c r="C64" s="5" t="s">
        <v>93</v>
      </c>
      <c r="D64" s="5" t="s">
        <v>23</v>
      </c>
      <c r="E64" s="7">
        <v>69.75</v>
      </c>
      <c r="F64" s="7">
        <v>27.016667000000002</v>
      </c>
      <c r="G64" s="7">
        <v>80</v>
      </c>
      <c r="I64" s="5" t="s">
        <v>160</v>
      </c>
      <c r="J64" s="5" t="s">
        <v>41</v>
      </c>
      <c r="K64" s="42">
        <v>44014</v>
      </c>
      <c r="L64" s="43">
        <v>44012</v>
      </c>
      <c r="M64" s="43">
        <v>44014</v>
      </c>
      <c r="N64" s="44">
        <v>-12.480822637910022</v>
      </c>
      <c r="O64" s="45">
        <v>-91.865214254797309</v>
      </c>
      <c r="P64" s="35">
        <f t="shared" si="1"/>
        <v>7.9813668484828639</v>
      </c>
      <c r="Q64" s="7">
        <v>8.6</v>
      </c>
      <c r="R64" s="7">
        <v>18.3</v>
      </c>
      <c r="S64" s="7">
        <v>993.95416666666677</v>
      </c>
      <c r="T64" s="7">
        <v>79.791666666666671</v>
      </c>
      <c r="U64" s="7"/>
    </row>
    <row r="65" spans="1:21" x14ac:dyDescent="0.35">
      <c r="A65" s="5" t="s">
        <v>20</v>
      </c>
      <c r="B65" s="5" t="s">
        <v>21</v>
      </c>
      <c r="C65" s="5" t="s">
        <v>93</v>
      </c>
      <c r="D65" s="5" t="s">
        <v>23</v>
      </c>
      <c r="E65" s="7">
        <v>69.75</v>
      </c>
      <c r="F65" s="7">
        <v>27.016667000000002</v>
      </c>
      <c r="G65" s="7">
        <v>80</v>
      </c>
      <c r="I65" s="5" t="s">
        <v>161</v>
      </c>
      <c r="J65" s="5" t="s">
        <v>41</v>
      </c>
      <c r="K65" s="42">
        <v>44018</v>
      </c>
      <c r="L65" s="43">
        <v>44015</v>
      </c>
      <c r="M65" s="43">
        <v>44018</v>
      </c>
      <c r="N65" s="44">
        <v>-13.634856068972889</v>
      </c>
      <c r="O65" s="45">
        <v>-99.353489449406666</v>
      </c>
      <c r="P65" s="35">
        <f t="shared" si="1"/>
        <v>9.7253591023764443</v>
      </c>
      <c r="Q65" s="7">
        <v>16.256</v>
      </c>
      <c r="R65" s="7">
        <v>10.199999999999999</v>
      </c>
      <c r="S65" s="7"/>
      <c r="T65" s="7"/>
      <c r="U65" s="7"/>
    </row>
    <row r="66" spans="1:21" x14ac:dyDescent="0.35">
      <c r="A66" s="5" t="s">
        <v>20</v>
      </c>
      <c r="B66" s="5" t="s">
        <v>21</v>
      </c>
      <c r="C66" s="5" t="s">
        <v>93</v>
      </c>
      <c r="D66" s="5" t="s">
        <v>23</v>
      </c>
      <c r="E66" s="7">
        <v>69.75</v>
      </c>
      <c r="F66" s="7">
        <v>27.016667000000002</v>
      </c>
      <c r="G66" s="7">
        <v>80</v>
      </c>
      <c r="I66" s="5" t="s">
        <v>162</v>
      </c>
      <c r="J66" s="5" t="s">
        <v>41</v>
      </c>
      <c r="K66" s="42">
        <v>44019</v>
      </c>
      <c r="L66" s="43"/>
      <c r="M66" s="43"/>
      <c r="N66" s="44">
        <v>-14.641096387473727</v>
      </c>
      <c r="O66" s="45">
        <v>-111.88617887603438</v>
      </c>
      <c r="P66" s="35">
        <f t="shared" si="1"/>
        <v>5.2425922237554374</v>
      </c>
      <c r="Q66" s="7">
        <v>3.556</v>
      </c>
      <c r="R66" s="7">
        <v>11.4</v>
      </c>
      <c r="S66" s="7"/>
      <c r="T66" s="7"/>
      <c r="U66" s="7"/>
    </row>
    <row r="67" spans="1:21" x14ac:dyDescent="0.35">
      <c r="A67" s="5" t="s">
        <v>20</v>
      </c>
      <c r="B67" s="5" t="s">
        <v>21</v>
      </c>
      <c r="C67" s="5" t="s">
        <v>93</v>
      </c>
      <c r="D67" s="5" t="s">
        <v>23</v>
      </c>
      <c r="E67" s="7">
        <v>69.75</v>
      </c>
      <c r="F67" s="7">
        <v>27.016667000000002</v>
      </c>
      <c r="G67" s="7">
        <v>80</v>
      </c>
      <c r="I67" s="5" t="s">
        <v>163</v>
      </c>
      <c r="J67" s="5" t="s">
        <v>41</v>
      </c>
      <c r="K67" s="42">
        <v>44020</v>
      </c>
      <c r="L67" s="43"/>
      <c r="M67" s="43"/>
      <c r="N67" s="44">
        <v>-14.601573408386477</v>
      </c>
      <c r="O67" s="45">
        <v>-107.39383117736476</v>
      </c>
      <c r="P67" s="35">
        <f t="shared" si="1"/>
        <v>9.4187560897270544</v>
      </c>
      <c r="Q67" s="7">
        <v>10.16</v>
      </c>
      <c r="R67" s="7">
        <v>13.8</v>
      </c>
      <c r="S67" s="7"/>
      <c r="T67" s="7"/>
      <c r="U67" s="7"/>
    </row>
    <row r="68" spans="1:21" x14ac:dyDescent="0.35">
      <c r="A68" s="5" t="s">
        <v>20</v>
      </c>
      <c r="B68" s="5" t="s">
        <v>21</v>
      </c>
      <c r="C68" s="5" t="s">
        <v>93</v>
      </c>
      <c r="D68" s="5" t="s">
        <v>23</v>
      </c>
      <c r="E68" s="7">
        <v>69.75</v>
      </c>
      <c r="F68" s="7">
        <v>27.016667000000002</v>
      </c>
      <c r="G68" s="7">
        <v>80</v>
      </c>
      <c r="I68" s="5" t="s">
        <v>164</v>
      </c>
      <c r="J68" s="5" t="s">
        <v>41</v>
      </c>
      <c r="K68" s="42">
        <v>44021</v>
      </c>
      <c r="L68" s="43"/>
      <c r="M68" s="43"/>
      <c r="N68" s="44">
        <v>-12.693178132459298</v>
      </c>
      <c r="O68" s="45">
        <v>-91.396865266929808</v>
      </c>
      <c r="P68" s="35">
        <f t="shared" si="1"/>
        <v>10.148559792744578</v>
      </c>
      <c r="Q68" s="7">
        <v>20.065999999999999</v>
      </c>
      <c r="R68" s="7">
        <v>12.2</v>
      </c>
      <c r="S68" s="7"/>
      <c r="T68" s="7"/>
      <c r="U68" s="7"/>
    </row>
    <row r="69" spans="1:21" x14ac:dyDescent="0.35">
      <c r="A69" s="5" t="s">
        <v>20</v>
      </c>
      <c r="B69" s="5" t="s">
        <v>21</v>
      </c>
      <c r="C69" s="5" t="s">
        <v>93</v>
      </c>
      <c r="D69" s="5" t="s">
        <v>23</v>
      </c>
      <c r="E69" s="7">
        <v>69.75</v>
      </c>
      <c r="F69" s="7">
        <v>27.016667000000002</v>
      </c>
      <c r="G69" s="7">
        <v>80</v>
      </c>
      <c r="I69" s="5" t="s">
        <v>165</v>
      </c>
      <c r="J69" s="5" t="s">
        <v>41</v>
      </c>
      <c r="K69" s="42">
        <v>44025</v>
      </c>
      <c r="L69" s="43">
        <v>44022</v>
      </c>
      <c r="M69" s="43">
        <v>44025</v>
      </c>
      <c r="N69" s="44">
        <v>-10.975524190387972</v>
      </c>
      <c r="O69" s="45">
        <v>-86.325656427823617</v>
      </c>
      <c r="P69" s="35">
        <f t="shared" si="1"/>
        <v>1.47853709528016</v>
      </c>
      <c r="Q69" s="7">
        <v>3.556</v>
      </c>
      <c r="R69" s="7">
        <v>9.6</v>
      </c>
      <c r="S69" s="7"/>
      <c r="T69" s="7"/>
      <c r="U69" s="7"/>
    </row>
    <row r="70" spans="1:21" x14ac:dyDescent="0.35">
      <c r="A70" s="5" t="s">
        <v>20</v>
      </c>
      <c r="B70" s="5" t="s">
        <v>21</v>
      </c>
      <c r="C70" s="5" t="s">
        <v>93</v>
      </c>
      <c r="D70" s="5" t="s">
        <v>23</v>
      </c>
      <c r="E70" s="7">
        <v>69.75</v>
      </c>
      <c r="F70" s="7">
        <v>27.016667000000002</v>
      </c>
      <c r="G70" s="7">
        <v>80</v>
      </c>
      <c r="I70" s="5" t="s">
        <v>166</v>
      </c>
      <c r="J70" s="5" t="s">
        <v>41</v>
      </c>
      <c r="K70" s="42">
        <v>44028</v>
      </c>
      <c r="L70" s="43"/>
      <c r="M70" s="43"/>
      <c r="N70" s="44">
        <v>-13.867329740995405</v>
      </c>
      <c r="O70" s="45">
        <v>-107.41309362145779</v>
      </c>
      <c r="P70" s="35">
        <f t="shared" si="1"/>
        <v>3.5255443065054521</v>
      </c>
      <c r="Q70" s="7">
        <v>4.3180000000000005</v>
      </c>
      <c r="R70" s="7">
        <v>16.899999999999999</v>
      </c>
      <c r="S70" s="7"/>
      <c r="T70" s="7"/>
      <c r="U70" s="7"/>
    </row>
    <row r="71" spans="1:21" x14ac:dyDescent="0.35">
      <c r="A71" s="5" t="s">
        <v>20</v>
      </c>
      <c r="B71" s="5" t="s">
        <v>21</v>
      </c>
      <c r="C71" s="5" t="s">
        <v>93</v>
      </c>
      <c r="D71" s="5" t="s">
        <v>23</v>
      </c>
      <c r="E71" s="7">
        <v>69.75</v>
      </c>
      <c r="F71" s="7">
        <v>27.016667000000002</v>
      </c>
      <c r="G71" s="7">
        <v>80</v>
      </c>
      <c r="I71" s="5" t="s">
        <v>167</v>
      </c>
      <c r="J71" s="5" t="s">
        <v>41</v>
      </c>
      <c r="K71" s="42">
        <v>44029</v>
      </c>
      <c r="L71" s="43"/>
      <c r="M71" s="43"/>
      <c r="N71" s="44">
        <v>-15.675321920980441</v>
      </c>
      <c r="O71" s="45">
        <v>-116.48076570104391</v>
      </c>
      <c r="P71" s="35">
        <f t="shared" si="1"/>
        <v>8.9218096667996178</v>
      </c>
      <c r="Q71" s="7">
        <v>5.8419999999999996</v>
      </c>
      <c r="R71" s="7">
        <v>22.1</v>
      </c>
      <c r="S71" s="7"/>
      <c r="T71" s="7"/>
      <c r="U71" s="7"/>
    </row>
    <row r="72" spans="1:21" x14ac:dyDescent="0.35">
      <c r="A72" s="5" t="s">
        <v>20</v>
      </c>
      <c r="B72" s="5" t="s">
        <v>21</v>
      </c>
      <c r="C72" s="5" t="s">
        <v>93</v>
      </c>
      <c r="D72" s="5" t="s">
        <v>23</v>
      </c>
      <c r="E72" s="7">
        <v>69.75</v>
      </c>
      <c r="F72" s="7">
        <v>27.016667000000002</v>
      </c>
      <c r="G72" s="7">
        <v>80</v>
      </c>
      <c r="I72" s="5" t="s">
        <v>168</v>
      </c>
      <c r="J72" s="5" t="s">
        <v>41</v>
      </c>
      <c r="K72" s="42">
        <v>44031</v>
      </c>
      <c r="L72" s="43">
        <v>44030</v>
      </c>
      <c r="M72" s="43">
        <v>44031</v>
      </c>
      <c r="N72" s="44">
        <v>-10.758516031921337</v>
      </c>
      <c r="O72" s="45">
        <v>-77.579272037532689</v>
      </c>
      <c r="P72" s="35">
        <f t="shared" si="1"/>
        <v>8.4888562178380056</v>
      </c>
      <c r="Q72" s="7">
        <v>5.3339999999999996</v>
      </c>
      <c r="R72" s="7">
        <v>16.8</v>
      </c>
      <c r="S72" s="7"/>
      <c r="T72" s="7"/>
      <c r="U72" s="7"/>
    </row>
    <row r="73" spans="1:21" x14ac:dyDescent="0.35">
      <c r="A73" s="5" t="s">
        <v>20</v>
      </c>
      <c r="B73" s="5" t="s">
        <v>21</v>
      </c>
      <c r="C73" s="5" t="s">
        <v>93</v>
      </c>
      <c r="D73" s="5" t="s">
        <v>23</v>
      </c>
      <c r="E73" s="7">
        <v>69.75</v>
      </c>
      <c r="F73" s="7">
        <v>27.016667000000002</v>
      </c>
      <c r="G73" s="7">
        <v>80</v>
      </c>
      <c r="I73" s="5" t="s">
        <v>169</v>
      </c>
      <c r="J73" s="5" t="s">
        <v>41</v>
      </c>
      <c r="K73" s="42">
        <v>44032</v>
      </c>
      <c r="L73" s="43">
        <v>44031</v>
      </c>
      <c r="M73" s="43">
        <v>44032</v>
      </c>
      <c r="N73" s="44">
        <v>-8.6058638355481136</v>
      </c>
      <c r="O73" s="45">
        <v>-63.825393046289456</v>
      </c>
      <c r="P73" s="35">
        <f t="shared" si="1"/>
        <v>5.0215176380954532</v>
      </c>
      <c r="Q73" s="7">
        <v>12.446</v>
      </c>
      <c r="R73" s="7">
        <v>14.9</v>
      </c>
      <c r="S73" s="7"/>
      <c r="T73" s="7"/>
      <c r="U73" s="7"/>
    </row>
    <row r="74" spans="1:21" x14ac:dyDescent="0.35">
      <c r="A74" s="5" t="s">
        <v>20</v>
      </c>
      <c r="B74" s="5" t="s">
        <v>21</v>
      </c>
      <c r="C74" s="5" t="s">
        <v>93</v>
      </c>
      <c r="D74" s="5" t="s">
        <v>23</v>
      </c>
      <c r="E74" s="7">
        <v>69.75</v>
      </c>
      <c r="F74" s="7">
        <v>27.016667000000002</v>
      </c>
      <c r="G74" s="7">
        <v>80</v>
      </c>
      <c r="I74" s="5" t="s">
        <v>170</v>
      </c>
      <c r="J74" s="5" t="s">
        <v>41</v>
      </c>
      <c r="K74" s="42">
        <v>44033</v>
      </c>
      <c r="L74" s="43">
        <v>44032</v>
      </c>
      <c r="M74" s="43">
        <v>44033</v>
      </c>
      <c r="N74" s="44">
        <v>-7.3740234066051515</v>
      </c>
      <c r="O74" s="45">
        <v>-53.710140353336463</v>
      </c>
      <c r="P74" s="35">
        <f t="shared" si="1"/>
        <v>5.2820468995047491</v>
      </c>
      <c r="Q74" s="7">
        <v>13.462</v>
      </c>
      <c r="R74" s="7">
        <v>15.1</v>
      </c>
      <c r="S74" s="7"/>
      <c r="T74" s="7"/>
      <c r="U74" s="7"/>
    </row>
    <row r="75" spans="1:21" x14ac:dyDescent="0.35">
      <c r="A75" s="5" t="s">
        <v>20</v>
      </c>
      <c r="B75" s="5" t="s">
        <v>21</v>
      </c>
      <c r="C75" s="5" t="s">
        <v>93</v>
      </c>
      <c r="D75" s="5" t="s">
        <v>23</v>
      </c>
      <c r="E75" s="7">
        <v>69.75</v>
      </c>
      <c r="F75" s="7">
        <v>27.016667000000002</v>
      </c>
      <c r="G75" s="7">
        <v>80</v>
      </c>
      <c r="I75" s="5" t="s">
        <v>171</v>
      </c>
      <c r="J75" s="5" t="s">
        <v>41</v>
      </c>
      <c r="K75" s="42">
        <v>44034</v>
      </c>
      <c r="L75" s="43">
        <v>44033</v>
      </c>
      <c r="M75" s="43">
        <v>44034</v>
      </c>
      <c r="N75" s="44">
        <v>-8.6993933699098669</v>
      </c>
      <c r="O75" s="45">
        <v>-63.977516963742062</v>
      </c>
      <c r="P75" s="35">
        <f t="shared" si="1"/>
        <v>5.6176299955368734</v>
      </c>
      <c r="Q75" s="7">
        <v>5.3339999999999996</v>
      </c>
      <c r="R75" s="7">
        <v>14.7</v>
      </c>
      <c r="S75" s="7"/>
      <c r="T75" s="7"/>
      <c r="U75" s="7"/>
    </row>
    <row r="76" spans="1:21" x14ac:dyDescent="0.35">
      <c r="A76" s="5" t="s">
        <v>20</v>
      </c>
      <c r="B76" s="5" t="s">
        <v>21</v>
      </c>
      <c r="C76" s="5" t="s">
        <v>93</v>
      </c>
      <c r="D76" s="5" t="s">
        <v>23</v>
      </c>
      <c r="E76" s="7">
        <v>69.75</v>
      </c>
      <c r="F76" s="7">
        <v>27.016667000000002</v>
      </c>
      <c r="G76" s="7">
        <v>80</v>
      </c>
      <c r="I76" s="5" t="s">
        <v>172</v>
      </c>
      <c r="J76" s="5" t="s">
        <v>41</v>
      </c>
      <c r="K76" s="42">
        <v>44035</v>
      </c>
      <c r="L76" s="43">
        <v>44034</v>
      </c>
      <c r="M76" s="43">
        <v>44035</v>
      </c>
      <c r="N76" s="44">
        <v>-7.8225232997256766</v>
      </c>
      <c r="O76" s="45">
        <v>-55.539578633351006</v>
      </c>
      <c r="P76" s="35">
        <f t="shared" si="1"/>
        <v>7.0406077644544069</v>
      </c>
      <c r="Q76" s="7">
        <v>5.3339999999999996</v>
      </c>
      <c r="R76" s="7">
        <v>11.1</v>
      </c>
      <c r="S76" s="7"/>
      <c r="T76" s="7"/>
      <c r="U76" s="7"/>
    </row>
    <row r="77" spans="1:21" x14ac:dyDescent="0.35">
      <c r="A77" s="5" t="s">
        <v>20</v>
      </c>
      <c r="B77" s="5" t="s">
        <v>21</v>
      </c>
      <c r="C77" s="5" t="s">
        <v>93</v>
      </c>
      <c r="D77" s="5" t="s">
        <v>23</v>
      </c>
      <c r="E77" s="7">
        <v>69.75</v>
      </c>
      <c r="F77" s="7">
        <v>27.016667000000002</v>
      </c>
      <c r="G77" s="7">
        <v>80</v>
      </c>
      <c r="I77" s="5" t="s">
        <v>173</v>
      </c>
      <c r="J77" s="5" t="s">
        <v>41</v>
      </c>
      <c r="K77" s="42">
        <v>44036</v>
      </c>
      <c r="L77" s="43">
        <v>44035</v>
      </c>
      <c r="M77" s="43">
        <v>44036</v>
      </c>
      <c r="N77" s="44">
        <v>-7.5070759200541524</v>
      </c>
      <c r="O77" s="45">
        <v>-55.966315856334965</v>
      </c>
      <c r="P77" s="35">
        <f t="shared" si="1"/>
        <v>4.0902915040982535</v>
      </c>
      <c r="Q77" s="7">
        <v>0.254</v>
      </c>
      <c r="R77" s="7">
        <v>13.9</v>
      </c>
      <c r="S77" s="7"/>
      <c r="T77" s="7"/>
      <c r="U77" s="7"/>
    </row>
    <row r="78" spans="1:21" x14ac:dyDescent="0.35">
      <c r="A78" s="5" t="s">
        <v>20</v>
      </c>
      <c r="B78" s="5" t="s">
        <v>21</v>
      </c>
      <c r="C78" s="5" t="s">
        <v>93</v>
      </c>
      <c r="D78" s="5" t="s">
        <v>23</v>
      </c>
      <c r="E78" s="7">
        <v>69.75</v>
      </c>
      <c r="F78" s="7">
        <v>27.016667000000002</v>
      </c>
      <c r="G78" s="7">
        <v>80</v>
      </c>
      <c r="I78" s="5" t="s">
        <v>174</v>
      </c>
      <c r="J78" s="5" t="s">
        <v>41</v>
      </c>
      <c r="K78" s="42">
        <v>44039</v>
      </c>
      <c r="L78" s="43">
        <v>44038</v>
      </c>
      <c r="M78" s="43">
        <v>44039</v>
      </c>
      <c r="N78" s="44">
        <v>-6.8005719833268019</v>
      </c>
      <c r="O78" s="45">
        <v>-56.39083048961588</v>
      </c>
      <c r="P78" s="35">
        <f t="shared" si="1"/>
        <v>-1.9862546230014644</v>
      </c>
      <c r="Q78" s="7">
        <v>0.38099999999999995</v>
      </c>
      <c r="R78" s="7">
        <v>14.3</v>
      </c>
      <c r="S78" s="7"/>
      <c r="T78" s="7"/>
      <c r="U78" s="7"/>
    </row>
    <row r="79" spans="1:21" x14ac:dyDescent="0.35">
      <c r="A79" s="5" t="s">
        <v>20</v>
      </c>
      <c r="B79" s="5" t="s">
        <v>21</v>
      </c>
      <c r="C79" s="5" t="s">
        <v>93</v>
      </c>
      <c r="D79" s="5" t="s">
        <v>23</v>
      </c>
      <c r="E79" s="7">
        <v>69.75</v>
      </c>
      <c r="F79" s="7">
        <v>27.016667000000002</v>
      </c>
      <c r="G79" s="7">
        <v>80</v>
      </c>
      <c r="I79" s="5" t="s">
        <v>175</v>
      </c>
      <c r="J79" s="5" t="s">
        <v>41</v>
      </c>
      <c r="K79" s="42">
        <v>44046</v>
      </c>
      <c r="L79" s="43"/>
      <c r="M79" s="43"/>
      <c r="N79" s="44">
        <v>-12.791617353664186</v>
      </c>
      <c r="O79" s="45">
        <v>-98.822290510379759</v>
      </c>
      <c r="P79" s="35">
        <f t="shared" si="1"/>
        <v>3.5106483189337325</v>
      </c>
      <c r="Q79" s="7">
        <v>0.50800000000000001</v>
      </c>
      <c r="R79" s="7">
        <v>9</v>
      </c>
      <c r="S79" s="7"/>
      <c r="T79" s="7"/>
      <c r="U79" s="7"/>
    </row>
    <row r="80" spans="1:21" x14ac:dyDescent="0.35">
      <c r="A80" s="5" t="s">
        <v>20</v>
      </c>
      <c r="B80" s="5" t="s">
        <v>21</v>
      </c>
      <c r="C80" s="5" t="s">
        <v>93</v>
      </c>
      <c r="D80" s="5" t="s">
        <v>23</v>
      </c>
      <c r="E80" s="7">
        <v>69.75</v>
      </c>
      <c r="F80" s="7">
        <v>27.016667000000002</v>
      </c>
      <c r="G80" s="7">
        <v>80</v>
      </c>
      <c r="I80" s="5" t="s">
        <v>176</v>
      </c>
      <c r="J80" s="5" t="s">
        <v>41</v>
      </c>
      <c r="K80" s="42">
        <v>44053</v>
      </c>
      <c r="L80" s="43"/>
      <c r="M80" s="43"/>
      <c r="N80" s="44">
        <v>-10.256009583526311</v>
      </c>
      <c r="O80" s="45">
        <v>-71.135737534004164</v>
      </c>
      <c r="P80" s="35">
        <f t="shared" si="1"/>
        <v>10.91233913420632</v>
      </c>
      <c r="Q80" s="7">
        <v>19.812000000000001</v>
      </c>
      <c r="R80" s="7">
        <v>11.1</v>
      </c>
      <c r="S80" s="7"/>
      <c r="T80" s="7"/>
      <c r="U80" s="7"/>
    </row>
    <row r="81" spans="1:21" x14ac:dyDescent="0.35">
      <c r="A81" s="5" t="s">
        <v>20</v>
      </c>
      <c r="B81" s="5" t="s">
        <v>21</v>
      </c>
      <c r="C81" s="5" t="s">
        <v>93</v>
      </c>
      <c r="D81" s="5" t="s">
        <v>23</v>
      </c>
      <c r="E81" s="7">
        <v>69.75</v>
      </c>
      <c r="F81" s="7">
        <v>27.016667000000002</v>
      </c>
      <c r="G81" s="7">
        <v>80</v>
      </c>
      <c r="I81" s="5" t="s">
        <v>177</v>
      </c>
      <c r="J81" s="5" t="s">
        <v>41</v>
      </c>
      <c r="K81" s="42">
        <v>44057</v>
      </c>
      <c r="L81" s="43"/>
      <c r="M81" s="43"/>
      <c r="N81" s="44">
        <v>-14.092684367095373</v>
      </c>
      <c r="O81" s="45">
        <v>-105.59353351790119</v>
      </c>
      <c r="P81" s="35">
        <f t="shared" si="1"/>
        <v>7.1479414188617909</v>
      </c>
      <c r="Q81" s="7">
        <v>6.35</v>
      </c>
      <c r="R81" s="7">
        <v>11</v>
      </c>
      <c r="S81" s="7"/>
      <c r="T81" s="7"/>
      <c r="U81" s="7"/>
    </row>
    <row r="82" spans="1:21" x14ac:dyDescent="0.35">
      <c r="A82" s="5" t="s">
        <v>20</v>
      </c>
      <c r="B82" s="5" t="s">
        <v>21</v>
      </c>
      <c r="C82" s="5" t="s">
        <v>93</v>
      </c>
      <c r="D82" s="5" t="s">
        <v>23</v>
      </c>
      <c r="E82" s="7">
        <v>69.75</v>
      </c>
      <c r="F82" s="7">
        <v>27.016667000000002</v>
      </c>
      <c r="G82" s="7">
        <v>80</v>
      </c>
      <c r="I82" s="5" t="s">
        <v>178</v>
      </c>
      <c r="J82" s="5" t="s">
        <v>41</v>
      </c>
      <c r="K82" s="42">
        <v>44060</v>
      </c>
      <c r="L82" s="43">
        <v>44058</v>
      </c>
      <c r="M82" s="43">
        <v>44060</v>
      </c>
      <c r="N82" s="44">
        <v>-9.5</v>
      </c>
      <c r="O82" s="45">
        <v>-69.81</v>
      </c>
      <c r="P82" s="35">
        <f t="shared" si="1"/>
        <v>6.1899999999999977</v>
      </c>
      <c r="Q82" s="7">
        <v>16.001999999999999</v>
      </c>
      <c r="R82" s="7">
        <v>7.1</v>
      </c>
      <c r="S82" s="7"/>
      <c r="T82" s="7"/>
      <c r="U82" s="7"/>
    </row>
    <row r="83" spans="1:21" x14ac:dyDescent="0.35">
      <c r="A83" s="5" t="s">
        <v>20</v>
      </c>
      <c r="B83" s="5" t="s">
        <v>21</v>
      </c>
      <c r="C83" s="5" t="s">
        <v>93</v>
      </c>
      <c r="D83" s="5" t="s">
        <v>23</v>
      </c>
      <c r="E83" s="7">
        <v>69.75</v>
      </c>
      <c r="F83" s="7">
        <v>27.016667000000002</v>
      </c>
      <c r="G83" s="7">
        <v>80</v>
      </c>
      <c r="I83" s="5" t="s">
        <v>179</v>
      </c>
      <c r="J83" s="5" t="s">
        <v>41</v>
      </c>
      <c r="K83" s="42">
        <v>44061</v>
      </c>
      <c r="L83" s="43"/>
      <c r="M83" s="43"/>
      <c r="N83" s="44">
        <v>-7.28</v>
      </c>
      <c r="O83" s="45">
        <v>-52.86</v>
      </c>
      <c r="P83" s="35">
        <f t="shared" si="1"/>
        <v>5.3800000000000026</v>
      </c>
      <c r="Q83" s="7">
        <v>17.779999999999998</v>
      </c>
      <c r="R83" s="7">
        <v>8.1999999999999993</v>
      </c>
      <c r="S83" s="7"/>
      <c r="T83" s="7"/>
      <c r="U83" s="7"/>
    </row>
    <row r="84" spans="1:21" x14ac:dyDescent="0.35">
      <c r="A84" s="5" t="s">
        <v>20</v>
      </c>
      <c r="B84" s="5" t="s">
        <v>21</v>
      </c>
      <c r="C84" s="5" t="s">
        <v>93</v>
      </c>
      <c r="D84" s="5" t="s">
        <v>23</v>
      </c>
      <c r="E84" s="7">
        <v>69.75</v>
      </c>
      <c r="F84" s="7">
        <v>27.016667000000002</v>
      </c>
      <c r="G84" s="7">
        <v>80</v>
      </c>
      <c r="I84" s="5" t="s">
        <v>180</v>
      </c>
      <c r="J84" s="5" t="s">
        <v>41</v>
      </c>
      <c r="K84" s="42">
        <v>44063</v>
      </c>
      <c r="L84" s="43">
        <v>44062</v>
      </c>
      <c r="M84" s="43">
        <v>44063</v>
      </c>
      <c r="N84" s="44">
        <v>-9.7041607823577625</v>
      </c>
      <c r="O84" s="45">
        <v>-67.147917697924939</v>
      </c>
      <c r="P84" s="35">
        <f t="shared" si="1"/>
        <v>10.485368560937161</v>
      </c>
      <c r="Q84" s="7">
        <v>2.794</v>
      </c>
      <c r="R84" s="7">
        <v>10.7</v>
      </c>
      <c r="S84" s="7"/>
      <c r="T84" s="7"/>
      <c r="U84" s="7"/>
    </row>
    <row r="85" spans="1:21" x14ac:dyDescent="0.35">
      <c r="A85" s="5" t="s">
        <v>20</v>
      </c>
      <c r="B85" s="5" t="s">
        <v>21</v>
      </c>
      <c r="C85" s="5" t="s">
        <v>93</v>
      </c>
      <c r="D85" s="5" t="s">
        <v>23</v>
      </c>
      <c r="E85" s="7">
        <v>69.75</v>
      </c>
      <c r="F85" s="7">
        <v>27.016667000000002</v>
      </c>
      <c r="G85" s="7">
        <v>80</v>
      </c>
      <c r="I85" s="5" t="s">
        <v>181</v>
      </c>
      <c r="J85" s="5" t="s">
        <v>41</v>
      </c>
      <c r="K85" s="42">
        <v>44067</v>
      </c>
      <c r="L85" s="43">
        <v>44064</v>
      </c>
      <c r="M85" s="43">
        <v>44067</v>
      </c>
      <c r="N85" s="44">
        <v>-7.8343065481492049</v>
      </c>
      <c r="O85" s="45">
        <v>-61.612187610883097</v>
      </c>
      <c r="P85" s="35">
        <f t="shared" si="1"/>
        <v>1.0622647743105418</v>
      </c>
      <c r="Q85" s="7">
        <v>2.8702000000000001</v>
      </c>
      <c r="R85" s="7">
        <v>12.4</v>
      </c>
      <c r="S85" s="7"/>
      <c r="T85" s="7"/>
      <c r="U85" s="7"/>
    </row>
    <row r="86" spans="1:21" x14ac:dyDescent="0.35">
      <c r="A86" s="5" t="s">
        <v>20</v>
      </c>
      <c r="B86" s="5" t="s">
        <v>21</v>
      </c>
      <c r="C86" s="5" t="s">
        <v>93</v>
      </c>
      <c r="D86" s="5" t="s">
        <v>23</v>
      </c>
      <c r="E86" s="7">
        <v>69.75</v>
      </c>
      <c r="F86" s="7">
        <v>27.016667000000002</v>
      </c>
      <c r="G86" s="7">
        <v>80</v>
      </c>
      <c r="I86" s="5" t="s">
        <v>182</v>
      </c>
      <c r="J86" s="5" t="s">
        <v>41</v>
      </c>
      <c r="K86" s="42">
        <v>44071</v>
      </c>
      <c r="L86" s="43"/>
      <c r="M86" s="43"/>
      <c r="N86" s="44">
        <v>-1.9</v>
      </c>
      <c r="O86" s="45">
        <v>-2</v>
      </c>
      <c r="P86" s="35">
        <f t="shared" si="1"/>
        <v>13.2</v>
      </c>
      <c r="Q86" s="7">
        <v>0.254</v>
      </c>
      <c r="R86" s="7">
        <v>4.2</v>
      </c>
      <c r="S86" s="7"/>
      <c r="T86" s="7"/>
      <c r="U86" s="7"/>
    </row>
    <row r="87" spans="1:21" x14ac:dyDescent="0.35">
      <c r="A87" s="5" t="s">
        <v>20</v>
      </c>
      <c r="B87" s="5" t="s">
        <v>21</v>
      </c>
      <c r="C87" s="5" t="s">
        <v>93</v>
      </c>
      <c r="D87" s="5" t="s">
        <v>23</v>
      </c>
      <c r="E87" s="7">
        <v>69.75</v>
      </c>
      <c r="F87" s="7">
        <v>27.016667000000002</v>
      </c>
      <c r="G87" s="7">
        <v>80</v>
      </c>
      <c r="I87" s="5" t="s">
        <v>183</v>
      </c>
      <c r="J87" s="5" t="s">
        <v>41</v>
      </c>
      <c r="K87" s="42">
        <v>44074</v>
      </c>
      <c r="L87" s="43">
        <v>44069</v>
      </c>
      <c r="M87" s="43">
        <v>44074</v>
      </c>
      <c r="N87" s="44">
        <v>-9.1999999999999993</v>
      </c>
      <c r="O87" s="45">
        <v>-59.83</v>
      </c>
      <c r="P87" s="35">
        <f t="shared" si="1"/>
        <v>13.769999999999996</v>
      </c>
      <c r="Q87" s="7">
        <v>6.35</v>
      </c>
      <c r="R87" s="7">
        <v>3.7</v>
      </c>
      <c r="S87" s="7"/>
      <c r="T87" s="7"/>
      <c r="U87" s="7"/>
    </row>
    <row r="88" spans="1:21" x14ac:dyDescent="0.35">
      <c r="A88" s="5" t="s">
        <v>20</v>
      </c>
      <c r="B88" s="5" t="s">
        <v>21</v>
      </c>
      <c r="C88" s="5" t="s">
        <v>93</v>
      </c>
      <c r="D88" s="5" t="s">
        <v>23</v>
      </c>
      <c r="E88" s="7">
        <v>69.75</v>
      </c>
      <c r="F88" s="7">
        <v>27.016667000000002</v>
      </c>
      <c r="G88" s="7">
        <v>80</v>
      </c>
      <c r="I88" s="5" t="s">
        <v>184</v>
      </c>
      <c r="J88" s="5" t="s">
        <v>41</v>
      </c>
      <c r="K88" s="42">
        <v>44075</v>
      </c>
      <c r="L88" s="43"/>
      <c r="M88" s="43"/>
      <c r="N88" s="44">
        <v>-10.633319017421355</v>
      </c>
      <c r="O88" s="45">
        <v>-83.495064963794633</v>
      </c>
      <c r="P88" s="35">
        <f>O88-(8*N88)</f>
        <v>1.571487175576209</v>
      </c>
      <c r="Q88" s="7">
        <v>1.27</v>
      </c>
      <c r="R88" s="7">
        <v>9.5</v>
      </c>
      <c r="S88" s="7"/>
      <c r="T88" s="7"/>
      <c r="U88" s="7"/>
    </row>
    <row r="89" spans="1:21" x14ac:dyDescent="0.35">
      <c r="A89" s="5" t="s">
        <v>20</v>
      </c>
      <c r="B89" s="5" t="s">
        <v>21</v>
      </c>
      <c r="C89" s="5" t="s">
        <v>93</v>
      </c>
      <c r="D89" s="5" t="s">
        <v>23</v>
      </c>
      <c r="E89" s="7">
        <v>69.75</v>
      </c>
      <c r="F89" s="7">
        <v>27.016667000000002</v>
      </c>
      <c r="G89" s="7">
        <v>80</v>
      </c>
      <c r="I89" s="5" t="s">
        <v>185</v>
      </c>
      <c r="J89" s="5" t="s">
        <v>41</v>
      </c>
      <c r="K89" s="42">
        <v>44080</v>
      </c>
      <c r="L89" s="43"/>
      <c r="M89" s="43"/>
      <c r="N89" s="44">
        <v>-8.2381282909971851</v>
      </c>
      <c r="O89" s="45">
        <v>-60.134165458360542</v>
      </c>
      <c r="P89" s="35">
        <f t="shared" si="1"/>
        <v>5.7708608696169392</v>
      </c>
      <c r="Q89" s="7">
        <v>1.016</v>
      </c>
      <c r="R89" s="7">
        <v>12.6</v>
      </c>
      <c r="S89" s="7"/>
      <c r="T89" s="7"/>
      <c r="U89" s="7"/>
    </row>
    <row r="90" spans="1:21" x14ac:dyDescent="0.35">
      <c r="A90" s="5" t="s">
        <v>20</v>
      </c>
      <c r="B90" s="5" t="s">
        <v>21</v>
      </c>
      <c r="C90" s="5" t="s">
        <v>93</v>
      </c>
      <c r="D90" s="5" t="s">
        <v>23</v>
      </c>
      <c r="E90" s="7">
        <v>69.75</v>
      </c>
      <c r="F90" s="7">
        <v>27.016667000000002</v>
      </c>
      <c r="G90" s="7">
        <v>80</v>
      </c>
      <c r="I90" s="5" t="s">
        <v>186</v>
      </c>
      <c r="J90" s="5" t="s">
        <v>41</v>
      </c>
      <c r="K90" s="42">
        <v>44084</v>
      </c>
      <c r="L90" s="43"/>
      <c r="M90" s="43"/>
      <c r="N90" s="44">
        <v>-10.971841925255621</v>
      </c>
      <c r="O90" s="45">
        <v>-86.101915731050795</v>
      </c>
      <c r="P90" s="35">
        <f t="shared" si="1"/>
        <v>1.6728196709941727</v>
      </c>
      <c r="Q90" s="7">
        <v>1.778</v>
      </c>
      <c r="R90" s="7">
        <v>3.1</v>
      </c>
      <c r="S90" s="7"/>
      <c r="T90" s="7"/>
      <c r="U90" s="7"/>
    </row>
    <row r="91" spans="1:21" x14ac:dyDescent="0.35">
      <c r="A91" s="5" t="s">
        <v>20</v>
      </c>
      <c r="B91" s="5" t="s">
        <v>21</v>
      </c>
      <c r="C91" s="5" t="s">
        <v>93</v>
      </c>
      <c r="D91" s="5" t="s">
        <v>23</v>
      </c>
      <c r="E91" s="7">
        <v>69.75</v>
      </c>
      <c r="F91" s="7">
        <v>27.016667000000002</v>
      </c>
      <c r="G91" s="7">
        <v>80</v>
      </c>
      <c r="I91" s="5" t="s">
        <v>187</v>
      </c>
      <c r="J91" s="5" t="s">
        <v>41</v>
      </c>
      <c r="K91" s="42">
        <v>44088</v>
      </c>
      <c r="L91" s="43">
        <v>44085</v>
      </c>
      <c r="M91" s="43">
        <v>44088</v>
      </c>
      <c r="N91" s="44">
        <v>-12.301630606719156</v>
      </c>
      <c r="O91" s="45">
        <v>-90.289768640403722</v>
      </c>
      <c r="P91" s="35">
        <f t="shared" si="1"/>
        <v>8.1232762133495271</v>
      </c>
      <c r="Q91" s="7">
        <v>0.38099999999999995</v>
      </c>
      <c r="R91" s="7">
        <v>4.2</v>
      </c>
      <c r="S91" s="7"/>
      <c r="T91" s="7"/>
      <c r="U91" s="7"/>
    </row>
    <row r="92" spans="1:21" x14ac:dyDescent="0.35">
      <c r="A92" s="5" t="s">
        <v>20</v>
      </c>
      <c r="B92" s="5" t="s">
        <v>21</v>
      </c>
      <c r="C92" s="5" t="s">
        <v>93</v>
      </c>
      <c r="D92" s="5" t="s">
        <v>23</v>
      </c>
      <c r="E92" s="7">
        <v>69.75</v>
      </c>
      <c r="F92" s="7">
        <v>27.016667000000002</v>
      </c>
      <c r="G92" s="7">
        <v>80</v>
      </c>
      <c r="I92" s="5" t="s">
        <v>188</v>
      </c>
      <c r="J92" s="5" t="s">
        <v>41</v>
      </c>
      <c r="K92" s="42">
        <v>44090</v>
      </c>
      <c r="L92" s="43"/>
      <c r="M92" s="43"/>
      <c r="N92" s="44">
        <v>-12.777379261819091</v>
      </c>
      <c r="O92" s="45">
        <v>-99.139133020268901</v>
      </c>
      <c r="P92" s="35">
        <f t="shared" si="1"/>
        <v>3.0799010742838249</v>
      </c>
      <c r="Q92" s="7">
        <v>1.397</v>
      </c>
      <c r="R92" s="7">
        <v>2.9</v>
      </c>
      <c r="S92" s="7"/>
      <c r="T92" s="7"/>
      <c r="U92" s="7"/>
    </row>
    <row r="93" spans="1:21" x14ac:dyDescent="0.35">
      <c r="A93" s="5" t="s">
        <v>20</v>
      </c>
      <c r="B93" s="5" t="s">
        <v>21</v>
      </c>
      <c r="C93" s="5" t="s">
        <v>93</v>
      </c>
      <c r="D93" s="5" t="s">
        <v>23</v>
      </c>
      <c r="E93" s="7">
        <v>69.75</v>
      </c>
      <c r="F93" s="7">
        <v>27.016667000000002</v>
      </c>
      <c r="G93" s="7">
        <v>80</v>
      </c>
      <c r="I93" s="5" t="s">
        <v>189</v>
      </c>
      <c r="K93" s="42">
        <v>44095</v>
      </c>
      <c r="L93" s="43"/>
      <c r="M93" s="43"/>
      <c r="N93" s="44">
        <v>-12.377756446106755</v>
      </c>
      <c r="O93" s="45">
        <v>-91.624898616412239</v>
      </c>
      <c r="P93" s="35">
        <f t="shared" si="1"/>
        <v>7.3971529524418003</v>
      </c>
      <c r="Q93" s="7">
        <v>2</v>
      </c>
      <c r="R93" s="7">
        <v>3.1</v>
      </c>
      <c r="S93" s="7"/>
      <c r="T93" s="7"/>
      <c r="U93" s="7"/>
    </row>
    <row r="94" spans="1:21" x14ac:dyDescent="0.35">
      <c r="A94" s="5" t="s">
        <v>20</v>
      </c>
      <c r="B94" s="5" t="s">
        <v>21</v>
      </c>
      <c r="C94" s="5" t="s">
        <v>93</v>
      </c>
      <c r="D94" s="5" t="s">
        <v>23</v>
      </c>
      <c r="E94" s="7">
        <v>69.75</v>
      </c>
      <c r="F94" s="7">
        <v>27.016667000000002</v>
      </c>
      <c r="G94" s="7">
        <v>80</v>
      </c>
      <c r="I94" s="5" t="s">
        <v>190</v>
      </c>
      <c r="K94" s="42">
        <v>44096</v>
      </c>
      <c r="L94" s="43"/>
      <c r="M94" s="43"/>
      <c r="N94" s="44">
        <v>-17.740242195425317</v>
      </c>
      <c r="O94" s="45">
        <v>-134.84336832061072</v>
      </c>
      <c r="P94" s="35">
        <f t="shared" si="1"/>
        <v>7.078569242791815</v>
      </c>
      <c r="Q94" s="7">
        <v>0.2</v>
      </c>
      <c r="R94" s="7">
        <v>5.8</v>
      </c>
      <c r="S94" s="7"/>
      <c r="T94" s="7"/>
      <c r="U94" s="7"/>
    </row>
    <row r="95" spans="1:21" x14ac:dyDescent="0.35">
      <c r="A95" s="5" t="s">
        <v>20</v>
      </c>
      <c r="B95" s="5" t="s">
        <v>21</v>
      </c>
      <c r="C95" s="5" t="s">
        <v>93</v>
      </c>
      <c r="D95" s="5" t="s">
        <v>23</v>
      </c>
      <c r="E95" s="7">
        <v>69.75</v>
      </c>
      <c r="F95" s="7">
        <v>27.016667000000002</v>
      </c>
      <c r="G95" s="7">
        <v>80</v>
      </c>
      <c r="I95" s="5" t="s">
        <v>191</v>
      </c>
      <c r="K95" s="42">
        <v>44099</v>
      </c>
      <c r="L95" s="43"/>
      <c r="M95" s="43"/>
      <c r="N95" s="44">
        <v>-9.0334296761208659</v>
      </c>
      <c r="O95" s="45">
        <v>-58.746133760929169</v>
      </c>
      <c r="P95" s="35">
        <f t="shared" si="1"/>
        <v>13.521303648037758</v>
      </c>
      <c r="Q95" s="7">
        <v>0.2</v>
      </c>
      <c r="R95" s="7">
        <v>5.5</v>
      </c>
      <c r="S95" s="7"/>
      <c r="T95" s="7"/>
      <c r="U95" s="7"/>
    </row>
    <row r="98" spans="13:16" x14ac:dyDescent="0.35">
      <c r="M98" s="5" t="s">
        <v>705</v>
      </c>
      <c r="N98" s="7">
        <f>AVERAGE(N2:N95)</f>
        <v>-13.999998298759726</v>
      </c>
      <c r="O98" s="35">
        <f>AVERAGE(O2:O95)</f>
        <v>-104.18882970260105</v>
      </c>
      <c r="P98" s="35">
        <f>AVERAGE(P2:P95)</f>
        <v>7.8111566874767959</v>
      </c>
    </row>
    <row r="99" spans="13:16" x14ac:dyDescent="0.35">
      <c r="M99" s="5" t="s">
        <v>706</v>
      </c>
      <c r="N99" s="7">
        <f>MIN(N2:N95)</f>
        <v>-29.44</v>
      </c>
      <c r="O99" s="35">
        <f>MIN(O2:O95)</f>
        <v>-230.65</v>
      </c>
      <c r="P99" s="35">
        <f>MIN(P2:P95)</f>
        <v>-13.675227989706919</v>
      </c>
    </row>
    <row r="100" spans="13:16" x14ac:dyDescent="0.35">
      <c r="M100" s="5" t="s">
        <v>707</v>
      </c>
      <c r="N100" s="7">
        <f>MAX(N2:N95)</f>
        <v>-1.9</v>
      </c>
      <c r="O100" s="35">
        <f>MAX(O2:O95)</f>
        <v>-2</v>
      </c>
      <c r="P100" s="35">
        <f>MAX(P2:P95)</f>
        <v>28.985267873417968</v>
      </c>
    </row>
    <row r="101" spans="13:16" x14ac:dyDescent="0.35">
      <c r="M101" s="5" t="s">
        <v>708</v>
      </c>
      <c r="N101" s="5">
        <f>_xlfn.STDEV.P(N2:N95)</f>
        <v>6.1004159924465826</v>
      </c>
      <c r="O101" s="35">
        <f>_xlfn.STDEV.P(O2:O95)</f>
        <v>48.066917417472929</v>
      </c>
      <c r="P101" s="35">
        <f>_xlfn.STDEV.P(P2:P95)</f>
        <v>6.3179392313068412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084C-C821-464E-A1C1-A8FD6CCA73A8}">
  <dimension ref="A1:T138"/>
  <sheetViews>
    <sheetView zoomScale="85" zoomScaleNormal="85" workbookViewId="0"/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31.6328125" style="5" bestFit="1" customWidth="1"/>
    <col min="4" max="4" width="8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34.08984375" style="5" bestFit="1" customWidth="1"/>
    <col min="10" max="10" width="10.7265625" style="5" bestFit="1" customWidth="1"/>
    <col min="11" max="11" width="17.54296875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ht="1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20</v>
      </c>
      <c r="B2" s="5" t="s">
        <v>21</v>
      </c>
      <c r="C2" s="5" t="s">
        <v>192</v>
      </c>
      <c r="D2" s="5" t="s">
        <v>193</v>
      </c>
      <c r="E2" s="7">
        <v>68.354393000000002</v>
      </c>
      <c r="F2" s="7">
        <v>18.815747999999999</v>
      </c>
      <c r="G2" s="7">
        <v>376</v>
      </c>
      <c r="I2" s="5" t="s">
        <v>194</v>
      </c>
      <c r="K2" s="8">
        <v>43739</v>
      </c>
      <c r="N2" s="7">
        <v>-22.85</v>
      </c>
      <c r="O2" s="35">
        <v>-170.58</v>
      </c>
      <c r="P2" s="35">
        <f t="shared" ref="P2:P133" si="0">O2-(8*N2)</f>
        <v>12.219999999999999</v>
      </c>
      <c r="Q2" s="7">
        <v>28</v>
      </c>
    </row>
    <row r="3" spans="1:20" ht="14.25" customHeight="1" x14ac:dyDescent="0.35">
      <c r="A3" s="5" t="s">
        <v>20</v>
      </c>
      <c r="B3" s="5" t="s">
        <v>21</v>
      </c>
      <c r="C3" s="5" t="s">
        <v>192</v>
      </c>
      <c r="D3" s="5" t="s">
        <v>193</v>
      </c>
      <c r="E3" s="7">
        <v>68.354393000000002</v>
      </c>
      <c r="F3" s="7">
        <v>18.815747999999999</v>
      </c>
      <c r="G3" s="7">
        <v>376</v>
      </c>
      <c r="I3" s="5" t="s">
        <v>195</v>
      </c>
      <c r="K3" s="8">
        <v>43740</v>
      </c>
      <c r="N3" s="7">
        <v>-14.24</v>
      </c>
      <c r="O3" s="35">
        <v>-107.54</v>
      </c>
      <c r="P3" s="35">
        <f t="shared" si="0"/>
        <v>6.3799999999999955</v>
      </c>
      <c r="Q3" s="7">
        <v>7.4</v>
      </c>
    </row>
    <row r="4" spans="1:20" ht="14.25" customHeight="1" x14ac:dyDescent="0.35">
      <c r="A4" s="5" t="s">
        <v>20</v>
      </c>
      <c r="B4" s="5" t="s">
        <v>21</v>
      </c>
      <c r="C4" s="5" t="s">
        <v>192</v>
      </c>
      <c r="D4" s="5" t="s">
        <v>193</v>
      </c>
      <c r="E4" s="7">
        <v>68.354393000000002</v>
      </c>
      <c r="F4" s="7">
        <v>18.815747999999999</v>
      </c>
      <c r="G4" s="7">
        <v>376</v>
      </c>
      <c r="I4" s="5" t="s">
        <v>196</v>
      </c>
      <c r="K4" s="8">
        <v>43752</v>
      </c>
      <c r="N4" s="7">
        <v>-18.55</v>
      </c>
      <c r="O4" s="35">
        <v>-143.24</v>
      </c>
      <c r="P4" s="35">
        <f t="shared" si="0"/>
        <v>5.1599999999999966</v>
      </c>
      <c r="Q4" s="7">
        <v>0.5</v>
      </c>
    </row>
    <row r="5" spans="1:20" ht="14.25" customHeight="1" x14ac:dyDescent="0.35">
      <c r="A5" s="5" t="s">
        <v>20</v>
      </c>
      <c r="B5" s="5" t="s">
        <v>21</v>
      </c>
      <c r="C5" s="5" t="s">
        <v>192</v>
      </c>
      <c r="D5" s="5" t="s">
        <v>193</v>
      </c>
      <c r="E5" s="7">
        <v>68.354393000000002</v>
      </c>
      <c r="F5" s="7">
        <v>18.815747999999999</v>
      </c>
      <c r="G5" s="7">
        <v>376</v>
      </c>
      <c r="I5" s="5" t="s">
        <v>197</v>
      </c>
      <c r="K5" s="8">
        <v>43754</v>
      </c>
      <c r="N5" s="7">
        <v>-21.21</v>
      </c>
      <c r="O5" s="35">
        <v>-154.44</v>
      </c>
      <c r="P5" s="35">
        <f t="shared" si="0"/>
        <v>15.240000000000009</v>
      </c>
      <c r="Q5" s="7">
        <v>1.6</v>
      </c>
    </row>
    <row r="6" spans="1:20" ht="14.25" customHeight="1" x14ac:dyDescent="0.35">
      <c r="A6" s="5" t="s">
        <v>20</v>
      </c>
      <c r="B6" s="5" t="s">
        <v>21</v>
      </c>
      <c r="C6" s="5" t="s">
        <v>192</v>
      </c>
      <c r="D6" s="5" t="s">
        <v>193</v>
      </c>
      <c r="E6" s="7">
        <v>68.354393000000002</v>
      </c>
      <c r="F6" s="7">
        <v>18.815747999999999</v>
      </c>
      <c r="G6" s="7">
        <v>376</v>
      </c>
      <c r="I6" s="5" t="s">
        <v>198</v>
      </c>
      <c r="K6" s="8">
        <v>43761</v>
      </c>
      <c r="N6" s="7">
        <v>-19.25</v>
      </c>
      <c r="O6" s="35">
        <v>-142.28</v>
      </c>
      <c r="P6" s="35">
        <f t="shared" si="0"/>
        <v>11.719999999999999</v>
      </c>
      <c r="Q6" s="7">
        <v>5.3</v>
      </c>
    </row>
    <row r="7" spans="1:20" ht="14.25" customHeight="1" x14ac:dyDescent="0.35">
      <c r="A7" s="5" t="s">
        <v>20</v>
      </c>
      <c r="B7" s="5" t="s">
        <v>21</v>
      </c>
      <c r="C7" s="5" t="s">
        <v>192</v>
      </c>
      <c r="D7" s="5" t="s">
        <v>193</v>
      </c>
      <c r="E7" s="7">
        <v>68.354393000000002</v>
      </c>
      <c r="F7" s="7">
        <v>18.815747999999999</v>
      </c>
      <c r="G7" s="7">
        <v>376</v>
      </c>
      <c r="I7" s="5" t="s">
        <v>199</v>
      </c>
      <c r="K7" s="8">
        <v>43762</v>
      </c>
      <c r="N7" s="7">
        <v>-14.26</v>
      </c>
      <c r="O7" s="35">
        <v>-101.03</v>
      </c>
      <c r="P7" s="35">
        <f t="shared" si="0"/>
        <v>13.049999999999997</v>
      </c>
      <c r="Q7" s="7">
        <v>1.8</v>
      </c>
    </row>
    <row r="8" spans="1:20" ht="14.25" customHeight="1" x14ac:dyDescent="0.35">
      <c r="A8" s="5" t="s">
        <v>20</v>
      </c>
      <c r="B8" s="5" t="s">
        <v>21</v>
      </c>
      <c r="C8" s="5" t="s">
        <v>192</v>
      </c>
      <c r="D8" s="5" t="s">
        <v>193</v>
      </c>
      <c r="E8" s="7">
        <v>68.354393000000002</v>
      </c>
      <c r="F8" s="7">
        <v>18.815747999999999</v>
      </c>
      <c r="G8" s="7">
        <v>376</v>
      </c>
      <c r="I8" s="5" t="s">
        <v>200</v>
      </c>
      <c r="K8" s="8">
        <v>43763</v>
      </c>
      <c r="N8" s="7">
        <v>-22.34</v>
      </c>
      <c r="O8" s="35">
        <v>-169.87</v>
      </c>
      <c r="P8" s="35">
        <f t="shared" si="0"/>
        <v>8.8499999999999943</v>
      </c>
      <c r="Q8" s="7">
        <v>1.8</v>
      </c>
    </row>
    <row r="9" spans="1:20" ht="14.25" customHeight="1" x14ac:dyDescent="0.35">
      <c r="A9" s="5" t="s">
        <v>20</v>
      </c>
      <c r="B9" s="5" t="s">
        <v>21</v>
      </c>
      <c r="C9" s="5" t="s">
        <v>192</v>
      </c>
      <c r="D9" s="5" t="s">
        <v>193</v>
      </c>
      <c r="E9" s="7">
        <v>68.354393000000002</v>
      </c>
      <c r="F9" s="7">
        <v>18.815747999999999</v>
      </c>
      <c r="G9" s="7">
        <v>376</v>
      </c>
      <c r="I9" s="5" t="s">
        <v>201</v>
      </c>
      <c r="K9" s="8">
        <v>43766</v>
      </c>
      <c r="N9" s="7">
        <v>-14.89</v>
      </c>
      <c r="O9" s="35">
        <v>-111.28</v>
      </c>
      <c r="P9" s="35">
        <f t="shared" si="0"/>
        <v>7.8400000000000034</v>
      </c>
      <c r="Q9" s="7">
        <v>0.6</v>
      </c>
    </row>
    <row r="10" spans="1:20" ht="14.25" customHeight="1" x14ac:dyDescent="0.35">
      <c r="A10" s="5" t="s">
        <v>20</v>
      </c>
      <c r="B10" s="5" t="s">
        <v>21</v>
      </c>
      <c r="C10" s="5" t="s">
        <v>192</v>
      </c>
      <c r="D10" s="5" t="s">
        <v>193</v>
      </c>
      <c r="E10" s="7">
        <v>68.354393000000002</v>
      </c>
      <c r="F10" s="7">
        <v>18.815747999999999</v>
      </c>
      <c r="G10" s="7">
        <v>376</v>
      </c>
      <c r="I10" s="5" t="s">
        <v>202</v>
      </c>
      <c r="K10" s="8">
        <v>43767</v>
      </c>
      <c r="N10" s="7">
        <v>-16.260000000000002</v>
      </c>
      <c r="O10" s="35">
        <v>-111.39</v>
      </c>
      <c r="P10" s="35">
        <f t="shared" si="0"/>
        <v>18.690000000000012</v>
      </c>
      <c r="Q10" s="7">
        <v>3.3</v>
      </c>
    </row>
    <row r="11" spans="1:20" ht="14.25" customHeight="1" x14ac:dyDescent="0.35">
      <c r="A11" s="5" t="s">
        <v>20</v>
      </c>
      <c r="B11" s="5" t="s">
        <v>21</v>
      </c>
      <c r="C11" s="5" t="s">
        <v>192</v>
      </c>
      <c r="D11" s="5" t="s">
        <v>193</v>
      </c>
      <c r="E11" s="7">
        <v>68.354393000000002</v>
      </c>
      <c r="F11" s="7">
        <v>18.815747999999999</v>
      </c>
      <c r="G11" s="7">
        <v>376</v>
      </c>
      <c r="I11" s="5" t="s">
        <v>203</v>
      </c>
      <c r="K11" s="8">
        <v>43769</v>
      </c>
      <c r="N11" s="7">
        <v>-27.06</v>
      </c>
      <c r="O11" s="35">
        <v>-205.11</v>
      </c>
      <c r="P11" s="35">
        <f t="shared" si="0"/>
        <v>11.369999999999976</v>
      </c>
      <c r="Q11" s="7">
        <v>1.1000000000000001</v>
      </c>
    </row>
    <row r="12" spans="1:20" ht="14.25" customHeight="1" x14ac:dyDescent="0.35">
      <c r="A12" s="5" t="s">
        <v>20</v>
      </c>
      <c r="B12" s="5" t="s">
        <v>21</v>
      </c>
      <c r="C12" s="5" t="s">
        <v>192</v>
      </c>
      <c r="D12" s="5" t="s">
        <v>193</v>
      </c>
      <c r="E12" s="7">
        <v>68.354393000000002</v>
      </c>
      <c r="F12" s="7">
        <v>18.815747999999999</v>
      </c>
      <c r="G12" s="7">
        <v>376</v>
      </c>
      <c r="I12" s="5" t="s">
        <v>204</v>
      </c>
      <c r="K12" s="8">
        <v>43770</v>
      </c>
      <c r="N12" s="7">
        <v>-15.38</v>
      </c>
      <c r="O12" s="35">
        <v>-106.79</v>
      </c>
      <c r="P12" s="35">
        <f t="shared" si="0"/>
        <v>16.25</v>
      </c>
      <c r="Q12" s="7">
        <v>1.8</v>
      </c>
    </row>
    <row r="13" spans="1:20" ht="14.25" customHeight="1" x14ac:dyDescent="0.35">
      <c r="A13" s="5" t="s">
        <v>20</v>
      </c>
      <c r="B13" s="5" t="s">
        <v>21</v>
      </c>
      <c r="C13" s="5" t="s">
        <v>192</v>
      </c>
      <c r="D13" s="5" t="s">
        <v>193</v>
      </c>
      <c r="E13" s="7">
        <v>68.354393000000002</v>
      </c>
      <c r="F13" s="7">
        <v>18.815747999999999</v>
      </c>
      <c r="G13" s="7">
        <v>376</v>
      </c>
      <c r="I13" s="5" t="s">
        <v>205</v>
      </c>
      <c r="K13" s="8">
        <v>43773</v>
      </c>
      <c r="N13" s="7">
        <v>-14.17</v>
      </c>
      <c r="O13" s="35">
        <v>-99.17</v>
      </c>
      <c r="P13" s="35">
        <f t="shared" si="0"/>
        <v>14.189999999999998</v>
      </c>
      <c r="Q13" s="7">
        <v>6.2</v>
      </c>
    </row>
    <row r="14" spans="1:20" ht="14.25" customHeight="1" x14ac:dyDescent="0.35">
      <c r="A14" s="5" t="s">
        <v>20</v>
      </c>
      <c r="B14" s="5" t="s">
        <v>21</v>
      </c>
      <c r="C14" s="5" t="s">
        <v>192</v>
      </c>
      <c r="D14" s="5" t="s">
        <v>193</v>
      </c>
      <c r="E14" s="7">
        <v>68.354393000000002</v>
      </c>
      <c r="F14" s="7">
        <v>18.815747999999999</v>
      </c>
      <c r="G14" s="7">
        <v>376</v>
      </c>
      <c r="I14" s="5" t="s">
        <v>206</v>
      </c>
      <c r="K14" s="8">
        <v>43774</v>
      </c>
      <c r="N14" s="7">
        <v>-11.28</v>
      </c>
      <c r="O14" s="35">
        <v>-82.79</v>
      </c>
      <c r="P14" s="35">
        <f t="shared" si="0"/>
        <v>7.4499999999999886</v>
      </c>
      <c r="Q14" s="7">
        <v>0.3</v>
      </c>
    </row>
    <row r="15" spans="1:20" ht="14.25" customHeight="1" x14ac:dyDescent="0.35">
      <c r="A15" s="5" t="s">
        <v>20</v>
      </c>
      <c r="B15" s="5" t="s">
        <v>21</v>
      </c>
      <c r="C15" s="5" t="s">
        <v>192</v>
      </c>
      <c r="D15" s="5" t="s">
        <v>193</v>
      </c>
      <c r="E15" s="7">
        <v>68.354393000000002</v>
      </c>
      <c r="F15" s="7">
        <v>18.815747999999999</v>
      </c>
      <c r="G15" s="7">
        <v>376</v>
      </c>
      <c r="I15" s="5" t="s">
        <v>207</v>
      </c>
      <c r="K15" s="8">
        <v>43782</v>
      </c>
      <c r="N15" s="7">
        <v>-25.22</v>
      </c>
      <c r="O15" s="35">
        <v>-194.52</v>
      </c>
      <c r="P15" s="35">
        <f t="shared" si="0"/>
        <v>7.2399999999999807</v>
      </c>
      <c r="Q15" s="7">
        <v>0.3</v>
      </c>
    </row>
    <row r="16" spans="1:20" ht="14.25" customHeight="1" x14ac:dyDescent="0.35">
      <c r="A16" s="5" t="s">
        <v>20</v>
      </c>
      <c r="B16" s="5" t="s">
        <v>21</v>
      </c>
      <c r="C16" s="5" t="s">
        <v>192</v>
      </c>
      <c r="D16" s="5" t="s">
        <v>193</v>
      </c>
      <c r="E16" s="7">
        <v>68.354393000000002</v>
      </c>
      <c r="F16" s="7">
        <v>18.815747999999999</v>
      </c>
      <c r="G16" s="7">
        <v>376</v>
      </c>
      <c r="I16" s="5" t="s">
        <v>208</v>
      </c>
      <c r="K16" s="8">
        <v>43788</v>
      </c>
      <c r="N16" s="7">
        <v>-17.010000000000002</v>
      </c>
      <c r="O16" s="35">
        <v>-121.6</v>
      </c>
      <c r="P16" s="35">
        <f t="shared" si="0"/>
        <v>14.480000000000018</v>
      </c>
      <c r="Q16" s="7">
        <v>1.6</v>
      </c>
    </row>
    <row r="17" spans="1:17" ht="14.25" customHeight="1" x14ac:dyDescent="0.35">
      <c r="A17" s="5" t="s">
        <v>20</v>
      </c>
      <c r="B17" s="5" t="s">
        <v>21</v>
      </c>
      <c r="C17" s="5" t="s">
        <v>192</v>
      </c>
      <c r="D17" s="5" t="s">
        <v>193</v>
      </c>
      <c r="E17" s="7">
        <v>68.354393000000002</v>
      </c>
      <c r="F17" s="7">
        <v>18.815747999999999</v>
      </c>
      <c r="G17" s="7">
        <v>376</v>
      </c>
      <c r="I17" s="5" t="s">
        <v>209</v>
      </c>
      <c r="K17" s="8">
        <v>43794</v>
      </c>
      <c r="N17" s="7">
        <v>-13.9</v>
      </c>
      <c r="O17" s="35">
        <v>-96.91</v>
      </c>
      <c r="P17" s="35">
        <f t="shared" si="0"/>
        <v>14.290000000000006</v>
      </c>
      <c r="Q17" s="7">
        <v>0.5</v>
      </c>
    </row>
    <row r="18" spans="1:17" ht="14.25" customHeight="1" x14ac:dyDescent="0.35">
      <c r="A18" s="5" t="s">
        <v>20</v>
      </c>
      <c r="B18" s="5" t="s">
        <v>21</v>
      </c>
      <c r="C18" s="5" t="s">
        <v>192</v>
      </c>
      <c r="D18" s="5" t="s">
        <v>193</v>
      </c>
      <c r="E18" s="7">
        <v>68.354393000000002</v>
      </c>
      <c r="F18" s="7">
        <v>18.815747999999999</v>
      </c>
      <c r="G18" s="7">
        <v>376</v>
      </c>
      <c r="I18" s="5" t="s">
        <v>210</v>
      </c>
      <c r="K18" s="8">
        <v>43795</v>
      </c>
      <c r="N18" s="7">
        <v>-13.19</v>
      </c>
      <c r="O18" s="35">
        <v>-94.86</v>
      </c>
      <c r="P18" s="35">
        <f t="shared" si="0"/>
        <v>10.659999999999997</v>
      </c>
      <c r="Q18" s="7">
        <v>0.1</v>
      </c>
    </row>
    <row r="19" spans="1:17" ht="14.25" customHeight="1" x14ac:dyDescent="0.35">
      <c r="A19" s="5" t="s">
        <v>20</v>
      </c>
      <c r="B19" s="5" t="s">
        <v>21</v>
      </c>
      <c r="C19" s="5" t="s">
        <v>192</v>
      </c>
      <c r="D19" s="5" t="s">
        <v>193</v>
      </c>
      <c r="E19" s="7">
        <v>68.354393000000002</v>
      </c>
      <c r="F19" s="7">
        <v>18.815747999999999</v>
      </c>
      <c r="G19" s="7">
        <v>376</v>
      </c>
      <c r="I19" s="5" t="s">
        <v>211</v>
      </c>
      <c r="J19" s="5" t="s">
        <v>100</v>
      </c>
      <c r="K19" s="8">
        <v>43801</v>
      </c>
      <c r="N19" s="7">
        <v>-15.31</v>
      </c>
      <c r="O19" s="35">
        <v>-104.56</v>
      </c>
      <c r="P19" s="35">
        <f t="shared" si="0"/>
        <v>17.920000000000002</v>
      </c>
      <c r="Q19" s="7">
        <v>20.6</v>
      </c>
    </row>
    <row r="20" spans="1:17" ht="14.25" customHeight="1" x14ac:dyDescent="0.35">
      <c r="A20" s="5" t="s">
        <v>20</v>
      </c>
      <c r="B20" s="5" t="s">
        <v>21</v>
      </c>
      <c r="C20" s="5" t="s">
        <v>192</v>
      </c>
      <c r="D20" s="5" t="s">
        <v>193</v>
      </c>
      <c r="E20" s="7">
        <v>68.354393000000002</v>
      </c>
      <c r="F20" s="7">
        <v>18.815747999999999</v>
      </c>
      <c r="G20" s="7">
        <v>376</v>
      </c>
      <c r="I20" s="5" t="s">
        <v>212</v>
      </c>
      <c r="J20" s="5" t="s">
        <v>100</v>
      </c>
      <c r="K20" s="8">
        <v>43802</v>
      </c>
      <c r="N20" s="7">
        <v>-11.8</v>
      </c>
      <c r="O20" s="35">
        <v>-78.53</v>
      </c>
      <c r="P20" s="35">
        <f t="shared" si="0"/>
        <v>15.870000000000005</v>
      </c>
      <c r="Q20" s="7">
        <v>1.8</v>
      </c>
    </row>
    <row r="21" spans="1:17" ht="14.25" customHeight="1" x14ac:dyDescent="0.35">
      <c r="A21" s="5" t="s">
        <v>20</v>
      </c>
      <c r="B21" s="5" t="s">
        <v>21</v>
      </c>
      <c r="C21" s="5" t="s">
        <v>192</v>
      </c>
      <c r="D21" s="5" t="s">
        <v>193</v>
      </c>
      <c r="E21" s="7">
        <v>68.354393000000002</v>
      </c>
      <c r="F21" s="7">
        <v>18.815747999999999</v>
      </c>
      <c r="G21" s="7">
        <v>376</v>
      </c>
      <c r="I21" s="5" t="s">
        <v>213</v>
      </c>
      <c r="J21" s="5" t="s">
        <v>214</v>
      </c>
      <c r="K21" s="8">
        <v>43803</v>
      </c>
      <c r="N21" s="7">
        <v>-19.940000000000001</v>
      </c>
      <c r="O21" s="35">
        <v>-150.49</v>
      </c>
      <c r="P21" s="35">
        <f t="shared" si="0"/>
        <v>9.0300000000000011</v>
      </c>
      <c r="Q21" s="7">
        <v>10.6</v>
      </c>
    </row>
    <row r="22" spans="1:17" ht="14.25" customHeight="1" x14ac:dyDescent="0.35">
      <c r="A22" s="5" t="s">
        <v>20</v>
      </c>
      <c r="B22" s="5" t="s">
        <v>21</v>
      </c>
      <c r="C22" s="5" t="s">
        <v>192</v>
      </c>
      <c r="D22" s="5" t="s">
        <v>193</v>
      </c>
      <c r="E22" s="7">
        <v>68.354393000000002</v>
      </c>
      <c r="F22" s="7">
        <v>18.815747999999999</v>
      </c>
      <c r="G22" s="7">
        <v>376</v>
      </c>
      <c r="I22" s="5" t="s">
        <v>215</v>
      </c>
      <c r="J22" s="5" t="s">
        <v>41</v>
      </c>
      <c r="K22" s="8">
        <v>43804</v>
      </c>
      <c r="N22" s="7">
        <v>-9.89</v>
      </c>
      <c r="O22" s="35">
        <v>-83.82</v>
      </c>
      <c r="P22" s="35">
        <f t="shared" si="0"/>
        <v>-4.6999999999999886</v>
      </c>
      <c r="Q22" s="7">
        <v>0.6</v>
      </c>
    </row>
    <row r="23" spans="1:17" ht="14.25" customHeight="1" x14ac:dyDescent="0.35">
      <c r="A23" s="5" t="s">
        <v>20</v>
      </c>
      <c r="B23" s="5" t="s">
        <v>21</v>
      </c>
      <c r="C23" s="5" t="s">
        <v>192</v>
      </c>
      <c r="D23" s="5" t="s">
        <v>193</v>
      </c>
      <c r="E23" s="7">
        <v>68.354393000000002</v>
      </c>
      <c r="F23" s="7">
        <v>18.815747999999999</v>
      </c>
      <c r="G23" s="7">
        <v>376</v>
      </c>
      <c r="I23" s="5" t="s">
        <v>216</v>
      </c>
      <c r="J23" s="5" t="s">
        <v>100</v>
      </c>
      <c r="K23" s="8">
        <v>43805</v>
      </c>
      <c r="N23" s="7">
        <v>-13.87</v>
      </c>
      <c r="O23" s="35">
        <v>-108.88</v>
      </c>
      <c r="P23" s="35">
        <f t="shared" si="0"/>
        <v>2.0799999999999983</v>
      </c>
      <c r="Q23" s="7">
        <v>0.2</v>
      </c>
    </row>
    <row r="24" spans="1:17" ht="14.25" customHeight="1" x14ac:dyDescent="0.35">
      <c r="A24" s="5" t="s">
        <v>20</v>
      </c>
      <c r="B24" s="5" t="s">
        <v>21</v>
      </c>
      <c r="C24" s="5" t="s">
        <v>192</v>
      </c>
      <c r="D24" s="5" t="s">
        <v>193</v>
      </c>
      <c r="E24" s="7">
        <v>68.354393000000002</v>
      </c>
      <c r="F24" s="7">
        <v>18.815747999999999</v>
      </c>
      <c r="G24" s="7">
        <v>376</v>
      </c>
      <c r="I24" s="5" t="s">
        <v>217</v>
      </c>
      <c r="J24" s="5" t="s">
        <v>100</v>
      </c>
      <c r="K24" s="8">
        <v>43808</v>
      </c>
      <c r="N24" s="7">
        <v>-20.93</v>
      </c>
      <c r="O24" s="35">
        <v>-161.07</v>
      </c>
      <c r="P24" s="35">
        <f t="shared" si="0"/>
        <v>6.3700000000000045</v>
      </c>
      <c r="Q24" s="7">
        <v>3.5</v>
      </c>
    </row>
    <row r="25" spans="1:17" ht="14.25" customHeight="1" x14ac:dyDescent="0.35">
      <c r="A25" s="5" t="s">
        <v>20</v>
      </c>
      <c r="B25" s="5" t="s">
        <v>21</v>
      </c>
      <c r="C25" s="5" t="s">
        <v>192</v>
      </c>
      <c r="D25" s="5" t="s">
        <v>193</v>
      </c>
      <c r="E25" s="7">
        <v>68.354393000000002</v>
      </c>
      <c r="F25" s="7">
        <v>18.815747999999999</v>
      </c>
      <c r="G25" s="7">
        <v>376</v>
      </c>
      <c r="I25" s="5" t="s">
        <v>218</v>
      </c>
      <c r="J25" s="5" t="s">
        <v>100</v>
      </c>
      <c r="K25" s="8">
        <v>43809</v>
      </c>
      <c r="N25" s="7">
        <v>-11.65</v>
      </c>
      <c r="O25" s="35">
        <v>-72.81</v>
      </c>
      <c r="P25" s="35">
        <f t="shared" si="0"/>
        <v>20.39</v>
      </c>
      <c r="Q25" s="7">
        <v>0.3</v>
      </c>
    </row>
    <row r="26" spans="1:17" ht="14.25" customHeight="1" x14ac:dyDescent="0.35">
      <c r="A26" s="5" t="s">
        <v>20</v>
      </c>
      <c r="B26" s="5" t="s">
        <v>21</v>
      </c>
      <c r="C26" s="5" t="s">
        <v>192</v>
      </c>
      <c r="D26" s="5" t="s">
        <v>193</v>
      </c>
      <c r="E26" s="7">
        <v>68.354393000000002</v>
      </c>
      <c r="F26" s="7">
        <v>18.815747999999999</v>
      </c>
      <c r="G26" s="7">
        <v>376</v>
      </c>
      <c r="I26" s="5" t="s">
        <v>219</v>
      </c>
      <c r="J26" s="5" t="s">
        <v>100</v>
      </c>
      <c r="K26" s="8">
        <v>43810</v>
      </c>
      <c r="N26" s="7">
        <v>-16.77</v>
      </c>
      <c r="O26" s="35">
        <v>-121.41</v>
      </c>
      <c r="P26" s="35">
        <f t="shared" si="0"/>
        <v>12.75</v>
      </c>
      <c r="Q26" s="7">
        <v>0.2</v>
      </c>
    </row>
    <row r="27" spans="1:17" ht="14.25" customHeight="1" x14ac:dyDescent="0.35">
      <c r="A27" s="5" t="s">
        <v>20</v>
      </c>
      <c r="B27" s="5" t="s">
        <v>21</v>
      </c>
      <c r="C27" s="5" t="s">
        <v>192</v>
      </c>
      <c r="D27" s="5" t="s">
        <v>193</v>
      </c>
      <c r="E27" s="7">
        <v>68.354393000000002</v>
      </c>
      <c r="F27" s="7">
        <v>18.815747999999999</v>
      </c>
      <c r="G27" s="7">
        <v>376</v>
      </c>
      <c r="I27" s="5" t="s">
        <v>220</v>
      </c>
      <c r="J27" s="5" t="s">
        <v>100</v>
      </c>
      <c r="K27" s="8">
        <v>43811</v>
      </c>
      <c r="N27" s="7">
        <v>-15.68</v>
      </c>
      <c r="O27" s="35">
        <v>-139.62</v>
      </c>
      <c r="P27" s="35">
        <f t="shared" si="0"/>
        <v>-14.180000000000007</v>
      </c>
      <c r="Q27" s="7">
        <v>0.4</v>
      </c>
    </row>
    <row r="28" spans="1:17" ht="14.25" customHeight="1" x14ac:dyDescent="0.35">
      <c r="A28" s="5" t="s">
        <v>20</v>
      </c>
      <c r="B28" s="5" t="s">
        <v>21</v>
      </c>
      <c r="C28" s="5" t="s">
        <v>192</v>
      </c>
      <c r="D28" s="5" t="s">
        <v>193</v>
      </c>
      <c r="E28" s="7">
        <v>68.354393000000002</v>
      </c>
      <c r="F28" s="7">
        <v>18.815747999999999</v>
      </c>
      <c r="G28" s="7">
        <v>376</v>
      </c>
      <c r="I28" s="5" t="s">
        <v>221</v>
      </c>
      <c r="J28" s="5" t="s">
        <v>100</v>
      </c>
      <c r="K28" s="8">
        <v>43816</v>
      </c>
      <c r="N28" s="7">
        <v>-30.01</v>
      </c>
      <c r="O28" s="35">
        <v>-231.84</v>
      </c>
      <c r="P28" s="35">
        <f t="shared" si="0"/>
        <v>8.2400000000000091</v>
      </c>
      <c r="Q28" s="7">
        <v>1.1000000000000001</v>
      </c>
    </row>
    <row r="29" spans="1:17" ht="14.25" customHeight="1" x14ac:dyDescent="0.35">
      <c r="A29" s="5" t="s">
        <v>20</v>
      </c>
      <c r="B29" s="5" t="s">
        <v>21</v>
      </c>
      <c r="C29" s="5" t="s">
        <v>192</v>
      </c>
      <c r="D29" s="5" t="s">
        <v>193</v>
      </c>
      <c r="E29" s="7">
        <v>68.354393000000002</v>
      </c>
      <c r="F29" s="7">
        <v>18.815747999999999</v>
      </c>
      <c r="G29" s="7">
        <v>376</v>
      </c>
      <c r="I29" s="5" t="s">
        <v>222</v>
      </c>
      <c r="J29" s="5" t="s">
        <v>100</v>
      </c>
      <c r="K29" s="8">
        <v>43817</v>
      </c>
      <c r="N29" s="7">
        <v>-21.42</v>
      </c>
      <c r="O29" s="35">
        <v>-164.12</v>
      </c>
      <c r="P29" s="35">
        <f t="shared" si="0"/>
        <v>7.2400000000000091</v>
      </c>
      <c r="Q29" s="7">
        <v>0.8</v>
      </c>
    </row>
    <row r="30" spans="1:17" ht="14.25" customHeight="1" x14ac:dyDescent="0.35">
      <c r="A30" s="5" t="s">
        <v>20</v>
      </c>
      <c r="B30" s="5" t="s">
        <v>21</v>
      </c>
      <c r="C30" s="5" t="s">
        <v>192</v>
      </c>
      <c r="D30" s="5" t="s">
        <v>193</v>
      </c>
      <c r="E30" s="7">
        <v>68.354393000000002</v>
      </c>
      <c r="F30" s="7">
        <v>18.815747999999999</v>
      </c>
      <c r="G30" s="7">
        <v>376</v>
      </c>
      <c r="I30" s="5" t="s">
        <v>223</v>
      </c>
      <c r="J30" s="5" t="s">
        <v>100</v>
      </c>
      <c r="K30" s="8">
        <v>43818</v>
      </c>
      <c r="N30" s="7">
        <v>-18.88</v>
      </c>
      <c r="O30" s="35">
        <v>-145.16999999999999</v>
      </c>
      <c r="P30" s="35">
        <f t="shared" si="0"/>
        <v>5.8700000000000045</v>
      </c>
      <c r="Q30" s="7">
        <v>0.9</v>
      </c>
    </row>
    <row r="31" spans="1:17" ht="14.25" customHeight="1" x14ac:dyDescent="0.35">
      <c r="A31" s="5" t="s">
        <v>20</v>
      </c>
      <c r="B31" s="5" t="s">
        <v>21</v>
      </c>
      <c r="C31" s="5" t="s">
        <v>192</v>
      </c>
      <c r="D31" s="5" t="s">
        <v>193</v>
      </c>
      <c r="E31" s="7">
        <v>68.354393000000002</v>
      </c>
      <c r="F31" s="7">
        <v>18.815747999999999</v>
      </c>
      <c r="G31" s="7">
        <v>376</v>
      </c>
      <c r="I31" s="5" t="s">
        <v>224</v>
      </c>
      <c r="J31" s="5" t="s">
        <v>100</v>
      </c>
      <c r="K31" s="8">
        <v>43819</v>
      </c>
      <c r="N31" s="7">
        <v>-14.01</v>
      </c>
      <c r="O31" s="35">
        <v>-100.01</v>
      </c>
      <c r="P31" s="35">
        <f t="shared" si="0"/>
        <v>12.069999999999993</v>
      </c>
      <c r="Q31" s="7">
        <v>0.2</v>
      </c>
    </row>
    <row r="32" spans="1:17" ht="14.25" customHeight="1" x14ac:dyDescent="0.35">
      <c r="A32" s="5" t="s">
        <v>20</v>
      </c>
      <c r="B32" s="5" t="s">
        <v>21</v>
      </c>
      <c r="C32" s="5" t="s">
        <v>192</v>
      </c>
      <c r="D32" s="5" t="s">
        <v>193</v>
      </c>
      <c r="E32" s="7">
        <v>68.354393000000002</v>
      </c>
      <c r="F32" s="7">
        <v>18.815747999999999</v>
      </c>
      <c r="G32" s="7">
        <v>376</v>
      </c>
      <c r="I32" s="5" t="s">
        <v>225</v>
      </c>
      <c r="K32" s="8">
        <v>43822</v>
      </c>
      <c r="N32" s="7">
        <v>-18.149999999999999</v>
      </c>
      <c r="O32" s="35">
        <v>-136.4</v>
      </c>
      <c r="P32" s="35">
        <f t="shared" si="0"/>
        <v>8.7999999999999829</v>
      </c>
      <c r="Q32" s="7">
        <v>2.2000000000000002</v>
      </c>
    </row>
    <row r="33" spans="1:17" ht="14.25" customHeight="1" x14ac:dyDescent="0.35">
      <c r="A33" s="5" t="s">
        <v>20</v>
      </c>
      <c r="B33" s="5" t="s">
        <v>21</v>
      </c>
      <c r="C33" s="5" t="s">
        <v>192</v>
      </c>
      <c r="D33" s="5" t="s">
        <v>193</v>
      </c>
      <c r="E33" s="7">
        <v>68.354393000000002</v>
      </c>
      <c r="F33" s="7">
        <v>18.815747999999999</v>
      </c>
      <c r="G33" s="7">
        <v>376</v>
      </c>
      <c r="I33" s="5" t="s">
        <v>226</v>
      </c>
      <c r="K33" s="8">
        <v>43826</v>
      </c>
      <c r="N33" s="7">
        <v>-16.510000000000002</v>
      </c>
      <c r="O33" s="35">
        <v>-126.07</v>
      </c>
      <c r="P33" s="35">
        <f t="shared" si="0"/>
        <v>6.0100000000000193</v>
      </c>
      <c r="Q33" s="7">
        <v>2.4</v>
      </c>
    </row>
    <row r="34" spans="1:17" ht="14.25" customHeight="1" x14ac:dyDescent="0.35">
      <c r="A34" s="5" t="s">
        <v>20</v>
      </c>
      <c r="B34" s="5" t="s">
        <v>21</v>
      </c>
      <c r="C34" s="5" t="s">
        <v>192</v>
      </c>
      <c r="D34" s="5" t="s">
        <v>193</v>
      </c>
      <c r="E34" s="7">
        <v>68.354393000000002</v>
      </c>
      <c r="F34" s="7">
        <v>18.815747999999999</v>
      </c>
      <c r="G34" s="7">
        <v>376</v>
      </c>
      <c r="I34" s="5" t="s">
        <v>227</v>
      </c>
      <c r="J34" s="5" t="s">
        <v>214</v>
      </c>
      <c r="K34" s="8">
        <v>43829</v>
      </c>
      <c r="N34" s="7">
        <v>-18.899999999999999</v>
      </c>
      <c r="O34" s="35">
        <v>-147.54</v>
      </c>
      <c r="P34" s="35">
        <f t="shared" si="0"/>
        <v>3.6599999999999966</v>
      </c>
      <c r="Q34" s="7">
        <v>9.6999999999999993</v>
      </c>
    </row>
    <row r="35" spans="1:17" ht="14.25" customHeight="1" x14ac:dyDescent="0.35">
      <c r="A35" s="5" t="s">
        <v>20</v>
      </c>
      <c r="B35" s="5" t="s">
        <v>21</v>
      </c>
      <c r="C35" s="5" t="s">
        <v>192</v>
      </c>
      <c r="D35" s="5" t="s">
        <v>193</v>
      </c>
      <c r="E35" s="7">
        <v>68.354393000000002</v>
      </c>
      <c r="F35" s="7">
        <v>18.815747999999999</v>
      </c>
      <c r="G35" s="7">
        <v>376</v>
      </c>
      <c r="I35" s="5" t="s">
        <v>228</v>
      </c>
      <c r="K35" s="8">
        <v>43832</v>
      </c>
      <c r="N35" s="7">
        <v>-18.63</v>
      </c>
      <c r="O35" s="35">
        <v>-143.80000000000001</v>
      </c>
      <c r="P35" s="35">
        <f t="shared" si="0"/>
        <v>5.2399999999999807</v>
      </c>
      <c r="Q35" s="7">
        <v>13.7</v>
      </c>
    </row>
    <row r="36" spans="1:17" ht="14.25" customHeight="1" x14ac:dyDescent="0.35">
      <c r="A36" s="5" t="s">
        <v>20</v>
      </c>
      <c r="B36" s="5" t="s">
        <v>21</v>
      </c>
      <c r="C36" s="5" t="s">
        <v>192</v>
      </c>
      <c r="D36" s="5" t="s">
        <v>193</v>
      </c>
      <c r="E36" s="7">
        <v>68.354393000000002</v>
      </c>
      <c r="F36" s="7">
        <v>18.815747999999999</v>
      </c>
      <c r="G36" s="7">
        <v>376</v>
      </c>
      <c r="I36" s="5" t="s">
        <v>229</v>
      </c>
      <c r="J36" s="5" t="s">
        <v>214</v>
      </c>
      <c r="K36" s="8">
        <v>43833</v>
      </c>
      <c r="N36" s="7">
        <v>-13.34</v>
      </c>
      <c r="O36" s="35">
        <v>-105.2</v>
      </c>
      <c r="P36" s="35">
        <f t="shared" si="0"/>
        <v>1.519999999999996</v>
      </c>
      <c r="Q36" s="7">
        <v>8.6</v>
      </c>
    </row>
    <row r="37" spans="1:17" ht="14.25" customHeight="1" x14ac:dyDescent="0.35">
      <c r="A37" s="5" t="s">
        <v>20</v>
      </c>
      <c r="B37" s="5" t="s">
        <v>21</v>
      </c>
      <c r="C37" s="5" t="s">
        <v>192</v>
      </c>
      <c r="D37" s="5" t="s">
        <v>193</v>
      </c>
      <c r="E37" s="7">
        <v>68.354393000000002</v>
      </c>
      <c r="F37" s="7">
        <v>18.815747999999999</v>
      </c>
      <c r="G37" s="7">
        <v>376</v>
      </c>
      <c r="I37" s="5" t="s">
        <v>230</v>
      </c>
      <c r="J37" s="5" t="s">
        <v>100</v>
      </c>
      <c r="K37" s="8">
        <v>43837</v>
      </c>
      <c r="N37" s="7">
        <v>-15.89</v>
      </c>
      <c r="O37" s="35">
        <v>-117.37</v>
      </c>
      <c r="P37" s="35">
        <f t="shared" si="0"/>
        <v>9.75</v>
      </c>
      <c r="Q37" s="7">
        <v>4.4000000000000004</v>
      </c>
    </row>
    <row r="38" spans="1:17" ht="14.25" customHeight="1" x14ac:dyDescent="0.35">
      <c r="A38" s="5" t="s">
        <v>20</v>
      </c>
      <c r="B38" s="5" t="s">
        <v>21</v>
      </c>
      <c r="C38" s="5" t="s">
        <v>192</v>
      </c>
      <c r="D38" s="5" t="s">
        <v>193</v>
      </c>
      <c r="E38" s="7">
        <v>68.354393000000002</v>
      </c>
      <c r="F38" s="7">
        <v>18.815747999999999</v>
      </c>
      <c r="G38" s="7">
        <v>376</v>
      </c>
      <c r="I38" s="5" t="s">
        <v>231</v>
      </c>
      <c r="J38" s="5" t="s">
        <v>214</v>
      </c>
      <c r="K38" s="8">
        <v>43838</v>
      </c>
      <c r="N38" s="7">
        <v>-11.44</v>
      </c>
      <c r="O38" s="35">
        <v>-92.16</v>
      </c>
      <c r="P38" s="35">
        <f t="shared" si="0"/>
        <v>-0.64000000000000057</v>
      </c>
      <c r="Q38" s="7">
        <v>0.7</v>
      </c>
    </row>
    <row r="39" spans="1:17" ht="14.25" customHeight="1" x14ac:dyDescent="0.35">
      <c r="A39" s="5" t="s">
        <v>20</v>
      </c>
      <c r="B39" s="5" t="s">
        <v>21</v>
      </c>
      <c r="C39" s="5" t="s">
        <v>192</v>
      </c>
      <c r="D39" s="5" t="s">
        <v>193</v>
      </c>
      <c r="E39" s="7">
        <v>68.354393000000002</v>
      </c>
      <c r="F39" s="7">
        <v>18.815747999999999</v>
      </c>
      <c r="G39" s="7">
        <v>376</v>
      </c>
      <c r="I39" s="5" t="s">
        <v>232</v>
      </c>
      <c r="J39" s="5" t="s">
        <v>214</v>
      </c>
      <c r="K39" s="8">
        <v>43839</v>
      </c>
      <c r="N39" s="7">
        <v>-19.29</v>
      </c>
      <c r="O39" s="35">
        <v>-150.55000000000001</v>
      </c>
      <c r="P39" s="35">
        <f t="shared" si="0"/>
        <v>3.7699999999999818</v>
      </c>
      <c r="Q39" s="7">
        <v>0.5</v>
      </c>
    </row>
    <row r="40" spans="1:17" ht="14.25" customHeight="1" x14ac:dyDescent="0.35">
      <c r="A40" s="5" t="s">
        <v>20</v>
      </c>
      <c r="B40" s="5" t="s">
        <v>21</v>
      </c>
      <c r="C40" s="5" t="s">
        <v>192</v>
      </c>
      <c r="D40" s="5" t="s">
        <v>193</v>
      </c>
      <c r="E40" s="7">
        <v>68.354393000000002</v>
      </c>
      <c r="F40" s="7">
        <v>18.815747999999999</v>
      </c>
      <c r="G40" s="7">
        <v>376</v>
      </c>
      <c r="I40" s="5" t="s">
        <v>233</v>
      </c>
      <c r="J40" s="5" t="s">
        <v>214</v>
      </c>
      <c r="K40" s="8">
        <v>43840</v>
      </c>
      <c r="N40" s="7">
        <v>-2.81</v>
      </c>
      <c r="O40" s="35">
        <v>-13.18</v>
      </c>
      <c r="P40" s="35">
        <f t="shared" si="0"/>
        <v>9.3000000000000007</v>
      </c>
      <c r="Q40" s="7">
        <v>0.3</v>
      </c>
    </row>
    <row r="41" spans="1:17" ht="14.25" customHeight="1" x14ac:dyDescent="0.35">
      <c r="A41" s="5" t="s">
        <v>20</v>
      </c>
      <c r="B41" s="5" t="s">
        <v>21</v>
      </c>
      <c r="C41" s="5" t="s">
        <v>192</v>
      </c>
      <c r="D41" s="5" t="s">
        <v>193</v>
      </c>
      <c r="E41" s="7">
        <v>68.354393000000002</v>
      </c>
      <c r="F41" s="7">
        <v>18.815747999999999</v>
      </c>
      <c r="G41" s="7">
        <v>376</v>
      </c>
      <c r="I41" s="5" t="s">
        <v>234</v>
      </c>
      <c r="J41" s="5" t="s">
        <v>100</v>
      </c>
      <c r="K41" s="8">
        <v>43843</v>
      </c>
      <c r="N41" s="7">
        <v>-16.87</v>
      </c>
      <c r="O41" s="35">
        <v>-132.9</v>
      </c>
      <c r="P41" s="35">
        <f t="shared" si="0"/>
        <v>2.0600000000000023</v>
      </c>
      <c r="Q41" s="7">
        <v>2.6</v>
      </c>
    </row>
    <row r="42" spans="1:17" ht="14.25" customHeight="1" x14ac:dyDescent="0.35">
      <c r="A42" s="5" t="s">
        <v>20</v>
      </c>
      <c r="B42" s="5" t="s">
        <v>21</v>
      </c>
      <c r="C42" s="5" t="s">
        <v>192</v>
      </c>
      <c r="D42" s="5" t="s">
        <v>193</v>
      </c>
      <c r="E42" s="7">
        <v>68.354393000000002</v>
      </c>
      <c r="F42" s="7">
        <v>18.815747999999999</v>
      </c>
      <c r="G42" s="7">
        <v>376</v>
      </c>
      <c r="I42" s="5" t="s">
        <v>235</v>
      </c>
      <c r="J42" s="5" t="s">
        <v>100</v>
      </c>
      <c r="K42" s="8">
        <v>43845</v>
      </c>
      <c r="N42" s="7">
        <v>-22.67</v>
      </c>
      <c r="O42" s="35">
        <v>-175.63</v>
      </c>
      <c r="P42" s="35">
        <f t="shared" si="0"/>
        <v>5.7300000000000182</v>
      </c>
      <c r="Q42" s="7">
        <v>2</v>
      </c>
    </row>
    <row r="43" spans="1:17" ht="14.25" customHeight="1" x14ac:dyDescent="0.35">
      <c r="A43" s="5" t="s">
        <v>20</v>
      </c>
      <c r="B43" s="5" t="s">
        <v>21</v>
      </c>
      <c r="C43" s="5" t="s">
        <v>192</v>
      </c>
      <c r="D43" s="5" t="s">
        <v>193</v>
      </c>
      <c r="E43" s="7">
        <v>68.354393000000002</v>
      </c>
      <c r="F43" s="7">
        <v>18.815747999999999</v>
      </c>
      <c r="G43" s="7">
        <v>376</v>
      </c>
      <c r="I43" s="5" t="s">
        <v>236</v>
      </c>
      <c r="J43" s="5" t="s">
        <v>100</v>
      </c>
      <c r="K43" s="8">
        <v>43846</v>
      </c>
      <c r="N43" s="7">
        <v>-12.92</v>
      </c>
      <c r="O43" s="35">
        <v>-89.74</v>
      </c>
      <c r="P43" s="35">
        <f t="shared" si="0"/>
        <v>13.620000000000005</v>
      </c>
      <c r="Q43" s="7">
        <v>0.9</v>
      </c>
    </row>
    <row r="44" spans="1:17" ht="14.25" customHeight="1" x14ac:dyDescent="0.35">
      <c r="A44" s="5" t="s">
        <v>20</v>
      </c>
      <c r="B44" s="5" t="s">
        <v>21</v>
      </c>
      <c r="C44" s="5" t="s">
        <v>192</v>
      </c>
      <c r="D44" s="5" t="s">
        <v>193</v>
      </c>
      <c r="E44" s="7">
        <v>68.354393000000002</v>
      </c>
      <c r="F44" s="7">
        <v>18.815747999999999</v>
      </c>
      <c r="G44" s="7">
        <v>376</v>
      </c>
      <c r="I44" s="5" t="s">
        <v>237</v>
      </c>
      <c r="J44" s="5" t="s">
        <v>100</v>
      </c>
      <c r="K44" s="8">
        <v>43847</v>
      </c>
      <c r="N44" s="7">
        <v>-22.77</v>
      </c>
      <c r="O44" s="35">
        <v>-177.6</v>
      </c>
      <c r="P44" s="35">
        <f t="shared" si="0"/>
        <v>4.5600000000000023</v>
      </c>
      <c r="Q44" s="7">
        <v>2</v>
      </c>
    </row>
    <row r="45" spans="1:17" ht="14.25" customHeight="1" x14ac:dyDescent="0.35">
      <c r="A45" s="5" t="s">
        <v>20</v>
      </c>
      <c r="B45" s="5" t="s">
        <v>21</v>
      </c>
      <c r="C45" s="5" t="s">
        <v>192</v>
      </c>
      <c r="D45" s="5" t="s">
        <v>193</v>
      </c>
      <c r="E45" s="7">
        <v>68.354393000000002</v>
      </c>
      <c r="F45" s="7">
        <v>18.815747999999999</v>
      </c>
      <c r="G45" s="7">
        <v>376</v>
      </c>
      <c r="I45" s="5" t="s">
        <v>238</v>
      </c>
      <c r="J45" s="5" t="s">
        <v>100</v>
      </c>
      <c r="K45" s="8">
        <v>43850</v>
      </c>
      <c r="N45" s="7">
        <v>-15.53</v>
      </c>
      <c r="O45" s="35">
        <v>-116.82</v>
      </c>
      <c r="P45" s="35">
        <f t="shared" si="0"/>
        <v>7.4200000000000017</v>
      </c>
      <c r="Q45" s="7">
        <v>1.4</v>
      </c>
    </row>
    <row r="46" spans="1:17" ht="14.25" customHeight="1" x14ac:dyDescent="0.35">
      <c r="A46" s="5" t="s">
        <v>20</v>
      </c>
      <c r="B46" s="5" t="s">
        <v>21</v>
      </c>
      <c r="C46" s="5" t="s">
        <v>192</v>
      </c>
      <c r="D46" s="5" t="s">
        <v>193</v>
      </c>
      <c r="E46" s="7">
        <v>68.354393000000002</v>
      </c>
      <c r="F46" s="7">
        <v>18.815747999999999</v>
      </c>
      <c r="G46" s="7">
        <v>376</v>
      </c>
      <c r="I46" s="5" t="s">
        <v>239</v>
      </c>
      <c r="J46" s="5" t="s">
        <v>214</v>
      </c>
      <c r="K46" s="8">
        <v>43851</v>
      </c>
      <c r="N46" s="7">
        <v>-13.95</v>
      </c>
      <c r="O46" s="35">
        <v>-106.22</v>
      </c>
      <c r="P46" s="35">
        <f t="shared" si="0"/>
        <v>5.3799999999999955</v>
      </c>
      <c r="Q46" s="7"/>
    </row>
    <row r="47" spans="1:17" ht="14.25" customHeight="1" x14ac:dyDescent="0.35">
      <c r="A47" s="5" t="s">
        <v>20</v>
      </c>
      <c r="B47" s="5" t="s">
        <v>21</v>
      </c>
      <c r="C47" s="5" t="s">
        <v>192</v>
      </c>
      <c r="D47" s="5" t="s">
        <v>193</v>
      </c>
      <c r="E47" s="7">
        <v>68.354393000000002</v>
      </c>
      <c r="F47" s="7">
        <v>18.815747999999999</v>
      </c>
      <c r="G47" s="7">
        <v>376</v>
      </c>
      <c r="I47" s="5" t="s">
        <v>240</v>
      </c>
      <c r="J47" s="5" t="s">
        <v>100</v>
      </c>
      <c r="K47" s="8">
        <v>43852</v>
      </c>
      <c r="N47" s="7">
        <v>-9.32</v>
      </c>
      <c r="O47" s="35">
        <v>-53.29</v>
      </c>
      <c r="P47" s="35">
        <f t="shared" si="0"/>
        <v>21.270000000000003</v>
      </c>
      <c r="Q47" s="7"/>
    </row>
    <row r="48" spans="1:17" ht="14.25" customHeight="1" x14ac:dyDescent="0.35">
      <c r="A48" s="5" t="s">
        <v>20</v>
      </c>
      <c r="B48" s="5" t="s">
        <v>21</v>
      </c>
      <c r="C48" s="5" t="s">
        <v>192</v>
      </c>
      <c r="D48" s="5" t="s">
        <v>193</v>
      </c>
      <c r="E48" s="7">
        <v>68.354393000000002</v>
      </c>
      <c r="F48" s="7">
        <v>18.815747999999999</v>
      </c>
      <c r="G48" s="7">
        <v>376</v>
      </c>
      <c r="I48" s="5" t="s">
        <v>241</v>
      </c>
      <c r="J48" s="5" t="s">
        <v>100</v>
      </c>
      <c r="K48" s="8">
        <v>43853</v>
      </c>
      <c r="N48" s="7">
        <v>-6.11</v>
      </c>
      <c r="O48" s="35">
        <v>-30.3</v>
      </c>
      <c r="P48" s="35">
        <f t="shared" si="0"/>
        <v>18.580000000000002</v>
      </c>
      <c r="Q48" s="7"/>
    </row>
    <row r="49" spans="1:17" ht="14.25" customHeight="1" x14ac:dyDescent="0.35">
      <c r="A49" s="5" t="s">
        <v>20</v>
      </c>
      <c r="B49" s="5" t="s">
        <v>21</v>
      </c>
      <c r="C49" s="5" t="s">
        <v>192</v>
      </c>
      <c r="D49" s="5" t="s">
        <v>193</v>
      </c>
      <c r="E49" s="7">
        <v>68.354393000000002</v>
      </c>
      <c r="F49" s="7">
        <v>18.815747999999999</v>
      </c>
      <c r="G49" s="7">
        <v>376</v>
      </c>
      <c r="I49" s="5" t="s">
        <v>242</v>
      </c>
      <c r="J49" s="5" t="s">
        <v>100</v>
      </c>
      <c r="K49" s="8">
        <v>43854</v>
      </c>
      <c r="N49" s="7">
        <v>-18.63</v>
      </c>
      <c r="O49" s="35">
        <v>-141.33000000000001</v>
      </c>
      <c r="P49" s="35">
        <f t="shared" si="0"/>
        <v>7.7099999999999795</v>
      </c>
      <c r="Q49" s="7"/>
    </row>
    <row r="50" spans="1:17" ht="14.25" customHeight="1" x14ac:dyDescent="0.35">
      <c r="A50" s="5" t="s">
        <v>20</v>
      </c>
      <c r="B50" s="5" t="s">
        <v>21</v>
      </c>
      <c r="C50" s="5" t="s">
        <v>192</v>
      </c>
      <c r="D50" s="5" t="s">
        <v>193</v>
      </c>
      <c r="E50" s="7">
        <v>68.354393000000002</v>
      </c>
      <c r="F50" s="7">
        <v>18.815747999999999</v>
      </c>
      <c r="G50" s="7">
        <v>376</v>
      </c>
      <c r="I50" s="5" t="s">
        <v>243</v>
      </c>
      <c r="J50" s="5" t="s">
        <v>100</v>
      </c>
      <c r="K50" s="8">
        <v>43857</v>
      </c>
      <c r="N50" s="7">
        <v>-15.52</v>
      </c>
      <c r="O50" s="35">
        <v>-109.59</v>
      </c>
      <c r="P50" s="35">
        <f t="shared" si="0"/>
        <v>14.569999999999993</v>
      </c>
      <c r="Q50" s="7"/>
    </row>
    <row r="51" spans="1:17" ht="14.25" customHeight="1" x14ac:dyDescent="0.35">
      <c r="A51" s="5" t="s">
        <v>20</v>
      </c>
      <c r="B51" s="5" t="s">
        <v>21</v>
      </c>
      <c r="C51" s="5" t="s">
        <v>192</v>
      </c>
      <c r="D51" s="5" t="s">
        <v>193</v>
      </c>
      <c r="E51" s="7">
        <v>68.354393000000002</v>
      </c>
      <c r="F51" s="7">
        <v>18.815747999999999</v>
      </c>
      <c r="G51" s="7">
        <v>376</v>
      </c>
      <c r="I51" s="5" t="s">
        <v>244</v>
      </c>
      <c r="K51" s="8">
        <v>43858</v>
      </c>
      <c r="N51" s="7">
        <v>-13.943385462769971</v>
      </c>
      <c r="O51" s="35">
        <v>-99.783128834355836</v>
      </c>
      <c r="P51" s="35">
        <f t="shared" si="0"/>
        <v>11.763954867803932</v>
      </c>
      <c r="Q51" s="7"/>
    </row>
    <row r="52" spans="1:17" ht="14.25" customHeight="1" x14ac:dyDescent="0.35">
      <c r="A52" s="5" t="s">
        <v>20</v>
      </c>
      <c r="B52" s="5" t="s">
        <v>21</v>
      </c>
      <c r="C52" s="5" t="s">
        <v>192</v>
      </c>
      <c r="D52" s="5" t="s">
        <v>193</v>
      </c>
      <c r="E52" s="7">
        <v>68.354393000000002</v>
      </c>
      <c r="F52" s="7">
        <v>18.815747999999999</v>
      </c>
      <c r="G52" s="7">
        <v>376</v>
      </c>
      <c r="I52" s="5" t="s">
        <v>245</v>
      </c>
      <c r="J52" s="5" t="s">
        <v>100</v>
      </c>
      <c r="K52" s="8">
        <v>43859</v>
      </c>
      <c r="N52" s="7">
        <v>-16.46</v>
      </c>
      <c r="O52" s="35">
        <v>-120.33</v>
      </c>
      <c r="P52" s="35">
        <f t="shared" si="0"/>
        <v>11.350000000000009</v>
      </c>
      <c r="Q52" s="7"/>
    </row>
    <row r="53" spans="1:17" ht="14.25" customHeight="1" x14ac:dyDescent="0.35">
      <c r="A53" s="5" t="s">
        <v>20</v>
      </c>
      <c r="B53" s="5" t="s">
        <v>21</v>
      </c>
      <c r="C53" s="5" t="s">
        <v>192</v>
      </c>
      <c r="D53" s="5" t="s">
        <v>193</v>
      </c>
      <c r="E53" s="7">
        <v>68.354393000000002</v>
      </c>
      <c r="F53" s="7">
        <v>18.815747999999999</v>
      </c>
      <c r="G53" s="7">
        <v>376</v>
      </c>
      <c r="I53" s="5" t="s">
        <v>246</v>
      </c>
      <c r="J53" s="5" t="s">
        <v>100</v>
      </c>
      <c r="K53" s="8">
        <v>43864</v>
      </c>
      <c r="N53" s="7">
        <v>-11.54</v>
      </c>
      <c r="O53" s="35">
        <v>-78.89</v>
      </c>
      <c r="P53" s="35">
        <f t="shared" si="0"/>
        <v>13.429999999999993</v>
      </c>
      <c r="Q53" s="7"/>
    </row>
    <row r="54" spans="1:17" ht="14.25" customHeight="1" x14ac:dyDescent="0.35">
      <c r="A54" s="5" t="s">
        <v>20</v>
      </c>
      <c r="B54" s="5" t="s">
        <v>21</v>
      </c>
      <c r="C54" s="5" t="s">
        <v>192</v>
      </c>
      <c r="D54" s="5" t="s">
        <v>193</v>
      </c>
      <c r="E54" s="7">
        <v>68.354393000000002</v>
      </c>
      <c r="F54" s="7">
        <v>18.815747999999999</v>
      </c>
      <c r="G54" s="7">
        <v>376</v>
      </c>
      <c r="I54" s="5" t="s">
        <v>247</v>
      </c>
      <c r="J54" s="5" t="s">
        <v>100</v>
      </c>
      <c r="K54" s="8">
        <v>43866</v>
      </c>
      <c r="N54" s="7">
        <v>-14.94</v>
      </c>
      <c r="O54" s="35">
        <v>-98.14</v>
      </c>
      <c r="P54" s="35">
        <f t="shared" si="0"/>
        <v>21.379999999999995</v>
      </c>
      <c r="Q54" s="7"/>
    </row>
    <row r="55" spans="1:17" ht="14.25" customHeight="1" x14ac:dyDescent="0.35">
      <c r="A55" s="5" t="s">
        <v>20</v>
      </c>
      <c r="B55" s="5" t="s">
        <v>21</v>
      </c>
      <c r="C55" s="5" t="s">
        <v>192</v>
      </c>
      <c r="D55" s="5" t="s">
        <v>193</v>
      </c>
      <c r="E55" s="7">
        <v>68.354393000000002</v>
      </c>
      <c r="F55" s="7">
        <v>18.815747999999999</v>
      </c>
      <c r="G55" s="7">
        <v>376</v>
      </c>
      <c r="I55" s="5" t="s">
        <v>248</v>
      </c>
      <c r="J55" s="5" t="s">
        <v>100</v>
      </c>
      <c r="K55" s="8">
        <v>43867</v>
      </c>
      <c r="N55" s="7">
        <v>-11.37</v>
      </c>
      <c r="O55" s="35">
        <v>-68.19</v>
      </c>
      <c r="P55" s="35">
        <f t="shared" si="0"/>
        <v>22.769999999999996</v>
      </c>
      <c r="Q55" s="7"/>
    </row>
    <row r="56" spans="1:17" ht="14.25" customHeight="1" x14ac:dyDescent="0.35">
      <c r="A56" s="5" t="s">
        <v>20</v>
      </c>
      <c r="B56" s="5" t="s">
        <v>21</v>
      </c>
      <c r="C56" s="5" t="s">
        <v>192</v>
      </c>
      <c r="D56" s="5" t="s">
        <v>193</v>
      </c>
      <c r="E56" s="7">
        <v>68.354393000000002</v>
      </c>
      <c r="F56" s="7">
        <v>18.815747999999999</v>
      </c>
      <c r="G56" s="7">
        <v>376</v>
      </c>
      <c r="I56" s="5" t="s">
        <v>249</v>
      </c>
      <c r="J56" s="5" t="s">
        <v>100</v>
      </c>
      <c r="K56" s="8">
        <v>43868</v>
      </c>
      <c r="N56" s="7">
        <v>-16.93</v>
      </c>
      <c r="O56" s="35">
        <v>-126.95</v>
      </c>
      <c r="P56" s="35">
        <f t="shared" si="0"/>
        <v>8.4899999999999949</v>
      </c>
      <c r="Q56" s="7"/>
    </row>
    <row r="57" spans="1:17" ht="14.25" customHeight="1" x14ac:dyDescent="0.35">
      <c r="A57" s="5" t="s">
        <v>20</v>
      </c>
      <c r="B57" s="5" t="s">
        <v>21</v>
      </c>
      <c r="C57" s="5" t="s">
        <v>192</v>
      </c>
      <c r="D57" s="5" t="s">
        <v>193</v>
      </c>
      <c r="E57" s="7">
        <v>68.354393000000002</v>
      </c>
      <c r="F57" s="7">
        <v>18.815747999999999</v>
      </c>
      <c r="G57" s="7">
        <v>376</v>
      </c>
      <c r="I57" s="5" t="s">
        <v>250</v>
      </c>
      <c r="J57" s="5" t="s">
        <v>214</v>
      </c>
      <c r="K57" s="8">
        <v>43871</v>
      </c>
      <c r="N57" s="7">
        <v>-11.5</v>
      </c>
      <c r="O57" s="35">
        <v>-91.67</v>
      </c>
      <c r="P57" s="35">
        <f t="shared" si="0"/>
        <v>0.32999999999999829</v>
      </c>
      <c r="Q57" s="7"/>
    </row>
    <row r="58" spans="1:17" ht="14.25" customHeight="1" x14ac:dyDescent="0.35">
      <c r="A58" s="5" t="s">
        <v>20</v>
      </c>
      <c r="B58" s="5" t="s">
        <v>21</v>
      </c>
      <c r="C58" s="5" t="s">
        <v>192</v>
      </c>
      <c r="D58" s="5" t="s">
        <v>193</v>
      </c>
      <c r="E58" s="7">
        <v>68.354393000000002</v>
      </c>
      <c r="F58" s="7">
        <v>18.815747999999999</v>
      </c>
      <c r="G58" s="7">
        <v>376</v>
      </c>
      <c r="I58" s="5" t="s">
        <v>251</v>
      </c>
      <c r="J58" s="5" t="s">
        <v>100</v>
      </c>
      <c r="K58" s="8">
        <v>43872</v>
      </c>
      <c r="N58" s="7">
        <v>-27.49</v>
      </c>
      <c r="O58" s="35">
        <v>-222.97</v>
      </c>
      <c r="P58" s="35">
        <f t="shared" si="0"/>
        <v>-3.0500000000000114</v>
      </c>
      <c r="Q58" s="7"/>
    </row>
    <row r="59" spans="1:17" ht="14.25" customHeight="1" x14ac:dyDescent="0.35">
      <c r="A59" s="5" t="s">
        <v>20</v>
      </c>
      <c r="B59" s="5" t="s">
        <v>21</v>
      </c>
      <c r="C59" s="5" t="s">
        <v>192</v>
      </c>
      <c r="D59" s="5" t="s">
        <v>193</v>
      </c>
      <c r="E59" s="7">
        <v>68.354393000000002</v>
      </c>
      <c r="F59" s="7">
        <v>18.815747999999999</v>
      </c>
      <c r="G59" s="7">
        <v>376</v>
      </c>
      <c r="I59" s="5" t="s">
        <v>252</v>
      </c>
      <c r="J59" s="5" t="s">
        <v>100</v>
      </c>
      <c r="K59" s="8">
        <v>43874</v>
      </c>
      <c r="N59" s="7">
        <v>-14.32</v>
      </c>
      <c r="O59" s="35">
        <v>-105.18</v>
      </c>
      <c r="P59" s="35">
        <f t="shared" si="0"/>
        <v>9.3799999999999955</v>
      </c>
      <c r="Q59" s="7"/>
    </row>
    <row r="60" spans="1:17" ht="14.25" customHeight="1" x14ac:dyDescent="0.35">
      <c r="A60" s="5" t="s">
        <v>20</v>
      </c>
      <c r="B60" s="5" t="s">
        <v>21</v>
      </c>
      <c r="C60" s="5" t="s">
        <v>192</v>
      </c>
      <c r="D60" s="5" t="s">
        <v>193</v>
      </c>
      <c r="E60" s="7">
        <v>68.354393000000002</v>
      </c>
      <c r="F60" s="7">
        <v>18.815747999999999</v>
      </c>
      <c r="G60" s="7">
        <v>376</v>
      </c>
      <c r="I60" s="5" t="s">
        <v>253</v>
      </c>
      <c r="J60" s="5" t="s">
        <v>100</v>
      </c>
      <c r="K60" s="8">
        <v>43878</v>
      </c>
      <c r="N60" s="7">
        <v>-21.04</v>
      </c>
      <c r="O60" s="35">
        <v>-158.62</v>
      </c>
      <c r="P60" s="35">
        <f t="shared" si="0"/>
        <v>9.6999999999999886</v>
      </c>
      <c r="Q60" s="7"/>
    </row>
    <row r="61" spans="1:17" ht="14.25" customHeight="1" x14ac:dyDescent="0.35">
      <c r="A61" s="5" t="s">
        <v>20</v>
      </c>
      <c r="B61" s="5" t="s">
        <v>21</v>
      </c>
      <c r="C61" s="5" t="s">
        <v>192</v>
      </c>
      <c r="D61" s="5" t="s">
        <v>193</v>
      </c>
      <c r="E61" s="7">
        <v>68.354393000000002</v>
      </c>
      <c r="F61" s="7">
        <v>18.815747999999999</v>
      </c>
      <c r="G61" s="7">
        <v>376</v>
      </c>
      <c r="I61" s="5" t="s">
        <v>254</v>
      </c>
      <c r="J61" s="5" t="s">
        <v>100</v>
      </c>
      <c r="K61" s="8">
        <v>43879</v>
      </c>
      <c r="N61" s="7">
        <v>-18.190000000000001</v>
      </c>
      <c r="O61" s="35">
        <v>-136.47</v>
      </c>
      <c r="P61" s="35">
        <f t="shared" si="0"/>
        <v>9.0500000000000114</v>
      </c>
      <c r="Q61" s="7"/>
    </row>
    <row r="62" spans="1:17" ht="14.25" customHeight="1" x14ac:dyDescent="0.35">
      <c r="A62" s="5" t="s">
        <v>20</v>
      </c>
      <c r="B62" s="5" t="s">
        <v>21</v>
      </c>
      <c r="C62" s="5" t="s">
        <v>192</v>
      </c>
      <c r="D62" s="5" t="s">
        <v>193</v>
      </c>
      <c r="E62" s="7">
        <v>68.354393000000002</v>
      </c>
      <c r="F62" s="7">
        <v>18.815747999999999</v>
      </c>
      <c r="G62" s="7">
        <v>376</v>
      </c>
      <c r="I62" s="5" t="s">
        <v>255</v>
      </c>
      <c r="J62" s="5" t="s">
        <v>100</v>
      </c>
      <c r="K62" s="8">
        <v>43880</v>
      </c>
      <c r="N62" s="7">
        <v>-16.850000000000001</v>
      </c>
      <c r="O62" s="35">
        <v>-124.35</v>
      </c>
      <c r="P62" s="35">
        <f t="shared" si="0"/>
        <v>10.450000000000017</v>
      </c>
      <c r="Q62" s="7"/>
    </row>
    <row r="63" spans="1:17" ht="14.25" customHeight="1" x14ac:dyDescent="0.35">
      <c r="A63" s="5" t="s">
        <v>20</v>
      </c>
      <c r="B63" s="5" t="s">
        <v>21</v>
      </c>
      <c r="C63" s="5" t="s">
        <v>192</v>
      </c>
      <c r="D63" s="5" t="s">
        <v>193</v>
      </c>
      <c r="E63" s="7">
        <v>68.354393000000002</v>
      </c>
      <c r="F63" s="7">
        <v>18.815747999999999</v>
      </c>
      <c r="G63" s="7">
        <v>376</v>
      </c>
      <c r="I63" s="5" t="s">
        <v>256</v>
      </c>
      <c r="J63" s="5" t="s">
        <v>100</v>
      </c>
      <c r="K63" s="8">
        <v>43885</v>
      </c>
      <c r="N63" s="7">
        <v>-15.14</v>
      </c>
      <c r="O63" s="35">
        <v>-117.82</v>
      </c>
      <c r="P63" s="35">
        <f t="shared" si="0"/>
        <v>3.3000000000000114</v>
      </c>
      <c r="Q63" s="7"/>
    </row>
    <row r="64" spans="1:17" ht="14.25" customHeight="1" x14ac:dyDescent="0.35">
      <c r="A64" s="5" t="s">
        <v>20</v>
      </c>
      <c r="B64" s="5" t="s">
        <v>21</v>
      </c>
      <c r="C64" s="5" t="s">
        <v>192</v>
      </c>
      <c r="D64" s="5" t="s">
        <v>193</v>
      </c>
      <c r="E64" s="7">
        <v>68.354393000000002</v>
      </c>
      <c r="F64" s="7">
        <v>18.815747999999999</v>
      </c>
      <c r="G64" s="7">
        <v>376</v>
      </c>
      <c r="I64" s="5" t="s">
        <v>257</v>
      </c>
      <c r="J64" s="5" t="s">
        <v>100</v>
      </c>
      <c r="K64" s="8">
        <v>43886</v>
      </c>
      <c r="N64" s="7">
        <v>-11.02</v>
      </c>
      <c r="O64" s="35">
        <v>-76.97</v>
      </c>
      <c r="P64" s="35">
        <f t="shared" si="0"/>
        <v>11.189999999999998</v>
      </c>
      <c r="Q64" s="7"/>
    </row>
    <row r="65" spans="1:17" ht="14.25" customHeight="1" x14ac:dyDescent="0.35">
      <c r="A65" s="5" t="s">
        <v>20</v>
      </c>
      <c r="B65" s="5" t="s">
        <v>21</v>
      </c>
      <c r="C65" s="5" t="s">
        <v>192</v>
      </c>
      <c r="D65" s="5" t="s">
        <v>193</v>
      </c>
      <c r="E65" s="7">
        <v>68.354393000000002</v>
      </c>
      <c r="F65" s="7">
        <v>18.815747999999999</v>
      </c>
      <c r="G65" s="7">
        <v>376</v>
      </c>
      <c r="I65" s="5" t="s">
        <v>258</v>
      </c>
      <c r="J65" s="5" t="s">
        <v>100</v>
      </c>
      <c r="K65" s="8">
        <v>43887</v>
      </c>
      <c r="N65" s="7">
        <v>-20.68</v>
      </c>
      <c r="O65" s="35">
        <v>-151.80000000000001</v>
      </c>
      <c r="P65" s="35">
        <f t="shared" si="0"/>
        <v>13.639999999999986</v>
      </c>
      <c r="Q65" s="7"/>
    </row>
    <row r="66" spans="1:17" ht="14.25" customHeight="1" x14ac:dyDescent="0.35">
      <c r="A66" s="5" t="s">
        <v>20</v>
      </c>
      <c r="B66" s="5" t="s">
        <v>21</v>
      </c>
      <c r="C66" s="5" t="s">
        <v>192</v>
      </c>
      <c r="D66" s="5" t="s">
        <v>193</v>
      </c>
      <c r="E66" s="7">
        <v>68.354393000000002</v>
      </c>
      <c r="F66" s="7">
        <v>18.815747999999999</v>
      </c>
      <c r="G66" s="7">
        <v>376</v>
      </c>
      <c r="I66" s="5" t="s">
        <v>259</v>
      </c>
      <c r="J66" s="5" t="s">
        <v>100</v>
      </c>
      <c r="K66" s="8">
        <v>43888</v>
      </c>
      <c r="N66" s="7">
        <v>-16.420000000000002</v>
      </c>
      <c r="O66" s="35">
        <v>-121.62</v>
      </c>
      <c r="P66" s="35">
        <f t="shared" si="0"/>
        <v>9.7400000000000091</v>
      </c>
      <c r="Q66" s="7"/>
    </row>
    <row r="67" spans="1:17" ht="14.25" customHeight="1" x14ac:dyDescent="0.35">
      <c r="A67" s="5" t="s">
        <v>20</v>
      </c>
      <c r="B67" s="5" t="s">
        <v>21</v>
      </c>
      <c r="C67" s="5" t="s">
        <v>192</v>
      </c>
      <c r="D67" s="5" t="s">
        <v>193</v>
      </c>
      <c r="E67" s="7">
        <v>68.354393000000002</v>
      </c>
      <c r="F67" s="7">
        <v>18.815747999999999</v>
      </c>
      <c r="G67" s="7">
        <v>376</v>
      </c>
      <c r="I67" s="5" t="s">
        <v>260</v>
      </c>
      <c r="J67" s="5" t="s">
        <v>100</v>
      </c>
      <c r="K67" s="8">
        <v>43892</v>
      </c>
      <c r="N67" s="7">
        <v>-21.85</v>
      </c>
      <c r="O67" s="35">
        <v>-166.74</v>
      </c>
      <c r="P67" s="35">
        <f t="shared" si="0"/>
        <v>8.0600000000000023</v>
      </c>
      <c r="Q67" s="7"/>
    </row>
    <row r="68" spans="1:17" ht="14.25" customHeight="1" x14ac:dyDescent="0.35">
      <c r="A68" s="5" t="s">
        <v>20</v>
      </c>
      <c r="B68" s="5" t="s">
        <v>21</v>
      </c>
      <c r="C68" s="5" t="s">
        <v>192</v>
      </c>
      <c r="D68" s="5" t="s">
        <v>193</v>
      </c>
      <c r="E68" s="7">
        <v>68.354393000000002</v>
      </c>
      <c r="F68" s="7">
        <v>18.815747999999999</v>
      </c>
      <c r="G68" s="7">
        <v>376</v>
      </c>
      <c r="I68" s="5" t="s">
        <v>261</v>
      </c>
      <c r="J68" s="5" t="s">
        <v>100</v>
      </c>
      <c r="K68" s="8">
        <v>43896</v>
      </c>
      <c r="N68" s="7">
        <v>-28.04</v>
      </c>
      <c r="O68" s="35">
        <v>-217.55</v>
      </c>
      <c r="P68" s="35">
        <f t="shared" si="0"/>
        <v>6.7699999999999818</v>
      </c>
      <c r="Q68" s="7"/>
    </row>
    <row r="69" spans="1:17" ht="14.25" customHeight="1" x14ac:dyDescent="0.35">
      <c r="A69" s="5" t="s">
        <v>20</v>
      </c>
      <c r="B69" s="5" t="s">
        <v>21</v>
      </c>
      <c r="C69" s="5" t="s">
        <v>192</v>
      </c>
      <c r="D69" s="5" t="s">
        <v>193</v>
      </c>
      <c r="E69" s="7">
        <v>68.354393000000002</v>
      </c>
      <c r="F69" s="7">
        <v>18.815747999999999</v>
      </c>
      <c r="G69" s="7">
        <v>376</v>
      </c>
      <c r="I69" s="5" t="s">
        <v>262</v>
      </c>
      <c r="J69" s="5" t="s">
        <v>100</v>
      </c>
      <c r="K69" s="8">
        <v>43899</v>
      </c>
      <c r="N69" s="7">
        <v>-26.64</v>
      </c>
      <c r="O69" s="35">
        <v>-210.49</v>
      </c>
      <c r="P69" s="35">
        <f t="shared" si="0"/>
        <v>2.6299999999999955</v>
      </c>
      <c r="Q69" s="7"/>
    </row>
    <row r="70" spans="1:17" ht="14.25" customHeight="1" x14ac:dyDescent="0.35">
      <c r="A70" s="5" t="s">
        <v>20</v>
      </c>
      <c r="B70" s="5" t="s">
        <v>21</v>
      </c>
      <c r="C70" s="5" t="s">
        <v>192</v>
      </c>
      <c r="D70" s="5" t="s">
        <v>193</v>
      </c>
      <c r="E70" s="7">
        <v>68.354393000000002</v>
      </c>
      <c r="F70" s="7">
        <v>18.815747999999999</v>
      </c>
      <c r="G70" s="7">
        <v>376</v>
      </c>
      <c r="I70" s="5" t="s">
        <v>263</v>
      </c>
      <c r="J70" s="5" t="s">
        <v>100</v>
      </c>
      <c r="K70" s="8">
        <v>43900</v>
      </c>
      <c r="N70" s="7">
        <v>-11.86</v>
      </c>
      <c r="O70" s="35">
        <v>-100.37</v>
      </c>
      <c r="P70" s="35">
        <f t="shared" si="0"/>
        <v>-5.4900000000000091</v>
      </c>
      <c r="Q70" s="7"/>
    </row>
    <row r="71" spans="1:17" ht="14.25" customHeight="1" x14ac:dyDescent="0.35">
      <c r="A71" s="5" t="s">
        <v>20</v>
      </c>
      <c r="B71" s="5" t="s">
        <v>21</v>
      </c>
      <c r="C71" s="5" t="s">
        <v>192</v>
      </c>
      <c r="D71" s="5" t="s">
        <v>193</v>
      </c>
      <c r="E71" s="7">
        <v>68.354393000000002</v>
      </c>
      <c r="F71" s="7">
        <v>18.815747999999999</v>
      </c>
      <c r="G71" s="7">
        <v>376</v>
      </c>
      <c r="I71" s="5" t="s">
        <v>264</v>
      </c>
      <c r="K71" s="8">
        <v>43901</v>
      </c>
      <c r="N71" s="7">
        <v>-7.1326415716883229</v>
      </c>
      <c r="O71" s="35">
        <v>-43.166911905674837</v>
      </c>
      <c r="P71" s="35">
        <f t="shared" si="0"/>
        <v>13.894220667831746</v>
      </c>
      <c r="Q71" s="7"/>
    </row>
    <row r="72" spans="1:17" ht="14.25" customHeight="1" x14ac:dyDescent="0.35">
      <c r="A72" s="5" t="s">
        <v>20</v>
      </c>
      <c r="B72" s="5" t="s">
        <v>21</v>
      </c>
      <c r="C72" s="5" t="s">
        <v>192</v>
      </c>
      <c r="D72" s="5" t="s">
        <v>193</v>
      </c>
      <c r="E72" s="7">
        <v>68.354393000000002</v>
      </c>
      <c r="F72" s="7">
        <v>18.815747999999999</v>
      </c>
      <c r="G72" s="7">
        <v>376</v>
      </c>
      <c r="I72" s="5" t="s">
        <v>265</v>
      </c>
      <c r="J72" s="5" t="s">
        <v>100</v>
      </c>
      <c r="K72" s="8">
        <v>43902</v>
      </c>
      <c r="N72" s="7">
        <v>-20.92</v>
      </c>
      <c r="O72" s="35">
        <v>-160.83000000000001</v>
      </c>
      <c r="P72" s="35">
        <f t="shared" si="0"/>
        <v>6.5300000000000011</v>
      </c>
      <c r="Q72" s="7"/>
    </row>
    <row r="73" spans="1:17" ht="14.25" customHeight="1" x14ac:dyDescent="0.35">
      <c r="A73" s="5" t="s">
        <v>20</v>
      </c>
      <c r="B73" s="5" t="s">
        <v>21</v>
      </c>
      <c r="C73" s="5" t="s">
        <v>192</v>
      </c>
      <c r="D73" s="5" t="s">
        <v>193</v>
      </c>
      <c r="E73" s="7">
        <v>68.354393000000002</v>
      </c>
      <c r="F73" s="7">
        <v>18.815747999999999</v>
      </c>
      <c r="G73" s="7">
        <v>376</v>
      </c>
      <c r="I73" s="5" t="s">
        <v>266</v>
      </c>
      <c r="J73" s="5" t="s">
        <v>100</v>
      </c>
      <c r="K73" s="8">
        <v>43903</v>
      </c>
      <c r="N73" s="7">
        <v>-19.63</v>
      </c>
      <c r="O73" s="35">
        <v>-150.31</v>
      </c>
      <c r="P73" s="35">
        <f t="shared" si="0"/>
        <v>6.7299999999999898</v>
      </c>
      <c r="Q73" s="7"/>
    </row>
    <row r="74" spans="1:17" ht="14.25" customHeight="1" x14ac:dyDescent="0.35">
      <c r="A74" s="5" t="s">
        <v>20</v>
      </c>
      <c r="B74" s="5" t="s">
        <v>21</v>
      </c>
      <c r="C74" s="5" t="s">
        <v>192</v>
      </c>
      <c r="D74" s="5" t="s">
        <v>193</v>
      </c>
      <c r="E74" s="7">
        <v>68.354393000000002</v>
      </c>
      <c r="F74" s="7">
        <v>18.815747999999999</v>
      </c>
      <c r="G74" s="7">
        <v>376</v>
      </c>
      <c r="I74" s="5" t="s">
        <v>267</v>
      </c>
      <c r="J74" s="5" t="s">
        <v>100</v>
      </c>
      <c r="K74" s="8">
        <v>43906</v>
      </c>
      <c r="N74" s="7">
        <v>-11.11</v>
      </c>
      <c r="O74" s="35">
        <v>-79.819999999999993</v>
      </c>
      <c r="P74" s="35">
        <f t="shared" si="0"/>
        <v>9.0600000000000023</v>
      </c>
      <c r="Q74" s="7"/>
    </row>
    <row r="75" spans="1:17" ht="14.25" customHeight="1" x14ac:dyDescent="0.35">
      <c r="A75" s="5" t="s">
        <v>20</v>
      </c>
      <c r="B75" s="5" t="s">
        <v>21</v>
      </c>
      <c r="C75" s="5" t="s">
        <v>192</v>
      </c>
      <c r="D75" s="5" t="s">
        <v>193</v>
      </c>
      <c r="E75" s="7">
        <v>68.354393000000002</v>
      </c>
      <c r="F75" s="7">
        <v>18.815747999999999</v>
      </c>
      <c r="G75" s="7">
        <v>376</v>
      </c>
      <c r="I75" s="5" t="s">
        <v>268</v>
      </c>
      <c r="K75" s="8">
        <v>43907</v>
      </c>
      <c r="N75" s="7">
        <v>-4.7853062220054099</v>
      </c>
      <c r="O75" s="35">
        <v>-41.850535611579744</v>
      </c>
      <c r="P75" s="35">
        <f t="shared" si="0"/>
        <v>-3.5680858355364649</v>
      </c>
      <c r="Q75" s="7"/>
    </row>
    <row r="76" spans="1:17" ht="14.25" customHeight="1" x14ac:dyDescent="0.35">
      <c r="A76" s="5" t="s">
        <v>20</v>
      </c>
      <c r="B76" s="5" t="s">
        <v>21</v>
      </c>
      <c r="C76" s="5" t="s">
        <v>192</v>
      </c>
      <c r="D76" s="5" t="s">
        <v>193</v>
      </c>
      <c r="E76" s="7">
        <v>68.354393000000002</v>
      </c>
      <c r="F76" s="7">
        <v>18.815747999999999</v>
      </c>
      <c r="G76" s="7">
        <v>376</v>
      </c>
      <c r="I76" s="5" t="s">
        <v>269</v>
      </c>
      <c r="J76" s="5" t="s">
        <v>100</v>
      </c>
      <c r="K76" s="8">
        <v>43908</v>
      </c>
      <c r="N76" s="7">
        <v>-12.07</v>
      </c>
      <c r="O76" s="35">
        <v>-113.11</v>
      </c>
      <c r="P76" s="35">
        <f t="shared" si="0"/>
        <v>-16.549999999999997</v>
      </c>
      <c r="Q76" s="7"/>
    </row>
    <row r="77" spans="1:17" ht="14.25" customHeight="1" x14ac:dyDescent="0.35">
      <c r="A77" s="5" t="s">
        <v>20</v>
      </c>
      <c r="B77" s="5" t="s">
        <v>21</v>
      </c>
      <c r="C77" s="5" t="s">
        <v>192</v>
      </c>
      <c r="D77" s="5" t="s">
        <v>193</v>
      </c>
      <c r="E77" s="7">
        <v>68.354393000000002</v>
      </c>
      <c r="F77" s="7">
        <v>18.815747999999999</v>
      </c>
      <c r="G77" s="7">
        <v>376</v>
      </c>
      <c r="I77" s="5" t="s">
        <v>270</v>
      </c>
      <c r="J77" s="5" t="s">
        <v>100</v>
      </c>
      <c r="K77" s="8">
        <v>43909</v>
      </c>
      <c r="N77" s="7">
        <v>-14.37</v>
      </c>
      <c r="O77" s="35">
        <v>-104.46</v>
      </c>
      <c r="P77" s="35">
        <f t="shared" si="0"/>
        <v>10.5</v>
      </c>
      <c r="Q77" s="7"/>
    </row>
    <row r="78" spans="1:17" ht="14.25" customHeight="1" x14ac:dyDescent="0.35">
      <c r="A78" s="5" t="s">
        <v>20</v>
      </c>
      <c r="B78" s="5" t="s">
        <v>21</v>
      </c>
      <c r="C78" s="5" t="s">
        <v>192</v>
      </c>
      <c r="D78" s="5" t="s">
        <v>193</v>
      </c>
      <c r="E78" s="7">
        <v>68.354393000000002</v>
      </c>
      <c r="F78" s="7">
        <v>18.815747999999999</v>
      </c>
      <c r="G78" s="7">
        <v>376</v>
      </c>
      <c r="I78" s="5" t="s">
        <v>271</v>
      </c>
      <c r="J78" s="5" t="s">
        <v>214</v>
      </c>
      <c r="K78" s="8">
        <v>43915</v>
      </c>
      <c r="N78" s="7">
        <v>-21.02</v>
      </c>
      <c r="O78" s="35">
        <v>-163.04</v>
      </c>
      <c r="P78" s="35">
        <f t="shared" si="0"/>
        <v>5.1200000000000045</v>
      </c>
      <c r="Q78" s="7"/>
    </row>
    <row r="79" spans="1:17" ht="14.25" customHeight="1" x14ac:dyDescent="0.35">
      <c r="A79" s="5" t="s">
        <v>20</v>
      </c>
      <c r="B79" s="5" t="s">
        <v>21</v>
      </c>
      <c r="C79" s="5" t="s">
        <v>192</v>
      </c>
      <c r="D79" s="5" t="s">
        <v>193</v>
      </c>
      <c r="E79" s="7">
        <v>68.354393000000002</v>
      </c>
      <c r="F79" s="7">
        <v>18.815747999999999</v>
      </c>
      <c r="G79" s="7">
        <v>376</v>
      </c>
      <c r="I79" s="5" t="s">
        <v>272</v>
      </c>
      <c r="J79" s="5" t="s">
        <v>100</v>
      </c>
      <c r="K79" s="8">
        <v>43917</v>
      </c>
      <c r="N79" s="7">
        <v>-7.74</v>
      </c>
      <c r="O79" s="35">
        <v>-54.51</v>
      </c>
      <c r="P79" s="35">
        <f t="shared" si="0"/>
        <v>7.4100000000000037</v>
      </c>
      <c r="Q79" s="7"/>
    </row>
    <row r="80" spans="1:17" ht="14.25" customHeight="1" x14ac:dyDescent="0.35">
      <c r="A80" s="5" t="s">
        <v>20</v>
      </c>
      <c r="B80" s="5" t="s">
        <v>21</v>
      </c>
      <c r="C80" s="5" t="s">
        <v>192</v>
      </c>
      <c r="D80" s="5" t="s">
        <v>193</v>
      </c>
      <c r="E80" s="7">
        <v>68.354393000000002</v>
      </c>
      <c r="F80" s="7">
        <v>18.815747999999999</v>
      </c>
      <c r="G80" s="7">
        <v>376</v>
      </c>
      <c r="I80" s="5" t="s">
        <v>273</v>
      </c>
      <c r="J80" s="5" t="s">
        <v>100</v>
      </c>
      <c r="K80" s="8">
        <v>43920</v>
      </c>
      <c r="N80" s="7">
        <v>-14.97</v>
      </c>
      <c r="O80" s="35">
        <v>-98.28</v>
      </c>
      <c r="P80" s="35">
        <f t="shared" si="0"/>
        <v>21.480000000000004</v>
      </c>
      <c r="Q80" s="7"/>
    </row>
    <row r="81" spans="1:17" ht="14.25" customHeight="1" x14ac:dyDescent="0.35">
      <c r="A81" s="5" t="s">
        <v>20</v>
      </c>
      <c r="B81" s="5" t="s">
        <v>21</v>
      </c>
      <c r="C81" s="5" t="s">
        <v>192</v>
      </c>
      <c r="D81" s="5" t="s">
        <v>193</v>
      </c>
      <c r="E81" s="7">
        <v>68.354393000000002</v>
      </c>
      <c r="F81" s="7">
        <v>18.815747999999999</v>
      </c>
      <c r="G81" s="7">
        <v>376</v>
      </c>
      <c r="I81" s="5" t="s">
        <v>274</v>
      </c>
      <c r="J81" s="5" t="s">
        <v>100</v>
      </c>
      <c r="K81" s="8">
        <v>43921</v>
      </c>
      <c r="N81" s="7">
        <v>-27.32</v>
      </c>
      <c r="O81" s="35">
        <v>-210.68</v>
      </c>
      <c r="P81" s="35">
        <f t="shared" si="0"/>
        <v>7.8799999999999955</v>
      </c>
      <c r="Q81" s="7"/>
    </row>
    <row r="82" spans="1:17" ht="14.25" customHeight="1" x14ac:dyDescent="0.35">
      <c r="A82" s="5" t="s">
        <v>20</v>
      </c>
      <c r="B82" s="5" t="s">
        <v>21</v>
      </c>
      <c r="C82" s="5" t="s">
        <v>192</v>
      </c>
      <c r="D82" s="5" t="s">
        <v>193</v>
      </c>
      <c r="E82" s="7">
        <v>68.354393000000002</v>
      </c>
      <c r="F82" s="7">
        <v>18.815747999999999</v>
      </c>
      <c r="G82" s="7">
        <v>376</v>
      </c>
      <c r="I82" s="5" t="s">
        <v>275</v>
      </c>
      <c r="J82" s="5" t="s">
        <v>100</v>
      </c>
      <c r="K82" s="8">
        <v>43922</v>
      </c>
      <c r="N82" s="7">
        <v>-16.48</v>
      </c>
      <c r="O82" s="35">
        <v>-138.09</v>
      </c>
      <c r="P82" s="35">
        <f t="shared" si="0"/>
        <v>-6.25</v>
      </c>
      <c r="Q82" s="7"/>
    </row>
    <row r="83" spans="1:17" ht="14.25" customHeight="1" x14ac:dyDescent="0.35">
      <c r="A83" s="5" t="s">
        <v>20</v>
      </c>
      <c r="B83" s="5" t="s">
        <v>21</v>
      </c>
      <c r="C83" s="5" t="s">
        <v>192</v>
      </c>
      <c r="D83" s="5" t="s">
        <v>193</v>
      </c>
      <c r="E83" s="7">
        <v>68.354393000000002</v>
      </c>
      <c r="F83" s="7">
        <v>18.815747999999999</v>
      </c>
      <c r="G83" s="7">
        <v>376</v>
      </c>
      <c r="I83" s="5" t="s">
        <v>276</v>
      </c>
      <c r="J83" s="5" t="s">
        <v>100</v>
      </c>
      <c r="K83" s="8">
        <v>43924</v>
      </c>
      <c r="N83" s="7">
        <v>-21.22</v>
      </c>
      <c r="O83" s="35">
        <v>-162.32</v>
      </c>
      <c r="P83" s="35">
        <f t="shared" si="0"/>
        <v>7.4399999999999977</v>
      </c>
      <c r="Q83" s="7"/>
    </row>
    <row r="84" spans="1:17" ht="14.25" customHeight="1" x14ac:dyDescent="0.35">
      <c r="A84" s="5" t="s">
        <v>20</v>
      </c>
      <c r="B84" s="5" t="s">
        <v>21</v>
      </c>
      <c r="C84" s="5" t="s">
        <v>192</v>
      </c>
      <c r="D84" s="5" t="s">
        <v>193</v>
      </c>
      <c r="E84" s="7">
        <v>68.354393000000002</v>
      </c>
      <c r="F84" s="7">
        <v>18.815747999999999</v>
      </c>
      <c r="G84" s="7">
        <v>376</v>
      </c>
      <c r="I84" s="5" t="s">
        <v>277</v>
      </c>
      <c r="J84" s="5" t="s">
        <v>214</v>
      </c>
      <c r="K84" s="8">
        <v>43929</v>
      </c>
      <c r="N84" s="7">
        <v>-8.6999999999999993</v>
      </c>
      <c r="O84" s="35">
        <v>-74.64</v>
      </c>
      <c r="P84" s="35">
        <f t="shared" si="0"/>
        <v>-5.0400000000000063</v>
      </c>
      <c r="Q84" s="7"/>
    </row>
    <row r="85" spans="1:17" ht="14.25" customHeight="1" x14ac:dyDescent="0.35">
      <c r="A85" s="5" t="s">
        <v>20</v>
      </c>
      <c r="B85" s="5" t="s">
        <v>21</v>
      </c>
      <c r="C85" s="5" t="s">
        <v>192</v>
      </c>
      <c r="D85" s="5" t="s">
        <v>193</v>
      </c>
      <c r="E85" s="7">
        <v>68.354393000000002</v>
      </c>
      <c r="F85" s="7">
        <v>18.815747999999999</v>
      </c>
      <c r="G85" s="7">
        <v>376</v>
      </c>
      <c r="I85" s="5" t="s">
        <v>278</v>
      </c>
      <c r="J85" s="5" t="s">
        <v>100</v>
      </c>
      <c r="K85" s="8">
        <v>43930</v>
      </c>
      <c r="N85" s="7">
        <v>-12.55</v>
      </c>
      <c r="O85" s="35">
        <v>-95.36</v>
      </c>
      <c r="P85" s="35">
        <f t="shared" si="0"/>
        <v>5.0400000000000063</v>
      </c>
      <c r="Q85" s="7"/>
    </row>
    <row r="86" spans="1:17" ht="14.25" customHeight="1" x14ac:dyDescent="0.35">
      <c r="A86" s="5" t="s">
        <v>20</v>
      </c>
      <c r="B86" s="5" t="s">
        <v>21</v>
      </c>
      <c r="C86" s="5" t="s">
        <v>192</v>
      </c>
      <c r="D86" s="5" t="s">
        <v>193</v>
      </c>
      <c r="E86" s="7">
        <v>68.354393000000002</v>
      </c>
      <c r="F86" s="7">
        <v>18.815747999999999</v>
      </c>
      <c r="G86" s="7">
        <v>376</v>
      </c>
      <c r="I86" s="5" t="s">
        <v>279</v>
      </c>
      <c r="J86" s="5" t="s">
        <v>100</v>
      </c>
      <c r="K86" s="8">
        <v>43935</v>
      </c>
      <c r="N86" s="7">
        <v>-18.23</v>
      </c>
      <c r="O86" s="35">
        <v>-159.61000000000001</v>
      </c>
      <c r="P86" s="35">
        <f t="shared" si="0"/>
        <v>-13.77000000000001</v>
      </c>
      <c r="Q86" s="7"/>
    </row>
    <row r="87" spans="1:17" ht="14.25" customHeight="1" x14ac:dyDescent="0.35">
      <c r="A87" s="5" t="s">
        <v>20</v>
      </c>
      <c r="B87" s="5" t="s">
        <v>21</v>
      </c>
      <c r="C87" s="5" t="s">
        <v>192</v>
      </c>
      <c r="D87" s="5" t="s">
        <v>193</v>
      </c>
      <c r="E87" s="7">
        <v>68.354393000000002</v>
      </c>
      <c r="F87" s="7">
        <v>18.815747999999999</v>
      </c>
      <c r="G87" s="7">
        <v>376</v>
      </c>
      <c r="I87" s="5" t="s">
        <v>280</v>
      </c>
      <c r="J87" s="5" t="s">
        <v>100</v>
      </c>
      <c r="K87" s="8">
        <v>43936</v>
      </c>
      <c r="N87" s="7">
        <v>-23.95</v>
      </c>
      <c r="O87" s="35">
        <v>-190.69</v>
      </c>
      <c r="P87" s="35">
        <f t="shared" si="0"/>
        <v>0.90999999999999659</v>
      </c>
      <c r="Q87" s="7"/>
    </row>
    <row r="88" spans="1:17" ht="14.25" customHeight="1" x14ac:dyDescent="0.35">
      <c r="A88" s="5" t="s">
        <v>20</v>
      </c>
      <c r="B88" s="5" t="s">
        <v>21</v>
      </c>
      <c r="C88" s="5" t="s">
        <v>192</v>
      </c>
      <c r="D88" s="5" t="s">
        <v>193</v>
      </c>
      <c r="E88" s="7">
        <v>68.354393000000002</v>
      </c>
      <c r="F88" s="7">
        <v>18.815747999999999</v>
      </c>
      <c r="G88" s="7">
        <v>376</v>
      </c>
      <c r="I88" s="5" t="s">
        <v>281</v>
      </c>
      <c r="K88" s="8">
        <v>43948</v>
      </c>
      <c r="N88" s="7">
        <v>-10.071088864251186</v>
      </c>
      <c r="O88" s="35">
        <v>-84.24625311541412</v>
      </c>
      <c r="P88" s="35">
        <f t="shared" si="0"/>
        <v>-3.6775422014046342</v>
      </c>
      <c r="Q88" s="7"/>
    </row>
    <row r="89" spans="1:17" ht="14.25" customHeight="1" x14ac:dyDescent="0.35">
      <c r="A89" s="5" t="s">
        <v>20</v>
      </c>
      <c r="B89" s="5" t="s">
        <v>21</v>
      </c>
      <c r="C89" s="5" t="s">
        <v>192</v>
      </c>
      <c r="D89" s="5" t="s">
        <v>193</v>
      </c>
      <c r="E89" s="7">
        <v>68.354393000000002</v>
      </c>
      <c r="F89" s="7">
        <v>18.815747999999999</v>
      </c>
      <c r="G89" s="7">
        <v>376</v>
      </c>
      <c r="I89" s="5" t="s">
        <v>282</v>
      </c>
      <c r="J89" s="5" t="s">
        <v>214</v>
      </c>
      <c r="K89" s="8">
        <v>43955</v>
      </c>
      <c r="N89" s="7">
        <v>-16.36</v>
      </c>
      <c r="O89" s="35">
        <v>-128.27000000000001</v>
      </c>
      <c r="P89" s="35">
        <f t="shared" si="0"/>
        <v>2.6099999999999852</v>
      </c>
      <c r="Q89" s="7"/>
    </row>
    <row r="90" spans="1:17" ht="14.25" customHeight="1" x14ac:dyDescent="0.35">
      <c r="A90" s="5" t="s">
        <v>20</v>
      </c>
      <c r="B90" s="5" t="s">
        <v>21</v>
      </c>
      <c r="C90" s="5" t="s">
        <v>192</v>
      </c>
      <c r="D90" s="5" t="s">
        <v>193</v>
      </c>
      <c r="E90" s="7">
        <v>68.354393000000002</v>
      </c>
      <c r="F90" s="7">
        <v>18.815747999999999</v>
      </c>
      <c r="G90" s="7">
        <v>376</v>
      </c>
      <c r="I90" s="5" t="s">
        <v>283</v>
      </c>
      <c r="K90" s="8">
        <v>43956</v>
      </c>
      <c r="N90" s="7">
        <v>-1.584061022661758</v>
      </c>
      <c r="O90" s="35">
        <v>-15.253298744248456</v>
      </c>
      <c r="P90" s="35">
        <f t="shared" si="0"/>
        <v>-2.580810562954392</v>
      </c>
      <c r="Q90" s="7"/>
    </row>
    <row r="91" spans="1:17" ht="14.25" customHeight="1" x14ac:dyDescent="0.35">
      <c r="A91" s="5" t="s">
        <v>20</v>
      </c>
      <c r="B91" s="5" t="s">
        <v>21</v>
      </c>
      <c r="C91" s="5" t="s">
        <v>192</v>
      </c>
      <c r="D91" s="5" t="s">
        <v>193</v>
      </c>
      <c r="E91" s="7">
        <v>68.354393000000002</v>
      </c>
      <c r="F91" s="7">
        <v>18.815747999999999</v>
      </c>
      <c r="G91" s="7">
        <v>376</v>
      </c>
      <c r="I91" s="5" t="s">
        <v>284</v>
      </c>
      <c r="J91" s="5" t="s">
        <v>100</v>
      </c>
      <c r="K91" s="8">
        <v>43962</v>
      </c>
      <c r="N91" s="7">
        <v>-6.86</v>
      </c>
      <c r="O91" s="35">
        <v>-46.47</v>
      </c>
      <c r="P91" s="35">
        <f t="shared" si="0"/>
        <v>8.4100000000000037</v>
      </c>
      <c r="Q91" s="7"/>
    </row>
    <row r="92" spans="1:17" ht="14.25" customHeight="1" x14ac:dyDescent="0.35">
      <c r="A92" s="5" t="s">
        <v>20</v>
      </c>
      <c r="B92" s="5" t="s">
        <v>21</v>
      </c>
      <c r="C92" s="5" t="s">
        <v>192</v>
      </c>
      <c r="D92" s="5" t="s">
        <v>193</v>
      </c>
      <c r="E92" s="7">
        <v>68.354393000000002</v>
      </c>
      <c r="F92" s="7">
        <v>18.815747999999999</v>
      </c>
      <c r="G92" s="7">
        <v>376</v>
      </c>
      <c r="I92" s="5" t="s">
        <v>285</v>
      </c>
      <c r="J92" s="5" t="s">
        <v>100</v>
      </c>
      <c r="K92" s="8">
        <v>43966</v>
      </c>
      <c r="N92" s="7">
        <v>-13.33</v>
      </c>
      <c r="O92" s="35">
        <v>-91.9</v>
      </c>
      <c r="P92" s="35">
        <f t="shared" si="0"/>
        <v>14.739999999999995</v>
      </c>
      <c r="Q92" s="7"/>
    </row>
    <row r="93" spans="1:17" ht="14.25" customHeight="1" x14ac:dyDescent="0.35">
      <c r="A93" s="5" t="s">
        <v>20</v>
      </c>
      <c r="B93" s="5" t="s">
        <v>21</v>
      </c>
      <c r="C93" s="5" t="s">
        <v>192</v>
      </c>
      <c r="D93" s="5" t="s">
        <v>193</v>
      </c>
      <c r="E93" s="7">
        <v>68.354393000000002</v>
      </c>
      <c r="F93" s="7">
        <v>18.815747999999999</v>
      </c>
      <c r="G93" s="7">
        <v>376</v>
      </c>
      <c r="I93" s="5" t="s">
        <v>286</v>
      </c>
      <c r="J93" s="5" t="s">
        <v>100</v>
      </c>
      <c r="K93" s="8">
        <v>43969</v>
      </c>
      <c r="N93" s="7">
        <v>-19.98</v>
      </c>
      <c r="O93" s="35">
        <v>-149.38999999999999</v>
      </c>
      <c r="P93" s="35">
        <f t="shared" si="0"/>
        <v>10.450000000000017</v>
      </c>
      <c r="Q93" s="7"/>
    </row>
    <row r="94" spans="1:17" ht="14.25" customHeight="1" x14ac:dyDescent="0.35">
      <c r="A94" s="5" t="s">
        <v>20</v>
      </c>
      <c r="B94" s="5" t="s">
        <v>21</v>
      </c>
      <c r="C94" s="5" t="s">
        <v>192</v>
      </c>
      <c r="D94" s="5" t="s">
        <v>193</v>
      </c>
      <c r="E94" s="7">
        <v>68.354393000000002</v>
      </c>
      <c r="F94" s="7">
        <v>18.815747999999999</v>
      </c>
      <c r="G94" s="7">
        <v>376</v>
      </c>
      <c r="I94" s="5" t="s">
        <v>287</v>
      </c>
      <c r="J94" s="5" t="s">
        <v>100</v>
      </c>
      <c r="K94" s="8">
        <v>43970</v>
      </c>
      <c r="N94" s="7">
        <v>-17.88</v>
      </c>
      <c r="O94" s="35">
        <v>-138.66</v>
      </c>
      <c r="P94" s="35">
        <f t="shared" si="0"/>
        <v>4.3799999999999955</v>
      </c>
      <c r="Q94" s="7"/>
    </row>
    <row r="95" spans="1:17" ht="14.25" customHeight="1" x14ac:dyDescent="0.35">
      <c r="A95" s="5" t="s">
        <v>20</v>
      </c>
      <c r="B95" s="5" t="s">
        <v>21</v>
      </c>
      <c r="C95" s="5" t="s">
        <v>192</v>
      </c>
      <c r="D95" s="5" t="s">
        <v>193</v>
      </c>
      <c r="E95" s="7">
        <v>68.354393000000002</v>
      </c>
      <c r="F95" s="7">
        <v>18.815747999999999</v>
      </c>
      <c r="G95" s="7">
        <v>376</v>
      </c>
      <c r="I95" s="5" t="s">
        <v>288</v>
      </c>
      <c r="J95" s="5" t="s">
        <v>41</v>
      </c>
      <c r="K95" s="8">
        <v>43980</v>
      </c>
      <c r="N95" s="7">
        <v>-15.34</v>
      </c>
      <c r="O95" s="35">
        <v>-115.33</v>
      </c>
      <c r="P95" s="35">
        <f t="shared" si="0"/>
        <v>7.3900000000000006</v>
      </c>
      <c r="Q95" s="7"/>
    </row>
    <row r="96" spans="1:17" ht="14.25" customHeight="1" x14ac:dyDescent="0.35">
      <c r="A96" s="5" t="s">
        <v>20</v>
      </c>
      <c r="B96" s="5" t="s">
        <v>21</v>
      </c>
      <c r="C96" s="5" t="s">
        <v>192</v>
      </c>
      <c r="D96" s="5" t="s">
        <v>193</v>
      </c>
      <c r="E96" s="7">
        <v>68.354393000000002</v>
      </c>
      <c r="F96" s="7">
        <v>18.815747999999999</v>
      </c>
      <c r="G96" s="7">
        <v>376</v>
      </c>
      <c r="I96" s="5" t="s">
        <v>289</v>
      </c>
      <c r="J96" s="5" t="s">
        <v>41</v>
      </c>
      <c r="K96" s="8">
        <v>43990</v>
      </c>
      <c r="N96" s="7">
        <v>-8.75</v>
      </c>
      <c r="O96" s="35">
        <v>-69.97</v>
      </c>
      <c r="P96" s="35">
        <f t="shared" si="0"/>
        <v>3.0000000000001137E-2</v>
      </c>
      <c r="Q96" s="7"/>
    </row>
    <row r="97" spans="1:17" ht="14.25" customHeight="1" x14ac:dyDescent="0.35">
      <c r="A97" s="5" t="s">
        <v>20</v>
      </c>
      <c r="B97" s="5" t="s">
        <v>21</v>
      </c>
      <c r="C97" s="5" t="s">
        <v>192</v>
      </c>
      <c r="D97" s="5" t="s">
        <v>193</v>
      </c>
      <c r="E97" s="7">
        <v>68.354393000000002</v>
      </c>
      <c r="F97" s="7">
        <v>18.815747999999999</v>
      </c>
      <c r="G97" s="7">
        <v>376</v>
      </c>
      <c r="I97" s="5" t="s">
        <v>290</v>
      </c>
      <c r="J97" s="5" t="s">
        <v>41</v>
      </c>
      <c r="K97" s="8">
        <v>43991</v>
      </c>
      <c r="N97" s="7">
        <v>-11.49</v>
      </c>
      <c r="O97" s="35">
        <v>-83.64</v>
      </c>
      <c r="P97" s="35">
        <f t="shared" si="0"/>
        <v>8.2800000000000011</v>
      </c>
      <c r="Q97" s="7"/>
    </row>
    <row r="98" spans="1:17" ht="14.25" customHeight="1" x14ac:dyDescent="0.35">
      <c r="A98" s="5" t="s">
        <v>20</v>
      </c>
      <c r="B98" s="5" t="s">
        <v>21</v>
      </c>
      <c r="C98" s="5" t="s">
        <v>192</v>
      </c>
      <c r="D98" s="5" t="s">
        <v>193</v>
      </c>
      <c r="E98" s="7">
        <v>68.354393000000002</v>
      </c>
      <c r="F98" s="7">
        <v>18.815747999999999</v>
      </c>
      <c r="G98" s="7">
        <v>376</v>
      </c>
      <c r="I98" s="5" t="s">
        <v>291</v>
      </c>
      <c r="J98" s="5" t="s">
        <v>41</v>
      </c>
      <c r="K98" s="8">
        <v>44007</v>
      </c>
      <c r="N98" s="7">
        <v>-3.59</v>
      </c>
      <c r="O98" s="35">
        <v>-35.22</v>
      </c>
      <c r="P98" s="35">
        <f t="shared" si="0"/>
        <v>-6.5</v>
      </c>
      <c r="Q98" s="7"/>
    </row>
    <row r="99" spans="1:17" ht="14.25" customHeight="1" x14ac:dyDescent="0.35">
      <c r="A99" s="5" t="s">
        <v>20</v>
      </c>
      <c r="B99" s="5" t="s">
        <v>21</v>
      </c>
      <c r="C99" s="5" t="s">
        <v>192</v>
      </c>
      <c r="D99" s="5" t="s">
        <v>193</v>
      </c>
      <c r="E99" s="7">
        <v>68.354393000000002</v>
      </c>
      <c r="F99" s="7">
        <v>18.815747999999999</v>
      </c>
      <c r="G99" s="7">
        <v>376</v>
      </c>
      <c r="I99" s="5" t="s">
        <v>292</v>
      </c>
      <c r="J99" s="5" t="s">
        <v>41</v>
      </c>
      <c r="K99" s="8">
        <v>44012</v>
      </c>
      <c r="N99" s="7">
        <v>-8.26</v>
      </c>
      <c r="O99" s="35">
        <v>-56.25</v>
      </c>
      <c r="P99" s="35">
        <f t="shared" si="0"/>
        <v>9.8299999999999983</v>
      </c>
      <c r="Q99" s="7"/>
    </row>
    <row r="100" spans="1:17" ht="14.25" customHeight="1" x14ac:dyDescent="0.35">
      <c r="A100" s="5" t="s">
        <v>20</v>
      </c>
      <c r="B100" s="5" t="s">
        <v>21</v>
      </c>
      <c r="C100" s="5" t="s">
        <v>192</v>
      </c>
      <c r="D100" s="5" t="s">
        <v>193</v>
      </c>
      <c r="E100" s="7">
        <v>68.354393000000002</v>
      </c>
      <c r="F100" s="7">
        <v>18.815747999999999</v>
      </c>
      <c r="G100" s="7">
        <v>376</v>
      </c>
      <c r="I100" s="5" t="s">
        <v>293</v>
      </c>
      <c r="J100" s="5" t="s">
        <v>41</v>
      </c>
      <c r="K100" s="8">
        <v>44013</v>
      </c>
      <c r="N100" s="7">
        <v>-12.86</v>
      </c>
      <c r="O100" s="35">
        <v>-95.62</v>
      </c>
      <c r="P100" s="35">
        <f t="shared" si="0"/>
        <v>7.2599999999999909</v>
      </c>
      <c r="Q100" s="7"/>
    </row>
    <row r="101" spans="1:17" ht="14.25" customHeight="1" x14ac:dyDescent="0.35">
      <c r="A101" s="5" t="s">
        <v>20</v>
      </c>
      <c r="B101" s="5" t="s">
        <v>21</v>
      </c>
      <c r="C101" s="5" t="s">
        <v>192</v>
      </c>
      <c r="D101" s="5" t="s">
        <v>193</v>
      </c>
      <c r="E101" s="7">
        <v>68.354393000000002</v>
      </c>
      <c r="F101" s="7">
        <v>18.815747999999999</v>
      </c>
      <c r="G101" s="7">
        <v>376</v>
      </c>
      <c r="I101" s="5" t="s">
        <v>294</v>
      </c>
      <c r="J101" s="5" t="s">
        <v>41</v>
      </c>
      <c r="K101" s="8">
        <v>44014</v>
      </c>
      <c r="N101" s="7">
        <v>-10.17</v>
      </c>
      <c r="O101" s="35">
        <v>-78.849999999999994</v>
      </c>
      <c r="P101" s="35">
        <f t="shared" si="0"/>
        <v>2.5100000000000051</v>
      </c>
      <c r="Q101" s="7"/>
    </row>
    <row r="102" spans="1:17" ht="14.25" customHeight="1" x14ac:dyDescent="0.35">
      <c r="A102" s="5" t="s">
        <v>20</v>
      </c>
      <c r="B102" s="5" t="s">
        <v>21</v>
      </c>
      <c r="C102" s="5" t="s">
        <v>192</v>
      </c>
      <c r="D102" s="5" t="s">
        <v>193</v>
      </c>
      <c r="E102" s="7">
        <v>68.354393000000002</v>
      </c>
      <c r="F102" s="7">
        <v>18.815747999999999</v>
      </c>
      <c r="G102" s="7">
        <v>376</v>
      </c>
      <c r="I102" s="5" t="s">
        <v>295</v>
      </c>
      <c r="J102" s="5" t="s">
        <v>41</v>
      </c>
      <c r="K102" s="8">
        <v>44021</v>
      </c>
      <c r="N102" s="7">
        <v>-9.41</v>
      </c>
      <c r="O102" s="35">
        <v>-66.23</v>
      </c>
      <c r="P102" s="35">
        <f t="shared" si="0"/>
        <v>9.0499999999999972</v>
      </c>
      <c r="Q102" s="7"/>
    </row>
    <row r="103" spans="1:17" ht="14.25" customHeight="1" x14ac:dyDescent="0.35">
      <c r="A103" s="5" t="s">
        <v>20</v>
      </c>
      <c r="B103" s="5" t="s">
        <v>21</v>
      </c>
      <c r="C103" s="5" t="s">
        <v>192</v>
      </c>
      <c r="D103" s="5" t="s">
        <v>193</v>
      </c>
      <c r="E103" s="7">
        <v>68.354393000000002</v>
      </c>
      <c r="F103" s="7">
        <v>18.815747999999999</v>
      </c>
      <c r="G103" s="7">
        <v>376</v>
      </c>
      <c r="I103" s="5" t="s">
        <v>296</v>
      </c>
      <c r="J103" s="5" t="s">
        <v>41</v>
      </c>
      <c r="K103" s="8">
        <v>44022</v>
      </c>
      <c r="N103" s="7">
        <v>-12.7</v>
      </c>
      <c r="O103" s="35">
        <v>-90.9</v>
      </c>
      <c r="P103" s="35">
        <f t="shared" si="0"/>
        <v>10.699999999999989</v>
      </c>
      <c r="Q103" s="7"/>
    </row>
    <row r="104" spans="1:17" ht="14.25" customHeight="1" x14ac:dyDescent="0.35">
      <c r="A104" s="5" t="s">
        <v>20</v>
      </c>
      <c r="B104" s="5" t="s">
        <v>21</v>
      </c>
      <c r="C104" s="5" t="s">
        <v>192</v>
      </c>
      <c r="D104" s="5" t="s">
        <v>193</v>
      </c>
      <c r="E104" s="7">
        <v>68.354393000000002</v>
      </c>
      <c r="F104" s="7">
        <v>18.815747999999999</v>
      </c>
      <c r="G104" s="7">
        <v>376</v>
      </c>
      <c r="I104" s="5" t="s">
        <v>297</v>
      </c>
      <c r="J104" s="5" t="s">
        <v>41</v>
      </c>
      <c r="K104" s="8">
        <v>44025</v>
      </c>
      <c r="N104" s="7">
        <v>-15.45</v>
      </c>
      <c r="O104" s="35">
        <v>-116.49</v>
      </c>
      <c r="P104" s="35">
        <f t="shared" si="0"/>
        <v>7.1099999999999994</v>
      </c>
      <c r="Q104" s="7"/>
    </row>
    <row r="105" spans="1:17" ht="14.25" customHeight="1" x14ac:dyDescent="0.35">
      <c r="A105" s="5" t="s">
        <v>20</v>
      </c>
      <c r="B105" s="5" t="s">
        <v>21</v>
      </c>
      <c r="C105" s="5" t="s">
        <v>192</v>
      </c>
      <c r="D105" s="5" t="s">
        <v>193</v>
      </c>
      <c r="E105" s="7">
        <v>68.354393000000002</v>
      </c>
      <c r="F105" s="7">
        <v>18.815747999999999</v>
      </c>
      <c r="G105" s="7">
        <v>376</v>
      </c>
      <c r="I105" s="5" t="s">
        <v>298</v>
      </c>
      <c r="J105" s="5" t="s">
        <v>41</v>
      </c>
      <c r="K105" s="8">
        <v>44026</v>
      </c>
      <c r="N105" s="7">
        <v>-13.96</v>
      </c>
      <c r="O105" s="35">
        <v>-106.83</v>
      </c>
      <c r="P105" s="35">
        <f t="shared" si="0"/>
        <v>4.8500000000000085</v>
      </c>
      <c r="Q105" s="7"/>
    </row>
    <row r="106" spans="1:17" ht="14.25" customHeight="1" x14ac:dyDescent="0.35">
      <c r="A106" s="5" t="s">
        <v>20</v>
      </c>
      <c r="B106" s="5" t="s">
        <v>21</v>
      </c>
      <c r="C106" s="5" t="s">
        <v>192</v>
      </c>
      <c r="D106" s="5" t="s">
        <v>193</v>
      </c>
      <c r="E106" s="7">
        <v>68.354393000000002</v>
      </c>
      <c r="F106" s="7">
        <v>18.815747999999999</v>
      </c>
      <c r="G106" s="7">
        <v>376</v>
      </c>
      <c r="I106" s="5" t="s">
        <v>299</v>
      </c>
      <c r="K106" s="8">
        <v>44028</v>
      </c>
      <c r="N106" s="7">
        <v>-8.8942431682114531</v>
      </c>
      <c r="O106" s="35">
        <v>-82.5899132476994</v>
      </c>
      <c r="P106" s="35">
        <f t="shared" si="0"/>
        <v>-11.435967902007775</v>
      </c>
      <c r="Q106" s="7"/>
    </row>
    <row r="107" spans="1:17" ht="14.25" customHeight="1" x14ac:dyDescent="0.35">
      <c r="A107" s="5" t="s">
        <v>20</v>
      </c>
      <c r="B107" s="5" t="s">
        <v>21</v>
      </c>
      <c r="C107" s="5" t="s">
        <v>192</v>
      </c>
      <c r="D107" s="5" t="s">
        <v>193</v>
      </c>
      <c r="E107" s="7">
        <v>68.354393000000002</v>
      </c>
      <c r="F107" s="7">
        <v>18.815747999999999</v>
      </c>
      <c r="G107" s="7">
        <v>376</v>
      </c>
      <c r="I107" s="5" t="s">
        <v>300</v>
      </c>
      <c r="J107" s="5" t="s">
        <v>41</v>
      </c>
      <c r="K107" s="8">
        <v>44032</v>
      </c>
      <c r="N107" s="7">
        <v>-7.1</v>
      </c>
      <c r="O107" s="35">
        <v>-57.5</v>
      </c>
      <c r="P107" s="35">
        <f t="shared" si="0"/>
        <v>-0.70000000000000284</v>
      </c>
      <c r="Q107" s="7"/>
    </row>
    <row r="108" spans="1:17" ht="14.25" customHeight="1" x14ac:dyDescent="0.35">
      <c r="A108" s="5" t="s">
        <v>20</v>
      </c>
      <c r="B108" s="5" t="s">
        <v>21</v>
      </c>
      <c r="C108" s="5" t="s">
        <v>192</v>
      </c>
      <c r="D108" s="5" t="s">
        <v>193</v>
      </c>
      <c r="E108" s="7">
        <v>68.354393000000002</v>
      </c>
      <c r="F108" s="7">
        <v>18.815747999999999</v>
      </c>
      <c r="G108" s="7">
        <v>376</v>
      </c>
      <c r="I108" s="5" t="s">
        <v>301</v>
      </c>
      <c r="J108" s="5" t="s">
        <v>41</v>
      </c>
      <c r="K108" s="8">
        <v>44033</v>
      </c>
      <c r="N108" s="7">
        <v>-9.14</v>
      </c>
      <c r="O108" s="35">
        <v>-64.400000000000006</v>
      </c>
      <c r="P108" s="35">
        <f t="shared" si="0"/>
        <v>8.7199999999999989</v>
      </c>
      <c r="Q108" s="7"/>
    </row>
    <row r="109" spans="1:17" ht="14.25" customHeight="1" x14ac:dyDescent="0.35">
      <c r="A109" s="5" t="s">
        <v>20</v>
      </c>
      <c r="B109" s="5" t="s">
        <v>21</v>
      </c>
      <c r="C109" s="5" t="s">
        <v>192</v>
      </c>
      <c r="D109" s="5" t="s">
        <v>193</v>
      </c>
      <c r="E109" s="7">
        <v>68.354393000000002</v>
      </c>
      <c r="F109" s="7">
        <v>18.815747999999999</v>
      </c>
      <c r="G109" s="7">
        <v>376</v>
      </c>
      <c r="I109" s="5" t="s">
        <v>302</v>
      </c>
      <c r="J109" s="5" t="s">
        <v>41</v>
      </c>
      <c r="K109" s="8">
        <v>44034</v>
      </c>
      <c r="N109" s="7">
        <v>-11.04</v>
      </c>
      <c r="O109" s="35">
        <v>-82.28</v>
      </c>
      <c r="P109" s="35">
        <f t="shared" si="0"/>
        <v>6.039999999999992</v>
      </c>
      <c r="Q109" s="7"/>
    </row>
    <row r="110" spans="1:17" ht="14.25" customHeight="1" x14ac:dyDescent="0.35">
      <c r="A110" s="5" t="s">
        <v>20</v>
      </c>
      <c r="B110" s="5" t="s">
        <v>21</v>
      </c>
      <c r="C110" s="5" t="s">
        <v>192</v>
      </c>
      <c r="D110" s="5" t="s">
        <v>193</v>
      </c>
      <c r="E110" s="7">
        <v>68.354393000000002</v>
      </c>
      <c r="F110" s="7">
        <v>18.815747999999999</v>
      </c>
      <c r="G110" s="7">
        <v>376</v>
      </c>
      <c r="I110" s="5" t="s">
        <v>303</v>
      </c>
      <c r="J110" s="5" t="s">
        <v>41</v>
      </c>
      <c r="K110" s="8">
        <v>44035</v>
      </c>
      <c r="N110" s="7">
        <v>-12.69</v>
      </c>
      <c r="O110" s="35">
        <v>-99.02</v>
      </c>
      <c r="P110" s="35">
        <f t="shared" si="0"/>
        <v>2.5</v>
      </c>
      <c r="Q110" s="7"/>
    </row>
    <row r="111" spans="1:17" ht="14.25" customHeight="1" x14ac:dyDescent="0.35">
      <c r="A111" s="5" t="s">
        <v>20</v>
      </c>
      <c r="B111" s="5" t="s">
        <v>21</v>
      </c>
      <c r="C111" s="5" t="s">
        <v>192</v>
      </c>
      <c r="D111" s="5" t="s">
        <v>193</v>
      </c>
      <c r="E111" s="7">
        <v>68.354393000000002</v>
      </c>
      <c r="F111" s="7">
        <v>18.815747999999999</v>
      </c>
      <c r="G111" s="7">
        <v>376</v>
      </c>
      <c r="I111" s="5" t="s">
        <v>304</v>
      </c>
      <c r="J111" s="5" t="s">
        <v>41</v>
      </c>
      <c r="K111" s="8">
        <v>44036</v>
      </c>
      <c r="N111" s="7">
        <v>-11.13</v>
      </c>
      <c r="O111" s="35">
        <v>-81.84</v>
      </c>
      <c r="P111" s="35">
        <f t="shared" si="0"/>
        <v>7.2000000000000028</v>
      </c>
      <c r="Q111" s="7"/>
    </row>
    <row r="112" spans="1:17" ht="14.25" customHeight="1" x14ac:dyDescent="0.35">
      <c r="A112" s="5" t="s">
        <v>20</v>
      </c>
      <c r="B112" s="5" t="s">
        <v>21</v>
      </c>
      <c r="C112" s="5" t="s">
        <v>192</v>
      </c>
      <c r="D112" s="5" t="s">
        <v>193</v>
      </c>
      <c r="E112" s="7">
        <v>68.354393000000002</v>
      </c>
      <c r="F112" s="7">
        <v>18.815747999999999</v>
      </c>
      <c r="G112" s="7">
        <v>376</v>
      </c>
      <c r="I112" s="5" t="s">
        <v>305</v>
      </c>
      <c r="J112" s="5" t="s">
        <v>41</v>
      </c>
      <c r="K112" s="8">
        <v>44039</v>
      </c>
      <c r="N112" s="7">
        <v>-13.48</v>
      </c>
      <c r="O112" s="35">
        <v>-101.35</v>
      </c>
      <c r="P112" s="35">
        <f t="shared" si="0"/>
        <v>6.4900000000000091</v>
      </c>
      <c r="Q112" s="7"/>
    </row>
    <row r="113" spans="1:17" ht="14.25" customHeight="1" x14ac:dyDescent="0.35">
      <c r="A113" s="5" t="s">
        <v>20</v>
      </c>
      <c r="B113" s="5" t="s">
        <v>21</v>
      </c>
      <c r="C113" s="5" t="s">
        <v>192</v>
      </c>
      <c r="D113" s="5" t="s">
        <v>193</v>
      </c>
      <c r="E113" s="7">
        <v>68.354393000000002</v>
      </c>
      <c r="F113" s="7">
        <v>18.815747999999999</v>
      </c>
      <c r="G113" s="7">
        <v>376</v>
      </c>
      <c r="I113" s="5" t="s">
        <v>306</v>
      </c>
      <c r="J113" s="5" t="s">
        <v>41</v>
      </c>
      <c r="K113" s="8">
        <v>44040</v>
      </c>
      <c r="N113" s="7">
        <v>-7.38</v>
      </c>
      <c r="O113" s="35">
        <v>-60.83</v>
      </c>
      <c r="P113" s="35">
        <f t="shared" si="0"/>
        <v>-1.7899999999999991</v>
      </c>
      <c r="Q113" s="7"/>
    </row>
    <row r="114" spans="1:17" ht="14.25" customHeight="1" x14ac:dyDescent="0.35">
      <c r="A114" s="5" t="s">
        <v>20</v>
      </c>
      <c r="B114" s="5" t="s">
        <v>21</v>
      </c>
      <c r="C114" s="5" t="s">
        <v>192</v>
      </c>
      <c r="D114" s="5" t="s">
        <v>193</v>
      </c>
      <c r="E114" s="7">
        <v>68.354393000000002</v>
      </c>
      <c r="F114" s="7">
        <v>18.815747999999999</v>
      </c>
      <c r="G114" s="7">
        <v>376</v>
      </c>
      <c r="I114" s="5" t="s">
        <v>307</v>
      </c>
      <c r="J114" s="5" t="s">
        <v>41</v>
      </c>
      <c r="K114" s="8">
        <v>44041</v>
      </c>
      <c r="N114" s="7">
        <v>-9.34</v>
      </c>
      <c r="O114" s="35">
        <v>-68.069999999999993</v>
      </c>
      <c r="P114" s="35">
        <f t="shared" si="0"/>
        <v>6.6500000000000057</v>
      </c>
      <c r="Q114" s="7"/>
    </row>
    <row r="115" spans="1:17" ht="14.25" customHeight="1" x14ac:dyDescent="0.35">
      <c r="A115" s="5" t="s">
        <v>20</v>
      </c>
      <c r="B115" s="5" t="s">
        <v>21</v>
      </c>
      <c r="C115" s="5" t="s">
        <v>192</v>
      </c>
      <c r="D115" s="5" t="s">
        <v>193</v>
      </c>
      <c r="E115" s="7">
        <v>68.354393000000002</v>
      </c>
      <c r="F115" s="7">
        <v>18.815747999999999</v>
      </c>
      <c r="G115" s="7">
        <v>376</v>
      </c>
      <c r="I115" s="5" t="s">
        <v>308</v>
      </c>
      <c r="J115" s="5" t="s">
        <v>41</v>
      </c>
      <c r="K115" s="8">
        <v>44042</v>
      </c>
      <c r="N115" s="7">
        <v>-7.08</v>
      </c>
      <c r="O115" s="35">
        <v>-53.43</v>
      </c>
      <c r="P115" s="35">
        <f t="shared" si="0"/>
        <v>3.2100000000000009</v>
      </c>
      <c r="Q115" s="7"/>
    </row>
    <row r="116" spans="1:17" ht="14.25" customHeight="1" x14ac:dyDescent="0.35">
      <c r="A116" s="5" t="s">
        <v>20</v>
      </c>
      <c r="B116" s="5" t="s">
        <v>21</v>
      </c>
      <c r="C116" s="5" t="s">
        <v>192</v>
      </c>
      <c r="D116" s="5" t="s">
        <v>193</v>
      </c>
      <c r="E116" s="7">
        <v>68.354393000000002</v>
      </c>
      <c r="F116" s="7">
        <v>18.815747999999999</v>
      </c>
      <c r="G116" s="7">
        <v>376</v>
      </c>
      <c r="I116" s="5" t="s">
        <v>309</v>
      </c>
      <c r="J116" s="5" t="s">
        <v>41</v>
      </c>
      <c r="K116" s="8">
        <v>44047</v>
      </c>
      <c r="N116" s="7">
        <v>-5.97</v>
      </c>
      <c r="O116" s="35">
        <v>-51.1</v>
      </c>
      <c r="P116" s="35">
        <f t="shared" si="0"/>
        <v>-3.3400000000000034</v>
      </c>
      <c r="Q116" s="7"/>
    </row>
    <row r="117" spans="1:17" ht="14.25" customHeight="1" x14ac:dyDescent="0.35">
      <c r="A117" s="5" t="s">
        <v>20</v>
      </c>
      <c r="B117" s="5" t="s">
        <v>21</v>
      </c>
      <c r="C117" s="5" t="s">
        <v>192</v>
      </c>
      <c r="D117" s="5" t="s">
        <v>193</v>
      </c>
      <c r="E117" s="7">
        <v>68.354393000000002</v>
      </c>
      <c r="F117" s="7">
        <v>18.815747999999999</v>
      </c>
      <c r="G117" s="7">
        <v>376</v>
      </c>
      <c r="I117" s="5" t="s">
        <v>310</v>
      </c>
      <c r="J117" s="5" t="s">
        <v>41</v>
      </c>
      <c r="K117" s="8">
        <v>44048</v>
      </c>
      <c r="N117" s="7">
        <v>-10.46</v>
      </c>
      <c r="O117" s="35">
        <v>-75.78</v>
      </c>
      <c r="P117" s="35">
        <f t="shared" si="0"/>
        <v>7.9000000000000057</v>
      </c>
      <c r="Q117" s="7"/>
    </row>
    <row r="118" spans="1:17" ht="14.25" customHeight="1" x14ac:dyDescent="0.35">
      <c r="A118" s="5" t="s">
        <v>20</v>
      </c>
      <c r="B118" s="5" t="s">
        <v>21</v>
      </c>
      <c r="C118" s="5" t="s">
        <v>192</v>
      </c>
      <c r="D118" s="5" t="s">
        <v>193</v>
      </c>
      <c r="E118" s="7">
        <v>68.354393000000002</v>
      </c>
      <c r="F118" s="7">
        <v>18.815747999999999</v>
      </c>
      <c r="G118" s="7">
        <v>376</v>
      </c>
      <c r="I118" s="5" t="s">
        <v>311</v>
      </c>
      <c r="J118" s="5" t="s">
        <v>41</v>
      </c>
      <c r="K118" s="8">
        <v>44053</v>
      </c>
      <c r="N118" s="7">
        <v>-10.27</v>
      </c>
      <c r="O118" s="35">
        <v>-74.260000000000005</v>
      </c>
      <c r="P118" s="35">
        <f t="shared" si="0"/>
        <v>7.8999999999999915</v>
      </c>
      <c r="Q118" s="7"/>
    </row>
    <row r="119" spans="1:17" ht="14.25" customHeight="1" x14ac:dyDescent="0.35">
      <c r="A119" s="5" t="s">
        <v>20</v>
      </c>
      <c r="B119" s="5" t="s">
        <v>21</v>
      </c>
      <c r="C119" s="5" t="s">
        <v>192</v>
      </c>
      <c r="D119" s="5" t="s">
        <v>193</v>
      </c>
      <c r="E119" s="7">
        <v>68.354393000000002</v>
      </c>
      <c r="F119" s="7">
        <v>18.815747999999999</v>
      </c>
      <c r="G119" s="7">
        <v>376</v>
      </c>
      <c r="I119" s="5" t="s">
        <v>312</v>
      </c>
      <c r="J119" s="5" t="s">
        <v>41</v>
      </c>
      <c r="K119" s="8">
        <v>44057</v>
      </c>
      <c r="N119" s="7">
        <v>-7.17</v>
      </c>
      <c r="O119" s="35">
        <v>-52.88</v>
      </c>
      <c r="P119" s="35">
        <f t="shared" si="0"/>
        <v>4.4799999999999969</v>
      </c>
      <c r="Q119" s="7"/>
    </row>
    <row r="120" spans="1:17" ht="14.25" customHeight="1" x14ac:dyDescent="0.35">
      <c r="A120" s="5" t="s">
        <v>20</v>
      </c>
      <c r="B120" s="5" t="s">
        <v>21</v>
      </c>
      <c r="C120" s="5" t="s">
        <v>192</v>
      </c>
      <c r="D120" s="5" t="s">
        <v>193</v>
      </c>
      <c r="E120" s="7">
        <v>68.354393000000002</v>
      </c>
      <c r="F120" s="7">
        <v>18.815747999999999</v>
      </c>
      <c r="G120" s="7">
        <v>376</v>
      </c>
      <c r="I120" s="5" t="s">
        <v>313</v>
      </c>
      <c r="J120" s="5" t="s">
        <v>41</v>
      </c>
      <c r="K120" s="8">
        <v>44060</v>
      </c>
      <c r="N120" s="7">
        <v>-7.11</v>
      </c>
      <c r="O120" s="35">
        <v>-56.47</v>
      </c>
      <c r="P120" s="35">
        <f t="shared" si="0"/>
        <v>0.41000000000000369</v>
      </c>
      <c r="Q120" s="7"/>
    </row>
    <row r="121" spans="1:17" ht="14.25" customHeight="1" x14ac:dyDescent="0.35">
      <c r="A121" s="5" t="s">
        <v>20</v>
      </c>
      <c r="B121" s="5" t="s">
        <v>21</v>
      </c>
      <c r="C121" s="5" t="s">
        <v>192</v>
      </c>
      <c r="D121" s="5" t="s">
        <v>193</v>
      </c>
      <c r="E121" s="7">
        <v>68.354393000000002</v>
      </c>
      <c r="F121" s="7">
        <v>18.815747999999999</v>
      </c>
      <c r="G121" s="7">
        <v>376</v>
      </c>
      <c r="I121" s="5" t="s">
        <v>314</v>
      </c>
      <c r="J121" s="5" t="s">
        <v>41</v>
      </c>
      <c r="K121" s="8">
        <v>44067</v>
      </c>
      <c r="N121" s="7">
        <v>-11.99</v>
      </c>
      <c r="O121" s="35">
        <v>-93.6</v>
      </c>
      <c r="P121" s="35">
        <f t="shared" si="0"/>
        <v>2.3200000000000074</v>
      </c>
      <c r="Q121" s="7"/>
    </row>
    <row r="122" spans="1:17" ht="14.25" customHeight="1" x14ac:dyDescent="0.35">
      <c r="A122" s="5" t="s">
        <v>20</v>
      </c>
      <c r="B122" s="5" t="s">
        <v>21</v>
      </c>
      <c r="C122" s="5" t="s">
        <v>192</v>
      </c>
      <c r="D122" s="5" t="s">
        <v>193</v>
      </c>
      <c r="E122" s="7">
        <v>68.354393000000002</v>
      </c>
      <c r="F122" s="7">
        <v>18.815747999999999</v>
      </c>
      <c r="G122" s="7">
        <v>376</v>
      </c>
      <c r="I122" s="5" t="s">
        <v>315</v>
      </c>
      <c r="J122" s="5" t="s">
        <v>41</v>
      </c>
      <c r="K122" s="8">
        <v>44074</v>
      </c>
      <c r="N122" s="7">
        <v>-5.13</v>
      </c>
      <c r="O122" s="35">
        <v>-37.14</v>
      </c>
      <c r="P122" s="35">
        <f t="shared" si="0"/>
        <v>3.8999999999999986</v>
      </c>
      <c r="Q122" s="7"/>
    </row>
    <row r="123" spans="1:17" ht="14.25" customHeight="1" x14ac:dyDescent="0.35">
      <c r="A123" s="5" t="s">
        <v>20</v>
      </c>
      <c r="B123" s="5" t="s">
        <v>21</v>
      </c>
      <c r="C123" s="5" t="s">
        <v>192</v>
      </c>
      <c r="D123" s="5" t="s">
        <v>193</v>
      </c>
      <c r="E123" s="7">
        <v>68.354393000000002</v>
      </c>
      <c r="F123" s="7">
        <v>18.815747999999999</v>
      </c>
      <c r="G123" s="7">
        <v>376</v>
      </c>
      <c r="I123" s="5" t="s">
        <v>316</v>
      </c>
      <c r="J123" s="5" t="s">
        <v>41</v>
      </c>
      <c r="K123" s="8">
        <v>44078</v>
      </c>
      <c r="N123" s="7">
        <v>-9.81</v>
      </c>
      <c r="O123" s="35">
        <v>-70.23</v>
      </c>
      <c r="P123" s="35">
        <f t="shared" si="0"/>
        <v>8.25</v>
      </c>
      <c r="Q123" s="7"/>
    </row>
    <row r="124" spans="1:17" ht="14.25" customHeight="1" x14ac:dyDescent="0.35">
      <c r="A124" s="5" t="s">
        <v>20</v>
      </c>
      <c r="B124" s="5" t="s">
        <v>21</v>
      </c>
      <c r="C124" s="5" t="s">
        <v>192</v>
      </c>
      <c r="D124" s="5" t="s">
        <v>193</v>
      </c>
      <c r="E124" s="7">
        <v>68.354393000000002</v>
      </c>
      <c r="F124" s="7">
        <v>18.815747999999999</v>
      </c>
      <c r="G124" s="7">
        <v>376</v>
      </c>
      <c r="I124" s="5" t="s">
        <v>317</v>
      </c>
      <c r="J124" s="5" t="s">
        <v>41</v>
      </c>
      <c r="K124" s="8">
        <v>44081</v>
      </c>
      <c r="N124" s="7">
        <v>-15.76</v>
      </c>
      <c r="O124" s="35">
        <v>-115.91</v>
      </c>
      <c r="P124" s="35">
        <f t="shared" si="0"/>
        <v>10.170000000000002</v>
      </c>
      <c r="Q124" s="7"/>
    </row>
    <row r="125" spans="1:17" ht="14.25" customHeight="1" x14ac:dyDescent="0.35">
      <c r="A125" s="5" t="s">
        <v>20</v>
      </c>
      <c r="B125" s="5" t="s">
        <v>21</v>
      </c>
      <c r="C125" s="5" t="s">
        <v>192</v>
      </c>
      <c r="D125" s="5" t="s">
        <v>193</v>
      </c>
      <c r="E125" s="7">
        <v>68.354393000000002</v>
      </c>
      <c r="F125" s="7">
        <v>18.815747999999999</v>
      </c>
      <c r="G125" s="7">
        <v>376</v>
      </c>
      <c r="I125" s="5" t="s">
        <v>318</v>
      </c>
      <c r="J125" s="5" t="s">
        <v>41</v>
      </c>
      <c r="K125" s="8">
        <v>44085</v>
      </c>
      <c r="N125" s="7">
        <v>-9.06</v>
      </c>
      <c r="O125" s="35">
        <v>-72.91</v>
      </c>
      <c r="P125" s="35">
        <f t="shared" si="0"/>
        <v>-0.42999999999999261</v>
      </c>
      <c r="Q125" s="7"/>
    </row>
    <row r="126" spans="1:17" ht="14.25" customHeight="1" x14ac:dyDescent="0.35">
      <c r="A126" s="5" t="s">
        <v>20</v>
      </c>
      <c r="B126" s="5" t="s">
        <v>21</v>
      </c>
      <c r="C126" s="5" t="s">
        <v>192</v>
      </c>
      <c r="D126" s="5" t="s">
        <v>193</v>
      </c>
      <c r="E126" s="7">
        <v>68.354393000000002</v>
      </c>
      <c r="F126" s="7">
        <v>18.815747999999999</v>
      </c>
      <c r="G126" s="7">
        <v>376</v>
      </c>
      <c r="I126" s="5" t="s">
        <v>319</v>
      </c>
      <c r="J126" s="5" t="s">
        <v>41</v>
      </c>
      <c r="K126" s="8">
        <v>44088</v>
      </c>
      <c r="N126" s="7">
        <v>-14.09</v>
      </c>
      <c r="O126" s="35">
        <v>-118.23</v>
      </c>
      <c r="P126" s="35">
        <f t="shared" si="0"/>
        <v>-5.5100000000000051</v>
      </c>
      <c r="Q126" s="7"/>
    </row>
    <row r="127" spans="1:17" ht="14.25" customHeight="1" x14ac:dyDescent="0.35">
      <c r="A127" s="5" t="s">
        <v>20</v>
      </c>
      <c r="B127" s="5" t="s">
        <v>21</v>
      </c>
      <c r="C127" s="5" t="s">
        <v>192</v>
      </c>
      <c r="D127" s="5" t="s">
        <v>193</v>
      </c>
      <c r="E127" s="7">
        <v>68.354393000000002</v>
      </c>
      <c r="F127" s="7">
        <v>18.815747999999999</v>
      </c>
      <c r="G127" s="7">
        <v>376</v>
      </c>
      <c r="I127" s="5" t="s">
        <v>320</v>
      </c>
      <c r="J127" s="5" t="s">
        <v>41</v>
      </c>
      <c r="K127" s="8">
        <v>44090</v>
      </c>
      <c r="N127" s="7">
        <v>-8.98</v>
      </c>
      <c r="O127" s="35">
        <v>-66.48</v>
      </c>
      <c r="P127" s="35">
        <f t="shared" si="0"/>
        <v>5.3599999999999994</v>
      </c>
      <c r="Q127" s="7"/>
    </row>
    <row r="128" spans="1:17" ht="14.25" customHeight="1" x14ac:dyDescent="0.35">
      <c r="A128" s="5" t="s">
        <v>20</v>
      </c>
      <c r="B128" s="5" t="s">
        <v>21</v>
      </c>
      <c r="C128" s="5" t="s">
        <v>192</v>
      </c>
      <c r="D128" s="5" t="s">
        <v>193</v>
      </c>
      <c r="E128" s="7">
        <v>68.354393000000002</v>
      </c>
      <c r="F128" s="7">
        <v>18.815747999999999</v>
      </c>
      <c r="G128" s="7">
        <v>376</v>
      </c>
      <c r="I128" s="5" t="s">
        <v>321</v>
      </c>
      <c r="J128" s="5" t="s">
        <v>41</v>
      </c>
      <c r="K128" s="8">
        <v>44092</v>
      </c>
      <c r="N128" s="7">
        <v>-16.73</v>
      </c>
      <c r="O128" s="35">
        <v>-133.52000000000001</v>
      </c>
      <c r="P128" s="35">
        <f t="shared" si="0"/>
        <v>0.31999999999999318</v>
      </c>
      <c r="Q128" s="7"/>
    </row>
    <row r="129" spans="1:17" ht="14.25" customHeight="1" x14ac:dyDescent="0.35">
      <c r="A129" s="5" t="s">
        <v>20</v>
      </c>
      <c r="B129" s="5" t="s">
        <v>21</v>
      </c>
      <c r="C129" s="5" t="s">
        <v>192</v>
      </c>
      <c r="D129" s="5" t="s">
        <v>193</v>
      </c>
      <c r="E129" s="7">
        <v>68.354393000000002</v>
      </c>
      <c r="F129" s="7">
        <v>18.815747999999999</v>
      </c>
      <c r="G129" s="7">
        <v>376</v>
      </c>
      <c r="I129" s="5" t="s">
        <v>322</v>
      </c>
      <c r="J129" s="5" t="s">
        <v>41</v>
      </c>
      <c r="K129" s="8">
        <v>44095</v>
      </c>
      <c r="N129" s="7">
        <v>-11.29</v>
      </c>
      <c r="O129" s="35">
        <v>-91.26</v>
      </c>
      <c r="P129" s="35">
        <f t="shared" si="0"/>
        <v>-0.94000000000001194</v>
      </c>
      <c r="Q129" s="7"/>
    </row>
    <row r="130" spans="1:17" ht="14.25" customHeight="1" x14ac:dyDescent="0.35">
      <c r="A130" s="5" t="s">
        <v>20</v>
      </c>
      <c r="B130" s="5" t="s">
        <v>21</v>
      </c>
      <c r="C130" s="5" t="s">
        <v>192</v>
      </c>
      <c r="D130" s="5" t="s">
        <v>193</v>
      </c>
      <c r="E130" s="7">
        <v>68.354393000000002</v>
      </c>
      <c r="F130" s="7">
        <v>18.815747999999999</v>
      </c>
      <c r="G130" s="7">
        <v>376</v>
      </c>
      <c r="I130" s="5" t="s">
        <v>323</v>
      </c>
      <c r="J130" s="5" t="s">
        <v>41</v>
      </c>
      <c r="K130" s="8">
        <v>44096</v>
      </c>
      <c r="N130" s="7">
        <v>-14.78</v>
      </c>
      <c r="O130" s="35">
        <v>-114.87</v>
      </c>
      <c r="P130" s="35">
        <f t="shared" si="0"/>
        <v>3.3699999999999903</v>
      </c>
      <c r="Q130" s="7"/>
    </row>
    <row r="131" spans="1:17" ht="14.25" customHeight="1" x14ac:dyDescent="0.35">
      <c r="A131" s="5" t="s">
        <v>20</v>
      </c>
      <c r="B131" s="5" t="s">
        <v>21</v>
      </c>
      <c r="C131" s="5" t="s">
        <v>192</v>
      </c>
      <c r="D131" s="5" t="s">
        <v>193</v>
      </c>
      <c r="E131" s="7">
        <v>68.354393000000002</v>
      </c>
      <c r="F131" s="7">
        <v>18.815747999999999</v>
      </c>
      <c r="G131" s="7">
        <v>376</v>
      </c>
      <c r="I131" s="5" t="s">
        <v>324</v>
      </c>
      <c r="J131" s="5" t="s">
        <v>41</v>
      </c>
      <c r="K131" s="8">
        <v>44097</v>
      </c>
      <c r="N131" s="7">
        <v>-6.53</v>
      </c>
      <c r="O131" s="35">
        <v>-56.49</v>
      </c>
      <c r="P131" s="35">
        <f t="shared" si="0"/>
        <v>-4.25</v>
      </c>
      <c r="Q131" s="7"/>
    </row>
    <row r="132" spans="1:17" ht="14.25" customHeight="1" x14ac:dyDescent="0.35">
      <c r="A132" s="5" t="s">
        <v>20</v>
      </c>
      <c r="B132" s="5" t="s">
        <v>21</v>
      </c>
      <c r="C132" s="5" t="s">
        <v>192</v>
      </c>
      <c r="D132" s="5" t="s">
        <v>193</v>
      </c>
      <c r="E132" s="7">
        <v>68.354393000000002</v>
      </c>
      <c r="F132" s="7">
        <v>18.815747999999999</v>
      </c>
      <c r="G132" s="7">
        <v>376</v>
      </c>
      <c r="I132" s="5" t="s">
        <v>325</v>
      </c>
      <c r="J132" s="5" t="s">
        <v>41</v>
      </c>
      <c r="K132" s="8">
        <v>44099</v>
      </c>
      <c r="N132" s="7">
        <v>-13.45</v>
      </c>
      <c r="O132" s="35">
        <v>-93.85</v>
      </c>
      <c r="P132" s="35">
        <f t="shared" si="0"/>
        <v>13.75</v>
      </c>
      <c r="Q132" s="7"/>
    </row>
    <row r="133" spans="1:17" ht="14.25" customHeight="1" x14ac:dyDescent="0.35">
      <c r="A133" s="5" t="s">
        <v>20</v>
      </c>
      <c r="B133" s="5" t="s">
        <v>21</v>
      </c>
      <c r="C133" s="5" t="s">
        <v>192</v>
      </c>
      <c r="D133" s="5" t="s">
        <v>193</v>
      </c>
      <c r="E133" s="7">
        <v>68.354393000000002</v>
      </c>
      <c r="F133" s="7">
        <v>18.815747999999999</v>
      </c>
      <c r="G133" s="7">
        <v>376</v>
      </c>
      <c r="I133" s="5" t="s">
        <v>326</v>
      </c>
      <c r="K133" s="8">
        <v>44102</v>
      </c>
      <c r="N133" s="7">
        <v>-5.4382673466672582</v>
      </c>
      <c r="O133" s="35">
        <v>-53.81754816909509</v>
      </c>
      <c r="P133" s="35">
        <f t="shared" si="0"/>
        <v>-10.311409395757025</v>
      </c>
      <c r="Q133" s="7"/>
    </row>
    <row r="135" spans="1:17" x14ac:dyDescent="0.35">
      <c r="M135" s="5" t="s">
        <v>705</v>
      </c>
      <c r="N135" s="7">
        <f>AVERAGE(N2:N133)</f>
        <v>-14.45628025498678</v>
      </c>
      <c r="O135" s="35">
        <f>AVERAGE(O2:O133)</f>
        <v>-109.29331507293992</v>
      </c>
      <c r="P135" s="35">
        <f>AVERAGE(P2:P133)</f>
        <v>6.3569269669543571</v>
      </c>
    </row>
    <row r="136" spans="1:17" x14ac:dyDescent="0.35">
      <c r="M136" s="5" t="s">
        <v>706</v>
      </c>
      <c r="N136" s="7">
        <f>MIN(N2:N133)</f>
        <v>-30.01</v>
      </c>
      <c r="O136" s="35">
        <f>MIN(O2:O133)</f>
        <v>-231.84</v>
      </c>
      <c r="P136" s="35">
        <f>MIN(P2:P133)</f>
        <v>-16.549999999999997</v>
      </c>
    </row>
    <row r="137" spans="1:17" x14ac:dyDescent="0.35">
      <c r="M137" s="5" t="s">
        <v>707</v>
      </c>
      <c r="N137" s="7">
        <f>MAX(N2:N133)</f>
        <v>-1.584061022661758</v>
      </c>
      <c r="O137" s="35">
        <f>MAX(O2:O133)</f>
        <v>-13.18</v>
      </c>
      <c r="P137" s="35">
        <f>MAX(P2:P133)</f>
        <v>22.769999999999996</v>
      </c>
    </row>
    <row r="138" spans="1:17" x14ac:dyDescent="0.35">
      <c r="M138" s="5" t="s">
        <v>708</v>
      </c>
      <c r="N138" s="5">
        <f>_xlfn.STDEV.P(N2:N133)</f>
        <v>5.6301863632976419</v>
      </c>
      <c r="O138" s="35">
        <f>_xlfn.STDEV.P(O2:O133)</f>
        <v>44.337181526193952</v>
      </c>
      <c r="P138" s="35">
        <f>_xlfn.STDEV.P(P2:P133)</f>
        <v>7.2850695504646943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8080-F339-4EFB-85D5-92D56E3CEF17}">
  <dimension ref="A1:T78"/>
  <sheetViews>
    <sheetView zoomScale="85" zoomScaleNormal="85" workbookViewId="0"/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34.6328125" style="5" bestFit="1" customWidth="1"/>
    <col min="4" max="4" width="8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12.26953125" style="5" bestFit="1" customWidth="1"/>
    <col min="10" max="10" width="10.54296875" style="5" bestFit="1" customWidth="1"/>
    <col min="11" max="11" width="17.54296875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5" t="s">
        <v>20</v>
      </c>
      <c r="B2" s="5" t="s">
        <v>21</v>
      </c>
      <c r="C2" s="5" t="s">
        <v>575</v>
      </c>
      <c r="D2" s="5" t="s">
        <v>193</v>
      </c>
      <c r="E2" s="7">
        <v>64.2</v>
      </c>
      <c r="F2" s="7">
        <v>19.87</v>
      </c>
      <c r="G2" s="7">
        <v>147</v>
      </c>
      <c r="I2" s="5" t="s">
        <v>576</v>
      </c>
      <c r="K2" s="17">
        <v>43832</v>
      </c>
      <c r="N2" s="5">
        <v>-15.52</v>
      </c>
      <c r="O2" s="35">
        <v>-116.81</v>
      </c>
      <c r="P2" s="35">
        <f t="shared" ref="P2:P72" si="0">O2-(8*N2)</f>
        <v>7.3499999999999943</v>
      </c>
      <c r="Q2" s="5">
        <v>4.0999999999999996</v>
      </c>
    </row>
    <row r="3" spans="1:20" x14ac:dyDescent="0.35">
      <c r="A3" s="5" t="s">
        <v>20</v>
      </c>
      <c r="B3" s="5" t="s">
        <v>21</v>
      </c>
      <c r="C3" s="5" t="s">
        <v>575</v>
      </c>
      <c r="D3" s="5" t="s">
        <v>193</v>
      </c>
      <c r="E3" s="7">
        <v>64.2</v>
      </c>
      <c r="F3" s="7">
        <v>19.87</v>
      </c>
      <c r="G3" s="7">
        <v>147</v>
      </c>
      <c r="I3" s="5" t="s">
        <v>577</v>
      </c>
      <c r="K3" s="17">
        <v>43837</v>
      </c>
      <c r="N3" s="5">
        <v>-15.06</v>
      </c>
      <c r="O3" s="35">
        <v>-117.62</v>
      </c>
      <c r="P3" s="35">
        <f t="shared" si="0"/>
        <v>2.8599999999999994</v>
      </c>
      <c r="Q3" s="5">
        <v>2.2000000000000002</v>
      </c>
    </row>
    <row r="4" spans="1:20" x14ac:dyDescent="0.35">
      <c r="A4" s="5" t="s">
        <v>20</v>
      </c>
      <c r="B4" s="5" t="s">
        <v>21</v>
      </c>
      <c r="C4" s="5" t="s">
        <v>575</v>
      </c>
      <c r="D4" s="5" t="s">
        <v>193</v>
      </c>
      <c r="E4" s="7">
        <v>64.2</v>
      </c>
      <c r="F4" s="7">
        <v>19.87</v>
      </c>
      <c r="G4" s="7">
        <v>147</v>
      </c>
      <c r="I4" s="5" t="s">
        <v>578</v>
      </c>
      <c r="K4" s="17">
        <v>43843</v>
      </c>
      <c r="N4" s="5">
        <v>-10.97</v>
      </c>
      <c r="O4" s="35">
        <v>-65.86</v>
      </c>
      <c r="P4" s="35">
        <f t="shared" si="0"/>
        <v>21.900000000000006</v>
      </c>
      <c r="Q4" s="5">
        <v>0.2</v>
      </c>
    </row>
    <row r="5" spans="1:20" x14ac:dyDescent="0.35">
      <c r="A5" s="5" t="s">
        <v>20</v>
      </c>
      <c r="B5" s="5" t="s">
        <v>21</v>
      </c>
      <c r="C5" s="5" t="s">
        <v>575</v>
      </c>
      <c r="D5" s="5" t="s">
        <v>193</v>
      </c>
      <c r="E5" s="7">
        <v>64.2</v>
      </c>
      <c r="F5" s="7">
        <v>19.87</v>
      </c>
      <c r="G5" s="7">
        <v>147</v>
      </c>
      <c r="I5" s="5" t="s">
        <v>579</v>
      </c>
      <c r="K5" s="17">
        <v>43845</v>
      </c>
      <c r="N5" s="5">
        <v>-14.57</v>
      </c>
      <c r="O5" s="35">
        <v>-112.4</v>
      </c>
      <c r="P5" s="35">
        <f t="shared" si="0"/>
        <v>4.1599999999999966</v>
      </c>
      <c r="Q5" s="5">
        <v>2.5</v>
      </c>
    </row>
    <row r="6" spans="1:20" x14ac:dyDescent="0.35">
      <c r="A6" s="5" t="s">
        <v>20</v>
      </c>
      <c r="B6" s="5" t="s">
        <v>21</v>
      </c>
      <c r="C6" s="5" t="s">
        <v>575</v>
      </c>
      <c r="D6" s="5" t="s">
        <v>193</v>
      </c>
      <c r="E6" s="7">
        <v>64.2</v>
      </c>
      <c r="F6" s="7">
        <v>19.87</v>
      </c>
      <c r="G6" s="7">
        <v>147</v>
      </c>
      <c r="I6" s="5" t="s">
        <v>580</v>
      </c>
      <c r="K6" s="17">
        <v>43846</v>
      </c>
      <c r="N6" s="5">
        <v>-21.04</v>
      </c>
      <c r="O6" s="35">
        <v>-163.99</v>
      </c>
      <c r="P6" s="35">
        <f t="shared" si="0"/>
        <v>4.3299999999999841</v>
      </c>
      <c r="Q6" s="5">
        <v>5.2</v>
      </c>
    </row>
    <row r="7" spans="1:20" x14ac:dyDescent="0.35">
      <c r="A7" s="5" t="s">
        <v>20</v>
      </c>
      <c r="B7" s="5" t="s">
        <v>21</v>
      </c>
      <c r="C7" s="5" t="s">
        <v>575</v>
      </c>
      <c r="D7" s="5" t="s">
        <v>193</v>
      </c>
      <c r="E7" s="7">
        <v>64.2</v>
      </c>
      <c r="F7" s="7">
        <v>19.87</v>
      </c>
      <c r="G7" s="7">
        <v>147</v>
      </c>
      <c r="I7" s="5" t="s">
        <v>581</v>
      </c>
      <c r="K7" s="17">
        <v>43850</v>
      </c>
      <c r="N7" s="5">
        <v>-10.56</v>
      </c>
      <c r="O7" s="35">
        <v>-75.06</v>
      </c>
      <c r="P7" s="35">
        <f t="shared" si="0"/>
        <v>9.4200000000000017</v>
      </c>
      <c r="Q7" s="5">
        <v>16.7</v>
      </c>
    </row>
    <row r="8" spans="1:20" x14ac:dyDescent="0.35">
      <c r="A8" s="5" t="s">
        <v>20</v>
      </c>
      <c r="B8" s="5" t="s">
        <v>21</v>
      </c>
      <c r="C8" s="5" t="s">
        <v>575</v>
      </c>
      <c r="D8" s="5" t="s">
        <v>193</v>
      </c>
      <c r="E8" s="7">
        <v>64.2</v>
      </c>
      <c r="F8" s="7">
        <v>19.87</v>
      </c>
      <c r="G8" s="7">
        <v>147</v>
      </c>
      <c r="I8" s="5" t="s">
        <v>582</v>
      </c>
      <c r="K8" s="17">
        <v>43853</v>
      </c>
      <c r="N8" s="5">
        <v>-14.7</v>
      </c>
      <c r="O8" s="35">
        <v>-111.53</v>
      </c>
      <c r="P8" s="35">
        <f t="shared" si="0"/>
        <v>6.0699999999999932</v>
      </c>
      <c r="Q8" s="5">
        <v>7.3</v>
      </c>
    </row>
    <row r="9" spans="1:20" x14ac:dyDescent="0.35">
      <c r="A9" s="5" t="s">
        <v>20</v>
      </c>
      <c r="B9" s="5" t="s">
        <v>21</v>
      </c>
      <c r="C9" s="5" t="s">
        <v>575</v>
      </c>
      <c r="D9" s="5" t="s">
        <v>193</v>
      </c>
      <c r="E9" s="7">
        <v>64.2</v>
      </c>
      <c r="F9" s="7">
        <v>19.87</v>
      </c>
      <c r="G9" s="7">
        <v>147</v>
      </c>
      <c r="I9" s="5" t="s">
        <v>583</v>
      </c>
      <c r="K9" s="17">
        <v>43857</v>
      </c>
      <c r="N9" s="5">
        <v>-17.28</v>
      </c>
      <c r="O9" s="35">
        <v>-131.78</v>
      </c>
      <c r="P9" s="35">
        <f t="shared" si="0"/>
        <v>6.460000000000008</v>
      </c>
      <c r="Q9" s="5">
        <v>6.2</v>
      </c>
    </row>
    <row r="10" spans="1:20" x14ac:dyDescent="0.35">
      <c r="A10" s="5" t="s">
        <v>20</v>
      </c>
      <c r="B10" s="5" t="s">
        <v>21</v>
      </c>
      <c r="C10" s="5" t="s">
        <v>575</v>
      </c>
      <c r="D10" s="5" t="s">
        <v>193</v>
      </c>
      <c r="E10" s="7">
        <v>64.2</v>
      </c>
      <c r="F10" s="7">
        <v>19.87</v>
      </c>
      <c r="G10" s="7">
        <v>147</v>
      </c>
      <c r="I10" s="5" t="s">
        <v>584</v>
      </c>
      <c r="K10" s="17">
        <v>43858</v>
      </c>
      <c r="N10" s="5">
        <v>-12.82</v>
      </c>
      <c r="O10" s="35">
        <v>-93.49</v>
      </c>
      <c r="P10" s="35">
        <f t="shared" si="0"/>
        <v>9.0700000000000074</v>
      </c>
      <c r="Q10" s="5">
        <v>6.3</v>
      </c>
    </row>
    <row r="11" spans="1:20" x14ac:dyDescent="0.35">
      <c r="A11" s="5" t="s">
        <v>20</v>
      </c>
      <c r="B11" s="5" t="s">
        <v>21</v>
      </c>
      <c r="C11" s="5" t="s">
        <v>575</v>
      </c>
      <c r="D11" s="5" t="s">
        <v>193</v>
      </c>
      <c r="E11" s="7">
        <v>64.2</v>
      </c>
      <c r="F11" s="7">
        <v>19.87</v>
      </c>
      <c r="G11" s="7">
        <v>147</v>
      </c>
      <c r="I11" s="5" t="s">
        <v>585</v>
      </c>
      <c r="K11" s="17">
        <v>43859</v>
      </c>
      <c r="N11" s="5">
        <v>-16.52</v>
      </c>
      <c r="O11" s="35">
        <v>-123.4</v>
      </c>
      <c r="P11" s="35">
        <f t="shared" si="0"/>
        <v>8.7599999999999909</v>
      </c>
      <c r="Q11" s="5">
        <v>2.4</v>
      </c>
    </row>
    <row r="12" spans="1:20" x14ac:dyDescent="0.35">
      <c r="A12" s="5" t="s">
        <v>20</v>
      </c>
      <c r="B12" s="5" t="s">
        <v>21</v>
      </c>
      <c r="C12" s="5" t="s">
        <v>575</v>
      </c>
      <c r="D12" s="5" t="s">
        <v>193</v>
      </c>
      <c r="E12" s="7">
        <v>64.2</v>
      </c>
      <c r="F12" s="7">
        <v>19.87</v>
      </c>
      <c r="G12" s="7">
        <v>147</v>
      </c>
      <c r="I12" s="5" t="s">
        <v>586</v>
      </c>
      <c r="K12" s="17">
        <v>43860</v>
      </c>
      <c r="N12" s="5">
        <v>-18</v>
      </c>
      <c r="O12" s="35">
        <v>-135.59</v>
      </c>
      <c r="P12" s="35">
        <f t="shared" si="0"/>
        <v>8.4099999999999966</v>
      </c>
      <c r="Q12" s="5">
        <v>3</v>
      </c>
    </row>
    <row r="13" spans="1:20" x14ac:dyDescent="0.35">
      <c r="A13" s="5" t="s">
        <v>20</v>
      </c>
      <c r="B13" s="5" t="s">
        <v>21</v>
      </c>
      <c r="C13" s="5" t="s">
        <v>575</v>
      </c>
      <c r="D13" s="5" t="s">
        <v>193</v>
      </c>
      <c r="E13" s="7">
        <v>64.2</v>
      </c>
      <c r="F13" s="7">
        <v>19.87</v>
      </c>
      <c r="G13" s="7">
        <v>147</v>
      </c>
      <c r="I13" s="5" t="s">
        <v>587</v>
      </c>
      <c r="K13" s="17">
        <v>43864</v>
      </c>
      <c r="N13" s="5">
        <v>-14.5</v>
      </c>
      <c r="O13" s="35">
        <v>-110.83</v>
      </c>
      <c r="P13" s="35">
        <f t="shared" si="0"/>
        <v>5.1700000000000017</v>
      </c>
      <c r="Q13" s="5">
        <v>13.1</v>
      </c>
    </row>
    <row r="14" spans="1:20" x14ac:dyDescent="0.35">
      <c r="A14" s="5" t="s">
        <v>20</v>
      </c>
      <c r="B14" s="5" t="s">
        <v>21</v>
      </c>
      <c r="C14" s="5" t="s">
        <v>575</v>
      </c>
      <c r="D14" s="5" t="s">
        <v>193</v>
      </c>
      <c r="E14" s="7">
        <v>64.2</v>
      </c>
      <c r="F14" s="7">
        <v>19.87</v>
      </c>
      <c r="G14" s="7">
        <v>147</v>
      </c>
      <c r="I14" s="5" t="s">
        <v>588</v>
      </c>
      <c r="K14" s="17">
        <v>43867</v>
      </c>
      <c r="N14" s="5">
        <v>-12.49</v>
      </c>
      <c r="O14" s="35">
        <v>-88.76</v>
      </c>
      <c r="P14" s="35">
        <f t="shared" si="0"/>
        <v>11.159999999999997</v>
      </c>
      <c r="Q14" s="5">
        <v>2.8</v>
      </c>
    </row>
    <row r="15" spans="1:20" x14ac:dyDescent="0.35">
      <c r="A15" s="5" t="s">
        <v>20</v>
      </c>
      <c r="B15" s="5" t="s">
        <v>21</v>
      </c>
      <c r="C15" s="5" t="s">
        <v>575</v>
      </c>
      <c r="D15" s="5" t="s">
        <v>193</v>
      </c>
      <c r="E15" s="7">
        <v>64.2</v>
      </c>
      <c r="F15" s="7">
        <v>19.87</v>
      </c>
      <c r="G15" s="7">
        <v>147</v>
      </c>
      <c r="I15" s="5" t="s">
        <v>589</v>
      </c>
      <c r="K15" s="17">
        <v>43871</v>
      </c>
      <c r="N15" s="5">
        <v>-16.05</v>
      </c>
      <c r="O15" s="35">
        <v>-127.45</v>
      </c>
      <c r="P15" s="35">
        <f t="shared" si="0"/>
        <v>0.95000000000000284</v>
      </c>
      <c r="Q15" s="5">
        <v>14.6</v>
      </c>
    </row>
    <row r="16" spans="1:20" x14ac:dyDescent="0.35">
      <c r="A16" s="5" t="s">
        <v>20</v>
      </c>
      <c r="B16" s="5" t="s">
        <v>21</v>
      </c>
      <c r="C16" s="5" t="s">
        <v>575</v>
      </c>
      <c r="D16" s="5" t="s">
        <v>193</v>
      </c>
      <c r="E16" s="7">
        <v>64.2</v>
      </c>
      <c r="F16" s="7">
        <v>19.87</v>
      </c>
      <c r="G16" s="7">
        <v>147</v>
      </c>
      <c r="I16" s="5" t="s">
        <v>590</v>
      </c>
      <c r="K16" s="17">
        <v>43872</v>
      </c>
      <c r="N16" s="5">
        <v>-10.72</v>
      </c>
      <c r="O16" s="35">
        <v>-83.33</v>
      </c>
      <c r="P16" s="35">
        <f t="shared" si="0"/>
        <v>2.4300000000000068</v>
      </c>
      <c r="Q16" s="5">
        <v>0.2</v>
      </c>
    </row>
    <row r="17" spans="1:17" x14ac:dyDescent="0.35">
      <c r="A17" s="5" t="s">
        <v>20</v>
      </c>
      <c r="B17" s="5" t="s">
        <v>21</v>
      </c>
      <c r="C17" s="5" t="s">
        <v>575</v>
      </c>
      <c r="D17" s="5" t="s">
        <v>193</v>
      </c>
      <c r="E17" s="7">
        <v>64.2</v>
      </c>
      <c r="F17" s="7">
        <v>19.87</v>
      </c>
      <c r="G17" s="7">
        <v>147</v>
      </c>
      <c r="I17" s="5" t="s">
        <v>591</v>
      </c>
      <c r="K17" s="17">
        <v>43878</v>
      </c>
      <c r="N17" s="5">
        <v>-15</v>
      </c>
      <c r="O17" s="35">
        <v>-120.95</v>
      </c>
      <c r="P17" s="35">
        <f t="shared" si="0"/>
        <v>-0.95000000000000284</v>
      </c>
      <c r="Q17" s="5">
        <v>20.100000000000001</v>
      </c>
    </row>
    <row r="18" spans="1:17" x14ac:dyDescent="0.35">
      <c r="A18" s="5" t="s">
        <v>20</v>
      </c>
      <c r="B18" s="5" t="s">
        <v>21</v>
      </c>
      <c r="C18" s="5" t="s">
        <v>575</v>
      </c>
      <c r="D18" s="5" t="s">
        <v>193</v>
      </c>
      <c r="E18" s="7">
        <v>64.2</v>
      </c>
      <c r="F18" s="7">
        <v>19.87</v>
      </c>
      <c r="G18" s="7">
        <v>147</v>
      </c>
      <c r="I18" s="5" t="s">
        <v>592</v>
      </c>
      <c r="K18" s="17">
        <v>43885</v>
      </c>
      <c r="N18" s="5">
        <v>-13.07</v>
      </c>
      <c r="O18" s="35">
        <v>-101.61</v>
      </c>
      <c r="P18" s="35">
        <f t="shared" si="0"/>
        <v>2.9500000000000028</v>
      </c>
      <c r="Q18" s="5">
        <v>10.3</v>
      </c>
    </row>
    <row r="19" spans="1:17" x14ac:dyDescent="0.35">
      <c r="A19" s="5" t="s">
        <v>20</v>
      </c>
      <c r="B19" s="5" t="s">
        <v>21</v>
      </c>
      <c r="C19" s="5" t="s">
        <v>575</v>
      </c>
      <c r="D19" s="5" t="s">
        <v>193</v>
      </c>
      <c r="E19" s="7">
        <v>64.2</v>
      </c>
      <c r="F19" s="7">
        <v>19.87</v>
      </c>
      <c r="G19" s="7">
        <v>147</v>
      </c>
      <c r="I19" s="5" t="s">
        <v>593</v>
      </c>
      <c r="K19" s="17">
        <v>43892</v>
      </c>
      <c r="N19" s="5">
        <v>-14.54</v>
      </c>
      <c r="O19" s="35">
        <v>-98.23</v>
      </c>
      <c r="P19" s="35">
        <f t="shared" si="0"/>
        <v>18.089999999999989</v>
      </c>
      <c r="Q19" s="5">
        <v>1.7</v>
      </c>
    </row>
    <row r="20" spans="1:17" x14ac:dyDescent="0.35">
      <c r="A20" s="5" t="s">
        <v>20</v>
      </c>
      <c r="B20" s="5" t="s">
        <v>21</v>
      </c>
      <c r="C20" s="5" t="s">
        <v>575</v>
      </c>
      <c r="D20" s="5" t="s">
        <v>193</v>
      </c>
      <c r="E20" s="7">
        <v>64.2</v>
      </c>
      <c r="F20" s="7">
        <v>19.87</v>
      </c>
      <c r="G20" s="7">
        <v>147</v>
      </c>
      <c r="I20" s="5" t="s">
        <v>594</v>
      </c>
      <c r="K20" s="17">
        <v>43893</v>
      </c>
      <c r="N20" s="5">
        <v>-21.58</v>
      </c>
      <c r="O20" s="35">
        <v>-165.41</v>
      </c>
      <c r="P20" s="35">
        <f t="shared" si="0"/>
        <v>7.2299999999999898</v>
      </c>
      <c r="Q20" s="5">
        <v>1.5</v>
      </c>
    </row>
    <row r="21" spans="1:17" x14ac:dyDescent="0.35">
      <c r="A21" s="5" t="s">
        <v>20</v>
      </c>
      <c r="B21" s="5" t="s">
        <v>21</v>
      </c>
      <c r="C21" s="5" t="s">
        <v>575</v>
      </c>
      <c r="D21" s="5" t="s">
        <v>193</v>
      </c>
      <c r="E21" s="7">
        <v>64.2</v>
      </c>
      <c r="F21" s="7">
        <v>19.87</v>
      </c>
      <c r="G21" s="7">
        <v>147</v>
      </c>
      <c r="I21" s="5" t="s">
        <v>595</v>
      </c>
      <c r="K21" s="17">
        <v>43895</v>
      </c>
      <c r="N21" s="5">
        <v>-20.75</v>
      </c>
      <c r="O21" s="35">
        <v>-160.35</v>
      </c>
      <c r="P21" s="35">
        <f t="shared" si="0"/>
        <v>5.6500000000000057</v>
      </c>
      <c r="Q21" s="5">
        <v>5.5</v>
      </c>
    </row>
    <row r="22" spans="1:17" x14ac:dyDescent="0.35">
      <c r="A22" s="5" t="s">
        <v>20</v>
      </c>
      <c r="B22" s="5" t="s">
        <v>21</v>
      </c>
      <c r="C22" s="5" t="s">
        <v>575</v>
      </c>
      <c r="D22" s="5" t="s">
        <v>193</v>
      </c>
      <c r="E22" s="7">
        <v>64.2</v>
      </c>
      <c r="F22" s="7">
        <v>19.87</v>
      </c>
      <c r="G22" s="7">
        <v>147</v>
      </c>
      <c r="I22" s="5" t="s">
        <v>596</v>
      </c>
      <c r="K22" s="17">
        <v>43899</v>
      </c>
      <c r="N22" s="5">
        <v>-18.350000000000001</v>
      </c>
      <c r="O22" s="35">
        <v>-141.81</v>
      </c>
      <c r="P22" s="35">
        <f t="shared" si="0"/>
        <v>4.9900000000000091</v>
      </c>
      <c r="Q22" s="5">
        <v>8.1</v>
      </c>
    </row>
    <row r="23" spans="1:17" x14ac:dyDescent="0.35">
      <c r="A23" s="5" t="s">
        <v>20</v>
      </c>
      <c r="B23" s="5" t="s">
        <v>21</v>
      </c>
      <c r="C23" s="5" t="s">
        <v>575</v>
      </c>
      <c r="D23" s="5" t="s">
        <v>193</v>
      </c>
      <c r="E23" s="7">
        <v>64.2</v>
      </c>
      <c r="F23" s="7">
        <v>19.87</v>
      </c>
      <c r="G23" s="7">
        <v>147</v>
      </c>
      <c r="I23" s="5" t="s">
        <v>597</v>
      </c>
      <c r="K23" s="17">
        <v>43902</v>
      </c>
      <c r="N23" s="5">
        <v>-11.91</v>
      </c>
      <c r="O23" s="35">
        <v>-89.84</v>
      </c>
      <c r="P23" s="35">
        <f t="shared" si="0"/>
        <v>5.4399999999999977</v>
      </c>
      <c r="Q23" s="5">
        <v>8.1</v>
      </c>
    </row>
    <row r="24" spans="1:17" x14ac:dyDescent="0.35">
      <c r="A24" s="5" t="s">
        <v>20</v>
      </c>
      <c r="B24" s="5" t="s">
        <v>21</v>
      </c>
      <c r="C24" s="5" t="s">
        <v>575</v>
      </c>
      <c r="D24" s="5" t="s">
        <v>193</v>
      </c>
      <c r="E24" s="7">
        <v>64.2</v>
      </c>
      <c r="F24" s="7">
        <v>19.87</v>
      </c>
      <c r="G24" s="7">
        <v>147</v>
      </c>
      <c r="I24" s="5" t="s">
        <v>598</v>
      </c>
      <c r="K24" s="17">
        <v>43908</v>
      </c>
      <c r="N24" s="5">
        <v>-14.18</v>
      </c>
      <c r="O24" s="35">
        <v>-119.39</v>
      </c>
      <c r="P24" s="35">
        <f t="shared" si="0"/>
        <v>-5.9500000000000028</v>
      </c>
      <c r="Q24" s="5">
        <v>0.2</v>
      </c>
    </row>
    <row r="25" spans="1:17" x14ac:dyDescent="0.35">
      <c r="A25" s="5" t="s">
        <v>20</v>
      </c>
      <c r="B25" s="5" t="s">
        <v>21</v>
      </c>
      <c r="C25" s="5" t="s">
        <v>575</v>
      </c>
      <c r="D25" s="5" t="s">
        <v>193</v>
      </c>
      <c r="E25" s="7">
        <v>64.2</v>
      </c>
      <c r="F25" s="7">
        <v>19.87</v>
      </c>
      <c r="G25" s="7">
        <v>147</v>
      </c>
      <c r="I25" s="5" t="s">
        <v>599</v>
      </c>
      <c r="K25" s="17">
        <v>43920</v>
      </c>
      <c r="N25" s="5">
        <v>-12.17</v>
      </c>
      <c r="O25" s="35">
        <v>-75.72</v>
      </c>
      <c r="P25" s="35">
        <f t="shared" si="0"/>
        <v>21.64</v>
      </c>
      <c r="Q25" s="5">
        <v>0.1</v>
      </c>
    </row>
    <row r="26" spans="1:17" x14ac:dyDescent="0.35">
      <c r="A26" s="5" t="s">
        <v>20</v>
      </c>
      <c r="B26" s="5" t="s">
        <v>21</v>
      </c>
      <c r="C26" s="5" t="s">
        <v>575</v>
      </c>
      <c r="D26" s="5" t="s">
        <v>193</v>
      </c>
      <c r="E26" s="7">
        <v>64.2</v>
      </c>
      <c r="F26" s="7">
        <v>19.87</v>
      </c>
      <c r="G26" s="7">
        <v>147</v>
      </c>
      <c r="I26" s="5" t="s">
        <v>600</v>
      </c>
      <c r="K26" s="17">
        <v>43921</v>
      </c>
      <c r="N26" s="5">
        <v>-23.36</v>
      </c>
      <c r="O26" s="35">
        <v>-181.85</v>
      </c>
      <c r="P26" s="35">
        <f t="shared" si="0"/>
        <v>5.0300000000000011</v>
      </c>
      <c r="Q26" s="5">
        <v>1.6</v>
      </c>
    </row>
    <row r="27" spans="1:17" x14ac:dyDescent="0.35">
      <c r="A27" s="5" t="s">
        <v>20</v>
      </c>
      <c r="B27" s="5" t="s">
        <v>21</v>
      </c>
      <c r="C27" s="5" t="s">
        <v>575</v>
      </c>
      <c r="D27" s="5" t="s">
        <v>193</v>
      </c>
      <c r="E27" s="7">
        <v>64.2</v>
      </c>
      <c r="F27" s="7">
        <v>19.87</v>
      </c>
      <c r="G27" s="7">
        <v>147</v>
      </c>
      <c r="I27" s="5" t="s">
        <v>601</v>
      </c>
      <c r="K27" s="17">
        <v>43923</v>
      </c>
      <c r="N27" s="5">
        <v>-11.44</v>
      </c>
      <c r="O27" s="35">
        <v>-83.58</v>
      </c>
      <c r="P27" s="35">
        <f t="shared" si="0"/>
        <v>7.9399999999999977</v>
      </c>
      <c r="Q27" s="5">
        <v>3.6</v>
      </c>
    </row>
    <row r="28" spans="1:17" x14ac:dyDescent="0.35">
      <c r="A28" s="5" t="s">
        <v>20</v>
      </c>
      <c r="B28" s="5" t="s">
        <v>21</v>
      </c>
      <c r="C28" s="5" t="s">
        <v>575</v>
      </c>
      <c r="D28" s="5" t="s">
        <v>193</v>
      </c>
      <c r="E28" s="7">
        <v>64.2</v>
      </c>
      <c r="F28" s="7">
        <v>19.87</v>
      </c>
      <c r="G28" s="7">
        <v>147</v>
      </c>
      <c r="I28" s="5" t="s">
        <v>602</v>
      </c>
      <c r="K28" s="17">
        <v>43927</v>
      </c>
      <c r="N28" s="5">
        <v>-20.329999999999998</v>
      </c>
      <c r="O28" s="35">
        <v>-157.53</v>
      </c>
      <c r="P28" s="35">
        <f t="shared" si="0"/>
        <v>5.1099999999999852</v>
      </c>
      <c r="Q28" s="5">
        <v>0.1</v>
      </c>
    </row>
    <row r="29" spans="1:17" x14ac:dyDescent="0.35">
      <c r="A29" s="5" t="s">
        <v>20</v>
      </c>
      <c r="B29" s="5" t="s">
        <v>21</v>
      </c>
      <c r="C29" s="5" t="s">
        <v>575</v>
      </c>
      <c r="D29" s="5" t="s">
        <v>193</v>
      </c>
      <c r="E29" s="7">
        <v>64.2</v>
      </c>
      <c r="F29" s="7">
        <v>19.87</v>
      </c>
      <c r="G29" s="7">
        <v>147</v>
      </c>
      <c r="I29" s="5" t="s">
        <v>603</v>
      </c>
      <c r="K29" s="17">
        <v>43935</v>
      </c>
      <c r="N29" s="5">
        <v>-20.440000000000001</v>
      </c>
      <c r="O29" s="35">
        <v>-157.71</v>
      </c>
      <c r="P29" s="35">
        <f t="shared" si="0"/>
        <v>5.8100000000000023</v>
      </c>
      <c r="Q29" s="5">
        <v>11</v>
      </c>
    </row>
    <row r="30" spans="1:17" x14ac:dyDescent="0.35">
      <c r="A30" s="5" t="s">
        <v>20</v>
      </c>
      <c r="B30" s="5" t="s">
        <v>21</v>
      </c>
      <c r="C30" s="5" t="s">
        <v>575</v>
      </c>
      <c r="D30" s="5" t="s">
        <v>193</v>
      </c>
      <c r="E30" s="7">
        <v>64.2</v>
      </c>
      <c r="F30" s="7">
        <v>19.87</v>
      </c>
      <c r="G30" s="7">
        <v>147</v>
      </c>
      <c r="I30" s="5" t="s">
        <v>604</v>
      </c>
      <c r="K30" s="17">
        <v>43936</v>
      </c>
      <c r="N30" s="5">
        <v>-15.7</v>
      </c>
      <c r="O30" s="35">
        <v>-121.87</v>
      </c>
      <c r="P30" s="35">
        <f t="shared" si="0"/>
        <v>3.7299999999999898</v>
      </c>
      <c r="Q30" s="5">
        <v>4.2</v>
      </c>
    </row>
    <row r="31" spans="1:17" x14ac:dyDescent="0.35">
      <c r="A31" s="5" t="s">
        <v>20</v>
      </c>
      <c r="B31" s="5" t="s">
        <v>21</v>
      </c>
      <c r="C31" s="5" t="s">
        <v>575</v>
      </c>
      <c r="D31" s="5" t="s">
        <v>193</v>
      </c>
      <c r="E31" s="7">
        <v>64.2</v>
      </c>
      <c r="F31" s="7">
        <v>19.87</v>
      </c>
      <c r="G31" s="7">
        <v>147</v>
      </c>
      <c r="I31" s="5" t="s">
        <v>605</v>
      </c>
      <c r="K31" s="17">
        <v>43948</v>
      </c>
      <c r="N31" s="5">
        <v>-8.2200000000000006</v>
      </c>
      <c r="O31" s="35">
        <v>-64.319999999999993</v>
      </c>
      <c r="P31" s="35">
        <f t="shared" si="0"/>
        <v>1.4400000000000119</v>
      </c>
      <c r="Q31" s="5">
        <v>3.2</v>
      </c>
    </row>
    <row r="32" spans="1:17" x14ac:dyDescent="0.35">
      <c r="A32" s="5" t="s">
        <v>20</v>
      </c>
      <c r="B32" s="5" t="s">
        <v>21</v>
      </c>
      <c r="C32" s="5" t="s">
        <v>575</v>
      </c>
      <c r="D32" s="5" t="s">
        <v>193</v>
      </c>
      <c r="E32" s="7">
        <v>64.2</v>
      </c>
      <c r="F32" s="7">
        <v>19.87</v>
      </c>
      <c r="G32" s="7">
        <v>147</v>
      </c>
      <c r="I32" s="5" t="s">
        <v>606</v>
      </c>
      <c r="K32" s="17">
        <v>43955</v>
      </c>
      <c r="N32" s="5">
        <v>-17.28</v>
      </c>
      <c r="O32" s="35">
        <v>-130.87</v>
      </c>
      <c r="P32" s="35">
        <f t="shared" si="0"/>
        <v>7.3700000000000045</v>
      </c>
      <c r="Q32" s="5">
        <v>10.1</v>
      </c>
    </row>
    <row r="33" spans="1:17" x14ac:dyDescent="0.35">
      <c r="A33" s="5" t="s">
        <v>20</v>
      </c>
      <c r="B33" s="5" t="s">
        <v>21</v>
      </c>
      <c r="C33" s="5" t="s">
        <v>575</v>
      </c>
      <c r="D33" s="5" t="s">
        <v>193</v>
      </c>
      <c r="E33" s="7">
        <v>64.2</v>
      </c>
      <c r="F33" s="7">
        <v>19.87</v>
      </c>
      <c r="G33" s="7">
        <v>147</v>
      </c>
      <c r="I33" s="5" t="s">
        <v>607</v>
      </c>
      <c r="K33" s="17">
        <v>43962</v>
      </c>
      <c r="N33" s="5">
        <v>-10.87</v>
      </c>
      <c r="O33" s="35">
        <v>-74.77</v>
      </c>
      <c r="P33" s="35">
        <f t="shared" si="0"/>
        <v>12.189999999999998</v>
      </c>
      <c r="Q33" s="5">
        <v>4.9000000000000004</v>
      </c>
    </row>
    <row r="34" spans="1:17" x14ac:dyDescent="0.35">
      <c r="A34" s="5" t="s">
        <v>20</v>
      </c>
      <c r="B34" s="5" t="s">
        <v>21</v>
      </c>
      <c r="C34" s="5" t="s">
        <v>575</v>
      </c>
      <c r="D34" s="5" t="s">
        <v>193</v>
      </c>
      <c r="E34" s="7">
        <v>64.2</v>
      </c>
      <c r="F34" s="7">
        <v>19.87</v>
      </c>
      <c r="G34" s="7">
        <v>147</v>
      </c>
      <c r="I34" s="5" t="s">
        <v>608</v>
      </c>
      <c r="K34" s="17">
        <v>43971</v>
      </c>
      <c r="N34" s="5">
        <v>-15.99</v>
      </c>
      <c r="O34" s="35">
        <v>-118.2</v>
      </c>
      <c r="P34" s="35">
        <f t="shared" si="0"/>
        <v>9.7199999999999989</v>
      </c>
      <c r="Q34" s="5">
        <v>3.6</v>
      </c>
    </row>
    <row r="35" spans="1:17" x14ac:dyDescent="0.35">
      <c r="A35" s="5" t="s">
        <v>20</v>
      </c>
      <c r="B35" s="5" t="s">
        <v>21</v>
      </c>
      <c r="C35" s="5" t="s">
        <v>575</v>
      </c>
      <c r="D35" s="5" t="s">
        <v>193</v>
      </c>
      <c r="E35" s="7">
        <v>64.2</v>
      </c>
      <c r="F35" s="7">
        <v>19.87</v>
      </c>
      <c r="G35" s="7">
        <v>147</v>
      </c>
      <c r="I35" s="5" t="s">
        <v>609</v>
      </c>
      <c r="K35" s="17">
        <v>43976</v>
      </c>
      <c r="N35" s="5">
        <v>-9.11</v>
      </c>
      <c r="O35" s="35">
        <v>-74.87</v>
      </c>
      <c r="P35" s="35">
        <f t="shared" si="0"/>
        <v>-1.9900000000000091</v>
      </c>
      <c r="Q35" s="5">
        <v>0.3</v>
      </c>
    </row>
    <row r="36" spans="1:17" x14ac:dyDescent="0.35">
      <c r="A36" s="5" t="s">
        <v>20</v>
      </c>
      <c r="B36" s="5" t="s">
        <v>21</v>
      </c>
      <c r="C36" s="5" t="s">
        <v>575</v>
      </c>
      <c r="D36" s="5" t="s">
        <v>193</v>
      </c>
      <c r="E36" s="7">
        <v>64.2</v>
      </c>
      <c r="F36" s="7">
        <v>19.87</v>
      </c>
      <c r="G36" s="7">
        <v>147</v>
      </c>
      <c r="I36" s="5" t="s">
        <v>610</v>
      </c>
      <c r="K36" s="17">
        <v>43978</v>
      </c>
      <c r="N36" s="5">
        <v>-5.9</v>
      </c>
      <c r="O36" s="35">
        <v>-60.49</v>
      </c>
      <c r="P36" s="35">
        <f t="shared" si="0"/>
        <v>-13.29</v>
      </c>
      <c r="Q36" s="5">
        <v>0.2</v>
      </c>
    </row>
    <row r="37" spans="1:17" x14ac:dyDescent="0.35">
      <c r="A37" s="5" t="s">
        <v>20</v>
      </c>
      <c r="B37" s="5" t="s">
        <v>21</v>
      </c>
      <c r="C37" s="5" t="s">
        <v>575</v>
      </c>
      <c r="D37" s="5" t="s">
        <v>193</v>
      </c>
      <c r="E37" s="7">
        <v>64.2</v>
      </c>
      <c r="F37" s="7">
        <v>19.87</v>
      </c>
      <c r="G37" s="7">
        <v>147</v>
      </c>
      <c r="I37" s="5" t="s">
        <v>611</v>
      </c>
      <c r="K37" s="17">
        <v>43990</v>
      </c>
      <c r="N37" s="5">
        <v>-13.35</v>
      </c>
      <c r="O37" s="35">
        <v>-102.79</v>
      </c>
      <c r="P37" s="35">
        <f t="shared" si="0"/>
        <v>4.0099999999999909</v>
      </c>
      <c r="Q37" s="5">
        <v>22.6</v>
      </c>
    </row>
    <row r="38" spans="1:17" x14ac:dyDescent="0.35">
      <c r="A38" s="5" t="s">
        <v>20</v>
      </c>
      <c r="B38" s="5" t="s">
        <v>21</v>
      </c>
      <c r="C38" s="5" t="s">
        <v>575</v>
      </c>
      <c r="D38" s="5" t="s">
        <v>193</v>
      </c>
      <c r="E38" s="7">
        <v>64.2</v>
      </c>
      <c r="F38" s="7">
        <v>19.87</v>
      </c>
      <c r="G38" s="7">
        <v>147</v>
      </c>
      <c r="I38" s="5" t="s">
        <v>612</v>
      </c>
      <c r="K38" s="17">
        <v>44000</v>
      </c>
      <c r="N38" s="5">
        <v>-2.83</v>
      </c>
      <c r="O38" s="35">
        <v>-35.51</v>
      </c>
      <c r="P38" s="35">
        <f t="shared" si="0"/>
        <v>-12.869999999999997</v>
      </c>
      <c r="Q38" s="5">
        <v>1.2</v>
      </c>
    </row>
    <row r="39" spans="1:17" x14ac:dyDescent="0.35">
      <c r="A39" s="5" t="s">
        <v>20</v>
      </c>
      <c r="B39" s="5" t="s">
        <v>21</v>
      </c>
      <c r="C39" s="5" t="s">
        <v>575</v>
      </c>
      <c r="D39" s="5" t="s">
        <v>193</v>
      </c>
      <c r="E39" s="7">
        <v>64.2</v>
      </c>
      <c r="F39" s="7">
        <v>19.87</v>
      </c>
      <c r="G39" s="7">
        <v>147</v>
      </c>
      <c r="I39" s="5" t="s">
        <v>613</v>
      </c>
      <c r="K39" s="17">
        <v>44008</v>
      </c>
      <c r="N39" s="5">
        <v>-2.21</v>
      </c>
      <c r="O39" s="35">
        <v>-38.04</v>
      </c>
      <c r="P39" s="35">
        <f t="shared" si="0"/>
        <v>-20.36</v>
      </c>
      <c r="Q39" s="5">
        <v>0.4</v>
      </c>
    </row>
    <row r="40" spans="1:17" x14ac:dyDescent="0.35">
      <c r="A40" s="5" t="s">
        <v>20</v>
      </c>
      <c r="B40" s="5" t="s">
        <v>21</v>
      </c>
      <c r="C40" s="5" t="s">
        <v>575</v>
      </c>
      <c r="D40" s="5" t="s">
        <v>193</v>
      </c>
      <c r="E40" s="7">
        <v>64.2</v>
      </c>
      <c r="F40" s="7">
        <v>19.87</v>
      </c>
      <c r="G40" s="7">
        <v>147</v>
      </c>
      <c r="I40" s="5" t="s">
        <v>614</v>
      </c>
      <c r="K40" s="17">
        <v>44011</v>
      </c>
      <c r="N40" s="5">
        <v>-2.5299999999999998</v>
      </c>
      <c r="O40" s="35">
        <v>-40.03</v>
      </c>
      <c r="P40" s="35">
        <f t="shared" si="0"/>
        <v>-19.790000000000003</v>
      </c>
      <c r="Q40" s="5">
        <v>0.2</v>
      </c>
    </row>
    <row r="41" spans="1:17" x14ac:dyDescent="0.35">
      <c r="A41" s="5" t="s">
        <v>20</v>
      </c>
      <c r="B41" s="5" t="s">
        <v>21</v>
      </c>
      <c r="C41" s="5" t="s">
        <v>575</v>
      </c>
      <c r="D41" s="5" t="s">
        <v>193</v>
      </c>
      <c r="E41" s="7">
        <v>64.2</v>
      </c>
      <c r="F41" s="7">
        <v>19.87</v>
      </c>
      <c r="G41" s="7">
        <v>147</v>
      </c>
      <c r="I41" s="5" t="s">
        <v>615</v>
      </c>
      <c r="K41" s="17">
        <v>44012</v>
      </c>
      <c r="N41" s="5">
        <v>-6.98</v>
      </c>
      <c r="O41" s="35">
        <v>-43.04</v>
      </c>
      <c r="P41" s="35">
        <f t="shared" si="0"/>
        <v>12.800000000000004</v>
      </c>
      <c r="Q41" s="5">
        <v>6</v>
      </c>
    </row>
    <row r="42" spans="1:17" x14ac:dyDescent="0.35">
      <c r="A42" s="5" t="s">
        <v>20</v>
      </c>
      <c r="B42" s="5" t="s">
        <v>21</v>
      </c>
      <c r="C42" s="5" t="s">
        <v>575</v>
      </c>
      <c r="D42" s="5" t="s">
        <v>193</v>
      </c>
      <c r="E42" s="7">
        <v>64.2</v>
      </c>
      <c r="F42" s="7">
        <v>19.87</v>
      </c>
      <c r="G42" s="7">
        <v>147</v>
      </c>
      <c r="I42" s="5" t="s">
        <v>616</v>
      </c>
      <c r="K42" s="17">
        <v>44013</v>
      </c>
      <c r="N42" s="5">
        <v>-7.53</v>
      </c>
      <c r="O42" s="35">
        <v>-66.06</v>
      </c>
      <c r="P42" s="35">
        <f t="shared" si="0"/>
        <v>-5.82</v>
      </c>
      <c r="Q42" s="5">
        <v>0.5</v>
      </c>
    </row>
    <row r="43" spans="1:17" x14ac:dyDescent="0.35">
      <c r="A43" s="5" t="s">
        <v>20</v>
      </c>
      <c r="B43" s="5" t="s">
        <v>21</v>
      </c>
      <c r="C43" s="5" t="s">
        <v>575</v>
      </c>
      <c r="D43" s="5" t="s">
        <v>193</v>
      </c>
      <c r="E43" s="7">
        <v>64.2</v>
      </c>
      <c r="F43" s="7">
        <v>19.87</v>
      </c>
      <c r="G43" s="7">
        <v>147</v>
      </c>
      <c r="I43" s="5" t="s">
        <v>617</v>
      </c>
      <c r="K43" s="17">
        <v>44015</v>
      </c>
      <c r="N43" s="5">
        <v>-12.46</v>
      </c>
      <c r="O43" s="35">
        <v>-91.71</v>
      </c>
      <c r="P43" s="35">
        <f t="shared" si="0"/>
        <v>7.9700000000000131</v>
      </c>
      <c r="Q43" s="5">
        <v>12</v>
      </c>
    </row>
    <row r="44" spans="1:17" x14ac:dyDescent="0.35">
      <c r="A44" s="5" t="s">
        <v>20</v>
      </c>
      <c r="B44" s="5" t="s">
        <v>21</v>
      </c>
      <c r="C44" s="5" t="s">
        <v>575</v>
      </c>
      <c r="D44" s="5" t="s">
        <v>193</v>
      </c>
      <c r="E44" s="7">
        <v>64.2</v>
      </c>
      <c r="F44" s="7">
        <v>19.87</v>
      </c>
      <c r="G44" s="7">
        <v>147</v>
      </c>
      <c r="I44" s="5" t="s">
        <v>618</v>
      </c>
      <c r="K44" s="17">
        <v>44018</v>
      </c>
      <c r="N44" s="5">
        <v>-13.17</v>
      </c>
      <c r="O44" s="35">
        <v>-100.11</v>
      </c>
      <c r="P44" s="35">
        <f t="shared" si="0"/>
        <v>5.25</v>
      </c>
      <c r="Q44" s="5">
        <v>13</v>
      </c>
    </row>
    <row r="45" spans="1:17" x14ac:dyDescent="0.35">
      <c r="A45" s="5" t="s">
        <v>20</v>
      </c>
      <c r="B45" s="5" t="s">
        <v>21</v>
      </c>
      <c r="C45" s="5" t="s">
        <v>575</v>
      </c>
      <c r="D45" s="5" t="s">
        <v>193</v>
      </c>
      <c r="E45" s="7">
        <v>64.2</v>
      </c>
      <c r="F45" s="7">
        <v>19.87</v>
      </c>
      <c r="G45" s="7">
        <v>147</v>
      </c>
      <c r="I45" s="5" t="s">
        <v>619</v>
      </c>
      <c r="K45" s="17">
        <v>44019</v>
      </c>
      <c r="N45" s="5">
        <v>-13.98</v>
      </c>
      <c r="O45" s="35">
        <v>-102.62</v>
      </c>
      <c r="P45" s="35">
        <f t="shared" si="0"/>
        <v>9.2199999999999989</v>
      </c>
      <c r="Q45" s="5">
        <v>3.5</v>
      </c>
    </row>
    <row r="46" spans="1:17" x14ac:dyDescent="0.35">
      <c r="A46" s="5" t="s">
        <v>20</v>
      </c>
      <c r="B46" s="5" t="s">
        <v>21</v>
      </c>
      <c r="C46" s="5" t="s">
        <v>575</v>
      </c>
      <c r="D46" s="5" t="s">
        <v>193</v>
      </c>
      <c r="E46" s="7">
        <v>64.2</v>
      </c>
      <c r="F46" s="7">
        <v>19.87</v>
      </c>
      <c r="G46" s="7">
        <v>147</v>
      </c>
      <c r="I46" s="5" t="s">
        <v>620</v>
      </c>
      <c r="K46" s="17">
        <v>44020</v>
      </c>
      <c r="N46" s="5">
        <v>-12.15</v>
      </c>
      <c r="O46" s="35">
        <v>-99.64</v>
      </c>
      <c r="P46" s="35">
        <f t="shared" si="0"/>
        <v>-2.4399999999999977</v>
      </c>
      <c r="Q46" s="5">
        <v>1.9</v>
      </c>
    </row>
    <row r="47" spans="1:17" x14ac:dyDescent="0.35">
      <c r="A47" s="5" t="s">
        <v>20</v>
      </c>
      <c r="B47" s="5" t="s">
        <v>21</v>
      </c>
      <c r="C47" s="5" t="s">
        <v>575</v>
      </c>
      <c r="D47" s="5" t="s">
        <v>193</v>
      </c>
      <c r="E47" s="7">
        <v>64.2</v>
      </c>
      <c r="F47" s="7">
        <v>19.87</v>
      </c>
      <c r="G47" s="7">
        <v>147</v>
      </c>
      <c r="I47" s="5" t="s">
        <v>621</v>
      </c>
      <c r="K47" s="17">
        <v>44021</v>
      </c>
      <c r="N47" s="5">
        <v>-12.76</v>
      </c>
      <c r="O47" s="35">
        <v>-91.52</v>
      </c>
      <c r="P47" s="35">
        <f t="shared" si="0"/>
        <v>10.560000000000002</v>
      </c>
      <c r="Q47" s="5">
        <v>13.1</v>
      </c>
    </row>
    <row r="48" spans="1:17" x14ac:dyDescent="0.35">
      <c r="A48" s="5" t="s">
        <v>20</v>
      </c>
      <c r="B48" s="5" t="s">
        <v>21</v>
      </c>
      <c r="C48" s="5" t="s">
        <v>575</v>
      </c>
      <c r="D48" s="5" t="s">
        <v>193</v>
      </c>
      <c r="E48" s="7">
        <v>64.2</v>
      </c>
      <c r="F48" s="7">
        <v>19.87</v>
      </c>
      <c r="G48" s="7">
        <v>147</v>
      </c>
      <c r="I48" s="5" t="s">
        <v>622</v>
      </c>
      <c r="K48" s="17">
        <v>44022</v>
      </c>
      <c r="N48" s="5">
        <v>-12.47</v>
      </c>
      <c r="O48" s="35">
        <v>-95.52</v>
      </c>
      <c r="P48" s="35">
        <f t="shared" si="0"/>
        <v>4.2400000000000091</v>
      </c>
      <c r="Q48" s="5">
        <v>3.9</v>
      </c>
    </row>
    <row r="49" spans="1:17" x14ac:dyDescent="0.35">
      <c r="A49" s="5" t="s">
        <v>20</v>
      </c>
      <c r="B49" s="5" t="s">
        <v>21</v>
      </c>
      <c r="C49" s="5" t="s">
        <v>575</v>
      </c>
      <c r="D49" s="5" t="s">
        <v>193</v>
      </c>
      <c r="E49" s="7">
        <v>64.2</v>
      </c>
      <c r="F49" s="7">
        <v>19.87</v>
      </c>
      <c r="G49" s="7">
        <v>147</v>
      </c>
      <c r="I49" s="5" t="s">
        <v>623</v>
      </c>
      <c r="K49" s="17">
        <v>44025</v>
      </c>
      <c r="N49" s="5">
        <v>-12.73</v>
      </c>
      <c r="O49" s="35">
        <v>-110.73</v>
      </c>
      <c r="P49" s="35">
        <f t="shared" si="0"/>
        <v>-8.89</v>
      </c>
      <c r="Q49" s="5">
        <v>7.9</v>
      </c>
    </row>
    <row r="50" spans="1:17" x14ac:dyDescent="0.35">
      <c r="A50" s="5" t="s">
        <v>20</v>
      </c>
      <c r="B50" s="5" t="s">
        <v>21</v>
      </c>
      <c r="C50" s="5" t="s">
        <v>575</v>
      </c>
      <c r="D50" s="5" t="s">
        <v>193</v>
      </c>
      <c r="E50" s="7">
        <v>64.2</v>
      </c>
      <c r="F50" s="7">
        <v>19.87</v>
      </c>
      <c r="G50" s="7">
        <v>147</v>
      </c>
      <c r="I50" s="5" t="s">
        <v>624</v>
      </c>
      <c r="K50" s="17">
        <v>44026</v>
      </c>
      <c r="N50" s="5">
        <v>-12.63</v>
      </c>
      <c r="O50" s="35">
        <v>-108.57</v>
      </c>
      <c r="P50" s="35">
        <f t="shared" si="0"/>
        <v>-7.5299999999999869</v>
      </c>
      <c r="Q50" s="5">
        <v>0.3</v>
      </c>
    </row>
    <row r="51" spans="1:17" x14ac:dyDescent="0.35">
      <c r="A51" s="5" t="s">
        <v>20</v>
      </c>
      <c r="B51" s="5" t="s">
        <v>21</v>
      </c>
      <c r="C51" s="5" t="s">
        <v>575</v>
      </c>
      <c r="D51" s="5" t="s">
        <v>193</v>
      </c>
      <c r="E51" s="7">
        <v>64.2</v>
      </c>
      <c r="F51" s="7">
        <v>19.87</v>
      </c>
      <c r="G51" s="7">
        <v>147</v>
      </c>
      <c r="I51" s="5" t="s">
        <v>625</v>
      </c>
      <c r="K51" s="17">
        <v>44033</v>
      </c>
      <c r="N51" s="5">
        <v>-9.92</v>
      </c>
      <c r="O51" s="35">
        <v>-72.239999999999995</v>
      </c>
      <c r="P51" s="35">
        <f t="shared" si="0"/>
        <v>7.1200000000000045</v>
      </c>
      <c r="Q51" s="5">
        <v>2.7</v>
      </c>
    </row>
    <row r="52" spans="1:17" x14ac:dyDescent="0.35">
      <c r="A52" s="5" t="s">
        <v>20</v>
      </c>
      <c r="B52" s="5" t="s">
        <v>21</v>
      </c>
      <c r="C52" s="5" t="s">
        <v>575</v>
      </c>
      <c r="D52" s="5" t="s">
        <v>193</v>
      </c>
      <c r="E52" s="7">
        <v>64.2</v>
      </c>
      <c r="F52" s="7">
        <v>19.87</v>
      </c>
      <c r="G52" s="7">
        <v>147</v>
      </c>
      <c r="I52" s="5" t="s">
        <v>626</v>
      </c>
      <c r="K52" s="17">
        <v>44035</v>
      </c>
      <c r="N52" s="5">
        <v>-16.14</v>
      </c>
      <c r="O52" s="35">
        <v>-122.1</v>
      </c>
      <c r="P52" s="35">
        <f t="shared" si="0"/>
        <v>7.0200000000000102</v>
      </c>
      <c r="Q52" s="5">
        <v>17.899999999999999</v>
      </c>
    </row>
    <row r="53" spans="1:17" x14ac:dyDescent="0.35">
      <c r="A53" s="5" t="s">
        <v>20</v>
      </c>
      <c r="B53" s="5" t="s">
        <v>21</v>
      </c>
      <c r="C53" s="5" t="s">
        <v>575</v>
      </c>
      <c r="D53" s="5" t="s">
        <v>193</v>
      </c>
      <c r="E53" s="7">
        <v>64.2</v>
      </c>
      <c r="F53" s="7">
        <v>19.87</v>
      </c>
      <c r="G53" s="7">
        <v>147</v>
      </c>
      <c r="I53" s="5" t="s">
        <v>627</v>
      </c>
      <c r="K53" s="17">
        <v>44036</v>
      </c>
      <c r="N53" s="5">
        <v>-11.28</v>
      </c>
      <c r="O53" s="35">
        <v>-81.83</v>
      </c>
      <c r="P53" s="35">
        <f t="shared" si="0"/>
        <v>8.4099999999999966</v>
      </c>
      <c r="Q53" s="5">
        <v>4.5</v>
      </c>
    </row>
    <row r="54" spans="1:17" x14ac:dyDescent="0.35">
      <c r="A54" s="5" t="s">
        <v>20</v>
      </c>
      <c r="B54" s="5" t="s">
        <v>21</v>
      </c>
      <c r="C54" s="5" t="s">
        <v>575</v>
      </c>
      <c r="D54" s="5" t="s">
        <v>193</v>
      </c>
      <c r="E54" s="7">
        <v>64.2</v>
      </c>
      <c r="F54" s="7">
        <v>19.87</v>
      </c>
      <c r="G54" s="7">
        <v>147</v>
      </c>
      <c r="I54" s="5" t="s">
        <v>628</v>
      </c>
      <c r="K54" s="17">
        <v>44039</v>
      </c>
      <c r="N54" s="5">
        <v>-13.91</v>
      </c>
      <c r="O54" s="35">
        <v>-110.65</v>
      </c>
      <c r="P54" s="35">
        <f t="shared" si="0"/>
        <v>0.62999999999999545</v>
      </c>
      <c r="Q54" s="5">
        <v>9.6</v>
      </c>
    </row>
    <row r="55" spans="1:17" x14ac:dyDescent="0.35">
      <c r="A55" s="5" t="s">
        <v>20</v>
      </c>
      <c r="B55" s="5" t="s">
        <v>21</v>
      </c>
      <c r="C55" s="5" t="s">
        <v>575</v>
      </c>
      <c r="D55" s="5" t="s">
        <v>193</v>
      </c>
      <c r="E55" s="7">
        <v>64.2</v>
      </c>
      <c r="F55" s="7">
        <v>19.87</v>
      </c>
      <c r="G55" s="7">
        <v>147</v>
      </c>
      <c r="I55" s="5" t="s">
        <v>629</v>
      </c>
      <c r="K55" s="17">
        <v>44040</v>
      </c>
      <c r="N55" s="5">
        <v>-7.55</v>
      </c>
      <c r="O55" s="35">
        <v>-51.55</v>
      </c>
      <c r="P55" s="35">
        <f t="shared" si="0"/>
        <v>8.8500000000000014</v>
      </c>
      <c r="Q55" s="5">
        <v>3.2</v>
      </c>
    </row>
    <row r="56" spans="1:17" x14ac:dyDescent="0.35">
      <c r="A56" s="5" t="s">
        <v>20</v>
      </c>
      <c r="B56" s="5" t="s">
        <v>21</v>
      </c>
      <c r="C56" s="5" t="s">
        <v>575</v>
      </c>
      <c r="D56" s="5" t="s">
        <v>193</v>
      </c>
      <c r="E56" s="7">
        <v>64.2</v>
      </c>
      <c r="F56" s="7">
        <v>19.87</v>
      </c>
      <c r="G56" s="7">
        <v>147</v>
      </c>
      <c r="I56" s="5" t="s">
        <v>630</v>
      </c>
      <c r="K56" s="17">
        <v>44041</v>
      </c>
      <c r="N56" s="5">
        <v>-7.62</v>
      </c>
      <c r="O56" s="35">
        <v>-56.86</v>
      </c>
      <c r="P56" s="35">
        <f t="shared" si="0"/>
        <v>4.1000000000000014</v>
      </c>
      <c r="Q56" s="5">
        <v>0.3</v>
      </c>
    </row>
    <row r="57" spans="1:17" x14ac:dyDescent="0.35">
      <c r="A57" s="5" t="s">
        <v>20</v>
      </c>
      <c r="B57" s="5" t="s">
        <v>21</v>
      </c>
      <c r="C57" s="5" t="s">
        <v>575</v>
      </c>
      <c r="D57" s="5" t="s">
        <v>193</v>
      </c>
      <c r="E57" s="7">
        <v>64.2</v>
      </c>
      <c r="F57" s="7">
        <v>19.87</v>
      </c>
      <c r="G57" s="7">
        <v>147</v>
      </c>
      <c r="I57" s="5" t="s">
        <v>631</v>
      </c>
      <c r="K57" s="17">
        <v>44042</v>
      </c>
      <c r="N57" s="5">
        <v>-10.89</v>
      </c>
      <c r="O57" s="35">
        <v>-75.92</v>
      </c>
      <c r="P57" s="35">
        <f t="shared" si="0"/>
        <v>11.200000000000003</v>
      </c>
      <c r="Q57" s="5">
        <v>10.3</v>
      </c>
    </row>
    <row r="58" spans="1:17" x14ac:dyDescent="0.35">
      <c r="A58" s="5" t="s">
        <v>20</v>
      </c>
      <c r="B58" s="5" t="s">
        <v>21</v>
      </c>
      <c r="C58" s="5" t="s">
        <v>575</v>
      </c>
      <c r="D58" s="5" t="s">
        <v>193</v>
      </c>
      <c r="E58" s="7">
        <v>64.2</v>
      </c>
      <c r="F58" s="7">
        <v>19.87</v>
      </c>
      <c r="G58" s="7">
        <v>147</v>
      </c>
      <c r="I58" s="5" t="s">
        <v>632</v>
      </c>
      <c r="K58" s="17">
        <v>44043</v>
      </c>
      <c r="N58" s="5">
        <v>-9.0500000000000007</v>
      </c>
      <c r="O58" s="35">
        <v>-66.62</v>
      </c>
      <c r="P58" s="35">
        <f t="shared" si="0"/>
        <v>5.7800000000000011</v>
      </c>
      <c r="Q58" s="5">
        <v>0.6</v>
      </c>
    </row>
    <row r="59" spans="1:17" x14ac:dyDescent="0.35">
      <c r="A59" s="5" t="s">
        <v>20</v>
      </c>
      <c r="B59" s="5" t="s">
        <v>21</v>
      </c>
      <c r="C59" s="5" t="s">
        <v>575</v>
      </c>
      <c r="D59" s="5" t="s">
        <v>193</v>
      </c>
      <c r="E59" s="7">
        <v>64.2</v>
      </c>
      <c r="F59" s="7">
        <v>19.87</v>
      </c>
      <c r="G59" s="7">
        <v>147</v>
      </c>
      <c r="I59" s="5" t="s">
        <v>633</v>
      </c>
      <c r="K59" s="17">
        <v>44047</v>
      </c>
      <c r="N59" s="5">
        <v>-7.86</v>
      </c>
      <c r="O59" s="35">
        <v>-66.31</v>
      </c>
      <c r="P59" s="35">
        <f t="shared" si="0"/>
        <v>-3.4299999999999997</v>
      </c>
      <c r="Q59" s="5">
        <v>0.3</v>
      </c>
    </row>
    <row r="60" spans="1:17" x14ac:dyDescent="0.35">
      <c r="A60" s="5" t="s">
        <v>20</v>
      </c>
      <c r="B60" s="5" t="s">
        <v>21</v>
      </c>
      <c r="C60" s="5" t="s">
        <v>575</v>
      </c>
      <c r="D60" s="5" t="s">
        <v>193</v>
      </c>
      <c r="E60" s="7">
        <v>64.2</v>
      </c>
      <c r="F60" s="7">
        <v>19.87</v>
      </c>
      <c r="G60" s="7">
        <v>147</v>
      </c>
      <c r="I60" s="5" t="s">
        <v>634</v>
      </c>
      <c r="K60" s="17">
        <v>44055</v>
      </c>
      <c r="N60" s="5">
        <v>-10.41</v>
      </c>
      <c r="O60" s="35">
        <v>-72.709999999999994</v>
      </c>
      <c r="P60" s="35">
        <f t="shared" si="0"/>
        <v>10.570000000000007</v>
      </c>
      <c r="Q60" s="5">
        <v>5.5</v>
      </c>
    </row>
    <row r="61" spans="1:17" x14ac:dyDescent="0.35">
      <c r="A61" s="5" t="s">
        <v>20</v>
      </c>
      <c r="B61" s="5" t="s">
        <v>21</v>
      </c>
      <c r="C61" s="5" t="s">
        <v>575</v>
      </c>
      <c r="D61" s="5" t="s">
        <v>193</v>
      </c>
      <c r="E61" s="7">
        <v>64.2</v>
      </c>
      <c r="F61" s="7">
        <v>19.87</v>
      </c>
      <c r="G61" s="7">
        <v>147</v>
      </c>
      <c r="I61" s="5" t="s">
        <v>635</v>
      </c>
      <c r="K61" s="17">
        <v>44067</v>
      </c>
      <c r="N61" s="5">
        <v>-10.9</v>
      </c>
      <c r="O61" s="35">
        <v>-78.94</v>
      </c>
      <c r="P61" s="35">
        <f t="shared" si="0"/>
        <v>8.2600000000000051</v>
      </c>
      <c r="Q61" s="5">
        <v>14</v>
      </c>
    </row>
    <row r="62" spans="1:17" x14ac:dyDescent="0.35">
      <c r="A62" s="5" t="s">
        <v>20</v>
      </c>
      <c r="B62" s="5" t="s">
        <v>21</v>
      </c>
      <c r="C62" s="5" t="s">
        <v>575</v>
      </c>
      <c r="D62" s="5" t="s">
        <v>193</v>
      </c>
      <c r="E62" s="7">
        <v>64.2</v>
      </c>
      <c r="F62" s="7">
        <v>19.87</v>
      </c>
      <c r="G62" s="7">
        <v>147</v>
      </c>
      <c r="I62" s="5" t="s">
        <v>636</v>
      </c>
      <c r="K62" s="17">
        <v>44069</v>
      </c>
      <c r="N62" s="5">
        <v>-11.63</v>
      </c>
      <c r="O62" s="35">
        <v>-92.19</v>
      </c>
      <c r="P62" s="35">
        <f t="shared" si="0"/>
        <v>0.85000000000000853</v>
      </c>
      <c r="Q62" s="5">
        <v>1.9</v>
      </c>
    </row>
    <row r="63" spans="1:17" x14ac:dyDescent="0.35">
      <c r="A63" s="5" t="s">
        <v>20</v>
      </c>
      <c r="B63" s="5" t="s">
        <v>21</v>
      </c>
      <c r="C63" s="5" t="s">
        <v>575</v>
      </c>
      <c r="D63" s="5" t="s">
        <v>193</v>
      </c>
      <c r="E63" s="7">
        <v>64.2</v>
      </c>
      <c r="F63" s="7">
        <v>19.87</v>
      </c>
      <c r="G63" s="7">
        <v>147</v>
      </c>
      <c r="I63" s="5" t="s">
        <v>637</v>
      </c>
      <c r="K63" s="17">
        <v>44070</v>
      </c>
      <c r="N63" s="5">
        <v>-12.25</v>
      </c>
      <c r="O63" s="35">
        <v>-92.96</v>
      </c>
      <c r="P63" s="35">
        <f t="shared" si="0"/>
        <v>5.0400000000000063</v>
      </c>
      <c r="Q63" s="5">
        <v>0.9</v>
      </c>
    </row>
    <row r="64" spans="1:17" x14ac:dyDescent="0.35">
      <c r="A64" s="5" t="s">
        <v>20</v>
      </c>
      <c r="B64" s="5" t="s">
        <v>21</v>
      </c>
      <c r="C64" s="5" t="s">
        <v>575</v>
      </c>
      <c r="D64" s="5" t="s">
        <v>193</v>
      </c>
      <c r="E64" s="7">
        <v>64.2</v>
      </c>
      <c r="F64" s="7">
        <v>19.87</v>
      </c>
      <c r="G64" s="7">
        <v>147</v>
      </c>
      <c r="I64" s="5" t="s">
        <v>638</v>
      </c>
      <c r="K64" s="17">
        <v>44074</v>
      </c>
      <c r="N64" s="5">
        <v>-10.52</v>
      </c>
      <c r="O64" s="35">
        <v>-75.37</v>
      </c>
      <c r="P64" s="35">
        <f t="shared" si="0"/>
        <v>8.789999999999992</v>
      </c>
      <c r="Q64" s="5">
        <v>1.3</v>
      </c>
    </row>
    <row r="65" spans="1:17" x14ac:dyDescent="0.35">
      <c r="A65" s="5" t="s">
        <v>20</v>
      </c>
      <c r="B65" s="5" t="s">
        <v>21</v>
      </c>
      <c r="C65" s="5" t="s">
        <v>575</v>
      </c>
      <c r="D65" s="5" t="s">
        <v>193</v>
      </c>
      <c r="E65" s="7">
        <v>64.2</v>
      </c>
      <c r="F65" s="7">
        <v>19.87</v>
      </c>
      <c r="G65" s="7">
        <v>147</v>
      </c>
      <c r="I65" s="5" t="s">
        <v>639</v>
      </c>
      <c r="K65" s="17">
        <v>44078</v>
      </c>
      <c r="N65" s="5">
        <v>-9.52</v>
      </c>
      <c r="O65" s="35">
        <v>-64.95</v>
      </c>
      <c r="P65" s="35">
        <f t="shared" si="0"/>
        <v>11.209999999999994</v>
      </c>
      <c r="Q65" s="5">
        <v>6.5</v>
      </c>
    </row>
    <row r="66" spans="1:17" x14ac:dyDescent="0.35">
      <c r="A66" s="5" t="s">
        <v>20</v>
      </c>
      <c r="B66" s="5" t="s">
        <v>21</v>
      </c>
      <c r="C66" s="5" t="s">
        <v>575</v>
      </c>
      <c r="D66" s="5" t="s">
        <v>193</v>
      </c>
      <c r="E66" s="7">
        <v>64.2</v>
      </c>
      <c r="F66" s="7">
        <v>19.87</v>
      </c>
      <c r="G66" s="7">
        <v>147</v>
      </c>
      <c r="I66" s="5" t="s">
        <v>640</v>
      </c>
      <c r="K66" s="17">
        <v>44081</v>
      </c>
      <c r="N66" s="5">
        <v>-9.31</v>
      </c>
      <c r="O66" s="35">
        <v>-67.03</v>
      </c>
      <c r="P66" s="35">
        <f t="shared" si="0"/>
        <v>7.4500000000000028</v>
      </c>
      <c r="Q66" s="5">
        <v>7.5</v>
      </c>
    </row>
    <row r="67" spans="1:17" x14ac:dyDescent="0.35">
      <c r="A67" s="5" t="s">
        <v>20</v>
      </c>
      <c r="B67" s="5" t="s">
        <v>21</v>
      </c>
      <c r="C67" s="5" t="s">
        <v>575</v>
      </c>
      <c r="D67" s="5" t="s">
        <v>193</v>
      </c>
      <c r="E67" s="7">
        <v>64.2</v>
      </c>
      <c r="F67" s="7">
        <v>19.87</v>
      </c>
      <c r="G67" s="7">
        <v>147</v>
      </c>
      <c r="I67" s="5" t="s">
        <v>641</v>
      </c>
      <c r="K67" s="17">
        <v>44083</v>
      </c>
      <c r="N67" s="5">
        <v>-10.74</v>
      </c>
      <c r="O67" s="35">
        <v>-83.43</v>
      </c>
      <c r="P67" s="35">
        <f t="shared" si="0"/>
        <v>2.4899999999999949</v>
      </c>
      <c r="Q67" s="5">
        <v>1.4</v>
      </c>
    </row>
    <row r="68" spans="1:17" x14ac:dyDescent="0.35">
      <c r="A68" s="5" t="s">
        <v>20</v>
      </c>
      <c r="B68" s="5" t="s">
        <v>21</v>
      </c>
      <c r="C68" s="5" t="s">
        <v>575</v>
      </c>
      <c r="D68" s="5" t="s">
        <v>193</v>
      </c>
      <c r="E68" s="7">
        <v>64.2</v>
      </c>
      <c r="F68" s="7">
        <v>19.87</v>
      </c>
      <c r="G68" s="7">
        <v>147</v>
      </c>
      <c r="I68" s="5" t="s">
        <v>642</v>
      </c>
      <c r="K68" s="17">
        <v>44084</v>
      </c>
      <c r="N68" s="5">
        <v>-10.18</v>
      </c>
      <c r="O68" s="35">
        <v>-88.59</v>
      </c>
      <c r="P68" s="35">
        <f t="shared" si="0"/>
        <v>-7.1500000000000057</v>
      </c>
      <c r="Q68" s="5">
        <v>1</v>
      </c>
    </row>
    <row r="69" spans="1:17" x14ac:dyDescent="0.35">
      <c r="A69" s="5" t="s">
        <v>20</v>
      </c>
      <c r="B69" s="5" t="s">
        <v>21</v>
      </c>
      <c r="C69" s="5" t="s">
        <v>575</v>
      </c>
      <c r="D69" s="5" t="s">
        <v>193</v>
      </c>
      <c r="E69" s="7">
        <v>64.2</v>
      </c>
      <c r="F69" s="7">
        <v>19.87</v>
      </c>
      <c r="G69" s="7">
        <v>147</v>
      </c>
      <c r="I69" s="5" t="s">
        <v>643</v>
      </c>
      <c r="K69" s="17">
        <v>44088</v>
      </c>
      <c r="N69" s="5">
        <v>-8.98</v>
      </c>
      <c r="O69" s="35">
        <v>-68.010000000000005</v>
      </c>
      <c r="P69" s="35">
        <f t="shared" si="0"/>
        <v>3.8299999999999983</v>
      </c>
      <c r="Q69" s="5">
        <v>2.2999999999999998</v>
      </c>
    </row>
    <row r="70" spans="1:17" x14ac:dyDescent="0.35">
      <c r="A70" s="5" t="s">
        <v>20</v>
      </c>
      <c r="B70" s="5" t="s">
        <v>21</v>
      </c>
      <c r="C70" s="5" t="s">
        <v>575</v>
      </c>
      <c r="D70" s="5" t="s">
        <v>193</v>
      </c>
      <c r="E70" s="7">
        <v>64.2</v>
      </c>
      <c r="F70" s="7">
        <v>19.87</v>
      </c>
      <c r="G70" s="7">
        <v>147</v>
      </c>
      <c r="I70" s="5" t="s">
        <v>644</v>
      </c>
      <c r="K70" s="17">
        <v>44091</v>
      </c>
      <c r="N70" s="5">
        <v>-15.74</v>
      </c>
      <c r="O70" s="35">
        <v>-115.97</v>
      </c>
      <c r="P70" s="35">
        <f t="shared" si="0"/>
        <v>9.9500000000000028</v>
      </c>
      <c r="Q70" s="5">
        <v>35.1</v>
      </c>
    </row>
    <row r="71" spans="1:17" x14ac:dyDescent="0.35">
      <c r="A71" s="5" t="s">
        <v>20</v>
      </c>
      <c r="B71" s="5" t="s">
        <v>21</v>
      </c>
      <c r="C71" s="5" t="s">
        <v>575</v>
      </c>
      <c r="D71" s="5" t="s">
        <v>193</v>
      </c>
      <c r="E71" s="7">
        <v>64.2</v>
      </c>
      <c r="F71" s="7">
        <v>19.87</v>
      </c>
      <c r="G71" s="7">
        <v>147</v>
      </c>
      <c r="I71" s="5" t="s">
        <v>645</v>
      </c>
      <c r="K71" s="17">
        <v>44095</v>
      </c>
      <c r="N71" s="5">
        <v>-10.89</v>
      </c>
      <c r="O71" s="35">
        <v>-90.76</v>
      </c>
      <c r="P71" s="35">
        <f t="shared" si="0"/>
        <v>-3.6400000000000006</v>
      </c>
      <c r="Q71" s="5">
        <v>3.6</v>
      </c>
    </row>
    <row r="72" spans="1:17" x14ac:dyDescent="0.35">
      <c r="A72" s="5" t="s">
        <v>20</v>
      </c>
      <c r="B72" s="5" t="s">
        <v>21</v>
      </c>
      <c r="C72" s="5" t="s">
        <v>575</v>
      </c>
      <c r="D72" s="5" t="s">
        <v>193</v>
      </c>
      <c r="E72" s="7">
        <v>64.2</v>
      </c>
      <c r="F72" s="7">
        <v>19.87</v>
      </c>
      <c r="G72" s="7">
        <v>147</v>
      </c>
      <c r="I72" s="5" t="s">
        <v>646</v>
      </c>
      <c r="K72" s="17">
        <v>44098</v>
      </c>
      <c r="N72" s="5">
        <v>-8.23</v>
      </c>
      <c r="O72" s="35">
        <v>-59.02</v>
      </c>
      <c r="P72" s="35">
        <f t="shared" si="0"/>
        <v>6.82</v>
      </c>
      <c r="Q72" s="5">
        <v>6.2</v>
      </c>
    </row>
    <row r="75" spans="1:17" x14ac:dyDescent="0.35">
      <c r="M75" s="5" t="s">
        <v>705</v>
      </c>
      <c r="N75" s="5">
        <f>AVERAGE(N2:N72)</f>
        <v>-12.567464788732392</v>
      </c>
      <c r="O75" s="35">
        <f t="shared" ref="O75:P75" si="1">AVERAGE(O2:O72)</f>
        <v>-96.298169014084507</v>
      </c>
      <c r="P75" s="35">
        <f t="shared" si="1"/>
        <v>4.2415492957746483</v>
      </c>
    </row>
    <row r="76" spans="1:17" x14ac:dyDescent="0.35">
      <c r="M76" s="5" t="s">
        <v>706</v>
      </c>
      <c r="N76" s="5">
        <f>MIN(N2:N72)</f>
        <v>-23.36</v>
      </c>
      <c r="O76" s="35">
        <f t="shared" ref="O76:P76" si="2">MIN(O2:O72)</f>
        <v>-181.85</v>
      </c>
      <c r="P76" s="35">
        <f t="shared" si="2"/>
        <v>-20.36</v>
      </c>
    </row>
    <row r="77" spans="1:17" x14ac:dyDescent="0.35">
      <c r="M77" s="5" t="s">
        <v>707</v>
      </c>
      <c r="N77" s="5">
        <f>MAX(N2:N72)</f>
        <v>-2.21</v>
      </c>
      <c r="O77" s="35">
        <f t="shared" ref="O77:P77" si="3">MAX(O2:O72)</f>
        <v>-35.51</v>
      </c>
      <c r="P77" s="35">
        <f t="shared" si="3"/>
        <v>21.900000000000006</v>
      </c>
    </row>
    <row r="78" spans="1:17" x14ac:dyDescent="0.35">
      <c r="M78" s="5" t="s">
        <v>708</v>
      </c>
      <c r="N78" s="5">
        <f>_xlfn.STDEV.P(N2:N72)</f>
        <v>4.2861278753967662</v>
      </c>
      <c r="O78" s="35">
        <f t="shared" ref="O78:P78" si="4">_xlfn.STDEV.P(O2:O72)</f>
        <v>32.141928577853392</v>
      </c>
      <c r="P78" s="35">
        <f t="shared" si="4"/>
        <v>7.7296212118418746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991A-8DBD-4740-AF99-248011476C91}">
  <dimension ref="A1:T32"/>
  <sheetViews>
    <sheetView zoomScale="85" zoomScaleNormal="85" workbookViewId="0"/>
  </sheetViews>
  <sheetFormatPr defaultRowHeight="14.5" x14ac:dyDescent="0.35"/>
  <cols>
    <col min="1" max="1" width="7.7265625" style="5" customWidth="1"/>
    <col min="2" max="2" width="6.81640625" style="5" bestFit="1" customWidth="1"/>
    <col min="3" max="3" width="35.453125" style="5" bestFit="1" customWidth="1"/>
    <col min="4" max="4" width="7.5429687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22.1796875" style="5" bestFit="1" customWidth="1"/>
    <col min="10" max="10" width="10.54296875" style="5" bestFit="1" customWidth="1"/>
    <col min="11" max="11" width="17.54296875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5" t="s">
        <v>327</v>
      </c>
      <c r="B2" s="5" t="s">
        <v>21</v>
      </c>
      <c r="C2" s="5" t="s">
        <v>328</v>
      </c>
      <c r="D2" s="5" t="s">
        <v>329</v>
      </c>
      <c r="E2" s="7">
        <v>78.916667000000004</v>
      </c>
      <c r="F2" s="7">
        <v>11.933332999999999</v>
      </c>
      <c r="G2" s="7">
        <v>5</v>
      </c>
      <c r="I2" s="5" t="s">
        <v>330</v>
      </c>
      <c r="K2" s="16">
        <v>43977</v>
      </c>
      <c r="L2" s="16"/>
      <c r="M2" s="16"/>
      <c r="N2" s="7">
        <v>-6.7428432217960594</v>
      </c>
      <c r="O2" s="35">
        <v>-60.881963700815795</v>
      </c>
      <c r="P2" s="35">
        <f t="shared" ref="P2:P26" si="0">O2-(8*N2)</f>
        <v>-6.9392179264473199</v>
      </c>
      <c r="Q2" s="7"/>
      <c r="R2" s="7"/>
      <c r="S2" s="7"/>
      <c r="T2" s="7"/>
    </row>
    <row r="3" spans="1:20" x14ac:dyDescent="0.35">
      <c r="A3" s="5" t="s">
        <v>327</v>
      </c>
      <c r="B3" s="5" t="s">
        <v>21</v>
      </c>
      <c r="C3" s="5" t="s">
        <v>328</v>
      </c>
      <c r="D3" s="5" t="s">
        <v>329</v>
      </c>
      <c r="E3" s="7">
        <v>78.916667000000004</v>
      </c>
      <c r="F3" s="7">
        <v>11.933332999999999</v>
      </c>
      <c r="G3" s="7">
        <v>5</v>
      </c>
      <c r="I3" s="5" t="s">
        <v>331</v>
      </c>
      <c r="K3" s="16">
        <v>43978</v>
      </c>
      <c r="L3" s="16"/>
      <c r="M3" s="16"/>
      <c r="N3" s="7">
        <v>-2.7779882202530533</v>
      </c>
      <c r="O3" s="35">
        <v>-27.245081063417004</v>
      </c>
      <c r="P3" s="35">
        <f t="shared" si="0"/>
        <v>-5.0211753013925779</v>
      </c>
      <c r="Q3" s="7"/>
      <c r="R3" s="7"/>
      <c r="S3" s="7"/>
      <c r="T3" s="7"/>
    </row>
    <row r="4" spans="1:20" x14ac:dyDescent="0.35">
      <c r="A4" s="5" t="s">
        <v>327</v>
      </c>
      <c r="B4" s="5" t="s">
        <v>21</v>
      </c>
      <c r="C4" s="5" t="s">
        <v>328</v>
      </c>
      <c r="D4" s="5" t="s">
        <v>329</v>
      </c>
      <c r="E4" s="7">
        <v>78.916667000000004</v>
      </c>
      <c r="F4" s="7">
        <v>11.933332999999999</v>
      </c>
      <c r="G4" s="7">
        <v>5</v>
      </c>
      <c r="I4" s="5" t="s">
        <v>332</v>
      </c>
      <c r="K4" s="16">
        <v>43979</v>
      </c>
      <c r="L4" s="16"/>
      <c r="M4" s="16"/>
      <c r="N4" s="7">
        <v>-8.2065466649032324</v>
      </c>
      <c r="O4" s="35">
        <v>-60.635272406192492</v>
      </c>
      <c r="P4" s="35">
        <f t="shared" si="0"/>
        <v>5.0171009130333672</v>
      </c>
      <c r="Q4" s="7"/>
      <c r="R4" s="7"/>
      <c r="S4" s="7"/>
      <c r="T4" s="7"/>
    </row>
    <row r="5" spans="1:20" x14ac:dyDescent="0.35">
      <c r="A5" s="5" t="s">
        <v>327</v>
      </c>
      <c r="B5" s="5" t="s">
        <v>21</v>
      </c>
      <c r="C5" s="5" t="s">
        <v>328</v>
      </c>
      <c r="D5" s="5" t="s">
        <v>329</v>
      </c>
      <c r="E5" s="7">
        <v>78.916667000000004</v>
      </c>
      <c r="F5" s="7">
        <v>11.933332999999999</v>
      </c>
      <c r="G5" s="7">
        <v>5</v>
      </c>
      <c r="I5" s="5" t="s">
        <v>333</v>
      </c>
      <c r="K5" s="16">
        <v>43984</v>
      </c>
      <c r="L5" s="16"/>
      <c r="M5" s="16"/>
      <c r="N5" s="7">
        <v>-10.081924295728079</v>
      </c>
      <c r="O5" s="35">
        <v>-75.301326079123285</v>
      </c>
      <c r="P5" s="35">
        <f t="shared" si="0"/>
        <v>5.3540682867013487</v>
      </c>
      <c r="Q5" s="7"/>
      <c r="R5" s="7"/>
      <c r="S5" s="7"/>
      <c r="T5" s="7"/>
    </row>
    <row r="6" spans="1:20" x14ac:dyDescent="0.35">
      <c r="A6" s="5" t="s">
        <v>327</v>
      </c>
      <c r="B6" s="5" t="s">
        <v>21</v>
      </c>
      <c r="C6" s="5" t="s">
        <v>328</v>
      </c>
      <c r="D6" s="5" t="s">
        <v>329</v>
      </c>
      <c r="E6" s="7">
        <v>78.916667000000004</v>
      </c>
      <c r="F6" s="7">
        <v>11.933332999999999</v>
      </c>
      <c r="G6" s="7">
        <v>5</v>
      </c>
      <c r="I6" s="5" t="s">
        <v>334</v>
      </c>
      <c r="K6" s="16">
        <v>43989</v>
      </c>
      <c r="L6" s="16"/>
      <c r="M6" s="16"/>
      <c r="N6" s="7">
        <v>-14.816906511484373</v>
      </c>
      <c r="O6" s="35">
        <v>-114.0469877823261</v>
      </c>
      <c r="P6" s="35">
        <f t="shared" si="0"/>
        <v>4.4882643095488817</v>
      </c>
      <c r="Q6" s="7"/>
      <c r="R6" s="7"/>
      <c r="S6" s="7"/>
      <c r="T6" s="7"/>
    </row>
    <row r="7" spans="1:20" x14ac:dyDescent="0.35">
      <c r="A7" s="5" t="s">
        <v>327</v>
      </c>
      <c r="B7" s="5" t="s">
        <v>21</v>
      </c>
      <c r="C7" s="5" t="s">
        <v>328</v>
      </c>
      <c r="D7" s="5" t="s">
        <v>329</v>
      </c>
      <c r="E7" s="7">
        <v>78.916667000000004</v>
      </c>
      <c r="F7" s="7">
        <v>11.933332999999999</v>
      </c>
      <c r="G7" s="7">
        <v>5</v>
      </c>
      <c r="I7" s="5" t="s">
        <v>335</v>
      </c>
      <c r="K7" s="16">
        <v>43993</v>
      </c>
      <c r="L7" s="16"/>
      <c r="M7" s="16"/>
      <c r="N7" s="7">
        <v>-11.459599012476305</v>
      </c>
      <c r="O7" s="35">
        <v>-83.228876495558652</v>
      </c>
      <c r="P7" s="35">
        <f t="shared" si="0"/>
        <v>8.44791560425179</v>
      </c>
      <c r="Q7" s="7"/>
      <c r="R7" s="7"/>
      <c r="S7" s="7"/>
      <c r="T7" s="7"/>
    </row>
    <row r="8" spans="1:20" x14ac:dyDescent="0.35">
      <c r="A8" s="5" t="s">
        <v>327</v>
      </c>
      <c r="B8" s="5" t="s">
        <v>21</v>
      </c>
      <c r="C8" s="5" t="s">
        <v>328</v>
      </c>
      <c r="D8" s="5" t="s">
        <v>329</v>
      </c>
      <c r="E8" s="7">
        <v>78.916667000000004</v>
      </c>
      <c r="F8" s="7">
        <v>11.933332999999999</v>
      </c>
      <c r="G8" s="7">
        <v>5</v>
      </c>
      <c r="I8" s="5" t="s">
        <v>336</v>
      </c>
      <c r="K8" s="16">
        <v>44007</v>
      </c>
      <c r="L8" s="16"/>
      <c r="M8" s="16"/>
      <c r="N8" s="7">
        <v>-7.2653340739761063</v>
      </c>
      <c r="O8" s="35">
        <v>-56.502766208625644</v>
      </c>
      <c r="P8" s="35">
        <f t="shared" si="0"/>
        <v>1.6199063831832063</v>
      </c>
      <c r="Q8" s="7"/>
      <c r="R8" s="7"/>
      <c r="S8" s="7"/>
      <c r="T8" s="7"/>
    </row>
    <row r="9" spans="1:20" x14ac:dyDescent="0.35">
      <c r="A9" s="5" t="s">
        <v>327</v>
      </c>
      <c r="B9" s="5" t="s">
        <v>21</v>
      </c>
      <c r="C9" s="5" t="s">
        <v>328</v>
      </c>
      <c r="D9" s="5" t="s">
        <v>329</v>
      </c>
      <c r="E9" s="7">
        <v>78.916667000000004</v>
      </c>
      <c r="F9" s="7">
        <v>11.933332999999999</v>
      </c>
      <c r="G9" s="7">
        <v>5</v>
      </c>
      <c r="I9" s="5" t="s">
        <v>337</v>
      </c>
      <c r="K9" s="16">
        <v>44015</v>
      </c>
      <c r="L9" s="16"/>
      <c r="M9" s="16"/>
      <c r="N9" s="7">
        <v>-12.095822757130891</v>
      </c>
      <c r="O9" s="35">
        <v>-100.4011282763785</v>
      </c>
      <c r="P9" s="35">
        <f t="shared" si="0"/>
        <v>-3.6345462193313693</v>
      </c>
      <c r="Q9" s="7"/>
      <c r="R9" s="7"/>
      <c r="S9" s="7"/>
      <c r="T9" s="7"/>
    </row>
    <row r="10" spans="1:20" x14ac:dyDescent="0.35">
      <c r="A10" s="5" t="s">
        <v>327</v>
      </c>
      <c r="B10" s="5" t="s">
        <v>21</v>
      </c>
      <c r="C10" s="5" t="s">
        <v>328</v>
      </c>
      <c r="D10" s="5" t="s">
        <v>329</v>
      </c>
      <c r="E10" s="7">
        <v>78.916667000000004</v>
      </c>
      <c r="F10" s="7">
        <v>11.933332999999999</v>
      </c>
      <c r="G10" s="7">
        <v>5</v>
      </c>
      <c r="I10" s="5" t="s">
        <v>338</v>
      </c>
      <c r="K10" s="16">
        <v>44016</v>
      </c>
      <c r="L10" s="16"/>
      <c r="M10" s="16"/>
      <c r="N10" s="7">
        <v>-9.2741291363576259</v>
      </c>
      <c r="O10" s="35">
        <v>-74.944587530419753</v>
      </c>
      <c r="P10" s="35">
        <f t="shared" si="0"/>
        <v>-0.75155443955874546</v>
      </c>
      <c r="Q10" s="7"/>
      <c r="R10" s="7"/>
      <c r="S10" s="7"/>
      <c r="T10" s="7"/>
    </row>
    <row r="11" spans="1:20" x14ac:dyDescent="0.35">
      <c r="A11" s="5" t="s">
        <v>327</v>
      </c>
      <c r="B11" s="5" t="s">
        <v>21</v>
      </c>
      <c r="C11" s="5" t="s">
        <v>328</v>
      </c>
      <c r="D11" s="5" t="s">
        <v>329</v>
      </c>
      <c r="E11" s="7">
        <v>78.916667000000004</v>
      </c>
      <c r="F11" s="7">
        <v>11.933332999999999</v>
      </c>
      <c r="G11" s="7">
        <v>5</v>
      </c>
      <c r="I11" s="5" t="s">
        <v>339</v>
      </c>
      <c r="K11" s="16">
        <v>44020</v>
      </c>
      <c r="L11" s="16"/>
      <c r="M11" s="16"/>
      <c r="N11" s="7">
        <v>-7.6096919984129086</v>
      </c>
      <c r="O11" s="35">
        <v>-59.228814817459906</v>
      </c>
      <c r="P11" s="35">
        <f t="shared" si="0"/>
        <v>1.6487211698433626</v>
      </c>
      <c r="Q11" s="7"/>
      <c r="R11" s="7"/>
      <c r="S11" s="7"/>
      <c r="T11" s="7"/>
    </row>
    <row r="12" spans="1:20" x14ac:dyDescent="0.35">
      <c r="A12" s="5" t="s">
        <v>327</v>
      </c>
      <c r="B12" s="5" t="s">
        <v>21</v>
      </c>
      <c r="C12" s="5" t="s">
        <v>328</v>
      </c>
      <c r="D12" s="5" t="s">
        <v>329</v>
      </c>
      <c r="E12" s="7">
        <v>78.916667000000004</v>
      </c>
      <c r="F12" s="7">
        <v>11.933332999999999</v>
      </c>
      <c r="G12" s="7">
        <v>5</v>
      </c>
      <c r="I12" s="5" t="s">
        <v>340</v>
      </c>
      <c r="K12" s="16">
        <v>44023</v>
      </c>
      <c r="L12" s="16"/>
      <c r="M12" s="16"/>
      <c r="N12" s="7">
        <v>-11.337360454966277</v>
      </c>
      <c r="O12" s="35">
        <v>-88.209551773353567</v>
      </c>
      <c r="P12" s="35">
        <f t="shared" si="0"/>
        <v>2.4893318663766451</v>
      </c>
      <c r="Q12" s="7"/>
      <c r="R12" s="7"/>
      <c r="S12" s="7"/>
      <c r="T12" s="7"/>
    </row>
    <row r="13" spans="1:20" x14ac:dyDescent="0.35">
      <c r="A13" s="5" t="s">
        <v>327</v>
      </c>
      <c r="B13" s="5" t="s">
        <v>21</v>
      </c>
      <c r="C13" s="5" t="s">
        <v>328</v>
      </c>
      <c r="D13" s="5" t="s">
        <v>329</v>
      </c>
      <c r="E13" s="7">
        <v>78.916667000000004</v>
      </c>
      <c r="F13" s="7">
        <v>11.933332999999999</v>
      </c>
      <c r="G13" s="7">
        <v>5</v>
      </c>
      <c r="I13" s="5" t="s">
        <v>341</v>
      </c>
      <c r="K13" s="16">
        <v>44028</v>
      </c>
      <c r="L13" s="16"/>
      <c r="M13" s="16"/>
      <c r="N13" s="7">
        <v>-9.3698786227571311</v>
      </c>
      <c r="O13" s="35">
        <v>-79.077093727986622</v>
      </c>
      <c r="P13" s="35">
        <f t="shared" si="0"/>
        <v>-4.1180647459295727</v>
      </c>
      <c r="Q13" s="7"/>
      <c r="R13" s="7"/>
      <c r="S13" s="7"/>
      <c r="T13" s="7"/>
    </row>
    <row r="14" spans="1:20" x14ac:dyDescent="0.35">
      <c r="A14" s="5" t="s">
        <v>327</v>
      </c>
      <c r="B14" s="5" t="s">
        <v>21</v>
      </c>
      <c r="C14" s="5" t="s">
        <v>328</v>
      </c>
      <c r="D14" s="5" t="s">
        <v>329</v>
      </c>
      <c r="E14" s="7">
        <v>78.916667000000004</v>
      </c>
      <c r="F14" s="7">
        <v>11.933332999999999</v>
      </c>
      <c r="G14" s="7">
        <v>5</v>
      </c>
      <c r="I14" s="5" t="s">
        <v>342</v>
      </c>
      <c r="K14" s="16">
        <v>44034</v>
      </c>
      <c r="L14" s="16"/>
      <c r="M14" s="16"/>
      <c r="N14" s="7">
        <v>-10.859828117973814</v>
      </c>
      <c r="O14" s="35">
        <v>-90.670852553635612</v>
      </c>
      <c r="P14" s="35">
        <f t="shared" si="0"/>
        <v>-3.7922276098450993</v>
      </c>
      <c r="Q14" s="7"/>
      <c r="R14" s="7"/>
      <c r="S14" s="7"/>
      <c r="T14" s="7"/>
    </row>
    <row r="15" spans="1:20" x14ac:dyDescent="0.35">
      <c r="A15" s="5" t="s">
        <v>327</v>
      </c>
      <c r="B15" s="5" t="s">
        <v>21</v>
      </c>
      <c r="C15" s="5" t="s">
        <v>328</v>
      </c>
      <c r="D15" s="5" t="s">
        <v>329</v>
      </c>
      <c r="E15" s="7">
        <v>78.916667000000004</v>
      </c>
      <c r="F15" s="7">
        <v>11.933332999999999</v>
      </c>
      <c r="G15" s="7">
        <v>5</v>
      </c>
      <c r="I15" s="5" t="s">
        <v>343</v>
      </c>
      <c r="K15" s="16">
        <v>44051</v>
      </c>
      <c r="L15" s="16"/>
      <c r="M15" s="16"/>
      <c r="N15" s="7">
        <v>-10.600040805889876</v>
      </c>
      <c r="O15" s="35">
        <v>-91.162039077944911</v>
      </c>
      <c r="P15" s="35">
        <f t="shared" si="0"/>
        <v>-6.361712630825906</v>
      </c>
      <c r="Q15" s="7"/>
      <c r="R15" s="7"/>
      <c r="S15" s="7"/>
      <c r="T15" s="7"/>
    </row>
    <row r="16" spans="1:20" x14ac:dyDescent="0.35">
      <c r="A16" s="5" t="s">
        <v>327</v>
      </c>
      <c r="B16" s="5" t="s">
        <v>21</v>
      </c>
      <c r="C16" s="5" t="s">
        <v>328</v>
      </c>
      <c r="D16" s="5" t="s">
        <v>329</v>
      </c>
      <c r="E16" s="7">
        <v>78.916667000000004</v>
      </c>
      <c r="F16" s="7">
        <v>11.933332999999999</v>
      </c>
      <c r="G16" s="7">
        <v>5</v>
      </c>
      <c r="I16" s="5" t="s">
        <v>344</v>
      </c>
      <c r="K16" s="16">
        <v>44053</v>
      </c>
      <c r="L16" s="16"/>
      <c r="M16" s="16"/>
      <c r="N16" s="7">
        <v>-11.010256879601465</v>
      </c>
      <c r="O16" s="35">
        <v>-84.454036723356424</v>
      </c>
      <c r="P16" s="35">
        <f t="shared" si="0"/>
        <v>3.6280183134552999</v>
      </c>
      <c r="Q16" s="7"/>
      <c r="R16" s="7"/>
      <c r="S16" s="7"/>
      <c r="T16" s="7"/>
    </row>
    <row r="17" spans="1:20" x14ac:dyDescent="0.35">
      <c r="A17" s="5" t="s">
        <v>327</v>
      </c>
      <c r="B17" s="5" t="s">
        <v>21</v>
      </c>
      <c r="C17" s="5" t="s">
        <v>328</v>
      </c>
      <c r="D17" s="5" t="s">
        <v>329</v>
      </c>
      <c r="E17" s="7">
        <v>78.916667000000004</v>
      </c>
      <c r="F17" s="7">
        <v>11.933332999999999</v>
      </c>
      <c r="G17" s="7">
        <v>5</v>
      </c>
      <c r="I17" s="5" t="s">
        <v>345</v>
      </c>
      <c r="K17" s="16">
        <v>44057</v>
      </c>
      <c r="L17" s="16"/>
      <c r="M17" s="16"/>
      <c r="N17" s="7">
        <v>-7.2511509325808028</v>
      </c>
      <c r="O17" s="35">
        <v>-57.346216408733071</v>
      </c>
      <c r="P17" s="35">
        <f t="shared" si="0"/>
        <v>0.66299105191335173</v>
      </c>
      <c r="Q17" s="7"/>
      <c r="R17" s="7"/>
      <c r="S17" s="7"/>
      <c r="T17" s="7"/>
    </row>
    <row r="18" spans="1:20" x14ac:dyDescent="0.35">
      <c r="A18" s="5" t="s">
        <v>327</v>
      </c>
      <c r="B18" s="5" t="s">
        <v>21</v>
      </c>
      <c r="C18" s="5" t="s">
        <v>328</v>
      </c>
      <c r="D18" s="5" t="s">
        <v>329</v>
      </c>
      <c r="E18" s="7">
        <v>78.916667000000004</v>
      </c>
      <c r="F18" s="7">
        <v>11.933332999999999</v>
      </c>
      <c r="G18" s="7">
        <v>5</v>
      </c>
      <c r="I18" s="5" t="s">
        <v>346</v>
      </c>
      <c r="K18" s="16">
        <v>44063</v>
      </c>
      <c r="L18" s="16"/>
      <c r="M18" s="16"/>
      <c r="N18" s="7">
        <v>-11.04097150668019</v>
      </c>
      <c r="O18" s="35">
        <v>-93.329713602785162</v>
      </c>
      <c r="P18" s="35">
        <f t="shared" si="0"/>
        <v>-5.0019415493436412</v>
      </c>
      <c r="Q18" s="7"/>
      <c r="R18" s="7"/>
      <c r="S18" s="7"/>
      <c r="T18" s="7"/>
    </row>
    <row r="19" spans="1:20" x14ac:dyDescent="0.35">
      <c r="A19" s="5" t="s">
        <v>327</v>
      </c>
      <c r="B19" s="5" t="s">
        <v>21</v>
      </c>
      <c r="C19" s="5" t="s">
        <v>328</v>
      </c>
      <c r="D19" s="5" t="s">
        <v>329</v>
      </c>
      <c r="E19" s="7">
        <v>78.916667000000004</v>
      </c>
      <c r="F19" s="7">
        <v>11.933332999999999</v>
      </c>
      <c r="G19" s="7">
        <v>5</v>
      </c>
      <c r="I19" s="5" t="s">
        <v>347</v>
      </c>
      <c r="K19" s="16">
        <v>44070</v>
      </c>
      <c r="L19" s="16"/>
      <c r="M19" s="16"/>
      <c r="N19" s="7">
        <v>-13.91955315490101</v>
      </c>
      <c r="O19" s="35">
        <v>-106.63607667425889</v>
      </c>
      <c r="P19" s="35">
        <f t="shared" si="0"/>
        <v>4.720348564949191</v>
      </c>
      <c r="Q19" s="7"/>
      <c r="R19" s="7"/>
      <c r="S19" s="7"/>
      <c r="T19" s="7"/>
    </row>
    <row r="20" spans="1:20" x14ac:dyDescent="0.35">
      <c r="A20" s="5" t="s">
        <v>327</v>
      </c>
      <c r="B20" s="5" t="s">
        <v>21</v>
      </c>
      <c r="C20" s="5" t="s">
        <v>328</v>
      </c>
      <c r="D20" s="5" t="s">
        <v>329</v>
      </c>
      <c r="E20" s="7">
        <v>78.916667000000004</v>
      </c>
      <c r="F20" s="7">
        <v>11.933332999999999</v>
      </c>
      <c r="G20" s="7">
        <v>5</v>
      </c>
      <c r="I20" s="5" t="s">
        <v>348</v>
      </c>
      <c r="K20" s="16">
        <v>44071</v>
      </c>
      <c r="L20" s="16"/>
      <c r="M20" s="16"/>
      <c r="N20" s="7">
        <v>-19.159723867895408</v>
      </c>
      <c r="O20" s="35">
        <v>-148.93258374542083</v>
      </c>
      <c r="P20" s="35">
        <f t="shared" si="0"/>
        <v>4.3452071977424396</v>
      </c>
      <c r="Q20" s="7"/>
      <c r="R20" s="7"/>
      <c r="S20" s="7"/>
      <c r="T20" s="7"/>
    </row>
    <row r="21" spans="1:20" x14ac:dyDescent="0.35">
      <c r="A21" s="5" t="s">
        <v>327</v>
      </c>
      <c r="B21" s="5" t="s">
        <v>21</v>
      </c>
      <c r="C21" s="5" t="s">
        <v>328</v>
      </c>
      <c r="D21" s="5" t="s">
        <v>329</v>
      </c>
      <c r="E21" s="7">
        <v>78.916667000000004</v>
      </c>
      <c r="F21" s="7">
        <v>11.933332999999999</v>
      </c>
      <c r="G21" s="7">
        <v>5</v>
      </c>
      <c r="I21" s="5" t="s">
        <v>349</v>
      </c>
      <c r="K21" s="16">
        <v>44072</v>
      </c>
      <c r="L21" s="16"/>
      <c r="M21" s="16"/>
      <c r="N21" s="7">
        <v>-2.1009131090436104</v>
      </c>
      <c r="O21" s="35">
        <v>-2.7725272583983496</v>
      </c>
      <c r="P21" s="35">
        <f t="shared" si="0"/>
        <v>14.034777613950533</v>
      </c>
      <c r="Q21" s="7"/>
      <c r="R21" s="7"/>
      <c r="S21" s="7"/>
      <c r="T21" s="7"/>
    </row>
    <row r="22" spans="1:20" x14ac:dyDescent="0.35">
      <c r="A22" s="5" t="s">
        <v>327</v>
      </c>
      <c r="B22" s="5" t="s">
        <v>21</v>
      </c>
      <c r="C22" s="5" t="s">
        <v>328</v>
      </c>
      <c r="D22" s="5" t="s">
        <v>329</v>
      </c>
      <c r="E22" s="7">
        <v>78.916667000000004</v>
      </c>
      <c r="F22" s="7">
        <v>11.933332999999999</v>
      </c>
      <c r="G22" s="7">
        <v>5</v>
      </c>
      <c r="I22" s="5" t="s">
        <v>350</v>
      </c>
      <c r="K22" s="16">
        <v>44074</v>
      </c>
      <c r="L22" s="16"/>
      <c r="M22" s="16"/>
      <c r="N22" s="7">
        <v>-14.1023356761762</v>
      </c>
      <c r="O22" s="35">
        <v>-108.65171885960734</v>
      </c>
      <c r="P22" s="35">
        <f t="shared" si="0"/>
        <v>4.1669665498022539</v>
      </c>
      <c r="Q22" s="7"/>
      <c r="R22" s="7"/>
      <c r="S22" s="7"/>
      <c r="T22" s="7"/>
    </row>
    <row r="23" spans="1:20" x14ac:dyDescent="0.35">
      <c r="A23" s="5" t="s">
        <v>327</v>
      </c>
      <c r="B23" s="5" t="s">
        <v>21</v>
      </c>
      <c r="C23" s="5" t="s">
        <v>328</v>
      </c>
      <c r="D23" s="5" t="s">
        <v>329</v>
      </c>
      <c r="E23" s="7">
        <v>78.916667000000004</v>
      </c>
      <c r="F23" s="7">
        <v>11.933332999999999</v>
      </c>
      <c r="G23" s="7">
        <v>5</v>
      </c>
      <c r="I23" s="5" t="s">
        <v>351</v>
      </c>
      <c r="K23" s="16">
        <v>44075</v>
      </c>
      <c r="L23" s="16"/>
      <c r="M23" s="16"/>
      <c r="N23" s="7">
        <v>-2.1009131090436104</v>
      </c>
      <c r="O23" s="35">
        <v>-2.7725272583983496</v>
      </c>
      <c r="P23" s="35">
        <f t="shared" si="0"/>
        <v>14.034777613950533</v>
      </c>
      <c r="Q23" s="7"/>
      <c r="R23" s="7"/>
      <c r="S23" s="7"/>
      <c r="T23" s="7"/>
    </row>
    <row r="24" spans="1:20" x14ac:dyDescent="0.35">
      <c r="A24" s="5" t="s">
        <v>327</v>
      </c>
      <c r="B24" s="5" t="s">
        <v>21</v>
      </c>
      <c r="C24" s="5" t="s">
        <v>328</v>
      </c>
      <c r="D24" s="5" t="s">
        <v>329</v>
      </c>
      <c r="E24" s="7">
        <v>78.916667000000004</v>
      </c>
      <c r="F24" s="7">
        <v>11.933332999999999</v>
      </c>
      <c r="G24" s="7">
        <v>5</v>
      </c>
      <c r="I24" s="5" t="s">
        <v>352</v>
      </c>
      <c r="K24" s="16">
        <v>44077</v>
      </c>
      <c r="L24" s="16"/>
      <c r="M24" s="16"/>
      <c r="N24" s="7">
        <v>-13.093142819348296</v>
      </c>
      <c r="O24" s="35">
        <v>-99.83850221704526</v>
      </c>
      <c r="P24" s="35">
        <f t="shared" si="0"/>
        <v>4.9066403377411092</v>
      </c>
      <c r="Q24" s="7"/>
      <c r="R24" s="7"/>
      <c r="S24" s="7"/>
      <c r="T24" s="7"/>
    </row>
    <row r="25" spans="1:20" x14ac:dyDescent="0.35">
      <c r="A25" s="5" t="s">
        <v>327</v>
      </c>
      <c r="B25" s="5" t="s">
        <v>21</v>
      </c>
      <c r="C25" s="5" t="s">
        <v>328</v>
      </c>
      <c r="D25" s="5" t="s">
        <v>329</v>
      </c>
      <c r="E25" s="7">
        <v>78.916667000000004</v>
      </c>
      <c r="F25" s="7">
        <v>11.933332999999999</v>
      </c>
      <c r="G25" s="7">
        <v>5</v>
      </c>
      <c r="I25" s="5" t="s">
        <v>353</v>
      </c>
      <c r="K25" s="16">
        <v>44080</v>
      </c>
      <c r="L25" s="16"/>
      <c r="M25" s="16"/>
      <c r="N25" s="7">
        <v>-11.263130049825831</v>
      </c>
      <c r="O25" s="35">
        <v>-87.609166313036397</v>
      </c>
      <c r="P25" s="35">
        <f t="shared" si="0"/>
        <v>2.4958740855702501</v>
      </c>
      <c r="Q25" s="7"/>
      <c r="R25" s="7"/>
      <c r="S25" s="7"/>
      <c r="T25" s="7"/>
    </row>
    <row r="26" spans="1:20" x14ac:dyDescent="0.35">
      <c r="A26" s="5" t="s">
        <v>327</v>
      </c>
      <c r="B26" s="5" t="s">
        <v>21</v>
      </c>
      <c r="C26" s="5" t="s">
        <v>328</v>
      </c>
      <c r="D26" s="5" t="s">
        <v>329</v>
      </c>
      <c r="E26" s="7">
        <v>78.916667000000004</v>
      </c>
      <c r="F26" s="7">
        <v>11.933332999999999</v>
      </c>
      <c r="G26" s="7">
        <v>5</v>
      </c>
      <c r="I26" s="5" t="s">
        <v>354</v>
      </c>
      <c r="K26" s="16">
        <v>44081</v>
      </c>
      <c r="L26" s="16"/>
      <c r="M26" s="16"/>
      <c r="N26" s="7">
        <v>-8.2729830063053935</v>
      </c>
      <c r="O26" s="35">
        <v>-58.948330937307837</v>
      </c>
      <c r="P26" s="35">
        <f t="shared" si="0"/>
        <v>7.2355331131353111</v>
      </c>
      <c r="Q26" s="7"/>
      <c r="R26" s="7"/>
      <c r="S26" s="7"/>
      <c r="T26" s="7"/>
    </row>
    <row r="29" spans="1:20" x14ac:dyDescent="0.35">
      <c r="M29" s="5" t="s">
        <v>705</v>
      </c>
      <c r="N29" s="7">
        <f>AVERAGE(N2:N26)</f>
        <v>-9.8325187202203015</v>
      </c>
      <c r="O29" s="35">
        <f>AVERAGE(O2:O26)</f>
        <v>-76.513109659663456</v>
      </c>
      <c r="P29" s="35">
        <f>AVERAGE(P2:P26)</f>
        <v>2.1470401020989858</v>
      </c>
    </row>
    <row r="30" spans="1:20" x14ac:dyDescent="0.35">
      <c r="M30" s="5" t="s">
        <v>706</v>
      </c>
      <c r="N30" s="7">
        <f>MIN(N2:N26)</f>
        <v>-19.159723867895408</v>
      </c>
      <c r="O30" s="35">
        <f>MIN(O2:O26)</f>
        <v>-148.93258374542083</v>
      </c>
      <c r="P30" s="35">
        <f>MIN(P2:P26)</f>
        <v>-6.9392179264473199</v>
      </c>
    </row>
    <row r="31" spans="1:20" x14ac:dyDescent="0.35">
      <c r="M31" s="5" t="s">
        <v>707</v>
      </c>
      <c r="N31" s="7">
        <f>MAX(N2:N26)</f>
        <v>-2.1009131090436104</v>
      </c>
      <c r="O31" s="35">
        <f>MAX(O2:O26)</f>
        <v>-2.7725272583983496</v>
      </c>
      <c r="P31" s="35">
        <f>MAX(P2:P26)</f>
        <v>14.034777613950533</v>
      </c>
    </row>
    <row r="32" spans="1:20" x14ac:dyDescent="0.35">
      <c r="M32" s="5" t="s">
        <v>708</v>
      </c>
      <c r="N32" s="5">
        <f>_xlfn.STDEV.P(N2:N26)</f>
        <v>3.8817909432422759</v>
      </c>
      <c r="O32" s="35">
        <f>_xlfn.STDEV.P(O2:O26)</f>
        <v>32.223572561727011</v>
      </c>
      <c r="P32" s="35">
        <f>_xlfn.STDEV.P(P2:P26)</f>
        <v>5.565426625946273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2367-764C-48F9-AE5B-D3DDB231A592}">
  <dimension ref="A1:T87"/>
  <sheetViews>
    <sheetView zoomScale="85" zoomScaleNormal="85" workbookViewId="0"/>
  </sheetViews>
  <sheetFormatPr defaultRowHeight="14.5" x14ac:dyDescent="0.35"/>
  <cols>
    <col min="1" max="1" width="7.7265625" style="5" customWidth="1"/>
    <col min="2" max="2" width="6.81640625" style="5" bestFit="1" customWidth="1"/>
    <col min="3" max="3" width="38.26953125" style="5" bestFit="1" customWidth="1"/>
    <col min="4" max="4" width="10.3632812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34.90625" style="5" bestFit="1" customWidth="1"/>
    <col min="10" max="10" width="10.7265625" style="5" bestFit="1" customWidth="1"/>
    <col min="11" max="11" width="17.54296875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327</v>
      </c>
      <c r="B2" s="6" t="s">
        <v>21</v>
      </c>
      <c r="C2" s="6" t="s">
        <v>355</v>
      </c>
      <c r="D2" s="6" t="s">
        <v>356</v>
      </c>
      <c r="E2" s="7">
        <v>64.183333000000005</v>
      </c>
      <c r="F2" s="7">
        <v>-51.683332999999998</v>
      </c>
      <c r="G2" s="7">
        <v>50</v>
      </c>
      <c r="I2" s="5" t="s">
        <v>357</v>
      </c>
      <c r="J2" s="6" t="s">
        <v>41</v>
      </c>
      <c r="K2" s="8">
        <v>43749</v>
      </c>
      <c r="L2" s="8"/>
      <c r="M2" s="8"/>
      <c r="N2" s="7">
        <v>-10.846631090037372</v>
      </c>
      <c r="O2" s="35">
        <v>-75.154882157803243</v>
      </c>
      <c r="P2" s="35">
        <f t="shared" ref="P2:P81" si="0">O2-(8*N2)</f>
        <v>11.61816656249573</v>
      </c>
      <c r="Q2" s="7">
        <v>1.52</v>
      </c>
      <c r="R2" s="7">
        <v>4</v>
      </c>
      <c r="S2" s="7"/>
      <c r="T2" s="7"/>
    </row>
    <row r="3" spans="1:20" ht="14.25" customHeight="1" x14ac:dyDescent="0.35">
      <c r="A3" s="5" t="s">
        <v>327</v>
      </c>
      <c r="B3" s="6" t="s">
        <v>21</v>
      </c>
      <c r="C3" s="6" t="s">
        <v>355</v>
      </c>
      <c r="D3" s="6" t="s">
        <v>356</v>
      </c>
      <c r="E3" s="7">
        <v>64.183333000000005</v>
      </c>
      <c r="F3" s="7">
        <v>-51.683332999999998</v>
      </c>
      <c r="G3" s="7">
        <v>50</v>
      </c>
      <c r="I3" s="5" t="s">
        <v>358</v>
      </c>
      <c r="J3" s="6" t="s">
        <v>41</v>
      </c>
      <c r="K3" s="8">
        <v>43756</v>
      </c>
      <c r="L3" s="8"/>
      <c r="M3" s="8"/>
      <c r="N3" s="7">
        <v>-11.587761862793489</v>
      </c>
      <c r="O3" s="35">
        <v>-83.006957748586686</v>
      </c>
      <c r="P3" s="35">
        <f t="shared" si="0"/>
        <v>9.6951371537612232</v>
      </c>
      <c r="Q3" s="7">
        <v>6.35</v>
      </c>
      <c r="R3" s="7">
        <v>4.5</v>
      </c>
      <c r="S3" s="7"/>
      <c r="T3" s="7"/>
    </row>
    <row r="4" spans="1:20" ht="14.25" customHeight="1" x14ac:dyDescent="0.35">
      <c r="A4" s="5" t="s">
        <v>327</v>
      </c>
      <c r="B4" s="6" t="s">
        <v>21</v>
      </c>
      <c r="C4" s="6" t="s">
        <v>355</v>
      </c>
      <c r="D4" s="6" t="s">
        <v>356</v>
      </c>
      <c r="E4" s="7">
        <v>64.183333000000005</v>
      </c>
      <c r="F4" s="7">
        <v>-51.683332999999998</v>
      </c>
      <c r="G4" s="7">
        <v>50</v>
      </c>
      <c r="I4" s="5" t="s">
        <v>359</v>
      </c>
      <c r="J4" s="6" t="s">
        <v>41</v>
      </c>
      <c r="K4" s="8">
        <v>43769</v>
      </c>
      <c r="L4" s="8"/>
      <c r="M4" s="8"/>
      <c r="N4" s="7">
        <v>-17.321019318902916</v>
      </c>
      <c r="O4" s="35">
        <v>-138.97974337479923</v>
      </c>
      <c r="P4" s="35">
        <f t="shared" si="0"/>
        <v>-0.41158882357589732</v>
      </c>
      <c r="Q4" s="7">
        <v>2.54</v>
      </c>
      <c r="R4" s="7">
        <v>3</v>
      </c>
      <c r="S4" s="7"/>
      <c r="T4" s="7"/>
    </row>
    <row r="5" spans="1:20" ht="14.25" customHeight="1" x14ac:dyDescent="0.35">
      <c r="A5" s="5" t="s">
        <v>327</v>
      </c>
      <c r="B5" s="6" t="s">
        <v>21</v>
      </c>
      <c r="C5" s="6" t="s">
        <v>355</v>
      </c>
      <c r="D5" s="6" t="s">
        <v>356</v>
      </c>
      <c r="E5" s="7">
        <v>64.183333000000005</v>
      </c>
      <c r="F5" s="7">
        <v>-51.683332999999998</v>
      </c>
      <c r="G5" s="7">
        <v>50</v>
      </c>
      <c r="I5" s="5" t="s">
        <v>360</v>
      </c>
      <c r="J5" s="6" t="s">
        <v>41</v>
      </c>
      <c r="K5" s="8">
        <v>43770</v>
      </c>
      <c r="L5" s="8"/>
      <c r="M5" s="8"/>
      <c r="N5" s="7">
        <v>-13.070913275965863</v>
      </c>
      <c r="O5" s="35">
        <v>-103.87131510565627</v>
      </c>
      <c r="P5" s="35">
        <f t="shared" si="0"/>
        <v>0.69599110207063575</v>
      </c>
      <c r="Q5" s="7">
        <v>0.25</v>
      </c>
      <c r="R5" s="7">
        <v>2</v>
      </c>
      <c r="S5" s="7"/>
      <c r="T5" s="7"/>
    </row>
    <row r="6" spans="1:20" ht="14.25" customHeight="1" x14ac:dyDescent="0.35">
      <c r="A6" s="5" t="s">
        <v>327</v>
      </c>
      <c r="B6" s="6" t="s">
        <v>21</v>
      </c>
      <c r="C6" s="6" t="s">
        <v>355</v>
      </c>
      <c r="D6" s="6" t="s">
        <v>356</v>
      </c>
      <c r="E6" s="7">
        <v>64.183333000000005</v>
      </c>
      <c r="F6" s="7">
        <v>-51.683332999999998</v>
      </c>
      <c r="G6" s="7">
        <v>50</v>
      </c>
      <c r="I6" s="5" t="s">
        <v>361</v>
      </c>
      <c r="J6" s="6" t="s">
        <v>362</v>
      </c>
      <c r="K6" s="8">
        <v>43781</v>
      </c>
      <c r="L6" s="8"/>
      <c r="M6" s="8"/>
      <c r="N6" s="7">
        <v>-12.017719734893891</v>
      </c>
      <c r="O6" s="35">
        <v>-90.716219419752022</v>
      </c>
      <c r="P6" s="35">
        <f t="shared" si="0"/>
        <v>5.4255384593991067</v>
      </c>
      <c r="Q6" s="7">
        <v>15.24</v>
      </c>
      <c r="R6" s="7">
        <v>0</v>
      </c>
      <c r="S6" s="7"/>
      <c r="T6" s="7"/>
    </row>
    <row r="7" spans="1:20" ht="14.25" customHeight="1" x14ac:dyDescent="0.35">
      <c r="A7" s="5" t="s">
        <v>327</v>
      </c>
      <c r="B7" s="6" t="s">
        <v>21</v>
      </c>
      <c r="C7" s="6" t="s">
        <v>355</v>
      </c>
      <c r="D7" s="6" t="s">
        <v>356</v>
      </c>
      <c r="E7" s="7">
        <v>64.183333000000005</v>
      </c>
      <c r="F7" s="7">
        <v>-51.683332999999998</v>
      </c>
      <c r="G7" s="7">
        <v>50</v>
      </c>
      <c r="I7" s="5" t="s">
        <v>363</v>
      </c>
      <c r="J7" s="6"/>
      <c r="K7" s="8">
        <v>43781</v>
      </c>
      <c r="L7" s="8"/>
      <c r="M7" s="8"/>
      <c r="N7" s="7">
        <v>-15.77511429175774</v>
      </c>
      <c r="O7" s="35">
        <v>-117.39356615115338</v>
      </c>
      <c r="P7" s="35">
        <f t="shared" si="0"/>
        <v>8.8073481829085409</v>
      </c>
      <c r="Q7" s="7">
        <v>13.72</v>
      </c>
      <c r="R7" s="7">
        <v>-0.5</v>
      </c>
      <c r="S7" s="7"/>
      <c r="T7" s="7"/>
    </row>
    <row r="8" spans="1:20" ht="13.5" customHeight="1" x14ac:dyDescent="0.35">
      <c r="A8" s="5" t="s">
        <v>327</v>
      </c>
      <c r="B8" s="6" t="s">
        <v>21</v>
      </c>
      <c r="C8" s="6" t="s">
        <v>355</v>
      </c>
      <c r="D8" s="6" t="s">
        <v>356</v>
      </c>
      <c r="E8" s="7">
        <v>64.183333000000005</v>
      </c>
      <c r="F8" s="7">
        <v>-51.683332999999998</v>
      </c>
      <c r="G8" s="7">
        <v>50</v>
      </c>
      <c r="I8" s="5" t="s">
        <v>364</v>
      </c>
      <c r="J8" s="6"/>
      <c r="K8" s="8">
        <v>43782</v>
      </c>
      <c r="L8" s="8"/>
      <c r="M8" s="8"/>
      <c r="N8" s="7">
        <v>-6.3852716103786262</v>
      </c>
      <c r="O8" s="35">
        <v>-56.4105552079278</v>
      </c>
      <c r="P8" s="35">
        <f t="shared" si="0"/>
        <v>-5.32838232489879</v>
      </c>
      <c r="Q8" s="7">
        <v>1.27</v>
      </c>
      <c r="R8" s="7">
        <v>0</v>
      </c>
      <c r="S8" s="7"/>
      <c r="T8" s="7"/>
    </row>
    <row r="9" spans="1:20" ht="14.25" customHeight="1" x14ac:dyDescent="0.35">
      <c r="A9" s="5" t="s">
        <v>327</v>
      </c>
      <c r="B9" s="6" t="s">
        <v>21</v>
      </c>
      <c r="C9" s="6" t="s">
        <v>355</v>
      </c>
      <c r="D9" s="6" t="s">
        <v>356</v>
      </c>
      <c r="E9" s="7">
        <v>64.183333000000005</v>
      </c>
      <c r="F9" s="7">
        <v>-51.683332999999998</v>
      </c>
      <c r="G9" s="7">
        <v>50</v>
      </c>
      <c r="I9" s="5" t="s">
        <v>365</v>
      </c>
      <c r="J9" s="6"/>
      <c r="K9" s="8">
        <v>43784</v>
      </c>
      <c r="L9" s="8"/>
      <c r="M9" s="8"/>
      <c r="N9" s="7">
        <v>-10.958857382077138</v>
      </c>
      <c r="O9" s="35">
        <v>-73.349166434412751</v>
      </c>
      <c r="P9" s="35">
        <f t="shared" si="0"/>
        <v>14.321692622204353</v>
      </c>
      <c r="Q9" s="7">
        <v>8.89</v>
      </c>
      <c r="R9" s="7">
        <v>-1</v>
      </c>
      <c r="S9" s="7"/>
      <c r="T9" s="7"/>
    </row>
    <row r="10" spans="1:20" ht="14.25" customHeight="1" x14ac:dyDescent="0.35">
      <c r="A10" s="5" t="s">
        <v>327</v>
      </c>
      <c r="B10" s="6" t="s">
        <v>21</v>
      </c>
      <c r="C10" s="6" t="s">
        <v>355</v>
      </c>
      <c r="D10" s="6" t="s">
        <v>356</v>
      </c>
      <c r="E10" s="7">
        <v>64.183333000000005</v>
      </c>
      <c r="F10" s="7">
        <v>-51.683332999999998</v>
      </c>
      <c r="G10" s="7">
        <v>50</v>
      </c>
      <c r="I10" s="5" t="s">
        <v>366</v>
      </c>
      <c r="J10" s="6"/>
      <c r="K10" s="8">
        <v>43787</v>
      </c>
      <c r="L10" s="8"/>
      <c r="M10" s="8"/>
      <c r="N10" s="7">
        <v>-2.9038937816494919</v>
      </c>
      <c r="O10" s="35">
        <v>-24.710025767158591</v>
      </c>
      <c r="P10" s="35">
        <f t="shared" si="0"/>
        <v>-1.4788755139626559</v>
      </c>
      <c r="Q10" s="7">
        <v>0.25</v>
      </c>
      <c r="R10" s="7">
        <v>-0.5</v>
      </c>
      <c r="S10" s="7"/>
      <c r="T10" s="7"/>
    </row>
    <row r="11" spans="1:20" ht="14.25" customHeight="1" x14ac:dyDescent="0.35">
      <c r="A11" s="5" t="s">
        <v>327</v>
      </c>
      <c r="B11" s="6" t="s">
        <v>21</v>
      </c>
      <c r="C11" s="6" t="s">
        <v>355</v>
      </c>
      <c r="D11" s="6" t="s">
        <v>356</v>
      </c>
      <c r="E11" s="7">
        <v>64.183333000000005</v>
      </c>
      <c r="F11" s="7">
        <v>-51.683332999999998</v>
      </c>
      <c r="G11" s="7">
        <v>50</v>
      </c>
      <c r="I11" s="5" t="s">
        <v>367</v>
      </c>
      <c r="J11" s="6"/>
      <c r="K11" s="8">
        <v>43789</v>
      </c>
      <c r="L11" s="8"/>
      <c r="M11" s="8"/>
      <c r="N11" s="7">
        <v>-11.037259208382867</v>
      </c>
      <c r="O11" s="35">
        <v>-68.345975786558185</v>
      </c>
      <c r="P11" s="35">
        <f t="shared" si="0"/>
        <v>19.952097880504752</v>
      </c>
      <c r="Q11" s="7">
        <v>39.880000000000003</v>
      </c>
      <c r="R11" s="7">
        <v>-4</v>
      </c>
      <c r="S11" s="7"/>
      <c r="T11" s="7"/>
    </row>
    <row r="12" spans="1:20" ht="14.25" customHeight="1" x14ac:dyDescent="0.35">
      <c r="A12" s="5" t="s">
        <v>327</v>
      </c>
      <c r="B12" s="6" t="s">
        <v>21</v>
      </c>
      <c r="C12" s="6" t="s">
        <v>355</v>
      </c>
      <c r="D12" s="6" t="s">
        <v>356</v>
      </c>
      <c r="E12" s="7">
        <v>64.183333000000005</v>
      </c>
      <c r="F12" s="7">
        <v>-51.683332999999998</v>
      </c>
      <c r="G12" s="7">
        <v>50</v>
      </c>
      <c r="I12" s="5" t="s">
        <v>368</v>
      </c>
      <c r="J12" s="6"/>
      <c r="K12" s="8">
        <v>43799</v>
      </c>
      <c r="L12" s="8"/>
      <c r="M12" s="8"/>
      <c r="N12" s="7">
        <v>-13.327843067846608</v>
      </c>
      <c r="O12" s="35">
        <v>-101.40416648634614</v>
      </c>
      <c r="P12" s="35">
        <f t="shared" si="0"/>
        <v>5.2185780564267219</v>
      </c>
      <c r="Q12" s="7">
        <v>5.33</v>
      </c>
      <c r="R12" s="7">
        <v>-3</v>
      </c>
      <c r="S12" s="7"/>
      <c r="T12" s="7"/>
    </row>
    <row r="13" spans="1:20" ht="14.25" customHeight="1" x14ac:dyDescent="0.35">
      <c r="A13" s="5" t="s">
        <v>327</v>
      </c>
      <c r="B13" s="6" t="s">
        <v>21</v>
      </c>
      <c r="C13" s="6" t="s">
        <v>355</v>
      </c>
      <c r="D13" s="6" t="s">
        <v>356</v>
      </c>
      <c r="E13" s="7">
        <v>64.183333000000005</v>
      </c>
      <c r="F13" s="7">
        <v>-51.683332999999998</v>
      </c>
      <c r="G13" s="7">
        <v>50</v>
      </c>
      <c r="I13" s="5" t="s">
        <v>369</v>
      </c>
      <c r="J13" s="6"/>
      <c r="K13" s="8">
        <v>43801</v>
      </c>
      <c r="L13" s="8"/>
      <c r="M13" s="8"/>
      <c r="N13" s="7">
        <v>-15.387378417646282</v>
      </c>
      <c r="O13" s="35">
        <v>-111.55225202319643</v>
      </c>
      <c r="P13" s="35">
        <f t="shared" si="0"/>
        <v>11.546775317973825</v>
      </c>
      <c r="Q13" s="7">
        <v>73.66</v>
      </c>
      <c r="R13" s="7">
        <v>-5</v>
      </c>
      <c r="S13" s="7"/>
      <c r="T13" s="7"/>
    </row>
    <row r="14" spans="1:20" ht="14.25" customHeight="1" x14ac:dyDescent="0.35">
      <c r="A14" s="5" t="s">
        <v>327</v>
      </c>
      <c r="B14" s="6" t="s">
        <v>21</v>
      </c>
      <c r="C14" s="6" t="s">
        <v>355</v>
      </c>
      <c r="D14" s="6" t="s">
        <v>356</v>
      </c>
      <c r="E14" s="7">
        <v>64.183333000000005</v>
      </c>
      <c r="F14" s="7">
        <v>-51.683332999999998</v>
      </c>
      <c r="G14" s="7">
        <v>50</v>
      </c>
      <c r="I14" s="5" t="s">
        <v>370</v>
      </c>
      <c r="J14" s="6"/>
      <c r="K14" s="8">
        <v>43804</v>
      </c>
      <c r="L14" s="8"/>
      <c r="M14" s="8"/>
      <c r="N14" s="7">
        <v>-10.95304299740237</v>
      </c>
      <c r="O14" s="35">
        <v>-60.167733803609295</v>
      </c>
      <c r="P14" s="35">
        <f t="shared" si="0"/>
        <v>27.456610175609669</v>
      </c>
      <c r="Q14" s="7">
        <v>50.8</v>
      </c>
      <c r="R14" s="7">
        <v>-9</v>
      </c>
      <c r="S14" s="7"/>
      <c r="T14" s="7"/>
    </row>
    <row r="15" spans="1:20" ht="14.25" customHeight="1" x14ac:dyDescent="0.35">
      <c r="A15" s="5" t="s">
        <v>327</v>
      </c>
      <c r="B15" s="6" t="s">
        <v>21</v>
      </c>
      <c r="C15" s="6" t="s">
        <v>355</v>
      </c>
      <c r="D15" s="6" t="s">
        <v>356</v>
      </c>
      <c r="E15" s="7">
        <v>64.183333000000005</v>
      </c>
      <c r="F15" s="7">
        <v>-51.683332999999998</v>
      </c>
      <c r="G15" s="7">
        <v>50</v>
      </c>
      <c r="I15" s="5" t="s">
        <v>371</v>
      </c>
      <c r="J15" s="6"/>
      <c r="K15" s="8">
        <v>43809</v>
      </c>
      <c r="L15" s="8"/>
      <c r="M15" s="8"/>
      <c r="N15" s="7">
        <v>-12.0587751507947</v>
      </c>
      <c r="O15" s="35">
        <v>-76.477130847795053</v>
      </c>
      <c r="P15" s="35">
        <f t="shared" si="0"/>
        <v>19.993070358562548</v>
      </c>
      <c r="Q15" s="7">
        <v>18.54</v>
      </c>
      <c r="R15" s="7">
        <v>-4</v>
      </c>
      <c r="S15" s="7"/>
      <c r="T15" s="7"/>
    </row>
    <row r="16" spans="1:20" ht="14.25" customHeight="1" x14ac:dyDescent="0.35">
      <c r="A16" s="5" t="s">
        <v>327</v>
      </c>
      <c r="B16" s="6" t="s">
        <v>21</v>
      </c>
      <c r="C16" s="6" t="s">
        <v>355</v>
      </c>
      <c r="D16" s="6" t="s">
        <v>356</v>
      </c>
      <c r="E16" s="7">
        <v>64.183333000000005</v>
      </c>
      <c r="F16" s="7">
        <v>-51.683332999999998</v>
      </c>
      <c r="G16" s="7">
        <v>50</v>
      </c>
      <c r="I16" s="5" t="s">
        <v>372</v>
      </c>
      <c r="J16" s="6"/>
      <c r="K16" s="8">
        <v>43809</v>
      </c>
      <c r="L16" s="8"/>
      <c r="M16" s="8"/>
      <c r="N16" s="7">
        <v>-7.5038188174173408</v>
      </c>
      <c r="O16" s="35">
        <v>-46.920694486519238</v>
      </c>
      <c r="P16" s="35">
        <f t="shared" si="0"/>
        <v>13.109856052819488</v>
      </c>
      <c r="Q16" s="7">
        <v>4.57</v>
      </c>
      <c r="R16" s="7">
        <v>-5</v>
      </c>
      <c r="S16" s="7"/>
      <c r="T16" s="7"/>
    </row>
    <row r="17" spans="1:20" ht="14.25" customHeight="1" x14ac:dyDescent="0.35">
      <c r="A17" s="5" t="s">
        <v>327</v>
      </c>
      <c r="B17" s="6" t="s">
        <v>21</v>
      </c>
      <c r="C17" s="6" t="s">
        <v>355</v>
      </c>
      <c r="D17" s="6" t="s">
        <v>356</v>
      </c>
      <c r="E17" s="7">
        <v>64.183333000000005</v>
      </c>
      <c r="F17" s="7">
        <v>-51.683332999999998</v>
      </c>
      <c r="G17" s="7">
        <v>50</v>
      </c>
      <c r="I17" s="5" t="s">
        <v>373</v>
      </c>
      <c r="J17" s="6"/>
      <c r="K17" s="8">
        <v>43810</v>
      </c>
      <c r="L17" s="8"/>
      <c r="M17" s="8"/>
      <c r="N17" s="7">
        <v>-11.459311055342758</v>
      </c>
      <c r="O17" s="35">
        <v>-65.943810858181507</v>
      </c>
      <c r="P17" s="35">
        <f t="shared" si="0"/>
        <v>25.730677584560553</v>
      </c>
      <c r="Q17" s="7">
        <v>3.3</v>
      </c>
      <c r="R17" s="7">
        <v>-7</v>
      </c>
      <c r="S17" s="7"/>
      <c r="T17" s="7"/>
    </row>
    <row r="18" spans="1:20" ht="14.25" customHeight="1" x14ac:dyDescent="0.35">
      <c r="A18" s="5" t="s">
        <v>327</v>
      </c>
      <c r="B18" s="6" t="s">
        <v>21</v>
      </c>
      <c r="C18" s="6" t="s">
        <v>355</v>
      </c>
      <c r="D18" s="6" t="s">
        <v>356</v>
      </c>
      <c r="E18" s="7">
        <v>64.183333000000005</v>
      </c>
      <c r="F18" s="7">
        <v>-51.683332999999998</v>
      </c>
      <c r="G18" s="7">
        <v>50</v>
      </c>
      <c r="I18" s="5" t="s">
        <v>374</v>
      </c>
      <c r="J18" s="6"/>
      <c r="K18" s="8">
        <v>43819</v>
      </c>
      <c r="L18" s="8"/>
      <c r="M18" s="8"/>
      <c r="N18" s="7">
        <v>-7.5479898560295888</v>
      </c>
      <c r="O18" s="35">
        <v>-36.423726576362135</v>
      </c>
      <c r="P18" s="35">
        <f t="shared" si="0"/>
        <v>23.960192271874575</v>
      </c>
      <c r="Q18" s="7">
        <v>12.19</v>
      </c>
      <c r="R18" s="7">
        <v>-4</v>
      </c>
      <c r="S18" s="7"/>
      <c r="T18" s="7"/>
    </row>
    <row r="19" spans="1:20" ht="14.25" customHeight="1" x14ac:dyDescent="0.35">
      <c r="A19" s="5" t="s">
        <v>327</v>
      </c>
      <c r="B19" s="6" t="s">
        <v>21</v>
      </c>
      <c r="C19" s="6" t="s">
        <v>355</v>
      </c>
      <c r="D19" s="6" t="s">
        <v>356</v>
      </c>
      <c r="E19" s="7">
        <v>64.183333000000005</v>
      </c>
      <c r="F19" s="7">
        <v>-51.683332999999998</v>
      </c>
      <c r="G19" s="7">
        <v>50</v>
      </c>
      <c r="I19" s="5" t="s">
        <v>375</v>
      </c>
      <c r="J19" s="6"/>
      <c r="K19" s="8">
        <v>43832</v>
      </c>
      <c r="L19" s="8"/>
      <c r="M19" s="8"/>
      <c r="N19" s="7">
        <v>-5.2593475806806707</v>
      </c>
      <c r="O19" s="35">
        <v>-15.757447418531179</v>
      </c>
      <c r="P19" s="35">
        <f t="shared" si="0"/>
        <v>26.317333226914187</v>
      </c>
      <c r="Q19" s="7">
        <v>13.97</v>
      </c>
      <c r="R19" s="7">
        <v>-4</v>
      </c>
      <c r="S19" s="7"/>
      <c r="T19" s="7"/>
    </row>
    <row r="20" spans="1:20" ht="14.25" customHeight="1" x14ac:dyDescent="0.35">
      <c r="A20" s="5" t="s">
        <v>327</v>
      </c>
      <c r="B20" s="6" t="s">
        <v>21</v>
      </c>
      <c r="C20" s="6" t="s">
        <v>355</v>
      </c>
      <c r="D20" s="6" t="s">
        <v>356</v>
      </c>
      <c r="E20" s="7">
        <v>64.183333000000005</v>
      </c>
      <c r="F20" s="7">
        <v>-51.683332999999998</v>
      </c>
      <c r="G20" s="7">
        <v>50</v>
      </c>
      <c r="I20" s="5" t="s">
        <v>376</v>
      </c>
      <c r="J20" s="6"/>
      <c r="K20" s="8">
        <v>43836</v>
      </c>
      <c r="L20" s="8"/>
      <c r="M20" s="8"/>
      <c r="N20" s="7">
        <v>-13.688977713203894</v>
      </c>
      <c r="O20" s="35">
        <v>-81.620584130350124</v>
      </c>
      <c r="P20" s="35">
        <f t="shared" si="0"/>
        <v>27.891237575281025</v>
      </c>
      <c r="Q20" s="7">
        <v>45.47</v>
      </c>
      <c r="R20" s="7">
        <v>-15</v>
      </c>
      <c r="S20" s="7"/>
      <c r="T20" s="7"/>
    </row>
    <row r="21" spans="1:20" ht="14.25" customHeight="1" x14ac:dyDescent="0.35">
      <c r="A21" s="5" t="s">
        <v>327</v>
      </c>
      <c r="B21" s="6" t="s">
        <v>21</v>
      </c>
      <c r="C21" s="6" t="s">
        <v>355</v>
      </c>
      <c r="D21" s="6" t="s">
        <v>356</v>
      </c>
      <c r="E21" s="7">
        <v>64.183333000000005</v>
      </c>
      <c r="F21" s="7">
        <v>-51.683332999999998</v>
      </c>
      <c r="G21" s="7">
        <v>50</v>
      </c>
      <c r="I21" s="5" t="s">
        <v>377</v>
      </c>
      <c r="J21" s="6"/>
      <c r="K21" s="8">
        <v>43837</v>
      </c>
      <c r="L21" s="8"/>
      <c r="M21" s="8"/>
      <c r="N21" s="7">
        <v>-13.582190586888567</v>
      </c>
      <c r="O21" s="35">
        <v>-80.031827476522267</v>
      </c>
      <c r="P21" s="35">
        <f t="shared" si="0"/>
        <v>28.625697218586268</v>
      </c>
      <c r="Q21" s="7">
        <v>24.38</v>
      </c>
      <c r="R21" s="7">
        <v>-12</v>
      </c>
      <c r="S21" s="7"/>
      <c r="T21" s="7"/>
    </row>
    <row r="22" spans="1:20" ht="14.25" customHeight="1" x14ac:dyDescent="0.35">
      <c r="A22" s="5" t="s">
        <v>327</v>
      </c>
      <c r="B22" s="6" t="s">
        <v>21</v>
      </c>
      <c r="C22" s="6" t="s">
        <v>355</v>
      </c>
      <c r="D22" s="6" t="s">
        <v>356</v>
      </c>
      <c r="E22" s="7">
        <v>64.183333000000005</v>
      </c>
      <c r="F22" s="7">
        <v>-51.683332999999998</v>
      </c>
      <c r="G22" s="7">
        <v>50</v>
      </c>
      <c r="I22" s="5" t="s">
        <v>378</v>
      </c>
      <c r="J22" s="6"/>
      <c r="K22" s="8">
        <v>43838</v>
      </c>
      <c r="L22" s="8"/>
      <c r="M22" s="8"/>
      <c r="N22" s="7">
        <v>-13.403079452296044</v>
      </c>
      <c r="O22" s="35">
        <v>-69.857392781408251</v>
      </c>
      <c r="P22" s="35">
        <f t="shared" si="0"/>
        <v>37.367242836960102</v>
      </c>
      <c r="Q22" s="7">
        <v>9.4</v>
      </c>
      <c r="R22" s="7">
        <v>-19</v>
      </c>
      <c r="S22" s="7"/>
      <c r="T22" s="7"/>
    </row>
    <row r="23" spans="1:20" ht="14.25" customHeight="1" x14ac:dyDescent="0.35">
      <c r="A23" s="5" t="s">
        <v>327</v>
      </c>
      <c r="B23" s="6" t="s">
        <v>21</v>
      </c>
      <c r="C23" s="6" t="s">
        <v>355</v>
      </c>
      <c r="D23" s="6" t="s">
        <v>356</v>
      </c>
      <c r="E23" s="7">
        <v>64.183333000000005</v>
      </c>
      <c r="F23" s="7">
        <v>-51.683332999999998</v>
      </c>
      <c r="G23" s="7">
        <v>50</v>
      </c>
      <c r="I23" s="5" t="s">
        <v>379</v>
      </c>
      <c r="J23" s="6"/>
      <c r="K23" s="8">
        <v>43839</v>
      </c>
      <c r="L23" s="8"/>
      <c r="M23" s="8"/>
      <c r="N23" s="7">
        <v>-12.397096182802803</v>
      </c>
      <c r="O23" s="35">
        <v>-64.311382914268407</v>
      </c>
      <c r="P23" s="35">
        <f t="shared" si="0"/>
        <v>34.865386548154021</v>
      </c>
      <c r="Q23" s="7">
        <v>5.08</v>
      </c>
      <c r="R23" s="7">
        <v>-11</v>
      </c>
      <c r="S23" s="7"/>
      <c r="T23" s="7"/>
    </row>
    <row r="24" spans="1:20" ht="14.25" customHeight="1" x14ac:dyDescent="0.35">
      <c r="A24" s="5" t="s">
        <v>327</v>
      </c>
      <c r="B24" s="6" t="s">
        <v>21</v>
      </c>
      <c r="C24" s="6" t="s">
        <v>355</v>
      </c>
      <c r="D24" s="6" t="s">
        <v>356</v>
      </c>
      <c r="E24" s="7">
        <v>64.183333000000005</v>
      </c>
      <c r="F24" s="7">
        <v>-51.683332999999998</v>
      </c>
      <c r="G24" s="7">
        <v>50</v>
      </c>
      <c r="I24" s="5" t="s">
        <v>380</v>
      </c>
      <c r="J24" s="6"/>
      <c r="K24" s="8">
        <v>43843</v>
      </c>
      <c r="L24" s="8"/>
      <c r="M24" s="8"/>
      <c r="N24" s="7">
        <v>-6.2189755294324867</v>
      </c>
      <c r="O24" s="35">
        <v>-49.049608884753539</v>
      </c>
      <c r="P24" s="35">
        <f t="shared" si="0"/>
        <v>0.7021953507063543</v>
      </c>
      <c r="Q24" s="7">
        <v>5.33</v>
      </c>
      <c r="R24" s="7">
        <v>-8</v>
      </c>
      <c r="S24" s="7"/>
      <c r="T24" s="7"/>
    </row>
    <row r="25" spans="1:20" ht="14.25" customHeight="1" x14ac:dyDescent="0.35">
      <c r="A25" s="5" t="s">
        <v>327</v>
      </c>
      <c r="B25" s="6" t="s">
        <v>21</v>
      </c>
      <c r="C25" s="6" t="s">
        <v>355</v>
      </c>
      <c r="D25" s="6" t="s">
        <v>356</v>
      </c>
      <c r="E25" s="7">
        <v>64.183333000000005</v>
      </c>
      <c r="F25" s="7">
        <v>-51.683332999999998</v>
      </c>
      <c r="G25" s="7">
        <v>50</v>
      </c>
      <c r="I25" s="5" t="s">
        <v>381</v>
      </c>
      <c r="J25" s="6"/>
      <c r="K25" s="8">
        <v>43844</v>
      </c>
      <c r="L25" s="8"/>
      <c r="M25" s="8"/>
      <c r="N25" s="7">
        <v>12.457607467089327</v>
      </c>
      <c r="O25" s="35">
        <v>27.763310901458436</v>
      </c>
      <c r="P25" s="35">
        <f t="shared" si="0"/>
        <v>-71.897548835256174</v>
      </c>
      <c r="Q25" s="7">
        <v>0.25</v>
      </c>
      <c r="R25" s="7">
        <v>-9</v>
      </c>
      <c r="S25" s="7"/>
      <c r="T25" s="7"/>
    </row>
    <row r="26" spans="1:20" ht="14.25" customHeight="1" x14ac:dyDescent="0.35">
      <c r="A26" s="5" t="s">
        <v>327</v>
      </c>
      <c r="B26" s="6" t="s">
        <v>21</v>
      </c>
      <c r="C26" s="6" t="s">
        <v>355</v>
      </c>
      <c r="D26" s="6" t="s">
        <v>356</v>
      </c>
      <c r="E26" s="7">
        <v>64.183333000000005</v>
      </c>
      <c r="F26" s="7">
        <v>-51.683332999999998</v>
      </c>
      <c r="G26" s="7">
        <v>50</v>
      </c>
      <c r="I26" s="5" t="s">
        <v>382</v>
      </c>
      <c r="J26" s="6"/>
      <c r="K26" s="8">
        <v>43845</v>
      </c>
      <c r="L26" s="8"/>
      <c r="M26" s="8"/>
      <c r="N26" s="7">
        <v>-15.852145115132304</v>
      </c>
      <c r="O26" s="35">
        <v>-90.645902756740369</v>
      </c>
      <c r="P26" s="35">
        <f t="shared" si="0"/>
        <v>36.171258164318061</v>
      </c>
      <c r="Q26" s="7">
        <v>42.16</v>
      </c>
      <c r="R26" s="7">
        <v>-10</v>
      </c>
      <c r="S26" s="7"/>
      <c r="T26" s="7"/>
    </row>
    <row r="27" spans="1:20" ht="14.25" customHeight="1" x14ac:dyDescent="0.35">
      <c r="A27" s="5" t="s">
        <v>327</v>
      </c>
      <c r="B27" s="6" t="s">
        <v>21</v>
      </c>
      <c r="C27" s="6" t="s">
        <v>355</v>
      </c>
      <c r="D27" s="6" t="s">
        <v>356</v>
      </c>
      <c r="E27" s="7">
        <v>64.183333000000005</v>
      </c>
      <c r="F27" s="7">
        <v>-51.683332999999998</v>
      </c>
      <c r="G27" s="7">
        <v>50</v>
      </c>
      <c r="I27" s="5" t="s">
        <v>383</v>
      </c>
      <c r="J27" s="6"/>
      <c r="K27" s="8">
        <v>43847</v>
      </c>
      <c r="L27" s="8"/>
      <c r="M27" s="8"/>
      <c r="N27" s="7">
        <v>-18.273785902346678</v>
      </c>
      <c r="O27" s="35">
        <v>-125.72297572164278</v>
      </c>
      <c r="P27" s="35">
        <f t="shared" si="0"/>
        <v>20.467311497130638</v>
      </c>
      <c r="Q27" s="7">
        <v>13.97</v>
      </c>
      <c r="R27" s="7">
        <v>-8</v>
      </c>
      <c r="S27" s="7"/>
      <c r="T27" s="7"/>
    </row>
    <row r="28" spans="1:20" ht="14.25" customHeight="1" x14ac:dyDescent="0.35">
      <c r="A28" s="5" t="s">
        <v>327</v>
      </c>
      <c r="B28" s="6" t="s">
        <v>21</v>
      </c>
      <c r="C28" s="6" t="s">
        <v>355</v>
      </c>
      <c r="D28" s="6" t="s">
        <v>356</v>
      </c>
      <c r="E28" s="7">
        <v>64.183333000000005</v>
      </c>
      <c r="F28" s="7">
        <v>-51.683332999999998</v>
      </c>
      <c r="G28" s="7">
        <v>50</v>
      </c>
      <c r="I28" s="5" t="s">
        <v>384</v>
      </c>
      <c r="J28" s="6"/>
      <c r="K28" s="8">
        <v>43851</v>
      </c>
      <c r="L28" s="8"/>
      <c r="M28" s="8"/>
      <c r="N28" s="7">
        <v>-11.923106960771367</v>
      </c>
      <c r="O28" s="35">
        <v>-82.096576794910632</v>
      </c>
      <c r="P28" s="35">
        <f t="shared" si="0"/>
        <v>13.288278891260305</v>
      </c>
      <c r="Q28" s="7">
        <v>3.81</v>
      </c>
      <c r="R28" s="7">
        <v>-8</v>
      </c>
      <c r="S28" s="7"/>
      <c r="T28" s="7"/>
    </row>
    <row r="29" spans="1:20" ht="14.25" customHeight="1" x14ac:dyDescent="0.35">
      <c r="A29" s="5" t="s">
        <v>327</v>
      </c>
      <c r="B29" s="6" t="s">
        <v>21</v>
      </c>
      <c r="C29" s="6" t="s">
        <v>355</v>
      </c>
      <c r="D29" s="6" t="s">
        <v>356</v>
      </c>
      <c r="E29" s="7">
        <v>64.183333000000005</v>
      </c>
      <c r="F29" s="7">
        <v>-51.683332999999998</v>
      </c>
      <c r="G29" s="7">
        <v>50</v>
      </c>
      <c r="I29" s="5" t="s">
        <v>385</v>
      </c>
      <c r="J29" s="6"/>
      <c r="K29" s="8">
        <v>43852</v>
      </c>
      <c r="L29" s="8"/>
      <c r="M29" s="8"/>
      <c r="N29" s="7">
        <v>-16.894533086778498</v>
      </c>
      <c r="O29" s="35">
        <v>-111.83184586921712</v>
      </c>
      <c r="P29" s="35">
        <f t="shared" si="0"/>
        <v>23.324418825010866</v>
      </c>
      <c r="Q29" s="7">
        <v>86.61</v>
      </c>
      <c r="R29" s="7">
        <v>-9</v>
      </c>
      <c r="S29" s="7"/>
      <c r="T29" s="7"/>
    </row>
    <row r="30" spans="1:20" ht="14.25" customHeight="1" x14ac:dyDescent="0.35">
      <c r="A30" s="5" t="s">
        <v>327</v>
      </c>
      <c r="B30" s="6" t="s">
        <v>21</v>
      </c>
      <c r="C30" s="6" t="s">
        <v>355</v>
      </c>
      <c r="D30" s="6" t="s">
        <v>356</v>
      </c>
      <c r="E30" s="7">
        <v>64.183333000000005</v>
      </c>
      <c r="F30" s="7">
        <v>-51.683332999999998</v>
      </c>
      <c r="G30" s="7">
        <v>50</v>
      </c>
      <c r="I30" s="5" t="s">
        <v>386</v>
      </c>
      <c r="J30" s="6" t="s">
        <v>100</v>
      </c>
      <c r="K30" s="8">
        <v>43852</v>
      </c>
      <c r="L30" s="8"/>
      <c r="M30" s="8"/>
      <c r="N30" s="7">
        <v>-16.025674195394711</v>
      </c>
      <c r="O30" s="35">
        <v>-105.84863515384949</v>
      </c>
      <c r="P30" s="35">
        <f t="shared" si="0"/>
        <v>22.356758409308199</v>
      </c>
      <c r="Q30" s="7">
        <v>15.49</v>
      </c>
      <c r="R30" s="7">
        <v>-5</v>
      </c>
      <c r="S30" s="7"/>
      <c r="T30" s="7"/>
    </row>
    <row r="31" spans="1:20" ht="14.25" customHeight="1" x14ac:dyDescent="0.35">
      <c r="A31" s="5" t="s">
        <v>327</v>
      </c>
      <c r="B31" s="6" t="s">
        <v>21</v>
      </c>
      <c r="C31" s="6" t="s">
        <v>355</v>
      </c>
      <c r="D31" s="6" t="s">
        <v>356</v>
      </c>
      <c r="E31" s="7">
        <v>64.183333000000005</v>
      </c>
      <c r="F31" s="7">
        <v>-51.683332999999998</v>
      </c>
      <c r="G31" s="7">
        <v>50</v>
      </c>
      <c r="I31" s="5" t="s">
        <v>387</v>
      </c>
      <c r="J31" s="6" t="s">
        <v>100</v>
      </c>
      <c r="K31" s="8">
        <v>43854</v>
      </c>
      <c r="L31" s="8"/>
      <c r="M31" s="8"/>
      <c r="N31" s="7">
        <v>-13.549669052965264</v>
      </c>
      <c r="O31" s="35">
        <v>-86.137512983078722</v>
      </c>
      <c r="P31" s="35">
        <f t="shared" si="0"/>
        <v>22.25983944064339</v>
      </c>
      <c r="Q31" s="7">
        <v>26.67</v>
      </c>
      <c r="R31" s="7">
        <v>-8</v>
      </c>
      <c r="S31" s="7"/>
      <c r="T31" s="7"/>
    </row>
    <row r="32" spans="1:20" ht="14.25" customHeight="1" x14ac:dyDescent="0.35">
      <c r="A32" s="5" t="s">
        <v>327</v>
      </c>
      <c r="B32" s="6" t="s">
        <v>21</v>
      </c>
      <c r="C32" s="6" t="s">
        <v>355</v>
      </c>
      <c r="D32" s="6" t="s">
        <v>356</v>
      </c>
      <c r="E32" s="7">
        <v>64.183333000000005</v>
      </c>
      <c r="F32" s="7">
        <v>-51.683332999999998</v>
      </c>
      <c r="G32" s="7">
        <v>50</v>
      </c>
      <c r="I32" s="5" t="s">
        <v>388</v>
      </c>
      <c r="J32" s="6" t="s">
        <v>100</v>
      </c>
      <c r="K32" s="8">
        <v>43857</v>
      </c>
      <c r="L32" s="8"/>
      <c r="M32" s="8"/>
      <c r="N32" s="7">
        <v>-9.5623833751596017</v>
      </c>
      <c r="O32" s="35">
        <v>-78.22764205651967</v>
      </c>
      <c r="P32" s="35">
        <f t="shared" si="0"/>
        <v>-1.7285750552428567</v>
      </c>
      <c r="Q32" s="7">
        <v>18.54</v>
      </c>
      <c r="R32" s="7">
        <v>-9</v>
      </c>
      <c r="S32" s="7"/>
      <c r="T32" s="7"/>
    </row>
    <row r="33" spans="1:20" ht="14.25" customHeight="1" x14ac:dyDescent="0.35">
      <c r="A33" s="5" t="s">
        <v>327</v>
      </c>
      <c r="B33" s="6" t="s">
        <v>21</v>
      </c>
      <c r="C33" s="6" t="s">
        <v>355</v>
      </c>
      <c r="D33" s="6" t="s">
        <v>356</v>
      </c>
      <c r="E33" s="7">
        <v>64.183333000000005</v>
      </c>
      <c r="F33" s="7">
        <v>-51.683332999999998</v>
      </c>
      <c r="G33" s="7">
        <v>50</v>
      </c>
      <c r="I33" s="5" t="s">
        <v>389</v>
      </c>
      <c r="J33" s="6" t="s">
        <v>100</v>
      </c>
      <c r="K33" s="8">
        <v>43861</v>
      </c>
      <c r="L33" s="8"/>
      <c r="M33" s="8"/>
      <c r="N33" s="7">
        <v>-12.700711398758424</v>
      </c>
      <c r="O33" s="35">
        <v>-67.930732570216819</v>
      </c>
      <c r="P33" s="35">
        <f t="shared" si="0"/>
        <v>33.674958619850571</v>
      </c>
      <c r="Q33" s="7">
        <v>2.0299999999999998</v>
      </c>
      <c r="R33" s="7">
        <v>-9</v>
      </c>
      <c r="S33" s="7"/>
      <c r="T33" s="7"/>
    </row>
    <row r="34" spans="1:20" ht="14.25" customHeight="1" x14ac:dyDescent="0.35">
      <c r="A34" s="5" t="s">
        <v>327</v>
      </c>
      <c r="B34" s="6" t="s">
        <v>21</v>
      </c>
      <c r="C34" s="6" t="s">
        <v>355</v>
      </c>
      <c r="D34" s="6" t="s">
        <v>356</v>
      </c>
      <c r="E34" s="7">
        <v>64.183333000000005</v>
      </c>
      <c r="F34" s="7">
        <v>-51.683332999999998</v>
      </c>
      <c r="G34" s="7">
        <v>50</v>
      </c>
      <c r="I34" s="5" t="s">
        <v>390</v>
      </c>
      <c r="J34" s="6" t="s">
        <v>100</v>
      </c>
      <c r="K34" s="8">
        <v>43864</v>
      </c>
      <c r="L34" s="8"/>
      <c r="M34" s="8"/>
      <c r="N34" s="7">
        <v>-18.396833795623657</v>
      </c>
      <c r="O34" s="35">
        <v>-134.19788970874629</v>
      </c>
      <c r="P34" s="35">
        <f t="shared" si="0"/>
        <v>12.976780656242966</v>
      </c>
      <c r="Q34" s="7">
        <v>2.79</v>
      </c>
      <c r="R34" s="7">
        <v>-4</v>
      </c>
      <c r="S34" s="7"/>
      <c r="T34" s="7"/>
    </row>
    <row r="35" spans="1:20" ht="14.25" customHeight="1" x14ac:dyDescent="0.35">
      <c r="A35" s="5" t="s">
        <v>327</v>
      </c>
      <c r="B35" s="6" t="s">
        <v>21</v>
      </c>
      <c r="C35" s="6" t="s">
        <v>355</v>
      </c>
      <c r="D35" s="6" t="s">
        <v>356</v>
      </c>
      <c r="E35" s="7">
        <v>64.183333000000005</v>
      </c>
      <c r="F35" s="7">
        <v>-51.683332999999998</v>
      </c>
      <c r="G35" s="7">
        <v>50</v>
      </c>
      <c r="I35" s="5" t="s">
        <v>391</v>
      </c>
      <c r="J35" s="6" t="s">
        <v>100</v>
      </c>
      <c r="K35" s="8">
        <v>43865</v>
      </c>
      <c r="L35" s="8"/>
      <c r="M35" s="8"/>
      <c r="N35" s="7">
        <v>-18.540025624091928</v>
      </c>
      <c r="O35" s="35">
        <v>-140.52022384991562</v>
      </c>
      <c r="P35" s="35">
        <f t="shared" si="0"/>
        <v>7.7999811428198029</v>
      </c>
      <c r="Q35" s="7">
        <v>7.62</v>
      </c>
      <c r="R35" s="7">
        <v>1</v>
      </c>
      <c r="S35" s="7"/>
      <c r="T35" s="7"/>
    </row>
    <row r="36" spans="1:20" ht="14.25" customHeight="1" x14ac:dyDescent="0.35">
      <c r="A36" s="5" t="s">
        <v>327</v>
      </c>
      <c r="B36" s="6" t="s">
        <v>21</v>
      </c>
      <c r="C36" s="6" t="s">
        <v>355</v>
      </c>
      <c r="D36" s="6" t="s">
        <v>356</v>
      </c>
      <c r="E36" s="7">
        <v>64.183333000000005</v>
      </c>
      <c r="F36" s="7">
        <v>-51.683332999999998</v>
      </c>
      <c r="G36" s="7">
        <v>50</v>
      </c>
      <c r="I36" s="5" t="s">
        <v>392</v>
      </c>
      <c r="J36" s="6" t="s">
        <v>100</v>
      </c>
      <c r="K36" s="8">
        <v>43868</v>
      </c>
      <c r="L36" s="8"/>
      <c r="M36" s="8"/>
      <c r="N36" s="7">
        <v>-8.7330842601153549</v>
      </c>
      <c r="O36" s="35">
        <v>-48.178866793612329</v>
      </c>
      <c r="P36" s="35">
        <f t="shared" si="0"/>
        <v>21.68580728731051</v>
      </c>
      <c r="Q36" s="7">
        <v>2.79</v>
      </c>
      <c r="R36" s="7">
        <v>-6</v>
      </c>
      <c r="S36" s="7"/>
      <c r="T36" s="7"/>
    </row>
    <row r="37" spans="1:20" ht="14.25" customHeight="1" x14ac:dyDescent="0.35">
      <c r="A37" s="5" t="s">
        <v>327</v>
      </c>
      <c r="B37" s="6" t="s">
        <v>21</v>
      </c>
      <c r="C37" s="6" t="s">
        <v>355</v>
      </c>
      <c r="D37" s="6" t="s">
        <v>356</v>
      </c>
      <c r="E37" s="7">
        <v>64.183333000000005</v>
      </c>
      <c r="F37" s="7">
        <v>-51.683332999999998</v>
      </c>
      <c r="G37" s="7">
        <v>50</v>
      </c>
      <c r="I37" s="5" t="s">
        <v>393</v>
      </c>
      <c r="J37" s="6" t="s">
        <v>100</v>
      </c>
      <c r="K37" s="8">
        <v>43871</v>
      </c>
      <c r="L37" s="8"/>
      <c r="M37" s="8"/>
      <c r="N37" s="7">
        <v>-10.788736441685378</v>
      </c>
      <c r="O37" s="35">
        <v>-64.624645129181644</v>
      </c>
      <c r="P37" s="35">
        <f t="shared" si="0"/>
        <v>21.685246404301381</v>
      </c>
      <c r="Q37" s="7">
        <v>4.32</v>
      </c>
      <c r="R37" s="7">
        <v>-11</v>
      </c>
      <c r="S37" s="7"/>
      <c r="T37" s="7"/>
    </row>
    <row r="38" spans="1:20" ht="14.25" customHeight="1" x14ac:dyDescent="0.35">
      <c r="A38" s="5" t="s">
        <v>327</v>
      </c>
      <c r="B38" s="6" t="s">
        <v>21</v>
      </c>
      <c r="C38" s="6" t="s">
        <v>355</v>
      </c>
      <c r="D38" s="6" t="s">
        <v>356</v>
      </c>
      <c r="E38" s="7">
        <v>64.183333000000005</v>
      </c>
      <c r="F38" s="7">
        <v>-51.683332999999998</v>
      </c>
      <c r="G38" s="7">
        <v>50</v>
      </c>
      <c r="I38" s="5" t="s">
        <v>394</v>
      </c>
      <c r="J38" s="6" t="s">
        <v>100</v>
      </c>
      <c r="K38" s="8">
        <v>43872</v>
      </c>
      <c r="L38" s="8"/>
      <c r="M38" s="8"/>
      <c r="N38" s="7">
        <v>-19.346753823801347</v>
      </c>
      <c r="O38" s="35">
        <v>-139.5711662050461</v>
      </c>
      <c r="P38" s="35">
        <f t="shared" si="0"/>
        <v>15.202864385364677</v>
      </c>
      <c r="Q38" s="7">
        <v>6.1</v>
      </c>
      <c r="R38" s="7">
        <v>-10</v>
      </c>
      <c r="S38" s="7"/>
      <c r="T38" s="7"/>
    </row>
    <row r="39" spans="1:20" ht="14.25" customHeight="1" x14ac:dyDescent="0.35">
      <c r="A39" s="5" t="s">
        <v>327</v>
      </c>
      <c r="B39" s="6" t="s">
        <v>21</v>
      </c>
      <c r="C39" s="6" t="s">
        <v>355</v>
      </c>
      <c r="D39" s="6" t="s">
        <v>356</v>
      </c>
      <c r="E39" s="7">
        <v>64.183333000000005</v>
      </c>
      <c r="F39" s="7">
        <v>-51.683332999999998</v>
      </c>
      <c r="G39" s="7">
        <v>50</v>
      </c>
      <c r="I39" s="5" t="s">
        <v>395</v>
      </c>
      <c r="J39" s="6"/>
      <c r="K39" s="8">
        <v>43878</v>
      </c>
      <c r="L39" s="8"/>
      <c r="M39" s="8"/>
      <c r="N39" s="7">
        <v>-12.239072104814467</v>
      </c>
      <c r="O39" s="35">
        <v>-85.879546888595186</v>
      </c>
      <c r="P39" s="35">
        <f t="shared" si="0"/>
        <v>12.033029949920547</v>
      </c>
      <c r="Q39" s="7">
        <v>2.032</v>
      </c>
      <c r="R39" s="7">
        <v>-11</v>
      </c>
      <c r="S39" s="7"/>
      <c r="T39" s="7"/>
    </row>
    <row r="40" spans="1:20" ht="14.25" customHeight="1" x14ac:dyDescent="0.35">
      <c r="A40" s="5" t="s">
        <v>327</v>
      </c>
      <c r="B40" s="6" t="s">
        <v>21</v>
      </c>
      <c r="C40" s="6" t="s">
        <v>355</v>
      </c>
      <c r="D40" s="6" t="s">
        <v>356</v>
      </c>
      <c r="E40" s="7">
        <v>64.183333000000005</v>
      </c>
      <c r="F40" s="7">
        <v>-51.683332999999998</v>
      </c>
      <c r="G40" s="7">
        <v>50</v>
      </c>
      <c r="I40" s="5" t="s">
        <v>396</v>
      </c>
      <c r="J40" s="6"/>
      <c r="K40" s="8">
        <v>43879</v>
      </c>
      <c r="L40" s="8"/>
      <c r="M40" s="8"/>
      <c r="N40" s="7">
        <v>-10.792150581056223</v>
      </c>
      <c r="O40" s="35">
        <v>-55.450224607407513</v>
      </c>
      <c r="P40" s="35">
        <f t="shared" si="0"/>
        <v>30.886980041042271</v>
      </c>
      <c r="Q40" s="7">
        <v>2.2859999999999996</v>
      </c>
      <c r="R40" s="7">
        <v>-7</v>
      </c>
      <c r="S40" s="7"/>
      <c r="T40" s="7"/>
    </row>
    <row r="41" spans="1:20" ht="14.25" customHeight="1" x14ac:dyDescent="0.35">
      <c r="A41" s="5" t="s">
        <v>327</v>
      </c>
      <c r="B41" s="6" t="s">
        <v>21</v>
      </c>
      <c r="C41" s="6" t="s">
        <v>355</v>
      </c>
      <c r="D41" s="6" t="s">
        <v>356</v>
      </c>
      <c r="E41" s="7">
        <v>64.183333000000005</v>
      </c>
      <c r="F41" s="7">
        <v>-51.683332999999998</v>
      </c>
      <c r="G41" s="7">
        <v>50</v>
      </c>
      <c r="I41" s="5" t="s">
        <v>397</v>
      </c>
      <c r="J41" s="6"/>
      <c r="K41" s="8">
        <v>43885</v>
      </c>
      <c r="L41" s="8"/>
      <c r="M41" s="8"/>
      <c r="N41" s="7">
        <v>-17.712640193834972</v>
      </c>
      <c r="O41" s="35">
        <v>-119.61765232677335</v>
      </c>
      <c r="P41" s="35">
        <f t="shared" si="0"/>
        <v>22.08346922390642</v>
      </c>
      <c r="Q41" s="7">
        <v>31.75</v>
      </c>
      <c r="R41" s="7">
        <v>-7</v>
      </c>
      <c r="S41" s="7"/>
      <c r="T41" s="7"/>
    </row>
    <row r="42" spans="1:20" ht="14.25" customHeight="1" x14ac:dyDescent="0.35">
      <c r="A42" s="5" t="s">
        <v>327</v>
      </c>
      <c r="B42" s="6" t="s">
        <v>21</v>
      </c>
      <c r="C42" s="6" t="s">
        <v>355</v>
      </c>
      <c r="D42" s="6" t="s">
        <v>356</v>
      </c>
      <c r="E42" s="7">
        <v>64.183333000000005</v>
      </c>
      <c r="F42" s="7">
        <v>-51.683332999999998</v>
      </c>
      <c r="G42" s="7">
        <v>50</v>
      </c>
      <c r="I42" s="5" t="s">
        <v>397</v>
      </c>
      <c r="J42" s="6"/>
      <c r="K42" s="8">
        <v>43885</v>
      </c>
      <c r="L42" s="8"/>
      <c r="M42" s="8"/>
      <c r="N42" s="7">
        <v>-14.733218539956031</v>
      </c>
      <c r="O42" s="35">
        <v>-89.473901371998153</v>
      </c>
      <c r="P42" s="35">
        <f t="shared" si="0"/>
        <v>28.391846947650095</v>
      </c>
      <c r="Q42" s="7">
        <v>13.97</v>
      </c>
      <c r="R42" s="7">
        <v>-6.5</v>
      </c>
      <c r="S42" s="7"/>
      <c r="T42" s="7"/>
    </row>
    <row r="43" spans="1:20" ht="14.25" customHeight="1" x14ac:dyDescent="0.35">
      <c r="A43" s="5" t="s">
        <v>327</v>
      </c>
      <c r="B43" s="6" t="s">
        <v>21</v>
      </c>
      <c r="C43" s="6" t="s">
        <v>355</v>
      </c>
      <c r="D43" s="6" t="s">
        <v>356</v>
      </c>
      <c r="E43" s="7">
        <v>64.183333000000005</v>
      </c>
      <c r="F43" s="7">
        <v>-51.683332999999998</v>
      </c>
      <c r="G43" s="7">
        <v>50</v>
      </c>
      <c r="I43" s="5" t="s">
        <v>398</v>
      </c>
      <c r="J43" s="6"/>
      <c r="K43" s="8">
        <v>43886</v>
      </c>
      <c r="L43" s="8"/>
      <c r="M43" s="8"/>
      <c r="N43" s="7">
        <v>-13.204428465024455</v>
      </c>
      <c r="O43" s="35">
        <v>-89.007601339009966</v>
      </c>
      <c r="P43" s="35">
        <f t="shared" si="0"/>
        <v>16.62782638118567</v>
      </c>
      <c r="Q43" s="7">
        <v>0.254</v>
      </c>
      <c r="R43" s="7">
        <v>-9</v>
      </c>
      <c r="S43" s="7"/>
      <c r="T43" s="7"/>
    </row>
    <row r="44" spans="1:20" ht="14.25" customHeight="1" x14ac:dyDescent="0.35">
      <c r="A44" s="5" t="s">
        <v>327</v>
      </c>
      <c r="B44" s="6" t="s">
        <v>21</v>
      </c>
      <c r="C44" s="6" t="s">
        <v>355</v>
      </c>
      <c r="D44" s="6" t="s">
        <v>356</v>
      </c>
      <c r="E44" s="7">
        <v>64.183333000000005</v>
      </c>
      <c r="F44" s="7">
        <v>-51.683332999999998</v>
      </c>
      <c r="G44" s="7">
        <v>50</v>
      </c>
      <c r="I44" s="5" t="s">
        <v>399</v>
      </c>
      <c r="J44" s="6"/>
      <c r="K44" s="8">
        <v>43955</v>
      </c>
      <c r="L44" s="8"/>
      <c r="M44" s="8"/>
      <c r="N44" s="7">
        <v>-18.816257944092971</v>
      </c>
      <c r="O44" s="35">
        <v>-144.78587209443921</v>
      </c>
      <c r="P44" s="35">
        <f t="shared" si="0"/>
        <v>5.7441914583045559</v>
      </c>
      <c r="Q44" s="7"/>
      <c r="R44" s="7"/>
      <c r="S44" s="7"/>
      <c r="T44" s="7"/>
    </row>
    <row r="45" spans="1:20" ht="14.25" customHeight="1" x14ac:dyDescent="0.35">
      <c r="A45" s="5" t="s">
        <v>327</v>
      </c>
      <c r="B45" s="6" t="s">
        <v>21</v>
      </c>
      <c r="C45" s="6" t="s">
        <v>355</v>
      </c>
      <c r="D45" s="6" t="s">
        <v>356</v>
      </c>
      <c r="E45" s="7">
        <v>64.183333000000005</v>
      </c>
      <c r="F45" s="7">
        <v>-51.683332999999998</v>
      </c>
      <c r="G45" s="7">
        <v>50</v>
      </c>
      <c r="I45" s="5" t="s">
        <v>400</v>
      </c>
      <c r="J45" s="6"/>
      <c r="K45" s="8">
        <v>43959</v>
      </c>
      <c r="L45" s="8"/>
      <c r="M45" s="8"/>
      <c r="N45" s="7">
        <v>-13.837611217301568</v>
      </c>
      <c r="O45" s="35">
        <v>-100.31088388383736</v>
      </c>
      <c r="P45" s="35">
        <f t="shared" si="0"/>
        <v>10.390005854575179</v>
      </c>
      <c r="Q45" s="7"/>
      <c r="R45" s="7"/>
      <c r="S45" s="7"/>
      <c r="T45" s="7"/>
    </row>
    <row r="46" spans="1:20" ht="14.25" customHeight="1" x14ac:dyDescent="0.35">
      <c r="A46" s="5" t="s">
        <v>327</v>
      </c>
      <c r="B46" s="6" t="s">
        <v>21</v>
      </c>
      <c r="C46" s="6" t="s">
        <v>355</v>
      </c>
      <c r="D46" s="6" t="s">
        <v>356</v>
      </c>
      <c r="E46" s="7">
        <v>64.183333000000005</v>
      </c>
      <c r="F46" s="7">
        <v>-51.683332999999998</v>
      </c>
      <c r="G46" s="7">
        <v>50</v>
      </c>
      <c r="I46" s="5" t="s">
        <v>401</v>
      </c>
      <c r="J46" s="6"/>
      <c r="K46" s="8">
        <v>43964</v>
      </c>
      <c r="L46" s="8"/>
      <c r="M46" s="8"/>
      <c r="N46" s="7">
        <v>-11.668465616727243</v>
      </c>
      <c r="O46" s="35">
        <v>-86.935711470807703</v>
      </c>
      <c r="P46" s="35">
        <f t="shared" si="0"/>
        <v>6.4120134630102399</v>
      </c>
      <c r="Q46" s="7">
        <v>1.5239999999999998</v>
      </c>
      <c r="R46" s="7">
        <v>7</v>
      </c>
      <c r="S46" s="7"/>
      <c r="T46" s="7"/>
    </row>
    <row r="47" spans="1:20" ht="14.25" customHeight="1" x14ac:dyDescent="0.35">
      <c r="A47" s="5" t="s">
        <v>327</v>
      </c>
      <c r="B47" s="6" t="s">
        <v>21</v>
      </c>
      <c r="C47" s="6" t="s">
        <v>355</v>
      </c>
      <c r="D47" s="6" t="s">
        <v>356</v>
      </c>
      <c r="E47" s="7">
        <v>64.183333000000005</v>
      </c>
      <c r="F47" s="7">
        <v>-51.683332999999998</v>
      </c>
      <c r="G47" s="7">
        <v>50</v>
      </c>
      <c r="I47" s="5" t="s">
        <v>402</v>
      </c>
      <c r="J47" s="6"/>
      <c r="K47" s="8">
        <v>43976</v>
      </c>
      <c r="L47" s="8"/>
      <c r="M47" s="8"/>
      <c r="N47" s="7">
        <v>-11.636806479113385</v>
      </c>
      <c r="O47" s="35">
        <v>-81.741258908467799</v>
      </c>
      <c r="P47" s="35">
        <f t="shared" si="0"/>
        <v>11.353192924439284</v>
      </c>
      <c r="Q47" s="7">
        <v>1.5239999999999998</v>
      </c>
      <c r="R47" s="7">
        <v>9</v>
      </c>
      <c r="S47" s="7"/>
      <c r="T47" s="7"/>
    </row>
    <row r="48" spans="1:20" ht="14.25" customHeight="1" x14ac:dyDescent="0.35">
      <c r="A48" s="5" t="s">
        <v>327</v>
      </c>
      <c r="B48" s="6" t="s">
        <v>21</v>
      </c>
      <c r="C48" s="6" t="s">
        <v>355</v>
      </c>
      <c r="D48" s="6" t="s">
        <v>356</v>
      </c>
      <c r="E48" s="7">
        <v>64.183333000000005</v>
      </c>
      <c r="F48" s="7">
        <v>-51.683332999999998</v>
      </c>
      <c r="G48" s="7">
        <v>50</v>
      </c>
      <c r="I48" s="5" t="s">
        <v>403</v>
      </c>
      <c r="J48" s="6"/>
      <c r="K48" s="8">
        <v>43978</v>
      </c>
      <c r="L48" s="8"/>
      <c r="M48" s="8"/>
      <c r="N48" s="7">
        <v>-12.607604253600757</v>
      </c>
      <c r="O48" s="35">
        <v>-93.550531906650122</v>
      </c>
      <c r="P48" s="35">
        <f t="shared" si="0"/>
        <v>7.3103021221559317</v>
      </c>
      <c r="Q48" s="7">
        <v>4.5719999999999992</v>
      </c>
      <c r="R48" s="7">
        <v>7</v>
      </c>
      <c r="S48" s="7"/>
      <c r="T48" s="7"/>
    </row>
    <row r="49" spans="1:20" ht="14.25" customHeight="1" x14ac:dyDescent="0.35">
      <c r="A49" s="5" t="s">
        <v>327</v>
      </c>
      <c r="B49" s="6" t="s">
        <v>21</v>
      </c>
      <c r="C49" s="6" t="s">
        <v>355</v>
      </c>
      <c r="D49" s="6" t="s">
        <v>356</v>
      </c>
      <c r="E49" s="7">
        <v>64.183333000000005</v>
      </c>
      <c r="F49" s="7">
        <v>-51.683332999999998</v>
      </c>
      <c r="G49" s="7">
        <v>50</v>
      </c>
      <c r="I49" s="5" t="s">
        <v>404</v>
      </c>
      <c r="J49" s="6"/>
      <c r="K49" s="8">
        <v>43980</v>
      </c>
      <c r="L49" s="8"/>
      <c r="M49" s="8"/>
      <c r="N49" s="7">
        <v>-6.1533221162801013</v>
      </c>
      <c r="O49" s="35">
        <v>-39.86798792177914</v>
      </c>
      <c r="P49" s="35">
        <f t="shared" si="0"/>
        <v>9.3585890084616707</v>
      </c>
      <c r="Q49" s="7"/>
      <c r="R49" s="7"/>
      <c r="S49" s="7"/>
      <c r="T49" s="7"/>
    </row>
    <row r="50" spans="1:20" ht="14.25" customHeight="1" x14ac:dyDescent="0.35">
      <c r="A50" s="5" t="s">
        <v>327</v>
      </c>
      <c r="B50" s="6" t="s">
        <v>21</v>
      </c>
      <c r="C50" s="6" t="s">
        <v>355</v>
      </c>
      <c r="D50" s="6" t="s">
        <v>356</v>
      </c>
      <c r="E50" s="7">
        <v>64.183333000000005</v>
      </c>
      <c r="F50" s="7">
        <v>-51.683332999999998</v>
      </c>
      <c r="G50" s="7">
        <v>50</v>
      </c>
      <c r="I50" s="5" t="s">
        <v>405</v>
      </c>
      <c r="J50" s="6"/>
      <c r="K50" s="8">
        <v>43984</v>
      </c>
      <c r="L50" s="8"/>
      <c r="M50" s="8"/>
      <c r="N50" s="7">
        <v>-8.5826890474267525</v>
      </c>
      <c r="O50" s="35">
        <v>-61.507631781117936</v>
      </c>
      <c r="P50" s="35">
        <f t="shared" si="0"/>
        <v>7.1538805982960838</v>
      </c>
      <c r="Q50" s="7">
        <v>2.54</v>
      </c>
      <c r="R50" s="7">
        <v>3</v>
      </c>
      <c r="S50" s="7"/>
      <c r="T50" s="7"/>
    </row>
    <row r="51" spans="1:20" ht="14.25" customHeight="1" x14ac:dyDescent="0.35">
      <c r="A51" s="5" t="s">
        <v>327</v>
      </c>
      <c r="B51" s="6" t="s">
        <v>21</v>
      </c>
      <c r="C51" s="6" t="s">
        <v>355</v>
      </c>
      <c r="D51" s="6" t="s">
        <v>356</v>
      </c>
      <c r="E51" s="7">
        <v>64.183333000000005</v>
      </c>
      <c r="F51" s="7">
        <v>-51.683332999999998</v>
      </c>
      <c r="G51" s="7">
        <v>50</v>
      </c>
      <c r="I51" s="5" t="s">
        <v>406</v>
      </c>
      <c r="J51" s="6"/>
      <c r="K51" s="8">
        <v>43986</v>
      </c>
      <c r="L51" s="8"/>
      <c r="M51" s="8"/>
      <c r="N51" s="7">
        <v>-8.1157167676223825</v>
      </c>
      <c r="O51" s="35">
        <v>-54.846381042204946</v>
      </c>
      <c r="P51" s="35">
        <f t="shared" si="0"/>
        <v>10.079353098774114</v>
      </c>
      <c r="Q51" s="7">
        <v>71.11999999999999</v>
      </c>
      <c r="R51" s="7">
        <v>8</v>
      </c>
      <c r="S51" s="7"/>
      <c r="T51" s="7"/>
    </row>
    <row r="52" spans="1:20" ht="14.25" customHeight="1" x14ac:dyDescent="0.35">
      <c r="A52" s="5" t="s">
        <v>327</v>
      </c>
      <c r="B52" s="6" t="s">
        <v>21</v>
      </c>
      <c r="C52" s="6" t="s">
        <v>355</v>
      </c>
      <c r="D52" s="6" t="s">
        <v>356</v>
      </c>
      <c r="E52" s="7">
        <v>64.183333000000005</v>
      </c>
      <c r="F52" s="7">
        <v>-51.683332999999998</v>
      </c>
      <c r="G52" s="7">
        <v>50</v>
      </c>
      <c r="I52" s="5" t="s">
        <v>407</v>
      </c>
      <c r="J52" s="6"/>
      <c r="K52" s="8">
        <v>43991</v>
      </c>
      <c r="L52" s="8"/>
      <c r="M52" s="8"/>
      <c r="N52" s="7">
        <v>-18.150179369138961</v>
      </c>
      <c r="O52" s="35">
        <v>-139.49930780181415</v>
      </c>
      <c r="P52" s="35">
        <f t="shared" si="0"/>
        <v>5.7021271512975318</v>
      </c>
      <c r="Q52" s="7"/>
      <c r="R52" s="7"/>
      <c r="S52" s="7"/>
      <c r="T52" s="7"/>
    </row>
    <row r="53" spans="1:20" ht="14.25" customHeight="1" x14ac:dyDescent="0.35">
      <c r="A53" s="5" t="s">
        <v>327</v>
      </c>
      <c r="B53" s="6" t="s">
        <v>21</v>
      </c>
      <c r="C53" s="6" t="s">
        <v>355</v>
      </c>
      <c r="D53" s="6" t="s">
        <v>356</v>
      </c>
      <c r="E53" s="7">
        <v>64.183333000000005</v>
      </c>
      <c r="F53" s="7">
        <v>-51.683332999999998</v>
      </c>
      <c r="G53" s="7">
        <v>50</v>
      </c>
      <c r="I53" s="5" t="s">
        <v>408</v>
      </c>
      <c r="J53" s="6"/>
      <c r="K53" s="8">
        <v>43994</v>
      </c>
      <c r="L53" s="8"/>
      <c r="M53" s="8"/>
      <c r="N53" s="7">
        <v>-14.421079230044423</v>
      </c>
      <c r="O53" s="35">
        <v>-110.67357835355799</v>
      </c>
      <c r="P53" s="35">
        <f t="shared" si="0"/>
        <v>4.6950554867974006</v>
      </c>
      <c r="Q53" s="7">
        <v>11.683999999999999</v>
      </c>
      <c r="R53" s="7">
        <v>5</v>
      </c>
      <c r="S53" s="7"/>
      <c r="T53" s="7"/>
    </row>
    <row r="54" spans="1:20" ht="14.25" customHeight="1" x14ac:dyDescent="0.35">
      <c r="A54" s="5" t="s">
        <v>327</v>
      </c>
      <c r="B54" s="6" t="s">
        <v>21</v>
      </c>
      <c r="C54" s="6" t="s">
        <v>355</v>
      </c>
      <c r="D54" s="6" t="s">
        <v>356</v>
      </c>
      <c r="E54" s="7">
        <v>64.183333000000005</v>
      </c>
      <c r="F54" s="7">
        <v>-51.683332999999998</v>
      </c>
      <c r="G54" s="7">
        <v>50</v>
      </c>
      <c r="I54" s="5" t="s">
        <v>409</v>
      </c>
      <c r="J54" s="6"/>
      <c r="K54" s="8">
        <v>43997</v>
      </c>
      <c r="L54" s="8"/>
      <c r="M54" s="8"/>
      <c r="N54" s="7">
        <v>-11.021679328756676</v>
      </c>
      <c r="O54" s="35">
        <v>-82.916994002351245</v>
      </c>
      <c r="P54" s="35">
        <f t="shared" si="0"/>
        <v>5.2564406277021618</v>
      </c>
      <c r="Q54" s="7">
        <v>12.191999999999998</v>
      </c>
      <c r="R54" s="7">
        <v>3</v>
      </c>
      <c r="S54" s="7"/>
      <c r="T54" s="7"/>
    </row>
    <row r="55" spans="1:20" ht="14.25" customHeight="1" x14ac:dyDescent="0.35">
      <c r="A55" s="5" t="s">
        <v>327</v>
      </c>
      <c r="B55" s="6" t="s">
        <v>21</v>
      </c>
      <c r="C55" s="6" t="s">
        <v>355</v>
      </c>
      <c r="D55" s="6" t="s">
        <v>356</v>
      </c>
      <c r="E55" s="7">
        <v>64.183333000000005</v>
      </c>
      <c r="F55" s="7">
        <v>-51.683332999999998</v>
      </c>
      <c r="G55" s="7">
        <v>50</v>
      </c>
      <c r="I55" s="5" t="s">
        <v>410</v>
      </c>
      <c r="J55" s="6"/>
      <c r="K55" s="8">
        <v>43998</v>
      </c>
      <c r="L55" s="8"/>
      <c r="M55" s="8"/>
      <c r="N55" s="7">
        <v>-13.722352169426124</v>
      </c>
      <c r="O55" s="35">
        <v>-98.547281243012165</v>
      </c>
      <c r="P55" s="35">
        <f t="shared" si="0"/>
        <v>11.231536112396824</v>
      </c>
      <c r="Q55" s="7">
        <v>9.6519999999999992</v>
      </c>
      <c r="R55" s="7">
        <v>3</v>
      </c>
      <c r="S55" s="7"/>
      <c r="T55" s="7"/>
    </row>
    <row r="56" spans="1:20" ht="14.25" customHeight="1" x14ac:dyDescent="0.35">
      <c r="A56" s="5" t="s">
        <v>327</v>
      </c>
      <c r="B56" s="6" t="s">
        <v>21</v>
      </c>
      <c r="C56" s="6" t="s">
        <v>355</v>
      </c>
      <c r="D56" s="6" t="s">
        <v>356</v>
      </c>
      <c r="E56" s="7">
        <v>64.183333000000005</v>
      </c>
      <c r="F56" s="7">
        <v>-51.683332999999998</v>
      </c>
      <c r="G56" s="7">
        <v>50</v>
      </c>
      <c r="I56" s="5" t="s">
        <v>411</v>
      </c>
      <c r="J56" s="6"/>
      <c r="K56" s="8">
        <v>43999</v>
      </c>
      <c r="L56" s="8"/>
      <c r="M56" s="8"/>
      <c r="N56" s="7">
        <v>-10.506723668506304</v>
      </c>
      <c r="O56" s="35">
        <v>-74.76548031004458</v>
      </c>
      <c r="P56" s="35">
        <f t="shared" si="0"/>
        <v>9.2883090380058491</v>
      </c>
      <c r="Q56" s="7">
        <v>0.50800000000000001</v>
      </c>
      <c r="R56" s="7">
        <v>3</v>
      </c>
      <c r="S56" s="7"/>
      <c r="T56" s="7"/>
    </row>
    <row r="57" spans="1:20" ht="14.25" customHeight="1" x14ac:dyDescent="0.35">
      <c r="A57" s="5" t="s">
        <v>327</v>
      </c>
      <c r="B57" s="6" t="s">
        <v>21</v>
      </c>
      <c r="C57" s="6" t="s">
        <v>355</v>
      </c>
      <c r="D57" s="6" t="s">
        <v>356</v>
      </c>
      <c r="E57" s="7">
        <v>64.183333000000005</v>
      </c>
      <c r="F57" s="7">
        <v>-51.683332999999998</v>
      </c>
      <c r="G57" s="7">
        <v>50</v>
      </c>
      <c r="I57" s="5" t="s">
        <v>412</v>
      </c>
      <c r="J57" s="6"/>
      <c r="K57" s="8">
        <v>44004</v>
      </c>
      <c r="L57" s="8"/>
      <c r="M57" s="8"/>
      <c r="N57" s="7">
        <v>-4.8204457486427081</v>
      </c>
      <c r="O57" s="35">
        <v>-29.304222597121399</v>
      </c>
      <c r="P57" s="35">
        <f t="shared" si="0"/>
        <v>9.2593433920202664</v>
      </c>
      <c r="Q57" s="7">
        <v>0.7619999999999999</v>
      </c>
      <c r="R57" s="7">
        <v>6</v>
      </c>
      <c r="S57" s="7"/>
      <c r="T57" s="7"/>
    </row>
    <row r="58" spans="1:20" ht="14.25" customHeight="1" x14ac:dyDescent="0.35">
      <c r="A58" s="5" t="s">
        <v>327</v>
      </c>
      <c r="B58" s="6" t="s">
        <v>21</v>
      </c>
      <c r="C58" s="6" t="s">
        <v>355</v>
      </c>
      <c r="D58" s="6" t="s">
        <v>356</v>
      </c>
      <c r="E58" s="7">
        <v>64.183333000000005</v>
      </c>
      <c r="F58" s="7">
        <v>-51.683332999999998</v>
      </c>
      <c r="G58" s="7">
        <v>50</v>
      </c>
      <c r="I58" s="5" t="s">
        <v>413</v>
      </c>
      <c r="J58" s="6"/>
      <c r="K58" s="8">
        <v>44008</v>
      </c>
      <c r="L58" s="8"/>
      <c r="M58" s="8"/>
      <c r="N58" s="7">
        <v>-8.1159641046349904</v>
      </c>
      <c r="O58" s="35">
        <v>-66.025350194940202</v>
      </c>
      <c r="P58" s="35">
        <f t="shared" si="0"/>
        <v>-1.0976373578602789</v>
      </c>
      <c r="Q58" s="7">
        <v>0.254</v>
      </c>
      <c r="R58" s="7">
        <v>19</v>
      </c>
      <c r="S58" s="7"/>
      <c r="T58" s="7"/>
    </row>
    <row r="59" spans="1:20" ht="14.25" customHeight="1" x14ac:dyDescent="0.35">
      <c r="A59" s="5" t="s">
        <v>327</v>
      </c>
      <c r="B59" s="6" t="s">
        <v>21</v>
      </c>
      <c r="C59" s="6" t="s">
        <v>355</v>
      </c>
      <c r="D59" s="6" t="s">
        <v>356</v>
      </c>
      <c r="E59" s="7">
        <v>64.183333000000005</v>
      </c>
      <c r="F59" s="7">
        <v>-51.683332999999998</v>
      </c>
      <c r="G59" s="7">
        <v>50</v>
      </c>
      <c r="I59" s="5" t="s">
        <v>414</v>
      </c>
      <c r="J59" s="6"/>
      <c r="K59" s="8">
        <v>44018</v>
      </c>
      <c r="L59" s="8"/>
      <c r="M59" s="8"/>
      <c r="N59" s="7">
        <v>-8.6472440077175055</v>
      </c>
      <c r="O59" s="35">
        <v>-65.484661826925006</v>
      </c>
      <c r="P59" s="35">
        <f t="shared" si="0"/>
        <v>3.6932902348150378</v>
      </c>
      <c r="Q59" s="7">
        <v>7.1120000000000001</v>
      </c>
      <c r="R59" s="7">
        <v>6</v>
      </c>
      <c r="S59" s="7"/>
      <c r="T59" s="7"/>
    </row>
    <row r="60" spans="1:20" ht="14.25" customHeight="1" x14ac:dyDescent="0.35">
      <c r="A60" s="5" t="s">
        <v>327</v>
      </c>
      <c r="B60" s="6" t="s">
        <v>21</v>
      </c>
      <c r="C60" s="6" t="s">
        <v>355</v>
      </c>
      <c r="D60" s="6" t="s">
        <v>356</v>
      </c>
      <c r="E60" s="7">
        <v>64.183333000000005</v>
      </c>
      <c r="F60" s="7">
        <v>-51.683332999999998</v>
      </c>
      <c r="G60" s="7">
        <v>50</v>
      </c>
      <c r="I60" s="5" t="s">
        <v>415</v>
      </c>
      <c r="J60" s="6"/>
      <c r="K60" s="8">
        <v>44019</v>
      </c>
      <c r="L60" s="8"/>
      <c r="M60" s="8"/>
      <c r="N60" s="7">
        <v>-16.031737856149324</v>
      </c>
      <c r="O60" s="35">
        <v>-120.68430117096955</v>
      </c>
      <c r="P60" s="35">
        <f t="shared" si="0"/>
        <v>7.569601678225041</v>
      </c>
      <c r="Q60" s="7">
        <v>1.5239999999999998</v>
      </c>
      <c r="R60" s="7">
        <v>5</v>
      </c>
      <c r="S60" s="7"/>
      <c r="T60" s="7"/>
    </row>
    <row r="61" spans="1:20" ht="14.25" customHeight="1" x14ac:dyDescent="0.35">
      <c r="A61" s="5" t="s">
        <v>327</v>
      </c>
      <c r="B61" s="6" t="s">
        <v>21</v>
      </c>
      <c r="C61" s="6" t="s">
        <v>355</v>
      </c>
      <c r="D61" s="6" t="s">
        <v>356</v>
      </c>
      <c r="E61" s="7">
        <v>64.183333000000005</v>
      </c>
      <c r="F61" s="7">
        <v>-51.683332999999998</v>
      </c>
      <c r="G61" s="7">
        <v>50</v>
      </c>
      <c r="I61" s="5" t="s">
        <v>416</v>
      </c>
      <c r="J61" s="6"/>
      <c r="K61" s="8">
        <v>44020</v>
      </c>
      <c r="L61" s="8"/>
      <c r="M61" s="8"/>
      <c r="N61" s="7">
        <v>-16.21179920132813</v>
      </c>
      <c r="O61" s="35">
        <v>-123.87151681400647</v>
      </c>
      <c r="P61" s="35">
        <f t="shared" si="0"/>
        <v>5.8228767966185728</v>
      </c>
      <c r="Q61" s="7">
        <v>9.9060000000000006</v>
      </c>
      <c r="R61" s="7">
        <v>10</v>
      </c>
      <c r="S61" s="7"/>
      <c r="T61" s="7"/>
    </row>
    <row r="62" spans="1:20" ht="14.25" customHeight="1" x14ac:dyDescent="0.35">
      <c r="A62" s="5" t="s">
        <v>327</v>
      </c>
      <c r="B62" s="6" t="s">
        <v>21</v>
      </c>
      <c r="C62" s="6" t="s">
        <v>355</v>
      </c>
      <c r="D62" s="6" t="s">
        <v>356</v>
      </c>
      <c r="E62" s="7">
        <v>64.183333000000005</v>
      </c>
      <c r="F62" s="7">
        <v>-51.683332999999998</v>
      </c>
      <c r="G62" s="7">
        <v>50</v>
      </c>
      <c r="I62" s="5" t="s">
        <v>417</v>
      </c>
      <c r="J62" s="6"/>
      <c r="K62" s="8">
        <v>44022</v>
      </c>
      <c r="L62" s="8"/>
      <c r="M62" s="8"/>
      <c r="N62" s="7">
        <v>-12.915538834298022</v>
      </c>
      <c r="O62" s="35">
        <v>-95.389271758358319</v>
      </c>
      <c r="P62" s="35">
        <f t="shared" si="0"/>
        <v>7.9350389160258601</v>
      </c>
      <c r="Q62" s="7">
        <v>23.875999999999998</v>
      </c>
      <c r="R62" s="7">
        <v>5</v>
      </c>
      <c r="S62" s="7"/>
      <c r="T62" s="7"/>
    </row>
    <row r="63" spans="1:20" ht="14.25" customHeight="1" x14ac:dyDescent="0.35">
      <c r="A63" s="5" t="s">
        <v>327</v>
      </c>
      <c r="B63" s="6" t="s">
        <v>21</v>
      </c>
      <c r="C63" s="6" t="s">
        <v>355</v>
      </c>
      <c r="D63" s="6" t="s">
        <v>356</v>
      </c>
      <c r="E63" s="7">
        <v>64.183333000000005</v>
      </c>
      <c r="F63" s="7">
        <v>-51.683332999999998</v>
      </c>
      <c r="G63" s="7">
        <v>50</v>
      </c>
      <c r="I63" s="5" t="s">
        <v>418</v>
      </c>
      <c r="J63" s="6"/>
      <c r="K63" s="8">
        <v>44033</v>
      </c>
      <c r="L63" s="8"/>
      <c r="M63" s="8"/>
      <c r="N63" s="7">
        <v>-7.5042996724547955</v>
      </c>
      <c r="O63" s="35">
        <v>-59.092257520307669</v>
      </c>
      <c r="P63" s="35">
        <f t="shared" si="0"/>
        <v>0.94213985933069466</v>
      </c>
      <c r="Q63" s="7">
        <v>1.778</v>
      </c>
      <c r="R63" s="7">
        <v>11</v>
      </c>
      <c r="S63" s="7"/>
      <c r="T63" s="7"/>
    </row>
    <row r="64" spans="1:20" ht="14.25" customHeight="1" x14ac:dyDescent="0.35">
      <c r="A64" s="5" t="s">
        <v>327</v>
      </c>
      <c r="B64" s="6" t="s">
        <v>21</v>
      </c>
      <c r="C64" s="6" t="s">
        <v>355</v>
      </c>
      <c r="D64" s="6" t="s">
        <v>356</v>
      </c>
      <c r="E64" s="7">
        <v>64.183333000000005</v>
      </c>
      <c r="F64" s="7">
        <v>-51.683332999999998</v>
      </c>
      <c r="G64" s="7">
        <v>50</v>
      </c>
      <c r="I64" s="5" t="s">
        <v>419</v>
      </c>
      <c r="J64" s="6"/>
      <c r="K64" s="8">
        <v>44039</v>
      </c>
      <c r="L64" s="8"/>
      <c r="M64" s="8"/>
      <c r="N64" s="7">
        <v>-9.5025669973107618</v>
      </c>
      <c r="O64" s="35">
        <v>-72.952268617858749</v>
      </c>
      <c r="P64" s="35">
        <f t="shared" si="0"/>
        <v>3.0682673606273454</v>
      </c>
      <c r="Q64" s="7">
        <v>0.7619999999999999</v>
      </c>
      <c r="R64" s="7">
        <v>13</v>
      </c>
      <c r="S64" s="7"/>
      <c r="T64" s="7"/>
    </row>
    <row r="65" spans="1:20" ht="14.25" customHeight="1" x14ac:dyDescent="0.35">
      <c r="A65" s="5" t="s">
        <v>327</v>
      </c>
      <c r="B65" s="6" t="s">
        <v>21</v>
      </c>
      <c r="C65" s="6" t="s">
        <v>355</v>
      </c>
      <c r="D65" s="6" t="s">
        <v>356</v>
      </c>
      <c r="E65" s="7">
        <v>64.183333000000005</v>
      </c>
      <c r="F65" s="7">
        <v>-51.683332999999998</v>
      </c>
      <c r="G65" s="7">
        <v>50</v>
      </c>
      <c r="I65" s="5" t="s">
        <v>420</v>
      </c>
      <c r="J65" s="6"/>
      <c r="K65" s="8">
        <v>44040</v>
      </c>
      <c r="L65" s="8"/>
      <c r="M65" s="8"/>
      <c r="N65" s="7">
        <v>-11.873946409205134</v>
      </c>
      <c r="O65" s="35">
        <v>-87.399935833135871</v>
      </c>
      <c r="P65" s="35">
        <f t="shared" si="0"/>
        <v>7.5916354405052004</v>
      </c>
      <c r="Q65" s="7">
        <v>16.256</v>
      </c>
      <c r="R65" s="7">
        <v>8</v>
      </c>
      <c r="S65" s="7"/>
      <c r="T65" s="7"/>
    </row>
    <row r="66" spans="1:20" ht="14.25" customHeight="1" x14ac:dyDescent="0.35">
      <c r="A66" s="5" t="s">
        <v>327</v>
      </c>
      <c r="B66" s="6" t="s">
        <v>21</v>
      </c>
      <c r="C66" s="6" t="s">
        <v>355</v>
      </c>
      <c r="D66" s="6" t="s">
        <v>356</v>
      </c>
      <c r="E66" s="7">
        <v>64.183333000000005</v>
      </c>
      <c r="F66" s="7">
        <v>-51.683332999999998</v>
      </c>
      <c r="G66" s="7">
        <v>50</v>
      </c>
      <c r="I66" s="5" t="s">
        <v>421</v>
      </c>
      <c r="J66" s="6"/>
      <c r="K66" s="8">
        <v>44046</v>
      </c>
      <c r="L66" s="8"/>
      <c r="M66" s="8"/>
      <c r="N66" s="7">
        <v>-15.033193422386811</v>
      </c>
      <c r="O66" s="35">
        <v>-112.30355622932568</v>
      </c>
      <c r="P66" s="35">
        <f t="shared" si="0"/>
        <v>7.9619911497688065</v>
      </c>
      <c r="Q66" s="7">
        <v>21.335999999999999</v>
      </c>
      <c r="R66" s="7">
        <v>8</v>
      </c>
      <c r="S66" s="7"/>
      <c r="T66" s="7"/>
    </row>
    <row r="67" spans="1:20" ht="14.25" customHeight="1" x14ac:dyDescent="0.35">
      <c r="A67" s="5" t="s">
        <v>327</v>
      </c>
      <c r="B67" s="6" t="s">
        <v>21</v>
      </c>
      <c r="C67" s="6" t="s">
        <v>355</v>
      </c>
      <c r="D67" s="6" t="s">
        <v>356</v>
      </c>
      <c r="E67" s="7">
        <v>64.183333000000005</v>
      </c>
      <c r="F67" s="7">
        <v>-51.683332999999998</v>
      </c>
      <c r="G67" s="7">
        <v>50</v>
      </c>
      <c r="I67" s="5" t="s">
        <v>422</v>
      </c>
      <c r="J67" s="6"/>
      <c r="K67" s="8">
        <v>44048</v>
      </c>
      <c r="L67" s="8"/>
      <c r="M67" s="8"/>
      <c r="N67" s="7">
        <v>-17.246610483622099</v>
      </c>
      <c r="O67" s="35">
        <v>-135.61014940166837</v>
      </c>
      <c r="P67" s="35">
        <f t="shared" si="0"/>
        <v>2.3627344673084281</v>
      </c>
      <c r="Q67" s="7">
        <v>3.556</v>
      </c>
      <c r="R67" s="7">
        <v>13</v>
      </c>
      <c r="S67" s="7"/>
      <c r="T67" s="7"/>
    </row>
    <row r="68" spans="1:20" ht="14.25" customHeight="1" x14ac:dyDescent="0.35">
      <c r="A68" s="5" t="s">
        <v>327</v>
      </c>
      <c r="B68" s="6" t="s">
        <v>21</v>
      </c>
      <c r="C68" s="6" t="s">
        <v>355</v>
      </c>
      <c r="D68" s="6" t="s">
        <v>356</v>
      </c>
      <c r="E68" s="7">
        <v>64.183333000000005</v>
      </c>
      <c r="F68" s="7">
        <v>-51.683332999999998</v>
      </c>
      <c r="G68" s="7">
        <v>50</v>
      </c>
      <c r="I68" s="5" t="s">
        <v>423</v>
      </c>
      <c r="J68" s="6"/>
      <c r="K68" s="8">
        <v>44053</v>
      </c>
      <c r="L68" s="8"/>
      <c r="M68" s="8"/>
      <c r="N68" s="7">
        <v>-12.272254551867038</v>
      </c>
      <c r="O68" s="35">
        <v>-89.037224247500163</v>
      </c>
      <c r="P68" s="35">
        <f t="shared" si="0"/>
        <v>9.1408121674361382</v>
      </c>
      <c r="Q68" s="7">
        <v>22.605999999999998</v>
      </c>
      <c r="R68" s="7">
        <v>5</v>
      </c>
      <c r="S68" s="7"/>
      <c r="T68" s="7"/>
    </row>
    <row r="69" spans="1:20" ht="14.25" customHeight="1" x14ac:dyDescent="0.35">
      <c r="A69" s="5" t="s">
        <v>327</v>
      </c>
      <c r="B69" s="6" t="s">
        <v>21</v>
      </c>
      <c r="C69" s="6" t="s">
        <v>355</v>
      </c>
      <c r="D69" s="6" t="s">
        <v>356</v>
      </c>
      <c r="E69" s="7">
        <v>64.183333000000005</v>
      </c>
      <c r="F69" s="7">
        <v>-51.683332999999998</v>
      </c>
      <c r="G69" s="7">
        <v>50</v>
      </c>
      <c r="I69" s="5" t="s">
        <v>424</v>
      </c>
      <c r="J69" s="6"/>
      <c r="K69" s="8">
        <v>44054</v>
      </c>
      <c r="L69" s="8"/>
      <c r="M69" s="8"/>
      <c r="N69" s="7">
        <v>-11.165303002248381</v>
      </c>
      <c r="O69" s="35">
        <v>-77.16017304493954</v>
      </c>
      <c r="P69" s="35">
        <f t="shared" si="0"/>
        <v>12.162250973047506</v>
      </c>
      <c r="Q69" s="7">
        <v>0.7619999999999999</v>
      </c>
      <c r="R69" s="7">
        <v>6</v>
      </c>
      <c r="S69" s="7"/>
      <c r="T69" s="7"/>
    </row>
    <row r="70" spans="1:20" ht="14.25" customHeight="1" x14ac:dyDescent="0.35">
      <c r="A70" s="5" t="s">
        <v>327</v>
      </c>
      <c r="B70" s="6" t="s">
        <v>21</v>
      </c>
      <c r="C70" s="6" t="s">
        <v>355</v>
      </c>
      <c r="D70" s="6" t="s">
        <v>356</v>
      </c>
      <c r="E70" s="7">
        <v>64.183333000000005</v>
      </c>
      <c r="F70" s="7">
        <v>-51.683332999999998</v>
      </c>
      <c r="G70" s="7">
        <v>50</v>
      </c>
      <c r="I70" s="5" t="s">
        <v>425</v>
      </c>
      <c r="J70" s="6"/>
      <c r="K70" s="8">
        <v>44055</v>
      </c>
      <c r="L70" s="8"/>
      <c r="M70" s="8"/>
      <c r="N70" s="7">
        <v>-12.061800096988936</v>
      </c>
      <c r="O70" s="35">
        <v>-89.176796374626306</v>
      </c>
      <c r="P70" s="35">
        <f t="shared" si="0"/>
        <v>7.3176044012851804</v>
      </c>
      <c r="Q70" s="7">
        <v>10.413999999999998</v>
      </c>
      <c r="R70" s="7">
        <v>7</v>
      </c>
      <c r="S70" s="7"/>
      <c r="T70" s="7"/>
    </row>
    <row r="71" spans="1:20" ht="14.25" customHeight="1" x14ac:dyDescent="0.35">
      <c r="A71" s="5" t="s">
        <v>327</v>
      </c>
      <c r="B71" s="6" t="s">
        <v>21</v>
      </c>
      <c r="C71" s="6" t="s">
        <v>355</v>
      </c>
      <c r="D71" s="6" t="s">
        <v>356</v>
      </c>
      <c r="E71" s="7">
        <v>64.183333000000005</v>
      </c>
      <c r="F71" s="7">
        <v>-51.683332999999998</v>
      </c>
      <c r="G71" s="7">
        <v>50</v>
      </c>
      <c r="I71" s="5" t="s">
        <v>426</v>
      </c>
      <c r="J71" s="6"/>
      <c r="K71" s="8">
        <v>44055</v>
      </c>
      <c r="L71" s="8"/>
      <c r="M71" s="8"/>
      <c r="N71" s="7">
        <v>-8.0370584156669036</v>
      </c>
      <c r="O71" s="35">
        <v>-59.954718341546453</v>
      </c>
      <c r="P71" s="35">
        <f t="shared" si="0"/>
        <v>4.3417489837887757</v>
      </c>
      <c r="Q71" s="7"/>
      <c r="R71" s="7"/>
      <c r="S71" s="7"/>
      <c r="T71" s="7"/>
    </row>
    <row r="72" spans="1:20" ht="14.25" customHeight="1" x14ac:dyDescent="0.35">
      <c r="A72" s="5" t="s">
        <v>327</v>
      </c>
      <c r="B72" s="6" t="s">
        <v>21</v>
      </c>
      <c r="C72" s="6" t="s">
        <v>355</v>
      </c>
      <c r="D72" s="6" t="s">
        <v>356</v>
      </c>
      <c r="E72" s="7">
        <v>64.183333000000005</v>
      </c>
      <c r="F72" s="7">
        <v>-51.683332999999998</v>
      </c>
      <c r="G72" s="7">
        <v>50</v>
      </c>
      <c r="I72" s="5" t="s">
        <v>427</v>
      </c>
      <c r="J72" s="6"/>
      <c r="K72" s="8">
        <v>44078</v>
      </c>
      <c r="L72" s="8"/>
      <c r="M72" s="8"/>
      <c r="N72" s="7">
        <v>-16.31732898729711</v>
      </c>
      <c r="O72" s="35">
        <v>-129.95933828831025</v>
      </c>
      <c r="P72" s="35">
        <f t="shared" si="0"/>
        <v>0.57929361006662816</v>
      </c>
      <c r="Q72" s="7"/>
      <c r="R72" s="7"/>
      <c r="S72" s="7"/>
      <c r="T72" s="7"/>
    </row>
    <row r="73" spans="1:20" ht="14.25" customHeight="1" x14ac:dyDescent="0.35">
      <c r="A73" s="5" t="s">
        <v>327</v>
      </c>
      <c r="B73" s="6" t="s">
        <v>21</v>
      </c>
      <c r="C73" s="6" t="s">
        <v>355</v>
      </c>
      <c r="D73" s="6" t="s">
        <v>356</v>
      </c>
      <c r="E73" s="7">
        <v>64.183333000000005</v>
      </c>
      <c r="F73" s="7">
        <v>-51.683332999999998</v>
      </c>
      <c r="G73" s="7">
        <v>50</v>
      </c>
      <c r="I73" s="5" t="s">
        <v>428</v>
      </c>
      <c r="J73" s="6"/>
      <c r="K73" s="8">
        <v>44081</v>
      </c>
      <c r="L73" s="8"/>
      <c r="M73" s="8"/>
      <c r="N73" s="7">
        <v>-12.080182074805931</v>
      </c>
      <c r="O73" s="35">
        <v>-92.068062083584067</v>
      </c>
      <c r="P73" s="35">
        <f t="shared" si="0"/>
        <v>4.5733945148633808</v>
      </c>
      <c r="Q73" s="7"/>
      <c r="R73" s="7"/>
      <c r="S73" s="7"/>
      <c r="T73" s="7"/>
    </row>
    <row r="74" spans="1:20" ht="14.25" customHeight="1" x14ac:dyDescent="0.35">
      <c r="A74" s="5" t="s">
        <v>327</v>
      </c>
      <c r="B74" s="6" t="s">
        <v>21</v>
      </c>
      <c r="C74" s="6" t="s">
        <v>355</v>
      </c>
      <c r="D74" s="6" t="s">
        <v>356</v>
      </c>
      <c r="E74" s="7">
        <v>64.183333000000005</v>
      </c>
      <c r="F74" s="7">
        <v>-51.683332999999998</v>
      </c>
      <c r="G74" s="7">
        <v>50</v>
      </c>
      <c r="I74" s="5" t="s">
        <v>429</v>
      </c>
      <c r="J74" s="6"/>
      <c r="K74" s="8">
        <v>44081</v>
      </c>
      <c r="L74" s="8"/>
      <c r="M74" s="8"/>
      <c r="N74" s="7">
        <v>-9.494907321806636</v>
      </c>
      <c r="O74" s="35">
        <v>-66.592054689067069</v>
      </c>
      <c r="P74" s="35">
        <f t="shared" si="0"/>
        <v>9.3672038853860187</v>
      </c>
      <c r="Q74" s="7"/>
      <c r="R74" s="7"/>
      <c r="S74" s="7"/>
      <c r="T74" s="7"/>
    </row>
    <row r="75" spans="1:20" ht="14.25" customHeight="1" x14ac:dyDescent="0.35">
      <c r="A75" s="5" t="s">
        <v>327</v>
      </c>
      <c r="B75" s="6" t="s">
        <v>21</v>
      </c>
      <c r="C75" s="6" t="s">
        <v>355</v>
      </c>
      <c r="D75" s="6" t="s">
        <v>356</v>
      </c>
      <c r="E75" s="7">
        <v>64.183333000000005</v>
      </c>
      <c r="F75" s="7">
        <v>-51.683332999999998</v>
      </c>
      <c r="G75" s="7">
        <v>50</v>
      </c>
      <c r="I75" s="5" t="s">
        <v>430</v>
      </c>
      <c r="J75" s="6"/>
      <c r="K75" s="8">
        <v>44083</v>
      </c>
      <c r="L75" s="8"/>
      <c r="M75" s="8"/>
      <c r="N75" s="7">
        <v>-17.837420942131264</v>
      </c>
      <c r="O75" s="35">
        <v>-132.31725893278255</v>
      </c>
      <c r="P75" s="35">
        <f t="shared" si="0"/>
        <v>10.382108604267557</v>
      </c>
      <c r="Q75" s="7"/>
      <c r="R75" s="7"/>
      <c r="S75" s="7"/>
      <c r="T75" s="7"/>
    </row>
    <row r="76" spans="1:20" ht="14.25" customHeight="1" x14ac:dyDescent="0.35">
      <c r="A76" s="5" t="s">
        <v>327</v>
      </c>
      <c r="B76" s="6" t="s">
        <v>21</v>
      </c>
      <c r="C76" s="6" t="s">
        <v>355</v>
      </c>
      <c r="D76" s="6" t="s">
        <v>356</v>
      </c>
      <c r="E76" s="7">
        <v>64.183333000000005</v>
      </c>
      <c r="F76" s="7">
        <v>-51.683332999999998</v>
      </c>
      <c r="G76" s="7">
        <v>50</v>
      </c>
      <c r="I76" s="5" t="s">
        <v>431</v>
      </c>
      <c r="J76" s="6"/>
      <c r="K76" s="8">
        <v>44089</v>
      </c>
      <c r="L76" s="8"/>
      <c r="M76" s="8"/>
      <c r="N76" s="7">
        <v>-18.639772741707837</v>
      </c>
      <c r="O76" s="35">
        <v>-147.34521335133172</v>
      </c>
      <c r="P76" s="35">
        <f t="shared" si="0"/>
        <v>1.7729685823309751</v>
      </c>
      <c r="Q76" s="7"/>
      <c r="R76" s="7"/>
      <c r="S76" s="7"/>
      <c r="T76" s="7"/>
    </row>
    <row r="77" spans="1:20" ht="14.25" customHeight="1" x14ac:dyDescent="0.35">
      <c r="A77" s="5" t="s">
        <v>327</v>
      </c>
      <c r="B77" s="6" t="s">
        <v>21</v>
      </c>
      <c r="C77" s="6" t="s">
        <v>355</v>
      </c>
      <c r="D77" s="6" t="s">
        <v>356</v>
      </c>
      <c r="E77" s="7">
        <v>64.183333000000005</v>
      </c>
      <c r="F77" s="7">
        <v>-51.683332999999998</v>
      </c>
      <c r="G77" s="7">
        <v>50</v>
      </c>
      <c r="I77" s="5" t="s">
        <v>432</v>
      </c>
      <c r="J77" s="6"/>
      <c r="K77" s="8">
        <v>44091</v>
      </c>
      <c r="L77" s="8"/>
      <c r="M77" s="8"/>
      <c r="N77" s="7">
        <v>-16.21739971771348</v>
      </c>
      <c r="O77" s="35">
        <v>-125.84446847843176</v>
      </c>
      <c r="P77" s="35">
        <f t="shared" si="0"/>
        <v>3.8947292632760764</v>
      </c>
      <c r="Q77" s="7"/>
      <c r="R77" s="7"/>
      <c r="S77" s="7"/>
      <c r="T77" s="7"/>
    </row>
    <row r="78" spans="1:20" ht="14.25" customHeight="1" x14ac:dyDescent="0.35">
      <c r="A78" s="5" t="s">
        <v>327</v>
      </c>
      <c r="B78" s="6" t="s">
        <v>21</v>
      </c>
      <c r="C78" s="6" t="s">
        <v>355</v>
      </c>
      <c r="D78" s="6" t="s">
        <v>356</v>
      </c>
      <c r="E78" s="7">
        <v>64.183333000000005</v>
      </c>
      <c r="F78" s="7">
        <v>-51.683332999999998</v>
      </c>
      <c r="G78" s="7">
        <v>50</v>
      </c>
      <c r="I78" s="5" t="s">
        <v>433</v>
      </c>
      <c r="J78" s="6"/>
      <c r="K78" s="8">
        <v>44092</v>
      </c>
      <c r="L78" s="8"/>
      <c r="M78" s="8"/>
      <c r="N78" s="7">
        <v>-16.430387649964718</v>
      </c>
      <c r="O78" s="35">
        <v>-129.94784697036232</v>
      </c>
      <c r="P78" s="35">
        <f t="shared" si="0"/>
        <v>1.4952542293554245</v>
      </c>
      <c r="Q78" s="7"/>
      <c r="R78" s="7"/>
      <c r="S78" s="7"/>
      <c r="T78" s="7"/>
    </row>
    <row r="79" spans="1:20" ht="14.25" customHeight="1" x14ac:dyDescent="0.35">
      <c r="A79" s="5" t="s">
        <v>327</v>
      </c>
      <c r="B79" s="6" t="s">
        <v>21</v>
      </c>
      <c r="C79" s="6" t="s">
        <v>355</v>
      </c>
      <c r="D79" s="6" t="s">
        <v>356</v>
      </c>
      <c r="E79" s="7">
        <v>64.183333000000005</v>
      </c>
      <c r="F79" s="7">
        <v>-51.683332999999998</v>
      </c>
      <c r="G79" s="7">
        <v>50</v>
      </c>
      <c r="I79" s="5" t="s">
        <v>434</v>
      </c>
      <c r="J79" s="6"/>
      <c r="K79" s="8">
        <v>44093</v>
      </c>
      <c r="L79" s="8"/>
      <c r="M79" s="8"/>
      <c r="N79" s="7">
        <v>-9.796397088920255</v>
      </c>
      <c r="O79" s="35">
        <v>-64.248070323808292</v>
      </c>
      <c r="P79" s="35">
        <f t="shared" si="0"/>
        <v>14.123106387553747</v>
      </c>
      <c r="Q79" s="7"/>
      <c r="R79" s="7"/>
      <c r="S79" s="7"/>
      <c r="T79" s="7"/>
    </row>
    <row r="80" spans="1:20" ht="14.25" customHeight="1" x14ac:dyDescent="0.35">
      <c r="A80" s="5" t="s">
        <v>327</v>
      </c>
      <c r="B80" s="6" t="s">
        <v>21</v>
      </c>
      <c r="C80" s="6" t="s">
        <v>355</v>
      </c>
      <c r="D80" s="6" t="s">
        <v>356</v>
      </c>
      <c r="E80" s="7">
        <v>64.183333000000005</v>
      </c>
      <c r="F80" s="7">
        <v>-51.683332999999998</v>
      </c>
      <c r="G80" s="7">
        <v>50</v>
      </c>
      <c r="I80" s="5" t="s">
        <v>435</v>
      </c>
      <c r="J80" s="6"/>
      <c r="K80" s="8">
        <v>44097</v>
      </c>
      <c r="L80" s="8"/>
      <c r="M80" s="8"/>
      <c r="N80" s="7">
        <v>-12.418871788990826</v>
      </c>
      <c r="O80" s="35">
        <v>-85.631212559836513</v>
      </c>
      <c r="P80" s="35">
        <f t="shared" si="0"/>
        <v>13.719761752090093</v>
      </c>
      <c r="Q80" s="7"/>
      <c r="R80" s="7"/>
      <c r="S80" s="7"/>
      <c r="T80" s="7"/>
    </row>
    <row r="81" spans="1:20" ht="14.25" customHeight="1" x14ac:dyDescent="0.35">
      <c r="A81" s="5" t="s">
        <v>327</v>
      </c>
      <c r="B81" s="6" t="s">
        <v>21</v>
      </c>
      <c r="C81" s="6" t="s">
        <v>355</v>
      </c>
      <c r="D81" s="6" t="s">
        <v>356</v>
      </c>
      <c r="E81" s="7">
        <v>64.183333000000005</v>
      </c>
      <c r="F81" s="7">
        <v>-51.683332999999998</v>
      </c>
      <c r="G81" s="7">
        <v>50</v>
      </c>
      <c r="I81" s="5" t="s">
        <v>436</v>
      </c>
      <c r="J81" s="6"/>
      <c r="K81" s="8">
        <v>44102</v>
      </c>
      <c r="L81" s="8"/>
      <c r="M81" s="8"/>
      <c r="N81" s="7">
        <v>-15.696600458715599</v>
      </c>
      <c r="O81" s="35">
        <v>-117.96215785450583</v>
      </c>
      <c r="P81" s="35">
        <f t="shared" si="0"/>
        <v>7.6106458152189589</v>
      </c>
      <c r="Q81" s="7"/>
      <c r="R81" s="7"/>
      <c r="S81" s="7"/>
      <c r="T81" s="7"/>
    </row>
    <row r="84" spans="1:20" x14ac:dyDescent="0.35">
      <c r="M84" s="5" t="s">
        <v>705</v>
      </c>
      <c r="N84" s="7">
        <f>AVERAGE(N2:N81)</f>
        <v>-12.213914152493221</v>
      </c>
      <c r="O84" s="35">
        <f t="shared" ref="O84:P84" si="1">AVERAGE(O2:O81)</f>
        <v>-86.549592316149855</v>
      </c>
      <c r="P84" s="35">
        <f t="shared" si="1"/>
        <v>11.161720903795899</v>
      </c>
    </row>
    <row r="85" spans="1:20" x14ac:dyDescent="0.35">
      <c r="M85" s="5" t="s">
        <v>706</v>
      </c>
      <c r="N85" s="7">
        <f>MIN(N2:N81)</f>
        <v>-19.346753823801347</v>
      </c>
      <c r="O85" s="35">
        <f t="shared" ref="O85:P85" si="2">MIN(O2:O81)</f>
        <v>-147.34521335133172</v>
      </c>
      <c r="P85" s="35">
        <f t="shared" si="2"/>
        <v>-71.897548835256174</v>
      </c>
    </row>
    <row r="86" spans="1:20" x14ac:dyDescent="0.35">
      <c r="M86" s="5" t="s">
        <v>707</v>
      </c>
      <c r="N86" s="7">
        <f>MAX(N2:N81)</f>
        <v>12.457607467089327</v>
      </c>
      <c r="O86" s="35">
        <f t="shared" ref="O86:P86" si="3">MAX(O2:O81)</f>
        <v>27.763310901458436</v>
      </c>
      <c r="P86" s="35">
        <f t="shared" si="3"/>
        <v>37.367242836960102</v>
      </c>
    </row>
    <row r="87" spans="1:20" x14ac:dyDescent="0.35">
      <c r="M87" s="5" t="s">
        <v>708</v>
      </c>
      <c r="N87" s="5">
        <f>_xlfn.STDEV.P(N2:N81)</f>
        <v>4.6177566658402558</v>
      </c>
      <c r="O87" s="35">
        <f t="shared" ref="O87:P87" si="4">_xlfn.STDEV.P(O2:O81)</f>
        <v>32.911885093915977</v>
      </c>
      <c r="P87" s="35">
        <f t="shared" si="4"/>
        <v>13.567176791391525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520E-DD62-4ACA-9269-DF2E33691F38}">
  <dimension ref="A1:T28"/>
  <sheetViews>
    <sheetView zoomScale="85" zoomScaleNormal="85" workbookViewId="0"/>
  </sheetViews>
  <sheetFormatPr defaultRowHeight="14.5" x14ac:dyDescent="0.35"/>
  <cols>
    <col min="1" max="1" width="7.7265625" style="5" customWidth="1"/>
    <col min="2" max="2" width="6.81640625" style="5" bestFit="1" customWidth="1"/>
    <col min="3" max="3" width="12.54296875" style="5" bestFit="1" customWidth="1"/>
    <col min="4" max="4" width="10.3632812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49.1796875" style="5" bestFit="1" customWidth="1"/>
    <col min="10" max="10" width="14.26953125" style="5" bestFit="1" customWidth="1"/>
    <col min="11" max="11" width="17" style="5" bestFit="1" customWidth="1"/>
    <col min="12" max="12" width="17.54296875" style="5" bestFit="1" customWidth="1"/>
    <col min="13" max="13" width="14.726562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327</v>
      </c>
      <c r="B2" s="6" t="s">
        <v>21</v>
      </c>
      <c r="C2" s="6" t="s">
        <v>437</v>
      </c>
      <c r="D2" s="6" t="s">
        <v>356</v>
      </c>
      <c r="E2" s="7">
        <v>69.25</v>
      </c>
      <c r="F2" s="7">
        <v>-53.566667000000002</v>
      </c>
      <c r="G2" s="7">
        <v>20</v>
      </c>
      <c r="I2" s="5" t="s">
        <v>438</v>
      </c>
      <c r="J2" s="6" t="s">
        <v>41</v>
      </c>
      <c r="K2" s="8">
        <v>43746</v>
      </c>
      <c r="L2" s="8">
        <v>43729</v>
      </c>
      <c r="M2" s="8">
        <v>43746</v>
      </c>
      <c r="N2" s="7">
        <v>-20.41</v>
      </c>
      <c r="O2" s="35">
        <v>-158.54</v>
      </c>
      <c r="P2" s="35">
        <f t="shared" ref="P2:P22" si="0">O2-(8*N2)</f>
        <v>4.7400000000000091</v>
      </c>
      <c r="Q2" s="7">
        <v>11.6</v>
      </c>
      <c r="R2" s="7">
        <v>-1.8</v>
      </c>
      <c r="S2" s="7"/>
      <c r="T2" s="7"/>
    </row>
    <row r="3" spans="1:20" ht="14.25" customHeight="1" x14ac:dyDescent="0.35">
      <c r="A3" s="5" t="s">
        <v>327</v>
      </c>
      <c r="B3" s="6" t="s">
        <v>21</v>
      </c>
      <c r="C3" s="6" t="s">
        <v>437</v>
      </c>
      <c r="D3" s="6" t="s">
        <v>356</v>
      </c>
      <c r="E3" s="7">
        <v>69.25</v>
      </c>
      <c r="F3" s="7">
        <v>-53.566667000000002</v>
      </c>
      <c r="G3" s="7">
        <v>20</v>
      </c>
      <c r="I3" s="5" t="s">
        <v>439</v>
      </c>
      <c r="J3" s="6" t="s">
        <v>100</v>
      </c>
      <c r="K3" s="8">
        <v>43753</v>
      </c>
      <c r="L3" s="8">
        <v>43746</v>
      </c>
      <c r="M3" s="8">
        <v>43753</v>
      </c>
      <c r="N3" s="7">
        <v>-1.42</v>
      </c>
      <c r="O3" s="35">
        <v>-50.04</v>
      </c>
      <c r="P3" s="35">
        <f t="shared" si="0"/>
        <v>-38.68</v>
      </c>
      <c r="Q3" s="7">
        <v>2.1</v>
      </c>
      <c r="R3" s="7">
        <v>-2</v>
      </c>
      <c r="S3" s="7"/>
      <c r="T3" s="7"/>
    </row>
    <row r="4" spans="1:20" ht="14.25" customHeight="1" x14ac:dyDescent="0.35">
      <c r="A4" s="5" t="s">
        <v>327</v>
      </c>
      <c r="B4" s="6" t="s">
        <v>21</v>
      </c>
      <c r="C4" s="6" t="s">
        <v>437</v>
      </c>
      <c r="D4" s="6" t="s">
        <v>356</v>
      </c>
      <c r="E4" s="7">
        <v>69.25</v>
      </c>
      <c r="F4" s="7">
        <v>-53.566667000000002</v>
      </c>
      <c r="G4" s="7">
        <v>20</v>
      </c>
      <c r="I4" s="5" t="s">
        <v>440</v>
      </c>
      <c r="J4" s="6" t="s">
        <v>41</v>
      </c>
      <c r="K4" s="8">
        <v>43757</v>
      </c>
      <c r="L4" s="8">
        <v>43753</v>
      </c>
      <c r="M4" s="8">
        <v>43757</v>
      </c>
      <c r="N4" s="7">
        <v>-12.65</v>
      </c>
      <c r="O4" s="35">
        <v>-93.33</v>
      </c>
      <c r="P4" s="35">
        <f t="shared" si="0"/>
        <v>7.8700000000000045</v>
      </c>
      <c r="Q4" s="7">
        <v>15.5</v>
      </c>
      <c r="R4" s="7">
        <v>1.6</v>
      </c>
      <c r="S4" s="7"/>
      <c r="T4" s="7"/>
    </row>
    <row r="5" spans="1:20" ht="14.25" customHeight="1" x14ac:dyDescent="0.35">
      <c r="A5" s="5" t="s">
        <v>327</v>
      </c>
      <c r="B5" s="6" t="s">
        <v>21</v>
      </c>
      <c r="C5" s="6" t="s">
        <v>437</v>
      </c>
      <c r="D5" s="6" t="s">
        <v>356</v>
      </c>
      <c r="E5" s="7">
        <v>69.25</v>
      </c>
      <c r="F5" s="7">
        <v>-53.566667000000002</v>
      </c>
      <c r="G5" s="7">
        <v>20</v>
      </c>
      <c r="I5" s="5" t="s">
        <v>441</v>
      </c>
      <c r="J5" s="6" t="s">
        <v>100</v>
      </c>
      <c r="K5" s="8">
        <v>43799</v>
      </c>
      <c r="L5" s="8"/>
      <c r="M5" s="8"/>
      <c r="N5" s="7">
        <v>-8.99</v>
      </c>
      <c r="O5" s="35">
        <v>-59.07</v>
      </c>
      <c r="P5" s="35">
        <f t="shared" si="0"/>
        <v>12.850000000000001</v>
      </c>
      <c r="Q5" s="7"/>
      <c r="R5" s="7">
        <v>-3</v>
      </c>
      <c r="S5" s="7"/>
      <c r="T5" s="7"/>
    </row>
    <row r="6" spans="1:20" ht="14.25" customHeight="1" x14ac:dyDescent="0.35">
      <c r="A6" s="5" t="s">
        <v>327</v>
      </c>
      <c r="B6" s="6" t="s">
        <v>21</v>
      </c>
      <c r="C6" s="6" t="s">
        <v>437</v>
      </c>
      <c r="D6" s="6" t="s">
        <v>356</v>
      </c>
      <c r="E6" s="7">
        <v>69.25</v>
      </c>
      <c r="F6" s="7">
        <v>-53.566667000000002</v>
      </c>
      <c r="G6" s="7">
        <v>20</v>
      </c>
      <c r="I6" s="5" t="s">
        <v>442</v>
      </c>
      <c r="J6" s="6" t="s">
        <v>100</v>
      </c>
      <c r="K6" s="8">
        <v>43813</v>
      </c>
      <c r="L6" s="8"/>
      <c r="M6" s="8"/>
      <c r="N6" s="7">
        <v>-5.91</v>
      </c>
      <c r="O6" s="35">
        <v>-45.85</v>
      </c>
      <c r="P6" s="35">
        <f t="shared" si="0"/>
        <v>1.4299999999999997</v>
      </c>
      <c r="Q6" s="7"/>
      <c r="R6" s="7">
        <v>-7.9</v>
      </c>
      <c r="S6" s="7"/>
      <c r="T6" s="7"/>
    </row>
    <row r="7" spans="1:20" ht="14.25" customHeight="1" x14ac:dyDescent="0.35">
      <c r="A7" s="5" t="s">
        <v>327</v>
      </c>
      <c r="B7" s="6" t="s">
        <v>21</v>
      </c>
      <c r="C7" s="6" t="s">
        <v>437</v>
      </c>
      <c r="D7" s="6" t="s">
        <v>356</v>
      </c>
      <c r="E7" s="7">
        <v>69.25</v>
      </c>
      <c r="F7" s="7">
        <v>-53.566667000000002</v>
      </c>
      <c r="G7" s="7">
        <v>20</v>
      </c>
      <c r="I7" s="5" t="s">
        <v>443</v>
      </c>
      <c r="J7" s="6" t="s">
        <v>100</v>
      </c>
      <c r="K7" s="8">
        <v>43868</v>
      </c>
      <c r="L7" s="8"/>
      <c r="M7" s="8"/>
      <c r="N7" s="7">
        <v>-11.154003953094673</v>
      </c>
      <c r="O7" s="35">
        <v>-92.261927252312546</v>
      </c>
      <c r="P7" s="35">
        <f t="shared" si="0"/>
        <v>-3.0298956275551632</v>
      </c>
      <c r="Q7" s="7"/>
      <c r="R7" s="7">
        <v>-10.6</v>
      </c>
      <c r="S7" s="7"/>
      <c r="T7" s="7"/>
    </row>
    <row r="8" spans="1:20" ht="14.25" customHeight="1" x14ac:dyDescent="0.35">
      <c r="A8" s="5" t="s">
        <v>327</v>
      </c>
      <c r="B8" s="6" t="s">
        <v>21</v>
      </c>
      <c r="C8" s="6" t="s">
        <v>437</v>
      </c>
      <c r="D8" s="6" t="s">
        <v>356</v>
      </c>
      <c r="E8" s="7">
        <v>69.25</v>
      </c>
      <c r="F8" s="7">
        <v>-53.566667000000002</v>
      </c>
      <c r="G8" s="7">
        <v>20</v>
      </c>
      <c r="I8" s="5" t="s">
        <v>444</v>
      </c>
      <c r="J8" s="6" t="s">
        <v>100</v>
      </c>
      <c r="K8" s="8">
        <v>43871</v>
      </c>
      <c r="L8" s="8"/>
      <c r="M8" s="8"/>
      <c r="N8" s="7">
        <v>-18.134953865789775</v>
      </c>
      <c r="O8" s="35">
        <v>-126.56527218367097</v>
      </c>
      <c r="P8" s="35">
        <f t="shared" si="0"/>
        <v>18.514358742647232</v>
      </c>
      <c r="Q8" s="7"/>
      <c r="R8" s="7">
        <v>-17</v>
      </c>
      <c r="S8" s="7"/>
      <c r="T8" s="7"/>
    </row>
    <row r="9" spans="1:20" ht="14.25" customHeight="1" x14ac:dyDescent="0.35">
      <c r="A9" s="5" t="s">
        <v>327</v>
      </c>
      <c r="B9" s="6" t="s">
        <v>21</v>
      </c>
      <c r="C9" s="6" t="s">
        <v>437</v>
      </c>
      <c r="D9" s="6" t="s">
        <v>356</v>
      </c>
      <c r="E9" s="7">
        <v>69.25</v>
      </c>
      <c r="F9" s="7">
        <v>-53.566667000000002</v>
      </c>
      <c r="G9" s="7">
        <v>20</v>
      </c>
      <c r="I9" s="5" t="s">
        <v>445</v>
      </c>
      <c r="J9" s="6" t="s">
        <v>100</v>
      </c>
      <c r="K9" s="8">
        <v>43878</v>
      </c>
      <c r="L9" s="8"/>
      <c r="M9" s="8"/>
      <c r="N9" s="7">
        <v>-14.722653040603424</v>
      </c>
      <c r="O9" s="35">
        <v>-100.35038993735327</v>
      </c>
      <c r="P9" s="35">
        <f t="shared" si="0"/>
        <v>17.430834387474121</v>
      </c>
      <c r="Q9" s="7"/>
      <c r="R9" s="7">
        <v>-12.8</v>
      </c>
      <c r="S9" s="7"/>
      <c r="T9" s="7"/>
    </row>
    <row r="10" spans="1:20" ht="14.25" customHeight="1" x14ac:dyDescent="0.35">
      <c r="A10" s="5" t="s">
        <v>327</v>
      </c>
      <c r="B10" s="6" t="s">
        <v>21</v>
      </c>
      <c r="C10" s="6" t="s">
        <v>437</v>
      </c>
      <c r="D10" s="6" t="s">
        <v>356</v>
      </c>
      <c r="E10" s="7">
        <v>69.25</v>
      </c>
      <c r="F10" s="7">
        <v>-53.566667000000002</v>
      </c>
      <c r="G10" s="7">
        <v>20</v>
      </c>
      <c r="I10" s="5" t="s">
        <v>446</v>
      </c>
      <c r="J10" s="6" t="s">
        <v>100</v>
      </c>
      <c r="K10" s="8">
        <v>43880</v>
      </c>
      <c r="L10" s="8"/>
      <c r="M10" s="8"/>
      <c r="N10" s="7">
        <v>-20.362672309724083</v>
      </c>
      <c r="O10" s="35">
        <v>-143.53539094918847</v>
      </c>
      <c r="P10" s="35">
        <f t="shared" si="0"/>
        <v>19.365987528604194</v>
      </c>
      <c r="Q10" s="7"/>
      <c r="R10" s="7">
        <v>-15.2</v>
      </c>
      <c r="S10" s="7"/>
      <c r="T10" s="7"/>
    </row>
    <row r="11" spans="1:20" ht="14.25" customHeight="1" x14ac:dyDescent="0.35">
      <c r="A11" s="5" t="s">
        <v>327</v>
      </c>
      <c r="B11" s="6" t="s">
        <v>21</v>
      </c>
      <c r="C11" s="6" t="s">
        <v>437</v>
      </c>
      <c r="D11" s="6" t="s">
        <v>356</v>
      </c>
      <c r="E11" s="7">
        <v>69.25</v>
      </c>
      <c r="F11" s="7">
        <v>-53.566667000000002</v>
      </c>
      <c r="G11" s="7">
        <v>20</v>
      </c>
      <c r="I11" s="5" t="s">
        <v>447</v>
      </c>
      <c r="J11" s="6" t="s">
        <v>100</v>
      </c>
      <c r="K11" s="8">
        <v>43898</v>
      </c>
      <c r="L11" s="8"/>
      <c r="M11" s="8"/>
      <c r="N11" s="7">
        <v>-11.368738519628092</v>
      </c>
      <c r="O11" s="35">
        <v>-71.216663946679546</v>
      </c>
      <c r="P11" s="35">
        <f t="shared" si="0"/>
        <v>19.733244210345191</v>
      </c>
      <c r="Q11" s="7"/>
      <c r="R11" s="7">
        <v>-15.5</v>
      </c>
      <c r="S11" s="7"/>
      <c r="T11" s="7"/>
    </row>
    <row r="12" spans="1:20" ht="14.25" customHeight="1" x14ac:dyDescent="0.35">
      <c r="A12" s="5" t="s">
        <v>327</v>
      </c>
      <c r="B12" s="6" t="s">
        <v>21</v>
      </c>
      <c r="C12" s="6" t="s">
        <v>437</v>
      </c>
      <c r="D12" s="6" t="s">
        <v>356</v>
      </c>
      <c r="E12" s="7">
        <v>69.25</v>
      </c>
      <c r="F12" s="7">
        <v>-53.566667000000002</v>
      </c>
      <c r="G12" s="7">
        <v>20</v>
      </c>
      <c r="I12" s="5" t="s">
        <v>448</v>
      </c>
      <c r="J12" s="6" t="s">
        <v>100</v>
      </c>
      <c r="K12" s="8">
        <v>43904</v>
      </c>
      <c r="L12" s="8"/>
      <c r="M12" s="8"/>
      <c r="N12" s="7">
        <v>-15.951941253113283</v>
      </c>
      <c r="O12" s="35">
        <v>-97.486748331559909</v>
      </c>
      <c r="P12" s="35">
        <f t="shared" si="0"/>
        <v>30.128781693346355</v>
      </c>
      <c r="Q12" s="7"/>
      <c r="R12" s="7">
        <v>-18.8</v>
      </c>
      <c r="S12" s="7"/>
      <c r="T12" s="7"/>
    </row>
    <row r="13" spans="1:20" ht="14.25" customHeight="1" x14ac:dyDescent="0.35">
      <c r="A13" s="5" t="s">
        <v>327</v>
      </c>
      <c r="B13" s="6" t="s">
        <v>21</v>
      </c>
      <c r="C13" s="6" t="s">
        <v>437</v>
      </c>
      <c r="D13" s="6" t="s">
        <v>356</v>
      </c>
      <c r="E13" s="7">
        <v>69.25</v>
      </c>
      <c r="F13" s="7">
        <v>-53.566667000000002</v>
      </c>
      <c r="G13" s="7">
        <v>20</v>
      </c>
      <c r="I13" s="5" t="s">
        <v>449</v>
      </c>
      <c r="J13" s="6" t="s">
        <v>100</v>
      </c>
      <c r="K13" s="8">
        <v>43916</v>
      </c>
      <c r="L13" s="8"/>
      <c r="M13" s="8"/>
      <c r="N13" s="7">
        <v>-22.978085585385958</v>
      </c>
      <c r="O13" s="35">
        <v>-153.2612717354171</v>
      </c>
      <c r="P13" s="35">
        <f t="shared" si="0"/>
        <v>30.563412947670571</v>
      </c>
      <c r="Q13" s="7"/>
      <c r="R13" s="7">
        <v>-16.8</v>
      </c>
      <c r="S13" s="7"/>
      <c r="T13" s="7"/>
    </row>
    <row r="14" spans="1:20" ht="14.25" customHeight="1" x14ac:dyDescent="0.35">
      <c r="A14" s="5" t="s">
        <v>327</v>
      </c>
      <c r="B14" s="6" t="s">
        <v>21</v>
      </c>
      <c r="C14" s="6" t="s">
        <v>437</v>
      </c>
      <c r="D14" s="6" t="s">
        <v>356</v>
      </c>
      <c r="E14" s="7">
        <v>69.25</v>
      </c>
      <c r="F14" s="7">
        <v>-53.566667000000002</v>
      </c>
      <c r="G14" s="7">
        <v>20</v>
      </c>
      <c r="I14" s="5" t="s">
        <v>450</v>
      </c>
      <c r="J14" s="6" t="s">
        <v>100</v>
      </c>
      <c r="K14" s="8">
        <v>43919</v>
      </c>
      <c r="L14" s="8"/>
      <c r="M14" s="8"/>
      <c r="N14" s="7">
        <v>-15.539084122918199</v>
      </c>
      <c r="O14" s="35">
        <v>-122.69032739940947</v>
      </c>
      <c r="P14" s="35">
        <f t="shared" si="0"/>
        <v>1.6223455839361236</v>
      </c>
      <c r="Q14" s="7"/>
      <c r="R14" s="7">
        <v>-2.2000000000000002</v>
      </c>
      <c r="S14" s="7"/>
      <c r="T14" s="7"/>
    </row>
    <row r="15" spans="1:20" ht="14.25" customHeight="1" x14ac:dyDescent="0.35">
      <c r="A15" s="5" t="s">
        <v>327</v>
      </c>
      <c r="B15" s="6" t="s">
        <v>21</v>
      </c>
      <c r="C15" s="6" t="s">
        <v>437</v>
      </c>
      <c r="D15" s="6" t="s">
        <v>356</v>
      </c>
      <c r="E15" s="7">
        <v>69.25</v>
      </c>
      <c r="F15" s="7">
        <v>-53.566667000000002</v>
      </c>
      <c r="G15" s="7">
        <v>20</v>
      </c>
      <c r="I15" s="5" t="s">
        <v>451</v>
      </c>
      <c r="J15" s="6" t="s">
        <v>100</v>
      </c>
      <c r="K15" s="8">
        <v>43934</v>
      </c>
      <c r="L15" s="8"/>
      <c r="M15" s="8"/>
      <c r="N15" s="7">
        <v>-14.99699538214726</v>
      </c>
      <c r="O15" s="35">
        <v>-115.05182347936402</v>
      </c>
      <c r="P15" s="35">
        <f t="shared" si="0"/>
        <v>4.92413957781406</v>
      </c>
      <c r="Q15" s="7"/>
      <c r="R15" s="7">
        <v>0.5</v>
      </c>
      <c r="S15" s="7"/>
      <c r="T15" s="7"/>
    </row>
    <row r="16" spans="1:20" ht="14.25" customHeight="1" x14ac:dyDescent="0.35">
      <c r="A16" s="5" t="s">
        <v>327</v>
      </c>
      <c r="B16" s="6" t="s">
        <v>21</v>
      </c>
      <c r="C16" s="6" t="s">
        <v>437</v>
      </c>
      <c r="D16" s="6" t="s">
        <v>356</v>
      </c>
      <c r="E16" s="7">
        <v>69.25</v>
      </c>
      <c r="F16" s="7">
        <v>-53.566667000000002</v>
      </c>
      <c r="G16" s="7">
        <v>20</v>
      </c>
      <c r="I16" s="5" t="s">
        <v>452</v>
      </c>
      <c r="J16" s="6" t="s">
        <v>100</v>
      </c>
      <c r="K16" s="8">
        <v>43935</v>
      </c>
      <c r="L16" s="8"/>
      <c r="M16" s="8"/>
      <c r="N16" s="7">
        <v>-15.996158496051336</v>
      </c>
      <c r="O16" s="35">
        <v>-118.67210239772307</v>
      </c>
      <c r="P16" s="35">
        <f t="shared" si="0"/>
        <v>9.2971655706876248</v>
      </c>
      <c r="Q16" s="7"/>
      <c r="R16" s="7">
        <v>-1.4</v>
      </c>
      <c r="S16" s="7"/>
      <c r="T16" s="7"/>
    </row>
    <row r="17" spans="1:20" ht="14.25" customHeight="1" x14ac:dyDescent="0.35">
      <c r="A17" s="5" t="s">
        <v>327</v>
      </c>
      <c r="B17" s="6" t="s">
        <v>21</v>
      </c>
      <c r="C17" s="6" t="s">
        <v>437</v>
      </c>
      <c r="D17" s="6" t="s">
        <v>356</v>
      </c>
      <c r="E17" s="7">
        <v>69.25</v>
      </c>
      <c r="F17" s="7">
        <v>-53.566667000000002</v>
      </c>
      <c r="G17" s="7">
        <v>20</v>
      </c>
      <c r="I17" s="5" t="s">
        <v>453</v>
      </c>
      <c r="J17" s="6" t="s">
        <v>100</v>
      </c>
      <c r="K17" s="8">
        <v>43949</v>
      </c>
      <c r="L17" s="8"/>
      <c r="M17" s="8"/>
      <c r="N17" s="7">
        <v>-12.521318365936024</v>
      </c>
      <c r="O17" s="35">
        <v>-92.197402085903718</v>
      </c>
      <c r="P17" s="35">
        <f t="shared" si="0"/>
        <v>7.973144841584471</v>
      </c>
      <c r="Q17" s="7"/>
      <c r="R17" s="7">
        <v>-1.9</v>
      </c>
      <c r="S17" s="7"/>
      <c r="T17" s="7"/>
    </row>
    <row r="18" spans="1:20" ht="14.25" customHeight="1" x14ac:dyDescent="0.35">
      <c r="A18" s="5" t="s">
        <v>327</v>
      </c>
      <c r="B18" s="6" t="s">
        <v>21</v>
      </c>
      <c r="C18" s="6" t="s">
        <v>437</v>
      </c>
      <c r="D18" s="6" t="s">
        <v>356</v>
      </c>
      <c r="E18" s="7">
        <v>69.25</v>
      </c>
      <c r="F18" s="7">
        <v>-53.566667000000002</v>
      </c>
      <c r="G18" s="7">
        <v>20</v>
      </c>
      <c r="I18" s="5" t="s">
        <v>454</v>
      </c>
      <c r="J18" s="6" t="s">
        <v>100</v>
      </c>
      <c r="K18" s="8">
        <v>43955</v>
      </c>
      <c r="L18" s="8"/>
      <c r="M18" s="8"/>
      <c r="N18" s="7">
        <v>-12.327837391312057</v>
      </c>
      <c r="O18" s="35">
        <v>-89.577876603976406</v>
      </c>
      <c r="P18" s="35">
        <f t="shared" si="0"/>
        <v>9.0448225265200506</v>
      </c>
      <c r="Q18" s="7"/>
      <c r="R18" s="7">
        <v>-2.1</v>
      </c>
      <c r="S18" s="7"/>
      <c r="T18" s="7"/>
    </row>
    <row r="19" spans="1:20" ht="14.25" customHeight="1" x14ac:dyDescent="0.35">
      <c r="A19" s="5" t="s">
        <v>327</v>
      </c>
      <c r="B19" s="6" t="s">
        <v>21</v>
      </c>
      <c r="C19" s="6" t="s">
        <v>437</v>
      </c>
      <c r="D19" s="6" t="s">
        <v>356</v>
      </c>
      <c r="E19" s="7">
        <v>69.25</v>
      </c>
      <c r="F19" s="7">
        <v>-53.566667000000002</v>
      </c>
      <c r="G19" s="7">
        <v>20</v>
      </c>
      <c r="I19" s="5" t="s">
        <v>455</v>
      </c>
      <c r="J19" s="6" t="s">
        <v>41</v>
      </c>
      <c r="K19" s="8">
        <v>43986</v>
      </c>
      <c r="L19" s="8"/>
      <c r="M19" s="8"/>
      <c r="N19" s="7">
        <v>-13.562744369499127</v>
      </c>
      <c r="O19" s="35">
        <v>-101.09255202247364</v>
      </c>
      <c r="P19" s="35">
        <f t="shared" si="0"/>
        <v>7.4094029335193738</v>
      </c>
      <c r="Q19" s="7"/>
      <c r="R19" s="7">
        <v>5.4</v>
      </c>
      <c r="S19" s="7"/>
      <c r="T19" s="7"/>
    </row>
    <row r="20" spans="1:20" ht="14.25" customHeight="1" x14ac:dyDescent="0.35">
      <c r="A20" s="5" t="s">
        <v>327</v>
      </c>
      <c r="B20" s="6" t="s">
        <v>21</v>
      </c>
      <c r="C20" s="6" t="s">
        <v>437</v>
      </c>
      <c r="D20" s="6" t="s">
        <v>356</v>
      </c>
      <c r="E20" s="7">
        <v>69.25</v>
      </c>
      <c r="F20" s="7">
        <v>-53.566667000000002</v>
      </c>
      <c r="G20" s="7">
        <v>20</v>
      </c>
      <c r="I20" s="5" t="s">
        <v>456</v>
      </c>
      <c r="J20" s="6" t="s">
        <v>41</v>
      </c>
      <c r="K20" s="8">
        <v>43989</v>
      </c>
      <c r="L20" s="8"/>
      <c r="M20" s="8"/>
      <c r="N20" s="7">
        <v>-11.118825594072131</v>
      </c>
      <c r="O20" s="35">
        <v>-87.327346750485802</v>
      </c>
      <c r="P20" s="35">
        <f t="shared" si="0"/>
        <v>1.6232580020912479</v>
      </c>
      <c r="Q20" s="7">
        <v>3.7</v>
      </c>
      <c r="R20" s="7">
        <v>8.6</v>
      </c>
      <c r="S20" s="7"/>
      <c r="T20" s="7"/>
    </row>
    <row r="21" spans="1:20" ht="14.25" customHeight="1" x14ac:dyDescent="0.35">
      <c r="A21" s="5" t="s">
        <v>327</v>
      </c>
      <c r="B21" s="6" t="s">
        <v>21</v>
      </c>
      <c r="C21" s="6" t="s">
        <v>437</v>
      </c>
      <c r="D21" s="6" t="s">
        <v>356</v>
      </c>
      <c r="E21" s="7">
        <v>69.25</v>
      </c>
      <c r="F21" s="7">
        <v>-53.566667000000002</v>
      </c>
      <c r="G21" s="7">
        <v>20</v>
      </c>
      <c r="I21" s="5" t="s">
        <v>457</v>
      </c>
      <c r="J21" s="6" t="s">
        <v>458</v>
      </c>
      <c r="K21" s="8">
        <v>43996</v>
      </c>
      <c r="L21" s="8"/>
      <c r="M21" s="8"/>
      <c r="N21" s="7">
        <v>-18.00156925449598</v>
      </c>
      <c r="O21" s="35">
        <v>-137.20873518423016</v>
      </c>
      <c r="P21" s="35">
        <f t="shared" si="0"/>
        <v>6.8038188517376739</v>
      </c>
      <c r="Q21" s="7">
        <v>20.6</v>
      </c>
      <c r="R21" s="7">
        <v>4.9000000000000004</v>
      </c>
      <c r="S21" s="7"/>
      <c r="T21" s="7"/>
    </row>
    <row r="22" spans="1:20" ht="14.25" customHeight="1" x14ac:dyDescent="0.35">
      <c r="A22" s="5" t="s">
        <v>327</v>
      </c>
      <c r="B22" s="6" t="s">
        <v>21</v>
      </c>
      <c r="C22" s="6" t="s">
        <v>437</v>
      </c>
      <c r="D22" s="6" t="s">
        <v>356</v>
      </c>
      <c r="E22" s="7">
        <v>69.25</v>
      </c>
      <c r="F22" s="7">
        <v>-53.566667000000002</v>
      </c>
      <c r="G22" s="7">
        <v>20</v>
      </c>
      <c r="I22" s="5" t="s">
        <v>459</v>
      </c>
      <c r="J22" s="6" t="s">
        <v>41</v>
      </c>
      <c r="K22" s="8">
        <v>44019</v>
      </c>
      <c r="L22" s="8"/>
      <c r="M22" s="8"/>
      <c r="N22" s="7">
        <v>-13.821696178970601</v>
      </c>
      <c r="O22" s="35">
        <v>-109.45309991491881</v>
      </c>
      <c r="P22" s="35">
        <f t="shared" si="0"/>
        <v>1.1204695168460006</v>
      </c>
      <c r="Q22" s="7">
        <v>6</v>
      </c>
      <c r="R22" s="7">
        <v>7.5</v>
      </c>
      <c r="S22" s="7"/>
      <c r="T22" s="7"/>
    </row>
    <row r="23" spans="1:20" ht="14.25" customHeight="1" x14ac:dyDescent="0.35">
      <c r="B23" s="6"/>
      <c r="C23" s="6"/>
      <c r="D23" s="6"/>
      <c r="E23" s="7"/>
      <c r="F23" s="7"/>
      <c r="G23" s="7"/>
      <c r="J23" s="6"/>
      <c r="K23" s="8"/>
      <c r="L23" s="8"/>
      <c r="M23" s="8"/>
      <c r="N23" s="7"/>
      <c r="Q23" s="7"/>
      <c r="R23" s="7"/>
      <c r="S23" s="7"/>
      <c r="T23" s="7"/>
    </row>
    <row r="25" spans="1:20" x14ac:dyDescent="0.35">
      <c r="M25" s="5" t="s">
        <v>705</v>
      </c>
      <c r="N25" s="7">
        <f>AVERAGE(N2:N22)</f>
        <v>-13.901870365844857</v>
      </c>
      <c r="O25" s="35">
        <f t="shared" ref="O25:P25" si="1">AVERAGE(O2:O22)</f>
        <v>-103.0847109606984</v>
      </c>
      <c r="P25" s="35">
        <f t="shared" si="1"/>
        <v>8.1302519660604364</v>
      </c>
    </row>
    <row r="26" spans="1:20" x14ac:dyDescent="0.35">
      <c r="M26" s="5" t="s">
        <v>706</v>
      </c>
      <c r="N26" s="7">
        <f>MIN(N2:N22)</f>
        <v>-22.978085585385958</v>
      </c>
      <c r="O26" s="35">
        <f t="shared" ref="O26:P26" si="2">MIN(O2:O22)</f>
        <v>-158.54</v>
      </c>
      <c r="P26" s="35">
        <f t="shared" si="2"/>
        <v>-38.68</v>
      </c>
    </row>
    <row r="27" spans="1:20" x14ac:dyDescent="0.35">
      <c r="M27" s="5" t="s">
        <v>707</v>
      </c>
      <c r="N27" s="7">
        <f>MAX(N2:N22)</f>
        <v>-1.42</v>
      </c>
      <c r="O27" s="35">
        <f t="shared" ref="O27:P27" si="3">MAX(O2:O22)</f>
        <v>-45.85</v>
      </c>
      <c r="P27" s="35">
        <f t="shared" si="3"/>
        <v>30.563412947670571</v>
      </c>
    </row>
    <row r="28" spans="1:20" x14ac:dyDescent="0.35">
      <c r="M28" s="5" t="s">
        <v>708</v>
      </c>
      <c r="N28" s="5">
        <f>_xlfn.STDEV.P(N2:N22)</f>
        <v>4.8103199607711851</v>
      </c>
      <c r="O28" s="35">
        <f t="shared" ref="O28:P28" si="4">_xlfn.STDEV.P(O2:O22)</f>
        <v>30.552754907818155</v>
      </c>
      <c r="P28" s="35">
        <f t="shared" si="4"/>
        <v>13.7762305857839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6DB1-2B55-4A40-BFB6-748DF5C9E5EF}">
  <dimension ref="A1:U12"/>
  <sheetViews>
    <sheetView zoomScale="85" zoomScaleNormal="85" workbookViewId="0"/>
  </sheetViews>
  <sheetFormatPr defaultRowHeight="14.5" x14ac:dyDescent="0.35"/>
  <cols>
    <col min="1" max="1" width="7.7265625" style="5" customWidth="1"/>
    <col min="2" max="2" width="6.81640625" style="5" bestFit="1" customWidth="1"/>
    <col min="3" max="3" width="33.08984375" style="5" bestFit="1" customWidth="1"/>
    <col min="4" max="4" width="7.632812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39.26953125" style="5" bestFit="1" customWidth="1"/>
    <col min="10" max="10" width="10.54296875" style="5" bestFit="1" customWidth="1"/>
    <col min="11" max="11" width="17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17" style="5" bestFit="1" customWidth="1"/>
    <col min="18" max="18" width="24.08984375" style="5" bestFit="1" customWidth="1"/>
    <col min="19" max="19" width="18.36328125" style="5" bestFit="1" customWidth="1"/>
    <col min="20" max="20" width="14.81640625" style="5" bestFit="1" customWidth="1"/>
    <col min="21" max="21" width="8.453125" style="5" bestFit="1" customWidth="1"/>
    <col min="22" max="16384" width="8.7265625" style="5"/>
  </cols>
  <sheetData>
    <row r="1" spans="1:21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18" t="s">
        <v>460</v>
      </c>
      <c r="R1" s="18" t="s">
        <v>16</v>
      </c>
      <c r="S1" s="3" t="s">
        <v>17</v>
      </c>
      <c r="T1" s="3" t="s">
        <v>18</v>
      </c>
      <c r="U1" s="3" t="s">
        <v>19</v>
      </c>
    </row>
    <row r="2" spans="1:21" ht="14.25" customHeight="1" x14ac:dyDescent="0.35">
      <c r="A2" s="5" t="s">
        <v>327</v>
      </c>
      <c r="B2" s="5" t="s">
        <v>21</v>
      </c>
      <c r="C2" s="5" t="s">
        <v>461</v>
      </c>
      <c r="D2" s="5" t="s">
        <v>462</v>
      </c>
      <c r="E2" s="7">
        <v>64.033332999999999</v>
      </c>
      <c r="F2" s="7">
        <v>-22.7</v>
      </c>
      <c r="G2" s="7">
        <v>3</v>
      </c>
      <c r="I2" s="5" t="s">
        <v>463</v>
      </c>
      <c r="J2" s="5" t="s">
        <v>41</v>
      </c>
      <c r="K2" s="8">
        <v>43746</v>
      </c>
      <c r="N2" s="7">
        <v>-11.01</v>
      </c>
      <c r="O2" s="35">
        <v>-84.11</v>
      </c>
      <c r="P2" s="35">
        <f t="shared" ref="P2:P6" si="0">O2-(8*N2)</f>
        <v>3.9699999999999989</v>
      </c>
      <c r="Q2" s="7">
        <v>7.1</v>
      </c>
      <c r="R2" s="7">
        <f t="shared" ref="R2:R6" si="1">Q2*25.4</f>
        <v>180.33999999999997</v>
      </c>
      <c r="S2" s="7">
        <v>17</v>
      </c>
      <c r="T2" s="7"/>
      <c r="U2" s="7"/>
    </row>
    <row r="3" spans="1:21" ht="14.25" customHeight="1" x14ac:dyDescent="0.35">
      <c r="A3" s="5" t="s">
        <v>327</v>
      </c>
      <c r="B3" s="5" t="s">
        <v>21</v>
      </c>
      <c r="C3" s="5" t="s">
        <v>461</v>
      </c>
      <c r="D3" s="5" t="s">
        <v>462</v>
      </c>
      <c r="E3" s="7">
        <v>64.033332999999999</v>
      </c>
      <c r="F3" s="7">
        <v>-22.7</v>
      </c>
      <c r="G3" s="7">
        <v>3</v>
      </c>
      <c r="I3" s="5" t="s">
        <v>464</v>
      </c>
      <c r="J3" s="5" t="s">
        <v>41</v>
      </c>
      <c r="K3" s="8">
        <v>43770</v>
      </c>
      <c r="N3" s="7">
        <v>-8.7799999999999994</v>
      </c>
      <c r="O3" s="35">
        <v>-61.73</v>
      </c>
      <c r="P3" s="35">
        <f t="shared" si="0"/>
        <v>8.509999999999998</v>
      </c>
      <c r="Q3" s="7">
        <v>14.7</v>
      </c>
      <c r="R3" s="7">
        <f t="shared" si="1"/>
        <v>373.37999999999994</v>
      </c>
      <c r="S3" s="7">
        <v>8</v>
      </c>
      <c r="T3" s="7"/>
      <c r="U3" s="7"/>
    </row>
    <row r="4" spans="1:21" ht="14.25" customHeight="1" x14ac:dyDescent="0.35">
      <c r="A4" s="5" t="s">
        <v>327</v>
      </c>
      <c r="B4" s="5" t="s">
        <v>21</v>
      </c>
      <c r="C4" s="5" t="s">
        <v>461</v>
      </c>
      <c r="D4" s="5" t="s">
        <v>462</v>
      </c>
      <c r="E4" s="7">
        <v>64.033332999999999</v>
      </c>
      <c r="F4" s="7">
        <v>-22.7</v>
      </c>
      <c r="G4" s="7">
        <v>3</v>
      </c>
      <c r="I4" s="5" t="s">
        <v>465</v>
      </c>
      <c r="J4" s="5" t="s">
        <v>41</v>
      </c>
      <c r="K4" s="8">
        <v>43773</v>
      </c>
      <c r="N4" s="7">
        <v>-7.17</v>
      </c>
      <c r="O4" s="35">
        <v>-38.1</v>
      </c>
      <c r="P4" s="35">
        <f t="shared" si="0"/>
        <v>19.259999999999998</v>
      </c>
      <c r="Q4" s="7">
        <v>1.4</v>
      </c>
      <c r="R4" s="7">
        <f t="shared" si="1"/>
        <v>35.559999999999995</v>
      </c>
      <c r="S4" s="7">
        <v>7</v>
      </c>
      <c r="T4" s="7"/>
      <c r="U4" s="7"/>
    </row>
    <row r="5" spans="1:21" ht="14.25" customHeight="1" x14ac:dyDescent="0.35">
      <c r="A5" s="5" t="s">
        <v>327</v>
      </c>
      <c r="B5" s="5" t="s">
        <v>21</v>
      </c>
      <c r="C5" s="5" t="s">
        <v>461</v>
      </c>
      <c r="D5" s="5" t="s">
        <v>462</v>
      </c>
      <c r="E5" s="7">
        <v>64.033332999999999</v>
      </c>
      <c r="F5" s="7">
        <v>-22.7</v>
      </c>
      <c r="G5" s="7">
        <v>3</v>
      </c>
      <c r="I5" s="5" t="s">
        <v>466</v>
      </c>
      <c r="J5" s="5" t="s">
        <v>41</v>
      </c>
      <c r="K5" s="8">
        <v>43782</v>
      </c>
      <c r="N5" s="7">
        <v>-12.11</v>
      </c>
      <c r="O5" s="35">
        <v>-82.37</v>
      </c>
      <c r="P5" s="35">
        <f t="shared" si="0"/>
        <v>14.509999999999991</v>
      </c>
      <c r="Q5" s="7">
        <v>14.5</v>
      </c>
      <c r="R5" s="7">
        <f t="shared" si="1"/>
        <v>368.29999999999995</v>
      </c>
      <c r="S5" s="7">
        <v>12</v>
      </c>
      <c r="T5" s="7"/>
      <c r="U5" s="7"/>
    </row>
    <row r="6" spans="1:21" ht="14.25" customHeight="1" x14ac:dyDescent="0.35">
      <c r="A6" s="5" t="s">
        <v>327</v>
      </c>
      <c r="B6" s="5" t="s">
        <v>21</v>
      </c>
      <c r="C6" s="5" t="s">
        <v>461</v>
      </c>
      <c r="D6" s="5" t="s">
        <v>462</v>
      </c>
      <c r="E6" s="7">
        <v>64.033332999999999</v>
      </c>
      <c r="F6" s="7">
        <v>-22.7</v>
      </c>
      <c r="G6" s="7">
        <v>3</v>
      </c>
      <c r="I6" s="5" t="s">
        <v>467</v>
      </c>
      <c r="J6" s="5" t="s">
        <v>41</v>
      </c>
      <c r="K6" s="8">
        <v>43789</v>
      </c>
      <c r="N6" s="7">
        <v>-8.02</v>
      </c>
      <c r="O6" s="35">
        <v>-51.2</v>
      </c>
      <c r="P6" s="35">
        <f t="shared" si="0"/>
        <v>12.959999999999994</v>
      </c>
      <c r="Q6" s="7">
        <v>6.8</v>
      </c>
      <c r="R6" s="7">
        <f t="shared" si="1"/>
        <v>172.72</v>
      </c>
      <c r="S6" s="7">
        <v>6</v>
      </c>
      <c r="T6" s="7"/>
      <c r="U6" s="7"/>
    </row>
    <row r="9" spans="1:21" x14ac:dyDescent="0.35">
      <c r="M9" s="5" t="s">
        <v>705</v>
      </c>
      <c r="N9" s="7">
        <f>AVERAGE(N2:N6)</f>
        <v>-9.418000000000001</v>
      </c>
      <c r="O9" s="35">
        <f t="shared" ref="O9:P9" si="2">AVERAGE(O2:O6)</f>
        <v>-63.501999999999995</v>
      </c>
      <c r="P9" s="35">
        <f t="shared" si="2"/>
        <v>11.841999999999995</v>
      </c>
    </row>
    <row r="10" spans="1:21" x14ac:dyDescent="0.35">
      <c r="M10" s="5" t="s">
        <v>706</v>
      </c>
      <c r="N10" s="7">
        <f>MIN(N2:N6)</f>
        <v>-12.11</v>
      </c>
      <c r="O10" s="35">
        <f t="shared" ref="O10:P10" si="3">MIN(O2:O6)</f>
        <v>-84.11</v>
      </c>
      <c r="P10" s="35">
        <f t="shared" si="3"/>
        <v>3.9699999999999989</v>
      </c>
    </row>
    <row r="11" spans="1:21" x14ac:dyDescent="0.35">
      <c r="M11" s="5" t="s">
        <v>707</v>
      </c>
      <c r="N11" s="7">
        <f>MAX(N2:N6)</f>
        <v>-7.17</v>
      </c>
      <c r="O11" s="35">
        <f t="shared" ref="O11:P11" si="4">MAX(O2:O6)</f>
        <v>-38.1</v>
      </c>
      <c r="P11" s="35">
        <f t="shared" si="4"/>
        <v>19.259999999999998</v>
      </c>
    </row>
    <row r="12" spans="1:21" x14ac:dyDescent="0.35">
      <c r="M12" s="5" t="s">
        <v>708</v>
      </c>
      <c r="N12" s="5">
        <f>_xlfn.STDEV.P(N2:N6)</f>
        <v>1.854523119295084</v>
      </c>
      <c r="O12" s="35">
        <f t="shared" ref="O12:P12" si="5">_xlfn.STDEV.P(O2:O6)</f>
        <v>17.778818183445157</v>
      </c>
      <c r="P12" s="35">
        <f t="shared" si="5"/>
        <v>5.2242794718506387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35E7-6528-4966-86D7-D2C07CA912E3}">
  <dimension ref="A1:T17"/>
  <sheetViews>
    <sheetView zoomScale="85" zoomScaleNormal="85" workbookViewId="0"/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11.81640625" style="5" bestFit="1" customWidth="1"/>
    <col min="4" max="4" width="7.5429687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44.54296875" style="5" bestFit="1" customWidth="1"/>
    <col min="10" max="10" width="10.54296875" style="5" bestFit="1" customWidth="1"/>
    <col min="11" max="11" width="17" style="5" bestFit="1" customWidth="1"/>
    <col min="12" max="12" width="17.54296875" style="5" bestFit="1" customWidth="1"/>
    <col min="13" max="13" width="17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20</v>
      </c>
      <c r="B2" s="5" t="s">
        <v>21</v>
      </c>
      <c r="C2" s="5" t="s">
        <v>470</v>
      </c>
      <c r="D2" s="5" t="s">
        <v>468</v>
      </c>
      <c r="E2" s="19">
        <v>64.547300000000007</v>
      </c>
      <c r="F2" s="19">
        <v>40.560200000000002</v>
      </c>
      <c r="G2" s="7">
        <v>1</v>
      </c>
      <c r="I2" s="5" t="s">
        <v>471</v>
      </c>
      <c r="J2" s="5" t="s">
        <v>41</v>
      </c>
      <c r="K2" s="8">
        <v>43752</v>
      </c>
      <c r="L2" s="8">
        <v>43738</v>
      </c>
      <c r="M2" s="8">
        <v>43752</v>
      </c>
      <c r="N2" s="7">
        <v>-15.39</v>
      </c>
      <c r="O2" s="35">
        <v>-111.57</v>
      </c>
      <c r="P2" s="35">
        <f t="shared" ref="P2:P10" si="0">O2-(8*N2)</f>
        <v>11.550000000000011</v>
      </c>
      <c r="Q2" s="7"/>
      <c r="R2" s="7">
        <v>2.5</v>
      </c>
      <c r="S2" s="7"/>
      <c r="T2" s="7"/>
    </row>
    <row r="3" spans="1:20" ht="14.25" customHeight="1" x14ac:dyDescent="0.35">
      <c r="A3" s="5" t="s">
        <v>20</v>
      </c>
      <c r="B3" s="5" t="s">
        <v>21</v>
      </c>
      <c r="C3" s="5" t="s">
        <v>470</v>
      </c>
      <c r="D3" s="5" t="s">
        <v>468</v>
      </c>
      <c r="E3" s="19">
        <v>64.547300000000007</v>
      </c>
      <c r="F3" s="19">
        <v>40.560200000000002</v>
      </c>
      <c r="G3" s="7">
        <v>1</v>
      </c>
      <c r="I3" s="5" t="s">
        <v>472</v>
      </c>
      <c r="J3" s="5" t="s">
        <v>41</v>
      </c>
      <c r="K3" s="8">
        <v>43766</v>
      </c>
      <c r="L3" s="8">
        <v>43752</v>
      </c>
      <c r="M3" s="8">
        <v>43766</v>
      </c>
      <c r="N3" s="7">
        <v>-12.72</v>
      </c>
      <c r="O3" s="35">
        <v>-90.64</v>
      </c>
      <c r="P3" s="35">
        <f t="shared" si="0"/>
        <v>11.120000000000005</v>
      </c>
      <c r="Q3" s="7">
        <v>23.37</v>
      </c>
      <c r="R3" s="7">
        <v>0.5</v>
      </c>
      <c r="S3" s="7"/>
      <c r="T3" s="7"/>
    </row>
    <row r="4" spans="1:20" ht="14.25" customHeight="1" x14ac:dyDescent="0.35">
      <c r="A4" s="5" t="s">
        <v>20</v>
      </c>
      <c r="B4" s="5" t="s">
        <v>21</v>
      </c>
      <c r="C4" s="5" t="s">
        <v>470</v>
      </c>
      <c r="D4" s="5" t="s">
        <v>468</v>
      </c>
      <c r="E4" s="19">
        <v>64.547300000000007</v>
      </c>
      <c r="F4" s="19">
        <v>40.560200000000002</v>
      </c>
      <c r="G4" s="7">
        <v>1</v>
      </c>
      <c r="I4" s="5" t="s">
        <v>473</v>
      </c>
      <c r="J4" s="5" t="s">
        <v>100</v>
      </c>
      <c r="K4" s="8">
        <v>43783</v>
      </c>
      <c r="L4" s="8"/>
      <c r="M4" s="8"/>
      <c r="N4" s="7">
        <v>-22.71</v>
      </c>
      <c r="O4" s="35">
        <v>-170.37</v>
      </c>
      <c r="P4" s="35">
        <f t="shared" si="0"/>
        <v>11.310000000000002</v>
      </c>
      <c r="Q4" s="7"/>
      <c r="R4" s="7">
        <v>-5</v>
      </c>
      <c r="S4" s="7"/>
      <c r="T4" s="7"/>
    </row>
    <row r="5" spans="1:20" ht="14.25" customHeight="1" x14ac:dyDescent="0.35">
      <c r="A5" s="5" t="s">
        <v>20</v>
      </c>
      <c r="B5" s="5" t="s">
        <v>21</v>
      </c>
      <c r="C5" s="5" t="s">
        <v>470</v>
      </c>
      <c r="D5" s="5" t="s">
        <v>468</v>
      </c>
      <c r="E5" s="19">
        <v>64.547300000000007</v>
      </c>
      <c r="F5" s="19">
        <v>40.560200000000002</v>
      </c>
      <c r="G5" s="7">
        <v>1</v>
      </c>
      <c r="I5" s="5" t="s">
        <v>474</v>
      </c>
      <c r="J5" s="5" t="s">
        <v>475</v>
      </c>
      <c r="K5" s="8">
        <v>43805</v>
      </c>
      <c r="L5" s="8">
        <v>43783</v>
      </c>
      <c r="M5" s="8">
        <v>43805</v>
      </c>
      <c r="N5" s="7">
        <v>-15.57</v>
      </c>
      <c r="O5" s="35">
        <v>-110.49</v>
      </c>
      <c r="P5" s="35">
        <f t="shared" si="0"/>
        <v>14.070000000000007</v>
      </c>
      <c r="Q5" s="7"/>
      <c r="R5" s="7">
        <v>0</v>
      </c>
      <c r="S5" s="7"/>
      <c r="T5" s="7"/>
    </row>
    <row r="6" spans="1:20" ht="14.25" customHeight="1" x14ac:dyDescent="0.35">
      <c r="A6" s="5" t="s">
        <v>20</v>
      </c>
      <c r="B6" s="5" t="s">
        <v>21</v>
      </c>
      <c r="C6" s="5" t="s">
        <v>470</v>
      </c>
      <c r="D6" s="5" t="s">
        <v>468</v>
      </c>
      <c r="E6" s="19">
        <v>64.547300000000007</v>
      </c>
      <c r="F6" s="19">
        <v>40.560200000000002</v>
      </c>
      <c r="G6" s="7">
        <v>1</v>
      </c>
      <c r="I6" s="5" t="s">
        <v>476</v>
      </c>
      <c r="J6" s="5" t="s">
        <v>100</v>
      </c>
      <c r="K6" s="8">
        <v>43805</v>
      </c>
      <c r="L6" s="8">
        <v>43783</v>
      </c>
      <c r="M6" s="8">
        <v>43805</v>
      </c>
      <c r="N6" s="7">
        <v>-14.27</v>
      </c>
      <c r="O6" s="35">
        <v>-97.81</v>
      </c>
      <c r="P6" s="35">
        <f t="shared" si="0"/>
        <v>16.349999999999994</v>
      </c>
      <c r="Q6" s="7"/>
      <c r="R6" s="7">
        <v>0</v>
      </c>
      <c r="S6" s="7"/>
      <c r="T6" s="7"/>
    </row>
    <row r="7" spans="1:20" ht="14.25" customHeight="1" x14ac:dyDescent="0.35">
      <c r="A7" s="5" t="s">
        <v>20</v>
      </c>
      <c r="B7" s="5" t="s">
        <v>21</v>
      </c>
      <c r="C7" s="5" t="s">
        <v>470</v>
      </c>
      <c r="D7" s="5" t="s">
        <v>468</v>
      </c>
      <c r="E7" s="19">
        <v>64.547300000000007</v>
      </c>
      <c r="F7" s="19">
        <v>40.560200000000002</v>
      </c>
      <c r="G7" s="7">
        <v>1</v>
      </c>
      <c r="I7" s="5" t="s">
        <v>477</v>
      </c>
      <c r="J7" s="5" t="s">
        <v>475</v>
      </c>
      <c r="K7" s="8">
        <v>43826</v>
      </c>
      <c r="L7" s="8">
        <v>43805</v>
      </c>
      <c r="M7" s="8">
        <v>43826</v>
      </c>
      <c r="N7" s="7">
        <v>-16.079999999999998</v>
      </c>
      <c r="O7" s="35">
        <v>-121.18</v>
      </c>
      <c r="P7" s="35">
        <f t="shared" si="0"/>
        <v>7.4599999999999795</v>
      </c>
      <c r="Q7" s="7"/>
      <c r="R7" s="7">
        <v>0</v>
      </c>
      <c r="S7" s="7"/>
      <c r="T7" s="7"/>
    </row>
    <row r="8" spans="1:20" ht="14.25" customHeight="1" x14ac:dyDescent="0.35">
      <c r="A8" s="5" t="s">
        <v>20</v>
      </c>
      <c r="B8" s="5" t="s">
        <v>21</v>
      </c>
      <c r="C8" s="5" t="s">
        <v>470</v>
      </c>
      <c r="D8" s="5" t="s">
        <v>468</v>
      </c>
      <c r="E8" s="19">
        <v>64.547300000000007</v>
      </c>
      <c r="F8" s="19">
        <v>40.560200000000002</v>
      </c>
      <c r="G8" s="7">
        <v>1</v>
      </c>
      <c r="I8" s="5" t="s">
        <v>478</v>
      </c>
      <c r="J8" s="5" t="s">
        <v>100</v>
      </c>
      <c r="K8" s="8">
        <v>43828</v>
      </c>
      <c r="L8" s="8">
        <v>43811</v>
      </c>
      <c r="M8" s="8">
        <v>43828</v>
      </c>
      <c r="N8" s="7">
        <v>-20.100000000000001</v>
      </c>
      <c r="O8" s="35">
        <v>-148.83000000000001</v>
      </c>
      <c r="P8" s="35">
        <f t="shared" si="0"/>
        <v>11.969999999999999</v>
      </c>
      <c r="Q8" s="7"/>
      <c r="R8" s="7"/>
      <c r="S8" s="7"/>
      <c r="T8" s="7"/>
    </row>
    <row r="9" spans="1:20" ht="14.25" customHeight="1" x14ac:dyDescent="0.35">
      <c r="A9" s="5" t="s">
        <v>20</v>
      </c>
      <c r="B9" s="5" t="s">
        <v>21</v>
      </c>
      <c r="C9" s="5" t="s">
        <v>470</v>
      </c>
      <c r="D9" s="5" t="s">
        <v>468</v>
      </c>
      <c r="E9" s="19">
        <v>64.547300000000007</v>
      </c>
      <c r="F9" s="19">
        <v>40.560200000000002</v>
      </c>
      <c r="G9" s="7">
        <v>1</v>
      </c>
      <c r="I9" s="5" t="s">
        <v>479</v>
      </c>
      <c r="J9" s="5" t="s">
        <v>100</v>
      </c>
      <c r="K9" s="8">
        <v>43850</v>
      </c>
      <c r="L9" s="8">
        <v>43826</v>
      </c>
      <c r="M9" s="8">
        <v>43485</v>
      </c>
      <c r="N9" s="7">
        <v>-13.38</v>
      </c>
      <c r="O9" s="35">
        <v>-101.66</v>
      </c>
      <c r="P9" s="35">
        <f t="shared" si="0"/>
        <v>5.3800000000000097</v>
      </c>
      <c r="Q9" s="7"/>
      <c r="R9" s="7">
        <v>-5.5</v>
      </c>
      <c r="S9" s="7"/>
      <c r="T9" s="7"/>
    </row>
    <row r="10" spans="1:20" ht="14.25" customHeight="1" x14ac:dyDescent="0.35">
      <c r="A10" s="5" t="s">
        <v>20</v>
      </c>
      <c r="B10" s="5" t="s">
        <v>21</v>
      </c>
      <c r="C10" s="5" t="s">
        <v>470</v>
      </c>
      <c r="D10" s="5" t="s">
        <v>468</v>
      </c>
      <c r="E10" s="19">
        <v>64.547300000000007</v>
      </c>
      <c r="F10" s="19">
        <v>40.560200000000002</v>
      </c>
      <c r="G10" s="7">
        <v>1</v>
      </c>
      <c r="I10" s="5" t="s">
        <v>480</v>
      </c>
      <c r="J10" s="5" t="s">
        <v>100</v>
      </c>
      <c r="K10" s="8">
        <v>43874</v>
      </c>
      <c r="L10" s="8">
        <v>43850</v>
      </c>
      <c r="M10" s="8">
        <v>43874</v>
      </c>
      <c r="N10" s="7">
        <v>-13.59</v>
      </c>
      <c r="O10" s="35">
        <v>-101.08</v>
      </c>
      <c r="P10" s="35">
        <f t="shared" si="0"/>
        <v>7.6400000000000006</v>
      </c>
      <c r="Q10" s="7"/>
      <c r="R10" s="7">
        <v>-17.5</v>
      </c>
      <c r="S10" s="7"/>
      <c r="T10" s="7"/>
    </row>
    <row r="14" spans="1:20" x14ac:dyDescent="0.35">
      <c r="M14" s="5" t="s">
        <v>705</v>
      </c>
      <c r="N14" s="7">
        <f>AVERAGE(N2:N10)</f>
        <v>-15.978888888888889</v>
      </c>
      <c r="O14" s="35">
        <f t="shared" ref="O14:P14" si="1">AVERAGE(O2:O10)</f>
        <v>-117.07</v>
      </c>
      <c r="P14" s="35">
        <f t="shared" si="1"/>
        <v>10.761111111111113</v>
      </c>
    </row>
    <row r="15" spans="1:20" x14ac:dyDescent="0.35">
      <c r="M15" s="5" t="s">
        <v>706</v>
      </c>
      <c r="N15" s="7">
        <f>MIN(N2:N10)</f>
        <v>-22.71</v>
      </c>
      <c r="O15" s="35">
        <f t="shared" ref="O15:P15" si="2">MIN(O2:O10)</f>
        <v>-170.37</v>
      </c>
      <c r="P15" s="35">
        <f t="shared" si="2"/>
        <v>5.3800000000000097</v>
      </c>
    </row>
    <row r="16" spans="1:20" x14ac:dyDescent="0.35">
      <c r="M16" s="5" t="s">
        <v>707</v>
      </c>
      <c r="N16" s="7">
        <f>MAX(N2:N10)</f>
        <v>-12.72</v>
      </c>
      <c r="O16" s="35">
        <f t="shared" ref="O16:P16" si="3">MAX(O2:O10)</f>
        <v>-90.64</v>
      </c>
      <c r="P16" s="35">
        <f t="shared" si="3"/>
        <v>16.349999999999994</v>
      </c>
    </row>
    <row r="17" spans="13:16" x14ac:dyDescent="0.35">
      <c r="M17" s="5" t="s">
        <v>708</v>
      </c>
      <c r="N17" s="5">
        <f>_xlfn.STDEV.P(N2:N10)</f>
        <v>3.1414308291479252</v>
      </c>
      <c r="O17" s="35">
        <f t="shared" ref="O17:P17" si="4">_xlfn.STDEV.P(O2:O10)</f>
        <v>24.726654084655809</v>
      </c>
      <c r="P17" s="35">
        <f t="shared" si="4"/>
        <v>3.2368243849126901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CD2B-C680-4EC1-97B3-FB50F73D95E0}">
  <dimension ref="A1:T16"/>
  <sheetViews>
    <sheetView zoomScale="85" zoomScaleNormal="85" workbookViewId="0"/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10.36328125" style="5" bestFit="1" customWidth="1"/>
    <col min="4" max="4" width="7.5429687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39.36328125" style="5" bestFit="1" customWidth="1"/>
    <col min="10" max="10" width="10.54296875" style="5" bestFit="1" customWidth="1"/>
    <col min="11" max="13" width="17.542968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5" t="s">
        <v>20</v>
      </c>
      <c r="B2" s="5" t="s">
        <v>21</v>
      </c>
      <c r="C2" s="5" t="s">
        <v>481</v>
      </c>
      <c r="D2" s="5" t="s">
        <v>468</v>
      </c>
      <c r="E2" s="7">
        <v>67.633332999999993</v>
      </c>
      <c r="F2" s="7">
        <v>53.05</v>
      </c>
      <c r="G2" s="7">
        <v>3</v>
      </c>
      <c r="I2" s="5" t="s">
        <v>482</v>
      </c>
      <c r="J2" s="5" t="s">
        <v>41</v>
      </c>
      <c r="K2" s="16">
        <v>43713</v>
      </c>
      <c r="L2" s="16"/>
      <c r="M2" s="16"/>
      <c r="N2" s="7">
        <v>-8.4700000000000006</v>
      </c>
      <c r="O2" s="35">
        <v>-59.4</v>
      </c>
      <c r="P2" s="35">
        <f t="shared" ref="P2:P10" si="0">O2-(8*N2)</f>
        <v>8.3600000000000065</v>
      </c>
      <c r="Q2" s="7"/>
      <c r="R2" s="7">
        <v>19</v>
      </c>
      <c r="S2" s="7"/>
      <c r="T2" s="7"/>
    </row>
    <row r="3" spans="1:20" x14ac:dyDescent="0.35">
      <c r="A3" s="5" t="s">
        <v>20</v>
      </c>
      <c r="B3" s="5" t="s">
        <v>21</v>
      </c>
      <c r="C3" s="5" t="s">
        <v>481</v>
      </c>
      <c r="D3" s="5" t="s">
        <v>468</v>
      </c>
      <c r="E3" s="7">
        <v>67.633332999999993</v>
      </c>
      <c r="F3" s="7">
        <v>53.05</v>
      </c>
      <c r="G3" s="7">
        <v>3</v>
      </c>
      <c r="I3" s="5" t="s">
        <v>483</v>
      </c>
      <c r="J3" s="5" t="s">
        <v>41</v>
      </c>
      <c r="K3" s="16">
        <v>43713</v>
      </c>
      <c r="L3" s="16">
        <v>43712</v>
      </c>
      <c r="M3" s="16">
        <v>43713</v>
      </c>
      <c r="N3" s="7">
        <v>-10.09</v>
      </c>
      <c r="O3" s="35">
        <v>-69.400000000000006</v>
      </c>
      <c r="P3" s="35">
        <f t="shared" si="0"/>
        <v>11.319999999999993</v>
      </c>
      <c r="Q3" s="7">
        <v>7.62</v>
      </c>
      <c r="R3" s="7">
        <v>8</v>
      </c>
      <c r="S3" s="7"/>
      <c r="T3" s="7"/>
    </row>
    <row r="4" spans="1:20" x14ac:dyDescent="0.35">
      <c r="A4" s="5" t="s">
        <v>20</v>
      </c>
      <c r="B4" s="5" t="s">
        <v>21</v>
      </c>
      <c r="C4" s="5" t="s">
        <v>481</v>
      </c>
      <c r="D4" s="5" t="s">
        <v>468</v>
      </c>
      <c r="E4" s="7">
        <v>67.633332999999993</v>
      </c>
      <c r="F4" s="7">
        <v>53.05</v>
      </c>
      <c r="G4" s="7">
        <v>3</v>
      </c>
      <c r="I4" s="5" t="s">
        <v>484</v>
      </c>
      <c r="J4" s="5" t="s">
        <v>41</v>
      </c>
      <c r="K4" s="16">
        <v>43714</v>
      </c>
      <c r="L4" s="16">
        <v>43619</v>
      </c>
      <c r="M4" s="16">
        <v>43714</v>
      </c>
      <c r="N4" s="7">
        <v>-15.55</v>
      </c>
      <c r="O4" s="35">
        <v>-112.92</v>
      </c>
      <c r="P4" s="35">
        <f t="shared" si="0"/>
        <v>11.480000000000004</v>
      </c>
      <c r="Q4" s="7">
        <v>5.59</v>
      </c>
      <c r="R4" s="7">
        <v>1.5</v>
      </c>
      <c r="S4" s="7"/>
      <c r="T4" s="7"/>
    </row>
    <row r="5" spans="1:20" x14ac:dyDescent="0.35">
      <c r="A5" s="5" t="s">
        <v>20</v>
      </c>
      <c r="B5" s="5" t="s">
        <v>21</v>
      </c>
      <c r="C5" s="5" t="s">
        <v>481</v>
      </c>
      <c r="D5" s="5" t="s">
        <v>468</v>
      </c>
      <c r="E5" s="7">
        <v>67.633332999999993</v>
      </c>
      <c r="F5" s="7">
        <v>53.05</v>
      </c>
      <c r="G5" s="7">
        <v>3</v>
      </c>
      <c r="I5" s="5" t="s">
        <v>485</v>
      </c>
      <c r="J5" s="5" t="s">
        <v>41</v>
      </c>
      <c r="K5" s="16">
        <v>43733</v>
      </c>
      <c r="L5" s="16">
        <v>43731</v>
      </c>
      <c r="M5" s="16">
        <v>43733</v>
      </c>
      <c r="N5" s="7">
        <v>-12.69</v>
      </c>
      <c r="O5" s="35">
        <v>-90.26</v>
      </c>
      <c r="P5" s="35">
        <f t="shared" si="0"/>
        <v>11.259999999999991</v>
      </c>
      <c r="Q5" s="7">
        <v>17.78</v>
      </c>
      <c r="R5" s="7">
        <v>2</v>
      </c>
      <c r="S5" s="7"/>
      <c r="T5" s="7"/>
    </row>
    <row r="6" spans="1:20" x14ac:dyDescent="0.35">
      <c r="A6" s="5" t="s">
        <v>20</v>
      </c>
      <c r="B6" s="5" t="s">
        <v>21</v>
      </c>
      <c r="C6" s="5" t="s">
        <v>481</v>
      </c>
      <c r="D6" s="5" t="s">
        <v>468</v>
      </c>
      <c r="E6" s="7">
        <v>67.633332999999993</v>
      </c>
      <c r="F6" s="7">
        <v>53.05</v>
      </c>
      <c r="G6" s="7">
        <v>3</v>
      </c>
      <c r="I6" s="5" t="s">
        <v>486</v>
      </c>
      <c r="J6" s="5" t="s">
        <v>41</v>
      </c>
      <c r="K6" s="16">
        <v>43738</v>
      </c>
      <c r="L6" s="16">
        <v>43733</v>
      </c>
      <c r="M6" s="16">
        <v>43738</v>
      </c>
      <c r="N6" s="7">
        <v>-10.97</v>
      </c>
      <c r="O6" s="35">
        <v>-76.099999999999994</v>
      </c>
      <c r="P6" s="35">
        <f t="shared" si="0"/>
        <v>11.660000000000011</v>
      </c>
      <c r="Q6" s="7">
        <v>8.1300000000000008</v>
      </c>
      <c r="R6" s="7">
        <v>2</v>
      </c>
      <c r="S6" s="7"/>
      <c r="T6" s="7"/>
    </row>
    <row r="7" spans="1:20" x14ac:dyDescent="0.35">
      <c r="A7" s="5" t="s">
        <v>20</v>
      </c>
      <c r="B7" s="5" t="s">
        <v>21</v>
      </c>
      <c r="C7" s="5" t="s">
        <v>481</v>
      </c>
      <c r="D7" s="5" t="s">
        <v>468</v>
      </c>
      <c r="E7" s="7">
        <v>67.633332999999993</v>
      </c>
      <c r="F7" s="7">
        <v>53.05</v>
      </c>
      <c r="G7" s="7">
        <v>3</v>
      </c>
      <c r="I7" s="5" t="s">
        <v>487</v>
      </c>
      <c r="J7" s="5" t="s">
        <v>41</v>
      </c>
      <c r="K7" s="16">
        <v>43740</v>
      </c>
      <c r="L7" s="16">
        <v>43739</v>
      </c>
      <c r="M7" s="16">
        <v>43740</v>
      </c>
      <c r="N7" s="7">
        <v>-19.329999999999998</v>
      </c>
      <c r="O7" s="35">
        <v>-143.41999999999999</v>
      </c>
      <c r="P7" s="35">
        <f t="shared" si="0"/>
        <v>11.219999999999999</v>
      </c>
      <c r="Q7" s="7">
        <v>9.4</v>
      </c>
      <c r="R7" s="7">
        <v>4</v>
      </c>
      <c r="S7" s="7"/>
      <c r="T7" s="7"/>
    </row>
    <row r="8" spans="1:20" x14ac:dyDescent="0.35">
      <c r="A8" s="5" t="s">
        <v>20</v>
      </c>
      <c r="B8" s="5" t="s">
        <v>21</v>
      </c>
      <c r="C8" s="5" t="s">
        <v>481</v>
      </c>
      <c r="D8" s="5" t="s">
        <v>468</v>
      </c>
      <c r="E8" s="7">
        <v>67.633332999999993</v>
      </c>
      <c r="F8" s="7">
        <v>53.05</v>
      </c>
      <c r="G8" s="7">
        <v>3</v>
      </c>
      <c r="I8" s="5" t="s">
        <v>488</v>
      </c>
      <c r="J8" s="5" t="s">
        <v>41</v>
      </c>
      <c r="K8" s="16">
        <v>43750</v>
      </c>
      <c r="L8" s="16"/>
      <c r="M8" s="16"/>
      <c r="N8" s="7">
        <v>-15.42</v>
      </c>
      <c r="O8" s="35">
        <v>-111.69</v>
      </c>
      <c r="P8" s="35">
        <f t="shared" si="0"/>
        <v>11.670000000000002</v>
      </c>
      <c r="Q8" s="7"/>
      <c r="R8" s="7">
        <v>-0.5</v>
      </c>
      <c r="S8" s="7"/>
      <c r="T8" s="7"/>
    </row>
    <row r="9" spans="1:20" x14ac:dyDescent="0.35">
      <c r="A9" s="5" t="s">
        <v>20</v>
      </c>
      <c r="B9" s="5" t="s">
        <v>21</v>
      </c>
      <c r="C9" s="5" t="s">
        <v>481</v>
      </c>
      <c r="D9" s="5" t="s">
        <v>468</v>
      </c>
      <c r="E9" s="7">
        <v>67.633332999999993</v>
      </c>
      <c r="F9" s="7">
        <v>53.05</v>
      </c>
      <c r="G9" s="7">
        <v>3</v>
      </c>
      <c r="I9" s="5" t="s">
        <v>489</v>
      </c>
      <c r="J9" s="5" t="s">
        <v>100</v>
      </c>
      <c r="K9" s="16">
        <v>43783</v>
      </c>
      <c r="L9" s="16">
        <v>43756</v>
      </c>
      <c r="M9" s="16">
        <v>43783</v>
      </c>
      <c r="N9" s="7">
        <v>-15.17</v>
      </c>
      <c r="O9" s="35">
        <v>-108.81</v>
      </c>
      <c r="P9" s="35">
        <f t="shared" si="0"/>
        <v>12.549999999999997</v>
      </c>
      <c r="Q9" s="7"/>
      <c r="R9" s="7">
        <v>-4.5</v>
      </c>
      <c r="S9" s="7"/>
      <c r="T9" s="7"/>
    </row>
    <row r="10" spans="1:20" x14ac:dyDescent="0.35">
      <c r="A10" s="5" t="s">
        <v>20</v>
      </c>
      <c r="B10" s="5" t="s">
        <v>21</v>
      </c>
      <c r="C10" s="5" t="s">
        <v>481</v>
      </c>
      <c r="D10" s="5" t="s">
        <v>468</v>
      </c>
      <c r="E10" s="7">
        <v>67.633332999999993</v>
      </c>
      <c r="F10" s="7">
        <v>53.05</v>
      </c>
      <c r="G10" s="7">
        <v>3</v>
      </c>
      <c r="I10" s="5" t="s">
        <v>490</v>
      </c>
      <c r="J10" s="5" t="s">
        <v>100</v>
      </c>
      <c r="K10" s="16">
        <v>43821</v>
      </c>
      <c r="L10" s="16">
        <v>43783</v>
      </c>
      <c r="M10" s="16">
        <v>43821</v>
      </c>
      <c r="N10" s="7">
        <v>-16.57</v>
      </c>
      <c r="O10" s="35">
        <v>-121.83</v>
      </c>
      <c r="P10" s="35">
        <f t="shared" si="0"/>
        <v>10.730000000000004</v>
      </c>
      <c r="Q10" s="7"/>
      <c r="R10" s="7">
        <v>-3</v>
      </c>
      <c r="S10" s="7"/>
      <c r="T10" s="7"/>
    </row>
    <row r="13" spans="1:20" x14ac:dyDescent="0.35">
      <c r="M13" s="5" t="s">
        <v>705</v>
      </c>
      <c r="N13" s="7">
        <f>AVERAGE(N2:N10)</f>
        <v>-13.806666666666665</v>
      </c>
      <c r="O13" s="35">
        <f t="shared" ref="O13:P13" si="1">AVERAGE(O2:O10)</f>
        <v>-99.314444444444447</v>
      </c>
      <c r="P13" s="35">
        <f t="shared" si="1"/>
        <v>11.138888888888891</v>
      </c>
    </row>
    <row r="14" spans="1:20" x14ac:dyDescent="0.35">
      <c r="M14" s="5" t="s">
        <v>706</v>
      </c>
      <c r="N14" s="7">
        <f>MIN(N2:N10)</f>
        <v>-19.329999999999998</v>
      </c>
      <c r="O14" s="35">
        <f t="shared" ref="O14:P14" si="2">MIN(O2:O10)</f>
        <v>-143.41999999999999</v>
      </c>
      <c r="P14" s="35">
        <f t="shared" si="2"/>
        <v>8.3600000000000065</v>
      </c>
    </row>
    <row r="15" spans="1:20" x14ac:dyDescent="0.35">
      <c r="M15" s="5" t="s">
        <v>707</v>
      </c>
      <c r="N15" s="7">
        <f>MAX(N2:N10)</f>
        <v>-8.4700000000000006</v>
      </c>
      <c r="O15" s="35">
        <f t="shared" ref="O15:P15" si="3">MAX(O2:O10)</f>
        <v>-59.4</v>
      </c>
      <c r="P15" s="35">
        <f t="shared" si="3"/>
        <v>12.549999999999997</v>
      </c>
    </row>
    <row r="16" spans="1:20" x14ac:dyDescent="0.35">
      <c r="M16" s="5" t="s">
        <v>708</v>
      </c>
      <c r="N16" s="5">
        <f>_xlfn.STDEV.P(N2:N10)</f>
        <v>3.2868627392494902</v>
      </c>
      <c r="O16" s="35">
        <f t="shared" ref="O16:P16" si="4">_xlfn.STDEV.P(O2:O10)</f>
        <v>25.797527061118362</v>
      </c>
      <c r="P16" s="35">
        <f t="shared" si="4"/>
        <v>1.0854947099972871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5565-99D5-4578-BA63-2BABC89D889C}">
  <dimension ref="A1:T12"/>
  <sheetViews>
    <sheetView zoomScale="85" zoomScaleNormal="85" workbookViewId="0"/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17.453125" style="5" bestFit="1" customWidth="1"/>
    <col min="4" max="4" width="7.5429687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12.26953125" style="5" bestFit="1" customWidth="1"/>
    <col min="10" max="10" width="10.54296875" style="5" bestFit="1" customWidth="1"/>
    <col min="11" max="11" width="17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20" t="s">
        <v>10</v>
      </c>
      <c r="L1" s="4" t="s">
        <v>11</v>
      </c>
      <c r="M1" s="4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5" t="s">
        <v>20</v>
      </c>
      <c r="B2" s="5" t="s">
        <v>21</v>
      </c>
      <c r="C2" s="5" t="s">
        <v>491</v>
      </c>
      <c r="D2" s="5" t="s">
        <v>468</v>
      </c>
      <c r="E2" s="7">
        <v>60.933332999999998</v>
      </c>
      <c r="F2" s="7">
        <v>149.73333299999999</v>
      </c>
      <c r="G2" s="7">
        <v>800</v>
      </c>
      <c r="J2" s="5" t="s">
        <v>41</v>
      </c>
      <c r="K2" s="15">
        <v>44020</v>
      </c>
      <c r="N2" s="7">
        <v>-17.638748189629766</v>
      </c>
      <c r="O2" s="35">
        <v>-147.11242471200919</v>
      </c>
      <c r="P2" s="35">
        <f>O2-8*N2</f>
        <v>-6.0024391949710605</v>
      </c>
      <c r="Q2" s="5" t="s">
        <v>492</v>
      </c>
      <c r="R2" s="5">
        <v>13.4</v>
      </c>
    </row>
    <row r="3" spans="1:20" x14ac:dyDescent="0.35">
      <c r="A3" s="5" t="s">
        <v>20</v>
      </c>
      <c r="B3" s="5" t="s">
        <v>21</v>
      </c>
      <c r="C3" s="5" t="s">
        <v>491</v>
      </c>
      <c r="D3" s="5" t="s">
        <v>468</v>
      </c>
      <c r="E3" s="7">
        <v>60.933332999999998</v>
      </c>
      <c r="F3" s="7">
        <v>149.73333299999999</v>
      </c>
      <c r="G3" s="7">
        <v>800</v>
      </c>
      <c r="J3" s="5" t="s">
        <v>41</v>
      </c>
      <c r="K3" s="15">
        <v>44021.592361111114</v>
      </c>
      <c r="N3" s="7">
        <v>-9.3521801357939633</v>
      </c>
      <c r="O3" s="35">
        <v>-84.538337461036576</v>
      </c>
      <c r="P3" s="35">
        <f t="shared" ref="P3:P7" si="0">O3-8*N3</f>
        <v>-9.7208963746848696</v>
      </c>
      <c r="Q3" s="5">
        <v>8.1</v>
      </c>
      <c r="R3" s="5">
        <v>14.5</v>
      </c>
    </row>
    <row r="4" spans="1:20" x14ac:dyDescent="0.35">
      <c r="A4" s="5" t="s">
        <v>20</v>
      </c>
      <c r="B4" s="5" t="s">
        <v>21</v>
      </c>
      <c r="C4" s="5" t="s">
        <v>491</v>
      </c>
      <c r="D4" s="5" t="s">
        <v>468</v>
      </c>
      <c r="E4" s="7">
        <v>60.933332999999998</v>
      </c>
      <c r="F4" s="7">
        <v>149.73333299999999</v>
      </c>
      <c r="G4" s="7">
        <v>800</v>
      </c>
      <c r="J4" s="5" t="s">
        <v>41</v>
      </c>
      <c r="K4" s="15">
        <v>44022.479166666664</v>
      </c>
      <c r="N4" s="7">
        <v>-19.568107907888752</v>
      </c>
      <c r="O4" s="35">
        <v>-156.61475764147184</v>
      </c>
      <c r="P4" s="35">
        <f t="shared" si="0"/>
        <v>-6.9894378361823328E-2</v>
      </c>
      <c r="Q4" s="5">
        <v>7</v>
      </c>
      <c r="R4" s="5">
        <v>11.8</v>
      </c>
    </row>
    <row r="5" spans="1:20" x14ac:dyDescent="0.35">
      <c r="A5" s="5" t="s">
        <v>20</v>
      </c>
      <c r="B5" s="5" t="s">
        <v>21</v>
      </c>
      <c r="C5" s="5" t="s">
        <v>491</v>
      </c>
      <c r="D5" s="5" t="s">
        <v>468</v>
      </c>
      <c r="E5" s="7">
        <v>60.933332999999998</v>
      </c>
      <c r="F5" s="7">
        <v>149.73333299999999</v>
      </c>
      <c r="G5" s="7">
        <v>800</v>
      </c>
      <c r="J5" s="5" t="s">
        <v>41</v>
      </c>
      <c r="K5" s="15">
        <v>44026.736111111109</v>
      </c>
      <c r="N5" s="7">
        <v>-8.6678345631540292</v>
      </c>
      <c r="O5" s="35">
        <v>-85.551932582728753</v>
      </c>
      <c r="P5" s="35">
        <f t="shared" si="0"/>
        <v>-16.209256077496519</v>
      </c>
      <c r="Q5" s="5" t="s">
        <v>492</v>
      </c>
      <c r="R5" s="5">
        <v>19.399999999999999</v>
      </c>
    </row>
    <row r="6" spans="1:20" x14ac:dyDescent="0.35">
      <c r="A6" s="5" t="s">
        <v>20</v>
      </c>
      <c r="B6" s="5" t="s">
        <v>21</v>
      </c>
      <c r="C6" s="5" t="s">
        <v>491</v>
      </c>
      <c r="D6" s="5" t="s">
        <v>468</v>
      </c>
      <c r="E6" s="7">
        <v>60.933332999999998</v>
      </c>
      <c r="F6" s="7">
        <v>149.73333299999999</v>
      </c>
      <c r="G6" s="7">
        <v>800</v>
      </c>
      <c r="J6" s="5" t="s">
        <v>100</v>
      </c>
      <c r="K6" s="15">
        <v>44146</v>
      </c>
      <c r="L6" s="5" t="s">
        <v>493</v>
      </c>
      <c r="N6" s="7">
        <v>-25.142219202017866</v>
      </c>
      <c r="O6" s="35">
        <v>-184.90332273113259</v>
      </c>
      <c r="P6" s="35">
        <f t="shared" si="0"/>
        <v>16.23443088501034</v>
      </c>
      <c r="Q6" s="5">
        <v>10.3</v>
      </c>
      <c r="R6" s="5">
        <v>-23.9</v>
      </c>
    </row>
    <row r="7" spans="1:20" ht="14.25" customHeight="1" x14ac:dyDescent="0.35">
      <c r="A7" s="5" t="s">
        <v>20</v>
      </c>
      <c r="B7" s="5" t="s">
        <v>21</v>
      </c>
      <c r="C7" s="5" t="s">
        <v>491</v>
      </c>
      <c r="D7" s="5" t="s">
        <v>468</v>
      </c>
      <c r="E7" s="7">
        <v>60.933332999999998</v>
      </c>
      <c r="F7" s="7">
        <v>149.73333299999999</v>
      </c>
      <c r="G7" s="7">
        <v>800</v>
      </c>
      <c r="J7" s="5" t="s">
        <v>100</v>
      </c>
      <c r="K7" s="21">
        <v>44195</v>
      </c>
      <c r="N7" s="7">
        <v>-31.437599503259008</v>
      </c>
      <c r="O7" s="35">
        <v>-231.94793092718214</v>
      </c>
      <c r="P7" s="35">
        <f t="shared" si="0"/>
        <v>19.552865098889924</v>
      </c>
      <c r="Q7" s="5">
        <v>25.2</v>
      </c>
      <c r="R7" s="5">
        <v>-23.8</v>
      </c>
    </row>
    <row r="9" spans="1:20" x14ac:dyDescent="0.35">
      <c r="M9" s="5" t="s">
        <v>705</v>
      </c>
      <c r="N9" s="7">
        <f>AVERAGE(N2:N7)</f>
        <v>-18.634448250290564</v>
      </c>
      <c r="O9" s="35">
        <f t="shared" ref="O9:P9" si="1">AVERAGE(O2:O7)</f>
        <v>-148.44478434259352</v>
      </c>
      <c r="P9" s="35">
        <f t="shared" si="1"/>
        <v>0.63080165973099867</v>
      </c>
    </row>
    <row r="10" spans="1:20" x14ac:dyDescent="0.35">
      <c r="M10" s="5" t="s">
        <v>706</v>
      </c>
      <c r="N10" s="7">
        <f>MIN(N2:N7)</f>
        <v>-31.437599503259008</v>
      </c>
      <c r="O10" s="35">
        <f t="shared" ref="O10:P10" si="2">MIN(O2:O7)</f>
        <v>-231.94793092718214</v>
      </c>
      <c r="P10" s="35">
        <f t="shared" si="2"/>
        <v>-16.209256077496519</v>
      </c>
    </row>
    <row r="11" spans="1:20" x14ac:dyDescent="0.35">
      <c r="M11" s="5" t="s">
        <v>707</v>
      </c>
      <c r="N11" s="7">
        <f>MAX(N2:N7)</f>
        <v>-8.6678345631540292</v>
      </c>
      <c r="O11" s="35">
        <f t="shared" ref="O11:P11" si="3">MAX(O2:O7)</f>
        <v>-84.538337461036576</v>
      </c>
      <c r="P11" s="35">
        <f t="shared" si="3"/>
        <v>19.552865098889924</v>
      </c>
    </row>
    <row r="12" spans="1:20" x14ac:dyDescent="0.35">
      <c r="M12" s="5" t="s">
        <v>708</v>
      </c>
      <c r="N12" s="5">
        <f>_xlfn.STDEV.P(N2:N7)</f>
        <v>8.0996789388178509</v>
      </c>
      <c r="O12" s="35">
        <f t="shared" ref="O12:P12" si="4">_xlfn.STDEV.P(O2:O7)</f>
        <v>52.297337268671484</v>
      </c>
      <c r="P12" s="35">
        <f t="shared" si="4"/>
        <v>13.145048407155192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89BE-1A7D-4A21-ADA6-4C0ECCC0CFDE}">
  <dimension ref="A1:T45"/>
  <sheetViews>
    <sheetView zoomScale="85" zoomScaleNormal="85" workbookViewId="0"/>
  </sheetViews>
  <sheetFormatPr defaultRowHeight="14.5" x14ac:dyDescent="0.35"/>
  <cols>
    <col min="1" max="1" width="14.7265625" style="5" bestFit="1" customWidth="1"/>
    <col min="2" max="2" width="6.81640625" style="5" bestFit="1" customWidth="1"/>
    <col min="3" max="3" width="11" style="5" bestFit="1" customWidth="1"/>
    <col min="4" max="4" width="7.5429687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29.81640625" style="5" bestFit="1" customWidth="1"/>
    <col min="10" max="10" width="10.54296875" style="5" bestFit="1" customWidth="1"/>
    <col min="11" max="11" width="17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20" t="s">
        <v>10</v>
      </c>
      <c r="L1" s="20" t="s">
        <v>11</v>
      </c>
      <c r="M1" s="20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494</v>
      </c>
      <c r="B2" s="5" t="s">
        <v>21</v>
      </c>
      <c r="C2" s="5" t="s">
        <v>495</v>
      </c>
      <c r="D2" s="5" t="s">
        <v>496</v>
      </c>
      <c r="E2" s="7">
        <v>68.627778000000006</v>
      </c>
      <c r="F2" s="7">
        <v>-149.59472199999999</v>
      </c>
      <c r="G2" s="7">
        <v>719</v>
      </c>
      <c r="I2" s="5" t="s">
        <v>497</v>
      </c>
      <c r="K2" s="8">
        <v>43745</v>
      </c>
      <c r="L2" s="8"/>
      <c r="M2" s="8"/>
      <c r="N2" s="9">
        <v>-18.163284825562901</v>
      </c>
      <c r="O2" s="41">
        <v>-126.21044152200446</v>
      </c>
      <c r="P2" s="41">
        <f t="shared" ref="P2:P39" si="0">O2-8*N2</f>
        <v>19.095837082498747</v>
      </c>
      <c r="Q2" s="7"/>
      <c r="R2" s="7"/>
      <c r="S2" s="7"/>
      <c r="T2" s="7"/>
    </row>
    <row r="3" spans="1:20" ht="14.25" customHeight="1" x14ac:dyDescent="0.35">
      <c r="A3" s="5" t="s">
        <v>494</v>
      </c>
      <c r="B3" s="5" t="s">
        <v>21</v>
      </c>
      <c r="C3" s="5" t="s">
        <v>495</v>
      </c>
      <c r="D3" s="5" t="s">
        <v>496</v>
      </c>
      <c r="E3" s="7">
        <v>68.627778000000006</v>
      </c>
      <c r="F3" s="7">
        <v>-149.59472199999999</v>
      </c>
      <c r="G3" s="7">
        <v>719</v>
      </c>
      <c r="I3" s="5" t="s">
        <v>498</v>
      </c>
      <c r="K3" s="8">
        <v>43760</v>
      </c>
      <c r="L3" s="8"/>
      <c r="M3" s="8"/>
      <c r="N3" s="9">
        <v>-28.356675161712207</v>
      </c>
      <c r="O3" s="41">
        <v>-216.3400734639456</v>
      </c>
      <c r="P3" s="41">
        <f t="shared" si="0"/>
        <v>10.513327829752058</v>
      </c>
      <c r="Q3" s="7"/>
      <c r="R3" s="7"/>
      <c r="S3" s="7"/>
      <c r="T3" s="7"/>
    </row>
    <row r="4" spans="1:20" ht="14.25" customHeight="1" x14ac:dyDescent="0.35">
      <c r="A4" s="5" t="s">
        <v>494</v>
      </c>
      <c r="B4" s="5" t="s">
        <v>21</v>
      </c>
      <c r="C4" s="5" t="s">
        <v>495</v>
      </c>
      <c r="D4" s="5" t="s">
        <v>496</v>
      </c>
      <c r="E4" s="7">
        <v>68.627778000000006</v>
      </c>
      <c r="F4" s="7">
        <v>-149.59472199999999</v>
      </c>
      <c r="G4" s="7">
        <v>719</v>
      </c>
      <c r="I4" s="5" t="s">
        <v>499</v>
      </c>
      <c r="K4" s="8">
        <v>43768</v>
      </c>
      <c r="L4" s="8"/>
      <c r="M4" s="8"/>
      <c r="N4" s="9">
        <v>-25.24254229260189</v>
      </c>
      <c r="O4" s="41">
        <v>-194.83398874696525</v>
      </c>
      <c r="P4" s="41">
        <f t="shared" si="0"/>
        <v>7.1063495938498704</v>
      </c>
      <c r="Q4" s="7"/>
      <c r="R4" s="7"/>
      <c r="S4" s="7"/>
      <c r="T4" s="7"/>
    </row>
    <row r="5" spans="1:20" ht="14.25" customHeight="1" x14ac:dyDescent="0.35">
      <c r="A5" s="5" t="s">
        <v>494</v>
      </c>
      <c r="B5" s="5" t="s">
        <v>21</v>
      </c>
      <c r="C5" s="5" t="s">
        <v>495</v>
      </c>
      <c r="D5" s="5" t="s">
        <v>496</v>
      </c>
      <c r="E5" s="7">
        <v>68.627778000000006</v>
      </c>
      <c r="F5" s="7">
        <v>-149.59472199999999</v>
      </c>
      <c r="G5" s="7">
        <v>719</v>
      </c>
      <c r="I5" s="5" t="s">
        <v>500</v>
      </c>
      <c r="K5" s="8">
        <v>43771</v>
      </c>
      <c r="L5" s="8"/>
      <c r="M5" s="8"/>
      <c r="N5" s="9">
        <v>-19.684791788908132</v>
      </c>
      <c r="O5" s="41">
        <v>-149.82707829349965</v>
      </c>
      <c r="P5" s="41">
        <f t="shared" si="0"/>
        <v>7.6512560177654052</v>
      </c>
      <c r="Q5" s="7"/>
      <c r="R5" s="7"/>
      <c r="S5" s="7"/>
      <c r="T5" s="7"/>
    </row>
    <row r="6" spans="1:20" ht="14.25" customHeight="1" x14ac:dyDescent="0.35">
      <c r="A6" s="5" t="s">
        <v>494</v>
      </c>
      <c r="B6" s="5" t="s">
        <v>21</v>
      </c>
      <c r="C6" s="5" t="s">
        <v>495</v>
      </c>
      <c r="D6" s="5" t="s">
        <v>496</v>
      </c>
      <c r="E6" s="7">
        <v>68.627778000000006</v>
      </c>
      <c r="F6" s="7">
        <v>-149.59472199999999</v>
      </c>
      <c r="G6" s="7">
        <v>719</v>
      </c>
      <c r="I6" s="5" t="s">
        <v>501</v>
      </c>
      <c r="K6" s="8">
        <v>43792</v>
      </c>
      <c r="L6" s="8"/>
      <c r="M6" s="8"/>
      <c r="N6" s="9">
        <v>-36.170990739104305</v>
      </c>
      <c r="O6" s="41">
        <v>-279.2962252821946</v>
      </c>
      <c r="P6" s="41">
        <f t="shared" si="0"/>
        <v>10.071700630639839</v>
      </c>
      <c r="Q6" s="7"/>
      <c r="R6" s="7"/>
      <c r="S6" s="7"/>
      <c r="T6" s="7"/>
    </row>
    <row r="7" spans="1:20" ht="14.25" customHeight="1" x14ac:dyDescent="0.35">
      <c r="A7" s="5" t="s">
        <v>494</v>
      </c>
      <c r="B7" s="5" t="s">
        <v>21</v>
      </c>
      <c r="C7" s="5" t="s">
        <v>495</v>
      </c>
      <c r="D7" s="5" t="s">
        <v>496</v>
      </c>
      <c r="E7" s="7">
        <v>68.627778000000006</v>
      </c>
      <c r="F7" s="7">
        <v>-149.59472199999999</v>
      </c>
      <c r="G7" s="7">
        <v>719</v>
      </c>
      <c r="I7" s="5" t="s">
        <v>502</v>
      </c>
      <c r="K7" s="8">
        <v>43830</v>
      </c>
      <c r="L7" s="8"/>
      <c r="M7" s="8"/>
      <c r="N7" s="9">
        <v>-35.739162366123502</v>
      </c>
      <c r="O7" s="41">
        <v>-276.86027604897311</v>
      </c>
      <c r="P7" s="41">
        <f t="shared" si="0"/>
        <v>9.0530228800149075</v>
      </c>
      <c r="Q7" s="7"/>
      <c r="R7" s="7"/>
      <c r="S7" s="7"/>
      <c r="T7" s="7"/>
    </row>
    <row r="8" spans="1:20" ht="14.25" customHeight="1" x14ac:dyDescent="0.35">
      <c r="A8" s="5" t="s">
        <v>494</v>
      </c>
      <c r="B8" s="5" t="s">
        <v>21</v>
      </c>
      <c r="C8" s="5" t="s">
        <v>495</v>
      </c>
      <c r="D8" s="5" t="s">
        <v>496</v>
      </c>
      <c r="E8" s="7">
        <v>68.627778000000006</v>
      </c>
      <c r="F8" s="7">
        <v>-149.59472199999999</v>
      </c>
      <c r="G8" s="7">
        <v>719</v>
      </c>
      <c r="I8" s="5" t="s">
        <v>503</v>
      </c>
      <c r="K8" s="8">
        <v>43866</v>
      </c>
      <c r="L8" s="8"/>
      <c r="M8" s="8"/>
      <c r="N8" s="9">
        <v>-33.362279629564171</v>
      </c>
      <c r="O8" s="41">
        <v>-256.34923582730005</v>
      </c>
      <c r="P8" s="41">
        <f t="shared" si="0"/>
        <v>10.549001209213316</v>
      </c>
      <c r="Q8" s="7"/>
      <c r="R8" s="7"/>
      <c r="S8" s="7"/>
      <c r="T8" s="7"/>
    </row>
    <row r="9" spans="1:20" ht="14.25" customHeight="1" x14ac:dyDescent="0.35">
      <c r="A9" s="5" t="s">
        <v>494</v>
      </c>
      <c r="B9" s="5" t="s">
        <v>21</v>
      </c>
      <c r="C9" s="5" t="s">
        <v>495</v>
      </c>
      <c r="D9" s="5" t="s">
        <v>496</v>
      </c>
      <c r="E9" s="7">
        <v>68.627778000000006</v>
      </c>
      <c r="F9" s="7">
        <v>-149.59472199999999</v>
      </c>
      <c r="G9" s="7">
        <v>719</v>
      </c>
      <c r="I9" s="5" t="s">
        <v>504</v>
      </c>
      <c r="K9" s="8">
        <v>43880</v>
      </c>
      <c r="L9" s="8"/>
      <c r="M9" s="8"/>
      <c r="N9" s="9">
        <v>-27.953343077303735</v>
      </c>
      <c r="O9" s="41">
        <v>-229.16743102033018</v>
      </c>
      <c r="P9" s="41">
        <f t="shared" si="0"/>
        <v>-5.5406864019003024</v>
      </c>
      <c r="Q9" s="7"/>
      <c r="R9" s="7"/>
      <c r="S9" s="7"/>
      <c r="T9" s="7"/>
    </row>
    <row r="10" spans="1:20" ht="14.25" customHeight="1" x14ac:dyDescent="0.35">
      <c r="A10" s="5" t="s">
        <v>494</v>
      </c>
      <c r="B10" s="5" t="s">
        <v>21</v>
      </c>
      <c r="C10" s="5" t="s">
        <v>495</v>
      </c>
      <c r="D10" s="5" t="s">
        <v>496</v>
      </c>
      <c r="E10" s="7">
        <v>68.627778000000006</v>
      </c>
      <c r="F10" s="7">
        <v>-149.59472199999999</v>
      </c>
      <c r="G10" s="7">
        <v>719</v>
      </c>
      <c r="I10" s="5" t="s">
        <v>505</v>
      </c>
      <c r="K10" s="8">
        <v>43884</v>
      </c>
      <c r="L10" s="8"/>
      <c r="M10" s="8"/>
      <c r="N10" s="9">
        <v>-29.076145558658226</v>
      </c>
      <c r="O10" s="41">
        <v>-227.13669798783062</v>
      </c>
      <c r="P10" s="41">
        <f t="shared" si="0"/>
        <v>5.4724664814351911</v>
      </c>
      <c r="Q10" s="7"/>
      <c r="R10" s="7"/>
      <c r="S10" s="7"/>
      <c r="T10" s="7"/>
    </row>
    <row r="11" spans="1:20" ht="14.25" customHeight="1" x14ac:dyDescent="0.35">
      <c r="A11" s="5" t="s">
        <v>494</v>
      </c>
      <c r="B11" s="5" t="s">
        <v>21</v>
      </c>
      <c r="C11" s="5" t="s">
        <v>495</v>
      </c>
      <c r="D11" s="5" t="s">
        <v>496</v>
      </c>
      <c r="E11" s="7">
        <v>68.627778000000006</v>
      </c>
      <c r="F11" s="7">
        <v>-149.59472199999999</v>
      </c>
      <c r="G11" s="7">
        <v>719</v>
      </c>
      <c r="I11" s="5" t="s">
        <v>506</v>
      </c>
      <c r="K11" s="8">
        <v>43906</v>
      </c>
      <c r="L11" s="8"/>
      <c r="M11" s="8"/>
      <c r="N11" s="9">
        <v>-19.478985260330138</v>
      </c>
      <c r="O11" s="41">
        <v>-149.89955200674055</v>
      </c>
      <c r="P11" s="41">
        <f t="shared" si="0"/>
        <v>5.9323300759005519</v>
      </c>
      <c r="Q11" s="7"/>
      <c r="R11" s="7"/>
      <c r="S11" s="7"/>
      <c r="T11" s="7"/>
    </row>
    <row r="12" spans="1:20" ht="14.25" customHeight="1" x14ac:dyDescent="0.35">
      <c r="A12" s="5" t="s">
        <v>494</v>
      </c>
      <c r="B12" s="5" t="s">
        <v>21</v>
      </c>
      <c r="C12" s="5" t="s">
        <v>495</v>
      </c>
      <c r="D12" s="5" t="s">
        <v>496</v>
      </c>
      <c r="E12" s="7">
        <v>68.627778000000006</v>
      </c>
      <c r="F12" s="7">
        <v>-149.59472199999999</v>
      </c>
      <c r="G12" s="7">
        <v>719</v>
      </c>
      <c r="I12" s="5" t="s">
        <v>507</v>
      </c>
      <c r="K12" s="8">
        <v>43906</v>
      </c>
      <c r="L12" s="8"/>
      <c r="M12" s="8"/>
      <c r="N12" s="9">
        <v>-18.447029921176345</v>
      </c>
      <c r="O12" s="41">
        <v>-139.08627811630021</v>
      </c>
      <c r="P12" s="41">
        <f t="shared" si="0"/>
        <v>8.4899612531105504</v>
      </c>
      <c r="Q12" s="7"/>
      <c r="R12" s="7"/>
      <c r="S12" s="7"/>
      <c r="T12" s="7"/>
    </row>
    <row r="13" spans="1:20" ht="14.25" customHeight="1" x14ac:dyDescent="0.35">
      <c r="A13" s="5" t="s">
        <v>494</v>
      </c>
      <c r="B13" s="5" t="s">
        <v>21</v>
      </c>
      <c r="C13" s="5" t="s">
        <v>495</v>
      </c>
      <c r="D13" s="5" t="s">
        <v>496</v>
      </c>
      <c r="E13" s="7">
        <v>68.627778000000006</v>
      </c>
      <c r="F13" s="7">
        <v>-149.59472199999999</v>
      </c>
      <c r="G13" s="7">
        <v>719</v>
      </c>
      <c r="I13" s="5" t="s">
        <v>508</v>
      </c>
      <c r="K13" s="8">
        <v>43908</v>
      </c>
      <c r="L13" s="8"/>
      <c r="M13" s="8"/>
      <c r="N13" s="9">
        <v>-25.845591955038707</v>
      </c>
      <c r="O13" s="41">
        <v>-202.76031144543524</v>
      </c>
      <c r="P13" s="41">
        <f t="shared" si="0"/>
        <v>4.0044241948744173</v>
      </c>
      <c r="Q13" s="7"/>
      <c r="R13" s="7"/>
      <c r="S13" s="7"/>
      <c r="T13" s="7"/>
    </row>
    <row r="14" spans="1:20" ht="14.25" customHeight="1" x14ac:dyDescent="0.35">
      <c r="A14" s="5" t="s">
        <v>494</v>
      </c>
      <c r="B14" s="5" t="s">
        <v>21</v>
      </c>
      <c r="C14" s="5" t="s">
        <v>495</v>
      </c>
      <c r="D14" s="5" t="s">
        <v>496</v>
      </c>
      <c r="E14" s="7">
        <v>68.627778000000006</v>
      </c>
      <c r="F14" s="7">
        <v>-149.59472199999999</v>
      </c>
      <c r="G14" s="7">
        <v>719</v>
      </c>
      <c r="I14" s="5" t="s">
        <v>509</v>
      </c>
      <c r="K14" s="8">
        <v>43910</v>
      </c>
      <c r="L14" s="8"/>
      <c r="M14" s="8"/>
      <c r="N14" s="9">
        <v>-29.44148259163692</v>
      </c>
      <c r="O14" s="41">
        <v>-232.13077342355453</v>
      </c>
      <c r="P14" s="41">
        <f t="shared" si="0"/>
        <v>3.4010873095408272</v>
      </c>
      <c r="Q14" s="7"/>
      <c r="R14" s="7"/>
      <c r="S14" s="7"/>
      <c r="T14" s="7"/>
    </row>
    <row r="15" spans="1:20" ht="14.25" customHeight="1" x14ac:dyDescent="0.35">
      <c r="A15" s="5" t="s">
        <v>494</v>
      </c>
      <c r="B15" s="5" t="s">
        <v>21</v>
      </c>
      <c r="C15" s="5" t="s">
        <v>495</v>
      </c>
      <c r="D15" s="5" t="s">
        <v>496</v>
      </c>
      <c r="E15" s="7">
        <v>68.627778000000006</v>
      </c>
      <c r="F15" s="7">
        <v>-149.59472199999999</v>
      </c>
      <c r="G15" s="7">
        <v>719</v>
      </c>
      <c r="I15" s="5" t="s">
        <v>510</v>
      </c>
      <c r="K15" s="8">
        <v>43911</v>
      </c>
      <c r="L15" s="8"/>
      <c r="M15" s="8"/>
      <c r="N15" s="9">
        <v>-23.834533367502033</v>
      </c>
      <c r="O15" s="41">
        <v>-179.66225347341359</v>
      </c>
      <c r="P15" s="41">
        <f t="shared" si="0"/>
        <v>11.014013466602677</v>
      </c>
      <c r="Q15" s="7"/>
      <c r="R15" s="7"/>
      <c r="S15" s="7"/>
      <c r="T15" s="7"/>
    </row>
    <row r="16" spans="1:20" ht="14.25" customHeight="1" x14ac:dyDescent="0.35">
      <c r="A16" s="5" t="s">
        <v>494</v>
      </c>
      <c r="B16" s="5" t="s">
        <v>21</v>
      </c>
      <c r="C16" s="5" t="s">
        <v>495</v>
      </c>
      <c r="D16" s="5" t="s">
        <v>496</v>
      </c>
      <c r="E16" s="7">
        <v>68.627778000000006</v>
      </c>
      <c r="F16" s="7">
        <v>-149.59472199999999</v>
      </c>
      <c r="G16" s="7">
        <v>719</v>
      </c>
      <c r="I16" s="5" t="s">
        <v>511</v>
      </c>
      <c r="K16" s="8">
        <v>43913</v>
      </c>
      <c r="L16" s="8"/>
      <c r="M16" s="8"/>
      <c r="N16" s="9">
        <v>-22.370262539323459</v>
      </c>
      <c r="O16" s="41">
        <v>-170.78593750678615</v>
      </c>
      <c r="P16" s="41">
        <f t="shared" si="0"/>
        <v>8.1761628078015178</v>
      </c>
      <c r="Q16" s="7"/>
      <c r="R16" s="7"/>
      <c r="S16" s="7"/>
      <c r="T16" s="7"/>
    </row>
    <row r="17" spans="1:20" ht="14.25" customHeight="1" x14ac:dyDescent="0.35">
      <c r="A17" s="5" t="s">
        <v>494</v>
      </c>
      <c r="B17" s="5" t="s">
        <v>21</v>
      </c>
      <c r="C17" s="5" t="s">
        <v>495</v>
      </c>
      <c r="D17" s="5" t="s">
        <v>496</v>
      </c>
      <c r="E17" s="7">
        <v>68.627778000000006</v>
      </c>
      <c r="F17" s="7">
        <v>-149.59472199999999</v>
      </c>
      <c r="G17" s="7">
        <v>719</v>
      </c>
      <c r="I17" s="22" t="s">
        <v>647</v>
      </c>
      <c r="J17" s="5" t="s">
        <v>100</v>
      </c>
      <c r="K17" s="8">
        <v>43937</v>
      </c>
      <c r="L17" s="8"/>
      <c r="M17" s="8"/>
      <c r="N17" s="9">
        <v>-22.22</v>
      </c>
      <c r="O17" s="41">
        <v>-167.7</v>
      </c>
      <c r="P17" s="41">
        <f t="shared" si="0"/>
        <v>10.060000000000002</v>
      </c>
      <c r="Q17" s="7"/>
      <c r="R17" s="7"/>
      <c r="S17" s="7"/>
      <c r="T17" s="7"/>
    </row>
    <row r="18" spans="1:20" ht="14.25" customHeight="1" x14ac:dyDescent="0.35">
      <c r="A18" s="5" t="s">
        <v>494</v>
      </c>
      <c r="B18" s="5" t="s">
        <v>21</v>
      </c>
      <c r="C18" s="5" t="s">
        <v>495</v>
      </c>
      <c r="D18" s="5" t="s">
        <v>496</v>
      </c>
      <c r="E18" s="7">
        <v>68.627778000000006</v>
      </c>
      <c r="F18" s="7">
        <v>-149.59472199999999</v>
      </c>
      <c r="G18" s="7">
        <v>719</v>
      </c>
      <c r="I18" s="22" t="s">
        <v>648</v>
      </c>
      <c r="J18" s="5" t="s">
        <v>100</v>
      </c>
      <c r="K18" s="8">
        <v>43942</v>
      </c>
      <c r="L18" s="8"/>
      <c r="M18" s="8"/>
      <c r="N18" s="9">
        <v>-24</v>
      </c>
      <c r="O18" s="41">
        <v>-180.42</v>
      </c>
      <c r="P18" s="41">
        <f t="shared" si="0"/>
        <v>11.580000000000013</v>
      </c>
      <c r="Q18" s="7"/>
      <c r="R18" s="7"/>
      <c r="S18" s="7"/>
      <c r="T18" s="7"/>
    </row>
    <row r="19" spans="1:20" ht="14.25" customHeight="1" x14ac:dyDescent="0.35">
      <c r="A19" s="5" t="s">
        <v>494</v>
      </c>
      <c r="B19" s="5" t="s">
        <v>21</v>
      </c>
      <c r="C19" s="5" t="s">
        <v>495</v>
      </c>
      <c r="D19" s="5" t="s">
        <v>496</v>
      </c>
      <c r="E19" s="7">
        <v>68.627778000000006</v>
      </c>
      <c r="F19" s="7">
        <v>-149.59472199999999</v>
      </c>
      <c r="G19" s="7">
        <v>719</v>
      </c>
      <c r="I19" s="22" t="s">
        <v>649</v>
      </c>
      <c r="J19" s="5" t="s">
        <v>41</v>
      </c>
      <c r="K19" s="8">
        <v>43979</v>
      </c>
      <c r="L19" s="8"/>
      <c r="M19" s="8"/>
      <c r="N19" s="9">
        <v>-19.53</v>
      </c>
      <c r="O19" s="41">
        <v>-157.68</v>
      </c>
      <c r="P19" s="41">
        <f t="shared" si="0"/>
        <v>-1.4399999999999977</v>
      </c>
      <c r="Q19" s="7"/>
      <c r="R19" s="7"/>
      <c r="S19" s="7"/>
      <c r="T19" s="7"/>
    </row>
    <row r="20" spans="1:20" ht="14.25" customHeight="1" x14ac:dyDescent="0.35">
      <c r="A20" s="5" t="s">
        <v>494</v>
      </c>
      <c r="B20" s="5" t="s">
        <v>21</v>
      </c>
      <c r="C20" s="5" t="s">
        <v>495</v>
      </c>
      <c r="D20" s="5" t="s">
        <v>496</v>
      </c>
      <c r="E20" s="7">
        <v>68.627778000000006</v>
      </c>
      <c r="F20" s="7">
        <v>-149.59472199999999</v>
      </c>
      <c r="G20" s="7">
        <v>719</v>
      </c>
      <c r="I20" s="22" t="s">
        <v>650</v>
      </c>
      <c r="J20" s="5" t="s">
        <v>41</v>
      </c>
      <c r="K20" s="8">
        <v>43986</v>
      </c>
      <c r="L20" s="8"/>
      <c r="M20" s="8"/>
      <c r="N20" s="9">
        <v>-15.14</v>
      </c>
      <c r="O20" s="41">
        <v>-127.13</v>
      </c>
      <c r="P20" s="41">
        <f t="shared" si="0"/>
        <v>-6.0099999999999909</v>
      </c>
      <c r="Q20" s="7"/>
      <c r="R20" s="7"/>
      <c r="S20" s="7"/>
      <c r="T20" s="7"/>
    </row>
    <row r="21" spans="1:20" ht="14.25" customHeight="1" x14ac:dyDescent="0.35">
      <c r="A21" s="5" t="s">
        <v>494</v>
      </c>
      <c r="B21" s="5" t="s">
        <v>21</v>
      </c>
      <c r="C21" s="5" t="s">
        <v>495</v>
      </c>
      <c r="D21" s="5" t="s">
        <v>496</v>
      </c>
      <c r="E21" s="7">
        <v>68.627778000000006</v>
      </c>
      <c r="F21" s="7">
        <v>-149.59472199999999</v>
      </c>
      <c r="G21" s="7">
        <v>719</v>
      </c>
      <c r="I21" s="22" t="s">
        <v>651</v>
      </c>
      <c r="J21" s="5" t="s">
        <v>41</v>
      </c>
      <c r="K21" s="8">
        <v>43987</v>
      </c>
      <c r="L21" s="8"/>
      <c r="M21" s="8"/>
      <c r="N21" s="9">
        <v>-15.41</v>
      </c>
      <c r="O21" s="41">
        <v>-129.62</v>
      </c>
      <c r="P21" s="41">
        <f t="shared" si="0"/>
        <v>-6.3400000000000034</v>
      </c>
      <c r="Q21" s="7"/>
      <c r="R21" s="7"/>
      <c r="S21" s="7"/>
      <c r="T21" s="7"/>
    </row>
    <row r="22" spans="1:20" ht="14.25" customHeight="1" x14ac:dyDescent="0.35">
      <c r="A22" s="5" t="s">
        <v>494</v>
      </c>
      <c r="B22" s="5" t="s">
        <v>21</v>
      </c>
      <c r="C22" s="5" t="s">
        <v>495</v>
      </c>
      <c r="D22" s="5" t="s">
        <v>496</v>
      </c>
      <c r="E22" s="7">
        <v>68.627778000000006</v>
      </c>
      <c r="F22" s="7">
        <v>-149.59472199999999</v>
      </c>
      <c r="G22" s="7">
        <v>719</v>
      </c>
      <c r="I22" s="22" t="s">
        <v>652</v>
      </c>
      <c r="J22" s="5" t="s">
        <v>41</v>
      </c>
      <c r="K22" s="8">
        <v>43989</v>
      </c>
      <c r="L22" s="8"/>
      <c r="M22" s="8"/>
      <c r="N22" s="9">
        <v>-18.059999999999999</v>
      </c>
      <c r="O22" s="41">
        <v>-142.09</v>
      </c>
      <c r="P22" s="41">
        <f t="shared" si="0"/>
        <v>2.3899999999999864</v>
      </c>
      <c r="Q22" s="7"/>
      <c r="R22" s="7"/>
      <c r="S22" s="7"/>
      <c r="T22" s="7"/>
    </row>
    <row r="23" spans="1:20" ht="14.25" customHeight="1" x14ac:dyDescent="0.35">
      <c r="A23" s="5" t="s">
        <v>494</v>
      </c>
      <c r="B23" s="5" t="s">
        <v>21</v>
      </c>
      <c r="C23" s="5" t="s">
        <v>495</v>
      </c>
      <c r="D23" s="5" t="s">
        <v>496</v>
      </c>
      <c r="E23" s="7">
        <v>68.627778000000006</v>
      </c>
      <c r="F23" s="7">
        <v>-149.59472199999999</v>
      </c>
      <c r="G23" s="7">
        <v>719</v>
      </c>
      <c r="I23" s="22" t="s">
        <v>653</v>
      </c>
      <c r="J23" s="5" t="s">
        <v>41</v>
      </c>
      <c r="K23" s="8">
        <v>43990</v>
      </c>
      <c r="L23" s="8"/>
      <c r="M23" s="8"/>
      <c r="N23" s="9">
        <v>-16.55</v>
      </c>
      <c r="O23" s="41">
        <v>-131.21</v>
      </c>
      <c r="P23" s="41">
        <f t="shared" si="0"/>
        <v>1.1899999999999977</v>
      </c>
      <c r="Q23" s="7"/>
      <c r="R23" s="7"/>
      <c r="S23" s="7"/>
      <c r="T23" s="7"/>
    </row>
    <row r="24" spans="1:20" ht="14.25" customHeight="1" x14ac:dyDescent="0.35">
      <c r="A24" s="5" t="s">
        <v>494</v>
      </c>
      <c r="B24" s="5" t="s">
        <v>21</v>
      </c>
      <c r="C24" s="5" t="s">
        <v>495</v>
      </c>
      <c r="D24" s="5" t="s">
        <v>496</v>
      </c>
      <c r="E24" s="7">
        <v>68.627778000000006</v>
      </c>
      <c r="F24" s="7">
        <v>-149.59472199999999</v>
      </c>
      <c r="G24" s="7">
        <v>719</v>
      </c>
      <c r="I24" s="22" t="s">
        <v>654</v>
      </c>
      <c r="J24" s="5" t="s">
        <v>41</v>
      </c>
      <c r="K24" s="8">
        <v>43995</v>
      </c>
      <c r="L24" s="8"/>
      <c r="M24" s="8"/>
      <c r="N24" s="9">
        <v>-14.68</v>
      </c>
      <c r="O24" s="41">
        <v>-118.34</v>
      </c>
      <c r="P24" s="41">
        <f t="shared" si="0"/>
        <v>-0.90000000000000568</v>
      </c>
      <c r="Q24" s="7"/>
      <c r="R24" s="7"/>
      <c r="S24" s="7"/>
      <c r="T24" s="7"/>
    </row>
    <row r="25" spans="1:20" ht="14.25" customHeight="1" x14ac:dyDescent="0.35">
      <c r="A25" s="5" t="s">
        <v>494</v>
      </c>
      <c r="B25" s="5" t="s">
        <v>21</v>
      </c>
      <c r="C25" s="5" t="s">
        <v>495</v>
      </c>
      <c r="D25" s="5" t="s">
        <v>496</v>
      </c>
      <c r="E25" s="7">
        <v>68.627778000000006</v>
      </c>
      <c r="F25" s="7">
        <v>-149.59472199999999</v>
      </c>
      <c r="G25" s="7">
        <v>719</v>
      </c>
      <c r="I25" s="22" t="s">
        <v>655</v>
      </c>
      <c r="J25" s="5" t="s">
        <v>41</v>
      </c>
      <c r="K25" s="8">
        <v>43998</v>
      </c>
      <c r="L25" s="8"/>
      <c r="M25" s="8"/>
      <c r="N25" s="9">
        <v>-13.31</v>
      </c>
      <c r="O25" s="41">
        <v>-115.01</v>
      </c>
      <c r="P25" s="41">
        <f t="shared" si="0"/>
        <v>-8.5300000000000011</v>
      </c>
      <c r="Q25" s="7"/>
      <c r="R25" s="7"/>
      <c r="S25" s="7"/>
      <c r="T25" s="7"/>
    </row>
    <row r="26" spans="1:20" ht="14.25" customHeight="1" x14ac:dyDescent="0.35">
      <c r="A26" s="5" t="s">
        <v>494</v>
      </c>
      <c r="B26" s="5" t="s">
        <v>21</v>
      </c>
      <c r="C26" s="5" t="s">
        <v>495</v>
      </c>
      <c r="D26" s="5" t="s">
        <v>496</v>
      </c>
      <c r="E26" s="7">
        <v>68.627778000000006</v>
      </c>
      <c r="F26" s="7">
        <v>-149.59472199999999</v>
      </c>
      <c r="G26" s="7">
        <v>719</v>
      </c>
      <c r="I26" s="22" t="s">
        <v>656</v>
      </c>
      <c r="J26" s="5" t="s">
        <v>41</v>
      </c>
      <c r="K26" s="8">
        <v>44000</v>
      </c>
      <c r="L26" s="8"/>
      <c r="M26" s="8"/>
      <c r="N26" s="9">
        <v>-12.05</v>
      </c>
      <c r="O26" s="41">
        <v>-104.25</v>
      </c>
      <c r="P26" s="41">
        <f t="shared" si="0"/>
        <v>-7.8499999999999943</v>
      </c>
      <c r="Q26" s="7"/>
      <c r="R26" s="7"/>
      <c r="S26" s="7"/>
      <c r="T26" s="7"/>
    </row>
    <row r="27" spans="1:20" ht="14.25" customHeight="1" x14ac:dyDescent="0.35">
      <c r="A27" s="5" t="s">
        <v>494</v>
      </c>
      <c r="B27" s="5" t="s">
        <v>21</v>
      </c>
      <c r="C27" s="5" t="s">
        <v>495</v>
      </c>
      <c r="D27" s="5" t="s">
        <v>496</v>
      </c>
      <c r="E27" s="7">
        <v>68.627778000000006</v>
      </c>
      <c r="F27" s="7">
        <v>-149.59472199999999</v>
      </c>
      <c r="G27" s="7">
        <v>719</v>
      </c>
      <c r="I27" s="22" t="s">
        <v>657</v>
      </c>
      <c r="J27" s="5" t="s">
        <v>41</v>
      </c>
      <c r="K27" s="8">
        <v>44006</v>
      </c>
      <c r="L27" s="8"/>
      <c r="M27" s="8"/>
      <c r="N27" s="9">
        <v>-18.920000000000002</v>
      </c>
      <c r="O27" s="41">
        <v>-143.66999999999999</v>
      </c>
      <c r="P27" s="41">
        <f t="shared" si="0"/>
        <v>7.6900000000000261</v>
      </c>
      <c r="Q27" s="7"/>
      <c r="R27" s="7"/>
      <c r="S27" s="7"/>
      <c r="T27" s="7"/>
    </row>
    <row r="28" spans="1:20" ht="14.25" customHeight="1" x14ac:dyDescent="0.35">
      <c r="A28" s="5" t="s">
        <v>494</v>
      </c>
      <c r="B28" s="5" t="s">
        <v>21</v>
      </c>
      <c r="C28" s="5" t="s">
        <v>495</v>
      </c>
      <c r="D28" s="5" t="s">
        <v>496</v>
      </c>
      <c r="E28" s="7">
        <v>68.627778000000006</v>
      </c>
      <c r="F28" s="7">
        <v>-149.59472199999999</v>
      </c>
      <c r="G28" s="7">
        <v>719</v>
      </c>
      <c r="I28" s="22" t="s">
        <v>658</v>
      </c>
      <c r="J28" s="5" t="s">
        <v>41</v>
      </c>
      <c r="K28" s="8">
        <v>44009</v>
      </c>
      <c r="L28" s="8"/>
      <c r="M28" s="8"/>
      <c r="N28" s="9">
        <v>-14.07</v>
      </c>
      <c r="O28" s="41">
        <v>-112.88</v>
      </c>
      <c r="P28" s="41">
        <f t="shared" si="0"/>
        <v>-0.31999999999999318</v>
      </c>
      <c r="Q28" s="7"/>
      <c r="R28" s="7"/>
      <c r="S28" s="7"/>
      <c r="T28" s="7"/>
    </row>
    <row r="29" spans="1:20" ht="14.25" customHeight="1" x14ac:dyDescent="0.35">
      <c r="A29" s="5" t="s">
        <v>494</v>
      </c>
      <c r="B29" s="5" t="s">
        <v>21</v>
      </c>
      <c r="C29" s="5" t="s">
        <v>495</v>
      </c>
      <c r="D29" s="5" t="s">
        <v>496</v>
      </c>
      <c r="E29" s="7">
        <v>68.627778000000006</v>
      </c>
      <c r="F29" s="7">
        <v>-149.59472199999999</v>
      </c>
      <c r="G29" s="7">
        <v>719</v>
      </c>
      <c r="I29" s="22" t="s">
        <v>659</v>
      </c>
      <c r="J29" s="5" t="s">
        <v>41</v>
      </c>
      <c r="K29" s="8">
        <v>44010</v>
      </c>
      <c r="L29" s="8"/>
      <c r="M29" s="8"/>
      <c r="N29" s="9">
        <v>-13.59</v>
      </c>
      <c r="O29" s="41">
        <v>-111.2</v>
      </c>
      <c r="P29" s="41">
        <f t="shared" si="0"/>
        <v>-2.480000000000004</v>
      </c>
      <c r="Q29" s="7"/>
      <c r="R29" s="7"/>
      <c r="S29" s="7"/>
      <c r="T29" s="7"/>
    </row>
    <row r="30" spans="1:20" ht="14.25" customHeight="1" x14ac:dyDescent="0.35">
      <c r="A30" s="5" t="s">
        <v>494</v>
      </c>
      <c r="B30" s="5" t="s">
        <v>21</v>
      </c>
      <c r="C30" s="5" t="s">
        <v>495</v>
      </c>
      <c r="D30" s="5" t="s">
        <v>496</v>
      </c>
      <c r="E30" s="7">
        <v>68.627778000000006</v>
      </c>
      <c r="F30" s="7">
        <v>-149.59472199999999</v>
      </c>
      <c r="G30" s="7">
        <v>719</v>
      </c>
      <c r="I30" s="22" t="s">
        <v>660</v>
      </c>
      <c r="J30" s="5" t="s">
        <v>41</v>
      </c>
      <c r="K30" s="8">
        <v>44012</v>
      </c>
      <c r="L30" s="8"/>
      <c r="M30" s="8"/>
      <c r="N30" s="9">
        <v>-18.11</v>
      </c>
      <c r="O30" s="41">
        <v>-141.52000000000001</v>
      </c>
      <c r="P30" s="41">
        <f t="shared" si="0"/>
        <v>3.3599999999999852</v>
      </c>
      <c r="Q30" s="7"/>
      <c r="R30" s="7"/>
      <c r="S30" s="7"/>
      <c r="T30" s="7"/>
    </row>
    <row r="31" spans="1:20" ht="14.25" customHeight="1" x14ac:dyDescent="0.35">
      <c r="A31" s="5" t="s">
        <v>494</v>
      </c>
      <c r="B31" s="5" t="s">
        <v>21</v>
      </c>
      <c r="C31" s="5" t="s">
        <v>495</v>
      </c>
      <c r="D31" s="5" t="s">
        <v>496</v>
      </c>
      <c r="E31" s="7">
        <v>68.627778000000006</v>
      </c>
      <c r="F31" s="7">
        <v>-149.59472199999999</v>
      </c>
      <c r="G31" s="7">
        <v>719</v>
      </c>
      <c r="I31" s="22" t="s">
        <v>661</v>
      </c>
      <c r="J31" s="5" t="s">
        <v>41</v>
      </c>
      <c r="K31" s="8">
        <v>44013</v>
      </c>
      <c r="L31" s="8"/>
      <c r="M31" s="8"/>
      <c r="N31" s="9">
        <v>-20.6</v>
      </c>
      <c r="O31" s="41">
        <v>-157.82</v>
      </c>
      <c r="P31" s="41">
        <f t="shared" si="0"/>
        <v>6.9800000000000182</v>
      </c>
      <c r="Q31" s="7"/>
      <c r="R31" s="7"/>
      <c r="S31" s="7"/>
      <c r="T31" s="7"/>
    </row>
    <row r="32" spans="1:20" ht="14.25" customHeight="1" x14ac:dyDescent="0.35">
      <c r="A32" s="5" t="s">
        <v>494</v>
      </c>
      <c r="B32" s="5" t="s">
        <v>21</v>
      </c>
      <c r="C32" s="5" t="s">
        <v>495</v>
      </c>
      <c r="D32" s="5" t="s">
        <v>496</v>
      </c>
      <c r="E32" s="7">
        <v>68.627778000000006</v>
      </c>
      <c r="F32" s="7">
        <v>-149.59472199999999</v>
      </c>
      <c r="G32" s="7">
        <v>719</v>
      </c>
      <c r="I32" s="22" t="s">
        <v>662</v>
      </c>
      <c r="J32" s="5" t="s">
        <v>41</v>
      </c>
      <c r="K32" s="8">
        <v>44025</v>
      </c>
      <c r="L32" s="8"/>
      <c r="M32" s="8"/>
      <c r="N32" s="9">
        <v>-16.57</v>
      </c>
      <c r="O32" s="41">
        <v>-127.12</v>
      </c>
      <c r="P32" s="41">
        <f t="shared" si="0"/>
        <v>5.4399999999999977</v>
      </c>
      <c r="Q32" s="7"/>
      <c r="R32" s="7"/>
      <c r="S32" s="7"/>
      <c r="T32" s="7"/>
    </row>
    <row r="33" spans="1:20" ht="14.25" customHeight="1" x14ac:dyDescent="0.35">
      <c r="A33" s="5" t="s">
        <v>494</v>
      </c>
      <c r="B33" s="5" t="s">
        <v>21</v>
      </c>
      <c r="C33" s="5" t="s">
        <v>495</v>
      </c>
      <c r="D33" s="5" t="s">
        <v>496</v>
      </c>
      <c r="E33" s="7">
        <v>68.627778000000006</v>
      </c>
      <c r="F33" s="7">
        <v>-149.59472199999999</v>
      </c>
      <c r="G33" s="7">
        <v>719</v>
      </c>
      <c r="I33" s="22" t="s">
        <v>663</v>
      </c>
      <c r="J33" s="5" t="s">
        <v>41</v>
      </c>
      <c r="K33" s="8">
        <v>44026</v>
      </c>
      <c r="L33" s="8"/>
      <c r="M33" s="8"/>
      <c r="N33" s="9">
        <v>-14.91</v>
      </c>
      <c r="O33" s="41">
        <v>-119.73</v>
      </c>
      <c r="P33" s="41">
        <f t="shared" si="0"/>
        <v>-0.45000000000000284</v>
      </c>
      <c r="Q33" s="7"/>
      <c r="R33" s="7"/>
      <c r="S33" s="7"/>
      <c r="T33" s="7"/>
    </row>
    <row r="34" spans="1:20" ht="14.25" customHeight="1" x14ac:dyDescent="0.35">
      <c r="A34" s="5" t="s">
        <v>494</v>
      </c>
      <c r="B34" s="5" t="s">
        <v>21</v>
      </c>
      <c r="C34" s="5" t="s">
        <v>495</v>
      </c>
      <c r="D34" s="5" t="s">
        <v>496</v>
      </c>
      <c r="E34" s="7">
        <v>68.627778000000006</v>
      </c>
      <c r="F34" s="7">
        <v>-149.59472199999999</v>
      </c>
      <c r="G34" s="7">
        <v>719</v>
      </c>
      <c r="I34" s="22" t="s">
        <v>664</v>
      </c>
      <c r="J34" s="5" t="s">
        <v>41</v>
      </c>
      <c r="K34" s="8">
        <v>44031</v>
      </c>
      <c r="L34" s="8"/>
      <c r="M34" s="8"/>
      <c r="N34" s="9">
        <v>-15.4</v>
      </c>
      <c r="O34" s="41">
        <v>-121.89</v>
      </c>
      <c r="P34" s="41">
        <f t="shared" si="0"/>
        <v>1.3100000000000023</v>
      </c>
      <c r="Q34" s="7"/>
      <c r="R34" s="7"/>
      <c r="S34" s="7"/>
      <c r="T34" s="7"/>
    </row>
    <row r="35" spans="1:20" ht="14.25" customHeight="1" x14ac:dyDescent="0.35">
      <c r="A35" s="5" t="s">
        <v>494</v>
      </c>
      <c r="B35" s="5" t="s">
        <v>21</v>
      </c>
      <c r="C35" s="5" t="s">
        <v>495</v>
      </c>
      <c r="D35" s="5" t="s">
        <v>496</v>
      </c>
      <c r="E35" s="7">
        <v>68.627778000000006</v>
      </c>
      <c r="F35" s="7">
        <v>-149.59472199999999</v>
      </c>
      <c r="G35" s="7">
        <v>719</v>
      </c>
      <c r="I35" s="22" t="s">
        <v>665</v>
      </c>
      <c r="J35" s="5" t="s">
        <v>41</v>
      </c>
      <c r="K35" s="8">
        <v>44033</v>
      </c>
      <c r="L35" s="8"/>
      <c r="M35" s="8"/>
      <c r="N35" s="9">
        <v>-16.2</v>
      </c>
      <c r="O35" s="41">
        <v>-125.94</v>
      </c>
      <c r="P35" s="41">
        <f t="shared" si="0"/>
        <v>3.6599999999999966</v>
      </c>
      <c r="Q35" s="7"/>
      <c r="R35" s="7"/>
      <c r="S35" s="7"/>
      <c r="T35" s="7"/>
    </row>
    <row r="36" spans="1:20" ht="14.25" customHeight="1" x14ac:dyDescent="0.35">
      <c r="A36" s="5" t="s">
        <v>494</v>
      </c>
      <c r="B36" s="5" t="s">
        <v>21</v>
      </c>
      <c r="C36" s="5" t="s">
        <v>495</v>
      </c>
      <c r="D36" s="5" t="s">
        <v>496</v>
      </c>
      <c r="E36" s="7">
        <v>68.627778000000006</v>
      </c>
      <c r="F36" s="7">
        <v>-149.59472199999999</v>
      </c>
      <c r="G36" s="7">
        <v>719</v>
      </c>
      <c r="I36" s="22" t="s">
        <v>666</v>
      </c>
      <c r="J36" s="5" t="s">
        <v>41</v>
      </c>
      <c r="K36" s="8">
        <v>44037</v>
      </c>
      <c r="L36" s="8"/>
      <c r="M36" s="8"/>
      <c r="N36" s="9">
        <v>-17.59</v>
      </c>
      <c r="O36" s="41">
        <v>-138.65</v>
      </c>
      <c r="P36" s="41">
        <f t="shared" si="0"/>
        <v>2.0699999999999932</v>
      </c>
      <c r="Q36" s="7"/>
      <c r="R36" s="7"/>
      <c r="S36" s="7"/>
      <c r="T36" s="7"/>
    </row>
    <row r="37" spans="1:20" ht="14.25" customHeight="1" x14ac:dyDescent="0.35">
      <c r="A37" s="5" t="s">
        <v>494</v>
      </c>
      <c r="B37" s="5" t="s">
        <v>21</v>
      </c>
      <c r="C37" s="5" t="s">
        <v>495</v>
      </c>
      <c r="D37" s="5" t="s">
        <v>496</v>
      </c>
      <c r="E37" s="7">
        <v>68.627778000000006</v>
      </c>
      <c r="F37" s="7">
        <v>-149.59472199999999</v>
      </c>
      <c r="G37" s="7">
        <v>719</v>
      </c>
      <c r="I37" s="22" t="s">
        <v>667</v>
      </c>
      <c r="J37" s="5" t="s">
        <v>41</v>
      </c>
      <c r="K37" s="8">
        <v>44038</v>
      </c>
      <c r="L37" s="8"/>
      <c r="M37" s="8"/>
      <c r="N37" s="9">
        <v>-17.309999999999999</v>
      </c>
      <c r="O37" s="41">
        <v>-137.44999999999999</v>
      </c>
      <c r="P37" s="41">
        <f t="shared" si="0"/>
        <v>1.0300000000000011</v>
      </c>
      <c r="Q37" s="7"/>
      <c r="R37" s="7"/>
      <c r="S37" s="7"/>
      <c r="T37" s="7"/>
    </row>
    <row r="38" spans="1:20" ht="14.25" customHeight="1" x14ac:dyDescent="0.35">
      <c r="A38" s="5" t="s">
        <v>494</v>
      </c>
      <c r="B38" s="5" t="s">
        <v>21</v>
      </c>
      <c r="C38" s="5" t="s">
        <v>495</v>
      </c>
      <c r="D38" s="5" t="s">
        <v>496</v>
      </c>
      <c r="E38" s="7">
        <v>68.627778000000006</v>
      </c>
      <c r="F38" s="7">
        <v>-149.59472199999999</v>
      </c>
      <c r="G38" s="7">
        <v>719</v>
      </c>
      <c r="I38" s="22" t="s">
        <v>668</v>
      </c>
      <c r="J38" s="5" t="s">
        <v>41</v>
      </c>
      <c r="K38" s="8">
        <v>44039</v>
      </c>
      <c r="L38" s="8"/>
      <c r="M38" s="8"/>
      <c r="N38" s="9">
        <v>-16.68</v>
      </c>
      <c r="O38" s="41">
        <v>-128.6</v>
      </c>
      <c r="P38" s="41">
        <f t="shared" si="0"/>
        <v>4.8400000000000034</v>
      </c>
      <c r="Q38" s="7"/>
      <c r="R38" s="7"/>
      <c r="S38" s="7"/>
      <c r="T38" s="7"/>
    </row>
    <row r="39" spans="1:20" ht="14.25" customHeight="1" x14ac:dyDescent="0.35">
      <c r="A39" s="5" t="s">
        <v>494</v>
      </c>
      <c r="B39" s="5" t="s">
        <v>21</v>
      </c>
      <c r="C39" s="5" t="s">
        <v>495</v>
      </c>
      <c r="D39" s="5" t="s">
        <v>496</v>
      </c>
      <c r="E39" s="7">
        <v>68.627778000000006</v>
      </c>
      <c r="F39" s="7">
        <v>-149.59472199999999</v>
      </c>
      <c r="G39" s="7">
        <v>719</v>
      </c>
      <c r="I39" s="22" t="s">
        <v>669</v>
      </c>
      <c r="J39" s="5" t="s">
        <v>41</v>
      </c>
      <c r="K39" s="8">
        <v>44040</v>
      </c>
      <c r="L39" s="8"/>
      <c r="M39" s="8"/>
      <c r="N39" s="9">
        <v>-15.85</v>
      </c>
      <c r="O39" s="41">
        <v>-119.32</v>
      </c>
      <c r="P39" s="41">
        <f t="shared" si="0"/>
        <v>7.480000000000004</v>
      </c>
      <c r="Q39" s="7"/>
      <c r="R39" s="7"/>
      <c r="S39" s="7"/>
      <c r="T39" s="7"/>
    </row>
    <row r="42" spans="1:20" x14ac:dyDescent="0.35">
      <c r="M42" s="5" t="s">
        <v>705</v>
      </c>
      <c r="N42" s="7">
        <f>AVERAGE(N2:N39)</f>
        <v>-20.524134238803857</v>
      </c>
      <c r="O42" s="35">
        <f t="shared" ref="O42:P42" si="1">AVERAGE(O2:O39)</f>
        <v>-160.25227774119139</v>
      </c>
      <c r="P42" s="35">
        <f t="shared" si="1"/>
        <v>3.9407961692394635</v>
      </c>
    </row>
    <row r="43" spans="1:20" x14ac:dyDescent="0.35">
      <c r="M43" s="5" t="s">
        <v>706</v>
      </c>
      <c r="N43" s="7">
        <f>MIN(N2:N39)</f>
        <v>-36.170990739104305</v>
      </c>
      <c r="O43" s="35">
        <f t="shared" ref="O43:P43" si="2">MIN(O2:O39)</f>
        <v>-279.2962252821946</v>
      </c>
      <c r="P43" s="35">
        <f t="shared" si="2"/>
        <v>-8.5300000000000011</v>
      </c>
    </row>
    <row r="44" spans="1:20" x14ac:dyDescent="0.35">
      <c r="M44" s="5" t="s">
        <v>707</v>
      </c>
      <c r="N44" s="7">
        <f>MAX(N2:N39)</f>
        <v>-12.05</v>
      </c>
      <c r="O44" s="35">
        <f t="shared" ref="O44:P44" si="3">MAX(O2:O39)</f>
        <v>-104.25</v>
      </c>
      <c r="P44" s="35">
        <f t="shared" si="3"/>
        <v>19.095837082498747</v>
      </c>
    </row>
    <row r="45" spans="1:20" x14ac:dyDescent="0.35">
      <c r="M45" s="5" t="s">
        <v>708</v>
      </c>
      <c r="N45" s="5">
        <f>_xlfn.STDEV.P(N2:N39)</f>
        <v>6.2486880523505146</v>
      </c>
      <c r="O45" s="35">
        <f t="shared" ref="O45:P45" si="4">_xlfn.STDEV.P(O2:O39)</f>
        <v>47.240712374783165</v>
      </c>
      <c r="P45" s="35">
        <f t="shared" si="4"/>
        <v>6.0338627102386777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0168-1693-446A-B75B-66B2AA6E677F}">
  <dimension ref="A1:T77"/>
  <sheetViews>
    <sheetView zoomScale="85" zoomScaleNormal="85" workbookViewId="0"/>
  </sheetViews>
  <sheetFormatPr defaultRowHeight="14.5" x14ac:dyDescent="0.35"/>
  <cols>
    <col min="1" max="1" width="14.7265625" style="5" bestFit="1" customWidth="1"/>
    <col min="2" max="2" width="6.81640625" style="5" bestFit="1" customWidth="1"/>
    <col min="3" max="3" width="10.1796875" style="5" bestFit="1" customWidth="1"/>
    <col min="4" max="4" width="7.5429687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37.7265625" style="5" bestFit="1" customWidth="1"/>
    <col min="10" max="10" width="12.26953125" style="5" bestFit="1" customWidth="1"/>
    <col min="11" max="11" width="17.54296875" style="5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3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ht="1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20" t="s">
        <v>10</v>
      </c>
      <c r="L1" s="20" t="s">
        <v>11</v>
      </c>
      <c r="M1" s="20" t="s">
        <v>12</v>
      </c>
      <c r="N1" s="3" t="s">
        <v>13</v>
      </c>
      <c r="O1" s="27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4.25" customHeight="1" x14ac:dyDescent="0.35">
      <c r="A2" s="5" t="s">
        <v>494</v>
      </c>
      <c r="B2" s="6" t="s">
        <v>21</v>
      </c>
      <c r="C2" s="6" t="s">
        <v>512</v>
      </c>
      <c r="D2" s="6" t="s">
        <v>496</v>
      </c>
      <c r="E2" s="25">
        <v>61.064999999999998</v>
      </c>
      <c r="F2" s="25">
        <v>-149.797</v>
      </c>
      <c r="G2" s="7">
        <v>36.6</v>
      </c>
      <c r="I2" s="23" t="s">
        <v>513</v>
      </c>
      <c r="J2" s="23" t="s">
        <v>469</v>
      </c>
      <c r="K2" s="24">
        <v>43739</v>
      </c>
      <c r="L2" s="24"/>
      <c r="M2" s="24"/>
      <c r="N2" s="9">
        <v>-15.689869893431984</v>
      </c>
      <c r="O2" s="41">
        <v>-125.05564897958297</v>
      </c>
      <c r="P2" s="41">
        <f t="shared" ref="P2:P71" si="0">O2-8*N2</f>
        <v>0.4633101678729048</v>
      </c>
      <c r="Q2" s="7"/>
      <c r="R2" s="7"/>
      <c r="S2" s="7"/>
      <c r="T2" s="7"/>
    </row>
    <row r="3" spans="1:20" ht="14.25" customHeight="1" x14ac:dyDescent="0.35">
      <c r="A3" s="5" t="s">
        <v>494</v>
      </c>
      <c r="B3" s="6" t="s">
        <v>21</v>
      </c>
      <c r="C3" s="6" t="s">
        <v>512</v>
      </c>
      <c r="D3" s="6" t="s">
        <v>496</v>
      </c>
      <c r="E3" s="25">
        <v>61.064999999999998</v>
      </c>
      <c r="F3" s="25">
        <v>-149.797</v>
      </c>
      <c r="G3" s="7">
        <v>36.6</v>
      </c>
      <c r="I3" s="23" t="s">
        <v>514</v>
      </c>
      <c r="J3" s="23" t="s">
        <v>469</v>
      </c>
      <c r="K3" s="24">
        <v>43740</v>
      </c>
      <c r="L3" s="24"/>
      <c r="M3" s="24"/>
      <c r="N3" s="9">
        <v>-14.644441417811258</v>
      </c>
      <c r="O3" s="41">
        <v>-111.6480582096422</v>
      </c>
      <c r="P3" s="41">
        <f t="shared" si="0"/>
        <v>5.5074731328478634</v>
      </c>
      <c r="Q3" s="7"/>
      <c r="R3" s="7"/>
      <c r="S3" s="7"/>
      <c r="T3" s="7"/>
    </row>
    <row r="4" spans="1:20" ht="14.25" customHeight="1" x14ac:dyDescent="0.35">
      <c r="A4" s="5" t="s">
        <v>494</v>
      </c>
      <c r="B4" s="6" t="s">
        <v>21</v>
      </c>
      <c r="C4" s="6" t="s">
        <v>512</v>
      </c>
      <c r="D4" s="6" t="s">
        <v>496</v>
      </c>
      <c r="E4" s="25">
        <v>61.064999999999998</v>
      </c>
      <c r="F4" s="25">
        <v>-149.797</v>
      </c>
      <c r="G4" s="7">
        <v>36.6</v>
      </c>
      <c r="I4" s="23" t="s">
        <v>515</v>
      </c>
      <c r="J4" s="23" t="s">
        <v>469</v>
      </c>
      <c r="K4" s="24">
        <v>43742</v>
      </c>
      <c r="L4" s="24"/>
      <c r="M4" s="24"/>
      <c r="N4" s="9">
        <v>-6.5121249446167511</v>
      </c>
      <c r="O4" s="41">
        <v>-48.387689861951216</v>
      </c>
      <c r="P4" s="41">
        <f t="shared" si="0"/>
        <v>3.7093096949827924</v>
      </c>
      <c r="Q4" s="7"/>
      <c r="R4" s="7"/>
      <c r="S4" s="7"/>
      <c r="T4" s="7"/>
    </row>
    <row r="5" spans="1:20" ht="14.25" customHeight="1" x14ac:dyDescent="0.35">
      <c r="A5" s="5" t="s">
        <v>494</v>
      </c>
      <c r="B5" s="6" t="s">
        <v>21</v>
      </c>
      <c r="C5" s="6" t="s">
        <v>512</v>
      </c>
      <c r="D5" s="6" t="s">
        <v>496</v>
      </c>
      <c r="E5" s="25">
        <v>61.064999999999998</v>
      </c>
      <c r="F5" s="25">
        <v>-149.797</v>
      </c>
      <c r="G5" s="7">
        <v>36.6</v>
      </c>
      <c r="I5" s="23" t="s">
        <v>516</v>
      </c>
      <c r="J5" s="23" t="s">
        <v>469</v>
      </c>
      <c r="K5" s="24">
        <v>43747</v>
      </c>
      <c r="L5" s="24"/>
      <c r="M5" s="24"/>
      <c r="N5" s="9">
        <v>-6.568247149564054</v>
      </c>
      <c r="O5" s="41">
        <v>-60.427887021809099</v>
      </c>
      <c r="P5" s="41">
        <f t="shared" si="0"/>
        <v>-7.8819098252966668</v>
      </c>
      <c r="Q5" s="7"/>
      <c r="R5" s="7"/>
      <c r="S5" s="7"/>
      <c r="T5" s="7"/>
    </row>
    <row r="6" spans="1:20" ht="14.25" customHeight="1" x14ac:dyDescent="0.35">
      <c r="A6" s="5" t="s">
        <v>494</v>
      </c>
      <c r="B6" s="6" t="s">
        <v>21</v>
      </c>
      <c r="C6" s="6" t="s">
        <v>512</v>
      </c>
      <c r="D6" s="6" t="s">
        <v>496</v>
      </c>
      <c r="E6" s="25">
        <v>61.064999999999998</v>
      </c>
      <c r="F6" s="25">
        <v>-149.797</v>
      </c>
      <c r="G6" s="7">
        <v>36.6</v>
      </c>
      <c r="I6" s="23" t="s">
        <v>517</v>
      </c>
      <c r="J6" s="23" t="s">
        <v>469</v>
      </c>
      <c r="K6" s="24">
        <v>43748</v>
      </c>
      <c r="L6" s="24"/>
      <c r="M6" s="24"/>
      <c r="N6" s="9">
        <v>-26.921682144439529</v>
      </c>
      <c r="O6" s="41">
        <v>-206.8974632843792</v>
      </c>
      <c r="P6" s="41">
        <f t="shared" si="0"/>
        <v>8.4759938711370353</v>
      </c>
      <c r="Q6" s="7"/>
      <c r="R6" s="7"/>
      <c r="S6" s="7"/>
      <c r="T6" s="7"/>
    </row>
    <row r="7" spans="1:20" ht="14.25" customHeight="1" x14ac:dyDescent="0.35">
      <c r="A7" s="5" t="s">
        <v>494</v>
      </c>
      <c r="B7" s="6" t="s">
        <v>21</v>
      </c>
      <c r="C7" s="6" t="s">
        <v>512</v>
      </c>
      <c r="D7" s="6" t="s">
        <v>496</v>
      </c>
      <c r="E7" s="25">
        <v>61.064999999999998</v>
      </c>
      <c r="F7" s="25">
        <v>-149.797</v>
      </c>
      <c r="G7" s="7">
        <v>36.6</v>
      </c>
      <c r="I7" s="23" t="s">
        <v>518</v>
      </c>
      <c r="J7" s="23" t="s">
        <v>469</v>
      </c>
      <c r="K7" s="24">
        <v>43755</v>
      </c>
      <c r="L7" s="24"/>
      <c r="M7" s="24"/>
      <c r="N7" s="9">
        <v>-17.781649127159952</v>
      </c>
      <c r="O7" s="41">
        <v>-135.09480927027946</v>
      </c>
      <c r="P7" s="41">
        <f t="shared" si="0"/>
        <v>7.1583837470001583</v>
      </c>
      <c r="Q7" s="7"/>
      <c r="R7" s="7"/>
      <c r="S7" s="7"/>
      <c r="T7" s="7"/>
    </row>
    <row r="8" spans="1:20" ht="14.25" customHeight="1" x14ac:dyDescent="0.35">
      <c r="A8" s="5" t="s">
        <v>494</v>
      </c>
      <c r="B8" s="6" t="s">
        <v>21</v>
      </c>
      <c r="C8" s="6" t="s">
        <v>512</v>
      </c>
      <c r="D8" s="6" t="s">
        <v>496</v>
      </c>
      <c r="E8" s="25">
        <v>61.064999999999998</v>
      </c>
      <c r="F8" s="25">
        <v>-149.797</v>
      </c>
      <c r="G8" s="7">
        <v>36.6</v>
      </c>
      <c r="I8" s="23" t="s">
        <v>519</v>
      </c>
      <c r="J8" s="23" t="s">
        <v>469</v>
      </c>
      <c r="K8" s="24">
        <v>43761</v>
      </c>
      <c r="L8" s="24"/>
      <c r="M8" s="24"/>
      <c r="N8" s="9">
        <v>-16.569091390681699</v>
      </c>
      <c r="O8" s="41">
        <v>-131.7374715555155</v>
      </c>
      <c r="P8" s="41">
        <f t="shared" si="0"/>
        <v>0.81525956993809245</v>
      </c>
      <c r="Q8" s="7"/>
      <c r="R8" s="7"/>
      <c r="S8" s="7"/>
      <c r="T8" s="7"/>
    </row>
    <row r="9" spans="1:20" ht="14.25" customHeight="1" x14ac:dyDescent="0.35">
      <c r="A9" s="5" t="s">
        <v>494</v>
      </c>
      <c r="B9" s="6" t="s">
        <v>21</v>
      </c>
      <c r="C9" s="6" t="s">
        <v>512</v>
      </c>
      <c r="D9" s="6" t="s">
        <v>496</v>
      </c>
      <c r="E9" s="25">
        <v>61.064999999999998</v>
      </c>
      <c r="F9" s="25">
        <v>-149.797</v>
      </c>
      <c r="G9" s="7">
        <v>36.6</v>
      </c>
      <c r="I9" s="23" t="s">
        <v>520</v>
      </c>
      <c r="J9" s="23" t="s">
        <v>469</v>
      </c>
      <c r="K9" s="24">
        <v>43762</v>
      </c>
      <c r="L9" s="24"/>
      <c r="M9" s="24"/>
      <c r="N9" s="9">
        <v>-15.94806364061769</v>
      </c>
      <c r="O9" s="41">
        <v>-129.27416181775328</v>
      </c>
      <c r="P9" s="41">
        <f t="shared" si="0"/>
        <v>-1.6896526928117623</v>
      </c>
      <c r="Q9" s="7"/>
      <c r="R9" s="7"/>
      <c r="S9" s="7"/>
      <c r="T9" s="7"/>
    </row>
    <row r="10" spans="1:20" ht="14.25" customHeight="1" x14ac:dyDescent="0.35">
      <c r="A10" s="5" t="s">
        <v>494</v>
      </c>
      <c r="B10" s="6" t="s">
        <v>21</v>
      </c>
      <c r="C10" s="6" t="s">
        <v>512</v>
      </c>
      <c r="D10" s="6" t="s">
        <v>496</v>
      </c>
      <c r="E10" s="25">
        <v>61.064999999999998</v>
      </c>
      <c r="F10" s="25">
        <v>-149.797</v>
      </c>
      <c r="G10" s="7">
        <v>36.6</v>
      </c>
      <c r="I10" s="23" t="s">
        <v>521</v>
      </c>
      <c r="J10" s="23" t="s">
        <v>469</v>
      </c>
      <c r="K10" s="24">
        <v>43763</v>
      </c>
      <c r="L10" s="24"/>
      <c r="M10" s="24"/>
      <c r="N10" s="9">
        <v>-15.350282622950825</v>
      </c>
      <c r="O10" s="41">
        <v>-114.57752189009416</v>
      </c>
      <c r="P10" s="41">
        <f t="shared" si="0"/>
        <v>8.22473909351244</v>
      </c>
      <c r="Q10" s="7"/>
      <c r="R10" s="7"/>
      <c r="S10" s="7"/>
      <c r="T10" s="7"/>
    </row>
    <row r="11" spans="1:20" ht="14.25" customHeight="1" x14ac:dyDescent="0.35">
      <c r="A11" s="5" t="s">
        <v>494</v>
      </c>
      <c r="B11" s="6" t="s">
        <v>21</v>
      </c>
      <c r="C11" s="6" t="s">
        <v>512</v>
      </c>
      <c r="D11" s="6" t="s">
        <v>496</v>
      </c>
      <c r="E11" s="25">
        <v>61.064999999999998</v>
      </c>
      <c r="F11" s="25">
        <v>-149.797</v>
      </c>
      <c r="G11" s="7">
        <v>36.6</v>
      </c>
      <c r="I11" s="23" t="s">
        <v>522</v>
      </c>
      <c r="J11" s="23" t="s">
        <v>469</v>
      </c>
      <c r="K11" s="24">
        <v>43765</v>
      </c>
      <c r="L11" s="24"/>
      <c r="M11" s="24"/>
      <c r="N11" s="9">
        <v>-12.844871685752379</v>
      </c>
      <c r="O11" s="41">
        <v>-104.03313615444691</v>
      </c>
      <c r="P11" s="41">
        <f t="shared" si="0"/>
        <v>-1.2741626684278771</v>
      </c>
      <c r="Q11" s="7"/>
      <c r="R11" s="7"/>
      <c r="S11" s="7"/>
      <c r="T11" s="7"/>
    </row>
    <row r="12" spans="1:20" ht="14.25" customHeight="1" x14ac:dyDescent="0.35">
      <c r="A12" s="5" t="s">
        <v>494</v>
      </c>
      <c r="B12" s="6" t="s">
        <v>21</v>
      </c>
      <c r="C12" s="6" t="s">
        <v>512</v>
      </c>
      <c r="D12" s="6" t="s">
        <v>496</v>
      </c>
      <c r="E12" s="25">
        <v>61.064999999999998</v>
      </c>
      <c r="F12" s="25">
        <v>-149.797</v>
      </c>
      <c r="G12" s="7">
        <v>36.6</v>
      </c>
      <c r="I12" s="23" t="s">
        <v>523</v>
      </c>
      <c r="J12" s="23" t="s">
        <v>469</v>
      </c>
      <c r="K12" s="24">
        <v>43766</v>
      </c>
      <c r="L12" s="24"/>
      <c r="M12" s="24"/>
      <c r="N12" s="9">
        <v>-10.332948409393003</v>
      </c>
      <c r="O12" s="41">
        <v>-95.516991848952628</v>
      </c>
      <c r="P12" s="41">
        <f t="shared" si="0"/>
        <v>-12.853404573808604</v>
      </c>
      <c r="Q12" s="7"/>
      <c r="R12" s="7"/>
      <c r="S12" s="7"/>
      <c r="T12" s="7"/>
    </row>
    <row r="13" spans="1:20" ht="14.25" customHeight="1" x14ac:dyDescent="0.35">
      <c r="A13" s="5" t="s">
        <v>494</v>
      </c>
      <c r="B13" s="6" t="s">
        <v>21</v>
      </c>
      <c r="C13" s="6" t="s">
        <v>512</v>
      </c>
      <c r="D13" s="6" t="s">
        <v>496</v>
      </c>
      <c r="E13" s="25">
        <v>61.064999999999998</v>
      </c>
      <c r="F13" s="25">
        <v>-149.797</v>
      </c>
      <c r="G13" s="7">
        <v>36.6</v>
      </c>
      <c r="I13" s="23" t="s">
        <v>524</v>
      </c>
      <c r="J13" s="23" t="s">
        <v>469</v>
      </c>
      <c r="K13" s="24">
        <v>43775</v>
      </c>
      <c r="L13" s="24"/>
      <c r="M13" s="24"/>
      <c r="N13" s="9">
        <v>-12.610526182887314</v>
      </c>
      <c r="O13" s="41">
        <v>-99.466325966460772</v>
      </c>
      <c r="P13" s="41">
        <f t="shared" si="0"/>
        <v>1.4178834966377423</v>
      </c>
      <c r="Q13" s="7"/>
      <c r="R13" s="7"/>
      <c r="S13" s="7"/>
      <c r="T13" s="7"/>
    </row>
    <row r="14" spans="1:20" ht="14.25" customHeight="1" x14ac:dyDescent="0.35">
      <c r="A14" s="5" t="s">
        <v>494</v>
      </c>
      <c r="B14" s="6" t="s">
        <v>21</v>
      </c>
      <c r="C14" s="6" t="s">
        <v>512</v>
      </c>
      <c r="D14" s="6" t="s">
        <v>496</v>
      </c>
      <c r="E14" s="25">
        <v>61.064999999999998</v>
      </c>
      <c r="F14" s="25">
        <v>-149.797</v>
      </c>
      <c r="G14" s="7">
        <v>36.6</v>
      </c>
      <c r="I14" s="23" t="s">
        <v>525</v>
      </c>
      <c r="J14" s="23" t="s">
        <v>469</v>
      </c>
      <c r="K14" s="24">
        <v>43776</v>
      </c>
      <c r="L14" s="24"/>
      <c r="M14" s="24"/>
      <c r="N14" s="9">
        <v>-12.763105580853544</v>
      </c>
      <c r="O14" s="41">
        <v>-108.82410916458113</v>
      </c>
      <c r="P14" s="41">
        <f t="shared" si="0"/>
        <v>-6.7192645177527766</v>
      </c>
      <c r="Q14" s="7"/>
      <c r="R14" s="7"/>
      <c r="S14" s="7"/>
      <c r="T14" s="7"/>
    </row>
    <row r="15" spans="1:20" ht="14.25" customHeight="1" x14ac:dyDescent="0.35">
      <c r="A15" s="5" t="s">
        <v>494</v>
      </c>
      <c r="B15" s="6" t="s">
        <v>21</v>
      </c>
      <c r="C15" s="6" t="s">
        <v>512</v>
      </c>
      <c r="D15" s="6" t="s">
        <v>496</v>
      </c>
      <c r="E15" s="25">
        <v>61.064999999999998</v>
      </c>
      <c r="F15" s="25">
        <v>-149.797</v>
      </c>
      <c r="G15" s="7">
        <v>36.6</v>
      </c>
      <c r="I15" s="23" t="s">
        <v>526</v>
      </c>
      <c r="J15" s="23" t="s">
        <v>469</v>
      </c>
      <c r="K15" s="24">
        <v>43777</v>
      </c>
      <c r="L15" s="24"/>
      <c r="M15" s="24"/>
      <c r="N15" s="9">
        <v>-9.6691157465662414</v>
      </c>
      <c r="O15" s="41">
        <v>-84.560272593830618</v>
      </c>
      <c r="P15" s="41">
        <f t="shared" si="0"/>
        <v>-7.2073466213006867</v>
      </c>
      <c r="Q15" s="7"/>
      <c r="R15" s="7"/>
      <c r="S15" s="7"/>
      <c r="T15" s="7"/>
    </row>
    <row r="16" spans="1:20" ht="14.25" customHeight="1" x14ac:dyDescent="0.35">
      <c r="A16" s="5" t="s">
        <v>494</v>
      </c>
      <c r="B16" s="6" t="s">
        <v>21</v>
      </c>
      <c r="C16" s="6" t="s">
        <v>512</v>
      </c>
      <c r="D16" s="6" t="s">
        <v>496</v>
      </c>
      <c r="E16" s="25">
        <v>61.064999999999998</v>
      </c>
      <c r="F16" s="25">
        <v>-149.797</v>
      </c>
      <c r="G16" s="7">
        <v>36.6</v>
      </c>
      <c r="I16" s="23" t="s">
        <v>527</v>
      </c>
      <c r="J16" s="23" t="s">
        <v>469</v>
      </c>
      <c r="K16" s="24">
        <v>43785</v>
      </c>
      <c r="L16" s="24"/>
      <c r="M16" s="24"/>
      <c r="N16" s="9">
        <v>-12.107036208403601</v>
      </c>
      <c r="O16" s="41">
        <v>-82.617013033140623</v>
      </c>
      <c r="P16" s="41">
        <f t="shared" si="0"/>
        <v>14.239276634088185</v>
      </c>
      <c r="Q16" s="7"/>
      <c r="R16" s="7"/>
      <c r="S16" s="7"/>
      <c r="T16" s="7"/>
    </row>
    <row r="17" spans="1:20" ht="14.25" customHeight="1" x14ac:dyDescent="0.35">
      <c r="A17" s="5" t="s">
        <v>494</v>
      </c>
      <c r="B17" s="6" t="s">
        <v>21</v>
      </c>
      <c r="C17" s="6" t="s">
        <v>512</v>
      </c>
      <c r="D17" s="6" t="s">
        <v>496</v>
      </c>
      <c r="E17" s="25">
        <v>61.064999999999998</v>
      </c>
      <c r="F17" s="25">
        <v>-149.797</v>
      </c>
      <c r="G17" s="7">
        <v>36.6</v>
      </c>
      <c r="I17" s="23" t="s">
        <v>528</v>
      </c>
      <c r="J17" s="23" t="s">
        <v>469</v>
      </c>
      <c r="K17" s="24">
        <v>43786</v>
      </c>
      <c r="L17" s="24"/>
      <c r="M17" s="24"/>
      <c r="N17" s="9">
        <v>-12.066777722640678</v>
      </c>
      <c r="O17" s="41">
        <v>-79.135158097240208</v>
      </c>
      <c r="P17" s="41">
        <f t="shared" si="0"/>
        <v>17.399063683885217</v>
      </c>
      <c r="Q17" s="7"/>
      <c r="R17" s="7"/>
      <c r="S17" s="7"/>
      <c r="T17" s="7"/>
    </row>
    <row r="18" spans="1:20" ht="14.25" customHeight="1" x14ac:dyDescent="0.35">
      <c r="A18" s="5" t="s">
        <v>494</v>
      </c>
      <c r="B18" s="6" t="s">
        <v>21</v>
      </c>
      <c r="C18" s="6" t="s">
        <v>512</v>
      </c>
      <c r="D18" s="6" t="s">
        <v>496</v>
      </c>
      <c r="E18" s="25">
        <v>61.064999999999998</v>
      </c>
      <c r="F18" s="25">
        <v>-149.797</v>
      </c>
      <c r="G18" s="7">
        <v>36.6</v>
      </c>
      <c r="I18" s="23" t="s">
        <v>529</v>
      </c>
      <c r="J18" s="23" t="s">
        <v>469</v>
      </c>
      <c r="K18" s="24">
        <v>43791</v>
      </c>
      <c r="L18" s="24"/>
      <c r="M18" s="24"/>
      <c r="N18" s="9">
        <v>-12.501018938557847</v>
      </c>
      <c r="O18" s="41">
        <v>-87.914953733925799</v>
      </c>
      <c r="P18" s="41">
        <f t="shared" si="0"/>
        <v>12.093197774536975</v>
      </c>
      <c r="Q18" s="7"/>
      <c r="R18" s="7"/>
      <c r="S18" s="7"/>
      <c r="T18" s="7"/>
    </row>
    <row r="19" spans="1:20" ht="14.25" customHeight="1" x14ac:dyDescent="0.35">
      <c r="A19" s="5" t="s">
        <v>494</v>
      </c>
      <c r="B19" s="6" t="s">
        <v>21</v>
      </c>
      <c r="C19" s="6" t="s">
        <v>512</v>
      </c>
      <c r="D19" s="6" t="s">
        <v>496</v>
      </c>
      <c r="E19" s="25">
        <v>61.064999999999998</v>
      </c>
      <c r="F19" s="25">
        <v>-149.797</v>
      </c>
      <c r="G19" s="7">
        <v>36.6</v>
      </c>
      <c r="I19" s="23" t="s">
        <v>530</v>
      </c>
      <c r="J19" s="23" t="s">
        <v>469</v>
      </c>
      <c r="K19" s="24">
        <v>43792</v>
      </c>
      <c r="L19" s="24"/>
      <c r="M19" s="24"/>
      <c r="N19" s="9">
        <v>-14.872702501302305</v>
      </c>
      <c r="O19" s="41">
        <v>-112.38712891827865</v>
      </c>
      <c r="P19" s="41">
        <f t="shared" si="0"/>
        <v>6.5944910921397906</v>
      </c>
      <c r="Q19" s="7"/>
      <c r="R19" s="7"/>
      <c r="S19" s="7"/>
      <c r="T19" s="7"/>
    </row>
    <row r="20" spans="1:20" ht="14.25" customHeight="1" x14ac:dyDescent="0.35">
      <c r="A20" s="5" t="s">
        <v>494</v>
      </c>
      <c r="B20" s="6" t="s">
        <v>21</v>
      </c>
      <c r="C20" s="6" t="s">
        <v>512</v>
      </c>
      <c r="D20" s="6" t="s">
        <v>496</v>
      </c>
      <c r="E20" s="25">
        <v>61.064999999999998</v>
      </c>
      <c r="F20" s="25">
        <v>-149.797</v>
      </c>
      <c r="G20" s="7">
        <v>36.6</v>
      </c>
      <c r="I20" s="23" t="s">
        <v>531</v>
      </c>
      <c r="J20" s="23" t="s">
        <v>469</v>
      </c>
      <c r="K20" s="24">
        <v>43793</v>
      </c>
      <c r="L20" s="24"/>
      <c r="M20" s="24"/>
      <c r="N20" s="9">
        <v>-15.820436366858669</v>
      </c>
      <c r="O20" s="41">
        <v>-105.913287697914</v>
      </c>
      <c r="P20" s="41">
        <f t="shared" si="0"/>
        <v>20.650203236955349</v>
      </c>
      <c r="Q20" s="7"/>
      <c r="R20" s="7"/>
      <c r="S20" s="7"/>
      <c r="T20" s="7"/>
    </row>
    <row r="21" spans="1:20" ht="14.25" customHeight="1" x14ac:dyDescent="0.35">
      <c r="A21" s="5" t="s">
        <v>494</v>
      </c>
      <c r="B21" s="6" t="s">
        <v>21</v>
      </c>
      <c r="C21" s="6" t="s">
        <v>512</v>
      </c>
      <c r="D21" s="6" t="s">
        <v>496</v>
      </c>
      <c r="E21" s="25">
        <v>61.064999999999998</v>
      </c>
      <c r="F21" s="25">
        <v>-149.797</v>
      </c>
      <c r="G21" s="7">
        <v>36.6</v>
      </c>
      <c r="I21" s="23" t="s">
        <v>532</v>
      </c>
      <c r="J21" s="23" t="s">
        <v>469</v>
      </c>
      <c r="K21" s="24">
        <v>43794</v>
      </c>
      <c r="L21" s="24"/>
      <c r="M21" s="24"/>
      <c r="N21" s="9">
        <v>-24.622691395657959</v>
      </c>
      <c r="O21" s="41">
        <v>-192.97275737386337</v>
      </c>
      <c r="P21" s="41">
        <f t="shared" si="0"/>
        <v>4.0087737914003014</v>
      </c>
      <c r="Q21" s="7"/>
      <c r="R21" s="7"/>
      <c r="S21" s="7"/>
      <c r="T21" s="7"/>
    </row>
    <row r="22" spans="1:20" ht="14.25" customHeight="1" x14ac:dyDescent="0.35">
      <c r="A22" s="5" t="s">
        <v>494</v>
      </c>
      <c r="B22" s="6" t="s">
        <v>21</v>
      </c>
      <c r="C22" s="6" t="s">
        <v>512</v>
      </c>
      <c r="D22" s="6" t="s">
        <v>496</v>
      </c>
      <c r="E22" s="25">
        <v>61.064999999999998</v>
      </c>
      <c r="F22" s="25">
        <v>-149.797</v>
      </c>
      <c r="G22" s="7">
        <v>36.6</v>
      </c>
      <c r="I22" s="23" t="s">
        <v>533</v>
      </c>
      <c r="J22" s="23" t="s">
        <v>469</v>
      </c>
      <c r="K22" s="24">
        <v>43797</v>
      </c>
      <c r="L22" s="24"/>
      <c r="M22" s="24"/>
      <c r="N22" s="9">
        <v>-19.963406734603463</v>
      </c>
      <c r="O22" s="41">
        <v>-167.91589318221637</v>
      </c>
      <c r="P22" s="41">
        <f t="shared" si="0"/>
        <v>-8.2086393053886582</v>
      </c>
      <c r="Q22" s="7"/>
      <c r="R22" s="7"/>
      <c r="S22" s="7"/>
      <c r="T22" s="7"/>
    </row>
    <row r="23" spans="1:20" ht="14.25" customHeight="1" x14ac:dyDescent="0.35">
      <c r="A23" s="5" t="s">
        <v>494</v>
      </c>
      <c r="B23" s="6" t="s">
        <v>21</v>
      </c>
      <c r="C23" s="6" t="s">
        <v>512</v>
      </c>
      <c r="D23" s="6" t="s">
        <v>496</v>
      </c>
      <c r="E23" s="25">
        <v>61.064999999999998</v>
      </c>
      <c r="F23" s="25">
        <v>-149.797</v>
      </c>
      <c r="G23" s="7">
        <v>36.6</v>
      </c>
      <c r="I23" s="23" t="s">
        <v>534</v>
      </c>
      <c r="J23" s="23" t="s">
        <v>469</v>
      </c>
      <c r="K23" s="24">
        <v>43800</v>
      </c>
      <c r="L23" s="24"/>
      <c r="M23" s="24"/>
      <c r="N23" s="9">
        <v>-12.822726887454643</v>
      </c>
      <c r="O23" s="41">
        <v>-95.09056495769849</v>
      </c>
      <c r="P23" s="41">
        <f t="shared" si="0"/>
        <v>7.4912501419386501</v>
      </c>
      <c r="Q23" s="7"/>
      <c r="R23" s="7"/>
      <c r="S23" s="7"/>
      <c r="T23" s="7"/>
    </row>
    <row r="24" spans="1:20" ht="14.25" customHeight="1" x14ac:dyDescent="0.35">
      <c r="A24" s="5" t="s">
        <v>494</v>
      </c>
      <c r="B24" s="6" t="s">
        <v>21</v>
      </c>
      <c r="C24" s="6" t="s">
        <v>512</v>
      </c>
      <c r="D24" s="6" t="s">
        <v>496</v>
      </c>
      <c r="E24" s="25">
        <v>61.064999999999998</v>
      </c>
      <c r="F24" s="25">
        <v>-149.797</v>
      </c>
      <c r="G24" s="7">
        <v>36.6</v>
      </c>
      <c r="I24" s="23" t="s">
        <v>670</v>
      </c>
      <c r="J24" s="23" t="s">
        <v>100</v>
      </c>
      <c r="K24" s="24">
        <v>43801</v>
      </c>
      <c r="L24" s="24"/>
      <c r="M24" s="24"/>
      <c r="N24" s="9">
        <v>-21.62</v>
      </c>
      <c r="O24" s="41">
        <v>-166.39</v>
      </c>
      <c r="P24" s="41">
        <f t="shared" si="0"/>
        <v>6.5700000000000216</v>
      </c>
      <c r="Q24" s="7"/>
      <c r="R24" s="7"/>
      <c r="S24" s="7"/>
      <c r="T24" s="7"/>
    </row>
    <row r="25" spans="1:20" ht="14.25" customHeight="1" x14ac:dyDescent="0.35">
      <c r="A25" s="5" t="s">
        <v>494</v>
      </c>
      <c r="B25" s="6" t="s">
        <v>21</v>
      </c>
      <c r="C25" s="6" t="s">
        <v>512</v>
      </c>
      <c r="D25" s="6" t="s">
        <v>496</v>
      </c>
      <c r="E25" s="25">
        <v>61.064999999999998</v>
      </c>
      <c r="F25" s="25">
        <v>-149.797</v>
      </c>
      <c r="G25" s="7">
        <v>36.6</v>
      </c>
      <c r="I25" s="23" t="s">
        <v>535</v>
      </c>
      <c r="J25" s="23" t="s">
        <v>469</v>
      </c>
      <c r="K25" s="24">
        <v>43802</v>
      </c>
      <c r="L25" s="24"/>
      <c r="M25" s="24"/>
      <c r="N25" s="9">
        <v>-26.441461964771083</v>
      </c>
      <c r="O25" s="41">
        <v>-201.47062328685502</v>
      </c>
      <c r="P25" s="41">
        <f t="shared" si="0"/>
        <v>10.061072431313647</v>
      </c>
      <c r="Q25" s="7"/>
      <c r="R25" s="7"/>
      <c r="S25" s="7"/>
      <c r="T25" s="7"/>
    </row>
    <row r="26" spans="1:20" ht="14.25" customHeight="1" x14ac:dyDescent="0.35">
      <c r="A26" s="5" t="s">
        <v>494</v>
      </c>
      <c r="B26" s="6" t="s">
        <v>21</v>
      </c>
      <c r="C26" s="6" t="s">
        <v>512</v>
      </c>
      <c r="D26" s="6" t="s">
        <v>496</v>
      </c>
      <c r="E26" s="25">
        <v>61.064999999999998</v>
      </c>
      <c r="F26" s="25">
        <v>-149.797</v>
      </c>
      <c r="G26" s="7">
        <v>36.6</v>
      </c>
      <c r="I26" s="23" t="s">
        <v>536</v>
      </c>
      <c r="J26" s="23" t="s">
        <v>469</v>
      </c>
      <c r="K26" s="24">
        <v>43803</v>
      </c>
      <c r="L26" s="24"/>
      <c r="M26" s="24"/>
      <c r="N26" s="9">
        <v>-24.460099650534787</v>
      </c>
      <c r="O26" s="41">
        <v>-179.99631748301752</v>
      </c>
      <c r="P26" s="41">
        <f t="shared" si="0"/>
        <v>15.684479721260772</v>
      </c>
      <c r="Q26" s="7"/>
      <c r="R26" s="7"/>
      <c r="S26" s="7"/>
      <c r="T26" s="7"/>
    </row>
    <row r="27" spans="1:20" ht="14.25" customHeight="1" x14ac:dyDescent="0.35">
      <c r="A27" s="5" t="s">
        <v>494</v>
      </c>
      <c r="B27" s="6" t="s">
        <v>21</v>
      </c>
      <c r="C27" s="6" t="s">
        <v>512</v>
      </c>
      <c r="D27" s="6" t="s">
        <v>496</v>
      </c>
      <c r="E27" s="25">
        <v>61.064999999999998</v>
      </c>
      <c r="F27" s="25">
        <v>-149.797</v>
      </c>
      <c r="G27" s="7">
        <v>36.6</v>
      </c>
      <c r="I27" s="23" t="s">
        <v>537</v>
      </c>
      <c r="J27" s="23" t="s">
        <v>469</v>
      </c>
      <c r="K27" s="24">
        <v>43805</v>
      </c>
      <c r="L27" s="24"/>
      <c r="M27" s="24"/>
      <c r="N27" s="9">
        <v>-21.700899583517948</v>
      </c>
      <c r="O27" s="41">
        <v>-159.84937852480297</v>
      </c>
      <c r="P27" s="41">
        <f t="shared" si="0"/>
        <v>13.757818143340614</v>
      </c>
      <c r="Q27" s="7"/>
      <c r="R27" s="7"/>
      <c r="S27" s="7"/>
      <c r="T27" s="7"/>
    </row>
    <row r="28" spans="1:20" ht="14.25" customHeight="1" x14ac:dyDescent="0.35">
      <c r="A28" s="5" t="s">
        <v>494</v>
      </c>
      <c r="B28" s="6" t="s">
        <v>21</v>
      </c>
      <c r="C28" s="6" t="s">
        <v>512</v>
      </c>
      <c r="D28" s="6" t="s">
        <v>496</v>
      </c>
      <c r="E28" s="25">
        <v>61.064999999999998</v>
      </c>
      <c r="F28" s="25">
        <v>-149.797</v>
      </c>
      <c r="G28" s="7">
        <v>36.6</v>
      </c>
      <c r="I28" s="23" t="s">
        <v>538</v>
      </c>
      <c r="J28" s="23" t="s">
        <v>469</v>
      </c>
      <c r="K28" s="24">
        <v>43808</v>
      </c>
      <c r="L28" s="24"/>
      <c r="M28" s="24"/>
      <c r="N28" s="9">
        <v>-17.772210981714803</v>
      </c>
      <c r="O28" s="41">
        <v>-143.41547510299753</v>
      </c>
      <c r="P28" s="41">
        <f t="shared" si="0"/>
        <v>-1.2377872492791084</v>
      </c>
      <c r="Q28" s="7"/>
      <c r="R28" s="7"/>
      <c r="S28" s="7"/>
      <c r="T28" s="7"/>
    </row>
    <row r="29" spans="1:20" ht="14.25" customHeight="1" x14ac:dyDescent="0.35">
      <c r="A29" s="5" t="s">
        <v>494</v>
      </c>
      <c r="B29" s="6" t="s">
        <v>21</v>
      </c>
      <c r="C29" s="6" t="s">
        <v>512</v>
      </c>
      <c r="D29" s="6" t="s">
        <v>496</v>
      </c>
      <c r="E29" s="25">
        <v>61.064999999999998</v>
      </c>
      <c r="F29" s="25">
        <v>-149.797</v>
      </c>
      <c r="G29" s="7">
        <v>36.6</v>
      </c>
      <c r="I29" s="23" t="s">
        <v>539</v>
      </c>
      <c r="J29" s="23" t="s">
        <v>469</v>
      </c>
      <c r="K29" s="24">
        <v>43809</v>
      </c>
      <c r="L29" s="24"/>
      <c r="M29" s="24"/>
      <c r="N29" s="9">
        <v>-14.762651501993803</v>
      </c>
      <c r="O29" s="41">
        <v>-114.38098110711049</v>
      </c>
      <c r="P29" s="41">
        <f t="shared" si="0"/>
        <v>3.7202309088399375</v>
      </c>
      <c r="Q29" s="7"/>
      <c r="R29" s="7"/>
      <c r="S29" s="7"/>
      <c r="T29" s="7"/>
    </row>
    <row r="30" spans="1:20" ht="14.25" customHeight="1" x14ac:dyDescent="0.35">
      <c r="A30" s="5" t="s">
        <v>494</v>
      </c>
      <c r="B30" s="6" t="s">
        <v>21</v>
      </c>
      <c r="C30" s="6" t="s">
        <v>512</v>
      </c>
      <c r="D30" s="6" t="s">
        <v>496</v>
      </c>
      <c r="E30" s="25">
        <v>61.064999999999998</v>
      </c>
      <c r="F30" s="25">
        <v>-149.797</v>
      </c>
      <c r="G30" s="7">
        <v>36.6</v>
      </c>
      <c r="I30" s="23" t="s">
        <v>540</v>
      </c>
      <c r="J30" s="23" t="s">
        <v>469</v>
      </c>
      <c r="K30" s="24">
        <v>43824</v>
      </c>
      <c r="L30" s="24"/>
      <c r="M30" s="24"/>
      <c r="N30" s="9">
        <v>-17.960918139122736</v>
      </c>
      <c r="O30" s="41">
        <v>-133.09038772696658</v>
      </c>
      <c r="P30" s="41">
        <f t="shared" si="0"/>
        <v>10.596957386015305</v>
      </c>
      <c r="Q30" s="7"/>
      <c r="R30" s="7"/>
      <c r="S30" s="7"/>
      <c r="T30" s="7"/>
    </row>
    <row r="31" spans="1:20" ht="14.25" customHeight="1" x14ac:dyDescent="0.35">
      <c r="A31" s="5" t="s">
        <v>494</v>
      </c>
      <c r="B31" s="6" t="s">
        <v>21</v>
      </c>
      <c r="C31" s="6" t="s">
        <v>512</v>
      </c>
      <c r="D31" s="6" t="s">
        <v>496</v>
      </c>
      <c r="E31" s="25">
        <v>61.064999999999998</v>
      </c>
      <c r="F31" s="25">
        <v>-149.797</v>
      </c>
      <c r="G31" s="7">
        <v>36.6</v>
      </c>
      <c r="I31" s="23" t="s">
        <v>541</v>
      </c>
      <c r="J31" s="23" t="s">
        <v>469</v>
      </c>
      <c r="K31" s="24">
        <v>43827</v>
      </c>
      <c r="L31" s="24"/>
      <c r="M31" s="24"/>
      <c r="N31" s="9">
        <v>-23.462694095937703</v>
      </c>
      <c r="O31" s="41">
        <v>-179.26928267219029</v>
      </c>
      <c r="P31" s="41">
        <f t="shared" si="0"/>
        <v>8.4322700953113383</v>
      </c>
      <c r="Q31" s="7"/>
      <c r="R31" s="7"/>
      <c r="S31" s="7"/>
      <c r="T31" s="7"/>
    </row>
    <row r="32" spans="1:20" ht="14.25" customHeight="1" x14ac:dyDescent="0.35">
      <c r="A32" s="5" t="s">
        <v>494</v>
      </c>
      <c r="B32" s="6" t="s">
        <v>21</v>
      </c>
      <c r="C32" s="6" t="s">
        <v>512</v>
      </c>
      <c r="D32" s="6" t="s">
        <v>496</v>
      </c>
      <c r="E32" s="25">
        <v>61.064999999999998</v>
      </c>
      <c r="F32" s="25">
        <v>-149.797</v>
      </c>
      <c r="G32" s="7">
        <v>36.6</v>
      </c>
      <c r="I32" s="23" t="s">
        <v>542</v>
      </c>
      <c r="J32" s="23" t="s">
        <v>469</v>
      </c>
      <c r="K32" s="24">
        <v>43831</v>
      </c>
      <c r="L32" s="24"/>
      <c r="M32" s="24"/>
      <c r="N32" s="9">
        <v>-17.542245768622919</v>
      </c>
      <c r="O32" s="41">
        <v>-130.09861250655786</v>
      </c>
      <c r="P32" s="41">
        <f t="shared" si="0"/>
        <v>10.239353642425499</v>
      </c>
      <c r="Q32" s="7"/>
      <c r="R32" s="7"/>
      <c r="S32" s="7"/>
      <c r="T32" s="7"/>
    </row>
    <row r="33" spans="1:20" ht="14.25" customHeight="1" x14ac:dyDescent="0.35">
      <c r="A33" s="5" t="s">
        <v>494</v>
      </c>
      <c r="B33" s="6" t="s">
        <v>21</v>
      </c>
      <c r="C33" s="6" t="s">
        <v>512</v>
      </c>
      <c r="D33" s="6" t="s">
        <v>496</v>
      </c>
      <c r="E33" s="25">
        <v>61.064999999999998</v>
      </c>
      <c r="F33" s="25">
        <v>-149.797</v>
      </c>
      <c r="G33" s="7">
        <v>36.6</v>
      </c>
      <c r="I33" s="23" t="s">
        <v>543</v>
      </c>
      <c r="J33" s="23" t="s">
        <v>469</v>
      </c>
      <c r="K33" s="24">
        <v>43833</v>
      </c>
      <c r="L33" s="24"/>
      <c r="M33" s="24"/>
      <c r="N33" s="9">
        <v>-24.955805076070455</v>
      </c>
      <c r="O33" s="41">
        <v>-171.40957573590754</v>
      </c>
      <c r="P33" s="41">
        <f t="shared" si="0"/>
        <v>28.236864872656099</v>
      </c>
      <c r="Q33" s="7"/>
      <c r="R33" s="7"/>
      <c r="S33" s="7"/>
      <c r="T33" s="7"/>
    </row>
    <row r="34" spans="1:20" ht="14.25" customHeight="1" x14ac:dyDescent="0.35">
      <c r="A34" s="5" t="s">
        <v>494</v>
      </c>
      <c r="B34" s="6" t="s">
        <v>21</v>
      </c>
      <c r="C34" s="6" t="s">
        <v>512</v>
      </c>
      <c r="D34" s="6" t="s">
        <v>496</v>
      </c>
      <c r="E34" s="25">
        <v>61.064999999999998</v>
      </c>
      <c r="F34" s="25">
        <v>-149.797</v>
      </c>
      <c r="G34" s="7">
        <v>36.6</v>
      </c>
      <c r="I34" s="23" t="s">
        <v>544</v>
      </c>
      <c r="J34" s="23" t="s">
        <v>469</v>
      </c>
      <c r="K34" s="24">
        <v>43843</v>
      </c>
      <c r="L34" s="24"/>
      <c r="M34" s="24"/>
      <c r="N34" s="9">
        <v>-18.746338757383391</v>
      </c>
      <c r="O34" s="41">
        <v>-129.88160023374715</v>
      </c>
      <c r="P34" s="41">
        <f t="shared" si="0"/>
        <v>20.08910982531998</v>
      </c>
      <c r="Q34" s="7"/>
      <c r="R34" s="7"/>
      <c r="S34" s="7"/>
      <c r="T34" s="7"/>
    </row>
    <row r="35" spans="1:20" ht="14.25" customHeight="1" x14ac:dyDescent="0.35">
      <c r="A35" s="5" t="s">
        <v>494</v>
      </c>
      <c r="B35" s="6" t="s">
        <v>21</v>
      </c>
      <c r="C35" s="6" t="s">
        <v>512</v>
      </c>
      <c r="D35" s="6" t="s">
        <v>496</v>
      </c>
      <c r="E35" s="25">
        <v>61.064999999999998</v>
      </c>
      <c r="F35" s="25">
        <v>-149.797</v>
      </c>
      <c r="G35" s="7">
        <v>36.6</v>
      </c>
      <c r="I35" s="23" t="s">
        <v>545</v>
      </c>
      <c r="J35" s="23" t="s">
        <v>469</v>
      </c>
      <c r="K35" s="24">
        <v>43850</v>
      </c>
      <c r="L35" s="24"/>
      <c r="M35" s="24"/>
      <c r="N35" s="9">
        <v>-18.19904795746567</v>
      </c>
      <c r="O35" s="41">
        <v>-136.13861013271702</v>
      </c>
      <c r="P35" s="41">
        <f t="shared" si="0"/>
        <v>9.4537735270083374</v>
      </c>
      <c r="Q35" s="7"/>
      <c r="R35" s="7"/>
      <c r="S35" s="7"/>
      <c r="T35" s="7"/>
    </row>
    <row r="36" spans="1:20" ht="14.25" customHeight="1" x14ac:dyDescent="0.35">
      <c r="A36" s="5" t="s">
        <v>494</v>
      </c>
      <c r="B36" s="6" t="s">
        <v>21</v>
      </c>
      <c r="C36" s="6" t="s">
        <v>512</v>
      </c>
      <c r="D36" s="6" t="s">
        <v>496</v>
      </c>
      <c r="E36" s="25">
        <v>61.064999999999998</v>
      </c>
      <c r="F36" s="25">
        <v>-149.797</v>
      </c>
      <c r="G36" s="7">
        <v>36.6</v>
      </c>
      <c r="I36" s="23" t="s">
        <v>546</v>
      </c>
      <c r="J36" s="23" t="s">
        <v>469</v>
      </c>
      <c r="K36" s="24">
        <v>43852</v>
      </c>
      <c r="L36" s="24"/>
      <c r="M36" s="24"/>
      <c r="N36" s="9">
        <v>-18.794765294320204</v>
      </c>
      <c r="O36" s="41">
        <v>-134.12975018818162</v>
      </c>
      <c r="P36" s="41">
        <f t="shared" si="0"/>
        <v>16.228372166380012</v>
      </c>
      <c r="Q36" s="7"/>
      <c r="R36" s="7"/>
      <c r="S36" s="7"/>
      <c r="T36" s="7"/>
    </row>
    <row r="37" spans="1:20" ht="14.25" customHeight="1" x14ac:dyDescent="0.35">
      <c r="A37" s="5" t="s">
        <v>494</v>
      </c>
      <c r="B37" s="6" t="s">
        <v>21</v>
      </c>
      <c r="C37" s="6" t="s">
        <v>512</v>
      </c>
      <c r="D37" s="6" t="s">
        <v>496</v>
      </c>
      <c r="E37" s="25">
        <v>61.064999999999998</v>
      </c>
      <c r="F37" s="25">
        <v>-149.797</v>
      </c>
      <c r="G37" s="7">
        <v>36.6</v>
      </c>
      <c r="I37" s="23" t="s">
        <v>671</v>
      </c>
      <c r="J37" s="23" t="s">
        <v>100</v>
      </c>
      <c r="K37" s="24">
        <v>43866</v>
      </c>
      <c r="L37" s="24"/>
      <c r="M37" s="24"/>
      <c r="N37" s="9">
        <v>-24.44</v>
      </c>
      <c r="O37" s="41">
        <v>-212.01</v>
      </c>
      <c r="P37" s="41">
        <f t="shared" si="0"/>
        <v>-16.489999999999981</v>
      </c>
      <c r="Q37" s="7"/>
      <c r="R37" s="7"/>
      <c r="S37" s="7"/>
      <c r="T37" s="7"/>
    </row>
    <row r="38" spans="1:20" ht="14.25" customHeight="1" x14ac:dyDescent="0.35">
      <c r="A38" s="5" t="s">
        <v>494</v>
      </c>
      <c r="B38" s="6" t="s">
        <v>21</v>
      </c>
      <c r="C38" s="6" t="s">
        <v>512</v>
      </c>
      <c r="D38" s="6" t="s">
        <v>496</v>
      </c>
      <c r="E38" s="25">
        <v>61.064999999999998</v>
      </c>
      <c r="F38" s="25">
        <v>-149.797</v>
      </c>
      <c r="G38" s="7">
        <v>36.6</v>
      </c>
      <c r="I38" s="23" t="s">
        <v>547</v>
      </c>
      <c r="J38" s="23" t="s">
        <v>469</v>
      </c>
      <c r="K38" s="24">
        <v>43867</v>
      </c>
      <c r="L38" s="24"/>
      <c r="M38" s="24"/>
      <c r="N38" s="9">
        <v>-13.727824793974307</v>
      </c>
      <c r="O38" s="41">
        <v>-104.1000088137076</v>
      </c>
      <c r="P38" s="41">
        <f t="shared" si="0"/>
        <v>5.7225895380868508</v>
      </c>
      <c r="Q38" s="7"/>
      <c r="R38" s="7"/>
      <c r="S38" s="7"/>
      <c r="T38" s="7"/>
    </row>
    <row r="39" spans="1:20" ht="14.25" customHeight="1" x14ac:dyDescent="0.35">
      <c r="A39" s="5" t="s">
        <v>494</v>
      </c>
      <c r="B39" s="6" t="s">
        <v>21</v>
      </c>
      <c r="C39" s="6" t="s">
        <v>512</v>
      </c>
      <c r="D39" s="6" t="s">
        <v>496</v>
      </c>
      <c r="E39" s="25">
        <v>61.064999999999998</v>
      </c>
      <c r="F39" s="25">
        <v>-149.797</v>
      </c>
      <c r="G39" s="7">
        <v>36.6</v>
      </c>
      <c r="I39" s="23" t="s">
        <v>672</v>
      </c>
      <c r="J39" s="23" t="s">
        <v>100</v>
      </c>
      <c r="K39" s="24">
        <v>43873</v>
      </c>
      <c r="L39" s="24"/>
      <c r="M39" s="24"/>
      <c r="N39" s="9">
        <v>-26.22</v>
      </c>
      <c r="O39" s="41">
        <v>-213.17</v>
      </c>
      <c r="P39" s="41">
        <f t="shared" si="0"/>
        <v>-3.4099999999999966</v>
      </c>
      <c r="Q39" s="7"/>
      <c r="R39" s="7"/>
      <c r="S39" s="7"/>
      <c r="T39" s="7"/>
    </row>
    <row r="40" spans="1:20" ht="14.25" customHeight="1" x14ac:dyDescent="0.35">
      <c r="A40" s="5" t="s">
        <v>494</v>
      </c>
      <c r="B40" s="6" t="s">
        <v>21</v>
      </c>
      <c r="C40" s="6" t="s">
        <v>512</v>
      </c>
      <c r="D40" s="6" t="s">
        <v>496</v>
      </c>
      <c r="E40" s="25">
        <v>61.064999999999998</v>
      </c>
      <c r="F40" s="25">
        <v>-149.797</v>
      </c>
      <c r="G40" s="7">
        <v>36.6</v>
      </c>
      <c r="I40" s="23" t="s">
        <v>673</v>
      </c>
      <c r="J40" s="23" t="s">
        <v>100</v>
      </c>
      <c r="K40" s="24">
        <v>43880</v>
      </c>
      <c r="L40" s="24"/>
      <c r="M40" s="24"/>
      <c r="N40" s="9">
        <v>-16.52</v>
      </c>
      <c r="O40" s="41">
        <v>-129.19</v>
      </c>
      <c r="P40" s="41">
        <f t="shared" si="0"/>
        <v>2.9699999999999989</v>
      </c>
      <c r="Q40" s="7"/>
      <c r="R40" s="7"/>
      <c r="S40" s="7"/>
      <c r="T40" s="7"/>
    </row>
    <row r="41" spans="1:20" ht="14.25" customHeight="1" x14ac:dyDescent="0.35">
      <c r="A41" s="5" t="s">
        <v>494</v>
      </c>
      <c r="B41" s="6" t="s">
        <v>21</v>
      </c>
      <c r="C41" s="6" t="s">
        <v>512</v>
      </c>
      <c r="D41" s="6" t="s">
        <v>496</v>
      </c>
      <c r="E41" s="25">
        <v>61.064999999999998</v>
      </c>
      <c r="F41" s="25">
        <v>-149.797</v>
      </c>
      <c r="G41" s="7">
        <v>36.6</v>
      </c>
      <c r="I41" s="23" t="s">
        <v>674</v>
      </c>
      <c r="J41" s="23" t="s">
        <v>100</v>
      </c>
      <c r="K41" s="24">
        <v>43882</v>
      </c>
      <c r="L41" s="24"/>
      <c r="M41" s="24"/>
      <c r="N41" s="9">
        <v>-17.48</v>
      </c>
      <c r="O41" s="41">
        <v>-141.86000000000001</v>
      </c>
      <c r="P41" s="41">
        <f t="shared" si="0"/>
        <v>-2.0200000000000102</v>
      </c>
      <c r="Q41" s="7"/>
      <c r="R41" s="7"/>
      <c r="S41" s="7"/>
      <c r="T41" s="7"/>
    </row>
    <row r="42" spans="1:20" ht="14.25" customHeight="1" x14ac:dyDescent="0.35">
      <c r="A42" s="5" t="s">
        <v>494</v>
      </c>
      <c r="B42" s="6" t="s">
        <v>21</v>
      </c>
      <c r="C42" s="6" t="s">
        <v>512</v>
      </c>
      <c r="D42" s="6" t="s">
        <v>496</v>
      </c>
      <c r="E42" s="25">
        <v>61.064999999999998</v>
      </c>
      <c r="F42" s="25">
        <v>-149.797</v>
      </c>
      <c r="G42" s="7">
        <v>36.6</v>
      </c>
      <c r="I42" s="23" t="s">
        <v>675</v>
      </c>
      <c r="J42" s="23" t="s">
        <v>100</v>
      </c>
      <c r="K42" s="24">
        <v>43883</v>
      </c>
      <c r="L42" s="24"/>
      <c r="M42" s="24"/>
      <c r="N42" s="9">
        <v>-19.670000000000002</v>
      </c>
      <c r="O42" s="41">
        <v>-146.85</v>
      </c>
      <c r="P42" s="41">
        <f t="shared" si="0"/>
        <v>10.510000000000019</v>
      </c>
      <c r="Q42" s="7"/>
      <c r="R42" s="7"/>
      <c r="S42" s="7"/>
      <c r="T42" s="7"/>
    </row>
    <row r="43" spans="1:20" ht="14.25" customHeight="1" x14ac:dyDescent="0.35">
      <c r="A43" s="5" t="s">
        <v>494</v>
      </c>
      <c r="B43" s="6" t="s">
        <v>21</v>
      </c>
      <c r="C43" s="6" t="s">
        <v>512</v>
      </c>
      <c r="D43" s="6" t="s">
        <v>496</v>
      </c>
      <c r="E43" s="25">
        <v>61.064999999999998</v>
      </c>
      <c r="F43" s="25">
        <v>-149.797</v>
      </c>
      <c r="G43" s="7">
        <v>36.6</v>
      </c>
      <c r="I43" s="23" t="s">
        <v>676</v>
      </c>
      <c r="J43" s="23" t="s">
        <v>100</v>
      </c>
      <c r="K43" s="24">
        <v>43891</v>
      </c>
      <c r="L43" s="24"/>
      <c r="M43" s="24"/>
      <c r="N43" s="9">
        <v>-17.89</v>
      </c>
      <c r="O43" s="41">
        <v>-137.88999999999999</v>
      </c>
      <c r="P43" s="41">
        <f t="shared" si="0"/>
        <v>5.2300000000000182</v>
      </c>
      <c r="Q43" s="7"/>
      <c r="R43" s="7"/>
      <c r="S43" s="7"/>
      <c r="T43" s="7"/>
    </row>
    <row r="44" spans="1:20" ht="14.25" customHeight="1" x14ac:dyDescent="0.35">
      <c r="A44" s="5" t="s">
        <v>494</v>
      </c>
      <c r="B44" s="6" t="s">
        <v>21</v>
      </c>
      <c r="C44" s="6" t="s">
        <v>512</v>
      </c>
      <c r="D44" s="6" t="s">
        <v>496</v>
      </c>
      <c r="E44" s="25">
        <v>61.064999999999998</v>
      </c>
      <c r="F44" s="25">
        <v>-149.797</v>
      </c>
      <c r="G44" s="7">
        <v>36.6</v>
      </c>
      <c r="I44" s="23" t="s">
        <v>677</v>
      </c>
      <c r="J44" s="23" t="s">
        <v>100</v>
      </c>
      <c r="K44" s="24">
        <v>43923</v>
      </c>
      <c r="L44" s="24"/>
      <c r="M44" s="24"/>
      <c r="N44" s="9">
        <v>-23.25</v>
      </c>
      <c r="O44" s="41">
        <v>-176.31</v>
      </c>
      <c r="P44" s="41">
        <f t="shared" si="0"/>
        <v>9.6899999999999977</v>
      </c>
      <c r="Q44" s="7"/>
      <c r="R44" s="7"/>
      <c r="S44" s="7"/>
      <c r="T44" s="7"/>
    </row>
    <row r="45" spans="1:20" ht="14.25" customHeight="1" x14ac:dyDescent="0.35">
      <c r="A45" s="5" t="s">
        <v>494</v>
      </c>
      <c r="B45" s="6" t="s">
        <v>21</v>
      </c>
      <c r="C45" s="6" t="s">
        <v>512</v>
      </c>
      <c r="D45" s="6" t="s">
        <v>496</v>
      </c>
      <c r="E45" s="25">
        <v>61.064999999999998</v>
      </c>
      <c r="F45" s="25">
        <v>-149.797</v>
      </c>
      <c r="G45" s="7">
        <v>36.6</v>
      </c>
      <c r="I45" s="23" t="s">
        <v>678</v>
      </c>
      <c r="J45" s="23" t="s">
        <v>100</v>
      </c>
      <c r="K45" s="24">
        <v>43924</v>
      </c>
      <c r="L45" s="24"/>
      <c r="M45" s="24"/>
      <c r="N45" s="9">
        <v>-17.53</v>
      </c>
      <c r="O45" s="41">
        <v>-131.25</v>
      </c>
      <c r="P45" s="41">
        <f t="shared" si="0"/>
        <v>8.9900000000000091</v>
      </c>
      <c r="Q45" s="7"/>
      <c r="R45" s="7"/>
      <c r="S45" s="7"/>
      <c r="T45" s="7"/>
    </row>
    <row r="46" spans="1:20" ht="14.25" customHeight="1" x14ac:dyDescent="0.35">
      <c r="A46" s="5" t="s">
        <v>494</v>
      </c>
      <c r="B46" s="6" t="s">
        <v>21</v>
      </c>
      <c r="C46" s="6" t="s">
        <v>512</v>
      </c>
      <c r="D46" s="6" t="s">
        <v>496</v>
      </c>
      <c r="E46" s="25">
        <v>61.064999999999998</v>
      </c>
      <c r="F46" s="25">
        <v>-149.797</v>
      </c>
      <c r="G46" s="7">
        <v>36.6</v>
      </c>
      <c r="I46" s="23" t="s">
        <v>679</v>
      </c>
      <c r="J46" s="23" t="s">
        <v>41</v>
      </c>
      <c r="K46" s="24">
        <v>43934</v>
      </c>
      <c r="L46" s="24"/>
      <c r="M46" s="24"/>
      <c r="N46" s="9">
        <v>-14.34</v>
      </c>
      <c r="O46" s="41">
        <v>-126.3</v>
      </c>
      <c r="P46" s="41">
        <f t="shared" si="0"/>
        <v>-11.579999999999998</v>
      </c>
      <c r="Q46" s="7"/>
      <c r="R46" s="7"/>
      <c r="S46" s="7"/>
      <c r="T46" s="7"/>
    </row>
    <row r="47" spans="1:20" ht="14.25" customHeight="1" x14ac:dyDescent="0.35">
      <c r="A47" s="5" t="s">
        <v>494</v>
      </c>
      <c r="B47" s="6" t="s">
        <v>21</v>
      </c>
      <c r="C47" s="6" t="s">
        <v>512</v>
      </c>
      <c r="D47" s="6" t="s">
        <v>496</v>
      </c>
      <c r="E47" s="25">
        <v>61.064999999999998</v>
      </c>
      <c r="F47" s="25">
        <v>-149.797</v>
      </c>
      <c r="G47" s="7">
        <v>36.6</v>
      </c>
      <c r="I47" s="23" t="s">
        <v>680</v>
      </c>
      <c r="J47" s="23" t="s">
        <v>41</v>
      </c>
      <c r="K47" s="24">
        <v>43936</v>
      </c>
      <c r="L47" s="24"/>
      <c r="M47" s="24"/>
      <c r="N47" s="9">
        <v>-13</v>
      </c>
      <c r="O47" s="41">
        <v>-117.68</v>
      </c>
      <c r="P47" s="41">
        <f t="shared" si="0"/>
        <v>-13.680000000000007</v>
      </c>
      <c r="Q47" s="7"/>
      <c r="R47" s="7"/>
      <c r="S47" s="7"/>
      <c r="T47" s="7"/>
    </row>
    <row r="48" spans="1:20" ht="14.25" customHeight="1" x14ac:dyDescent="0.35">
      <c r="A48" s="5" t="s">
        <v>494</v>
      </c>
      <c r="B48" s="6" t="s">
        <v>21</v>
      </c>
      <c r="C48" s="6" t="s">
        <v>512</v>
      </c>
      <c r="D48" s="6" t="s">
        <v>496</v>
      </c>
      <c r="E48" s="25">
        <v>61.064999999999998</v>
      </c>
      <c r="F48" s="25">
        <v>-149.797</v>
      </c>
      <c r="G48" s="7">
        <v>36.6</v>
      </c>
      <c r="I48" s="23" t="s">
        <v>681</v>
      </c>
      <c r="J48" s="23" t="s">
        <v>41</v>
      </c>
      <c r="K48" s="24">
        <v>43938</v>
      </c>
      <c r="L48" s="24"/>
      <c r="M48" s="24"/>
      <c r="N48" s="9">
        <v>-12.86</v>
      </c>
      <c r="O48" s="41">
        <v>-97.74</v>
      </c>
      <c r="P48" s="41">
        <f t="shared" si="0"/>
        <v>5.1400000000000006</v>
      </c>
      <c r="Q48" s="7"/>
      <c r="R48" s="7"/>
      <c r="S48" s="7"/>
      <c r="T48" s="7"/>
    </row>
    <row r="49" spans="1:20" ht="14.25" customHeight="1" x14ac:dyDescent="0.35">
      <c r="A49" s="5" t="s">
        <v>494</v>
      </c>
      <c r="B49" s="6" t="s">
        <v>21</v>
      </c>
      <c r="C49" s="6" t="s">
        <v>512</v>
      </c>
      <c r="D49" s="6" t="s">
        <v>496</v>
      </c>
      <c r="E49" s="25">
        <v>61.064999999999998</v>
      </c>
      <c r="F49" s="25">
        <v>-149.797</v>
      </c>
      <c r="G49" s="7">
        <v>36.6</v>
      </c>
      <c r="I49" s="23" t="s">
        <v>682</v>
      </c>
      <c r="J49" s="23" t="s">
        <v>41</v>
      </c>
      <c r="K49" s="24">
        <v>43975</v>
      </c>
      <c r="L49" s="24"/>
      <c r="M49" s="24"/>
      <c r="N49" s="9">
        <v>-23</v>
      </c>
      <c r="O49" s="41">
        <v>-185.38</v>
      </c>
      <c r="P49" s="41">
        <f t="shared" si="0"/>
        <v>-1.3799999999999955</v>
      </c>
      <c r="Q49" s="7"/>
      <c r="R49" s="7"/>
      <c r="S49" s="7"/>
      <c r="T49" s="7"/>
    </row>
    <row r="50" spans="1:20" ht="14.25" customHeight="1" x14ac:dyDescent="0.35">
      <c r="A50" s="5" t="s">
        <v>494</v>
      </c>
      <c r="B50" s="6" t="s">
        <v>21</v>
      </c>
      <c r="C50" s="6" t="s">
        <v>512</v>
      </c>
      <c r="D50" s="6" t="s">
        <v>496</v>
      </c>
      <c r="E50" s="25">
        <v>61.064999999999998</v>
      </c>
      <c r="F50" s="25">
        <v>-149.797</v>
      </c>
      <c r="G50" s="7">
        <v>36.6</v>
      </c>
      <c r="I50" s="23" t="s">
        <v>683</v>
      </c>
      <c r="J50" s="23" t="s">
        <v>41</v>
      </c>
      <c r="K50" s="24">
        <v>43976</v>
      </c>
      <c r="L50" s="24"/>
      <c r="M50" s="24"/>
      <c r="N50" s="9">
        <v>-24.97</v>
      </c>
      <c r="O50" s="41">
        <v>-194.52</v>
      </c>
      <c r="P50" s="41">
        <f t="shared" si="0"/>
        <v>5.2399999999999807</v>
      </c>
      <c r="Q50" s="7"/>
      <c r="R50" s="7"/>
      <c r="S50" s="7"/>
      <c r="T50" s="7"/>
    </row>
    <row r="51" spans="1:20" ht="14.25" customHeight="1" x14ac:dyDescent="0.35">
      <c r="A51" s="5" t="s">
        <v>494</v>
      </c>
      <c r="B51" s="6" t="s">
        <v>21</v>
      </c>
      <c r="C51" s="6" t="s">
        <v>512</v>
      </c>
      <c r="D51" s="6" t="s">
        <v>496</v>
      </c>
      <c r="E51" s="25">
        <v>61.064999999999998</v>
      </c>
      <c r="F51" s="25">
        <v>-149.797</v>
      </c>
      <c r="G51" s="7">
        <v>36.6</v>
      </c>
      <c r="I51" s="23" t="s">
        <v>684</v>
      </c>
      <c r="J51" s="23" t="s">
        <v>41</v>
      </c>
      <c r="K51" s="24">
        <v>43989</v>
      </c>
      <c r="L51" s="24"/>
      <c r="M51" s="24"/>
      <c r="N51" s="9">
        <v>-13.71</v>
      </c>
      <c r="O51" s="41">
        <v>-108.72</v>
      </c>
      <c r="P51" s="41">
        <f t="shared" si="0"/>
        <v>0.96000000000000796</v>
      </c>
      <c r="Q51" s="7"/>
      <c r="R51" s="7"/>
      <c r="S51" s="7"/>
      <c r="T51" s="7"/>
    </row>
    <row r="52" spans="1:20" ht="14.25" customHeight="1" x14ac:dyDescent="0.35">
      <c r="A52" s="5" t="s">
        <v>494</v>
      </c>
      <c r="B52" s="6" t="s">
        <v>21</v>
      </c>
      <c r="C52" s="6" t="s">
        <v>512</v>
      </c>
      <c r="D52" s="6" t="s">
        <v>496</v>
      </c>
      <c r="E52" s="25">
        <v>61.064999999999998</v>
      </c>
      <c r="F52" s="25">
        <v>-149.797</v>
      </c>
      <c r="G52" s="7">
        <v>36.6</v>
      </c>
      <c r="I52" s="23" t="s">
        <v>685</v>
      </c>
      <c r="J52" s="23" t="s">
        <v>41</v>
      </c>
      <c r="K52" s="24">
        <v>43990</v>
      </c>
      <c r="L52" s="24"/>
      <c r="M52" s="24"/>
      <c r="N52" s="9">
        <v>-14.65</v>
      </c>
      <c r="O52" s="41">
        <v>-118.22</v>
      </c>
      <c r="P52" s="41">
        <f t="shared" si="0"/>
        <v>-1.019999999999996</v>
      </c>
      <c r="Q52" s="7"/>
      <c r="R52" s="7"/>
      <c r="S52" s="7"/>
      <c r="T52" s="7"/>
    </row>
    <row r="53" spans="1:20" ht="14.25" customHeight="1" x14ac:dyDescent="0.35">
      <c r="A53" s="5" t="s">
        <v>494</v>
      </c>
      <c r="B53" s="6" t="s">
        <v>21</v>
      </c>
      <c r="C53" s="6" t="s">
        <v>512</v>
      </c>
      <c r="D53" s="6" t="s">
        <v>496</v>
      </c>
      <c r="E53" s="25">
        <v>61.064999999999998</v>
      </c>
      <c r="F53" s="25">
        <v>-149.797</v>
      </c>
      <c r="G53" s="7">
        <v>36.6</v>
      </c>
      <c r="I53" s="23" t="s">
        <v>686</v>
      </c>
      <c r="J53" s="23" t="s">
        <v>41</v>
      </c>
      <c r="K53" s="24">
        <v>43991</v>
      </c>
      <c r="L53" s="24"/>
      <c r="M53" s="24"/>
      <c r="N53" s="9">
        <v>-17.98</v>
      </c>
      <c r="O53" s="41">
        <v>-143.84</v>
      </c>
      <c r="P53" s="41">
        <f t="shared" si="0"/>
        <v>0</v>
      </c>
      <c r="Q53" s="7"/>
      <c r="R53" s="7"/>
      <c r="S53" s="7"/>
      <c r="T53" s="7"/>
    </row>
    <row r="54" spans="1:20" ht="14.25" customHeight="1" x14ac:dyDescent="0.35">
      <c r="A54" s="5" t="s">
        <v>494</v>
      </c>
      <c r="B54" s="6" t="s">
        <v>21</v>
      </c>
      <c r="C54" s="6" t="s">
        <v>512</v>
      </c>
      <c r="D54" s="6" t="s">
        <v>496</v>
      </c>
      <c r="E54" s="25">
        <v>61.064999999999998</v>
      </c>
      <c r="F54" s="25">
        <v>-149.797</v>
      </c>
      <c r="G54" s="7">
        <v>36.6</v>
      </c>
      <c r="I54" s="23" t="s">
        <v>687</v>
      </c>
      <c r="J54" s="23" t="s">
        <v>41</v>
      </c>
      <c r="K54" s="24">
        <v>44001</v>
      </c>
      <c r="L54" s="24"/>
      <c r="M54" s="24"/>
      <c r="N54" s="9">
        <v>-10.94</v>
      </c>
      <c r="O54" s="41">
        <v>-84.85</v>
      </c>
      <c r="P54" s="41">
        <f t="shared" si="0"/>
        <v>2.6700000000000017</v>
      </c>
      <c r="Q54" s="7"/>
      <c r="R54" s="7"/>
      <c r="S54" s="7"/>
      <c r="T54" s="7"/>
    </row>
    <row r="55" spans="1:20" ht="14.25" customHeight="1" x14ac:dyDescent="0.35">
      <c r="A55" s="5" t="s">
        <v>494</v>
      </c>
      <c r="B55" s="6" t="s">
        <v>21</v>
      </c>
      <c r="C55" s="6" t="s">
        <v>512</v>
      </c>
      <c r="D55" s="6" t="s">
        <v>496</v>
      </c>
      <c r="E55" s="25">
        <v>61.064999999999998</v>
      </c>
      <c r="F55" s="25">
        <v>-149.797</v>
      </c>
      <c r="G55" s="7">
        <v>36.6</v>
      </c>
      <c r="I55" s="23" t="s">
        <v>688</v>
      </c>
      <c r="J55" s="23" t="s">
        <v>41</v>
      </c>
      <c r="K55" s="24">
        <v>44009</v>
      </c>
      <c r="L55" s="24"/>
      <c r="M55" s="24"/>
      <c r="N55" s="9">
        <v>-12.45</v>
      </c>
      <c r="O55" s="41">
        <v>-100.3</v>
      </c>
      <c r="P55" s="41">
        <f t="shared" si="0"/>
        <v>-0.70000000000000284</v>
      </c>
      <c r="Q55" s="7"/>
      <c r="R55" s="7"/>
      <c r="S55" s="7"/>
      <c r="T55" s="7"/>
    </row>
    <row r="56" spans="1:20" ht="14.25" customHeight="1" x14ac:dyDescent="0.35">
      <c r="A56" s="5" t="s">
        <v>494</v>
      </c>
      <c r="B56" s="6" t="s">
        <v>21</v>
      </c>
      <c r="C56" s="6" t="s">
        <v>512</v>
      </c>
      <c r="D56" s="6" t="s">
        <v>496</v>
      </c>
      <c r="E56" s="25">
        <v>61.064999999999998</v>
      </c>
      <c r="F56" s="25">
        <v>-149.797</v>
      </c>
      <c r="G56" s="7">
        <v>36.6</v>
      </c>
      <c r="I56" s="23" t="s">
        <v>689</v>
      </c>
      <c r="J56" s="23" t="s">
        <v>41</v>
      </c>
      <c r="K56" s="24">
        <v>44011</v>
      </c>
      <c r="L56" s="24"/>
      <c r="M56" s="24"/>
      <c r="N56" s="9">
        <v>-13.44</v>
      </c>
      <c r="O56" s="41">
        <v>-118.71</v>
      </c>
      <c r="P56" s="41">
        <f t="shared" si="0"/>
        <v>-11.189999999999998</v>
      </c>
      <c r="Q56" s="7"/>
      <c r="R56" s="7"/>
      <c r="S56" s="7"/>
      <c r="T56" s="7"/>
    </row>
    <row r="57" spans="1:20" ht="14.25" customHeight="1" x14ac:dyDescent="0.35">
      <c r="A57" s="5" t="s">
        <v>494</v>
      </c>
      <c r="B57" s="6" t="s">
        <v>21</v>
      </c>
      <c r="C57" s="6" t="s">
        <v>512</v>
      </c>
      <c r="D57" s="6" t="s">
        <v>496</v>
      </c>
      <c r="E57" s="25">
        <v>61.064999999999998</v>
      </c>
      <c r="F57" s="25">
        <v>-149.797</v>
      </c>
      <c r="G57" s="7">
        <v>36.6</v>
      </c>
      <c r="I57" s="23" t="s">
        <v>690</v>
      </c>
      <c r="J57" s="23" t="s">
        <v>41</v>
      </c>
      <c r="K57" s="24">
        <v>44020</v>
      </c>
      <c r="L57" s="24"/>
      <c r="M57" s="24"/>
      <c r="N57" s="9">
        <v>-15.47</v>
      </c>
      <c r="O57" s="41">
        <v>-119.73</v>
      </c>
      <c r="P57" s="41">
        <f t="shared" si="0"/>
        <v>4.0300000000000011</v>
      </c>
      <c r="Q57" s="7"/>
      <c r="R57" s="7"/>
      <c r="S57" s="7"/>
      <c r="T57" s="7"/>
    </row>
    <row r="58" spans="1:20" ht="14.25" customHeight="1" x14ac:dyDescent="0.35">
      <c r="A58" s="5" t="s">
        <v>494</v>
      </c>
      <c r="B58" s="6" t="s">
        <v>21</v>
      </c>
      <c r="C58" s="6" t="s">
        <v>512</v>
      </c>
      <c r="D58" s="6" t="s">
        <v>496</v>
      </c>
      <c r="E58" s="25">
        <v>61.064999999999998</v>
      </c>
      <c r="F58" s="25">
        <v>-149.797</v>
      </c>
      <c r="G58" s="7">
        <v>36.6</v>
      </c>
      <c r="I58" s="23" t="s">
        <v>691</v>
      </c>
      <c r="J58" s="23" t="s">
        <v>41</v>
      </c>
      <c r="K58" s="24">
        <v>44032</v>
      </c>
      <c r="L58" s="24"/>
      <c r="M58" s="24"/>
      <c r="N58" s="9">
        <v>-21.62</v>
      </c>
      <c r="O58" s="41">
        <v>-166.08</v>
      </c>
      <c r="P58" s="41">
        <f t="shared" si="0"/>
        <v>6.8799999999999955</v>
      </c>
      <c r="Q58" s="7"/>
      <c r="R58" s="7"/>
      <c r="S58" s="7"/>
      <c r="T58" s="7"/>
    </row>
    <row r="59" spans="1:20" ht="14.25" customHeight="1" x14ac:dyDescent="0.35">
      <c r="A59" s="5" t="s">
        <v>494</v>
      </c>
      <c r="B59" s="6" t="s">
        <v>21</v>
      </c>
      <c r="C59" s="6" t="s">
        <v>512</v>
      </c>
      <c r="D59" s="6" t="s">
        <v>496</v>
      </c>
      <c r="E59" s="25">
        <v>61.064999999999998</v>
      </c>
      <c r="F59" s="25">
        <v>-149.797</v>
      </c>
      <c r="G59" s="7">
        <v>36.6</v>
      </c>
      <c r="I59" s="23" t="s">
        <v>692</v>
      </c>
      <c r="J59" s="23" t="s">
        <v>41</v>
      </c>
      <c r="K59" s="24">
        <v>44033</v>
      </c>
      <c r="L59" s="24"/>
      <c r="M59" s="24"/>
      <c r="N59" s="9">
        <v>-14.79</v>
      </c>
      <c r="O59" s="41">
        <v>-120.08</v>
      </c>
      <c r="P59" s="41">
        <f t="shared" si="0"/>
        <v>-1.7600000000000051</v>
      </c>
      <c r="Q59" s="7"/>
      <c r="R59" s="7"/>
      <c r="S59" s="7"/>
      <c r="T59" s="7"/>
    </row>
    <row r="60" spans="1:20" ht="14.25" customHeight="1" x14ac:dyDescent="0.35">
      <c r="A60" s="5" t="s">
        <v>494</v>
      </c>
      <c r="B60" s="6" t="s">
        <v>21</v>
      </c>
      <c r="C60" s="6" t="s">
        <v>512</v>
      </c>
      <c r="D60" s="6" t="s">
        <v>496</v>
      </c>
      <c r="E60" s="25">
        <v>61.064999999999998</v>
      </c>
      <c r="F60" s="25">
        <v>-149.797</v>
      </c>
      <c r="G60" s="7">
        <v>36.6</v>
      </c>
      <c r="I60" s="23" t="s">
        <v>693</v>
      </c>
      <c r="J60" s="23" t="s">
        <v>41</v>
      </c>
      <c r="K60" s="24">
        <v>44037</v>
      </c>
      <c r="L60" s="24"/>
      <c r="M60" s="24"/>
      <c r="N60" s="9">
        <v>-13.17</v>
      </c>
      <c r="O60" s="41">
        <v>-110.52</v>
      </c>
      <c r="P60" s="41">
        <f t="shared" si="0"/>
        <v>-5.1599999999999966</v>
      </c>
      <c r="Q60" s="7"/>
      <c r="R60" s="7"/>
      <c r="S60" s="7"/>
      <c r="T60" s="7"/>
    </row>
    <row r="61" spans="1:20" ht="14.25" customHeight="1" x14ac:dyDescent="0.35">
      <c r="A61" s="5" t="s">
        <v>494</v>
      </c>
      <c r="B61" s="6" t="s">
        <v>21</v>
      </c>
      <c r="C61" s="6" t="s">
        <v>512</v>
      </c>
      <c r="D61" s="6" t="s">
        <v>496</v>
      </c>
      <c r="E61" s="25">
        <v>61.064999999999998</v>
      </c>
      <c r="F61" s="25">
        <v>-149.797</v>
      </c>
      <c r="G61" s="7">
        <v>36.6</v>
      </c>
      <c r="I61" s="23" t="s">
        <v>694</v>
      </c>
      <c r="J61" s="23" t="s">
        <v>41</v>
      </c>
      <c r="K61" s="24">
        <v>44044</v>
      </c>
      <c r="L61" s="24"/>
      <c r="M61" s="24"/>
      <c r="N61" s="9">
        <v>-12.81</v>
      </c>
      <c r="O61" s="41">
        <v>-109.21</v>
      </c>
      <c r="P61" s="41">
        <f t="shared" si="0"/>
        <v>-6.7299999999999898</v>
      </c>
      <c r="Q61" s="7"/>
      <c r="R61" s="7"/>
      <c r="S61" s="7"/>
      <c r="T61" s="7"/>
    </row>
    <row r="62" spans="1:20" ht="14.25" customHeight="1" x14ac:dyDescent="0.35">
      <c r="A62" s="5" t="s">
        <v>494</v>
      </c>
      <c r="B62" s="6" t="s">
        <v>21</v>
      </c>
      <c r="C62" s="6" t="s">
        <v>512</v>
      </c>
      <c r="D62" s="6" t="s">
        <v>496</v>
      </c>
      <c r="E62" s="25">
        <v>61.064999999999998</v>
      </c>
      <c r="F62" s="25">
        <v>-149.797</v>
      </c>
      <c r="G62" s="7">
        <v>36.6</v>
      </c>
      <c r="I62" s="23" t="s">
        <v>695</v>
      </c>
      <c r="J62" s="23" t="s">
        <v>41</v>
      </c>
      <c r="K62" s="24">
        <v>44052</v>
      </c>
      <c r="L62" s="24"/>
      <c r="M62" s="24"/>
      <c r="N62" s="9">
        <v>-16.09</v>
      </c>
      <c r="O62" s="41">
        <v>-130.75</v>
      </c>
      <c r="P62" s="41">
        <f t="shared" si="0"/>
        <v>-2.0300000000000011</v>
      </c>
      <c r="Q62" s="7"/>
      <c r="R62" s="7"/>
      <c r="S62" s="7"/>
      <c r="T62" s="7"/>
    </row>
    <row r="63" spans="1:20" ht="14.25" customHeight="1" x14ac:dyDescent="0.35">
      <c r="A63" s="5" t="s">
        <v>494</v>
      </c>
      <c r="B63" s="6" t="s">
        <v>21</v>
      </c>
      <c r="C63" s="6" t="s">
        <v>512</v>
      </c>
      <c r="D63" s="6" t="s">
        <v>496</v>
      </c>
      <c r="E63" s="25">
        <v>61.064999999999998</v>
      </c>
      <c r="F63" s="25">
        <v>-149.797</v>
      </c>
      <c r="G63" s="7">
        <v>36.6</v>
      </c>
      <c r="I63" s="23" t="s">
        <v>696</v>
      </c>
      <c r="J63" s="23" t="s">
        <v>41</v>
      </c>
      <c r="K63" s="24">
        <v>44054</v>
      </c>
      <c r="L63" s="24"/>
      <c r="M63" s="24"/>
      <c r="N63" s="9">
        <v>-13.19</v>
      </c>
      <c r="O63" s="41">
        <v>-107.89</v>
      </c>
      <c r="P63" s="41">
        <f t="shared" si="0"/>
        <v>-2.3700000000000045</v>
      </c>
      <c r="Q63" s="7"/>
      <c r="R63" s="7"/>
      <c r="S63" s="7"/>
      <c r="T63" s="7"/>
    </row>
    <row r="64" spans="1:20" ht="14.25" customHeight="1" x14ac:dyDescent="0.35">
      <c r="A64" s="5" t="s">
        <v>494</v>
      </c>
      <c r="B64" s="6" t="s">
        <v>21</v>
      </c>
      <c r="C64" s="6" t="s">
        <v>512</v>
      </c>
      <c r="D64" s="6" t="s">
        <v>496</v>
      </c>
      <c r="E64" s="25">
        <v>61.064999999999998</v>
      </c>
      <c r="F64" s="25">
        <v>-149.797</v>
      </c>
      <c r="G64" s="7">
        <v>36.6</v>
      </c>
      <c r="I64" s="23" t="s">
        <v>697</v>
      </c>
      <c r="J64" s="23" t="s">
        <v>41</v>
      </c>
      <c r="K64" s="24">
        <v>44066</v>
      </c>
      <c r="L64" s="24"/>
      <c r="M64" s="24"/>
      <c r="N64" s="9">
        <v>-10.99</v>
      </c>
      <c r="O64" s="41">
        <v>-96.93</v>
      </c>
      <c r="P64" s="41">
        <f t="shared" si="0"/>
        <v>-9.0100000000000051</v>
      </c>
      <c r="Q64" s="7"/>
      <c r="R64" s="7"/>
      <c r="S64" s="7"/>
      <c r="T64" s="7"/>
    </row>
    <row r="65" spans="1:20" ht="14.25" customHeight="1" x14ac:dyDescent="0.35">
      <c r="A65" s="5" t="s">
        <v>494</v>
      </c>
      <c r="B65" s="6" t="s">
        <v>21</v>
      </c>
      <c r="C65" s="6" t="s">
        <v>512</v>
      </c>
      <c r="D65" s="6" t="s">
        <v>496</v>
      </c>
      <c r="E65" s="25">
        <v>61.064999999999998</v>
      </c>
      <c r="F65" s="25">
        <v>-149.797</v>
      </c>
      <c r="G65" s="7">
        <v>36.6</v>
      </c>
      <c r="I65" s="23" t="s">
        <v>698</v>
      </c>
      <c r="J65" s="23" t="s">
        <v>41</v>
      </c>
      <c r="K65" s="24">
        <v>44067</v>
      </c>
      <c r="L65" s="24"/>
      <c r="M65" s="24"/>
      <c r="N65" s="9">
        <v>-10.82</v>
      </c>
      <c r="O65" s="41">
        <v>-83.96</v>
      </c>
      <c r="P65" s="41">
        <f t="shared" si="0"/>
        <v>2.6000000000000085</v>
      </c>
      <c r="Q65" s="7"/>
      <c r="R65" s="7"/>
      <c r="S65" s="7"/>
      <c r="T65" s="7"/>
    </row>
    <row r="66" spans="1:20" ht="14.25" customHeight="1" x14ac:dyDescent="0.35">
      <c r="A66" s="5" t="s">
        <v>494</v>
      </c>
      <c r="B66" s="6" t="s">
        <v>21</v>
      </c>
      <c r="C66" s="6" t="s">
        <v>512</v>
      </c>
      <c r="D66" s="6" t="s">
        <v>496</v>
      </c>
      <c r="E66" s="25">
        <v>61.064999999999998</v>
      </c>
      <c r="F66" s="25">
        <v>-149.797</v>
      </c>
      <c r="G66" s="7">
        <v>36.6</v>
      </c>
      <c r="I66" s="23" t="s">
        <v>699</v>
      </c>
      <c r="J66" s="23" t="s">
        <v>41</v>
      </c>
      <c r="K66" s="24">
        <v>44068</v>
      </c>
      <c r="L66" s="24"/>
      <c r="M66" s="24"/>
      <c r="N66" s="9">
        <v>-15.04</v>
      </c>
      <c r="O66" s="41">
        <v>-118.29</v>
      </c>
      <c r="P66" s="41">
        <f t="shared" si="0"/>
        <v>2.0299999999999869</v>
      </c>
      <c r="Q66" s="7"/>
      <c r="R66" s="7"/>
      <c r="S66" s="7"/>
      <c r="T66" s="7"/>
    </row>
    <row r="67" spans="1:20" ht="14.25" customHeight="1" x14ac:dyDescent="0.35">
      <c r="A67" s="5" t="s">
        <v>494</v>
      </c>
      <c r="B67" s="6" t="s">
        <v>21</v>
      </c>
      <c r="C67" s="6" t="s">
        <v>512</v>
      </c>
      <c r="D67" s="6" t="s">
        <v>496</v>
      </c>
      <c r="E67" s="25">
        <v>61.064999999999998</v>
      </c>
      <c r="F67" s="25">
        <v>-149.797</v>
      </c>
      <c r="G67" s="7">
        <v>36.6</v>
      </c>
      <c r="I67" s="23" t="s">
        <v>700</v>
      </c>
      <c r="J67" s="23" t="s">
        <v>41</v>
      </c>
      <c r="K67" s="24">
        <v>44069</v>
      </c>
      <c r="L67" s="24"/>
      <c r="M67" s="24"/>
      <c r="N67" s="9">
        <v>-18.32</v>
      </c>
      <c r="O67" s="41">
        <v>-141.82</v>
      </c>
      <c r="P67" s="41">
        <f t="shared" si="0"/>
        <v>4.7400000000000091</v>
      </c>
      <c r="Q67" s="7"/>
      <c r="R67" s="7"/>
      <c r="S67" s="7"/>
      <c r="T67" s="7"/>
    </row>
    <row r="68" spans="1:20" ht="14.25" customHeight="1" x14ac:dyDescent="0.35">
      <c r="A68" s="5" t="s">
        <v>494</v>
      </c>
      <c r="B68" s="6" t="s">
        <v>21</v>
      </c>
      <c r="C68" s="6" t="s">
        <v>512</v>
      </c>
      <c r="D68" s="6" t="s">
        <v>496</v>
      </c>
      <c r="E68" s="25">
        <v>61.064999999999998</v>
      </c>
      <c r="F68" s="25">
        <v>-149.797</v>
      </c>
      <c r="G68" s="7">
        <v>36.6</v>
      </c>
      <c r="I68" s="23" t="s">
        <v>701</v>
      </c>
      <c r="J68" s="23" t="s">
        <v>41</v>
      </c>
      <c r="K68" s="24">
        <v>44069</v>
      </c>
      <c r="L68" s="24"/>
      <c r="M68" s="24"/>
      <c r="N68" s="9">
        <v>-18.02</v>
      </c>
      <c r="O68" s="41">
        <v>-136.87</v>
      </c>
      <c r="P68" s="41">
        <f t="shared" si="0"/>
        <v>7.289999999999992</v>
      </c>
      <c r="Q68" s="7"/>
      <c r="R68" s="7"/>
      <c r="S68" s="7"/>
      <c r="T68" s="7"/>
    </row>
    <row r="69" spans="1:20" ht="14.25" customHeight="1" x14ac:dyDescent="0.35">
      <c r="A69" s="5" t="s">
        <v>494</v>
      </c>
      <c r="B69" s="6" t="s">
        <v>21</v>
      </c>
      <c r="C69" s="6" t="s">
        <v>512</v>
      </c>
      <c r="D69" s="6" t="s">
        <v>496</v>
      </c>
      <c r="E69" s="25">
        <v>61.064999999999998</v>
      </c>
      <c r="F69" s="25">
        <v>-149.797</v>
      </c>
      <c r="G69" s="7">
        <v>36.6</v>
      </c>
      <c r="I69" s="23" t="s">
        <v>702</v>
      </c>
      <c r="J69" s="23" t="s">
        <v>41</v>
      </c>
      <c r="K69" s="24">
        <v>44074</v>
      </c>
      <c r="L69" s="24"/>
      <c r="M69" s="24"/>
      <c r="N69" s="9">
        <v>-13.93</v>
      </c>
      <c r="O69" s="41">
        <v>-115.02</v>
      </c>
      <c r="P69" s="41">
        <f t="shared" si="0"/>
        <v>-3.5799999999999983</v>
      </c>
      <c r="Q69" s="7"/>
      <c r="R69" s="7"/>
      <c r="S69" s="7"/>
      <c r="T69" s="7"/>
    </row>
    <row r="70" spans="1:20" ht="14.25" customHeight="1" x14ac:dyDescent="0.35">
      <c r="A70" s="5" t="s">
        <v>494</v>
      </c>
      <c r="B70" s="6" t="s">
        <v>21</v>
      </c>
      <c r="C70" s="6" t="s">
        <v>512</v>
      </c>
      <c r="D70" s="6" t="s">
        <v>496</v>
      </c>
      <c r="E70" s="25">
        <v>61.064999999999998</v>
      </c>
      <c r="F70" s="25">
        <v>-149.797</v>
      </c>
      <c r="G70" s="7">
        <v>36.6</v>
      </c>
      <c r="I70" s="23" t="s">
        <v>703</v>
      </c>
      <c r="J70" s="23" t="s">
        <v>41</v>
      </c>
      <c r="K70" s="24">
        <v>44075</v>
      </c>
      <c r="L70" s="24"/>
      <c r="M70" s="24"/>
      <c r="N70" s="9">
        <v>-13.23</v>
      </c>
      <c r="O70" s="41">
        <v>-108.27</v>
      </c>
      <c r="P70" s="41">
        <f t="shared" si="0"/>
        <v>-2.4299999999999926</v>
      </c>
      <c r="Q70" s="7"/>
      <c r="R70" s="7"/>
      <c r="S70" s="7"/>
      <c r="T70" s="7"/>
    </row>
    <row r="71" spans="1:20" ht="14.25" customHeight="1" x14ac:dyDescent="0.35">
      <c r="A71" s="5" t="s">
        <v>494</v>
      </c>
      <c r="B71" s="6" t="s">
        <v>21</v>
      </c>
      <c r="C71" s="6" t="s">
        <v>512</v>
      </c>
      <c r="D71" s="6" t="s">
        <v>496</v>
      </c>
      <c r="E71" s="25">
        <v>61.064999999999998</v>
      </c>
      <c r="F71" s="25">
        <v>-149.797</v>
      </c>
      <c r="G71" s="7">
        <v>36.6</v>
      </c>
      <c r="I71" s="23" t="s">
        <v>704</v>
      </c>
      <c r="J71" s="23" t="s">
        <v>41</v>
      </c>
      <c r="K71" s="24">
        <v>44104</v>
      </c>
      <c r="L71" s="24"/>
      <c r="M71" s="24"/>
      <c r="N71" s="9">
        <v>-11.72</v>
      </c>
      <c r="O71" s="41">
        <v>-96.61</v>
      </c>
      <c r="P71" s="41">
        <f t="shared" si="0"/>
        <v>-2.8499999999999943</v>
      </c>
      <c r="Q71" s="7"/>
      <c r="R71" s="7"/>
      <c r="S71" s="7"/>
      <c r="T71" s="7"/>
    </row>
    <row r="74" spans="1:20" x14ac:dyDescent="0.35">
      <c r="M74" s="5" t="s">
        <v>705</v>
      </c>
      <c r="N74" s="7">
        <f>AVERAGE(N2:N71)</f>
        <v>-16.466854003680503</v>
      </c>
      <c r="O74" s="35">
        <f t="shared" ref="O74:P74" si="1">AVERAGE(O2:O71)</f>
        <v>-128.71269868754746</v>
      </c>
      <c r="P74" s="35">
        <f t="shared" si="1"/>
        <v>3.0221333418966543</v>
      </c>
    </row>
    <row r="75" spans="1:20" x14ac:dyDescent="0.35">
      <c r="M75" s="5" t="s">
        <v>706</v>
      </c>
      <c r="N75" s="7">
        <f>MIN(N2:N71)</f>
        <v>-26.921682144439529</v>
      </c>
      <c r="O75" s="35">
        <f t="shared" ref="O75:P75" si="2">MIN(O2:O71)</f>
        <v>-213.17</v>
      </c>
      <c r="P75" s="35">
        <f t="shared" si="2"/>
        <v>-16.489999999999981</v>
      </c>
    </row>
    <row r="76" spans="1:20" x14ac:dyDescent="0.35">
      <c r="M76" s="5" t="s">
        <v>707</v>
      </c>
      <c r="N76" s="7">
        <f>MAX(N2:N71)</f>
        <v>-6.5121249446167511</v>
      </c>
      <c r="O76" s="35">
        <f t="shared" ref="O76:P76" si="3">MAX(O2:O71)</f>
        <v>-48.387689861951216</v>
      </c>
      <c r="P76" s="35">
        <f t="shared" si="3"/>
        <v>28.236864872656099</v>
      </c>
    </row>
    <row r="77" spans="1:20" x14ac:dyDescent="0.35">
      <c r="M77" s="5" t="s">
        <v>708</v>
      </c>
      <c r="N77" s="5">
        <f>_xlfn.STDEV.P(N2:N71)</f>
        <v>4.7253907845473337</v>
      </c>
      <c r="O77" s="35">
        <f t="shared" ref="O77:P77" si="4">_xlfn.STDEV.P(O2:O71)</f>
        <v>35.692088675072782</v>
      </c>
      <c r="P77" s="35">
        <f t="shared" si="4"/>
        <v>8.5538717460090314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B1F3-2329-4F5C-8675-0DE97557045C}">
  <dimension ref="A1:T151"/>
  <sheetViews>
    <sheetView tabSelected="1" zoomScale="85" zoomScaleNormal="85" workbookViewId="0">
      <selection activeCell="K2" sqref="K2"/>
    </sheetView>
  </sheetViews>
  <sheetFormatPr defaultRowHeight="14.5" x14ac:dyDescent="0.35"/>
  <cols>
    <col min="1" max="1" width="8.81640625" style="13" customWidth="1"/>
    <col min="2" max="2" width="6.81640625" style="13" bestFit="1" customWidth="1"/>
    <col min="3" max="3" width="31.36328125" style="13" bestFit="1" customWidth="1"/>
    <col min="4" max="4" width="7.54296875" style="13" bestFit="1" customWidth="1"/>
    <col min="5" max="5" width="7.7265625" style="13" bestFit="1" customWidth="1"/>
    <col min="6" max="6" width="9.08984375" style="13" bestFit="1" customWidth="1"/>
    <col min="7" max="7" width="10.90625" style="13" bestFit="1" customWidth="1"/>
    <col min="8" max="8" width="10.54296875" style="13" bestFit="1" customWidth="1"/>
    <col min="9" max="9" width="17" style="13" bestFit="1" customWidth="1"/>
    <col min="10" max="10" width="12.26953125" style="13" bestFit="1" customWidth="1"/>
    <col min="11" max="11" width="11.54296875" style="33" bestFit="1" customWidth="1"/>
    <col min="12" max="12" width="13.54296875" style="13" bestFit="1" customWidth="1"/>
    <col min="13" max="13" width="12.08984375" style="13" bestFit="1" customWidth="1"/>
    <col min="14" max="14" width="22.81640625" style="13" bestFit="1" customWidth="1"/>
    <col min="15" max="15" width="21.36328125" style="13" bestFit="1" customWidth="1"/>
    <col min="16" max="16" width="8" style="29" bestFit="1" customWidth="1"/>
    <col min="17" max="17" width="24.08984375" style="13" bestFit="1" customWidth="1"/>
    <col min="18" max="18" width="18.36328125" style="13" bestFit="1" customWidth="1"/>
    <col min="19" max="19" width="14.81640625" style="13" bestFit="1" customWidth="1"/>
    <col min="20" max="20" width="8.453125" style="13" bestFit="1" customWidth="1"/>
    <col min="21" max="16384" width="8.7265625" style="13"/>
  </cols>
  <sheetData>
    <row r="1" spans="1:2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6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13" t="s">
        <v>20</v>
      </c>
      <c r="C2" s="13" t="s">
        <v>548</v>
      </c>
      <c r="D2" s="13" t="s">
        <v>468</v>
      </c>
      <c r="E2" s="13">
        <v>71.599999999999994</v>
      </c>
      <c r="F2" s="13">
        <v>128.9</v>
      </c>
      <c r="G2" s="13">
        <v>9</v>
      </c>
      <c r="I2" s="13" t="s">
        <v>910</v>
      </c>
      <c r="J2" s="13" t="s">
        <v>469</v>
      </c>
      <c r="K2" s="33">
        <v>43709</v>
      </c>
      <c r="N2" s="14">
        <v>-17.698328502616882</v>
      </c>
      <c r="O2" s="14">
        <v>-132.07272232818605</v>
      </c>
      <c r="P2" s="29">
        <f>O2-8*N2</f>
        <v>9.513905692749006</v>
      </c>
    </row>
    <row r="3" spans="1:20" x14ac:dyDescent="0.35">
      <c r="A3" s="13" t="s">
        <v>20</v>
      </c>
      <c r="C3" s="13" t="s">
        <v>548</v>
      </c>
      <c r="D3" s="13" t="s">
        <v>468</v>
      </c>
      <c r="E3" s="13">
        <v>71.599999999999994</v>
      </c>
      <c r="F3" s="13">
        <v>128.9</v>
      </c>
      <c r="G3" s="13">
        <v>9</v>
      </c>
      <c r="I3" s="13" t="s">
        <v>911</v>
      </c>
      <c r="J3" s="13" t="s">
        <v>469</v>
      </c>
      <c r="K3" s="33">
        <v>43710</v>
      </c>
      <c r="N3" s="14">
        <v>-18.581081381378176</v>
      </c>
      <c r="O3" s="14">
        <v>-136.52674549102784</v>
      </c>
      <c r="P3" s="29">
        <f>O3-8*N3</f>
        <v>12.121905559997572</v>
      </c>
    </row>
    <row r="4" spans="1:20" x14ac:dyDescent="0.35">
      <c r="A4" s="13" t="s">
        <v>20</v>
      </c>
      <c r="C4" s="13" t="s">
        <v>548</v>
      </c>
      <c r="D4" s="13" t="s">
        <v>468</v>
      </c>
      <c r="E4" s="13">
        <v>71.599999999999994</v>
      </c>
      <c r="F4" s="13">
        <v>128.9</v>
      </c>
      <c r="G4" s="13">
        <v>9</v>
      </c>
      <c r="I4" s="13" t="s">
        <v>912</v>
      </c>
      <c r="J4" s="13" t="s">
        <v>469</v>
      </c>
      <c r="K4" s="33">
        <v>43712</v>
      </c>
      <c r="M4" s="5"/>
      <c r="N4" s="14">
        <v>-15.424382097301482</v>
      </c>
      <c r="O4" s="14">
        <v>-113.15300865173339</v>
      </c>
      <c r="P4" s="29">
        <f>O4-8*N4</f>
        <v>10.242048126678469</v>
      </c>
    </row>
    <row r="5" spans="1:20" x14ac:dyDescent="0.35">
      <c r="A5" s="13" t="s">
        <v>20</v>
      </c>
      <c r="C5" s="13" t="s">
        <v>548</v>
      </c>
      <c r="D5" s="13" t="s">
        <v>468</v>
      </c>
      <c r="E5" s="13">
        <v>71.599999999999994</v>
      </c>
      <c r="F5" s="13">
        <v>128.9</v>
      </c>
      <c r="G5" s="13">
        <v>9</v>
      </c>
      <c r="I5" s="13" t="s">
        <v>913</v>
      </c>
      <c r="J5" s="13" t="s">
        <v>469</v>
      </c>
      <c r="K5" s="33">
        <v>43713</v>
      </c>
      <c r="M5" s="5"/>
      <c r="N5" s="14">
        <v>-16.723374297676088</v>
      </c>
      <c r="O5" s="14">
        <v>-119.23208457946777</v>
      </c>
      <c r="P5" s="29">
        <f>O5-8*N5</f>
        <v>14.554909801940937</v>
      </c>
    </row>
    <row r="6" spans="1:20" x14ac:dyDescent="0.35">
      <c r="A6" s="13" t="s">
        <v>20</v>
      </c>
      <c r="C6" s="13" t="s">
        <v>548</v>
      </c>
      <c r="D6" s="13" t="s">
        <v>468</v>
      </c>
      <c r="E6" s="13">
        <v>71.599999999999994</v>
      </c>
      <c r="F6" s="13">
        <v>128.9</v>
      </c>
      <c r="G6" s="13">
        <v>9</v>
      </c>
      <c r="I6" s="13" t="s">
        <v>914</v>
      </c>
      <c r="J6" s="13" t="s">
        <v>469</v>
      </c>
      <c r="K6" s="33">
        <v>43714</v>
      </c>
      <c r="M6" s="5"/>
      <c r="N6" s="14">
        <v>-18.809616291961671</v>
      </c>
      <c r="O6" s="14">
        <v>-137.53241864013671</v>
      </c>
      <c r="P6" s="29">
        <f>O6-8*N6</f>
        <v>12.944511695556656</v>
      </c>
    </row>
    <row r="7" spans="1:20" x14ac:dyDescent="0.35">
      <c r="A7" s="13" t="s">
        <v>20</v>
      </c>
      <c r="C7" s="13" t="s">
        <v>548</v>
      </c>
      <c r="D7" s="13" t="s">
        <v>468</v>
      </c>
      <c r="E7" s="13">
        <v>71.599999999999994</v>
      </c>
      <c r="F7" s="13">
        <v>128.9</v>
      </c>
      <c r="G7" s="13">
        <v>9</v>
      </c>
      <c r="I7" s="13" t="s">
        <v>915</v>
      </c>
      <c r="J7" s="13" t="s">
        <v>469</v>
      </c>
      <c r="K7" s="33">
        <v>43715</v>
      </c>
      <c r="M7" s="5"/>
      <c r="N7" s="14">
        <v>-18.907942668670053</v>
      </c>
      <c r="O7" s="14">
        <v>-138.52792408540401</v>
      </c>
      <c r="P7" s="29">
        <f>O7-8*N7</f>
        <v>12.735617263956414</v>
      </c>
    </row>
    <row r="8" spans="1:20" x14ac:dyDescent="0.35">
      <c r="A8" s="13" t="s">
        <v>20</v>
      </c>
      <c r="C8" s="13" t="s">
        <v>548</v>
      </c>
      <c r="D8" s="13" t="s">
        <v>468</v>
      </c>
      <c r="E8" s="13">
        <v>71.599999999999994</v>
      </c>
      <c r="F8" s="13">
        <v>128.9</v>
      </c>
      <c r="G8" s="13">
        <v>9</v>
      </c>
      <c r="I8" s="13" t="s">
        <v>916</v>
      </c>
      <c r="J8" s="13" t="s">
        <v>469</v>
      </c>
      <c r="K8" s="33">
        <v>43716</v>
      </c>
      <c r="N8" s="14">
        <v>-15.702484562750376</v>
      </c>
      <c r="O8" s="14">
        <v>-121.95010786727543</v>
      </c>
      <c r="P8" s="29">
        <f>O8-8*N8</f>
        <v>3.6697686347275749</v>
      </c>
    </row>
    <row r="9" spans="1:20" x14ac:dyDescent="0.35">
      <c r="A9" s="13" t="s">
        <v>20</v>
      </c>
      <c r="C9" s="13" t="s">
        <v>548</v>
      </c>
      <c r="D9" s="13" t="s">
        <v>468</v>
      </c>
      <c r="E9" s="13">
        <v>71.599999999999994</v>
      </c>
      <c r="F9" s="13">
        <v>128.9</v>
      </c>
      <c r="G9" s="13">
        <v>9</v>
      </c>
      <c r="I9" s="13" t="s">
        <v>917</v>
      </c>
      <c r="J9" s="13" t="s">
        <v>469</v>
      </c>
      <c r="K9" s="33">
        <v>43717</v>
      </c>
      <c r="N9" s="14">
        <v>-14.300366806734509</v>
      </c>
      <c r="O9" s="14">
        <v>-108.00572211442334</v>
      </c>
      <c r="P9" s="29">
        <f>O9-8*N9</f>
        <v>6.3972123394527358</v>
      </c>
    </row>
    <row r="10" spans="1:20" x14ac:dyDescent="0.35">
      <c r="A10" s="13" t="s">
        <v>20</v>
      </c>
      <c r="C10" s="13" t="s">
        <v>548</v>
      </c>
      <c r="D10" s="13" t="s">
        <v>468</v>
      </c>
      <c r="E10" s="13">
        <v>71.599999999999994</v>
      </c>
      <c r="F10" s="13">
        <v>128.9</v>
      </c>
      <c r="G10" s="13">
        <v>9</v>
      </c>
      <c r="I10" s="13" t="s">
        <v>918</v>
      </c>
      <c r="J10" s="13" t="s">
        <v>469</v>
      </c>
      <c r="K10" s="33">
        <v>43720</v>
      </c>
      <c r="N10" s="14">
        <v>-14.323929318465266</v>
      </c>
      <c r="O10" s="14">
        <v>-108.03134099387044</v>
      </c>
      <c r="P10" s="29">
        <f>O10-8*N10</f>
        <v>6.5600935538516865</v>
      </c>
    </row>
    <row r="11" spans="1:20" x14ac:dyDescent="0.35">
      <c r="A11" s="13" t="s">
        <v>20</v>
      </c>
      <c r="C11" s="13" t="s">
        <v>548</v>
      </c>
      <c r="D11" s="13" t="s">
        <v>468</v>
      </c>
      <c r="E11" s="13">
        <v>71.599999999999994</v>
      </c>
      <c r="F11" s="13">
        <v>128.9</v>
      </c>
      <c r="G11" s="13">
        <v>9</v>
      </c>
      <c r="I11" s="13" t="s">
        <v>919</v>
      </c>
      <c r="J11" s="13" t="s">
        <v>469</v>
      </c>
      <c r="K11" s="33">
        <v>43722</v>
      </c>
      <c r="N11" s="14">
        <v>-16.767019522038723</v>
      </c>
      <c r="O11" s="14">
        <v>-124.84539703195844</v>
      </c>
      <c r="P11" s="29">
        <f>O11-8*N11</f>
        <v>9.2907591443513411</v>
      </c>
    </row>
    <row r="12" spans="1:20" x14ac:dyDescent="0.35">
      <c r="A12" s="13" t="s">
        <v>20</v>
      </c>
      <c r="C12" s="13" t="s">
        <v>548</v>
      </c>
      <c r="D12" s="13" t="s">
        <v>468</v>
      </c>
      <c r="E12" s="13">
        <v>71.599999999999994</v>
      </c>
      <c r="F12" s="13">
        <v>128.9</v>
      </c>
      <c r="G12" s="13">
        <v>9</v>
      </c>
      <c r="I12" s="13" t="s">
        <v>920</v>
      </c>
      <c r="J12" s="13" t="s">
        <v>469</v>
      </c>
      <c r="K12" s="33">
        <v>43723</v>
      </c>
      <c r="N12" s="14">
        <v>-15.726257109910881</v>
      </c>
      <c r="O12" s="14">
        <v>-118.50304531375541</v>
      </c>
      <c r="P12" s="29">
        <f>O12-8*N12</f>
        <v>7.3070115655316386</v>
      </c>
    </row>
    <row r="13" spans="1:20" x14ac:dyDescent="0.35">
      <c r="A13" s="13" t="s">
        <v>20</v>
      </c>
      <c r="C13" s="13" t="s">
        <v>548</v>
      </c>
      <c r="D13" s="13" t="s">
        <v>468</v>
      </c>
      <c r="E13" s="13">
        <v>71.599999999999994</v>
      </c>
      <c r="F13" s="13">
        <v>128.9</v>
      </c>
      <c r="G13" s="13">
        <v>9</v>
      </c>
      <c r="I13" s="13" t="s">
        <v>921</v>
      </c>
      <c r="J13" s="13" t="s">
        <v>469</v>
      </c>
      <c r="K13" s="33">
        <v>43724</v>
      </c>
      <c r="N13" s="14">
        <v>-18.276294078029846</v>
      </c>
      <c r="O13" s="14">
        <v>-137.77910862828762</v>
      </c>
      <c r="P13" s="29">
        <f>O13-8*N13</f>
        <v>8.4312439959511494</v>
      </c>
    </row>
    <row r="14" spans="1:20" x14ac:dyDescent="0.35">
      <c r="A14" s="13" t="s">
        <v>20</v>
      </c>
      <c r="C14" s="13" t="s">
        <v>548</v>
      </c>
      <c r="D14" s="13" t="s">
        <v>468</v>
      </c>
      <c r="E14" s="13">
        <v>71.599999999999994</v>
      </c>
      <c r="F14" s="13">
        <v>128.9</v>
      </c>
      <c r="G14" s="13">
        <v>9</v>
      </c>
      <c r="I14" s="13" t="s">
        <v>922</v>
      </c>
      <c r="J14" s="13" t="s">
        <v>469</v>
      </c>
      <c r="K14" s="33">
        <v>43725</v>
      </c>
      <c r="N14" s="14">
        <v>-15.663257751937508</v>
      </c>
      <c r="O14" s="14">
        <v>-118.2783529819062</v>
      </c>
      <c r="P14" s="29">
        <f>O14-8*N14</f>
        <v>7.0277090335938652</v>
      </c>
    </row>
    <row r="15" spans="1:20" x14ac:dyDescent="0.35">
      <c r="A15" s="13" t="s">
        <v>20</v>
      </c>
      <c r="C15" s="13" t="s">
        <v>548</v>
      </c>
      <c r="D15" s="13" t="s">
        <v>468</v>
      </c>
      <c r="E15" s="13">
        <v>71.599999999999994</v>
      </c>
      <c r="F15" s="13">
        <v>128.9</v>
      </c>
      <c r="G15" s="13">
        <v>9</v>
      </c>
      <c r="I15" s="13" t="s">
        <v>923</v>
      </c>
      <c r="J15" s="13" t="s">
        <v>469</v>
      </c>
      <c r="K15" s="33">
        <v>43726</v>
      </c>
      <c r="N15" s="14">
        <v>-16.154590372533338</v>
      </c>
      <c r="O15" s="14">
        <v>-119.46872671124949</v>
      </c>
      <c r="P15" s="29">
        <f>O15-8*N15</f>
        <v>9.7679962690172175</v>
      </c>
    </row>
    <row r="16" spans="1:20" x14ac:dyDescent="0.35">
      <c r="A16" s="13" t="s">
        <v>20</v>
      </c>
      <c r="C16" s="13" t="s">
        <v>548</v>
      </c>
      <c r="D16" s="13" t="s">
        <v>468</v>
      </c>
      <c r="E16" s="13">
        <v>71.599999999999994</v>
      </c>
      <c r="F16" s="13">
        <v>128.9</v>
      </c>
      <c r="G16" s="13">
        <v>9</v>
      </c>
      <c r="I16" s="13" t="s">
        <v>924</v>
      </c>
      <c r="J16" s="13" t="s">
        <v>469</v>
      </c>
      <c r="K16" s="33">
        <v>43730</v>
      </c>
      <c r="N16" s="14">
        <v>-22.011979988880515</v>
      </c>
      <c r="O16" s="14">
        <v>-163.58183610571189</v>
      </c>
      <c r="P16" s="29">
        <f>O16-8*N16</f>
        <v>12.514003805332237</v>
      </c>
    </row>
    <row r="17" spans="1:16" x14ac:dyDescent="0.35">
      <c r="A17" s="13" t="s">
        <v>20</v>
      </c>
      <c r="C17" s="13" t="s">
        <v>548</v>
      </c>
      <c r="D17" s="13" t="s">
        <v>468</v>
      </c>
      <c r="E17" s="13">
        <v>71.599999999999994</v>
      </c>
      <c r="F17" s="13">
        <v>128.9</v>
      </c>
      <c r="G17" s="13">
        <v>9</v>
      </c>
      <c r="I17" s="13" t="s">
        <v>925</v>
      </c>
      <c r="J17" s="13" t="s">
        <v>469</v>
      </c>
      <c r="K17" s="33">
        <v>43731</v>
      </c>
      <c r="N17" s="14">
        <v>-21.975036372020526</v>
      </c>
      <c r="O17" s="14">
        <v>-163.50963841097536</v>
      </c>
      <c r="P17" s="29">
        <f>O17-8*N17</f>
        <v>12.29065256518885</v>
      </c>
    </row>
    <row r="18" spans="1:16" x14ac:dyDescent="0.35">
      <c r="A18" s="13" t="s">
        <v>20</v>
      </c>
      <c r="C18" s="13" t="s">
        <v>548</v>
      </c>
      <c r="D18" s="13" t="s">
        <v>468</v>
      </c>
      <c r="E18" s="13">
        <v>71.599999999999994</v>
      </c>
      <c r="F18" s="13">
        <v>128.9</v>
      </c>
      <c r="G18" s="13">
        <v>9</v>
      </c>
      <c r="I18" s="13" t="s">
        <v>926</v>
      </c>
      <c r="J18" s="13" t="s">
        <v>469</v>
      </c>
      <c r="K18" s="33">
        <v>43733</v>
      </c>
      <c r="N18" s="14">
        <v>-19.951002926112505</v>
      </c>
      <c r="O18" s="14">
        <v>-147.09402746434526</v>
      </c>
      <c r="P18" s="29">
        <f>O18-8*N18</f>
        <v>12.513995944554779</v>
      </c>
    </row>
    <row r="19" spans="1:16" x14ac:dyDescent="0.35">
      <c r="A19" s="13" t="s">
        <v>20</v>
      </c>
      <c r="C19" s="13" t="s">
        <v>548</v>
      </c>
      <c r="D19" s="13" t="s">
        <v>468</v>
      </c>
      <c r="E19" s="13">
        <v>71.599999999999994</v>
      </c>
      <c r="F19" s="13">
        <v>128.9</v>
      </c>
      <c r="G19" s="13">
        <v>9</v>
      </c>
      <c r="I19" s="13" t="s">
        <v>927</v>
      </c>
      <c r="J19" s="13" t="s">
        <v>469</v>
      </c>
      <c r="K19" s="33">
        <v>43734</v>
      </c>
      <c r="N19" s="14">
        <v>-20.816944501955387</v>
      </c>
      <c r="O19" s="14">
        <v>-154.0881390200054</v>
      </c>
      <c r="P19" s="29">
        <f>O19-8*N19</f>
        <v>12.447416995637695</v>
      </c>
    </row>
    <row r="20" spans="1:16" x14ac:dyDescent="0.35">
      <c r="A20" s="13" t="s">
        <v>20</v>
      </c>
      <c r="C20" s="13" t="s">
        <v>548</v>
      </c>
      <c r="D20" s="13" t="s">
        <v>468</v>
      </c>
      <c r="E20" s="13">
        <v>71.599999999999994</v>
      </c>
      <c r="F20" s="13">
        <v>128.9</v>
      </c>
      <c r="G20" s="13">
        <v>9</v>
      </c>
      <c r="I20" s="13" t="s">
        <v>928</v>
      </c>
      <c r="J20" s="13" t="s">
        <v>469</v>
      </c>
      <c r="K20" s="33">
        <v>43739</v>
      </c>
      <c r="N20" s="14">
        <v>-20.963125563829689</v>
      </c>
      <c r="O20" s="14">
        <v>-166.70611910079219</v>
      </c>
      <c r="P20" s="29">
        <f>O20-8*N20</f>
        <v>0.9988854098453146</v>
      </c>
    </row>
    <row r="21" spans="1:16" x14ac:dyDescent="0.35">
      <c r="A21" s="13" t="s">
        <v>20</v>
      </c>
      <c r="C21" s="13" t="s">
        <v>548</v>
      </c>
      <c r="D21" s="13" t="s">
        <v>468</v>
      </c>
      <c r="E21" s="13">
        <v>71.599999999999994</v>
      </c>
      <c r="F21" s="13">
        <v>128.9</v>
      </c>
      <c r="G21" s="13">
        <v>9</v>
      </c>
      <c r="I21" s="13" t="s">
        <v>929</v>
      </c>
      <c r="J21" s="13" t="s">
        <v>469</v>
      </c>
      <c r="K21" s="33">
        <v>43747</v>
      </c>
      <c r="N21" s="14">
        <v>-14.72896547165098</v>
      </c>
      <c r="O21" s="14">
        <v>-105.73612197225101</v>
      </c>
      <c r="P21" s="29">
        <f>O21-8*N21</f>
        <v>12.095601800956828</v>
      </c>
    </row>
    <row r="22" spans="1:16" x14ac:dyDescent="0.35">
      <c r="A22" s="13" t="s">
        <v>20</v>
      </c>
      <c r="C22" s="13" t="s">
        <v>548</v>
      </c>
      <c r="D22" s="13" t="s">
        <v>468</v>
      </c>
      <c r="E22" s="13">
        <v>71.599999999999994</v>
      </c>
      <c r="F22" s="13">
        <v>128.9</v>
      </c>
      <c r="G22" s="13">
        <v>9</v>
      </c>
      <c r="I22" s="13" t="s">
        <v>930</v>
      </c>
      <c r="J22" s="13" t="s">
        <v>469</v>
      </c>
      <c r="K22" s="33">
        <v>43748</v>
      </c>
      <c r="N22" s="14">
        <v>-14.619821788978578</v>
      </c>
      <c r="O22" s="14">
        <v>-106.20444764709472</v>
      </c>
      <c r="P22" s="29">
        <f>O22-8*N22</f>
        <v>10.754126664733903</v>
      </c>
    </row>
    <row r="23" spans="1:16" x14ac:dyDescent="0.35">
      <c r="A23" s="13" t="s">
        <v>20</v>
      </c>
      <c r="C23" s="13" t="s">
        <v>548</v>
      </c>
      <c r="D23" s="13" t="s">
        <v>468</v>
      </c>
      <c r="E23" s="13">
        <v>71.599999999999994</v>
      </c>
      <c r="F23" s="13">
        <v>128.9</v>
      </c>
      <c r="G23" s="13">
        <v>9</v>
      </c>
      <c r="I23" s="13" t="s">
        <v>931</v>
      </c>
      <c r="J23" s="13" t="s">
        <v>469</v>
      </c>
      <c r="K23" s="33">
        <v>43749</v>
      </c>
      <c r="N23" s="14">
        <v>-20.793942477416991</v>
      </c>
      <c r="O23" s="14">
        <v>-157.46117224121093</v>
      </c>
      <c r="P23" s="29">
        <f>O23-8*N23</f>
        <v>8.8903675781249945</v>
      </c>
    </row>
    <row r="24" spans="1:16" x14ac:dyDescent="0.35">
      <c r="A24" s="13" t="s">
        <v>20</v>
      </c>
      <c r="C24" s="13" t="s">
        <v>548</v>
      </c>
      <c r="D24" s="13" t="s">
        <v>468</v>
      </c>
      <c r="E24" s="13">
        <v>71.599999999999994</v>
      </c>
      <c r="F24" s="13">
        <v>128.9</v>
      </c>
      <c r="G24" s="13">
        <v>9</v>
      </c>
      <c r="I24" s="13" t="s">
        <v>932</v>
      </c>
      <c r="J24" s="13" t="s">
        <v>469</v>
      </c>
      <c r="K24" s="33">
        <v>43751</v>
      </c>
      <c r="N24" s="14">
        <v>-20.671169445419309</v>
      </c>
      <c r="O24" s="14">
        <v>-155.98029570007327</v>
      </c>
      <c r="P24" s="29">
        <f>O24-8*N24</f>
        <v>9.3890598632812043</v>
      </c>
    </row>
    <row r="25" spans="1:16" x14ac:dyDescent="0.35">
      <c r="A25" s="13" t="s">
        <v>20</v>
      </c>
      <c r="C25" s="13" t="s">
        <v>548</v>
      </c>
      <c r="D25" s="13" t="s">
        <v>468</v>
      </c>
      <c r="E25" s="13">
        <v>71.599999999999994</v>
      </c>
      <c r="F25" s="13">
        <v>128.9</v>
      </c>
      <c r="G25" s="13">
        <v>9</v>
      </c>
      <c r="I25" s="13" t="s">
        <v>933</v>
      </c>
      <c r="J25" s="13" t="s">
        <v>469</v>
      </c>
      <c r="K25" s="33">
        <v>43753</v>
      </c>
      <c r="N25" s="14">
        <v>-20.830693796539308</v>
      </c>
      <c r="O25" s="14">
        <v>-156.0201851348877</v>
      </c>
      <c r="P25" s="29">
        <f>O25-8*N25</f>
        <v>10.625365237426763</v>
      </c>
    </row>
    <row r="26" spans="1:16" x14ac:dyDescent="0.35">
      <c r="A26" s="13" t="s">
        <v>20</v>
      </c>
      <c r="C26" s="13" t="s">
        <v>548</v>
      </c>
      <c r="D26" s="13" t="s">
        <v>468</v>
      </c>
      <c r="E26" s="13">
        <v>71.599999999999994</v>
      </c>
      <c r="F26" s="13">
        <v>128.9</v>
      </c>
      <c r="G26" s="13">
        <v>9</v>
      </c>
      <c r="I26" s="13" t="s">
        <v>934</v>
      </c>
      <c r="J26" s="13" t="s">
        <v>469</v>
      </c>
      <c r="K26" s="33">
        <v>43754</v>
      </c>
      <c r="N26" s="14">
        <v>-20.881322798919676</v>
      </c>
      <c r="O26" s="14">
        <v>-156.37313565063477</v>
      </c>
      <c r="P26" s="29">
        <f>O26-8*N26</f>
        <v>10.677446740722644</v>
      </c>
    </row>
    <row r="27" spans="1:16" x14ac:dyDescent="0.35">
      <c r="A27" s="13" t="s">
        <v>20</v>
      </c>
      <c r="C27" s="13" t="s">
        <v>548</v>
      </c>
      <c r="D27" s="13" t="s">
        <v>468</v>
      </c>
      <c r="E27" s="13">
        <v>71.599999999999994</v>
      </c>
      <c r="F27" s="13">
        <v>128.9</v>
      </c>
      <c r="G27" s="13">
        <v>9</v>
      </c>
      <c r="I27" s="13" t="s">
        <v>935</v>
      </c>
      <c r="J27" s="13" t="s">
        <v>469</v>
      </c>
      <c r="K27" s="33">
        <v>43758</v>
      </c>
      <c r="N27" s="14">
        <v>-21.035120486450197</v>
      </c>
      <c r="O27" s="14">
        <v>-153.75576750946044</v>
      </c>
      <c r="P27" s="29">
        <f>O27-8*N27</f>
        <v>14.525196382141132</v>
      </c>
    </row>
    <row r="28" spans="1:16" x14ac:dyDescent="0.35">
      <c r="A28" s="13" t="s">
        <v>20</v>
      </c>
      <c r="C28" s="13" t="s">
        <v>548</v>
      </c>
      <c r="D28" s="13" t="s">
        <v>468</v>
      </c>
      <c r="E28" s="13">
        <v>71.599999999999994</v>
      </c>
      <c r="F28" s="13">
        <v>128.9</v>
      </c>
      <c r="G28" s="13">
        <v>9</v>
      </c>
      <c r="I28" s="13" t="s">
        <v>936</v>
      </c>
      <c r="J28" s="13" t="s">
        <v>469</v>
      </c>
      <c r="K28" s="33">
        <v>43766</v>
      </c>
      <c r="N28" s="14">
        <v>-24.660604989242554</v>
      </c>
      <c r="O28" s="14">
        <v>-172.78016558837891</v>
      </c>
      <c r="P28" s="29">
        <f>O28-8*N28</f>
        <v>24.504674325561524</v>
      </c>
    </row>
    <row r="29" spans="1:16" x14ac:dyDescent="0.35">
      <c r="A29" s="13" t="s">
        <v>20</v>
      </c>
      <c r="C29" s="13" t="s">
        <v>548</v>
      </c>
      <c r="D29" s="13" t="s">
        <v>468</v>
      </c>
      <c r="E29" s="13">
        <v>71.599999999999994</v>
      </c>
      <c r="F29" s="13">
        <v>128.9</v>
      </c>
      <c r="G29" s="13">
        <v>9</v>
      </c>
      <c r="I29" s="13" t="s">
        <v>937</v>
      </c>
      <c r="J29" s="13" t="s">
        <v>469</v>
      </c>
      <c r="K29" s="33">
        <v>43767</v>
      </c>
      <c r="N29" s="14">
        <v>-37.57491611938476</v>
      </c>
      <c r="O29" s="14">
        <v>-286.17234042358393</v>
      </c>
      <c r="P29" s="29">
        <f>O29-8*N29</f>
        <v>14.426988531494146</v>
      </c>
    </row>
    <row r="30" spans="1:16" x14ac:dyDescent="0.35">
      <c r="A30" s="13" t="s">
        <v>20</v>
      </c>
      <c r="C30" s="13" t="s">
        <v>548</v>
      </c>
      <c r="D30" s="13" t="s">
        <v>468</v>
      </c>
      <c r="E30" s="13">
        <v>71.599999999999994</v>
      </c>
      <c r="F30" s="13">
        <v>128.9</v>
      </c>
      <c r="G30" s="13">
        <v>9</v>
      </c>
      <c r="I30" s="13" t="s">
        <v>938</v>
      </c>
      <c r="J30" s="13" t="s">
        <v>469</v>
      </c>
      <c r="K30" s="33">
        <v>43768</v>
      </c>
      <c r="N30" s="14">
        <v>-37.251240195465087</v>
      </c>
      <c r="O30" s="14">
        <v>-277.60873567199707</v>
      </c>
      <c r="P30" s="29">
        <f>O30-8*N30</f>
        <v>20.401185891723628</v>
      </c>
    </row>
    <row r="31" spans="1:16" x14ac:dyDescent="0.35">
      <c r="A31" s="13" t="s">
        <v>20</v>
      </c>
      <c r="C31" s="13" t="s">
        <v>548</v>
      </c>
      <c r="D31" s="13" t="s">
        <v>468</v>
      </c>
      <c r="E31" s="13">
        <v>71.599999999999994</v>
      </c>
      <c r="F31" s="13">
        <v>128.9</v>
      </c>
      <c r="G31" s="13">
        <v>9</v>
      </c>
      <c r="I31" s="13" t="s">
        <v>939</v>
      </c>
      <c r="J31" s="13" t="s">
        <v>469</v>
      </c>
      <c r="K31" s="33">
        <v>43769</v>
      </c>
      <c r="N31" s="14">
        <v>-37.255606925201413</v>
      </c>
      <c r="O31" s="14">
        <v>-277.40889500427244</v>
      </c>
      <c r="P31" s="29">
        <f>O31-8*N31</f>
        <v>20.635960397338863</v>
      </c>
    </row>
    <row r="32" spans="1:16" x14ac:dyDescent="0.35">
      <c r="A32" s="13" t="s">
        <v>20</v>
      </c>
      <c r="C32" s="13" t="s">
        <v>548</v>
      </c>
      <c r="D32" s="13" t="s">
        <v>468</v>
      </c>
      <c r="E32" s="13">
        <v>71.599999999999994</v>
      </c>
      <c r="F32" s="13">
        <v>128.9</v>
      </c>
      <c r="G32" s="13">
        <v>9</v>
      </c>
      <c r="I32" s="13" t="s">
        <v>940</v>
      </c>
      <c r="J32" s="13" t="s">
        <v>469</v>
      </c>
      <c r="K32" s="33">
        <v>43770</v>
      </c>
      <c r="N32" s="14">
        <v>-29.006713771057129</v>
      </c>
      <c r="O32" s="14">
        <v>-218.58734613800047</v>
      </c>
      <c r="P32" s="29">
        <f>O32-8*N32</f>
        <v>13.46636403045656</v>
      </c>
    </row>
    <row r="33" spans="1:16" x14ac:dyDescent="0.35">
      <c r="A33" s="13" t="s">
        <v>20</v>
      </c>
      <c r="C33" s="13" t="s">
        <v>548</v>
      </c>
      <c r="D33" s="13" t="s">
        <v>468</v>
      </c>
      <c r="E33" s="13">
        <v>71.599999999999994</v>
      </c>
      <c r="F33" s="13">
        <v>128.9</v>
      </c>
      <c r="G33" s="13">
        <v>9</v>
      </c>
      <c r="I33" s="13" t="s">
        <v>941</v>
      </c>
      <c r="J33" s="13" t="s">
        <v>469</v>
      </c>
      <c r="K33" s="33">
        <v>43772</v>
      </c>
      <c r="N33" s="14">
        <v>-28.972114930343629</v>
      </c>
      <c r="O33" s="14">
        <v>-217.6752956390381</v>
      </c>
      <c r="P33" s="29">
        <f>O33-8*N33</f>
        <v>14.101623803710936</v>
      </c>
    </row>
    <row r="34" spans="1:16" x14ac:dyDescent="0.35">
      <c r="A34" s="13" t="s">
        <v>20</v>
      </c>
      <c r="C34" s="13" t="s">
        <v>548</v>
      </c>
      <c r="D34" s="13" t="s">
        <v>468</v>
      </c>
      <c r="E34" s="13">
        <v>71.599999999999994</v>
      </c>
      <c r="F34" s="13">
        <v>128.9</v>
      </c>
      <c r="G34" s="13">
        <v>9</v>
      </c>
      <c r="I34" s="13" t="s">
        <v>942</v>
      </c>
      <c r="J34" s="13" t="s">
        <v>469</v>
      </c>
      <c r="K34" s="33">
        <v>43775</v>
      </c>
      <c r="N34" s="14">
        <v>-28.279061167716982</v>
      </c>
      <c r="O34" s="14">
        <v>-208.57653465270994</v>
      </c>
      <c r="P34" s="29">
        <f>O34-8*N34</f>
        <v>17.655954689025918</v>
      </c>
    </row>
    <row r="35" spans="1:16" x14ac:dyDescent="0.35">
      <c r="A35" s="13" t="s">
        <v>20</v>
      </c>
      <c r="C35" s="13" t="s">
        <v>548</v>
      </c>
      <c r="D35" s="13" t="s">
        <v>468</v>
      </c>
      <c r="E35" s="13">
        <v>71.599999999999994</v>
      </c>
      <c r="F35" s="13">
        <v>128.9</v>
      </c>
      <c r="G35" s="13">
        <v>9</v>
      </c>
      <c r="I35" s="13" t="s">
        <v>943</v>
      </c>
      <c r="J35" s="13" t="s">
        <v>469</v>
      </c>
      <c r="K35" s="33">
        <v>43776</v>
      </c>
      <c r="N35" s="14">
        <v>-25.522445668029786</v>
      </c>
      <c r="O35" s="14">
        <v>-186.44782653808593</v>
      </c>
      <c r="P35" s="29">
        <f>O35-8*N35</f>
        <v>17.73173880615235</v>
      </c>
    </row>
    <row r="36" spans="1:16" x14ac:dyDescent="0.35">
      <c r="A36" s="13" t="s">
        <v>20</v>
      </c>
      <c r="C36" s="13" t="s">
        <v>548</v>
      </c>
      <c r="D36" s="13" t="s">
        <v>468</v>
      </c>
      <c r="E36" s="13">
        <v>71.599999999999994</v>
      </c>
      <c r="F36" s="13">
        <v>128.9</v>
      </c>
      <c r="G36" s="13">
        <v>9</v>
      </c>
      <c r="I36" s="13" t="s">
        <v>944</v>
      </c>
      <c r="J36" s="13" t="s">
        <v>469</v>
      </c>
      <c r="K36" s="33">
        <v>43780</v>
      </c>
      <c r="N36" s="14">
        <v>-29.396245410156247</v>
      </c>
      <c r="O36" s="14">
        <v>-221.08156277465821</v>
      </c>
      <c r="P36" s="29">
        <f>O36-8*N36</f>
        <v>14.088400506591768</v>
      </c>
    </row>
    <row r="37" spans="1:16" x14ac:dyDescent="0.35">
      <c r="A37" s="13" t="s">
        <v>20</v>
      </c>
      <c r="C37" s="13" t="s">
        <v>548</v>
      </c>
      <c r="D37" s="13" t="s">
        <v>468</v>
      </c>
      <c r="E37" s="13">
        <v>71.599999999999994</v>
      </c>
      <c r="F37" s="13">
        <v>128.9</v>
      </c>
      <c r="G37" s="13">
        <v>9</v>
      </c>
      <c r="I37" s="13" t="s">
        <v>945</v>
      </c>
      <c r="J37" s="13" t="s">
        <v>469</v>
      </c>
      <c r="K37" s="33">
        <v>43781</v>
      </c>
      <c r="N37" s="14">
        <v>-29.405455475234987</v>
      </c>
      <c r="O37" s="14">
        <v>-221.67990180969238</v>
      </c>
      <c r="P37" s="29">
        <f>O37-8*N37</f>
        <v>13.563741992187516</v>
      </c>
    </row>
    <row r="38" spans="1:16" x14ac:dyDescent="0.35">
      <c r="A38" s="13" t="s">
        <v>20</v>
      </c>
      <c r="C38" s="13" t="s">
        <v>548</v>
      </c>
      <c r="D38" s="13" t="s">
        <v>468</v>
      </c>
      <c r="E38" s="13">
        <v>71.599999999999994</v>
      </c>
      <c r="F38" s="13">
        <v>128.9</v>
      </c>
      <c r="G38" s="13">
        <v>9</v>
      </c>
      <c r="I38" s="13" t="s">
        <v>946</v>
      </c>
      <c r="J38" s="13" t="s">
        <v>469</v>
      </c>
      <c r="K38" s="33">
        <v>43782</v>
      </c>
      <c r="N38" s="14">
        <v>-29.425930394554136</v>
      </c>
      <c r="O38" s="14">
        <v>-222.74194047546388</v>
      </c>
      <c r="P38" s="29">
        <f>O38-8*N38</f>
        <v>12.665502680969212</v>
      </c>
    </row>
    <row r="39" spans="1:16" x14ac:dyDescent="0.35">
      <c r="A39" s="13" t="s">
        <v>20</v>
      </c>
      <c r="C39" s="13" t="s">
        <v>548</v>
      </c>
      <c r="D39" s="13" t="s">
        <v>468</v>
      </c>
      <c r="E39" s="13">
        <v>71.599999999999994</v>
      </c>
      <c r="F39" s="13">
        <v>128.9</v>
      </c>
      <c r="G39" s="13">
        <v>9</v>
      </c>
      <c r="I39" s="13" t="s">
        <v>947</v>
      </c>
      <c r="J39" s="13" t="s">
        <v>469</v>
      </c>
      <c r="K39" s="33">
        <v>43786</v>
      </c>
      <c r="N39" s="14">
        <v>-26.121818990135193</v>
      </c>
      <c r="O39" s="14">
        <v>-201.85542541503906</v>
      </c>
      <c r="P39" s="29">
        <f>O39-8*N39</f>
        <v>7.1191265060424769</v>
      </c>
    </row>
    <row r="40" spans="1:16" x14ac:dyDescent="0.35">
      <c r="A40" s="13" t="s">
        <v>20</v>
      </c>
      <c r="C40" s="13" t="s">
        <v>548</v>
      </c>
      <c r="D40" s="13" t="s">
        <v>468</v>
      </c>
      <c r="E40" s="13">
        <v>71.599999999999994</v>
      </c>
      <c r="F40" s="13">
        <v>128.9</v>
      </c>
      <c r="G40" s="13">
        <v>9</v>
      </c>
      <c r="I40" s="13" t="s">
        <v>948</v>
      </c>
      <c r="J40" s="13" t="s">
        <v>469</v>
      </c>
      <c r="K40" s="33">
        <v>43787</v>
      </c>
      <c r="N40" s="14">
        <v>-30.515085396194458</v>
      </c>
      <c r="O40" s="14">
        <v>-234.60270645904541</v>
      </c>
      <c r="P40" s="29">
        <f>O40-8*N40</f>
        <v>9.5179767105102542</v>
      </c>
    </row>
    <row r="41" spans="1:16" x14ac:dyDescent="0.35">
      <c r="A41" s="13" t="s">
        <v>20</v>
      </c>
      <c r="C41" s="13" t="s">
        <v>548</v>
      </c>
      <c r="D41" s="13" t="s">
        <v>468</v>
      </c>
      <c r="E41" s="13">
        <v>71.599999999999994</v>
      </c>
      <c r="F41" s="13">
        <v>128.9</v>
      </c>
      <c r="G41" s="13">
        <v>9</v>
      </c>
      <c r="I41" s="13" t="s">
        <v>949</v>
      </c>
      <c r="J41" s="13" t="s">
        <v>469</v>
      </c>
      <c r="K41" s="33">
        <v>43795</v>
      </c>
      <c r="N41" s="14">
        <v>-27.199974831962585</v>
      </c>
      <c r="O41" s="14">
        <v>-211.87454576110838</v>
      </c>
      <c r="P41" s="29">
        <f>O41-8*N41</f>
        <v>5.7252528945923018</v>
      </c>
    </row>
    <row r="42" spans="1:16" x14ac:dyDescent="0.35">
      <c r="A42" s="13" t="s">
        <v>20</v>
      </c>
      <c r="C42" s="13" t="s">
        <v>548</v>
      </c>
      <c r="D42" s="13" t="s">
        <v>468</v>
      </c>
      <c r="E42" s="13">
        <v>71.599999999999994</v>
      </c>
      <c r="F42" s="13">
        <v>128.9</v>
      </c>
      <c r="G42" s="13">
        <v>9</v>
      </c>
      <c r="I42" s="13" t="s">
        <v>950</v>
      </c>
      <c r="J42" s="13" t="s">
        <v>469</v>
      </c>
      <c r="K42" s="33">
        <v>43796</v>
      </c>
      <c r="N42" s="14">
        <v>-27.600219442749022</v>
      </c>
      <c r="O42" s="14">
        <v>-214.00520923614502</v>
      </c>
      <c r="P42" s="29">
        <f>O42-8*N42</f>
        <v>6.7965463058471585</v>
      </c>
    </row>
    <row r="43" spans="1:16" x14ac:dyDescent="0.35">
      <c r="A43" s="13" t="s">
        <v>20</v>
      </c>
      <c r="C43" s="13" t="s">
        <v>548</v>
      </c>
      <c r="D43" s="13" t="s">
        <v>468</v>
      </c>
      <c r="E43" s="13">
        <v>71.599999999999994</v>
      </c>
      <c r="F43" s="13">
        <v>128.9</v>
      </c>
      <c r="G43" s="13">
        <v>9</v>
      </c>
      <c r="I43" s="13" t="s">
        <v>951</v>
      </c>
      <c r="J43" s="13" t="s">
        <v>469</v>
      </c>
      <c r="K43" s="33">
        <v>43797</v>
      </c>
      <c r="N43" s="14">
        <v>-30.607415459060672</v>
      </c>
      <c r="O43" s="14">
        <v>-230.94401709747314</v>
      </c>
      <c r="P43" s="29">
        <f>O43-8*N43</f>
        <v>13.915306575012238</v>
      </c>
    </row>
    <row r="44" spans="1:16" x14ac:dyDescent="0.35">
      <c r="A44" s="13" t="s">
        <v>20</v>
      </c>
      <c r="C44" s="13" t="s">
        <v>548</v>
      </c>
      <c r="D44" s="13" t="s">
        <v>468</v>
      </c>
      <c r="E44" s="13">
        <v>71.599999999999994</v>
      </c>
      <c r="F44" s="13">
        <v>128.9</v>
      </c>
      <c r="G44" s="13">
        <v>9</v>
      </c>
      <c r="I44" s="13" t="s">
        <v>952</v>
      </c>
      <c r="J44" s="13" t="s">
        <v>469</v>
      </c>
      <c r="K44" s="33">
        <v>43798</v>
      </c>
      <c r="N44" s="14">
        <v>-38.440499750518796</v>
      </c>
      <c r="O44" s="14">
        <v>-294.82981230163574</v>
      </c>
      <c r="P44" s="29">
        <f>O44-8*N44</f>
        <v>12.694185702514631</v>
      </c>
    </row>
    <row r="45" spans="1:16" x14ac:dyDescent="0.35">
      <c r="A45" s="13" t="s">
        <v>20</v>
      </c>
      <c r="C45" s="13" t="s">
        <v>548</v>
      </c>
      <c r="D45" s="13" t="s">
        <v>468</v>
      </c>
      <c r="E45" s="13">
        <v>71.599999999999994</v>
      </c>
      <c r="F45" s="13">
        <v>128.9</v>
      </c>
      <c r="G45" s="13">
        <v>9</v>
      </c>
      <c r="I45" s="13" t="s">
        <v>953</v>
      </c>
      <c r="J45" s="13" t="s">
        <v>469</v>
      </c>
      <c r="K45" s="33">
        <v>43801</v>
      </c>
      <c r="N45" s="14">
        <v>-31.925006194496156</v>
      </c>
      <c r="O45" s="14">
        <v>-251.38457962036131</v>
      </c>
      <c r="P45" s="29">
        <f>O45-8*N45</f>
        <v>4.0154699356079391</v>
      </c>
    </row>
    <row r="46" spans="1:16" x14ac:dyDescent="0.35">
      <c r="A46" s="13" t="s">
        <v>20</v>
      </c>
      <c r="C46" s="13" t="s">
        <v>548</v>
      </c>
      <c r="D46" s="13" t="s">
        <v>468</v>
      </c>
      <c r="E46" s="13">
        <v>71.599999999999994</v>
      </c>
      <c r="F46" s="13">
        <v>128.9</v>
      </c>
      <c r="G46" s="13">
        <v>9</v>
      </c>
      <c r="I46" s="13" t="s">
        <v>954</v>
      </c>
      <c r="J46" s="13" t="s">
        <v>469</v>
      </c>
      <c r="K46" s="33">
        <v>43804</v>
      </c>
      <c r="N46" s="14">
        <v>-30.480635017776489</v>
      </c>
      <c r="O46" s="14">
        <v>-218.81075561523437</v>
      </c>
      <c r="P46" s="29">
        <f>O46-8*N46</f>
        <v>25.034324526977542</v>
      </c>
    </row>
    <row r="47" spans="1:16" x14ac:dyDescent="0.35">
      <c r="A47" s="13" t="s">
        <v>20</v>
      </c>
      <c r="C47" s="13" t="s">
        <v>548</v>
      </c>
      <c r="D47" s="13" t="s">
        <v>468</v>
      </c>
      <c r="E47" s="13">
        <v>71.599999999999994</v>
      </c>
      <c r="F47" s="13">
        <v>128.9</v>
      </c>
      <c r="G47" s="13">
        <v>9</v>
      </c>
      <c r="I47" s="13" t="s">
        <v>955</v>
      </c>
      <c r="J47" s="13" t="s">
        <v>469</v>
      </c>
      <c r="K47" s="33">
        <v>43805</v>
      </c>
      <c r="N47" s="14">
        <v>-30.539807544136046</v>
      </c>
      <c r="O47" s="14">
        <v>-218.01649848175049</v>
      </c>
      <c r="P47" s="29">
        <f>O47-8*N47</f>
        <v>26.30196187133788</v>
      </c>
    </row>
    <row r="48" spans="1:16" x14ac:dyDescent="0.35">
      <c r="A48" s="13" t="s">
        <v>20</v>
      </c>
      <c r="C48" s="13" t="s">
        <v>548</v>
      </c>
      <c r="D48" s="13" t="s">
        <v>468</v>
      </c>
      <c r="E48" s="13">
        <v>71.599999999999994</v>
      </c>
      <c r="F48" s="13">
        <v>128.9</v>
      </c>
      <c r="G48" s="13">
        <v>9</v>
      </c>
      <c r="I48" s="13" t="s">
        <v>956</v>
      </c>
      <c r="J48" s="13" t="s">
        <v>469</v>
      </c>
      <c r="K48" s="33">
        <v>43809</v>
      </c>
      <c r="N48" s="14">
        <v>-43.392385330581668</v>
      </c>
      <c r="O48" s="14">
        <v>-333.01790167236328</v>
      </c>
      <c r="P48" s="29">
        <f>O48-8*N48</f>
        <v>14.121180972290063</v>
      </c>
    </row>
    <row r="49" spans="1:16" x14ac:dyDescent="0.35">
      <c r="A49" s="13" t="s">
        <v>20</v>
      </c>
      <c r="C49" s="13" t="s">
        <v>548</v>
      </c>
      <c r="D49" s="13" t="s">
        <v>468</v>
      </c>
      <c r="E49" s="13">
        <v>71.599999999999994</v>
      </c>
      <c r="F49" s="13">
        <v>128.9</v>
      </c>
      <c r="G49" s="13">
        <v>9</v>
      </c>
      <c r="I49" s="13" t="s">
        <v>957</v>
      </c>
      <c r="J49" s="13" t="s">
        <v>469</v>
      </c>
      <c r="K49" s="33">
        <v>43810</v>
      </c>
      <c r="N49" s="14">
        <v>-43.343404056930545</v>
      </c>
      <c r="O49" s="14">
        <v>-332.39346043395994</v>
      </c>
      <c r="P49" s="29">
        <f>O49-8*N49</f>
        <v>14.353772021484417</v>
      </c>
    </row>
    <row r="50" spans="1:16" x14ac:dyDescent="0.35">
      <c r="A50" s="13" t="s">
        <v>20</v>
      </c>
      <c r="C50" s="13" t="s">
        <v>548</v>
      </c>
      <c r="D50" s="13" t="s">
        <v>468</v>
      </c>
      <c r="E50" s="13">
        <v>71.599999999999994</v>
      </c>
      <c r="F50" s="13">
        <v>128.9</v>
      </c>
      <c r="G50" s="13">
        <v>9</v>
      </c>
      <c r="I50" s="13" t="s">
        <v>958</v>
      </c>
      <c r="J50" s="13" t="s">
        <v>469</v>
      </c>
      <c r="K50" s="33">
        <v>43816</v>
      </c>
      <c r="N50" s="14">
        <v>-36.313996790313723</v>
      </c>
      <c r="O50" s="14">
        <v>-281.36779446411128</v>
      </c>
      <c r="P50" s="29">
        <f>O50-8*N50</f>
        <v>9.1441798583985019</v>
      </c>
    </row>
    <row r="51" spans="1:16" x14ac:dyDescent="0.35">
      <c r="A51" s="13" t="s">
        <v>20</v>
      </c>
      <c r="C51" s="13" t="s">
        <v>548</v>
      </c>
      <c r="D51" s="13" t="s">
        <v>468</v>
      </c>
      <c r="E51" s="13">
        <v>71.599999999999994</v>
      </c>
      <c r="F51" s="13">
        <v>128.9</v>
      </c>
      <c r="G51" s="13">
        <v>9</v>
      </c>
      <c r="I51" s="13" t="s">
        <v>959</v>
      </c>
      <c r="J51" s="13" t="s">
        <v>469</v>
      </c>
      <c r="K51" s="33">
        <v>43817</v>
      </c>
      <c r="N51" s="14">
        <v>-34.17268626480103</v>
      </c>
      <c r="O51" s="14">
        <v>-257.94910733032225</v>
      </c>
      <c r="P51" s="29">
        <f>O51-8*N51</f>
        <v>15.432382788085988</v>
      </c>
    </row>
    <row r="52" spans="1:16" x14ac:dyDescent="0.35">
      <c r="A52" s="13" t="s">
        <v>20</v>
      </c>
      <c r="C52" s="13" t="s">
        <v>548</v>
      </c>
      <c r="D52" s="13" t="s">
        <v>468</v>
      </c>
      <c r="E52" s="13">
        <v>71.599999999999994</v>
      </c>
      <c r="F52" s="13">
        <v>128.9</v>
      </c>
      <c r="G52" s="13">
        <v>9</v>
      </c>
      <c r="I52" s="13" t="s">
        <v>960</v>
      </c>
      <c r="J52" s="13" t="s">
        <v>469</v>
      </c>
      <c r="K52" s="33">
        <v>43818</v>
      </c>
      <c r="N52" s="14">
        <v>-37.716994872283934</v>
      </c>
      <c r="O52" s="14">
        <v>-283.07483566284179</v>
      </c>
      <c r="P52" s="29">
        <f>O52-8*N52</f>
        <v>18.661123315429677</v>
      </c>
    </row>
    <row r="53" spans="1:16" x14ac:dyDescent="0.35">
      <c r="A53" s="13" t="s">
        <v>20</v>
      </c>
      <c r="C53" s="13" t="s">
        <v>548</v>
      </c>
      <c r="D53" s="13" t="s">
        <v>468</v>
      </c>
      <c r="E53" s="13">
        <v>71.599999999999994</v>
      </c>
      <c r="F53" s="13">
        <v>128.9</v>
      </c>
      <c r="G53" s="13">
        <v>9</v>
      </c>
      <c r="I53" s="13" t="s">
        <v>961</v>
      </c>
      <c r="J53" s="13" t="s">
        <v>469</v>
      </c>
      <c r="K53" s="33">
        <v>43819</v>
      </c>
      <c r="N53" s="14">
        <v>-29.813857945632936</v>
      </c>
      <c r="O53" s="14">
        <v>-217.37354172515867</v>
      </c>
      <c r="P53" s="29">
        <f>O53-8*N53</f>
        <v>21.137321839904814</v>
      </c>
    </row>
    <row r="54" spans="1:16" x14ac:dyDescent="0.35">
      <c r="A54" s="13" t="s">
        <v>20</v>
      </c>
      <c r="C54" s="13" t="s">
        <v>548</v>
      </c>
      <c r="D54" s="13" t="s">
        <v>468</v>
      </c>
      <c r="E54" s="13">
        <v>71.599999999999994</v>
      </c>
      <c r="F54" s="13">
        <v>128.9</v>
      </c>
      <c r="G54" s="13">
        <v>9</v>
      </c>
      <c r="I54" s="13" t="s">
        <v>962</v>
      </c>
      <c r="J54" s="13" t="s">
        <v>469</v>
      </c>
      <c r="K54" s="33">
        <v>43820</v>
      </c>
      <c r="N54" s="14">
        <v>-29.339696208190915</v>
      </c>
      <c r="O54" s="14">
        <v>-218.65498468017577</v>
      </c>
      <c r="P54" s="29">
        <f>O54-8*N54</f>
        <v>16.062584985351549</v>
      </c>
    </row>
    <row r="55" spans="1:16" x14ac:dyDescent="0.35">
      <c r="A55" s="13" t="s">
        <v>20</v>
      </c>
      <c r="C55" s="13" t="s">
        <v>548</v>
      </c>
      <c r="D55" s="13" t="s">
        <v>468</v>
      </c>
      <c r="E55" s="13">
        <v>71.599999999999994</v>
      </c>
      <c r="F55" s="13">
        <v>128.9</v>
      </c>
      <c r="G55" s="13">
        <v>9</v>
      </c>
      <c r="I55" s="13" t="s">
        <v>963</v>
      </c>
      <c r="J55" s="13" t="s">
        <v>469</v>
      </c>
      <c r="K55" s="33">
        <v>43822</v>
      </c>
      <c r="N55" s="14">
        <v>-39.249311137390137</v>
      </c>
      <c r="O55" s="14">
        <v>-303.63188786315914</v>
      </c>
      <c r="P55" s="29">
        <f>O55-8*N55</f>
        <v>10.362601235961961</v>
      </c>
    </row>
    <row r="56" spans="1:16" x14ac:dyDescent="0.35">
      <c r="A56" s="13" t="s">
        <v>20</v>
      </c>
      <c r="C56" s="13" t="s">
        <v>548</v>
      </c>
      <c r="D56" s="13" t="s">
        <v>468</v>
      </c>
      <c r="E56" s="13">
        <v>71.599999999999994</v>
      </c>
      <c r="F56" s="13">
        <v>128.9</v>
      </c>
      <c r="G56" s="13">
        <v>9</v>
      </c>
      <c r="I56" s="13" t="s">
        <v>964</v>
      </c>
      <c r="J56" s="13" t="s">
        <v>469</v>
      </c>
      <c r="K56" s="33">
        <v>43827</v>
      </c>
      <c r="N56" s="14">
        <v>-29.094751364898684</v>
      </c>
      <c r="O56" s="14">
        <v>-225.69317263793943</v>
      </c>
      <c r="P56" s="29">
        <f>O56-8*N56</f>
        <v>7.0648382812500472</v>
      </c>
    </row>
    <row r="57" spans="1:16" x14ac:dyDescent="0.35">
      <c r="A57" s="13" t="s">
        <v>20</v>
      </c>
      <c r="C57" s="13" t="s">
        <v>548</v>
      </c>
      <c r="D57" s="13" t="s">
        <v>468</v>
      </c>
      <c r="E57" s="13">
        <v>71.599999999999994</v>
      </c>
      <c r="F57" s="13">
        <v>128.9</v>
      </c>
      <c r="G57" s="13">
        <v>9</v>
      </c>
      <c r="I57" s="14" t="s">
        <v>709</v>
      </c>
      <c r="J57" s="13" t="s">
        <v>469</v>
      </c>
      <c r="K57" s="28">
        <v>43828</v>
      </c>
      <c r="N57" s="14">
        <v>-30.517434544754028</v>
      </c>
      <c r="O57" s="29">
        <v>-239.26885751342775</v>
      </c>
      <c r="P57" s="29">
        <f>O57-8*N57</f>
        <v>4.8706188446044791</v>
      </c>
    </row>
    <row r="58" spans="1:16" x14ac:dyDescent="0.35">
      <c r="A58" s="13" t="s">
        <v>20</v>
      </c>
      <c r="C58" s="13" t="s">
        <v>548</v>
      </c>
      <c r="D58" s="13" t="s">
        <v>468</v>
      </c>
      <c r="E58" s="13">
        <v>71.599999999999994</v>
      </c>
      <c r="F58" s="13">
        <v>128.9</v>
      </c>
      <c r="G58" s="13">
        <v>9</v>
      </c>
      <c r="I58" s="14" t="s">
        <v>709</v>
      </c>
      <c r="J58" s="13" t="s">
        <v>469</v>
      </c>
      <c r="K58" s="28">
        <v>43828</v>
      </c>
      <c r="N58" s="14">
        <v>-30.517434544754028</v>
      </c>
      <c r="O58" s="29">
        <v>-239.26885751342775</v>
      </c>
      <c r="P58" s="29">
        <f>O58-8*N58</f>
        <v>4.8706188446044791</v>
      </c>
    </row>
    <row r="59" spans="1:16" x14ac:dyDescent="0.35">
      <c r="A59" s="13" t="s">
        <v>20</v>
      </c>
      <c r="C59" s="13" t="s">
        <v>548</v>
      </c>
      <c r="D59" s="13" t="s">
        <v>468</v>
      </c>
      <c r="E59" s="13">
        <v>71.599999999999994</v>
      </c>
      <c r="F59" s="13">
        <v>128.9</v>
      </c>
      <c r="G59" s="13">
        <v>9</v>
      </c>
      <c r="I59" s="14" t="s">
        <v>710</v>
      </c>
      <c r="J59" s="13" t="s">
        <v>469</v>
      </c>
      <c r="K59" s="28">
        <v>43836</v>
      </c>
      <c r="N59" s="14">
        <v>-38.612451098251341</v>
      </c>
      <c r="O59" s="29">
        <v>-300.98828126525876</v>
      </c>
      <c r="P59" s="29">
        <f>O59-8*N59</f>
        <v>7.9113275207519678</v>
      </c>
    </row>
    <row r="60" spans="1:16" x14ac:dyDescent="0.35">
      <c r="A60" s="13" t="s">
        <v>20</v>
      </c>
      <c r="C60" s="13" t="s">
        <v>548</v>
      </c>
      <c r="D60" s="13" t="s">
        <v>468</v>
      </c>
      <c r="E60" s="13">
        <v>71.599999999999994</v>
      </c>
      <c r="F60" s="13">
        <v>128.9</v>
      </c>
      <c r="G60" s="13">
        <v>9</v>
      </c>
      <c r="I60" s="14" t="s">
        <v>711</v>
      </c>
      <c r="J60" s="13" t="s">
        <v>469</v>
      </c>
      <c r="K60" s="28">
        <v>43837</v>
      </c>
      <c r="N60" s="14">
        <v>-38.536279685211177</v>
      </c>
      <c r="O60" s="29">
        <v>-299.68389994812009</v>
      </c>
      <c r="P60" s="29">
        <f>O60-8*N60</f>
        <v>8.6063375335693308</v>
      </c>
    </row>
    <row r="61" spans="1:16" x14ac:dyDescent="0.35">
      <c r="A61" s="13" t="s">
        <v>20</v>
      </c>
      <c r="C61" s="13" t="s">
        <v>548</v>
      </c>
      <c r="D61" s="13" t="s">
        <v>468</v>
      </c>
      <c r="E61" s="13">
        <v>71.599999999999994</v>
      </c>
      <c r="F61" s="13">
        <v>128.9</v>
      </c>
      <c r="G61" s="13">
        <v>9</v>
      </c>
      <c r="I61" s="14" t="s">
        <v>712</v>
      </c>
      <c r="J61" s="13" t="s">
        <v>469</v>
      </c>
      <c r="K61" s="28">
        <v>43848</v>
      </c>
      <c r="N61" s="14">
        <v>-40.689743819427491</v>
      </c>
      <c r="O61" s="29">
        <v>-316.41785998535158</v>
      </c>
      <c r="P61" s="29">
        <f>O61-8*N61</f>
        <v>9.1000905700683461</v>
      </c>
    </row>
    <row r="62" spans="1:16" x14ac:dyDescent="0.35">
      <c r="A62" s="13" t="s">
        <v>20</v>
      </c>
      <c r="C62" s="13" t="s">
        <v>548</v>
      </c>
      <c r="D62" s="13" t="s">
        <v>468</v>
      </c>
      <c r="E62" s="13">
        <v>71.599999999999994</v>
      </c>
      <c r="F62" s="13">
        <v>128.9</v>
      </c>
      <c r="G62" s="13">
        <v>9</v>
      </c>
      <c r="I62" s="14" t="s">
        <v>713</v>
      </c>
      <c r="J62" s="13" t="s">
        <v>469</v>
      </c>
      <c r="K62" s="28">
        <v>43859</v>
      </c>
      <c r="N62" s="14">
        <v>-36.745745234680172</v>
      </c>
      <c r="O62" s="29">
        <v>-285.42609811401371</v>
      </c>
      <c r="P62" s="29">
        <f>O62-8*N62</f>
        <v>8.5398637634276611</v>
      </c>
    </row>
    <row r="63" spans="1:16" x14ac:dyDescent="0.35">
      <c r="A63" s="13" t="s">
        <v>20</v>
      </c>
      <c r="C63" s="13" t="s">
        <v>548</v>
      </c>
      <c r="D63" s="13" t="s">
        <v>468</v>
      </c>
      <c r="E63" s="13">
        <v>71.599999999999994</v>
      </c>
      <c r="F63" s="13">
        <v>128.9</v>
      </c>
      <c r="G63" s="13">
        <v>9</v>
      </c>
      <c r="I63" s="14" t="s">
        <v>714</v>
      </c>
      <c r="J63" s="13" t="s">
        <v>469</v>
      </c>
      <c r="K63" s="28">
        <v>43860</v>
      </c>
      <c r="N63" s="14">
        <v>-37.552044139099124</v>
      </c>
      <c r="O63" s="29">
        <v>-286.60214300537109</v>
      </c>
      <c r="P63" s="29">
        <f>O63-8*N63</f>
        <v>13.8142101074219</v>
      </c>
    </row>
    <row r="64" spans="1:16" x14ac:dyDescent="0.35">
      <c r="A64" s="13" t="s">
        <v>20</v>
      </c>
      <c r="C64" s="13" t="s">
        <v>548</v>
      </c>
      <c r="D64" s="13" t="s">
        <v>468</v>
      </c>
      <c r="E64" s="13">
        <v>71.599999999999994</v>
      </c>
      <c r="F64" s="13">
        <v>128.9</v>
      </c>
      <c r="G64" s="13">
        <v>9</v>
      </c>
      <c r="I64" s="14" t="s">
        <v>715</v>
      </c>
      <c r="J64" s="13" t="s">
        <v>469</v>
      </c>
      <c r="K64" s="28">
        <v>43861</v>
      </c>
      <c r="N64" s="14">
        <v>-39.344070960235598</v>
      </c>
      <c r="O64" s="29">
        <v>-303.07884161376955</v>
      </c>
      <c r="P64" s="29">
        <f>O64-8*N64</f>
        <v>11.673726068115229</v>
      </c>
    </row>
    <row r="65" spans="1:16" x14ac:dyDescent="0.35">
      <c r="A65" s="13" t="s">
        <v>20</v>
      </c>
      <c r="C65" s="13" t="s">
        <v>548</v>
      </c>
      <c r="D65" s="13" t="s">
        <v>468</v>
      </c>
      <c r="E65" s="13">
        <v>71.599999999999994</v>
      </c>
      <c r="F65" s="13">
        <v>128.9</v>
      </c>
      <c r="G65" s="13">
        <v>9</v>
      </c>
      <c r="I65" s="14" t="s">
        <v>716</v>
      </c>
      <c r="J65" s="13" t="s">
        <v>469</v>
      </c>
      <c r="K65" s="28">
        <v>43870</v>
      </c>
      <c r="N65" s="14">
        <v>-35.289056372833244</v>
      </c>
      <c r="O65" s="29">
        <v>-274.52122293090815</v>
      </c>
      <c r="P65" s="29">
        <f>O65-8*N65</f>
        <v>7.7912280517577983</v>
      </c>
    </row>
    <row r="66" spans="1:16" x14ac:dyDescent="0.35">
      <c r="A66" s="13" t="s">
        <v>20</v>
      </c>
      <c r="C66" s="13" t="s">
        <v>548</v>
      </c>
      <c r="D66" s="13" t="s">
        <v>468</v>
      </c>
      <c r="E66" s="13">
        <v>71.599999999999994</v>
      </c>
      <c r="F66" s="13">
        <v>128.9</v>
      </c>
      <c r="G66" s="13">
        <v>9</v>
      </c>
      <c r="I66" s="14" t="s">
        <v>717</v>
      </c>
      <c r="J66" s="13" t="s">
        <v>469</v>
      </c>
      <c r="K66" s="28">
        <v>43875</v>
      </c>
      <c r="N66" s="14">
        <v>-26.138209105682375</v>
      </c>
      <c r="O66" s="29">
        <v>-199.37576908111572</v>
      </c>
      <c r="P66" s="29">
        <f>O66-8*N66</f>
        <v>9.7299037643432769</v>
      </c>
    </row>
    <row r="67" spans="1:16" x14ac:dyDescent="0.35">
      <c r="A67" s="13" t="s">
        <v>20</v>
      </c>
      <c r="C67" s="13" t="s">
        <v>548</v>
      </c>
      <c r="D67" s="13" t="s">
        <v>468</v>
      </c>
      <c r="E67" s="13">
        <v>71.599999999999994</v>
      </c>
      <c r="F67" s="13">
        <v>128.9</v>
      </c>
      <c r="G67" s="13">
        <v>9</v>
      </c>
      <c r="I67" s="14" t="s">
        <v>718</v>
      </c>
      <c r="J67" s="13" t="s">
        <v>469</v>
      </c>
      <c r="K67" s="28">
        <v>43876</v>
      </c>
      <c r="N67" s="14">
        <v>-19.432013746643069</v>
      </c>
      <c r="O67" s="29">
        <v>-139.17778776550293</v>
      </c>
      <c r="P67" s="29">
        <f>O67-8*N67</f>
        <v>16.278322207641622</v>
      </c>
    </row>
    <row r="68" spans="1:16" x14ac:dyDescent="0.35">
      <c r="A68" s="13" t="s">
        <v>20</v>
      </c>
      <c r="C68" s="13" t="s">
        <v>548</v>
      </c>
      <c r="D68" s="13" t="s">
        <v>468</v>
      </c>
      <c r="E68" s="13">
        <v>71.599999999999994</v>
      </c>
      <c r="F68" s="13">
        <v>128.9</v>
      </c>
      <c r="G68" s="13">
        <v>9</v>
      </c>
      <c r="I68" s="14" t="s">
        <v>719</v>
      </c>
      <c r="J68" s="13" t="s">
        <v>469</v>
      </c>
      <c r="K68" s="28">
        <v>43881</v>
      </c>
      <c r="N68" s="14">
        <v>-31.959328148841855</v>
      </c>
      <c r="O68" s="29">
        <v>-255.96036022949221</v>
      </c>
      <c r="P68" s="29">
        <f>O68-8*N68</f>
        <v>-0.28573503875736606</v>
      </c>
    </row>
    <row r="69" spans="1:16" x14ac:dyDescent="0.35">
      <c r="A69" s="13" t="s">
        <v>20</v>
      </c>
      <c r="C69" s="13" t="s">
        <v>548</v>
      </c>
      <c r="D69" s="13" t="s">
        <v>468</v>
      </c>
      <c r="E69" s="13">
        <v>71.599999999999994</v>
      </c>
      <c r="F69" s="13">
        <v>128.9</v>
      </c>
      <c r="G69" s="13">
        <v>9</v>
      </c>
      <c r="I69" s="14" t="s">
        <v>720</v>
      </c>
      <c r="J69" s="13" t="s">
        <v>469</v>
      </c>
      <c r="K69" s="28">
        <v>43886</v>
      </c>
      <c r="N69" s="14">
        <v>-22.222307241439818</v>
      </c>
      <c r="O69" s="29">
        <v>-167.92421209716795</v>
      </c>
      <c r="P69" s="29">
        <f>O69-8*N69</f>
        <v>9.8542458343505928</v>
      </c>
    </row>
    <row r="70" spans="1:16" x14ac:dyDescent="0.35">
      <c r="A70" s="13" t="s">
        <v>20</v>
      </c>
      <c r="C70" s="13" t="s">
        <v>548</v>
      </c>
      <c r="D70" s="13" t="s">
        <v>468</v>
      </c>
      <c r="E70" s="13">
        <v>71.599999999999994</v>
      </c>
      <c r="F70" s="13">
        <v>128.9</v>
      </c>
      <c r="G70" s="13">
        <v>9</v>
      </c>
      <c r="I70" s="14" t="s">
        <v>721</v>
      </c>
      <c r="J70" s="13" t="s">
        <v>469</v>
      </c>
      <c r="K70" s="28">
        <v>43887</v>
      </c>
      <c r="N70" s="14">
        <v>-29.72170829582214</v>
      </c>
      <c r="O70" s="29">
        <v>-230.29588653564451</v>
      </c>
      <c r="P70" s="29">
        <f>O70-8*N70</f>
        <v>7.4777798309326045</v>
      </c>
    </row>
    <row r="71" spans="1:16" x14ac:dyDescent="0.35">
      <c r="A71" s="13" t="s">
        <v>20</v>
      </c>
      <c r="C71" s="13" t="s">
        <v>548</v>
      </c>
      <c r="D71" s="13" t="s">
        <v>468</v>
      </c>
      <c r="E71" s="13">
        <v>71.599999999999994</v>
      </c>
      <c r="F71" s="13">
        <v>128.9</v>
      </c>
      <c r="G71" s="13">
        <v>9</v>
      </c>
      <c r="I71" s="14" t="s">
        <v>722</v>
      </c>
      <c r="J71" s="13" t="s">
        <v>469</v>
      </c>
      <c r="K71" s="28">
        <v>43893</v>
      </c>
      <c r="N71" s="14">
        <v>-25.361271026611327</v>
      </c>
      <c r="O71" s="29">
        <v>-193.45625341796875</v>
      </c>
      <c r="P71" s="29">
        <f>O71-8*N71</f>
        <v>9.4339147949218614</v>
      </c>
    </row>
    <row r="72" spans="1:16" x14ac:dyDescent="0.35">
      <c r="A72" s="13" t="s">
        <v>20</v>
      </c>
      <c r="C72" s="13" t="s">
        <v>548</v>
      </c>
      <c r="D72" s="13" t="s">
        <v>468</v>
      </c>
      <c r="E72" s="13">
        <v>71.599999999999994</v>
      </c>
      <c r="F72" s="13">
        <v>128.9</v>
      </c>
      <c r="G72" s="13">
        <v>9</v>
      </c>
      <c r="I72" s="14" t="s">
        <v>723</v>
      </c>
      <c r="J72" s="13" t="s">
        <v>469</v>
      </c>
      <c r="K72" s="28">
        <v>43897</v>
      </c>
      <c r="N72" s="14">
        <v>-38.62002634811401</v>
      </c>
      <c r="O72" s="29">
        <v>-299.82308178710934</v>
      </c>
      <c r="P72" s="29">
        <f>O72-8*N72</f>
        <v>9.1371289978027335</v>
      </c>
    </row>
    <row r="73" spans="1:16" x14ac:dyDescent="0.35">
      <c r="A73" s="13" t="s">
        <v>20</v>
      </c>
      <c r="C73" s="13" t="s">
        <v>548</v>
      </c>
      <c r="D73" s="13" t="s">
        <v>468</v>
      </c>
      <c r="E73" s="13">
        <v>71.599999999999994</v>
      </c>
      <c r="F73" s="13">
        <v>128.9</v>
      </c>
      <c r="G73" s="13">
        <v>9</v>
      </c>
      <c r="I73" s="14" t="s">
        <v>724</v>
      </c>
      <c r="J73" s="13" t="s">
        <v>469</v>
      </c>
      <c r="K73" s="28">
        <v>43906</v>
      </c>
      <c r="N73" s="14">
        <v>-38.57565171051025</v>
      </c>
      <c r="O73" s="29">
        <v>-300.37877783203123</v>
      </c>
      <c r="P73" s="29">
        <f>O73-8*N73</f>
        <v>8.2264358520507699</v>
      </c>
    </row>
    <row r="74" spans="1:16" x14ac:dyDescent="0.35">
      <c r="A74" s="13" t="s">
        <v>20</v>
      </c>
      <c r="C74" s="13" t="s">
        <v>548</v>
      </c>
      <c r="D74" s="13" t="s">
        <v>468</v>
      </c>
      <c r="E74" s="13">
        <v>71.599999999999994</v>
      </c>
      <c r="F74" s="13">
        <v>128.9</v>
      </c>
      <c r="G74" s="13">
        <v>9</v>
      </c>
      <c r="I74" s="14" t="s">
        <v>725</v>
      </c>
      <c r="J74" s="13" t="s">
        <v>469</v>
      </c>
      <c r="K74" s="28">
        <v>43907</v>
      </c>
      <c r="N74" s="14">
        <v>-23.047354391098022</v>
      </c>
      <c r="O74" s="29">
        <v>-171.02785766601562</v>
      </c>
      <c r="P74" s="29">
        <f>O74-8*N74</f>
        <v>13.350977462768554</v>
      </c>
    </row>
    <row r="75" spans="1:16" x14ac:dyDescent="0.35">
      <c r="A75" s="13" t="s">
        <v>20</v>
      </c>
      <c r="C75" s="13" t="s">
        <v>548</v>
      </c>
      <c r="D75" s="13" t="s">
        <v>468</v>
      </c>
      <c r="E75" s="13">
        <v>71.599999999999994</v>
      </c>
      <c r="F75" s="13">
        <v>128.9</v>
      </c>
      <c r="G75" s="13">
        <v>9</v>
      </c>
      <c r="I75" s="14" t="s">
        <v>726</v>
      </c>
      <c r="J75" s="13" t="s">
        <v>469</v>
      </c>
      <c r="K75" s="28">
        <v>43908</v>
      </c>
      <c r="N75" s="14">
        <v>-31.680500677108764</v>
      </c>
      <c r="O75" s="29">
        <v>-249.6116710205078</v>
      </c>
      <c r="P75" s="29">
        <f>O75-8*N75</f>
        <v>3.8323343963623131</v>
      </c>
    </row>
    <row r="76" spans="1:16" x14ac:dyDescent="0.35">
      <c r="A76" s="13" t="s">
        <v>20</v>
      </c>
      <c r="C76" s="13" t="s">
        <v>548</v>
      </c>
      <c r="D76" s="13" t="s">
        <v>468</v>
      </c>
      <c r="E76" s="13">
        <v>71.599999999999994</v>
      </c>
      <c r="F76" s="13">
        <v>128.9</v>
      </c>
      <c r="G76" s="13">
        <v>9</v>
      </c>
      <c r="I76" s="14" t="s">
        <v>727</v>
      </c>
      <c r="J76" s="13" t="s">
        <v>469</v>
      </c>
      <c r="K76" s="28">
        <v>43913</v>
      </c>
      <c r="N76" s="14">
        <v>-25.730784490585325</v>
      </c>
      <c r="O76" s="29">
        <v>-208.29559179687499</v>
      </c>
      <c r="P76" s="29">
        <f>O76-8*N76</f>
        <v>-2.4493158721923862</v>
      </c>
    </row>
    <row r="77" spans="1:16" x14ac:dyDescent="0.35">
      <c r="A77" s="13" t="s">
        <v>20</v>
      </c>
      <c r="C77" s="13" t="s">
        <v>548</v>
      </c>
      <c r="D77" s="13" t="s">
        <v>468</v>
      </c>
      <c r="E77" s="13">
        <v>71.599999999999994</v>
      </c>
      <c r="F77" s="13">
        <v>128.9</v>
      </c>
      <c r="G77" s="13">
        <v>9</v>
      </c>
      <c r="I77" s="14" t="s">
        <v>728</v>
      </c>
      <c r="J77" s="13" t="s">
        <v>469</v>
      </c>
      <c r="K77" s="28">
        <v>43918</v>
      </c>
      <c r="N77" s="14">
        <v>-37.472077892303467</v>
      </c>
      <c r="O77" s="29">
        <v>-303.02213745117189</v>
      </c>
      <c r="P77" s="29">
        <f>O77-8*N77</f>
        <v>-3.2455143127441488</v>
      </c>
    </row>
    <row r="78" spans="1:16" x14ac:dyDescent="0.35">
      <c r="A78" s="13" t="s">
        <v>20</v>
      </c>
      <c r="C78" s="13" t="s">
        <v>548</v>
      </c>
      <c r="D78" s="13" t="s">
        <v>468</v>
      </c>
      <c r="E78" s="13">
        <v>71.599999999999994</v>
      </c>
      <c r="F78" s="13">
        <v>128.9</v>
      </c>
      <c r="G78" s="13">
        <v>9</v>
      </c>
      <c r="I78" s="14" t="s">
        <v>729</v>
      </c>
      <c r="J78" s="13" t="s">
        <v>469</v>
      </c>
      <c r="K78" s="28">
        <v>43923</v>
      </c>
      <c r="N78" s="14">
        <v>-20.862310569763181</v>
      </c>
      <c r="O78" s="29">
        <v>-167.93049694824219</v>
      </c>
      <c r="P78" s="29">
        <f>O78-8*N78</f>
        <v>-1.0320123901367424</v>
      </c>
    </row>
    <row r="79" spans="1:16" x14ac:dyDescent="0.35">
      <c r="A79" s="13" t="s">
        <v>20</v>
      </c>
      <c r="C79" s="13" t="s">
        <v>548</v>
      </c>
      <c r="D79" s="13" t="s">
        <v>468</v>
      </c>
      <c r="E79" s="13">
        <v>71.599999999999994</v>
      </c>
      <c r="F79" s="13">
        <v>128.9</v>
      </c>
      <c r="G79" s="13">
        <v>9</v>
      </c>
      <c r="I79" s="14" t="s">
        <v>730</v>
      </c>
      <c r="J79" s="13" t="s">
        <v>469</v>
      </c>
      <c r="K79" s="28">
        <v>43925</v>
      </c>
      <c r="N79" s="14">
        <v>-19.281157305908202</v>
      </c>
      <c r="O79" s="29">
        <v>-147.16368621826172</v>
      </c>
      <c r="P79" s="29">
        <f>O79-8*N79</f>
        <v>7.0855722290039012</v>
      </c>
    </row>
    <row r="80" spans="1:16" x14ac:dyDescent="0.35">
      <c r="A80" s="13" t="s">
        <v>20</v>
      </c>
      <c r="C80" s="13" t="s">
        <v>548</v>
      </c>
      <c r="D80" s="13" t="s">
        <v>468</v>
      </c>
      <c r="E80" s="13">
        <v>71.599999999999994</v>
      </c>
      <c r="F80" s="13">
        <v>128.9</v>
      </c>
      <c r="G80" s="13">
        <v>9</v>
      </c>
      <c r="I80" s="14" t="s">
        <v>731</v>
      </c>
      <c r="J80" s="13" t="s">
        <v>469</v>
      </c>
      <c r="K80" s="28">
        <v>43926</v>
      </c>
      <c r="N80" s="14">
        <v>-19.703022687911986</v>
      </c>
      <c r="O80" s="29">
        <v>-149.06074487304687</v>
      </c>
      <c r="P80" s="29">
        <f>O80-8*N80</f>
        <v>8.563436630249015</v>
      </c>
    </row>
    <row r="81" spans="1:16" x14ac:dyDescent="0.35">
      <c r="A81" s="13" t="s">
        <v>20</v>
      </c>
      <c r="C81" s="13" t="s">
        <v>548</v>
      </c>
      <c r="D81" s="13" t="s">
        <v>468</v>
      </c>
      <c r="E81" s="13">
        <v>71.599999999999994</v>
      </c>
      <c r="F81" s="13">
        <v>128.9</v>
      </c>
      <c r="G81" s="13">
        <v>9</v>
      </c>
      <c r="I81" s="13" t="s">
        <v>732</v>
      </c>
      <c r="J81" s="13" t="s">
        <v>469</v>
      </c>
      <c r="K81" s="28">
        <v>43927</v>
      </c>
      <c r="N81" s="14">
        <v>-19.759731204986569</v>
      </c>
      <c r="O81" s="29">
        <v>-149.16204101562499</v>
      </c>
      <c r="P81" s="29">
        <f>O81-8*N81</f>
        <v>8.9158086242675552</v>
      </c>
    </row>
    <row r="82" spans="1:16" x14ac:dyDescent="0.35">
      <c r="A82" s="13" t="s">
        <v>20</v>
      </c>
      <c r="C82" s="13" t="s">
        <v>548</v>
      </c>
      <c r="D82" s="13" t="s">
        <v>468</v>
      </c>
      <c r="E82" s="13">
        <v>71.599999999999994</v>
      </c>
      <c r="F82" s="13">
        <v>128.9</v>
      </c>
      <c r="G82" s="13">
        <v>9</v>
      </c>
      <c r="I82" s="13" t="s">
        <v>733</v>
      </c>
      <c r="J82" s="13" t="s">
        <v>469</v>
      </c>
      <c r="K82" s="28">
        <v>43928</v>
      </c>
      <c r="N82" s="14">
        <v>-18.394363725662231</v>
      </c>
      <c r="O82" s="29">
        <v>-136.41986364746094</v>
      </c>
      <c r="P82" s="29">
        <f>O82-8*N82</f>
        <v>10.735046157836905</v>
      </c>
    </row>
    <row r="83" spans="1:16" x14ac:dyDescent="0.35">
      <c r="A83" s="13" t="s">
        <v>20</v>
      </c>
      <c r="C83" s="13" t="s">
        <v>548</v>
      </c>
      <c r="D83" s="13" t="s">
        <v>468</v>
      </c>
      <c r="E83" s="13">
        <v>71.599999999999994</v>
      </c>
      <c r="F83" s="13">
        <v>128.9</v>
      </c>
      <c r="G83" s="13">
        <v>9</v>
      </c>
      <c r="I83" s="14" t="s">
        <v>734</v>
      </c>
      <c r="J83" s="13" t="s">
        <v>469</v>
      </c>
      <c r="K83" s="28">
        <v>43931</v>
      </c>
      <c r="N83" s="14">
        <v>-27.789069660186765</v>
      </c>
      <c r="O83" s="29">
        <v>-218.65419323730467</v>
      </c>
      <c r="P83" s="29">
        <f>O83-8*N83</f>
        <v>3.6583640441894545</v>
      </c>
    </row>
    <row r="84" spans="1:16" x14ac:dyDescent="0.35">
      <c r="A84" s="13" t="s">
        <v>20</v>
      </c>
      <c r="C84" s="13" t="s">
        <v>548</v>
      </c>
      <c r="D84" s="13" t="s">
        <v>468</v>
      </c>
      <c r="E84" s="13">
        <v>71.599999999999994</v>
      </c>
      <c r="F84" s="13">
        <v>128.9</v>
      </c>
      <c r="G84" s="13">
        <v>9</v>
      </c>
      <c r="I84" s="14" t="s">
        <v>735</v>
      </c>
      <c r="J84" s="13" t="s">
        <v>469</v>
      </c>
      <c r="K84" s="28">
        <v>43932</v>
      </c>
      <c r="N84" s="14">
        <v>-25.952143371582032</v>
      </c>
      <c r="O84" s="29">
        <v>-202.52943664550781</v>
      </c>
      <c r="P84" s="29">
        <f>O84-8*N84</f>
        <v>5.087710327148443</v>
      </c>
    </row>
    <row r="85" spans="1:16" x14ac:dyDescent="0.35">
      <c r="A85" s="13" t="s">
        <v>20</v>
      </c>
      <c r="C85" s="13" t="s">
        <v>548</v>
      </c>
      <c r="D85" s="13" t="s">
        <v>468</v>
      </c>
      <c r="E85" s="13">
        <v>71.599999999999994</v>
      </c>
      <c r="F85" s="13">
        <v>128.9</v>
      </c>
      <c r="G85" s="13">
        <v>9</v>
      </c>
      <c r="I85" s="14" t="s">
        <v>736</v>
      </c>
      <c r="J85" s="13" t="s">
        <v>469</v>
      </c>
      <c r="K85" s="28">
        <v>43933</v>
      </c>
      <c r="N85" s="14">
        <v>-24.184633348464963</v>
      </c>
      <c r="O85" s="29">
        <v>-186.78302661132815</v>
      </c>
      <c r="P85" s="29">
        <f>O85-8*N85</f>
        <v>6.6940401763915531</v>
      </c>
    </row>
    <row r="86" spans="1:16" x14ac:dyDescent="0.35">
      <c r="A86" s="13" t="s">
        <v>20</v>
      </c>
      <c r="C86" s="13" t="s">
        <v>548</v>
      </c>
      <c r="D86" s="13" t="s">
        <v>468</v>
      </c>
      <c r="E86" s="13">
        <v>71.599999999999994</v>
      </c>
      <c r="F86" s="13">
        <v>128.9</v>
      </c>
      <c r="G86" s="13">
        <v>9</v>
      </c>
      <c r="I86" s="14" t="s">
        <v>737</v>
      </c>
      <c r="J86" s="13" t="s">
        <v>469</v>
      </c>
      <c r="K86" s="28">
        <v>43935</v>
      </c>
      <c r="N86" s="14">
        <v>-26.901510484695432</v>
      </c>
      <c r="O86" s="29">
        <v>-210.24240380859374</v>
      </c>
      <c r="P86" s="29">
        <f>O86-8*N86</f>
        <v>4.9696800689697227</v>
      </c>
    </row>
    <row r="87" spans="1:16" x14ac:dyDescent="0.35">
      <c r="A87" s="13" t="s">
        <v>20</v>
      </c>
      <c r="C87" s="13" t="s">
        <v>548</v>
      </c>
      <c r="D87" s="13" t="s">
        <v>468</v>
      </c>
      <c r="E87" s="13">
        <v>71.599999999999994</v>
      </c>
      <c r="F87" s="13">
        <v>128.9</v>
      </c>
      <c r="G87" s="13">
        <v>9</v>
      </c>
      <c r="I87" s="13" t="s">
        <v>738</v>
      </c>
      <c r="J87" s="13" t="s">
        <v>469</v>
      </c>
      <c r="K87" s="28">
        <v>43936</v>
      </c>
      <c r="N87" s="14">
        <v>-30.520687101364135</v>
      </c>
      <c r="O87" s="29">
        <v>-235.61447314453125</v>
      </c>
      <c r="P87" s="29">
        <f>O87-8*N87</f>
        <v>8.5510236663818375</v>
      </c>
    </row>
    <row r="88" spans="1:16" x14ac:dyDescent="0.35">
      <c r="A88" s="13" t="s">
        <v>20</v>
      </c>
      <c r="C88" s="13" t="s">
        <v>548</v>
      </c>
      <c r="D88" s="13" t="s">
        <v>468</v>
      </c>
      <c r="E88" s="13">
        <v>71.599999999999994</v>
      </c>
      <c r="F88" s="13">
        <v>128.9</v>
      </c>
      <c r="G88" s="13">
        <v>9</v>
      </c>
      <c r="I88" s="14" t="s">
        <v>739</v>
      </c>
      <c r="J88" s="13" t="s">
        <v>469</v>
      </c>
      <c r="K88" s="28">
        <v>43937</v>
      </c>
      <c r="N88" s="14">
        <v>-20.228010595321653</v>
      </c>
      <c r="O88" s="29">
        <v>-168.78418798828125</v>
      </c>
      <c r="P88" s="29">
        <f>O88-8*N88</f>
        <v>-6.9601032257080249</v>
      </c>
    </row>
    <row r="89" spans="1:16" x14ac:dyDescent="0.35">
      <c r="A89" s="13" t="s">
        <v>20</v>
      </c>
      <c r="C89" s="13" t="s">
        <v>548</v>
      </c>
      <c r="D89" s="13" t="s">
        <v>468</v>
      </c>
      <c r="E89" s="13">
        <v>71.599999999999994</v>
      </c>
      <c r="F89" s="13">
        <v>128.9</v>
      </c>
      <c r="G89" s="13">
        <v>9</v>
      </c>
      <c r="I89" s="14" t="s">
        <v>740</v>
      </c>
      <c r="J89" s="13" t="s">
        <v>469</v>
      </c>
      <c r="K89" s="28">
        <v>43938</v>
      </c>
      <c r="N89" s="14">
        <v>-24.024442842483516</v>
      </c>
      <c r="O89" s="29">
        <v>-193.22030932617184</v>
      </c>
      <c r="P89" s="29">
        <f>O89-8*N89</f>
        <v>-1.0247665863037128</v>
      </c>
    </row>
    <row r="90" spans="1:16" x14ac:dyDescent="0.35">
      <c r="A90" s="13" t="s">
        <v>20</v>
      </c>
      <c r="C90" s="13" t="s">
        <v>548</v>
      </c>
      <c r="D90" s="13" t="s">
        <v>468</v>
      </c>
      <c r="E90" s="13">
        <v>71.599999999999994</v>
      </c>
      <c r="F90" s="13">
        <v>128.9</v>
      </c>
      <c r="G90" s="13">
        <v>9</v>
      </c>
      <c r="I90" s="14" t="s">
        <v>741</v>
      </c>
      <c r="J90" s="13" t="s">
        <v>469</v>
      </c>
      <c r="K90" s="28">
        <v>43939</v>
      </c>
      <c r="N90" s="14">
        <v>-25.132696664810179</v>
      </c>
      <c r="O90" s="29">
        <v>-192.06222766113277</v>
      </c>
      <c r="P90" s="29">
        <f>O90-8*N90</f>
        <v>8.9993456573486696</v>
      </c>
    </row>
    <row r="91" spans="1:16" x14ac:dyDescent="0.35">
      <c r="A91" s="13" t="s">
        <v>20</v>
      </c>
      <c r="C91" s="13" t="s">
        <v>548</v>
      </c>
      <c r="D91" s="13" t="s">
        <v>468</v>
      </c>
      <c r="E91" s="13">
        <v>71.599999999999994</v>
      </c>
      <c r="F91" s="13">
        <v>128.9</v>
      </c>
      <c r="G91" s="13">
        <v>9</v>
      </c>
      <c r="I91" s="14" t="s">
        <v>742</v>
      </c>
      <c r="J91" s="13" t="s">
        <v>469</v>
      </c>
      <c r="K91" s="28">
        <v>43944</v>
      </c>
      <c r="N91" s="14">
        <v>-19.507916238784787</v>
      </c>
      <c r="O91" s="29">
        <v>-135.85753564453125</v>
      </c>
      <c r="P91" s="29">
        <f>O91-8*N91</f>
        <v>20.205794265747045</v>
      </c>
    </row>
    <row r="92" spans="1:16" x14ac:dyDescent="0.35">
      <c r="A92" s="13" t="s">
        <v>20</v>
      </c>
      <c r="C92" s="13" t="s">
        <v>548</v>
      </c>
      <c r="D92" s="13" t="s">
        <v>468</v>
      </c>
      <c r="E92" s="13">
        <v>71.599999999999994</v>
      </c>
      <c r="F92" s="13">
        <v>128.9</v>
      </c>
      <c r="G92" s="13">
        <v>9</v>
      </c>
      <c r="I92" s="14" t="s">
        <v>743</v>
      </c>
      <c r="J92" s="13" t="s">
        <v>469</v>
      </c>
      <c r="K92" s="28">
        <v>43947</v>
      </c>
      <c r="N92" s="14">
        <v>-25.220958202362059</v>
      </c>
      <c r="O92" s="29">
        <v>-197.88725805664063</v>
      </c>
      <c r="P92" s="29">
        <f>O92-8*N92</f>
        <v>3.88040756225584</v>
      </c>
    </row>
    <row r="93" spans="1:16" x14ac:dyDescent="0.35">
      <c r="A93" s="13" t="s">
        <v>20</v>
      </c>
      <c r="C93" s="13" t="s">
        <v>548</v>
      </c>
      <c r="D93" s="13" t="s">
        <v>468</v>
      </c>
      <c r="E93" s="13">
        <v>71.599999999999994</v>
      </c>
      <c r="F93" s="13">
        <v>128.9</v>
      </c>
      <c r="G93" s="13">
        <v>9</v>
      </c>
      <c r="I93" s="30" t="s">
        <v>744</v>
      </c>
      <c r="J93" s="13" t="s">
        <v>469</v>
      </c>
      <c r="K93" s="31">
        <v>43956</v>
      </c>
      <c r="N93" s="14">
        <v>-27.790320171871183</v>
      </c>
      <c r="O93" s="29">
        <v>-210.21240659729003</v>
      </c>
      <c r="P93" s="29">
        <f>O93-8*N93</f>
        <v>12.11015477767944</v>
      </c>
    </row>
    <row r="94" spans="1:16" x14ac:dyDescent="0.35">
      <c r="A94" s="13" t="s">
        <v>20</v>
      </c>
      <c r="C94" s="13" t="s">
        <v>548</v>
      </c>
      <c r="D94" s="13" t="s">
        <v>468</v>
      </c>
      <c r="E94" s="13">
        <v>71.599999999999994</v>
      </c>
      <c r="F94" s="13">
        <v>128.9</v>
      </c>
      <c r="G94" s="13">
        <v>9</v>
      </c>
      <c r="I94" s="30" t="s">
        <v>745</v>
      </c>
      <c r="J94" s="13" t="s">
        <v>469</v>
      </c>
      <c r="K94" s="31">
        <v>43957</v>
      </c>
      <c r="N94" s="14">
        <v>-26.879994130172729</v>
      </c>
      <c r="O94" s="29">
        <v>-208.52640670257568</v>
      </c>
      <c r="P94" s="29">
        <f>O94-8*N94</f>
        <v>6.513546338806151</v>
      </c>
    </row>
    <row r="95" spans="1:16" x14ac:dyDescent="0.35">
      <c r="A95" s="13" t="s">
        <v>20</v>
      </c>
      <c r="C95" s="13" t="s">
        <v>548</v>
      </c>
      <c r="D95" s="13" t="s">
        <v>468</v>
      </c>
      <c r="E95" s="13">
        <v>71.599999999999994</v>
      </c>
      <c r="F95" s="13">
        <v>128.9</v>
      </c>
      <c r="G95" s="13">
        <v>9</v>
      </c>
      <c r="I95" s="30" t="s">
        <v>746</v>
      </c>
      <c r="J95" s="13" t="s">
        <v>469</v>
      </c>
      <c r="K95" s="31">
        <v>43958</v>
      </c>
      <c r="N95" s="14">
        <v>-25.496838397064209</v>
      </c>
      <c r="O95" s="29">
        <v>-199.76062210327149</v>
      </c>
      <c r="P95" s="29">
        <f>O95-8*N95</f>
        <v>4.2140850732421882</v>
      </c>
    </row>
    <row r="96" spans="1:16" x14ac:dyDescent="0.35">
      <c r="A96" s="13" t="s">
        <v>20</v>
      </c>
      <c r="C96" s="13" t="s">
        <v>548</v>
      </c>
      <c r="D96" s="13" t="s">
        <v>468</v>
      </c>
      <c r="E96" s="13">
        <v>71.599999999999994</v>
      </c>
      <c r="F96" s="13">
        <v>128.9</v>
      </c>
      <c r="G96" s="13">
        <v>9</v>
      </c>
      <c r="I96" s="30" t="s">
        <v>747</v>
      </c>
      <c r="J96" s="13" t="s">
        <v>469</v>
      </c>
      <c r="K96" s="31">
        <v>43959</v>
      </c>
      <c r="N96" s="14">
        <v>-26.770531501331327</v>
      </c>
      <c r="O96" s="29">
        <v>-202.71026682678223</v>
      </c>
      <c r="P96" s="29">
        <f>O96-8*N96</f>
        <v>11.453985183868383</v>
      </c>
    </row>
    <row r="97" spans="1:16" x14ac:dyDescent="0.35">
      <c r="A97" s="13" t="s">
        <v>20</v>
      </c>
      <c r="C97" s="13" t="s">
        <v>548</v>
      </c>
      <c r="D97" s="13" t="s">
        <v>468</v>
      </c>
      <c r="E97" s="13">
        <v>71.599999999999994</v>
      </c>
      <c r="F97" s="13">
        <v>128.9</v>
      </c>
      <c r="G97" s="13">
        <v>9</v>
      </c>
      <c r="I97" s="30" t="s">
        <v>748</v>
      </c>
      <c r="J97" s="13" t="s">
        <v>469</v>
      </c>
      <c r="K97" s="31">
        <v>43962</v>
      </c>
      <c r="N97" s="14">
        <v>-17.308897222795487</v>
      </c>
      <c r="O97" s="29">
        <v>-133.19667508941652</v>
      </c>
      <c r="P97" s="29">
        <f>O97-8*N97</f>
        <v>5.2745026929473795</v>
      </c>
    </row>
    <row r="98" spans="1:16" x14ac:dyDescent="0.35">
      <c r="A98" s="13" t="s">
        <v>20</v>
      </c>
      <c r="C98" s="13" t="s">
        <v>548</v>
      </c>
      <c r="D98" s="13" t="s">
        <v>468</v>
      </c>
      <c r="E98" s="13">
        <v>71.599999999999994</v>
      </c>
      <c r="F98" s="13">
        <v>128.9</v>
      </c>
      <c r="G98" s="13">
        <v>9</v>
      </c>
      <c r="I98" s="30" t="s">
        <v>749</v>
      </c>
      <c r="J98" s="13" t="s">
        <v>469</v>
      </c>
      <c r="K98" s="31">
        <v>43963</v>
      </c>
      <c r="N98" s="14">
        <v>-16.037654093780517</v>
      </c>
      <c r="O98" s="29">
        <v>-126.19503195281982</v>
      </c>
      <c r="P98" s="29">
        <f>O98-8*N98</f>
        <v>2.1062007974243215</v>
      </c>
    </row>
    <row r="99" spans="1:16" x14ac:dyDescent="0.35">
      <c r="A99" s="13" t="s">
        <v>20</v>
      </c>
      <c r="C99" s="13" t="s">
        <v>548</v>
      </c>
      <c r="D99" s="13" t="s">
        <v>468</v>
      </c>
      <c r="E99" s="13">
        <v>71.599999999999994</v>
      </c>
      <c r="F99" s="13">
        <v>128.9</v>
      </c>
      <c r="G99" s="13">
        <v>9</v>
      </c>
      <c r="I99" s="30" t="s">
        <v>750</v>
      </c>
      <c r="J99" s="13" t="s">
        <v>469</v>
      </c>
      <c r="K99" s="31">
        <v>43967</v>
      </c>
      <c r="N99" s="14">
        <v>-22.819669949092862</v>
      </c>
      <c r="O99" s="29">
        <v>-176.03768823486328</v>
      </c>
      <c r="P99" s="29">
        <f>O99-8*N99</f>
        <v>6.5196713578796164</v>
      </c>
    </row>
    <row r="100" spans="1:16" x14ac:dyDescent="0.35">
      <c r="A100" s="13" t="s">
        <v>20</v>
      </c>
      <c r="C100" s="13" t="s">
        <v>548</v>
      </c>
      <c r="D100" s="13" t="s">
        <v>468</v>
      </c>
      <c r="E100" s="13">
        <v>71.599999999999994</v>
      </c>
      <c r="F100" s="13">
        <v>128.9</v>
      </c>
      <c r="G100" s="13">
        <v>9</v>
      </c>
      <c r="I100" s="30" t="s">
        <v>751</v>
      </c>
      <c r="J100" s="13" t="s">
        <v>469</v>
      </c>
      <c r="K100" s="31">
        <v>43973</v>
      </c>
      <c r="N100" s="14">
        <v>-15.412518959321975</v>
      </c>
      <c r="O100" s="29">
        <v>-125.41012788482666</v>
      </c>
      <c r="P100" s="29">
        <f>O100-8*N100</f>
        <v>-2.1099762102508635</v>
      </c>
    </row>
    <row r="101" spans="1:16" x14ac:dyDescent="0.35">
      <c r="A101" s="13" t="s">
        <v>20</v>
      </c>
      <c r="C101" s="13" t="s">
        <v>548</v>
      </c>
      <c r="D101" s="13" t="s">
        <v>468</v>
      </c>
      <c r="E101" s="13">
        <v>71.599999999999994</v>
      </c>
      <c r="F101" s="13">
        <v>128.9</v>
      </c>
      <c r="G101" s="13">
        <v>9</v>
      </c>
      <c r="I101" s="30" t="s">
        <v>752</v>
      </c>
      <c r="J101" s="13" t="s">
        <v>469</v>
      </c>
      <c r="K101" s="31">
        <v>43975</v>
      </c>
      <c r="N101" s="14">
        <v>-10.558245906152726</v>
      </c>
      <c r="O101" s="29">
        <v>-94.854183678588868</v>
      </c>
      <c r="P101" s="29">
        <f>O101-8*N101</f>
        <v>-10.388216429367063</v>
      </c>
    </row>
    <row r="102" spans="1:16" x14ac:dyDescent="0.35">
      <c r="A102" s="13" t="s">
        <v>20</v>
      </c>
      <c r="C102" s="13" t="s">
        <v>548</v>
      </c>
      <c r="D102" s="13" t="s">
        <v>468</v>
      </c>
      <c r="E102" s="13">
        <v>71.599999999999994</v>
      </c>
      <c r="F102" s="13">
        <v>128.9</v>
      </c>
      <c r="G102" s="13">
        <v>9</v>
      </c>
      <c r="I102" s="30" t="s">
        <v>753</v>
      </c>
      <c r="J102" s="13" t="s">
        <v>469</v>
      </c>
      <c r="K102" s="31">
        <v>43976</v>
      </c>
      <c r="N102" s="14">
        <v>-16.9398726818943</v>
      </c>
      <c r="O102" s="29">
        <v>-127.76046506744385</v>
      </c>
      <c r="P102" s="29">
        <f>O102-8*N102</f>
        <v>7.7585163877105572</v>
      </c>
    </row>
    <row r="103" spans="1:16" x14ac:dyDescent="0.35">
      <c r="A103" s="13" t="s">
        <v>20</v>
      </c>
      <c r="C103" s="13" t="s">
        <v>548</v>
      </c>
      <c r="D103" s="13" t="s">
        <v>468</v>
      </c>
      <c r="E103" s="13">
        <v>71.599999999999994</v>
      </c>
      <c r="F103" s="13">
        <v>128.9</v>
      </c>
      <c r="G103" s="13">
        <v>9</v>
      </c>
      <c r="I103" s="30" t="s">
        <v>754</v>
      </c>
      <c r="J103" s="13" t="s">
        <v>469</v>
      </c>
      <c r="K103" s="31">
        <v>43977</v>
      </c>
      <c r="N103" s="14">
        <v>-18.328587817192073</v>
      </c>
      <c r="O103" s="29">
        <v>-137.17000301361082</v>
      </c>
      <c r="P103" s="29">
        <f>O103-8*N103</f>
        <v>9.458699523925759</v>
      </c>
    </row>
    <row r="104" spans="1:16" x14ac:dyDescent="0.35">
      <c r="A104" s="13" t="s">
        <v>20</v>
      </c>
      <c r="C104" s="13" t="s">
        <v>548</v>
      </c>
      <c r="D104" s="13" t="s">
        <v>468</v>
      </c>
      <c r="E104" s="13">
        <v>71.599999999999994</v>
      </c>
      <c r="F104" s="13">
        <v>128.9</v>
      </c>
      <c r="G104" s="13">
        <v>9</v>
      </c>
      <c r="I104" s="30" t="s">
        <v>755</v>
      </c>
      <c r="J104" s="13" t="s">
        <v>469</v>
      </c>
      <c r="K104" s="31">
        <v>43980</v>
      </c>
      <c r="N104" s="14">
        <v>-22.728102283477778</v>
      </c>
      <c r="O104" s="29">
        <v>-178.78655987548825</v>
      </c>
      <c r="P104" s="29">
        <f>O104-8*N104</f>
        <v>3.0382583923339723</v>
      </c>
    </row>
    <row r="105" spans="1:16" x14ac:dyDescent="0.35">
      <c r="A105" s="13" t="s">
        <v>20</v>
      </c>
      <c r="C105" s="13" t="s">
        <v>548</v>
      </c>
      <c r="D105" s="13" t="s">
        <v>468</v>
      </c>
      <c r="E105" s="13">
        <v>71.599999999999994</v>
      </c>
      <c r="F105" s="13">
        <v>128.9</v>
      </c>
      <c r="G105" s="13">
        <v>9</v>
      </c>
      <c r="I105" s="30" t="s">
        <v>756</v>
      </c>
      <c r="J105" s="13" t="s">
        <v>469</v>
      </c>
      <c r="K105" s="31">
        <v>43988</v>
      </c>
      <c r="N105" s="14">
        <v>-16.561042511940002</v>
      </c>
      <c r="O105" s="29">
        <v>-127.76403142547606</v>
      </c>
      <c r="P105" s="29">
        <f>O105-8*N105</f>
        <v>4.7243086700439534</v>
      </c>
    </row>
    <row r="106" spans="1:16" x14ac:dyDescent="0.35">
      <c r="A106" s="13" t="s">
        <v>20</v>
      </c>
      <c r="C106" s="13" t="s">
        <v>548</v>
      </c>
      <c r="D106" s="13" t="s">
        <v>468</v>
      </c>
      <c r="E106" s="13">
        <v>71.599999999999994</v>
      </c>
      <c r="F106" s="13">
        <v>128.9</v>
      </c>
      <c r="G106" s="13">
        <v>9</v>
      </c>
      <c r="I106" s="30" t="s">
        <v>757</v>
      </c>
      <c r="J106" s="13" t="s">
        <v>469</v>
      </c>
      <c r="K106" s="31">
        <v>43991</v>
      </c>
      <c r="N106" s="14">
        <v>-16.608087789535517</v>
      </c>
      <c r="O106" s="29">
        <v>-129.77787088775634</v>
      </c>
      <c r="P106" s="29">
        <f>O106-8*N106</f>
        <v>3.0868314285278018</v>
      </c>
    </row>
    <row r="107" spans="1:16" x14ac:dyDescent="0.35">
      <c r="A107" s="13" t="s">
        <v>20</v>
      </c>
      <c r="C107" s="13" t="s">
        <v>548</v>
      </c>
      <c r="D107" s="13" t="s">
        <v>468</v>
      </c>
      <c r="E107" s="13">
        <v>71.599999999999994</v>
      </c>
      <c r="F107" s="13">
        <v>128.9</v>
      </c>
      <c r="G107" s="13">
        <v>9</v>
      </c>
      <c r="I107" s="30" t="s">
        <v>758</v>
      </c>
      <c r="J107" s="13" t="s">
        <v>469</v>
      </c>
      <c r="K107" s="31">
        <v>43996</v>
      </c>
      <c r="N107" s="14">
        <v>-15.368708298206329</v>
      </c>
      <c r="O107" s="29">
        <v>-123.2190472946167</v>
      </c>
      <c r="P107" s="29">
        <f>O107-8*N107</f>
        <v>-0.26938090896607036</v>
      </c>
    </row>
    <row r="108" spans="1:16" x14ac:dyDescent="0.35">
      <c r="A108" s="13" t="s">
        <v>20</v>
      </c>
      <c r="C108" s="13" t="s">
        <v>548</v>
      </c>
      <c r="D108" s="13" t="s">
        <v>468</v>
      </c>
      <c r="E108" s="13">
        <v>71.599999999999994</v>
      </c>
      <c r="F108" s="13">
        <v>128.9</v>
      </c>
      <c r="G108" s="13">
        <v>9</v>
      </c>
      <c r="I108" s="30" t="s">
        <v>759</v>
      </c>
      <c r="J108" s="13" t="s">
        <v>469</v>
      </c>
      <c r="K108" s="31">
        <v>43998</v>
      </c>
      <c r="N108" s="14">
        <v>-13.741195462226866</v>
      </c>
      <c r="O108" s="29">
        <v>-115.38499820327759</v>
      </c>
      <c r="P108" s="29">
        <f>O108-8*N108</f>
        <v>-5.4554345054626623</v>
      </c>
    </row>
    <row r="109" spans="1:16" x14ac:dyDescent="0.35">
      <c r="A109" s="13" t="s">
        <v>20</v>
      </c>
      <c r="C109" s="13" t="s">
        <v>548</v>
      </c>
      <c r="D109" s="13" t="s">
        <v>468</v>
      </c>
      <c r="E109" s="13">
        <v>71.599999999999994</v>
      </c>
      <c r="F109" s="13">
        <v>128.9</v>
      </c>
      <c r="G109" s="13">
        <v>9</v>
      </c>
      <c r="I109" s="30" t="s">
        <v>760</v>
      </c>
      <c r="J109" s="13" t="s">
        <v>469</v>
      </c>
      <c r="K109" s="31">
        <v>43999</v>
      </c>
      <c r="N109" s="14">
        <v>-14.531052605628965</v>
      </c>
      <c r="O109" s="29">
        <v>-108.34562001800538</v>
      </c>
      <c r="P109" s="29">
        <f>O109-8*N109</f>
        <v>7.9028008270263399</v>
      </c>
    </row>
    <row r="110" spans="1:16" x14ac:dyDescent="0.35">
      <c r="A110" s="13" t="s">
        <v>20</v>
      </c>
      <c r="C110" s="13" t="s">
        <v>548</v>
      </c>
      <c r="D110" s="13" t="s">
        <v>468</v>
      </c>
      <c r="E110" s="13">
        <v>71.599999999999994</v>
      </c>
      <c r="F110" s="13">
        <v>128.9</v>
      </c>
      <c r="G110" s="13">
        <v>9</v>
      </c>
      <c r="I110" s="30" t="s">
        <v>761</v>
      </c>
      <c r="J110" s="13" t="s">
        <v>469</v>
      </c>
      <c r="K110" s="31">
        <v>44009</v>
      </c>
      <c r="N110" s="14">
        <v>-11.571476786613463</v>
      </c>
      <c r="O110" s="29">
        <v>-103.60413115692138</v>
      </c>
      <c r="P110" s="29">
        <f>O110-8*N110</f>
        <v>-11.03231686401368</v>
      </c>
    </row>
    <row r="111" spans="1:16" x14ac:dyDescent="0.35">
      <c r="A111" s="13" t="s">
        <v>20</v>
      </c>
      <c r="C111" s="13" t="s">
        <v>548</v>
      </c>
      <c r="D111" s="13" t="s">
        <v>468</v>
      </c>
      <c r="E111" s="13">
        <v>71.599999999999994</v>
      </c>
      <c r="F111" s="13">
        <v>128.9</v>
      </c>
      <c r="G111" s="13">
        <v>9</v>
      </c>
      <c r="I111" s="30" t="s">
        <v>762</v>
      </c>
      <c r="J111" s="13" t="s">
        <v>469</v>
      </c>
      <c r="K111" s="31">
        <v>44011</v>
      </c>
      <c r="N111" s="14">
        <v>-14.688668585777279</v>
      </c>
      <c r="O111" s="29">
        <v>-119.18600776672363</v>
      </c>
      <c r="P111" s="29">
        <f>O111-8*N111</f>
        <v>-1.6766590805054022</v>
      </c>
    </row>
    <row r="112" spans="1:16" x14ac:dyDescent="0.35">
      <c r="A112" s="13" t="s">
        <v>20</v>
      </c>
      <c r="C112" s="13" t="s">
        <v>548</v>
      </c>
      <c r="D112" s="13" t="s">
        <v>468</v>
      </c>
      <c r="E112" s="13">
        <v>71.599999999999994</v>
      </c>
      <c r="F112" s="13">
        <v>128.9</v>
      </c>
      <c r="G112" s="13">
        <v>9</v>
      </c>
      <c r="I112" s="30" t="s">
        <v>763</v>
      </c>
      <c r="J112" s="13" t="s">
        <v>469</v>
      </c>
      <c r="K112" s="31">
        <v>44015</v>
      </c>
      <c r="N112" s="14">
        <v>-13.582348421096802</v>
      </c>
      <c r="O112" s="29">
        <v>-101.57478001403808</v>
      </c>
      <c r="P112" s="29">
        <f>O112-8*N112</f>
        <v>7.0840073547363289</v>
      </c>
    </row>
    <row r="113" spans="1:16" x14ac:dyDescent="0.35">
      <c r="A113" s="13" t="s">
        <v>20</v>
      </c>
      <c r="C113" s="13" t="s">
        <v>548</v>
      </c>
      <c r="D113" s="13" t="s">
        <v>468</v>
      </c>
      <c r="E113" s="13">
        <v>71.599999999999994</v>
      </c>
      <c r="F113" s="13">
        <v>128.9</v>
      </c>
      <c r="G113" s="13">
        <v>9</v>
      </c>
      <c r="I113" s="30" t="s">
        <v>764</v>
      </c>
      <c r="J113" s="13" t="s">
        <v>469</v>
      </c>
      <c r="K113" s="31">
        <v>44016</v>
      </c>
      <c r="N113" s="14">
        <v>-15.921439374446868</v>
      </c>
      <c r="O113" s="29">
        <v>-124.87802823638916</v>
      </c>
      <c r="P113" s="29">
        <f>O113-8*N113</f>
        <v>2.4934867591857852</v>
      </c>
    </row>
    <row r="114" spans="1:16" x14ac:dyDescent="0.35">
      <c r="A114" s="13" t="s">
        <v>20</v>
      </c>
      <c r="C114" s="13" t="s">
        <v>548</v>
      </c>
      <c r="D114" s="13" t="s">
        <v>468</v>
      </c>
      <c r="E114" s="13">
        <v>71.599999999999994</v>
      </c>
      <c r="F114" s="13">
        <v>128.9</v>
      </c>
      <c r="G114" s="13">
        <v>9</v>
      </c>
      <c r="I114" s="30" t="s">
        <v>765</v>
      </c>
      <c r="J114" s="13" t="s">
        <v>469</v>
      </c>
      <c r="K114" s="31">
        <v>44017</v>
      </c>
      <c r="N114" s="14">
        <v>-17.583644790649412</v>
      </c>
      <c r="O114" s="29">
        <v>-140.79586446380614</v>
      </c>
      <c r="P114" s="29">
        <f>O114-8*N114</f>
        <v>-0.12670613861084234</v>
      </c>
    </row>
    <row r="115" spans="1:16" x14ac:dyDescent="0.35">
      <c r="A115" s="13" t="s">
        <v>20</v>
      </c>
      <c r="C115" s="13" t="s">
        <v>548</v>
      </c>
      <c r="D115" s="13" t="s">
        <v>468</v>
      </c>
      <c r="E115" s="13">
        <v>71.599999999999994</v>
      </c>
      <c r="F115" s="13">
        <v>128.9</v>
      </c>
      <c r="G115" s="13">
        <v>9</v>
      </c>
      <c r="I115" s="30" t="s">
        <v>766</v>
      </c>
      <c r="J115" s="13" t="s">
        <v>469</v>
      </c>
      <c r="K115" s="31">
        <v>44018</v>
      </c>
      <c r="N115" s="14">
        <v>-20.433251567840571</v>
      </c>
      <c r="O115" s="29">
        <v>-157.06961916351315</v>
      </c>
      <c r="P115" s="29">
        <f>O115-8*N115</f>
        <v>6.3963933792114176</v>
      </c>
    </row>
    <row r="116" spans="1:16" x14ac:dyDescent="0.35">
      <c r="A116" s="13" t="s">
        <v>20</v>
      </c>
      <c r="C116" s="13" t="s">
        <v>548</v>
      </c>
      <c r="D116" s="13" t="s">
        <v>468</v>
      </c>
      <c r="E116" s="13">
        <v>71.599999999999994</v>
      </c>
      <c r="F116" s="13">
        <v>128.9</v>
      </c>
      <c r="G116" s="13">
        <v>9</v>
      </c>
      <c r="I116" s="30" t="s">
        <v>767</v>
      </c>
      <c r="J116" s="13" t="s">
        <v>469</v>
      </c>
      <c r="K116" s="31">
        <v>44019</v>
      </c>
      <c r="N116" s="14">
        <v>-19.735618761405945</v>
      </c>
      <c r="O116" s="29">
        <v>-151.89525631713866</v>
      </c>
      <c r="P116" s="29">
        <f>O116-8*N116</f>
        <v>5.9896937741089005</v>
      </c>
    </row>
    <row r="117" spans="1:16" x14ac:dyDescent="0.35">
      <c r="A117" s="13" t="s">
        <v>20</v>
      </c>
      <c r="C117" s="13" t="s">
        <v>548</v>
      </c>
      <c r="D117" s="13" t="s">
        <v>468</v>
      </c>
      <c r="E117" s="13">
        <v>71.599999999999994</v>
      </c>
      <c r="F117" s="13">
        <v>128.9</v>
      </c>
      <c r="G117" s="13">
        <v>9</v>
      </c>
      <c r="I117" s="30" t="s">
        <v>768</v>
      </c>
      <c r="J117" s="13" t="s">
        <v>469</v>
      </c>
      <c r="K117" s="31">
        <v>44024</v>
      </c>
      <c r="N117" s="14">
        <v>-16.198903789062499</v>
      </c>
      <c r="O117" s="29">
        <v>-130.31068011474608</v>
      </c>
      <c r="P117" s="29">
        <f>O117-8*N117</f>
        <v>-0.71944980224608912</v>
      </c>
    </row>
    <row r="118" spans="1:16" x14ac:dyDescent="0.35">
      <c r="A118" s="13" t="s">
        <v>20</v>
      </c>
      <c r="C118" s="13" t="s">
        <v>548</v>
      </c>
      <c r="D118" s="13" t="s">
        <v>468</v>
      </c>
      <c r="E118" s="13">
        <v>71.599999999999994</v>
      </c>
      <c r="F118" s="13">
        <v>128.9</v>
      </c>
      <c r="G118" s="13">
        <v>9</v>
      </c>
      <c r="I118" s="30" t="s">
        <v>769</v>
      </c>
      <c r="J118" s="13" t="s">
        <v>469</v>
      </c>
      <c r="K118" s="31">
        <v>44025</v>
      </c>
      <c r="N118" s="14">
        <v>-14.949414949760435</v>
      </c>
      <c r="O118" s="29">
        <v>-122.75284829711913</v>
      </c>
      <c r="P118" s="29">
        <f>O118-8*N118</f>
        <v>-3.1575286990356517</v>
      </c>
    </row>
    <row r="119" spans="1:16" x14ac:dyDescent="0.35">
      <c r="A119" s="13" t="s">
        <v>20</v>
      </c>
      <c r="C119" s="13" t="s">
        <v>548</v>
      </c>
      <c r="D119" s="13" t="s">
        <v>468</v>
      </c>
      <c r="E119" s="13">
        <v>71.599999999999994</v>
      </c>
      <c r="F119" s="13">
        <v>128.9</v>
      </c>
      <c r="G119" s="13">
        <v>9</v>
      </c>
      <c r="I119" s="30" t="s">
        <v>770</v>
      </c>
      <c r="J119" s="13" t="s">
        <v>469</v>
      </c>
      <c r="K119" s="31">
        <v>44026</v>
      </c>
      <c r="N119" s="14">
        <v>-14.163633679504393</v>
      </c>
      <c r="O119" s="29">
        <v>-119.42378508682251</v>
      </c>
      <c r="P119" s="29">
        <f>O119-8*N119</f>
        <v>-6.1147156507873603</v>
      </c>
    </row>
    <row r="120" spans="1:16" x14ac:dyDescent="0.35">
      <c r="A120" s="13" t="s">
        <v>20</v>
      </c>
      <c r="C120" s="13" t="s">
        <v>548</v>
      </c>
      <c r="D120" s="13" t="s">
        <v>468</v>
      </c>
      <c r="E120" s="13">
        <v>71.599999999999994</v>
      </c>
      <c r="F120" s="13">
        <v>128.9</v>
      </c>
      <c r="G120" s="13">
        <v>9</v>
      </c>
      <c r="I120" s="30" t="s">
        <v>771</v>
      </c>
      <c r="J120" s="13" t="s">
        <v>469</v>
      </c>
      <c r="K120" s="31">
        <v>44030</v>
      </c>
      <c r="N120" s="14">
        <v>-11.040364080772397</v>
      </c>
      <c r="O120" s="29">
        <v>-105.07420196533204</v>
      </c>
      <c r="P120" s="29">
        <f>O120-8*N120</f>
        <v>-16.75128931915286</v>
      </c>
    </row>
    <row r="121" spans="1:16" x14ac:dyDescent="0.35">
      <c r="A121" s="13" t="s">
        <v>20</v>
      </c>
      <c r="C121" s="13" t="s">
        <v>548</v>
      </c>
      <c r="D121" s="13" t="s">
        <v>468</v>
      </c>
      <c r="E121" s="13">
        <v>71.599999999999994</v>
      </c>
      <c r="F121" s="13">
        <v>128.9</v>
      </c>
      <c r="G121" s="13">
        <v>9</v>
      </c>
      <c r="I121" s="30" t="s">
        <v>772</v>
      </c>
      <c r="J121" s="13" t="s">
        <v>469</v>
      </c>
      <c r="K121" s="31">
        <v>44031</v>
      </c>
      <c r="N121" s="14">
        <v>-13.338558082923887</v>
      </c>
      <c r="O121" s="29">
        <v>-110.78340167236328</v>
      </c>
      <c r="P121" s="29">
        <f>O121-8*N121</f>
        <v>-4.074937008972185</v>
      </c>
    </row>
    <row r="122" spans="1:16" x14ac:dyDescent="0.35">
      <c r="A122" s="13" t="s">
        <v>20</v>
      </c>
      <c r="C122" s="13" t="s">
        <v>548</v>
      </c>
      <c r="D122" s="13" t="s">
        <v>468</v>
      </c>
      <c r="E122" s="13">
        <v>71.599999999999994</v>
      </c>
      <c r="F122" s="13">
        <v>128.9</v>
      </c>
      <c r="G122" s="13">
        <v>9</v>
      </c>
      <c r="I122" s="30" t="s">
        <v>773</v>
      </c>
      <c r="J122" s="13" t="s">
        <v>469</v>
      </c>
      <c r="K122" s="31">
        <v>44035</v>
      </c>
      <c r="N122" s="14">
        <v>-11.529732446537016</v>
      </c>
      <c r="O122" s="29">
        <v>-103.03526274108887</v>
      </c>
      <c r="P122" s="29">
        <f>O122-8*N122</f>
        <v>-10.797403168792741</v>
      </c>
    </row>
    <row r="123" spans="1:16" x14ac:dyDescent="0.35">
      <c r="A123" s="13" t="s">
        <v>20</v>
      </c>
      <c r="C123" s="13" t="s">
        <v>548</v>
      </c>
      <c r="D123" s="13" t="s">
        <v>468</v>
      </c>
      <c r="E123" s="13">
        <v>71.599999999999994</v>
      </c>
      <c r="F123" s="13">
        <v>128.9</v>
      </c>
      <c r="G123" s="13">
        <v>9</v>
      </c>
      <c r="I123" s="30" t="s">
        <v>774</v>
      </c>
      <c r="J123" s="13" t="s">
        <v>469</v>
      </c>
      <c r="K123" s="31">
        <v>44037</v>
      </c>
      <c r="N123" s="14">
        <v>-15.546319217071531</v>
      </c>
      <c r="O123" s="29">
        <v>-123.87055560302734</v>
      </c>
      <c r="P123" s="29">
        <f>O123-8*N123</f>
        <v>0.49999813354490641</v>
      </c>
    </row>
    <row r="124" spans="1:16" x14ac:dyDescent="0.35">
      <c r="A124" s="13" t="s">
        <v>20</v>
      </c>
      <c r="C124" s="13" t="s">
        <v>548</v>
      </c>
      <c r="D124" s="13" t="s">
        <v>468</v>
      </c>
      <c r="E124" s="13">
        <v>71.599999999999994</v>
      </c>
      <c r="F124" s="13">
        <v>128.9</v>
      </c>
      <c r="G124" s="13">
        <v>9</v>
      </c>
      <c r="I124" s="30" t="s">
        <v>775</v>
      </c>
      <c r="J124" s="13" t="s">
        <v>469</v>
      </c>
      <c r="K124" s="31">
        <v>44038</v>
      </c>
      <c r="N124" s="14">
        <v>-16.429706321582792</v>
      </c>
      <c r="O124" s="29">
        <v>-125.44199951171873</v>
      </c>
      <c r="P124" s="29">
        <f>O124-8*N124</f>
        <v>5.9956510609436009</v>
      </c>
    </row>
    <row r="125" spans="1:16" x14ac:dyDescent="0.35">
      <c r="A125" s="13" t="s">
        <v>20</v>
      </c>
      <c r="C125" s="13" t="s">
        <v>548</v>
      </c>
      <c r="D125" s="13" t="s">
        <v>468</v>
      </c>
      <c r="E125" s="13">
        <v>71.599999999999994</v>
      </c>
      <c r="F125" s="13">
        <v>128.9</v>
      </c>
      <c r="G125" s="13">
        <v>9</v>
      </c>
      <c r="I125" s="30" t="s">
        <v>776</v>
      </c>
      <c r="J125" s="13" t="s">
        <v>469</v>
      </c>
      <c r="K125" s="31">
        <v>44039</v>
      </c>
      <c r="N125" s="14">
        <v>-15.23349846349716</v>
      </c>
      <c r="O125" s="29">
        <v>-122.23174859619141</v>
      </c>
      <c r="P125" s="29">
        <f>O125-8*N125</f>
        <v>-0.36376088821413077</v>
      </c>
    </row>
    <row r="126" spans="1:16" x14ac:dyDescent="0.35">
      <c r="A126" s="13" t="s">
        <v>20</v>
      </c>
      <c r="C126" s="13" t="s">
        <v>548</v>
      </c>
      <c r="D126" s="13" t="s">
        <v>468</v>
      </c>
      <c r="E126" s="13">
        <v>71.599999999999994</v>
      </c>
      <c r="F126" s="13">
        <v>128.9</v>
      </c>
      <c r="G126" s="13">
        <v>9</v>
      </c>
      <c r="I126" s="30" t="s">
        <v>777</v>
      </c>
      <c r="J126" s="13" t="s">
        <v>469</v>
      </c>
      <c r="K126" s="31">
        <v>44040</v>
      </c>
      <c r="N126" s="14">
        <v>-15.258372528419493</v>
      </c>
      <c r="O126" s="29">
        <v>-119.34556698608398</v>
      </c>
      <c r="P126" s="29">
        <f>O126-8*N126</f>
        <v>2.7214132412719607</v>
      </c>
    </row>
    <row r="127" spans="1:16" x14ac:dyDescent="0.35">
      <c r="A127" s="13" t="s">
        <v>20</v>
      </c>
      <c r="C127" s="13" t="s">
        <v>548</v>
      </c>
      <c r="D127" s="13" t="s">
        <v>468</v>
      </c>
      <c r="E127" s="13">
        <v>71.599999999999994</v>
      </c>
      <c r="F127" s="13">
        <v>128.9</v>
      </c>
      <c r="G127" s="13">
        <v>9</v>
      </c>
      <c r="I127" s="30" t="s">
        <v>778</v>
      </c>
      <c r="J127" s="13" t="s">
        <v>469</v>
      </c>
      <c r="K127" s="31">
        <v>44049</v>
      </c>
      <c r="N127" s="14">
        <v>-15.133938425407408</v>
      </c>
      <c r="O127" s="29">
        <v>-119.3599690246582</v>
      </c>
      <c r="P127" s="29">
        <f>O127-8*N127</f>
        <v>1.7115383786010625</v>
      </c>
    </row>
    <row r="128" spans="1:16" x14ac:dyDescent="0.35">
      <c r="A128" s="13" t="s">
        <v>20</v>
      </c>
      <c r="C128" s="13" t="s">
        <v>548</v>
      </c>
      <c r="D128" s="13" t="s">
        <v>468</v>
      </c>
      <c r="E128" s="13">
        <v>71.599999999999994</v>
      </c>
      <c r="F128" s="13">
        <v>128.9</v>
      </c>
      <c r="G128" s="13">
        <v>9</v>
      </c>
      <c r="I128" s="30" t="s">
        <v>779</v>
      </c>
      <c r="J128" s="13" t="s">
        <v>469</v>
      </c>
      <c r="K128" s="31">
        <v>44051</v>
      </c>
      <c r="N128" s="14">
        <v>-11.650252356395718</v>
      </c>
      <c r="O128" s="29">
        <v>-109.82183026123046</v>
      </c>
      <c r="P128" s="29">
        <f>O128-8*N128</f>
        <v>-16.619811410064713</v>
      </c>
    </row>
    <row r="129" spans="1:16" x14ac:dyDescent="0.35">
      <c r="A129" s="13" t="s">
        <v>20</v>
      </c>
      <c r="C129" s="13" t="s">
        <v>548</v>
      </c>
      <c r="D129" s="13" t="s">
        <v>468</v>
      </c>
      <c r="E129" s="13">
        <v>71.599999999999994</v>
      </c>
      <c r="F129" s="13">
        <v>128.9</v>
      </c>
      <c r="G129" s="13">
        <v>9</v>
      </c>
      <c r="I129" s="30" t="s">
        <v>780</v>
      </c>
      <c r="J129" s="13" t="s">
        <v>469</v>
      </c>
      <c r="K129" s="31">
        <v>44052</v>
      </c>
      <c r="N129" s="14">
        <v>-13.938084402046204</v>
      </c>
      <c r="O129" s="29">
        <v>-115.65929926300049</v>
      </c>
      <c r="P129" s="29">
        <f>O129-8*N129</f>
        <v>-4.1546240466308575</v>
      </c>
    </row>
    <row r="130" spans="1:16" x14ac:dyDescent="0.35">
      <c r="A130" s="13" t="s">
        <v>20</v>
      </c>
      <c r="C130" s="13" t="s">
        <v>548</v>
      </c>
      <c r="D130" s="13" t="s">
        <v>468</v>
      </c>
      <c r="E130" s="13">
        <v>71.599999999999994</v>
      </c>
      <c r="F130" s="13">
        <v>128.9</v>
      </c>
      <c r="G130" s="13">
        <v>9</v>
      </c>
      <c r="I130" s="30" t="s">
        <v>781</v>
      </c>
      <c r="J130" s="13" t="s">
        <v>469</v>
      </c>
      <c r="K130" s="31">
        <v>44055</v>
      </c>
      <c r="N130" s="14">
        <v>-18.603792084655758</v>
      </c>
      <c r="O130" s="29">
        <v>-142.74552304840086</v>
      </c>
      <c r="P130" s="29">
        <f>O130-8*N130</f>
        <v>6.084813628845211</v>
      </c>
    </row>
    <row r="131" spans="1:16" x14ac:dyDescent="0.35">
      <c r="A131" s="13" t="s">
        <v>20</v>
      </c>
      <c r="C131" s="13" t="s">
        <v>548</v>
      </c>
      <c r="D131" s="13" t="s">
        <v>468</v>
      </c>
      <c r="E131" s="13">
        <v>71.599999999999994</v>
      </c>
      <c r="F131" s="13">
        <v>128.9</v>
      </c>
      <c r="G131" s="13">
        <v>9</v>
      </c>
      <c r="I131" s="30" t="s">
        <v>782</v>
      </c>
      <c r="J131" s="13" t="s">
        <v>469</v>
      </c>
      <c r="K131" s="31">
        <v>44056</v>
      </c>
      <c r="N131" s="14">
        <v>-16.05154705329895</v>
      </c>
      <c r="O131" s="29">
        <v>-117.45048265838622</v>
      </c>
      <c r="P131" s="29">
        <f>O131-8*N131</f>
        <v>10.961893768005382</v>
      </c>
    </row>
    <row r="132" spans="1:16" x14ac:dyDescent="0.35">
      <c r="A132" s="13" t="s">
        <v>20</v>
      </c>
      <c r="C132" s="13" t="s">
        <v>548</v>
      </c>
      <c r="D132" s="13" t="s">
        <v>468</v>
      </c>
      <c r="E132" s="13">
        <v>71.599999999999994</v>
      </c>
      <c r="F132" s="13">
        <v>128.9</v>
      </c>
      <c r="G132" s="13">
        <v>9</v>
      </c>
      <c r="I132" s="30" t="s">
        <v>783</v>
      </c>
      <c r="J132" s="13" t="s">
        <v>469</v>
      </c>
      <c r="K132" s="31">
        <v>44057</v>
      </c>
      <c r="N132" s="14">
        <v>-14.050416153869628</v>
      </c>
      <c r="O132" s="29">
        <v>-114.27709336395264</v>
      </c>
      <c r="P132" s="29">
        <f>O132-8*N132</f>
        <v>-1.8737641329956176</v>
      </c>
    </row>
    <row r="133" spans="1:16" x14ac:dyDescent="0.35">
      <c r="A133" s="13" t="s">
        <v>20</v>
      </c>
      <c r="C133" s="13" t="s">
        <v>548</v>
      </c>
      <c r="D133" s="13" t="s">
        <v>468</v>
      </c>
      <c r="E133" s="13">
        <v>71.599999999999994</v>
      </c>
      <c r="F133" s="13">
        <v>128.9</v>
      </c>
      <c r="G133" s="13">
        <v>9</v>
      </c>
      <c r="I133" s="32" t="s">
        <v>784</v>
      </c>
      <c r="J133" s="13" t="s">
        <v>469</v>
      </c>
      <c r="K133" s="31">
        <v>44058</v>
      </c>
      <c r="N133" s="14">
        <v>-14.546739201507568</v>
      </c>
      <c r="O133" s="29">
        <v>-118.70431321258545</v>
      </c>
      <c r="P133" s="29">
        <f>O133-8*N133</f>
        <v>-2.330399600524899</v>
      </c>
    </row>
    <row r="134" spans="1:16" x14ac:dyDescent="0.35">
      <c r="A134" s="13" t="s">
        <v>20</v>
      </c>
      <c r="C134" s="13" t="s">
        <v>548</v>
      </c>
      <c r="D134" s="13" t="s">
        <v>468</v>
      </c>
      <c r="E134" s="13">
        <v>71.599999999999994</v>
      </c>
      <c r="F134" s="13">
        <v>128.9</v>
      </c>
      <c r="G134" s="13">
        <v>9</v>
      </c>
      <c r="I134" s="30" t="s">
        <v>785</v>
      </c>
      <c r="J134" s="13" t="s">
        <v>469</v>
      </c>
      <c r="K134" s="31">
        <v>44061</v>
      </c>
      <c r="N134" s="14">
        <v>-15.753651230773924</v>
      </c>
      <c r="O134" s="29">
        <v>-137.99518573303223</v>
      </c>
      <c r="P134" s="29">
        <f>O134-8*N134</f>
        <v>-11.965975886840837</v>
      </c>
    </row>
    <row r="135" spans="1:16" x14ac:dyDescent="0.35">
      <c r="A135" s="13" t="s">
        <v>20</v>
      </c>
      <c r="C135" s="13" t="s">
        <v>548</v>
      </c>
      <c r="D135" s="13" t="s">
        <v>468</v>
      </c>
      <c r="E135" s="13">
        <v>71.599999999999994</v>
      </c>
      <c r="F135" s="13">
        <v>128.9</v>
      </c>
      <c r="G135" s="13">
        <v>9</v>
      </c>
      <c r="I135" s="30" t="s">
        <v>786</v>
      </c>
      <c r="J135" s="13" t="s">
        <v>469</v>
      </c>
      <c r="K135" s="31">
        <v>44062</v>
      </c>
      <c r="N135" s="14">
        <v>-13.14670834060669</v>
      </c>
      <c r="O135" s="29">
        <v>-121.80755943603516</v>
      </c>
      <c r="P135" s="29">
        <f>O135-8*N135</f>
        <v>-16.633892711181645</v>
      </c>
    </row>
    <row r="136" spans="1:16" x14ac:dyDescent="0.35">
      <c r="A136" s="13" t="s">
        <v>20</v>
      </c>
      <c r="C136" s="13" t="s">
        <v>548</v>
      </c>
      <c r="D136" s="13" t="s">
        <v>468</v>
      </c>
      <c r="E136" s="13">
        <v>71.599999999999994</v>
      </c>
      <c r="F136" s="13">
        <v>128.9</v>
      </c>
      <c r="G136" s="13">
        <v>9</v>
      </c>
      <c r="I136" s="30" t="s">
        <v>787</v>
      </c>
      <c r="J136" s="13" t="s">
        <v>469</v>
      </c>
      <c r="K136" s="31">
        <v>44063</v>
      </c>
      <c r="N136" s="14">
        <v>-15.549544255218509</v>
      </c>
      <c r="O136" s="29">
        <v>-118.94375596923828</v>
      </c>
      <c r="P136" s="29">
        <f>O136-8*N136</f>
        <v>5.4525980725097867</v>
      </c>
    </row>
    <row r="137" spans="1:16" x14ac:dyDescent="0.35">
      <c r="A137" s="13" t="s">
        <v>20</v>
      </c>
      <c r="C137" s="13" t="s">
        <v>548</v>
      </c>
      <c r="D137" s="13" t="s">
        <v>468</v>
      </c>
      <c r="E137" s="13">
        <v>71.599999999999994</v>
      </c>
      <c r="F137" s="13">
        <v>128.9</v>
      </c>
      <c r="G137" s="13">
        <v>9</v>
      </c>
      <c r="I137" s="30" t="s">
        <v>788</v>
      </c>
      <c r="J137" s="13" t="s">
        <v>469</v>
      </c>
      <c r="K137" s="31">
        <v>44064</v>
      </c>
      <c r="N137" s="14">
        <v>-13.987917015991211</v>
      </c>
      <c r="O137" s="29">
        <v>-115.16382728118897</v>
      </c>
      <c r="P137" s="29">
        <f>O137-8*N137</f>
        <v>-3.2604911532592808</v>
      </c>
    </row>
    <row r="138" spans="1:16" x14ac:dyDescent="0.35">
      <c r="A138" s="13" t="s">
        <v>20</v>
      </c>
      <c r="C138" s="13" t="s">
        <v>548</v>
      </c>
      <c r="D138" s="13" t="s">
        <v>468</v>
      </c>
      <c r="E138" s="13">
        <v>71.599999999999994</v>
      </c>
      <c r="F138" s="13">
        <v>128.9</v>
      </c>
      <c r="G138" s="13">
        <v>9</v>
      </c>
      <c r="I138" s="30" t="s">
        <v>789</v>
      </c>
      <c r="J138" s="13" t="s">
        <v>469</v>
      </c>
      <c r="K138" s="31">
        <v>44065</v>
      </c>
      <c r="N138" s="14">
        <v>-14.69219327255249</v>
      </c>
      <c r="O138" s="29">
        <v>-118.26009878845215</v>
      </c>
      <c r="P138" s="29">
        <f>O138-8*N138</f>
        <v>-0.72255260803223109</v>
      </c>
    </row>
    <row r="139" spans="1:16" x14ac:dyDescent="0.35">
      <c r="A139" s="13" t="s">
        <v>20</v>
      </c>
      <c r="C139" s="13" t="s">
        <v>548</v>
      </c>
      <c r="D139" s="13" t="s">
        <v>468</v>
      </c>
      <c r="E139" s="13">
        <v>71.599999999999994</v>
      </c>
      <c r="F139" s="13">
        <v>128.9</v>
      </c>
      <c r="G139" s="13">
        <v>9</v>
      </c>
      <c r="I139" s="30" t="s">
        <v>790</v>
      </c>
      <c r="J139" s="13" t="s">
        <v>469</v>
      </c>
      <c r="K139" s="31">
        <v>44066</v>
      </c>
      <c r="N139" s="14">
        <v>-15.080024197540283</v>
      </c>
      <c r="O139" s="29">
        <v>-118.34352539367676</v>
      </c>
      <c r="P139" s="29">
        <f>O139-8*N139</f>
        <v>2.2966681866455048</v>
      </c>
    </row>
    <row r="140" spans="1:16" x14ac:dyDescent="0.35">
      <c r="A140" s="13" t="s">
        <v>20</v>
      </c>
      <c r="C140" s="13" t="s">
        <v>548</v>
      </c>
      <c r="D140" s="13" t="s">
        <v>468</v>
      </c>
      <c r="E140" s="13">
        <v>71.599999999999994</v>
      </c>
      <c r="F140" s="13">
        <v>128.9</v>
      </c>
      <c r="G140" s="13">
        <v>9</v>
      </c>
      <c r="I140" s="30" t="s">
        <v>791</v>
      </c>
      <c r="J140" s="13" t="s">
        <v>469</v>
      </c>
      <c r="K140" s="31">
        <v>44078</v>
      </c>
      <c r="N140" s="14">
        <v>-14.713636239013672</v>
      </c>
      <c r="O140" s="29">
        <v>-124.88418924255372</v>
      </c>
      <c r="P140" s="29">
        <f>O140-8*N140</f>
        <v>-7.1750993304443398</v>
      </c>
    </row>
    <row r="141" spans="1:16" x14ac:dyDescent="0.35">
      <c r="A141" s="13" t="s">
        <v>20</v>
      </c>
      <c r="C141" s="13" t="s">
        <v>548</v>
      </c>
      <c r="D141" s="13" t="s">
        <v>468</v>
      </c>
      <c r="E141" s="13">
        <v>71.599999999999994</v>
      </c>
      <c r="F141" s="13">
        <v>128.9</v>
      </c>
      <c r="G141" s="13">
        <v>9</v>
      </c>
      <c r="I141" s="30" t="s">
        <v>792</v>
      </c>
      <c r="J141" s="13" t="s">
        <v>469</v>
      </c>
      <c r="K141" s="31">
        <v>44079</v>
      </c>
      <c r="N141" s="14">
        <v>-14.971028435668945</v>
      </c>
      <c r="O141" s="29">
        <v>-127.38970228881837</v>
      </c>
      <c r="P141" s="29">
        <f>O141-8*N141</f>
        <v>-7.6214748034668105</v>
      </c>
    </row>
    <row r="142" spans="1:16" x14ac:dyDescent="0.35">
      <c r="A142" s="13" t="s">
        <v>20</v>
      </c>
      <c r="C142" s="13" t="s">
        <v>548</v>
      </c>
      <c r="D142" s="13" t="s">
        <v>468</v>
      </c>
      <c r="E142" s="13">
        <v>71.599999999999994</v>
      </c>
      <c r="F142" s="13">
        <v>128.9</v>
      </c>
      <c r="G142" s="13">
        <v>9</v>
      </c>
      <c r="I142" s="30" t="s">
        <v>793</v>
      </c>
      <c r="J142" s="13" t="s">
        <v>469</v>
      </c>
      <c r="K142" s="31">
        <v>44080</v>
      </c>
      <c r="N142" s="14">
        <v>-16.832495041809082</v>
      </c>
      <c r="O142" s="29">
        <v>-130.78922266845703</v>
      </c>
      <c r="P142" s="29">
        <f>O142-8*N142</f>
        <v>3.8707376660156285</v>
      </c>
    </row>
    <row r="143" spans="1:16" x14ac:dyDescent="0.35">
      <c r="A143" s="13" t="s">
        <v>20</v>
      </c>
      <c r="C143" s="13" t="s">
        <v>548</v>
      </c>
      <c r="D143" s="13" t="s">
        <v>468</v>
      </c>
      <c r="E143" s="13">
        <v>71.599999999999994</v>
      </c>
      <c r="F143" s="13">
        <v>128.9</v>
      </c>
      <c r="G143" s="13">
        <v>9</v>
      </c>
      <c r="I143" s="30" t="s">
        <v>794</v>
      </c>
      <c r="J143" s="13" t="s">
        <v>469</v>
      </c>
      <c r="K143" s="31">
        <v>44081</v>
      </c>
      <c r="N143" s="14">
        <v>-14.963521597824098</v>
      </c>
      <c r="O143" s="29">
        <v>-123.68341981201171</v>
      </c>
      <c r="P143" s="29">
        <f>O143-8*N143</f>
        <v>-3.9752470294189237</v>
      </c>
    </row>
    <row r="144" spans="1:16" x14ac:dyDescent="0.35">
      <c r="A144" s="13" t="s">
        <v>20</v>
      </c>
      <c r="C144" s="13" t="s">
        <v>548</v>
      </c>
      <c r="D144" s="13" t="s">
        <v>468</v>
      </c>
      <c r="E144" s="13">
        <v>71.599999999999994</v>
      </c>
      <c r="F144" s="13">
        <v>128.9</v>
      </c>
      <c r="G144" s="13">
        <v>9</v>
      </c>
      <c r="I144" s="30" t="s">
        <v>795</v>
      </c>
      <c r="J144" s="13" t="s">
        <v>469</v>
      </c>
      <c r="K144" s="31">
        <v>44100</v>
      </c>
      <c r="N144" s="14">
        <v>-16.135589333496092</v>
      </c>
      <c r="O144" s="29">
        <v>-126.38942963867187</v>
      </c>
      <c r="P144" s="29">
        <f>O144-8*N144</f>
        <v>2.6952850292968691</v>
      </c>
    </row>
    <row r="145" spans="1:16" x14ac:dyDescent="0.35">
      <c r="A145" s="13" t="s">
        <v>20</v>
      </c>
      <c r="C145" s="13" t="s">
        <v>548</v>
      </c>
      <c r="D145" s="13" t="s">
        <v>468</v>
      </c>
      <c r="E145" s="13">
        <v>71.599999999999994</v>
      </c>
      <c r="F145" s="13">
        <v>128.9</v>
      </c>
      <c r="G145" s="13">
        <v>9</v>
      </c>
      <c r="I145" s="30" t="s">
        <v>796</v>
      </c>
      <c r="J145" s="13" t="s">
        <v>469</v>
      </c>
      <c r="K145" s="31">
        <v>44101</v>
      </c>
      <c r="N145" s="14">
        <v>-16.207456719360351</v>
      </c>
      <c r="O145" s="29">
        <v>-126.89535450439452</v>
      </c>
      <c r="P145" s="29">
        <f>O145-8*N145</f>
        <v>2.7642992504882926</v>
      </c>
    </row>
    <row r="146" spans="1:16" x14ac:dyDescent="0.35">
      <c r="A146" s="13" t="s">
        <v>20</v>
      </c>
      <c r="C146" s="13" t="s">
        <v>548</v>
      </c>
      <c r="D146" s="13" t="s">
        <v>468</v>
      </c>
      <c r="E146" s="13">
        <v>71.599999999999994</v>
      </c>
      <c r="F146" s="13">
        <v>128.9</v>
      </c>
      <c r="G146" s="13">
        <v>9</v>
      </c>
      <c r="I146" s="30" t="s">
        <v>797</v>
      </c>
      <c r="J146" s="13" t="s">
        <v>469</v>
      </c>
      <c r="K146" s="31">
        <v>44103</v>
      </c>
      <c r="N146" s="14">
        <v>-17.423623593292238</v>
      </c>
      <c r="O146" s="29">
        <v>-135.6923776977539</v>
      </c>
      <c r="P146" s="29">
        <f>O146-8*N146</f>
        <v>3.6966110485840034</v>
      </c>
    </row>
    <row r="147" spans="1:16" x14ac:dyDescent="0.35">
      <c r="A147" s="13" t="s">
        <v>20</v>
      </c>
      <c r="C147" s="13" t="s">
        <v>548</v>
      </c>
      <c r="D147" s="13" t="s">
        <v>468</v>
      </c>
      <c r="E147" s="13">
        <v>71.599999999999994</v>
      </c>
      <c r="F147" s="13">
        <v>128.9</v>
      </c>
      <c r="G147" s="13">
        <v>9</v>
      </c>
      <c r="I147" s="30" t="s">
        <v>798</v>
      </c>
      <c r="J147" s="13" t="s">
        <v>469</v>
      </c>
      <c r="K147" s="31">
        <v>44104</v>
      </c>
      <c r="N147" s="14">
        <v>-17.526050480804443</v>
      </c>
      <c r="O147" s="29">
        <v>-137.0433700073242</v>
      </c>
      <c r="P147" s="29">
        <f>O147-8*N147</f>
        <v>3.1650338391113451</v>
      </c>
    </row>
    <row r="148" spans="1:16" x14ac:dyDescent="0.35">
      <c r="A148" s="13" t="s">
        <v>20</v>
      </c>
      <c r="C148" s="13" t="s">
        <v>548</v>
      </c>
      <c r="D148" s="13" t="s">
        <v>468</v>
      </c>
      <c r="E148" s="13">
        <v>71.599999999999994</v>
      </c>
      <c r="F148" s="13">
        <v>128.9</v>
      </c>
      <c r="G148" s="13">
        <v>9</v>
      </c>
      <c r="I148" s="30" t="s">
        <v>799</v>
      </c>
      <c r="J148" s="13" t="s">
        <v>469</v>
      </c>
      <c r="K148" s="31">
        <v>44106</v>
      </c>
      <c r="N148" s="14">
        <v>-17.427121022186281</v>
      </c>
      <c r="O148" s="29">
        <v>-136.91876948242188</v>
      </c>
      <c r="P148" s="29">
        <f>O148-8*N148</f>
        <v>2.4981986950683677</v>
      </c>
    </row>
    <row r="149" spans="1:16" x14ac:dyDescent="0.35">
      <c r="A149" s="13" t="s">
        <v>20</v>
      </c>
      <c r="C149" s="13" t="s">
        <v>548</v>
      </c>
      <c r="D149" s="13" t="s">
        <v>468</v>
      </c>
      <c r="E149" s="13">
        <v>71.599999999999994</v>
      </c>
      <c r="F149" s="13">
        <v>128.9</v>
      </c>
      <c r="G149" s="13">
        <v>9</v>
      </c>
      <c r="I149" s="30" t="s">
        <v>800</v>
      </c>
      <c r="J149" s="13" t="s">
        <v>469</v>
      </c>
      <c r="K149" s="31">
        <v>44109</v>
      </c>
      <c r="N149" s="14">
        <v>-16.508713395080566</v>
      </c>
      <c r="O149" s="29">
        <v>-130.14737543945313</v>
      </c>
      <c r="P149" s="29">
        <f>O149-8*N149</f>
        <v>1.9223317211913979</v>
      </c>
    </row>
    <row r="150" spans="1:16" x14ac:dyDescent="0.35">
      <c r="A150" s="13" t="s">
        <v>20</v>
      </c>
      <c r="C150" s="13" t="s">
        <v>548</v>
      </c>
      <c r="D150" s="13" t="s">
        <v>468</v>
      </c>
      <c r="E150" s="13">
        <v>71.599999999999994</v>
      </c>
      <c r="F150" s="13">
        <v>128.9</v>
      </c>
      <c r="G150" s="13">
        <v>9</v>
      </c>
      <c r="I150" s="30" t="s">
        <v>801</v>
      </c>
      <c r="J150" s="13" t="s">
        <v>469</v>
      </c>
      <c r="K150" s="31">
        <v>44114</v>
      </c>
      <c r="N150" s="14">
        <v>-15.391025900802612</v>
      </c>
      <c r="O150" s="29">
        <v>-119.59695225219726</v>
      </c>
      <c r="P150" s="29">
        <f>O150-8*N150</f>
        <v>3.5312549542236411</v>
      </c>
    </row>
    <row r="151" spans="1:16" x14ac:dyDescent="0.35">
      <c r="A151" s="13" t="s">
        <v>20</v>
      </c>
      <c r="C151" s="13" t="s">
        <v>548</v>
      </c>
      <c r="D151" s="13" t="s">
        <v>468</v>
      </c>
      <c r="E151" s="13">
        <v>71.599999999999994</v>
      </c>
      <c r="F151" s="13">
        <v>128.9</v>
      </c>
      <c r="G151" s="13">
        <v>9</v>
      </c>
      <c r="I151" s="30" t="s">
        <v>802</v>
      </c>
      <c r="J151" s="13" t="s">
        <v>469</v>
      </c>
      <c r="K151" s="31">
        <v>44120</v>
      </c>
      <c r="N151" s="14">
        <v>-16.753619972724913</v>
      </c>
      <c r="O151" s="29">
        <v>-135.04731401977537</v>
      </c>
      <c r="P151" s="29">
        <f>O151-8*N151</f>
        <v>-1.0183542379760695</v>
      </c>
    </row>
  </sheetData>
  <sortState ref="A2:T151">
    <sortCondition ref="K2"/>
  </sortState>
  <pageMargins left="0.7" right="0.7" top="0.75" bottom="0.75" header="0.3" footer="0.3"/>
  <pageSetup paperSize="9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1ADC-FF9C-4BEA-A9B7-CEB22BE74864}">
  <dimension ref="A1:T116"/>
  <sheetViews>
    <sheetView zoomScale="85" zoomScaleNormal="85" workbookViewId="0">
      <selection activeCell="P1" sqref="P1"/>
    </sheetView>
  </sheetViews>
  <sheetFormatPr defaultRowHeight="14.5" x14ac:dyDescent="0.35"/>
  <cols>
    <col min="1" max="1" width="8.81640625" style="5" customWidth="1"/>
    <col min="2" max="2" width="6.81640625" style="5" bestFit="1" customWidth="1"/>
    <col min="3" max="3" width="31.36328125" style="5" bestFit="1" customWidth="1"/>
    <col min="4" max="4" width="7.54296875" style="5" bestFit="1" customWidth="1"/>
    <col min="5" max="5" width="7.7265625" style="5" bestFit="1" customWidth="1"/>
    <col min="6" max="6" width="9.08984375" style="5" bestFit="1" customWidth="1"/>
    <col min="7" max="7" width="10.90625" style="5" bestFit="1" customWidth="1"/>
    <col min="8" max="8" width="10.54296875" style="5" bestFit="1" customWidth="1"/>
    <col min="9" max="9" width="19.08984375" style="5" bestFit="1" customWidth="1"/>
    <col min="10" max="10" width="10.54296875" style="5" bestFit="1" customWidth="1"/>
    <col min="11" max="11" width="11.7265625" style="34" bestFit="1" customWidth="1"/>
    <col min="12" max="12" width="13.54296875" style="5" bestFit="1" customWidth="1"/>
    <col min="13" max="13" width="12.08984375" style="5" bestFit="1" customWidth="1"/>
    <col min="14" max="14" width="22.81640625" style="5" bestFit="1" customWidth="1"/>
    <col min="15" max="15" width="21.36328125" style="5" bestFit="1" customWidth="1"/>
    <col min="16" max="16" width="8" style="35" bestFit="1" customWidth="1"/>
    <col min="17" max="17" width="24.08984375" style="5" bestFit="1" customWidth="1"/>
    <col min="18" max="18" width="18.36328125" style="5" bestFit="1" customWidth="1"/>
    <col min="19" max="19" width="14.81640625" style="5" bestFit="1" customWidth="1"/>
    <col min="20" max="20" width="8.453125" style="5" bestFit="1" customWidth="1"/>
    <col min="21" max="16384" width="8.7265625" style="5"/>
  </cols>
  <sheetData>
    <row r="1" spans="1:2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6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2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5" t="s">
        <v>20</v>
      </c>
      <c r="C2" s="5" t="s">
        <v>548</v>
      </c>
      <c r="D2" s="5" t="s">
        <v>468</v>
      </c>
      <c r="E2" s="5">
        <v>72.22</v>
      </c>
      <c r="F2" s="5">
        <v>126.29</v>
      </c>
      <c r="G2" s="5">
        <v>9</v>
      </c>
      <c r="I2" s="5" t="s">
        <v>549</v>
      </c>
      <c r="K2" s="34">
        <v>43710</v>
      </c>
      <c r="N2" s="7">
        <v>-16.280974841308591</v>
      </c>
      <c r="O2" s="35">
        <v>-128.03928981781007</v>
      </c>
      <c r="P2" s="35">
        <f>O2-(8*N2)</f>
        <v>2.2085089126586581</v>
      </c>
    </row>
    <row r="3" spans="1:20" x14ac:dyDescent="0.35">
      <c r="A3" s="5" t="s">
        <v>20</v>
      </c>
      <c r="C3" s="5" t="s">
        <v>548</v>
      </c>
      <c r="D3" s="5" t="s">
        <v>468</v>
      </c>
      <c r="E3" s="5">
        <v>72.22</v>
      </c>
      <c r="F3" s="5">
        <v>126.29</v>
      </c>
      <c r="G3" s="5">
        <v>9</v>
      </c>
      <c r="I3" s="36" t="s">
        <v>550</v>
      </c>
      <c r="K3" s="34">
        <v>43713</v>
      </c>
      <c r="N3" s="7">
        <v>-18.032608962249753</v>
      </c>
      <c r="O3" s="35">
        <v>-131.75204664611817</v>
      </c>
      <c r="P3" s="35">
        <f t="shared" ref="P3:P66" si="0">O3-(8*N3)</f>
        <v>12.508825051879853</v>
      </c>
    </row>
    <row r="4" spans="1:20" x14ac:dyDescent="0.35">
      <c r="A4" s="5" t="s">
        <v>20</v>
      </c>
      <c r="C4" s="5" t="s">
        <v>548</v>
      </c>
      <c r="D4" s="5" t="s">
        <v>468</v>
      </c>
      <c r="E4" s="5">
        <v>72.22</v>
      </c>
      <c r="F4" s="5">
        <v>126.29</v>
      </c>
      <c r="G4" s="5">
        <v>9</v>
      </c>
      <c r="I4" s="36" t="s">
        <v>551</v>
      </c>
      <c r="K4" s="34">
        <v>43714</v>
      </c>
      <c r="N4" s="7">
        <v>-14.912989064884185</v>
      </c>
      <c r="O4" s="35">
        <v>-108.90428414916991</v>
      </c>
      <c r="P4" s="35">
        <f t="shared" si="0"/>
        <v>10.399628369903567</v>
      </c>
    </row>
    <row r="5" spans="1:20" x14ac:dyDescent="0.35">
      <c r="A5" s="5" t="s">
        <v>20</v>
      </c>
      <c r="C5" s="5" t="s">
        <v>548</v>
      </c>
      <c r="D5" s="5" t="s">
        <v>468</v>
      </c>
      <c r="E5" s="5">
        <v>72.22</v>
      </c>
      <c r="F5" s="5">
        <v>126.29</v>
      </c>
      <c r="G5" s="5">
        <v>9</v>
      </c>
      <c r="I5" s="5" t="s">
        <v>552</v>
      </c>
      <c r="K5" s="34">
        <v>43716</v>
      </c>
      <c r="N5" s="7">
        <v>-14.727620551300049</v>
      </c>
      <c r="O5" s="35">
        <v>-109.39892620468139</v>
      </c>
      <c r="P5" s="35">
        <f t="shared" si="0"/>
        <v>8.4220382057190051</v>
      </c>
    </row>
    <row r="6" spans="1:20" x14ac:dyDescent="0.35">
      <c r="A6" s="5" t="s">
        <v>20</v>
      </c>
      <c r="C6" s="5" t="s">
        <v>548</v>
      </c>
      <c r="D6" s="5" t="s">
        <v>468</v>
      </c>
      <c r="E6" s="5">
        <v>72.22</v>
      </c>
      <c r="F6" s="5">
        <v>126.29</v>
      </c>
      <c r="G6" s="5">
        <v>9</v>
      </c>
      <c r="I6" s="36" t="s">
        <v>553</v>
      </c>
      <c r="K6" s="34">
        <v>43720</v>
      </c>
      <c r="N6" s="7">
        <v>-15.855914308547971</v>
      </c>
      <c r="O6" s="35">
        <v>-118.42308298492432</v>
      </c>
      <c r="P6" s="35">
        <f t="shared" si="0"/>
        <v>8.4242314834594509</v>
      </c>
    </row>
    <row r="7" spans="1:20" x14ac:dyDescent="0.35">
      <c r="A7" s="5" t="s">
        <v>20</v>
      </c>
      <c r="C7" s="5" t="s">
        <v>548</v>
      </c>
      <c r="D7" s="5" t="s">
        <v>468</v>
      </c>
      <c r="E7" s="5">
        <v>72.22</v>
      </c>
      <c r="F7" s="5">
        <v>126.29</v>
      </c>
      <c r="G7" s="5">
        <v>9</v>
      </c>
      <c r="I7" s="36" t="s">
        <v>554</v>
      </c>
      <c r="K7" s="34">
        <v>43723</v>
      </c>
      <c r="N7" s="7">
        <v>-16.268534873199464</v>
      </c>
      <c r="O7" s="35">
        <v>-120.23176345825195</v>
      </c>
      <c r="P7" s="35">
        <f t="shared" si="0"/>
        <v>9.916515527343762</v>
      </c>
    </row>
    <row r="8" spans="1:20" x14ac:dyDescent="0.35">
      <c r="A8" s="5" t="s">
        <v>20</v>
      </c>
      <c r="C8" s="5" t="s">
        <v>548</v>
      </c>
      <c r="D8" s="5" t="s">
        <v>468</v>
      </c>
      <c r="E8" s="5">
        <v>72.22</v>
      </c>
      <c r="F8" s="5">
        <v>126.29</v>
      </c>
      <c r="G8" s="5">
        <v>9</v>
      </c>
      <c r="I8" s="36" t="s">
        <v>555</v>
      </c>
      <c r="K8" s="34">
        <v>43730</v>
      </c>
      <c r="N8" s="7">
        <v>-22.153840964508056</v>
      </c>
      <c r="O8" s="35">
        <v>-163.16973052978514</v>
      </c>
      <c r="P8" s="35">
        <f t="shared" si="0"/>
        <v>14.060997186279309</v>
      </c>
    </row>
    <row r="9" spans="1:20" x14ac:dyDescent="0.35">
      <c r="A9" s="5" t="s">
        <v>20</v>
      </c>
      <c r="C9" s="5" t="s">
        <v>548</v>
      </c>
      <c r="D9" s="5" t="s">
        <v>468</v>
      </c>
      <c r="E9" s="5">
        <v>72.22</v>
      </c>
      <c r="F9" s="5">
        <v>126.29</v>
      </c>
      <c r="G9" s="5">
        <v>9</v>
      </c>
      <c r="I9" s="36" t="s">
        <v>556</v>
      </c>
      <c r="K9" s="34">
        <v>43732</v>
      </c>
      <c r="N9" s="7">
        <v>-22.429316296768189</v>
      </c>
      <c r="O9" s="35">
        <v>-166.1896725463867</v>
      </c>
      <c r="P9" s="35">
        <f t="shared" si="0"/>
        <v>13.244857827758807</v>
      </c>
    </row>
    <row r="10" spans="1:20" x14ac:dyDescent="0.35">
      <c r="A10" s="5" t="s">
        <v>20</v>
      </c>
      <c r="C10" s="5" t="s">
        <v>548</v>
      </c>
      <c r="D10" s="5" t="s">
        <v>468</v>
      </c>
      <c r="E10" s="5">
        <v>72.22</v>
      </c>
      <c r="F10" s="5">
        <v>126.29</v>
      </c>
      <c r="G10" s="5">
        <v>9</v>
      </c>
      <c r="I10" s="36" t="s">
        <v>557</v>
      </c>
      <c r="K10" s="34">
        <v>43733</v>
      </c>
      <c r="N10" s="7">
        <v>-18.015874888610842</v>
      </c>
      <c r="O10" s="35">
        <v>-133.12469985961914</v>
      </c>
      <c r="P10" s="35">
        <f t="shared" si="0"/>
        <v>11.002299249267594</v>
      </c>
    </row>
    <row r="11" spans="1:20" x14ac:dyDescent="0.35">
      <c r="A11" s="5" t="s">
        <v>20</v>
      </c>
      <c r="C11" s="5" t="s">
        <v>548</v>
      </c>
      <c r="D11" s="5" t="s">
        <v>468</v>
      </c>
      <c r="E11" s="5">
        <v>72.22</v>
      </c>
      <c r="F11" s="5">
        <v>126.29</v>
      </c>
      <c r="G11" s="5">
        <v>9</v>
      </c>
      <c r="I11" s="36" t="s">
        <v>558</v>
      </c>
      <c r="K11" s="34">
        <v>43735</v>
      </c>
      <c r="N11" s="7">
        <v>-20.308415049743655</v>
      </c>
      <c r="O11" s="35">
        <v>-146.78805923461914</v>
      </c>
      <c r="P11" s="35">
        <f t="shared" si="0"/>
        <v>15.679261163330096</v>
      </c>
    </row>
    <row r="12" spans="1:20" x14ac:dyDescent="0.35">
      <c r="A12" s="5" t="s">
        <v>20</v>
      </c>
      <c r="C12" s="5" t="s">
        <v>548</v>
      </c>
      <c r="D12" s="5" t="s">
        <v>468</v>
      </c>
      <c r="E12" s="5">
        <v>72.22</v>
      </c>
      <c r="F12" s="5">
        <v>126.29</v>
      </c>
      <c r="G12" s="5">
        <v>9</v>
      </c>
      <c r="I12" s="36" t="s">
        <v>559</v>
      </c>
      <c r="K12" s="34">
        <v>43738</v>
      </c>
      <c r="N12" s="7">
        <v>-22.833543158721927</v>
      </c>
      <c r="O12" s="35">
        <v>-167.89663040161133</v>
      </c>
      <c r="P12" s="35">
        <f t="shared" si="0"/>
        <v>14.771714868164082</v>
      </c>
    </row>
    <row r="13" spans="1:20" x14ac:dyDescent="0.35">
      <c r="A13" s="5" t="s">
        <v>20</v>
      </c>
      <c r="C13" s="5" t="s">
        <v>548</v>
      </c>
      <c r="D13" s="5" t="s">
        <v>468</v>
      </c>
      <c r="E13" s="5">
        <v>72.22</v>
      </c>
      <c r="F13" s="5">
        <v>126.29</v>
      </c>
      <c r="G13" s="5">
        <v>9</v>
      </c>
      <c r="I13" s="36" t="s">
        <v>560</v>
      </c>
      <c r="K13" s="34">
        <v>43739</v>
      </c>
      <c r="N13" s="7">
        <v>-22.891630244445803</v>
      </c>
      <c r="O13" s="35">
        <v>-170.36702514648437</v>
      </c>
      <c r="P13" s="35">
        <f t="shared" si="0"/>
        <v>12.76601680908206</v>
      </c>
    </row>
    <row r="14" spans="1:20" x14ac:dyDescent="0.35">
      <c r="A14" s="5" t="s">
        <v>20</v>
      </c>
      <c r="C14" s="5" t="s">
        <v>548</v>
      </c>
      <c r="D14" s="5" t="s">
        <v>468</v>
      </c>
      <c r="E14" s="5">
        <v>72.22</v>
      </c>
      <c r="F14" s="5">
        <v>126.29</v>
      </c>
      <c r="G14" s="5">
        <v>9</v>
      </c>
      <c r="I14" s="36" t="s">
        <v>561</v>
      </c>
      <c r="K14" s="34">
        <v>43743</v>
      </c>
      <c r="N14" s="7">
        <v>-16.905640631866458</v>
      </c>
      <c r="O14" s="35">
        <v>-129.47474479675293</v>
      </c>
      <c r="P14" s="35">
        <f t="shared" si="0"/>
        <v>5.7703802581787329</v>
      </c>
    </row>
    <row r="15" spans="1:20" x14ac:dyDescent="0.35">
      <c r="A15" s="5" t="s">
        <v>20</v>
      </c>
      <c r="C15" s="5" t="s">
        <v>548</v>
      </c>
      <c r="D15" s="5" t="s">
        <v>468</v>
      </c>
      <c r="E15" s="5">
        <v>72.22</v>
      </c>
      <c r="F15" s="5">
        <v>126.29</v>
      </c>
      <c r="G15" s="5">
        <v>9</v>
      </c>
      <c r="I15" s="36" t="s">
        <v>562</v>
      </c>
      <c r="K15" s="34">
        <v>43753</v>
      </c>
      <c r="N15" s="7">
        <v>-22.455241172027591</v>
      </c>
      <c r="O15" s="35">
        <v>-170.60403396606446</v>
      </c>
      <c r="P15" s="35">
        <f t="shared" si="0"/>
        <v>9.037895410156267</v>
      </c>
    </row>
    <row r="16" spans="1:20" x14ac:dyDescent="0.35">
      <c r="A16" s="5" t="s">
        <v>20</v>
      </c>
      <c r="C16" s="5" t="s">
        <v>548</v>
      </c>
      <c r="D16" s="5" t="s">
        <v>468</v>
      </c>
      <c r="E16" s="5">
        <v>72.22</v>
      </c>
      <c r="F16" s="5">
        <v>126.29</v>
      </c>
      <c r="G16" s="5">
        <v>9</v>
      </c>
      <c r="I16" s="36" t="s">
        <v>563</v>
      </c>
      <c r="K16" s="34">
        <v>43755</v>
      </c>
      <c r="N16" s="7">
        <v>-16.266148331832888</v>
      </c>
      <c r="O16" s="35">
        <v>-129.24498107910156</v>
      </c>
      <c r="P16" s="35">
        <f t="shared" si="0"/>
        <v>0.88420557556153767</v>
      </c>
    </row>
    <row r="17" spans="1:16" x14ac:dyDescent="0.35">
      <c r="A17" s="5" t="s">
        <v>20</v>
      </c>
      <c r="C17" s="5" t="s">
        <v>548</v>
      </c>
      <c r="D17" s="5" t="s">
        <v>468</v>
      </c>
      <c r="E17" s="5">
        <v>72.22</v>
      </c>
      <c r="F17" s="5">
        <v>126.29</v>
      </c>
      <c r="G17" s="5">
        <v>9</v>
      </c>
      <c r="I17" s="36" t="s">
        <v>564</v>
      </c>
      <c r="K17" s="34">
        <v>43756</v>
      </c>
      <c r="N17" s="7">
        <v>-20.828522032470705</v>
      </c>
      <c r="O17" s="35">
        <v>-165.12126052856448</v>
      </c>
      <c r="P17" s="35">
        <f t="shared" si="0"/>
        <v>1.5069157312011612</v>
      </c>
    </row>
    <row r="18" spans="1:16" x14ac:dyDescent="0.35">
      <c r="A18" s="5" t="s">
        <v>20</v>
      </c>
      <c r="C18" s="5" t="s">
        <v>548</v>
      </c>
      <c r="D18" s="5" t="s">
        <v>468</v>
      </c>
      <c r="E18" s="5">
        <v>72.22</v>
      </c>
      <c r="F18" s="5">
        <v>126.29</v>
      </c>
      <c r="G18" s="5">
        <v>9</v>
      </c>
      <c r="I18" s="36" t="s">
        <v>565</v>
      </c>
      <c r="K18" s="34">
        <v>43774</v>
      </c>
      <c r="N18" s="7">
        <v>-29.212685927124024</v>
      </c>
      <c r="O18" s="35">
        <v>-225.42501907348631</v>
      </c>
      <c r="P18" s="35">
        <f t="shared" si="0"/>
        <v>8.2764683435058828</v>
      </c>
    </row>
    <row r="19" spans="1:16" x14ac:dyDescent="0.35">
      <c r="A19" s="5" t="s">
        <v>20</v>
      </c>
      <c r="C19" s="5" t="s">
        <v>548</v>
      </c>
      <c r="D19" s="5" t="s">
        <v>468</v>
      </c>
      <c r="E19" s="5">
        <v>72.22</v>
      </c>
      <c r="F19" s="5">
        <v>126.29</v>
      </c>
      <c r="G19" s="5">
        <v>9</v>
      </c>
      <c r="I19" s="36" t="s">
        <v>566</v>
      </c>
      <c r="K19" s="34">
        <v>43782</v>
      </c>
      <c r="N19" s="7">
        <v>-28.549238428802489</v>
      </c>
      <c r="O19" s="35">
        <v>-214.39691566467286</v>
      </c>
      <c r="P19" s="35">
        <f t="shared" si="0"/>
        <v>13.996991765747055</v>
      </c>
    </row>
    <row r="20" spans="1:16" x14ac:dyDescent="0.35">
      <c r="A20" s="5" t="s">
        <v>20</v>
      </c>
      <c r="C20" s="5" t="s">
        <v>548</v>
      </c>
      <c r="D20" s="5" t="s">
        <v>468</v>
      </c>
      <c r="E20" s="5">
        <v>72.22</v>
      </c>
      <c r="F20" s="5">
        <v>126.29</v>
      </c>
      <c r="G20" s="5">
        <v>9</v>
      </c>
      <c r="I20" s="36" t="s">
        <v>567</v>
      </c>
      <c r="K20" s="34">
        <v>43787</v>
      </c>
      <c r="N20" s="7">
        <v>-24.783710890502931</v>
      </c>
      <c r="O20" s="35">
        <v>-186.00494491577149</v>
      </c>
      <c r="P20" s="35">
        <f t="shared" si="0"/>
        <v>12.26474220825196</v>
      </c>
    </row>
    <row r="21" spans="1:16" x14ac:dyDescent="0.35">
      <c r="A21" s="5" t="s">
        <v>20</v>
      </c>
      <c r="C21" s="5" t="s">
        <v>548</v>
      </c>
      <c r="D21" s="5" t="s">
        <v>468</v>
      </c>
      <c r="E21" s="5">
        <v>72.22</v>
      </c>
      <c r="F21" s="5">
        <v>126.29</v>
      </c>
      <c r="G21" s="5">
        <v>9</v>
      </c>
      <c r="I21" s="36" t="s">
        <v>568</v>
      </c>
      <c r="K21" s="34">
        <v>43802</v>
      </c>
      <c r="N21" s="7">
        <v>-30.92519353363037</v>
      </c>
      <c r="O21" s="35">
        <v>-248.01264190673828</v>
      </c>
      <c r="P21" s="35">
        <f t="shared" si="0"/>
        <v>-0.6110936376953191</v>
      </c>
    </row>
    <row r="22" spans="1:16" x14ac:dyDescent="0.35">
      <c r="A22" s="5" t="s">
        <v>20</v>
      </c>
      <c r="C22" s="5" t="s">
        <v>548</v>
      </c>
      <c r="D22" s="5" t="s">
        <v>468</v>
      </c>
      <c r="E22" s="5">
        <v>72.22</v>
      </c>
      <c r="F22" s="5">
        <v>126.29</v>
      </c>
      <c r="G22" s="5">
        <v>9</v>
      </c>
      <c r="I22" s="36" t="s">
        <v>569</v>
      </c>
      <c r="K22" s="34">
        <v>43804</v>
      </c>
      <c r="N22" s="7">
        <v>-32.910090483398434</v>
      </c>
      <c r="O22" s="35">
        <v>-259.49098510742186</v>
      </c>
      <c r="P22" s="35">
        <f t="shared" si="0"/>
        <v>3.789738759765612</v>
      </c>
    </row>
    <row r="23" spans="1:16" x14ac:dyDescent="0.35">
      <c r="A23" s="5" t="s">
        <v>20</v>
      </c>
      <c r="C23" s="5" t="s">
        <v>548</v>
      </c>
      <c r="D23" s="5" t="s">
        <v>468</v>
      </c>
      <c r="E23" s="5">
        <v>72.22</v>
      </c>
      <c r="F23" s="5">
        <v>126.29</v>
      </c>
      <c r="G23" s="5">
        <v>9</v>
      </c>
      <c r="I23" s="36" t="s">
        <v>570</v>
      </c>
      <c r="K23" s="34">
        <v>43808</v>
      </c>
      <c r="N23" s="7">
        <v>-30.581990256042481</v>
      </c>
      <c r="O23" s="35">
        <v>-244.1587953186035</v>
      </c>
      <c r="P23" s="35">
        <f t="shared" si="0"/>
        <v>0.49712672973635108</v>
      </c>
    </row>
    <row r="24" spans="1:16" x14ac:dyDescent="0.35">
      <c r="A24" s="5" t="s">
        <v>20</v>
      </c>
      <c r="C24" s="5" t="s">
        <v>548</v>
      </c>
      <c r="D24" s="5" t="s">
        <v>468</v>
      </c>
      <c r="E24" s="5">
        <v>72.22</v>
      </c>
      <c r="F24" s="5">
        <v>126.29</v>
      </c>
      <c r="G24" s="5">
        <v>9</v>
      </c>
      <c r="I24" s="36" t="s">
        <v>571</v>
      </c>
      <c r="K24" s="34">
        <v>43819</v>
      </c>
      <c r="N24" s="7">
        <v>-34.30427163574219</v>
      </c>
      <c r="O24" s="35">
        <v>-280.15555511474611</v>
      </c>
      <c r="P24" s="35">
        <f t="shared" si="0"/>
        <v>-5.7213820288085913</v>
      </c>
    </row>
    <row r="25" spans="1:16" x14ac:dyDescent="0.35">
      <c r="A25" s="5" t="s">
        <v>20</v>
      </c>
      <c r="C25" s="5" t="s">
        <v>548</v>
      </c>
      <c r="D25" s="5" t="s">
        <v>468</v>
      </c>
      <c r="E25" s="5">
        <v>72.22</v>
      </c>
      <c r="F25" s="5">
        <v>126.29</v>
      </c>
      <c r="G25" s="5">
        <v>9</v>
      </c>
      <c r="I25" s="36" t="s">
        <v>572</v>
      </c>
      <c r="K25" s="34">
        <v>43827</v>
      </c>
      <c r="N25" s="7">
        <v>-33.165351958007811</v>
      </c>
      <c r="O25" s="35">
        <v>-262.53366149902342</v>
      </c>
      <c r="P25" s="35">
        <f t="shared" si="0"/>
        <v>2.789154165039065</v>
      </c>
    </row>
    <row r="26" spans="1:16" x14ac:dyDescent="0.35">
      <c r="A26" s="5" t="s">
        <v>20</v>
      </c>
      <c r="C26" s="5" t="s">
        <v>548</v>
      </c>
      <c r="D26" s="5" t="s">
        <v>468</v>
      </c>
      <c r="E26" s="5">
        <v>72.22</v>
      </c>
      <c r="F26" s="5">
        <v>126.29</v>
      </c>
      <c r="G26" s="5">
        <v>9</v>
      </c>
      <c r="I26" s="36" t="s">
        <v>803</v>
      </c>
      <c r="K26" s="34">
        <v>43834</v>
      </c>
      <c r="N26" s="7">
        <v>-28.463339773864746</v>
      </c>
      <c r="O26" s="35">
        <v>-244.12846801757811</v>
      </c>
      <c r="P26" s="35">
        <f t="shared" si="0"/>
        <v>-16.421749826660147</v>
      </c>
    </row>
    <row r="27" spans="1:16" x14ac:dyDescent="0.35">
      <c r="A27" s="5" t="s">
        <v>20</v>
      </c>
      <c r="C27" s="5" t="s">
        <v>548</v>
      </c>
      <c r="D27" s="5" t="s">
        <v>468</v>
      </c>
      <c r="E27" s="5">
        <v>72.22</v>
      </c>
      <c r="F27" s="5">
        <v>126.29</v>
      </c>
      <c r="G27" s="5">
        <v>9</v>
      </c>
      <c r="I27" s="36" t="s">
        <v>804</v>
      </c>
      <c r="K27" s="34">
        <v>43850</v>
      </c>
      <c r="N27" s="7">
        <v>-33.540117171020505</v>
      </c>
      <c r="O27" s="35">
        <v>-264.62919067382813</v>
      </c>
      <c r="P27" s="35">
        <f t="shared" si="0"/>
        <v>3.6917466943359045</v>
      </c>
    </row>
    <row r="28" spans="1:16" x14ac:dyDescent="0.35">
      <c r="A28" s="5" t="s">
        <v>20</v>
      </c>
      <c r="C28" s="5" t="s">
        <v>548</v>
      </c>
      <c r="D28" s="5" t="s">
        <v>468</v>
      </c>
      <c r="E28" s="5">
        <v>72.22</v>
      </c>
      <c r="F28" s="5">
        <v>126.29</v>
      </c>
      <c r="G28" s="5">
        <v>9</v>
      </c>
      <c r="I28" s="36" t="s">
        <v>805</v>
      </c>
      <c r="K28" s="34">
        <v>43852</v>
      </c>
      <c r="N28" s="7">
        <v>-36.869823298645017</v>
      </c>
      <c r="O28" s="35">
        <v>-289.64205834960939</v>
      </c>
      <c r="P28" s="35">
        <f t="shared" si="0"/>
        <v>5.3165280395507466</v>
      </c>
    </row>
    <row r="29" spans="1:16" x14ac:dyDescent="0.35">
      <c r="A29" s="5" t="s">
        <v>20</v>
      </c>
      <c r="C29" s="5" t="s">
        <v>548</v>
      </c>
      <c r="D29" s="5" t="s">
        <v>468</v>
      </c>
      <c r="E29" s="5">
        <v>72.22</v>
      </c>
      <c r="F29" s="5">
        <v>126.29</v>
      </c>
      <c r="G29" s="5">
        <v>9</v>
      </c>
      <c r="I29" s="36" t="s">
        <v>806</v>
      </c>
      <c r="K29" s="34">
        <v>43865</v>
      </c>
      <c r="N29" s="7">
        <v>-35.897633422088624</v>
      </c>
      <c r="O29" s="35">
        <v>-273.7886220703125</v>
      </c>
      <c r="P29" s="35">
        <f t="shared" si="0"/>
        <v>13.392445306396496</v>
      </c>
    </row>
    <row r="30" spans="1:16" x14ac:dyDescent="0.35">
      <c r="A30" s="5" t="s">
        <v>20</v>
      </c>
      <c r="C30" s="5" t="s">
        <v>548</v>
      </c>
      <c r="D30" s="5" t="s">
        <v>468</v>
      </c>
      <c r="E30" s="5">
        <v>72.22</v>
      </c>
      <c r="F30" s="5">
        <v>126.29</v>
      </c>
      <c r="G30" s="5">
        <v>9</v>
      </c>
      <c r="I30" s="36" t="s">
        <v>807</v>
      </c>
      <c r="K30" s="34">
        <v>43870</v>
      </c>
      <c r="N30" s="7">
        <v>-26.353547690582275</v>
      </c>
      <c r="O30" s="35">
        <v>-215.27522616577147</v>
      </c>
      <c r="P30" s="35">
        <f t="shared" si="0"/>
        <v>-4.4468446411132732</v>
      </c>
    </row>
    <row r="31" spans="1:16" x14ac:dyDescent="0.35">
      <c r="A31" s="5" t="s">
        <v>20</v>
      </c>
      <c r="C31" s="5" t="s">
        <v>548</v>
      </c>
      <c r="D31" s="5" t="s">
        <v>468</v>
      </c>
      <c r="E31" s="5">
        <v>72.22</v>
      </c>
      <c r="F31" s="5">
        <v>126.29</v>
      </c>
      <c r="G31" s="5">
        <v>9</v>
      </c>
      <c r="I31" s="36" t="s">
        <v>808</v>
      </c>
      <c r="K31" s="34">
        <v>43877</v>
      </c>
      <c r="N31" s="7">
        <v>-27.39515037536621</v>
      </c>
      <c r="O31" s="35">
        <v>-209.23634838867187</v>
      </c>
      <c r="P31" s="35">
        <f t="shared" si="0"/>
        <v>9.9248546142578107</v>
      </c>
    </row>
    <row r="32" spans="1:16" x14ac:dyDescent="0.35">
      <c r="A32" s="5" t="s">
        <v>20</v>
      </c>
      <c r="C32" s="5" t="s">
        <v>548</v>
      </c>
      <c r="D32" s="5" t="s">
        <v>468</v>
      </c>
      <c r="E32" s="5">
        <v>72.22</v>
      </c>
      <c r="F32" s="5">
        <v>126.29</v>
      </c>
      <c r="G32" s="5">
        <v>9</v>
      </c>
      <c r="I32" s="36" t="s">
        <v>809</v>
      </c>
      <c r="K32" s="34">
        <v>43884</v>
      </c>
      <c r="N32" s="7">
        <v>-24.472563934326171</v>
      </c>
      <c r="O32" s="35">
        <v>-186.59970593261718</v>
      </c>
      <c r="P32" s="35">
        <f t="shared" si="0"/>
        <v>9.1808055419921857</v>
      </c>
    </row>
    <row r="33" spans="1:16" x14ac:dyDescent="0.35">
      <c r="A33" s="5" t="s">
        <v>20</v>
      </c>
      <c r="C33" s="5" t="s">
        <v>548</v>
      </c>
      <c r="D33" s="5" t="s">
        <v>468</v>
      </c>
      <c r="E33" s="5">
        <v>72.22</v>
      </c>
      <c r="F33" s="5">
        <v>126.29</v>
      </c>
      <c r="G33" s="5">
        <v>9</v>
      </c>
      <c r="I33" s="36" t="s">
        <v>810</v>
      </c>
      <c r="K33" s="34">
        <v>43888</v>
      </c>
      <c r="N33" s="7">
        <v>-24.476094436645507</v>
      </c>
      <c r="O33" s="35">
        <v>-190.24371221923829</v>
      </c>
      <c r="P33" s="35">
        <f t="shared" si="0"/>
        <v>5.5650432739257667</v>
      </c>
    </row>
    <row r="34" spans="1:16" x14ac:dyDescent="0.35">
      <c r="A34" s="5" t="s">
        <v>20</v>
      </c>
      <c r="C34" s="5" t="s">
        <v>548</v>
      </c>
      <c r="D34" s="5" t="s">
        <v>468</v>
      </c>
      <c r="E34" s="5">
        <v>72.22</v>
      </c>
      <c r="F34" s="5">
        <v>126.29</v>
      </c>
      <c r="G34" s="5">
        <v>9</v>
      </c>
      <c r="I34" s="36" t="s">
        <v>811</v>
      </c>
      <c r="K34" s="34">
        <v>43889</v>
      </c>
      <c r="N34" s="7">
        <v>-24.568881225585937</v>
      </c>
      <c r="O34" s="35">
        <v>-192.39900238037109</v>
      </c>
      <c r="P34" s="35">
        <f t="shared" si="0"/>
        <v>4.1520474243164074</v>
      </c>
    </row>
    <row r="35" spans="1:16" x14ac:dyDescent="0.35">
      <c r="A35" s="5" t="s">
        <v>20</v>
      </c>
      <c r="C35" s="5" t="s">
        <v>548</v>
      </c>
      <c r="D35" s="5" t="s">
        <v>468</v>
      </c>
      <c r="E35" s="5">
        <v>72.22</v>
      </c>
      <c r="F35" s="5">
        <v>126.29</v>
      </c>
      <c r="G35" s="5">
        <v>9</v>
      </c>
      <c r="I35" s="36" t="s">
        <v>812</v>
      </c>
      <c r="K35" s="34">
        <v>43892</v>
      </c>
      <c r="N35" s="7">
        <v>-28.400422286987304</v>
      </c>
      <c r="O35" s="35">
        <v>-221.4219292602539</v>
      </c>
      <c r="P35" s="35">
        <f t="shared" si="0"/>
        <v>5.7814490356445276</v>
      </c>
    </row>
    <row r="36" spans="1:16" x14ac:dyDescent="0.35">
      <c r="A36" s="5" t="s">
        <v>20</v>
      </c>
      <c r="C36" s="5" t="s">
        <v>548</v>
      </c>
      <c r="D36" s="5" t="s">
        <v>468</v>
      </c>
      <c r="E36" s="5">
        <v>72.22</v>
      </c>
      <c r="F36" s="5">
        <v>126.29</v>
      </c>
      <c r="G36" s="5">
        <v>9</v>
      </c>
      <c r="I36" s="36" t="s">
        <v>813</v>
      </c>
      <c r="K36" s="34">
        <v>43893</v>
      </c>
      <c r="N36" s="7">
        <v>-28.077351760864254</v>
      </c>
      <c r="O36" s="35">
        <v>-217.97048089599608</v>
      </c>
      <c r="P36" s="35">
        <f t="shared" si="0"/>
        <v>6.6483331909179526</v>
      </c>
    </row>
    <row r="37" spans="1:16" x14ac:dyDescent="0.35">
      <c r="A37" s="5" t="s">
        <v>20</v>
      </c>
      <c r="C37" s="5" t="s">
        <v>548</v>
      </c>
      <c r="D37" s="5" t="s">
        <v>468</v>
      </c>
      <c r="E37" s="5">
        <v>72.22</v>
      </c>
      <c r="F37" s="5">
        <v>126.29</v>
      </c>
      <c r="G37" s="5">
        <v>9</v>
      </c>
      <c r="I37" s="36" t="s">
        <v>814</v>
      </c>
      <c r="K37" s="34">
        <v>43894</v>
      </c>
      <c r="N37" s="7">
        <v>-28.380023193359374</v>
      </c>
      <c r="O37" s="35">
        <v>-218.92942913818359</v>
      </c>
      <c r="P37" s="35">
        <f t="shared" si="0"/>
        <v>8.110756408691401</v>
      </c>
    </row>
    <row r="38" spans="1:16" x14ac:dyDescent="0.35">
      <c r="A38" s="5" t="s">
        <v>20</v>
      </c>
      <c r="C38" s="5" t="s">
        <v>548</v>
      </c>
      <c r="D38" s="5" t="s">
        <v>468</v>
      </c>
      <c r="E38" s="5">
        <v>72.22</v>
      </c>
      <c r="F38" s="5">
        <v>126.29</v>
      </c>
      <c r="G38" s="5">
        <v>9</v>
      </c>
      <c r="I38" s="36" t="s">
        <v>815</v>
      </c>
      <c r="K38" s="34">
        <v>43895</v>
      </c>
      <c r="N38" s="7">
        <v>-30.554928970336917</v>
      </c>
      <c r="O38" s="35">
        <v>-239.73744616699219</v>
      </c>
      <c r="P38" s="35">
        <f t="shared" si="0"/>
        <v>4.7019855957031496</v>
      </c>
    </row>
    <row r="39" spans="1:16" x14ac:dyDescent="0.35">
      <c r="A39" s="5" t="s">
        <v>20</v>
      </c>
      <c r="C39" s="5" t="s">
        <v>548</v>
      </c>
      <c r="D39" s="5" t="s">
        <v>468</v>
      </c>
      <c r="E39" s="5">
        <v>72.22</v>
      </c>
      <c r="F39" s="5">
        <v>126.29</v>
      </c>
      <c r="G39" s="5">
        <v>9</v>
      </c>
      <c r="I39" s="36" t="s">
        <v>816</v>
      </c>
      <c r="K39" s="34">
        <v>43907</v>
      </c>
      <c r="N39" s="7">
        <v>-31.050643157958984</v>
      </c>
      <c r="O39" s="35">
        <v>-242.90644262695312</v>
      </c>
      <c r="P39" s="35">
        <f t="shared" si="0"/>
        <v>5.4987026367187468</v>
      </c>
    </row>
    <row r="40" spans="1:16" x14ac:dyDescent="0.35">
      <c r="A40" s="5" t="s">
        <v>20</v>
      </c>
      <c r="C40" s="5" t="s">
        <v>548</v>
      </c>
      <c r="D40" s="5" t="s">
        <v>468</v>
      </c>
      <c r="E40" s="5">
        <v>72.22</v>
      </c>
      <c r="F40" s="5">
        <v>126.29</v>
      </c>
      <c r="G40" s="5">
        <v>9</v>
      </c>
      <c r="I40" s="36" t="s">
        <v>817</v>
      </c>
      <c r="K40" s="34">
        <v>43908</v>
      </c>
      <c r="N40" s="7">
        <v>-28.277369689941406</v>
      </c>
      <c r="O40" s="35">
        <v>-216.98149877929686</v>
      </c>
      <c r="P40" s="35">
        <f t="shared" si="0"/>
        <v>9.2374587402343877</v>
      </c>
    </row>
    <row r="41" spans="1:16" x14ac:dyDescent="0.35">
      <c r="A41" s="5" t="s">
        <v>20</v>
      </c>
      <c r="C41" s="5" t="s">
        <v>548</v>
      </c>
      <c r="D41" s="5" t="s">
        <v>468</v>
      </c>
      <c r="E41" s="5">
        <v>72.22</v>
      </c>
      <c r="F41" s="5">
        <v>126.29</v>
      </c>
      <c r="G41" s="5">
        <v>9</v>
      </c>
      <c r="I41" s="36" t="s">
        <v>818</v>
      </c>
      <c r="K41" s="34">
        <v>43909</v>
      </c>
      <c r="N41" s="7">
        <v>-26.125310134887695</v>
      </c>
      <c r="O41" s="35">
        <v>-201.76911145019528</v>
      </c>
      <c r="P41" s="35">
        <f t="shared" si="0"/>
        <v>7.2333696289062743</v>
      </c>
    </row>
    <row r="42" spans="1:16" x14ac:dyDescent="0.35">
      <c r="A42" s="5" t="s">
        <v>20</v>
      </c>
      <c r="C42" s="5" t="s">
        <v>548</v>
      </c>
      <c r="D42" s="5" t="s">
        <v>468</v>
      </c>
      <c r="E42" s="5">
        <v>72.22</v>
      </c>
      <c r="F42" s="5">
        <v>126.29</v>
      </c>
      <c r="G42" s="5">
        <v>9</v>
      </c>
      <c r="I42" s="36" t="s">
        <v>819</v>
      </c>
      <c r="K42" s="34">
        <v>43925</v>
      </c>
      <c r="N42" s="7">
        <v>-27.506829452514648</v>
      </c>
      <c r="O42" s="35">
        <v>-220.1371171875</v>
      </c>
      <c r="P42" s="35">
        <f t="shared" si="0"/>
        <v>-8.2481567382814092E-2</v>
      </c>
    </row>
    <row r="43" spans="1:16" x14ac:dyDescent="0.35">
      <c r="A43" s="5" t="s">
        <v>20</v>
      </c>
      <c r="C43" s="5" t="s">
        <v>548</v>
      </c>
      <c r="D43" s="5" t="s">
        <v>468</v>
      </c>
      <c r="E43" s="5">
        <v>72.22</v>
      </c>
      <c r="F43" s="5">
        <v>126.29</v>
      </c>
      <c r="G43" s="5">
        <v>9</v>
      </c>
      <c r="I43" s="36" t="s">
        <v>820</v>
      </c>
      <c r="K43" s="34">
        <v>43926</v>
      </c>
      <c r="N43" s="7">
        <v>-26.765854116821291</v>
      </c>
      <c r="O43" s="35">
        <v>-203.62475994873043</v>
      </c>
      <c r="P43" s="35">
        <f t="shared" si="0"/>
        <v>10.502072985839902</v>
      </c>
    </row>
    <row r="44" spans="1:16" x14ac:dyDescent="0.35">
      <c r="A44" s="5" t="s">
        <v>20</v>
      </c>
      <c r="C44" s="5" t="s">
        <v>548</v>
      </c>
      <c r="D44" s="5" t="s">
        <v>468</v>
      </c>
      <c r="E44" s="5">
        <v>72.22</v>
      </c>
      <c r="F44" s="5">
        <v>126.29</v>
      </c>
      <c r="G44" s="5">
        <v>9</v>
      </c>
      <c r="I44" s="36" t="s">
        <v>821</v>
      </c>
      <c r="K44" s="34">
        <v>43927</v>
      </c>
      <c r="N44" s="7">
        <v>-23.288061449432373</v>
      </c>
      <c r="O44" s="35">
        <v>-177.53480035400389</v>
      </c>
      <c r="P44" s="35">
        <f t="shared" si="0"/>
        <v>8.7696912414550923</v>
      </c>
    </row>
    <row r="45" spans="1:16" x14ac:dyDescent="0.35">
      <c r="A45" s="5" t="s">
        <v>20</v>
      </c>
      <c r="C45" s="5" t="s">
        <v>548</v>
      </c>
      <c r="D45" s="5" t="s">
        <v>468</v>
      </c>
      <c r="E45" s="5">
        <v>72.22</v>
      </c>
      <c r="F45" s="5">
        <v>126.29</v>
      </c>
      <c r="G45" s="5">
        <v>9</v>
      </c>
      <c r="I45" s="36" t="s">
        <v>822</v>
      </c>
      <c r="K45" s="34">
        <v>43928</v>
      </c>
      <c r="N45" s="7">
        <v>-19.898109259033205</v>
      </c>
      <c r="O45" s="35">
        <v>-152.19679998779296</v>
      </c>
      <c r="P45" s="35">
        <f t="shared" si="0"/>
        <v>6.9880740844726859</v>
      </c>
    </row>
    <row r="46" spans="1:16" x14ac:dyDescent="0.35">
      <c r="A46" s="5" t="s">
        <v>20</v>
      </c>
      <c r="C46" s="5" t="s">
        <v>548</v>
      </c>
      <c r="D46" s="5" t="s">
        <v>468</v>
      </c>
      <c r="E46" s="5">
        <v>72.22</v>
      </c>
      <c r="F46" s="5">
        <v>126.29</v>
      </c>
      <c r="G46" s="5">
        <v>9</v>
      </c>
      <c r="I46" s="36" t="s">
        <v>823</v>
      </c>
      <c r="K46" s="34">
        <v>43929</v>
      </c>
      <c r="N46" s="7">
        <v>-19.437170420074462</v>
      </c>
      <c r="O46" s="35">
        <v>-150.13487438964845</v>
      </c>
      <c r="P46" s="35">
        <f t="shared" si="0"/>
        <v>5.3624889709472541</v>
      </c>
    </row>
    <row r="47" spans="1:16" x14ac:dyDescent="0.35">
      <c r="A47" s="5" t="s">
        <v>20</v>
      </c>
      <c r="C47" s="5" t="s">
        <v>548</v>
      </c>
      <c r="D47" s="5" t="s">
        <v>468</v>
      </c>
      <c r="E47" s="5">
        <v>72.22</v>
      </c>
      <c r="F47" s="5">
        <v>126.29</v>
      </c>
      <c r="G47" s="5">
        <v>9</v>
      </c>
      <c r="I47" s="36" t="s">
        <v>824</v>
      </c>
      <c r="K47" s="34">
        <v>43931</v>
      </c>
      <c r="N47" s="7">
        <v>-17.256412464523315</v>
      </c>
      <c r="O47" s="35">
        <v>-183.21453863525392</v>
      </c>
      <c r="P47" s="35">
        <f t="shared" si="0"/>
        <v>-45.163238919067396</v>
      </c>
    </row>
    <row r="48" spans="1:16" x14ac:dyDescent="0.35">
      <c r="A48" s="5" t="s">
        <v>20</v>
      </c>
      <c r="C48" s="5" t="s">
        <v>548</v>
      </c>
      <c r="D48" s="5" t="s">
        <v>468</v>
      </c>
      <c r="E48" s="5">
        <v>72.22</v>
      </c>
      <c r="F48" s="5">
        <v>126.29</v>
      </c>
      <c r="G48" s="5">
        <v>9</v>
      </c>
      <c r="I48" s="36" t="s">
        <v>825</v>
      </c>
      <c r="K48" s="34">
        <v>43936</v>
      </c>
      <c r="N48" s="7">
        <v>-19.449480574035647</v>
      </c>
      <c r="O48" s="35">
        <v>-147.34574340820313</v>
      </c>
      <c r="P48" s="35">
        <f t="shared" si="0"/>
        <v>8.2501011840820411</v>
      </c>
    </row>
    <row r="49" spans="1:16" x14ac:dyDescent="0.35">
      <c r="A49" s="5" t="s">
        <v>20</v>
      </c>
      <c r="C49" s="5" t="s">
        <v>548</v>
      </c>
      <c r="D49" s="5" t="s">
        <v>468</v>
      </c>
      <c r="E49" s="5">
        <v>72.22</v>
      </c>
      <c r="F49" s="5">
        <v>126.29</v>
      </c>
      <c r="G49" s="5">
        <v>9</v>
      </c>
      <c r="I49" s="36" t="s">
        <v>826</v>
      </c>
      <c r="K49" s="34">
        <v>43937</v>
      </c>
      <c r="N49" s="7">
        <v>-21.602674406433106</v>
      </c>
      <c r="O49" s="35">
        <v>-160.36531677246094</v>
      </c>
      <c r="P49" s="35">
        <f t="shared" si="0"/>
        <v>12.456078479003907</v>
      </c>
    </row>
    <row r="50" spans="1:16" x14ac:dyDescent="0.35">
      <c r="A50" s="5" t="s">
        <v>20</v>
      </c>
      <c r="C50" s="5" t="s">
        <v>548</v>
      </c>
      <c r="D50" s="5" t="s">
        <v>468</v>
      </c>
      <c r="E50" s="5">
        <v>72.22</v>
      </c>
      <c r="F50" s="5">
        <v>126.29</v>
      </c>
      <c r="G50" s="5">
        <v>9</v>
      </c>
      <c r="I50" s="36" t="s">
        <v>827</v>
      </c>
      <c r="K50" s="34">
        <v>43939</v>
      </c>
      <c r="N50" s="7">
        <v>-19.938810621643068</v>
      </c>
      <c r="O50" s="35">
        <v>-149.54002569580078</v>
      </c>
      <c r="P50" s="35">
        <f t="shared" si="0"/>
        <v>9.9704592773437639</v>
      </c>
    </row>
    <row r="51" spans="1:16" x14ac:dyDescent="0.35">
      <c r="A51" s="5" t="s">
        <v>20</v>
      </c>
      <c r="C51" s="5" t="s">
        <v>548</v>
      </c>
      <c r="D51" s="5" t="s">
        <v>468</v>
      </c>
      <c r="E51" s="5">
        <v>72.22</v>
      </c>
      <c r="F51" s="5">
        <v>126.29</v>
      </c>
      <c r="G51" s="5">
        <v>9</v>
      </c>
      <c r="I51" s="37" t="s">
        <v>828</v>
      </c>
      <c r="K51" s="38">
        <v>43957</v>
      </c>
      <c r="N51" s="10">
        <v>-24.885594345092773</v>
      </c>
      <c r="O51" s="39">
        <v>-182.70012059020996</v>
      </c>
      <c r="P51" s="35">
        <f t="shared" si="0"/>
        <v>16.384634170532223</v>
      </c>
    </row>
    <row r="52" spans="1:16" x14ac:dyDescent="0.35">
      <c r="A52" s="5" t="s">
        <v>20</v>
      </c>
      <c r="C52" s="5" t="s">
        <v>548</v>
      </c>
      <c r="D52" s="5" t="s">
        <v>468</v>
      </c>
      <c r="E52" s="5">
        <v>72.22</v>
      </c>
      <c r="F52" s="5">
        <v>126.29</v>
      </c>
      <c r="G52" s="5">
        <v>9</v>
      </c>
      <c r="I52" s="37" t="s">
        <v>829</v>
      </c>
      <c r="K52" s="38">
        <v>43965</v>
      </c>
      <c r="N52" s="10">
        <v>-19.244238430023195</v>
      </c>
      <c r="O52" s="39">
        <v>-146.76324710845947</v>
      </c>
      <c r="P52" s="35">
        <f t="shared" si="0"/>
        <v>7.1906603317260931</v>
      </c>
    </row>
    <row r="53" spans="1:16" x14ac:dyDescent="0.35">
      <c r="A53" s="5" t="s">
        <v>20</v>
      </c>
      <c r="C53" s="5" t="s">
        <v>548</v>
      </c>
      <c r="D53" s="5" t="s">
        <v>468</v>
      </c>
      <c r="E53" s="5">
        <v>72.22</v>
      </c>
      <c r="F53" s="5">
        <v>126.29</v>
      </c>
      <c r="G53" s="5">
        <v>9</v>
      </c>
      <c r="I53" s="37" t="s">
        <v>830</v>
      </c>
      <c r="K53" s="38">
        <v>43973</v>
      </c>
      <c r="N53" s="10">
        <v>-19.931312757492066</v>
      </c>
      <c r="O53" s="39">
        <v>-152.3247667312622</v>
      </c>
      <c r="P53" s="35">
        <f t="shared" si="0"/>
        <v>7.1257353286743239</v>
      </c>
    </row>
    <row r="54" spans="1:16" x14ac:dyDescent="0.35">
      <c r="A54" s="5" t="s">
        <v>20</v>
      </c>
      <c r="C54" s="5" t="s">
        <v>548</v>
      </c>
      <c r="D54" s="5" t="s">
        <v>468</v>
      </c>
      <c r="E54" s="5">
        <v>72.22</v>
      </c>
      <c r="F54" s="5">
        <v>126.29</v>
      </c>
      <c r="G54" s="5">
        <v>9</v>
      </c>
      <c r="I54" s="37" t="s">
        <v>831</v>
      </c>
      <c r="K54" s="38">
        <v>43974</v>
      </c>
      <c r="N54" s="10">
        <v>-12.688181686401368</v>
      </c>
      <c r="O54" s="39">
        <v>-100.01642102050781</v>
      </c>
      <c r="P54" s="35">
        <f t="shared" si="0"/>
        <v>1.4890324707031368</v>
      </c>
    </row>
    <row r="55" spans="1:16" x14ac:dyDescent="0.35">
      <c r="A55" s="5" t="s">
        <v>20</v>
      </c>
      <c r="C55" s="5" t="s">
        <v>548</v>
      </c>
      <c r="D55" s="5" t="s">
        <v>468</v>
      </c>
      <c r="E55" s="5">
        <v>72.22</v>
      </c>
      <c r="F55" s="5">
        <v>126.29</v>
      </c>
      <c r="G55" s="5">
        <v>9</v>
      </c>
      <c r="I55" s="37" t="s">
        <v>832</v>
      </c>
      <c r="K55" s="38">
        <v>43975</v>
      </c>
      <c r="N55" s="10">
        <v>-12.678095386981964</v>
      </c>
      <c r="O55" s="39">
        <v>-100.05869054794312</v>
      </c>
      <c r="P55" s="35">
        <f t="shared" si="0"/>
        <v>1.3660725479125944</v>
      </c>
    </row>
    <row r="56" spans="1:16" x14ac:dyDescent="0.35">
      <c r="A56" s="5" t="s">
        <v>20</v>
      </c>
      <c r="C56" s="5" t="s">
        <v>548</v>
      </c>
      <c r="D56" s="5" t="s">
        <v>468</v>
      </c>
      <c r="E56" s="5">
        <v>72.22</v>
      </c>
      <c r="F56" s="5">
        <v>126.29</v>
      </c>
      <c r="G56" s="5">
        <v>9</v>
      </c>
      <c r="I56" s="37" t="s">
        <v>833</v>
      </c>
      <c r="K56" s="38">
        <v>43977</v>
      </c>
      <c r="N56" s="10">
        <v>-18.619418025970457</v>
      </c>
      <c r="O56" s="39">
        <v>-141.9492660217285</v>
      </c>
      <c r="P56" s="35">
        <f t="shared" si="0"/>
        <v>7.006078186035154</v>
      </c>
    </row>
    <row r="57" spans="1:16" x14ac:dyDescent="0.35">
      <c r="A57" s="5" t="s">
        <v>20</v>
      </c>
      <c r="C57" s="5" t="s">
        <v>548</v>
      </c>
      <c r="D57" s="5" t="s">
        <v>468</v>
      </c>
      <c r="E57" s="5">
        <v>72.22</v>
      </c>
      <c r="F57" s="5">
        <v>126.29</v>
      </c>
      <c r="G57" s="5">
        <v>9</v>
      </c>
      <c r="I57" s="37" t="s">
        <v>834</v>
      </c>
      <c r="K57" s="38">
        <v>43978</v>
      </c>
      <c r="N57" s="10">
        <v>-23.994951225280765</v>
      </c>
      <c r="O57" s="39">
        <v>-185.17725323486326</v>
      </c>
      <c r="P57" s="35">
        <f t="shared" si="0"/>
        <v>6.7823565673828625</v>
      </c>
    </row>
    <row r="58" spans="1:16" x14ac:dyDescent="0.35">
      <c r="A58" s="5" t="s">
        <v>20</v>
      </c>
      <c r="C58" s="5" t="s">
        <v>548</v>
      </c>
      <c r="D58" s="5" t="s">
        <v>468</v>
      </c>
      <c r="E58" s="5">
        <v>72.22</v>
      </c>
      <c r="F58" s="5">
        <v>126.29</v>
      </c>
      <c r="G58" s="5">
        <v>9</v>
      </c>
      <c r="I58" s="37" t="s">
        <v>835</v>
      </c>
      <c r="K58" s="38">
        <v>43979</v>
      </c>
      <c r="N58" s="10">
        <v>-23.953781991958621</v>
      </c>
      <c r="O58" s="39">
        <v>-186.47926106262207</v>
      </c>
      <c r="P58" s="35">
        <f t="shared" si="0"/>
        <v>5.1509948730468977</v>
      </c>
    </row>
    <row r="59" spans="1:16" x14ac:dyDescent="0.35">
      <c r="A59" s="5" t="s">
        <v>20</v>
      </c>
      <c r="C59" s="5" t="s">
        <v>548</v>
      </c>
      <c r="D59" s="5" t="s">
        <v>468</v>
      </c>
      <c r="E59" s="5">
        <v>72.22</v>
      </c>
      <c r="F59" s="5">
        <v>126.29</v>
      </c>
      <c r="G59" s="5">
        <v>9</v>
      </c>
      <c r="I59" s="37" t="s">
        <v>836</v>
      </c>
      <c r="K59" s="38">
        <v>43980</v>
      </c>
      <c r="N59" s="10">
        <v>-23.978771430015566</v>
      </c>
      <c r="O59" s="39">
        <v>-186.24230587005613</v>
      </c>
      <c r="P59" s="35">
        <f t="shared" si="0"/>
        <v>5.5878655700684021</v>
      </c>
    </row>
    <row r="60" spans="1:16" x14ac:dyDescent="0.35">
      <c r="A60" s="5" t="s">
        <v>20</v>
      </c>
      <c r="C60" s="5" t="s">
        <v>548</v>
      </c>
      <c r="D60" s="5" t="s">
        <v>468</v>
      </c>
      <c r="E60" s="5">
        <v>72.22</v>
      </c>
      <c r="F60" s="5">
        <v>126.29</v>
      </c>
      <c r="G60" s="5">
        <v>9</v>
      </c>
      <c r="I60" s="37" t="s">
        <v>837</v>
      </c>
      <c r="K60" s="38">
        <v>43988</v>
      </c>
      <c r="N60" s="10">
        <v>-13.502568510055543</v>
      </c>
      <c r="O60" s="39">
        <v>-118.40850120162963</v>
      </c>
      <c r="P60" s="35">
        <f t="shared" si="0"/>
        <v>-10.387953121185291</v>
      </c>
    </row>
    <row r="61" spans="1:16" x14ac:dyDescent="0.35">
      <c r="A61" s="5" t="s">
        <v>20</v>
      </c>
      <c r="C61" s="5" t="s">
        <v>548</v>
      </c>
      <c r="D61" s="5" t="s">
        <v>468</v>
      </c>
      <c r="E61" s="5">
        <v>72.22</v>
      </c>
      <c r="F61" s="5">
        <v>126.29</v>
      </c>
      <c r="G61" s="5">
        <v>9</v>
      </c>
      <c r="I61" s="37" t="s">
        <v>838</v>
      </c>
      <c r="K61" s="38">
        <v>43989</v>
      </c>
      <c r="N61" s="10">
        <v>-13.454102802276612</v>
      </c>
      <c r="O61" s="39">
        <v>-118.98527110290527</v>
      </c>
      <c r="P61" s="35">
        <f t="shared" si="0"/>
        <v>-11.352448684692376</v>
      </c>
    </row>
    <row r="62" spans="1:16" x14ac:dyDescent="0.35">
      <c r="A62" s="5" t="s">
        <v>20</v>
      </c>
      <c r="C62" s="5" t="s">
        <v>548</v>
      </c>
      <c r="D62" s="5" t="s">
        <v>468</v>
      </c>
      <c r="E62" s="5">
        <v>72.22</v>
      </c>
      <c r="F62" s="5">
        <v>126.29</v>
      </c>
      <c r="G62" s="5">
        <v>9</v>
      </c>
      <c r="I62" s="37" t="s">
        <v>839</v>
      </c>
      <c r="K62" s="38">
        <v>43990</v>
      </c>
      <c r="N62" s="10">
        <v>-16.304364109039305</v>
      </c>
      <c r="O62" s="39">
        <v>-124.69446813812255</v>
      </c>
      <c r="P62" s="35">
        <f t="shared" si="0"/>
        <v>5.7404447341918967</v>
      </c>
    </row>
    <row r="63" spans="1:16" x14ac:dyDescent="0.35">
      <c r="A63" s="5" t="s">
        <v>20</v>
      </c>
      <c r="C63" s="5" t="s">
        <v>548</v>
      </c>
      <c r="D63" s="5" t="s">
        <v>468</v>
      </c>
      <c r="E63" s="5">
        <v>72.22</v>
      </c>
      <c r="F63" s="5">
        <v>126.29</v>
      </c>
      <c r="G63" s="5">
        <v>9</v>
      </c>
      <c r="I63" s="37" t="s">
        <v>840</v>
      </c>
      <c r="K63" s="38">
        <v>43993</v>
      </c>
      <c r="N63" s="10">
        <v>-16.348405300140378</v>
      </c>
      <c r="O63" s="39">
        <v>-123.23924241485595</v>
      </c>
      <c r="P63" s="35">
        <f t="shared" si="0"/>
        <v>7.5479999862670724</v>
      </c>
    </row>
    <row r="64" spans="1:16" x14ac:dyDescent="0.35">
      <c r="A64" s="5" t="s">
        <v>20</v>
      </c>
      <c r="C64" s="5" t="s">
        <v>548</v>
      </c>
      <c r="D64" s="5" t="s">
        <v>468</v>
      </c>
      <c r="E64" s="5">
        <v>72.22</v>
      </c>
      <c r="F64" s="5">
        <v>126.29</v>
      </c>
      <c r="G64" s="5">
        <v>9</v>
      </c>
      <c r="I64" s="37" t="s">
        <v>841</v>
      </c>
      <c r="K64" s="38">
        <v>43995</v>
      </c>
      <c r="N64" s="10">
        <v>-16.925738525390624</v>
      </c>
      <c r="O64" s="39">
        <v>-131.96565074005127</v>
      </c>
      <c r="P64" s="35">
        <f t="shared" si="0"/>
        <v>3.4402574630737206</v>
      </c>
    </row>
    <row r="65" spans="1:16" x14ac:dyDescent="0.35">
      <c r="A65" s="5" t="s">
        <v>20</v>
      </c>
      <c r="C65" s="5" t="s">
        <v>548</v>
      </c>
      <c r="D65" s="5" t="s">
        <v>468</v>
      </c>
      <c r="E65" s="5">
        <v>72.22</v>
      </c>
      <c r="F65" s="5">
        <v>126.29</v>
      </c>
      <c r="G65" s="5">
        <v>9</v>
      </c>
      <c r="I65" s="40" t="s">
        <v>842</v>
      </c>
      <c r="K65" s="38">
        <v>43997</v>
      </c>
      <c r="N65" s="10">
        <v>-16.84493813332158</v>
      </c>
      <c r="O65" s="39">
        <v>-132.97697927705178</v>
      </c>
      <c r="P65" s="35">
        <f t="shared" si="0"/>
        <v>1.7825257895208608</v>
      </c>
    </row>
    <row r="66" spans="1:16" x14ac:dyDescent="0.35">
      <c r="A66" s="5" t="s">
        <v>20</v>
      </c>
      <c r="C66" s="5" t="s">
        <v>548</v>
      </c>
      <c r="D66" s="5" t="s">
        <v>468</v>
      </c>
      <c r="E66" s="5">
        <v>72.22</v>
      </c>
      <c r="F66" s="5">
        <v>126.29</v>
      </c>
      <c r="G66" s="5">
        <v>9</v>
      </c>
      <c r="I66" s="40" t="s">
        <v>843</v>
      </c>
      <c r="K66" s="38">
        <v>43998</v>
      </c>
      <c r="N66" s="10">
        <v>-16.878697677612305</v>
      </c>
      <c r="O66" s="39">
        <v>-132.07016168100398</v>
      </c>
      <c r="P66" s="35">
        <f t="shared" si="0"/>
        <v>2.9594197398944573</v>
      </c>
    </row>
    <row r="67" spans="1:16" x14ac:dyDescent="0.35">
      <c r="A67" s="5" t="s">
        <v>20</v>
      </c>
      <c r="C67" s="5" t="s">
        <v>548</v>
      </c>
      <c r="D67" s="5" t="s">
        <v>468</v>
      </c>
      <c r="E67" s="5">
        <v>72.22</v>
      </c>
      <c r="F67" s="5">
        <v>126.29</v>
      </c>
      <c r="G67" s="5">
        <v>9</v>
      </c>
      <c r="I67" s="37" t="s">
        <v>844</v>
      </c>
      <c r="K67" s="38">
        <v>44000</v>
      </c>
      <c r="N67" s="10">
        <v>-12.673690799979049</v>
      </c>
      <c r="O67" s="39">
        <v>-104.81170456980436</v>
      </c>
      <c r="P67" s="35">
        <f t="shared" ref="P67:P110" si="1">O67-(8*N67)</f>
        <v>-3.4221781699719713</v>
      </c>
    </row>
    <row r="68" spans="1:16" x14ac:dyDescent="0.35">
      <c r="A68" s="5" t="s">
        <v>20</v>
      </c>
      <c r="C68" s="5" t="s">
        <v>548</v>
      </c>
      <c r="D68" s="5" t="s">
        <v>468</v>
      </c>
      <c r="E68" s="5">
        <v>72.22</v>
      </c>
      <c r="F68" s="5">
        <v>126.29</v>
      </c>
      <c r="G68" s="5">
        <v>9</v>
      </c>
      <c r="I68" s="37" t="s">
        <v>845</v>
      </c>
      <c r="K68" s="38">
        <v>44003</v>
      </c>
      <c r="N68" s="10">
        <v>-12.66322116279602</v>
      </c>
      <c r="O68" s="39">
        <v>-105.43235771408081</v>
      </c>
      <c r="P68" s="35">
        <f t="shared" si="1"/>
        <v>-4.1265884117126461</v>
      </c>
    </row>
    <row r="69" spans="1:16" x14ac:dyDescent="0.35">
      <c r="A69" s="5" t="s">
        <v>20</v>
      </c>
      <c r="C69" s="5" t="s">
        <v>548</v>
      </c>
      <c r="D69" s="5" t="s">
        <v>468</v>
      </c>
      <c r="E69" s="5">
        <v>72.22</v>
      </c>
      <c r="F69" s="5">
        <v>126.29</v>
      </c>
      <c r="G69" s="5">
        <v>9</v>
      </c>
      <c r="I69" s="40" t="s">
        <v>846</v>
      </c>
      <c r="K69" s="38">
        <v>44009</v>
      </c>
      <c r="N69" s="10">
        <v>-12.189518096923829</v>
      </c>
      <c r="O69" s="39">
        <v>-104.96911883392335</v>
      </c>
      <c r="P69" s="35">
        <f t="shared" si="1"/>
        <v>-7.4529740585327175</v>
      </c>
    </row>
    <row r="70" spans="1:16" x14ac:dyDescent="0.35">
      <c r="A70" s="5" t="s">
        <v>20</v>
      </c>
      <c r="C70" s="5" t="s">
        <v>548</v>
      </c>
      <c r="D70" s="5" t="s">
        <v>468</v>
      </c>
      <c r="E70" s="5">
        <v>72.22</v>
      </c>
      <c r="F70" s="5">
        <v>126.29</v>
      </c>
      <c r="G70" s="5">
        <v>9</v>
      </c>
      <c r="I70" s="40" t="s">
        <v>847</v>
      </c>
      <c r="K70" s="38">
        <v>44010</v>
      </c>
      <c r="N70" s="10">
        <v>-12.257887567520143</v>
      </c>
      <c r="O70" s="39">
        <v>-105.8730029663086</v>
      </c>
      <c r="P70" s="35">
        <f t="shared" si="1"/>
        <v>-7.8099024261474597</v>
      </c>
    </row>
    <row r="71" spans="1:16" x14ac:dyDescent="0.35">
      <c r="A71" s="5" t="s">
        <v>20</v>
      </c>
      <c r="C71" s="5" t="s">
        <v>548</v>
      </c>
      <c r="D71" s="5" t="s">
        <v>468</v>
      </c>
      <c r="E71" s="5">
        <v>72.22</v>
      </c>
      <c r="F71" s="5">
        <v>126.29</v>
      </c>
      <c r="G71" s="5">
        <v>9</v>
      </c>
      <c r="I71" s="37" t="s">
        <v>848</v>
      </c>
      <c r="K71" s="38">
        <v>44012</v>
      </c>
      <c r="N71" s="10">
        <v>-15.837285364151001</v>
      </c>
      <c r="O71" s="39">
        <v>-114.92701889648437</v>
      </c>
      <c r="P71" s="35">
        <f t="shared" si="1"/>
        <v>11.771264016723634</v>
      </c>
    </row>
    <row r="72" spans="1:16" x14ac:dyDescent="0.35">
      <c r="A72" s="5" t="s">
        <v>20</v>
      </c>
      <c r="C72" s="5" t="s">
        <v>548</v>
      </c>
      <c r="D72" s="5" t="s">
        <v>468</v>
      </c>
      <c r="E72" s="5">
        <v>72.22</v>
      </c>
      <c r="F72" s="5">
        <v>126.29</v>
      </c>
      <c r="G72" s="5">
        <v>9</v>
      </c>
      <c r="I72" s="37" t="s">
        <v>849</v>
      </c>
      <c r="K72" s="38">
        <v>44016</v>
      </c>
      <c r="N72" s="10">
        <v>-15.828233201980591</v>
      </c>
      <c r="O72" s="39">
        <v>-114.4828872894287</v>
      </c>
      <c r="P72" s="35">
        <f t="shared" si="1"/>
        <v>12.142978326416028</v>
      </c>
    </row>
    <row r="73" spans="1:16" x14ac:dyDescent="0.35">
      <c r="A73" s="5" t="s">
        <v>20</v>
      </c>
      <c r="C73" s="5" t="s">
        <v>548</v>
      </c>
      <c r="D73" s="5" t="s">
        <v>468</v>
      </c>
      <c r="E73" s="5">
        <v>72.22</v>
      </c>
      <c r="F73" s="5">
        <v>126.29</v>
      </c>
      <c r="G73" s="5">
        <v>9</v>
      </c>
      <c r="I73" s="37" t="s">
        <v>850</v>
      </c>
      <c r="K73" s="38">
        <v>44017</v>
      </c>
      <c r="N73" s="10">
        <v>-15.841760152816772</v>
      </c>
      <c r="O73" s="39">
        <v>-115.02034199371337</v>
      </c>
      <c r="P73" s="35">
        <f t="shared" si="1"/>
        <v>11.713739228820799</v>
      </c>
    </row>
    <row r="74" spans="1:16" x14ac:dyDescent="0.35">
      <c r="A74" s="5" t="s">
        <v>20</v>
      </c>
      <c r="C74" s="5" t="s">
        <v>548</v>
      </c>
      <c r="D74" s="5" t="s">
        <v>468</v>
      </c>
      <c r="E74" s="5">
        <v>72.22</v>
      </c>
      <c r="F74" s="5">
        <v>126.29</v>
      </c>
      <c r="G74" s="5">
        <v>9</v>
      </c>
      <c r="I74" s="37" t="s">
        <v>851</v>
      </c>
      <c r="K74" s="38">
        <v>44018</v>
      </c>
      <c r="N74" s="10">
        <v>-16.183344394683836</v>
      </c>
      <c r="O74" s="39">
        <v>-118.24339472045898</v>
      </c>
      <c r="P74" s="35">
        <f t="shared" si="1"/>
        <v>11.223360437011706</v>
      </c>
    </row>
    <row r="75" spans="1:16" x14ac:dyDescent="0.35">
      <c r="A75" s="5" t="s">
        <v>20</v>
      </c>
      <c r="C75" s="5" t="s">
        <v>548</v>
      </c>
      <c r="D75" s="5" t="s">
        <v>468</v>
      </c>
      <c r="E75" s="5">
        <v>72.22</v>
      </c>
      <c r="F75" s="5">
        <v>126.29</v>
      </c>
      <c r="G75" s="5">
        <v>9</v>
      </c>
      <c r="I75" s="37" t="s">
        <v>852</v>
      </c>
      <c r="K75" s="38">
        <v>44019</v>
      </c>
      <c r="N75" s="10">
        <v>-14.996398389816285</v>
      </c>
      <c r="O75" s="39">
        <v>-109.22917006149291</v>
      </c>
      <c r="P75" s="35">
        <f t="shared" si="1"/>
        <v>10.742017057037373</v>
      </c>
    </row>
    <row r="76" spans="1:16" x14ac:dyDescent="0.35">
      <c r="A76" s="5" t="s">
        <v>20</v>
      </c>
      <c r="C76" s="5" t="s">
        <v>548</v>
      </c>
      <c r="D76" s="5" t="s">
        <v>468</v>
      </c>
      <c r="E76" s="5">
        <v>72.22</v>
      </c>
      <c r="F76" s="5">
        <v>126.29</v>
      </c>
      <c r="G76" s="5">
        <v>9</v>
      </c>
      <c r="I76" s="37" t="s">
        <v>853</v>
      </c>
      <c r="K76" s="38">
        <v>44020</v>
      </c>
      <c r="N76" s="10">
        <v>-15.047544463253022</v>
      </c>
      <c r="O76" s="39">
        <v>-108.54852024459839</v>
      </c>
      <c r="P76" s="35">
        <f t="shared" si="1"/>
        <v>11.831835461425783</v>
      </c>
    </row>
    <row r="77" spans="1:16" x14ac:dyDescent="0.35">
      <c r="A77" s="5" t="s">
        <v>20</v>
      </c>
      <c r="C77" s="5" t="s">
        <v>548</v>
      </c>
      <c r="D77" s="5" t="s">
        <v>468</v>
      </c>
      <c r="E77" s="5">
        <v>72.22</v>
      </c>
      <c r="F77" s="5">
        <v>126.29</v>
      </c>
      <c r="G77" s="5">
        <v>9</v>
      </c>
      <c r="I77" s="37" t="s">
        <v>854</v>
      </c>
      <c r="K77" s="38">
        <v>44032</v>
      </c>
      <c r="N77" s="10">
        <v>-13.873943117713928</v>
      </c>
      <c r="O77" s="39">
        <v>-112.02617528915405</v>
      </c>
      <c r="P77" s="35">
        <f t="shared" si="1"/>
        <v>-1.0346303474426293</v>
      </c>
    </row>
    <row r="78" spans="1:16" x14ac:dyDescent="0.35">
      <c r="A78" s="5" t="s">
        <v>20</v>
      </c>
      <c r="C78" s="5" t="s">
        <v>548</v>
      </c>
      <c r="D78" s="5" t="s">
        <v>468</v>
      </c>
      <c r="E78" s="5">
        <v>72.22</v>
      </c>
      <c r="F78" s="5">
        <v>126.29</v>
      </c>
      <c r="G78" s="5">
        <v>9</v>
      </c>
      <c r="I78" s="37" t="s">
        <v>855</v>
      </c>
      <c r="K78" s="38">
        <v>44033</v>
      </c>
      <c r="N78" s="10">
        <v>-13.946615736579894</v>
      </c>
      <c r="O78" s="39">
        <v>-109.91071900558471</v>
      </c>
      <c r="P78" s="35">
        <f t="shared" si="1"/>
        <v>1.6622068870544382</v>
      </c>
    </row>
    <row r="79" spans="1:16" x14ac:dyDescent="0.35">
      <c r="A79" s="5" t="s">
        <v>20</v>
      </c>
      <c r="C79" s="5" t="s">
        <v>548</v>
      </c>
      <c r="D79" s="5" t="s">
        <v>468</v>
      </c>
      <c r="E79" s="5">
        <v>72.22</v>
      </c>
      <c r="F79" s="5">
        <v>126.29</v>
      </c>
      <c r="G79" s="5">
        <v>9</v>
      </c>
      <c r="I79" s="37" t="s">
        <v>856</v>
      </c>
      <c r="K79" s="38">
        <v>44035</v>
      </c>
      <c r="N79" s="10">
        <v>-16.380012321472169</v>
      </c>
      <c r="O79" s="39">
        <v>-127.53870721435547</v>
      </c>
      <c r="P79" s="35">
        <f t="shared" si="1"/>
        <v>3.5013913574218805</v>
      </c>
    </row>
    <row r="80" spans="1:16" x14ac:dyDescent="0.35">
      <c r="A80" s="5" t="s">
        <v>20</v>
      </c>
      <c r="C80" s="5" t="s">
        <v>548</v>
      </c>
      <c r="D80" s="5" t="s">
        <v>468</v>
      </c>
      <c r="E80" s="5">
        <v>72.22</v>
      </c>
      <c r="F80" s="5">
        <v>126.29</v>
      </c>
      <c r="G80" s="5">
        <v>9</v>
      </c>
      <c r="I80" s="37" t="s">
        <v>857</v>
      </c>
      <c r="K80" s="38">
        <v>44037</v>
      </c>
      <c r="N80" s="10">
        <v>-17.636504652595519</v>
      </c>
      <c r="O80" s="39">
        <v>-130.57690915679933</v>
      </c>
      <c r="P80" s="35">
        <f t="shared" si="1"/>
        <v>10.515128063964823</v>
      </c>
    </row>
    <row r="81" spans="1:16" x14ac:dyDescent="0.35">
      <c r="A81" s="5" t="s">
        <v>20</v>
      </c>
      <c r="C81" s="5" t="s">
        <v>548</v>
      </c>
      <c r="D81" s="5" t="s">
        <v>468</v>
      </c>
      <c r="E81" s="5">
        <v>72.22</v>
      </c>
      <c r="F81" s="5">
        <v>126.29</v>
      </c>
      <c r="G81" s="5">
        <v>9</v>
      </c>
      <c r="I81" s="37" t="s">
        <v>858</v>
      </c>
      <c r="K81" s="38">
        <v>44038</v>
      </c>
      <c r="N81" s="10">
        <v>-17.672912054061889</v>
      </c>
      <c r="O81" s="39">
        <v>-133.55437641906738</v>
      </c>
      <c r="P81" s="35">
        <f t="shared" si="1"/>
        <v>7.8289200134277337</v>
      </c>
    </row>
    <row r="82" spans="1:16" x14ac:dyDescent="0.35">
      <c r="A82" s="5" t="s">
        <v>20</v>
      </c>
      <c r="C82" s="5" t="s">
        <v>548</v>
      </c>
      <c r="D82" s="5" t="s">
        <v>468</v>
      </c>
      <c r="E82" s="5">
        <v>72.22</v>
      </c>
      <c r="F82" s="5">
        <v>126.29</v>
      </c>
      <c r="G82" s="5">
        <v>9</v>
      </c>
      <c r="I82" s="37" t="s">
        <v>859</v>
      </c>
      <c r="K82" s="38">
        <v>44039</v>
      </c>
      <c r="N82" s="10">
        <v>-14.422452769279479</v>
      </c>
      <c r="O82" s="39">
        <v>-111.82499658203125</v>
      </c>
      <c r="P82" s="35">
        <f t="shared" si="1"/>
        <v>3.5546255722045856</v>
      </c>
    </row>
    <row r="83" spans="1:16" x14ac:dyDescent="0.35">
      <c r="A83" s="5" t="s">
        <v>20</v>
      </c>
      <c r="C83" s="5" t="s">
        <v>548</v>
      </c>
      <c r="D83" s="5" t="s">
        <v>468</v>
      </c>
      <c r="E83" s="5">
        <v>72.22</v>
      </c>
      <c r="F83" s="5">
        <v>126.29</v>
      </c>
      <c r="G83" s="5">
        <v>9</v>
      </c>
      <c r="I83" s="37" t="s">
        <v>860</v>
      </c>
      <c r="K83" s="38">
        <v>44044</v>
      </c>
      <c r="N83" s="10">
        <v>-12.905597890472412</v>
      </c>
      <c r="O83" s="39">
        <v>-94.698754116058353</v>
      </c>
      <c r="P83" s="35">
        <f t="shared" si="1"/>
        <v>8.5460290077209464</v>
      </c>
    </row>
    <row r="84" spans="1:16" x14ac:dyDescent="0.35">
      <c r="A84" s="5" t="s">
        <v>20</v>
      </c>
      <c r="C84" s="5" t="s">
        <v>548</v>
      </c>
      <c r="D84" s="5" t="s">
        <v>468</v>
      </c>
      <c r="E84" s="5">
        <v>72.22</v>
      </c>
      <c r="F84" s="5">
        <v>126.29</v>
      </c>
      <c r="G84" s="5">
        <v>9</v>
      </c>
      <c r="I84" s="37" t="s">
        <v>861</v>
      </c>
      <c r="K84" s="38">
        <v>44045</v>
      </c>
      <c r="N84" s="10">
        <v>-12.864825864887237</v>
      </c>
      <c r="O84" s="39">
        <v>-94.153000141143792</v>
      </c>
      <c r="P84" s="35">
        <f t="shared" si="1"/>
        <v>8.7656067779541047</v>
      </c>
    </row>
    <row r="85" spans="1:16" x14ac:dyDescent="0.35">
      <c r="A85" s="5" t="s">
        <v>20</v>
      </c>
      <c r="C85" s="5" t="s">
        <v>548</v>
      </c>
      <c r="D85" s="5" t="s">
        <v>468</v>
      </c>
      <c r="E85" s="5">
        <v>72.22</v>
      </c>
      <c r="F85" s="5">
        <v>126.29</v>
      </c>
      <c r="G85" s="5">
        <v>9</v>
      </c>
      <c r="I85" s="37" t="s">
        <v>862</v>
      </c>
      <c r="K85" s="38">
        <v>44048</v>
      </c>
      <c r="N85" s="10">
        <v>-13.33419303894043</v>
      </c>
      <c r="O85" s="39">
        <v>-101.61771226501465</v>
      </c>
      <c r="P85" s="35">
        <f t="shared" si="1"/>
        <v>5.0558320465087974</v>
      </c>
    </row>
    <row r="86" spans="1:16" x14ac:dyDescent="0.35">
      <c r="A86" s="5" t="s">
        <v>20</v>
      </c>
      <c r="C86" s="5" t="s">
        <v>548</v>
      </c>
      <c r="D86" s="5" t="s">
        <v>468</v>
      </c>
      <c r="E86" s="5">
        <v>72.22</v>
      </c>
      <c r="F86" s="5">
        <v>126.29</v>
      </c>
      <c r="G86" s="5">
        <v>9</v>
      </c>
      <c r="I86" s="37" t="s">
        <v>863</v>
      </c>
      <c r="K86" s="38">
        <v>44050</v>
      </c>
      <c r="N86" s="10">
        <v>-16.328794374465943</v>
      </c>
      <c r="O86" s="39">
        <v>-129.01908445739747</v>
      </c>
      <c r="P86" s="35">
        <f t="shared" si="1"/>
        <v>1.6112705383300749</v>
      </c>
    </row>
    <row r="87" spans="1:16" x14ac:dyDescent="0.35">
      <c r="A87" s="5" t="s">
        <v>20</v>
      </c>
      <c r="C87" s="5" t="s">
        <v>548</v>
      </c>
      <c r="D87" s="5" t="s">
        <v>468</v>
      </c>
      <c r="E87" s="5">
        <v>72.22</v>
      </c>
      <c r="F87" s="5">
        <v>126.29</v>
      </c>
      <c r="G87" s="5">
        <v>9</v>
      </c>
      <c r="I87" s="37" t="s">
        <v>864</v>
      </c>
      <c r="K87" s="38">
        <v>44053</v>
      </c>
      <c r="N87" s="10">
        <v>-17.348422279357909</v>
      </c>
      <c r="O87" s="39">
        <v>-121.26009202575683</v>
      </c>
      <c r="P87" s="35">
        <f t="shared" si="1"/>
        <v>17.527286209106435</v>
      </c>
    </row>
    <row r="88" spans="1:16" x14ac:dyDescent="0.35">
      <c r="A88" s="5" t="s">
        <v>20</v>
      </c>
      <c r="C88" s="5" t="s">
        <v>548</v>
      </c>
      <c r="D88" s="5" t="s">
        <v>468</v>
      </c>
      <c r="E88" s="5">
        <v>72.22</v>
      </c>
      <c r="F88" s="5">
        <v>126.29</v>
      </c>
      <c r="G88" s="5">
        <v>9</v>
      </c>
      <c r="I88" s="37" t="s">
        <v>865</v>
      </c>
      <c r="K88" s="38">
        <v>44055</v>
      </c>
      <c r="N88" s="10">
        <v>-16.293597555160524</v>
      </c>
      <c r="O88" s="39">
        <v>-119.65073075866698</v>
      </c>
      <c r="P88" s="35">
        <f t="shared" si="1"/>
        <v>10.69804968261721</v>
      </c>
    </row>
    <row r="89" spans="1:16" x14ac:dyDescent="0.35">
      <c r="A89" s="5" t="s">
        <v>20</v>
      </c>
      <c r="C89" s="5" t="s">
        <v>548</v>
      </c>
      <c r="D89" s="5" t="s">
        <v>468</v>
      </c>
      <c r="E89" s="5">
        <v>72.22</v>
      </c>
      <c r="F89" s="5">
        <v>126.29</v>
      </c>
      <c r="G89" s="5">
        <v>9</v>
      </c>
      <c r="I89" s="37" t="s">
        <v>866</v>
      </c>
      <c r="K89" s="38">
        <v>44056</v>
      </c>
      <c r="N89" s="10">
        <v>-16.307064428329468</v>
      </c>
      <c r="O89" s="39">
        <v>-119.46405940628051</v>
      </c>
      <c r="P89" s="35">
        <f t="shared" si="1"/>
        <v>10.992456020355235</v>
      </c>
    </row>
    <row r="90" spans="1:16" x14ac:dyDescent="0.35">
      <c r="A90" s="5" t="s">
        <v>20</v>
      </c>
      <c r="C90" s="5" t="s">
        <v>548</v>
      </c>
      <c r="D90" s="5" t="s">
        <v>468</v>
      </c>
      <c r="E90" s="5">
        <v>72.22</v>
      </c>
      <c r="F90" s="5">
        <v>126.29</v>
      </c>
      <c r="G90" s="5">
        <v>9</v>
      </c>
      <c r="I90" s="37" t="s">
        <v>867</v>
      </c>
      <c r="K90" s="38">
        <v>44059</v>
      </c>
      <c r="N90" s="10">
        <v>-13.017424392700196</v>
      </c>
      <c r="O90" s="39">
        <v>-94.831880905151365</v>
      </c>
      <c r="P90" s="35">
        <f t="shared" si="1"/>
        <v>9.3075142364502028</v>
      </c>
    </row>
    <row r="91" spans="1:16" x14ac:dyDescent="0.35">
      <c r="A91" s="5" t="s">
        <v>20</v>
      </c>
      <c r="C91" s="5" t="s">
        <v>548</v>
      </c>
      <c r="D91" s="5" t="s">
        <v>468</v>
      </c>
      <c r="E91" s="5">
        <v>72.22</v>
      </c>
      <c r="F91" s="5">
        <v>126.29</v>
      </c>
      <c r="G91" s="5">
        <v>9</v>
      </c>
      <c r="I91" s="37" t="s">
        <v>868</v>
      </c>
      <c r="K91" s="38">
        <v>44063</v>
      </c>
      <c r="N91" s="10">
        <v>-17.144516754150391</v>
      </c>
      <c r="O91" s="39">
        <v>-132.86112506103515</v>
      </c>
      <c r="P91" s="35">
        <f t="shared" si="1"/>
        <v>4.2950089721679774</v>
      </c>
    </row>
    <row r="92" spans="1:16" x14ac:dyDescent="0.35">
      <c r="A92" s="5" t="s">
        <v>20</v>
      </c>
      <c r="C92" s="5" t="s">
        <v>548</v>
      </c>
      <c r="D92" s="5" t="s">
        <v>468</v>
      </c>
      <c r="E92" s="5">
        <v>72.22</v>
      </c>
      <c r="F92" s="5">
        <v>126.29</v>
      </c>
      <c r="G92" s="5">
        <v>9</v>
      </c>
      <c r="I92" s="37" t="s">
        <v>869</v>
      </c>
      <c r="K92" s="38">
        <v>44064</v>
      </c>
      <c r="N92" s="10">
        <v>-14.837025928497315</v>
      </c>
      <c r="O92" s="39">
        <v>-108.09156211853028</v>
      </c>
      <c r="P92" s="35">
        <f t="shared" si="1"/>
        <v>10.604645309448244</v>
      </c>
    </row>
    <row r="93" spans="1:16" x14ac:dyDescent="0.35">
      <c r="A93" s="5" t="s">
        <v>20</v>
      </c>
      <c r="C93" s="5" t="s">
        <v>548</v>
      </c>
      <c r="D93" s="5" t="s">
        <v>468</v>
      </c>
      <c r="E93" s="5">
        <v>72.22</v>
      </c>
      <c r="F93" s="5">
        <v>126.29</v>
      </c>
      <c r="G93" s="5">
        <v>9</v>
      </c>
      <c r="I93" s="37" t="s">
        <v>870</v>
      </c>
      <c r="K93" s="38">
        <v>44065</v>
      </c>
      <c r="N93" s="10">
        <v>-15.590098667144776</v>
      </c>
      <c r="O93" s="39">
        <v>-113.51144174194336</v>
      </c>
      <c r="P93" s="35">
        <f t="shared" si="1"/>
        <v>11.209347595214851</v>
      </c>
    </row>
    <row r="94" spans="1:16" x14ac:dyDescent="0.35">
      <c r="A94" s="5" t="s">
        <v>20</v>
      </c>
      <c r="C94" s="5" t="s">
        <v>548</v>
      </c>
      <c r="D94" s="5" t="s">
        <v>468</v>
      </c>
      <c r="E94" s="5">
        <v>72.22</v>
      </c>
      <c r="F94" s="5">
        <v>126.29</v>
      </c>
      <c r="G94" s="5">
        <v>9</v>
      </c>
      <c r="I94" s="36" t="s">
        <v>871</v>
      </c>
      <c r="K94" s="34">
        <v>44079</v>
      </c>
      <c r="N94" s="7">
        <v>-14.058082037353516</v>
      </c>
      <c r="O94" s="35">
        <v>-109.24952792358398</v>
      </c>
      <c r="P94" s="35">
        <f t="shared" si="1"/>
        <v>3.2151283752441486</v>
      </c>
    </row>
    <row r="95" spans="1:16" x14ac:dyDescent="0.35">
      <c r="A95" s="5" t="s">
        <v>20</v>
      </c>
      <c r="C95" s="5" t="s">
        <v>548</v>
      </c>
      <c r="D95" s="5" t="s">
        <v>468</v>
      </c>
      <c r="E95" s="5">
        <v>72.22</v>
      </c>
      <c r="F95" s="5">
        <v>126.29</v>
      </c>
      <c r="G95" s="5">
        <v>9</v>
      </c>
      <c r="I95" s="36" t="s">
        <v>872</v>
      </c>
      <c r="K95" s="34">
        <v>44088</v>
      </c>
      <c r="N95" s="7">
        <v>-15.238795781517029</v>
      </c>
      <c r="O95" s="35">
        <v>-114.15163737487794</v>
      </c>
      <c r="P95" s="35">
        <f t="shared" si="1"/>
        <v>7.7587288772582923</v>
      </c>
    </row>
    <row r="96" spans="1:16" x14ac:dyDescent="0.35">
      <c r="A96" s="5" t="s">
        <v>20</v>
      </c>
      <c r="C96" s="5" t="s">
        <v>548</v>
      </c>
      <c r="D96" s="5" t="s">
        <v>468</v>
      </c>
      <c r="E96" s="5">
        <v>72.22</v>
      </c>
      <c r="F96" s="5">
        <v>126.29</v>
      </c>
      <c r="G96" s="5">
        <v>9</v>
      </c>
      <c r="I96" s="36" t="s">
        <v>873</v>
      </c>
      <c r="K96" s="34">
        <v>44089</v>
      </c>
      <c r="N96" s="7">
        <v>-18.390076152420043</v>
      </c>
      <c r="O96" s="35">
        <v>-132.34440015106202</v>
      </c>
      <c r="P96" s="35">
        <f t="shared" si="1"/>
        <v>14.776209068298328</v>
      </c>
    </row>
    <row r="97" spans="1:16" x14ac:dyDescent="0.35">
      <c r="A97" s="5" t="s">
        <v>20</v>
      </c>
      <c r="C97" s="5" t="s">
        <v>548</v>
      </c>
      <c r="D97" s="5" t="s">
        <v>468</v>
      </c>
      <c r="E97" s="5">
        <v>72.22</v>
      </c>
      <c r="F97" s="5">
        <v>126.29</v>
      </c>
      <c r="G97" s="5">
        <v>9</v>
      </c>
      <c r="I97" s="36" t="s">
        <v>874</v>
      </c>
      <c r="K97" s="34">
        <v>44090</v>
      </c>
      <c r="N97" s="7">
        <v>-13.388828043556213</v>
      </c>
      <c r="O97" s="35">
        <v>-101.17994216995238</v>
      </c>
      <c r="P97" s="35">
        <f t="shared" si="1"/>
        <v>5.9306821784973209</v>
      </c>
    </row>
    <row r="98" spans="1:16" x14ac:dyDescent="0.35">
      <c r="A98" s="5" t="s">
        <v>20</v>
      </c>
      <c r="C98" s="5" t="s">
        <v>548</v>
      </c>
      <c r="D98" s="5" t="s">
        <v>468</v>
      </c>
      <c r="E98" s="5">
        <v>72.22</v>
      </c>
      <c r="F98" s="5">
        <v>126.29</v>
      </c>
      <c r="G98" s="5">
        <v>9</v>
      </c>
      <c r="I98" s="36" t="s">
        <v>875</v>
      </c>
      <c r="K98" s="34">
        <v>44091</v>
      </c>
      <c r="N98" s="7">
        <v>-12.681754115200043</v>
      </c>
      <c r="O98" s="35">
        <v>-96.734861553955071</v>
      </c>
      <c r="P98" s="35">
        <f t="shared" si="1"/>
        <v>4.7191713676452736</v>
      </c>
    </row>
    <row r="99" spans="1:16" x14ac:dyDescent="0.35">
      <c r="A99" s="5" t="s">
        <v>20</v>
      </c>
      <c r="C99" s="5" t="s">
        <v>548</v>
      </c>
      <c r="D99" s="5" t="s">
        <v>468</v>
      </c>
      <c r="E99" s="5">
        <v>72.22</v>
      </c>
      <c r="F99" s="5">
        <v>126.29</v>
      </c>
      <c r="G99" s="5">
        <v>9</v>
      </c>
      <c r="I99" s="36" t="s">
        <v>876</v>
      </c>
      <c r="K99" s="34">
        <v>44092</v>
      </c>
      <c r="N99" s="7">
        <v>-12.727593401527404</v>
      </c>
      <c r="O99" s="35">
        <v>-97.334215255737305</v>
      </c>
      <c r="P99" s="35">
        <f t="shared" si="1"/>
        <v>4.4865319564819259</v>
      </c>
    </row>
    <row r="100" spans="1:16" x14ac:dyDescent="0.35">
      <c r="A100" s="5" t="s">
        <v>20</v>
      </c>
      <c r="C100" s="5" t="s">
        <v>548</v>
      </c>
      <c r="D100" s="5" t="s">
        <v>468</v>
      </c>
      <c r="E100" s="5">
        <v>72.22</v>
      </c>
      <c r="F100" s="5">
        <v>126.29</v>
      </c>
      <c r="G100" s="5">
        <v>9</v>
      </c>
      <c r="I100" s="36" t="s">
        <v>877</v>
      </c>
      <c r="K100" s="34">
        <v>44102</v>
      </c>
      <c r="N100" s="7">
        <v>-16.599260442657471</v>
      </c>
      <c r="O100" s="35">
        <v>-123.08180438232421</v>
      </c>
      <c r="P100" s="35">
        <f t="shared" si="1"/>
        <v>9.7122791589355586</v>
      </c>
    </row>
    <row r="101" spans="1:16" x14ac:dyDescent="0.35">
      <c r="A101" s="5" t="s">
        <v>20</v>
      </c>
      <c r="C101" s="5" t="s">
        <v>548</v>
      </c>
      <c r="D101" s="5" t="s">
        <v>468</v>
      </c>
      <c r="E101" s="5">
        <v>72.22</v>
      </c>
      <c r="F101" s="5">
        <v>126.29</v>
      </c>
      <c r="G101" s="5">
        <v>9</v>
      </c>
      <c r="I101" s="36" t="s">
        <v>878</v>
      </c>
      <c r="K101" s="34">
        <v>44103</v>
      </c>
      <c r="N101" s="7">
        <v>-16.558322175903321</v>
      </c>
      <c r="O101" s="35">
        <v>-123.3423108215332</v>
      </c>
      <c r="P101" s="35">
        <f t="shared" si="1"/>
        <v>9.1242665856933627</v>
      </c>
    </row>
    <row r="102" spans="1:16" x14ac:dyDescent="0.35">
      <c r="A102" s="5" t="s">
        <v>20</v>
      </c>
      <c r="C102" s="5" t="s">
        <v>548</v>
      </c>
      <c r="D102" s="5" t="s">
        <v>468</v>
      </c>
      <c r="E102" s="5">
        <v>72.22</v>
      </c>
      <c r="F102" s="5">
        <v>126.29</v>
      </c>
      <c r="G102" s="5">
        <v>9</v>
      </c>
      <c r="I102" s="36" t="s">
        <v>879</v>
      </c>
      <c r="K102" s="34">
        <v>44104</v>
      </c>
      <c r="N102" s="7">
        <v>-16.58222033302307</v>
      </c>
      <c r="O102" s="35">
        <v>-123.87478930664062</v>
      </c>
      <c r="P102" s="35">
        <f t="shared" si="1"/>
        <v>8.7829733575439377</v>
      </c>
    </row>
    <row r="103" spans="1:16" x14ac:dyDescent="0.35">
      <c r="A103" s="5" t="s">
        <v>20</v>
      </c>
      <c r="C103" s="5" t="s">
        <v>548</v>
      </c>
      <c r="D103" s="5" t="s">
        <v>468</v>
      </c>
      <c r="E103" s="5">
        <v>72.22</v>
      </c>
      <c r="F103" s="5">
        <v>126.29</v>
      </c>
      <c r="G103" s="5">
        <v>9</v>
      </c>
      <c r="I103" s="36" t="s">
        <v>880</v>
      </c>
      <c r="K103" s="34">
        <v>44105</v>
      </c>
      <c r="N103" s="7">
        <v>-16.550188745422364</v>
      </c>
      <c r="O103" s="35">
        <v>-123.37039324951172</v>
      </c>
      <c r="P103" s="35">
        <f t="shared" si="1"/>
        <v>9.0311167138671919</v>
      </c>
    </row>
    <row r="104" spans="1:16" x14ac:dyDescent="0.35">
      <c r="A104" s="5" t="s">
        <v>20</v>
      </c>
      <c r="C104" s="5" t="s">
        <v>548</v>
      </c>
      <c r="D104" s="5" t="s">
        <v>468</v>
      </c>
      <c r="E104" s="5">
        <v>72.22</v>
      </c>
      <c r="F104" s="5">
        <v>126.29</v>
      </c>
      <c r="G104" s="5">
        <v>9</v>
      </c>
      <c r="I104" s="36" t="s">
        <v>881</v>
      </c>
      <c r="K104" s="34">
        <v>44107</v>
      </c>
      <c r="N104" s="7">
        <v>-25.01164658729553</v>
      </c>
      <c r="O104" s="35">
        <v>-191.85224139404298</v>
      </c>
      <c r="P104" s="35">
        <f t="shared" si="1"/>
        <v>8.2409313043212649</v>
      </c>
    </row>
    <row r="105" spans="1:16" x14ac:dyDescent="0.35">
      <c r="A105" s="5" t="s">
        <v>20</v>
      </c>
      <c r="C105" s="5" t="s">
        <v>548</v>
      </c>
      <c r="D105" s="5" t="s">
        <v>468</v>
      </c>
      <c r="E105" s="5">
        <v>72.22</v>
      </c>
      <c r="F105" s="5">
        <v>126.29</v>
      </c>
      <c r="G105" s="5">
        <v>9</v>
      </c>
      <c r="I105" s="36" t="s">
        <v>882</v>
      </c>
      <c r="K105" s="34">
        <v>44109</v>
      </c>
      <c r="N105" s="7">
        <v>-20.697241659088135</v>
      </c>
      <c r="O105" s="35">
        <v>-151.75547396850587</v>
      </c>
      <c r="P105" s="35">
        <f t="shared" si="1"/>
        <v>13.822459304199214</v>
      </c>
    </row>
    <row r="106" spans="1:16" x14ac:dyDescent="0.35">
      <c r="A106" s="5" t="s">
        <v>20</v>
      </c>
      <c r="C106" s="5" t="s">
        <v>548</v>
      </c>
      <c r="D106" s="5" t="s">
        <v>468</v>
      </c>
      <c r="E106" s="5">
        <v>72.22</v>
      </c>
      <c r="F106" s="5">
        <v>126.29</v>
      </c>
      <c r="G106" s="5">
        <v>9</v>
      </c>
      <c r="I106" s="36" t="s">
        <v>883</v>
      </c>
      <c r="K106" s="34">
        <v>44110</v>
      </c>
      <c r="N106" s="7">
        <v>-20.779900764083859</v>
      </c>
      <c r="O106" s="35">
        <v>-153.38550187683106</v>
      </c>
      <c r="P106" s="35">
        <f t="shared" si="1"/>
        <v>12.853704235839814</v>
      </c>
    </row>
    <row r="107" spans="1:16" x14ac:dyDescent="0.35">
      <c r="A107" s="5" t="s">
        <v>20</v>
      </c>
      <c r="C107" s="5" t="s">
        <v>548</v>
      </c>
      <c r="D107" s="5" t="s">
        <v>468</v>
      </c>
      <c r="E107" s="5">
        <v>72.22</v>
      </c>
      <c r="F107" s="5">
        <v>126.29</v>
      </c>
      <c r="G107" s="5">
        <v>9</v>
      </c>
      <c r="I107" s="36" t="s">
        <v>884</v>
      </c>
      <c r="K107" s="34">
        <v>44111</v>
      </c>
      <c r="N107" s="7">
        <v>-19.74591362342834</v>
      </c>
      <c r="O107" s="35">
        <v>-148.93365536499024</v>
      </c>
      <c r="P107" s="35">
        <f t="shared" si="1"/>
        <v>9.033653622436475</v>
      </c>
    </row>
    <row r="108" spans="1:16" x14ac:dyDescent="0.35">
      <c r="A108" s="5" t="s">
        <v>20</v>
      </c>
      <c r="C108" s="5" t="s">
        <v>548</v>
      </c>
      <c r="D108" s="5" t="s">
        <v>468</v>
      </c>
      <c r="E108" s="5">
        <v>72.22</v>
      </c>
      <c r="F108" s="5">
        <v>126.29</v>
      </c>
      <c r="G108" s="5">
        <v>9</v>
      </c>
      <c r="I108" s="36" t="s">
        <v>885</v>
      </c>
      <c r="K108" s="34">
        <v>44112</v>
      </c>
      <c r="N108" s="7">
        <v>-19.853266872024538</v>
      </c>
      <c r="O108" s="35">
        <v>-149.08383792114259</v>
      </c>
      <c r="P108" s="35">
        <f t="shared" si="1"/>
        <v>9.7422970550537116</v>
      </c>
    </row>
    <row r="109" spans="1:16" x14ac:dyDescent="0.35">
      <c r="A109" s="5" t="s">
        <v>20</v>
      </c>
      <c r="C109" s="5" t="s">
        <v>548</v>
      </c>
      <c r="D109" s="5" t="s">
        <v>468</v>
      </c>
      <c r="E109" s="5">
        <v>72.22</v>
      </c>
      <c r="F109" s="5">
        <v>126.29</v>
      </c>
      <c r="G109" s="5">
        <v>9</v>
      </c>
      <c r="I109" s="36" t="s">
        <v>886</v>
      </c>
      <c r="K109" s="34">
        <v>44114</v>
      </c>
      <c r="N109" s="7">
        <v>-21.855413392639157</v>
      </c>
      <c r="O109" s="35">
        <v>-159.64941870117187</v>
      </c>
      <c r="P109" s="35">
        <f t="shared" si="1"/>
        <v>15.193888439941389</v>
      </c>
    </row>
    <row r="110" spans="1:16" x14ac:dyDescent="0.35">
      <c r="A110" s="5" t="s">
        <v>20</v>
      </c>
      <c r="C110" s="5" t="s">
        <v>548</v>
      </c>
      <c r="D110" s="5" t="s">
        <v>468</v>
      </c>
      <c r="E110" s="5">
        <v>72.22</v>
      </c>
      <c r="F110" s="5">
        <v>126.29</v>
      </c>
      <c r="G110" s="5">
        <v>9</v>
      </c>
      <c r="I110" s="36" t="s">
        <v>887</v>
      </c>
      <c r="K110" s="34">
        <v>44115</v>
      </c>
      <c r="N110" s="7">
        <v>-21.851253751373292</v>
      </c>
      <c r="O110" s="35">
        <v>-159.7392240142822</v>
      </c>
      <c r="P110" s="35">
        <f t="shared" si="1"/>
        <v>15.070805996704138</v>
      </c>
    </row>
    <row r="113" spans="13:16" x14ac:dyDescent="0.35">
      <c r="M113" s="5" t="s">
        <v>705</v>
      </c>
      <c r="N113" s="7">
        <f>AVERAGE(N2:N110)</f>
        <v>-20.182309682642256</v>
      </c>
      <c r="O113" s="35">
        <f t="shared" ref="O113:P113" si="2">AVERAGE(O2:O110)</f>
        <v>-155.30188151351703</v>
      </c>
      <c r="P113" s="35">
        <f t="shared" si="2"/>
        <v>6.1565959476209855</v>
      </c>
    </row>
    <row r="114" spans="13:16" x14ac:dyDescent="0.35">
      <c r="M114" s="5" t="s">
        <v>706</v>
      </c>
      <c r="N114" s="7">
        <f>MIN(N2:N110)</f>
        <v>-36.869823298645017</v>
      </c>
      <c r="O114" s="35">
        <f t="shared" ref="O114:P114" si="3">MIN(O2:O110)</f>
        <v>-289.64205834960939</v>
      </c>
      <c r="P114" s="35">
        <f t="shared" si="3"/>
        <v>-45.163238919067396</v>
      </c>
    </row>
    <row r="115" spans="13:16" x14ac:dyDescent="0.35">
      <c r="M115" s="5" t="s">
        <v>707</v>
      </c>
      <c r="N115" s="7">
        <f>MAX(N2:N110)</f>
        <v>-12.189518096923829</v>
      </c>
      <c r="O115" s="35">
        <f t="shared" ref="O115:P115" si="4">MAX(O2:O110)</f>
        <v>-94.153000141143792</v>
      </c>
      <c r="P115" s="35">
        <f t="shared" si="4"/>
        <v>17.527286209106435</v>
      </c>
    </row>
    <row r="116" spans="13:16" x14ac:dyDescent="0.35">
      <c r="M116" s="5" t="s">
        <v>708</v>
      </c>
      <c r="N116" s="7">
        <f>_xlfn.STDEV.P(N2:N110)</f>
        <v>6.1464178285351263</v>
      </c>
      <c r="O116" s="35">
        <f t="shared" ref="O116:P116" si="5">_xlfn.STDEV.P(O2:O110)</f>
        <v>49.281970240561286</v>
      </c>
      <c r="P116" s="35">
        <f t="shared" si="5"/>
        <v>7.8072940967482953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4D9B-02F4-4198-9AC2-25396067CAA1}">
  <dimension ref="A1:Q18"/>
  <sheetViews>
    <sheetView topLeftCell="A5" workbookViewId="0">
      <selection activeCell="O19" sqref="O19"/>
    </sheetView>
  </sheetViews>
  <sheetFormatPr defaultRowHeight="14.5" x14ac:dyDescent="0.35"/>
  <sheetData>
    <row r="1" spans="1:17" ht="15" thickBot="1" x14ac:dyDescent="0.4">
      <c r="A1" s="58" t="s">
        <v>888</v>
      </c>
      <c r="B1" s="60" t="s">
        <v>889</v>
      </c>
      <c r="C1" s="61"/>
      <c r="D1" s="61"/>
      <c r="E1" s="62"/>
      <c r="F1" s="60" t="s">
        <v>890</v>
      </c>
      <c r="G1" s="61"/>
      <c r="H1" s="61"/>
      <c r="I1" s="62"/>
      <c r="J1" s="60" t="s">
        <v>891</v>
      </c>
      <c r="K1" s="61"/>
      <c r="L1" s="61"/>
      <c r="M1" s="62"/>
      <c r="N1" s="63" t="s">
        <v>892</v>
      </c>
      <c r="O1" s="55" t="s">
        <v>906</v>
      </c>
      <c r="P1" s="56"/>
      <c r="Q1" s="57"/>
    </row>
    <row r="2" spans="1:17" ht="15" thickBot="1" x14ac:dyDescent="0.4">
      <c r="A2" s="59"/>
      <c r="B2" s="46" t="s">
        <v>706</v>
      </c>
      <c r="C2" s="47" t="s">
        <v>705</v>
      </c>
      <c r="D2" s="46" t="s">
        <v>707</v>
      </c>
      <c r="E2" s="46" t="s">
        <v>708</v>
      </c>
      <c r="F2" s="46" t="s">
        <v>706</v>
      </c>
      <c r="G2" s="47" t="s">
        <v>705</v>
      </c>
      <c r="H2" s="46" t="s">
        <v>707</v>
      </c>
      <c r="I2" s="46" t="s">
        <v>708</v>
      </c>
      <c r="J2" s="46" t="s">
        <v>706</v>
      </c>
      <c r="K2" s="47" t="s">
        <v>705</v>
      </c>
      <c r="L2" s="46" t="s">
        <v>707</v>
      </c>
      <c r="M2" s="46" t="s">
        <v>708</v>
      </c>
      <c r="N2" s="64"/>
      <c r="O2" s="50" t="s">
        <v>907</v>
      </c>
      <c r="P2" s="51" t="s">
        <v>908</v>
      </c>
      <c r="Q2" s="52" t="s">
        <v>909</v>
      </c>
    </row>
    <row r="3" spans="1:17" ht="15" thickBot="1" x14ac:dyDescent="0.4">
      <c r="A3" s="48" t="s">
        <v>893</v>
      </c>
      <c r="B3" s="46">
        <v>-30.62</v>
      </c>
      <c r="C3" s="47">
        <v>-15.68</v>
      </c>
      <c r="D3" s="46">
        <v>-4.53</v>
      </c>
      <c r="E3" s="46">
        <v>5.37</v>
      </c>
      <c r="F3" s="46">
        <v>-233.8</v>
      </c>
      <c r="G3" s="47">
        <v>-117.6</v>
      </c>
      <c r="H3" s="46">
        <v>-40</v>
      </c>
      <c r="I3" s="46">
        <v>40.799999999999997</v>
      </c>
      <c r="J3" s="46">
        <v>-14.1</v>
      </c>
      <c r="K3" s="47">
        <v>7.9</v>
      </c>
      <c r="L3" s="46">
        <v>25.9</v>
      </c>
      <c r="M3" s="46">
        <v>6</v>
      </c>
      <c r="N3" s="49">
        <v>107</v>
      </c>
      <c r="O3" s="53">
        <v>7.53</v>
      </c>
      <c r="P3" s="53">
        <v>0.55000000000000004</v>
      </c>
      <c r="Q3" s="53">
        <v>0.98</v>
      </c>
    </row>
    <row r="4" spans="1:17" ht="15" thickBot="1" x14ac:dyDescent="0.4">
      <c r="A4" s="48" t="s">
        <v>894</v>
      </c>
      <c r="B4" s="46">
        <v>-26.74</v>
      </c>
      <c r="C4" s="47">
        <v>-17.09</v>
      </c>
      <c r="D4" s="46">
        <v>-9.19</v>
      </c>
      <c r="E4" s="46">
        <v>4.22</v>
      </c>
      <c r="F4" s="46">
        <v>-202.9</v>
      </c>
      <c r="G4" s="47">
        <v>-128.19999999999999</v>
      </c>
      <c r="H4" s="46">
        <v>-59.9</v>
      </c>
      <c r="I4" s="46">
        <v>33.799999999999997</v>
      </c>
      <c r="J4" s="46">
        <v>2.2999999999999998</v>
      </c>
      <c r="K4" s="47">
        <v>8.6</v>
      </c>
      <c r="L4" s="46">
        <v>22.6</v>
      </c>
      <c r="M4" s="46">
        <v>3.7</v>
      </c>
      <c r="N4" s="49">
        <v>51</v>
      </c>
      <c r="O4" s="53">
        <v>7.97</v>
      </c>
      <c r="P4" s="53">
        <v>8.1</v>
      </c>
      <c r="Q4" s="53">
        <v>0.98</v>
      </c>
    </row>
    <row r="5" spans="1:17" ht="15" thickBot="1" x14ac:dyDescent="0.4">
      <c r="A5" s="48" t="s">
        <v>895</v>
      </c>
      <c r="B5" s="46">
        <v>-29.44</v>
      </c>
      <c r="C5" s="47">
        <v>-14</v>
      </c>
      <c r="D5" s="46">
        <v>-1.9</v>
      </c>
      <c r="E5" s="46">
        <v>6.1</v>
      </c>
      <c r="F5" s="46">
        <v>-230.7</v>
      </c>
      <c r="G5" s="47">
        <v>-104.2</v>
      </c>
      <c r="H5" s="46">
        <v>-2</v>
      </c>
      <c r="I5" s="46">
        <v>48.1</v>
      </c>
      <c r="J5" s="46">
        <v>-13.7</v>
      </c>
      <c r="K5" s="47">
        <v>7.8</v>
      </c>
      <c r="L5" s="46">
        <v>29</v>
      </c>
      <c r="M5" s="46">
        <v>6.3</v>
      </c>
      <c r="N5" s="49">
        <v>94</v>
      </c>
      <c r="O5" s="53">
        <v>7.81</v>
      </c>
      <c r="P5" s="53">
        <v>5.19</v>
      </c>
      <c r="Q5" s="53">
        <v>0.98</v>
      </c>
    </row>
    <row r="6" spans="1:17" ht="15" thickBot="1" x14ac:dyDescent="0.4">
      <c r="A6" s="48" t="s">
        <v>896</v>
      </c>
      <c r="B6" s="46">
        <v>-30.01</v>
      </c>
      <c r="C6" s="47">
        <v>-14.46</v>
      </c>
      <c r="D6" s="46">
        <v>-1.58</v>
      </c>
      <c r="E6" s="46">
        <v>5.63</v>
      </c>
      <c r="F6" s="46">
        <v>-231.8</v>
      </c>
      <c r="G6" s="47">
        <v>-109.3</v>
      </c>
      <c r="H6" s="46">
        <v>-13.2</v>
      </c>
      <c r="I6" s="46">
        <v>44.3</v>
      </c>
      <c r="J6" s="46">
        <v>-16.600000000000001</v>
      </c>
      <c r="K6" s="47">
        <v>6.4</v>
      </c>
      <c r="L6" s="46">
        <v>22.8</v>
      </c>
      <c r="M6" s="46">
        <v>7.3</v>
      </c>
      <c r="N6" s="49">
        <v>132</v>
      </c>
      <c r="O6" s="54">
        <v>7.77</v>
      </c>
      <c r="P6" s="54">
        <v>3.04</v>
      </c>
      <c r="Q6" s="54">
        <v>0.97</v>
      </c>
    </row>
    <row r="7" spans="1:17" ht="15" thickBot="1" x14ac:dyDescent="0.4">
      <c r="A7" s="48" t="s">
        <v>897</v>
      </c>
      <c r="B7" s="46">
        <v>-23.36</v>
      </c>
      <c r="C7" s="47">
        <v>-12.57</v>
      </c>
      <c r="D7" s="46">
        <v>-2.21</v>
      </c>
      <c r="E7" s="46">
        <v>4.29</v>
      </c>
      <c r="F7" s="46">
        <v>-181.9</v>
      </c>
      <c r="G7" s="47">
        <v>-96.3</v>
      </c>
      <c r="H7" s="46">
        <v>-35.5</v>
      </c>
      <c r="I7" s="46">
        <v>32.1</v>
      </c>
      <c r="J7" s="46">
        <v>-20.399999999999999</v>
      </c>
      <c r="K7" s="47">
        <v>4.2</v>
      </c>
      <c r="L7" s="46">
        <v>21.9</v>
      </c>
      <c r="M7" s="46">
        <v>7.7</v>
      </c>
      <c r="N7" s="49">
        <v>71</v>
      </c>
      <c r="O7" s="54">
        <v>7.31</v>
      </c>
      <c r="P7" s="54">
        <v>-4.41</v>
      </c>
      <c r="Q7" s="54">
        <v>0.95</v>
      </c>
    </row>
    <row r="8" spans="1:17" ht="25.5" thickBot="1" x14ac:dyDescent="0.4">
      <c r="A8" s="48" t="s">
        <v>898</v>
      </c>
      <c r="B8" s="46">
        <v>-19.16</v>
      </c>
      <c r="C8" s="47">
        <v>-9.83</v>
      </c>
      <c r="D8" s="46">
        <v>-2.1</v>
      </c>
      <c r="E8" s="46">
        <v>3.88</v>
      </c>
      <c r="F8" s="46">
        <v>-148.9</v>
      </c>
      <c r="G8" s="47">
        <v>-76.5</v>
      </c>
      <c r="H8" s="46">
        <v>-2.8</v>
      </c>
      <c r="I8" s="46">
        <v>32.200000000000003</v>
      </c>
      <c r="J8" s="46">
        <v>-6.9</v>
      </c>
      <c r="K8" s="47">
        <v>2.1</v>
      </c>
      <c r="L8" s="46">
        <v>14</v>
      </c>
      <c r="M8" s="46">
        <v>5.6</v>
      </c>
      <c r="N8" s="49">
        <v>25</v>
      </c>
      <c r="O8" s="54">
        <v>8.17</v>
      </c>
      <c r="P8" s="54">
        <v>3.9</v>
      </c>
      <c r="Q8" s="54">
        <v>0.97</v>
      </c>
    </row>
    <row r="9" spans="1:17" ht="15" thickBot="1" x14ac:dyDescent="0.4">
      <c r="A9" s="48" t="s">
        <v>899</v>
      </c>
      <c r="B9" s="46">
        <v>-19.350000000000001</v>
      </c>
      <c r="C9" s="47">
        <v>-12.21</v>
      </c>
      <c r="D9" s="46">
        <v>12.46</v>
      </c>
      <c r="E9" s="46">
        <v>4.62</v>
      </c>
      <c r="F9" s="46">
        <v>-147.30000000000001</v>
      </c>
      <c r="G9" s="47">
        <v>-86.5</v>
      </c>
      <c r="H9" s="46">
        <v>27.8</v>
      </c>
      <c r="I9" s="46">
        <v>32.9</v>
      </c>
      <c r="J9" s="46">
        <v>-71.900000000000006</v>
      </c>
      <c r="K9" s="47">
        <v>11.2</v>
      </c>
      <c r="L9" s="46">
        <v>37.4</v>
      </c>
      <c r="M9" s="46">
        <v>13.6</v>
      </c>
      <c r="N9" s="49">
        <v>80</v>
      </c>
      <c r="O9" s="54">
        <v>6.63</v>
      </c>
      <c r="P9" s="54">
        <v>-5.5</v>
      </c>
      <c r="Q9" s="54">
        <v>0.88</v>
      </c>
    </row>
    <row r="10" spans="1:17" ht="15" thickBot="1" x14ac:dyDescent="0.4">
      <c r="A10" s="48" t="s">
        <v>900</v>
      </c>
      <c r="B10" s="46">
        <v>-22.98</v>
      </c>
      <c r="C10" s="47">
        <v>-13.9</v>
      </c>
      <c r="D10" s="46">
        <v>-1.42</v>
      </c>
      <c r="E10" s="46">
        <v>4.8099999999999996</v>
      </c>
      <c r="F10" s="46">
        <v>-158.5</v>
      </c>
      <c r="G10" s="47">
        <v>-103.1</v>
      </c>
      <c r="H10" s="46">
        <v>-45.9</v>
      </c>
      <c r="I10" s="46">
        <v>30.6</v>
      </c>
      <c r="J10" s="46">
        <v>-38.700000000000003</v>
      </c>
      <c r="K10" s="47">
        <v>8.1</v>
      </c>
      <c r="L10" s="46">
        <v>30.6</v>
      </c>
      <c r="M10" s="46">
        <v>13.8</v>
      </c>
      <c r="N10" s="49">
        <v>21</v>
      </c>
      <c r="O10" s="54">
        <v>6.18</v>
      </c>
      <c r="P10" s="54">
        <v>-17.21</v>
      </c>
      <c r="Q10" s="54">
        <v>0.93</v>
      </c>
    </row>
    <row r="11" spans="1:17" ht="15" thickBot="1" x14ac:dyDescent="0.4">
      <c r="A11" s="48" t="s">
        <v>901</v>
      </c>
      <c r="B11" s="46">
        <v>-12.11</v>
      </c>
      <c r="C11" s="47">
        <v>-9.42</v>
      </c>
      <c r="D11" s="46">
        <v>-7.17</v>
      </c>
      <c r="E11" s="46">
        <v>1.85</v>
      </c>
      <c r="F11" s="46">
        <v>-84.1</v>
      </c>
      <c r="G11" s="47">
        <v>-63.5</v>
      </c>
      <c r="H11" s="46">
        <v>-38.1</v>
      </c>
      <c r="I11" s="46">
        <v>17.8</v>
      </c>
      <c r="J11" s="46">
        <v>4</v>
      </c>
      <c r="K11" s="47">
        <v>11.8</v>
      </c>
      <c r="L11" s="46">
        <v>19.3</v>
      </c>
      <c r="M11" s="46">
        <v>5.2</v>
      </c>
      <c r="N11" s="49">
        <v>5</v>
      </c>
      <c r="O11" s="54">
        <v>9.24</v>
      </c>
      <c r="P11" s="54">
        <v>23.59</v>
      </c>
      <c r="Q11" s="54">
        <v>0.93</v>
      </c>
    </row>
    <row r="12" spans="1:17" ht="25.5" thickBot="1" x14ac:dyDescent="0.4">
      <c r="A12" s="48" t="s">
        <v>470</v>
      </c>
      <c r="B12" s="46">
        <v>-22.71</v>
      </c>
      <c r="C12" s="47">
        <v>-15.98</v>
      </c>
      <c r="D12" s="46">
        <v>-12.72</v>
      </c>
      <c r="E12" s="46">
        <v>3.14</v>
      </c>
      <c r="F12" s="46">
        <v>-170.4</v>
      </c>
      <c r="G12" s="47">
        <v>-117.1</v>
      </c>
      <c r="H12" s="46">
        <v>-90.6</v>
      </c>
      <c r="I12" s="46">
        <v>24.7</v>
      </c>
      <c r="J12" s="46">
        <v>5.4</v>
      </c>
      <c r="K12" s="47">
        <v>10.8</v>
      </c>
      <c r="L12" s="46">
        <v>16.399999999999999</v>
      </c>
      <c r="M12" s="46">
        <v>3.2</v>
      </c>
      <c r="N12" s="49">
        <v>9</v>
      </c>
      <c r="O12" s="54">
        <v>7.55</v>
      </c>
      <c r="P12" s="54">
        <v>3.33</v>
      </c>
      <c r="Q12" s="54">
        <v>0.99</v>
      </c>
    </row>
    <row r="13" spans="1:17" ht="25.5" thickBot="1" x14ac:dyDescent="0.4">
      <c r="A13" s="48" t="s">
        <v>902</v>
      </c>
      <c r="B13" s="46">
        <v>-19.329999999999998</v>
      </c>
      <c r="C13" s="47">
        <v>-13.81</v>
      </c>
      <c r="D13" s="46">
        <v>-8.4700000000000006</v>
      </c>
      <c r="E13" s="46">
        <v>3.29</v>
      </c>
      <c r="F13" s="46">
        <v>-143.4</v>
      </c>
      <c r="G13" s="47">
        <v>-99.3</v>
      </c>
      <c r="H13" s="46">
        <v>-59.4</v>
      </c>
      <c r="I13" s="46">
        <v>25.8</v>
      </c>
      <c r="J13" s="46">
        <v>8.4</v>
      </c>
      <c r="K13" s="47">
        <v>11.1</v>
      </c>
      <c r="L13" s="46">
        <v>12.6</v>
      </c>
      <c r="M13" s="46">
        <v>1.1000000000000001</v>
      </c>
      <c r="N13" s="49">
        <v>9</v>
      </c>
      <c r="O13" s="54">
        <v>7.84</v>
      </c>
      <c r="P13" s="54">
        <v>8.9700000000000006</v>
      </c>
      <c r="Q13" s="54">
        <v>0.99</v>
      </c>
    </row>
    <row r="14" spans="1:17" ht="25.5" thickBot="1" x14ac:dyDescent="0.4">
      <c r="A14" s="48" t="s">
        <v>903</v>
      </c>
      <c r="B14" s="46">
        <v>-31.44</v>
      </c>
      <c r="C14" s="47">
        <v>-18.63</v>
      </c>
      <c r="D14" s="46">
        <v>-8.67</v>
      </c>
      <c r="E14" s="46">
        <v>8.1</v>
      </c>
      <c r="F14" s="46">
        <v>-231.9</v>
      </c>
      <c r="G14" s="47">
        <v>-148.4</v>
      </c>
      <c r="H14" s="46">
        <v>-84.5</v>
      </c>
      <c r="I14" s="46">
        <v>52.3</v>
      </c>
      <c r="J14" s="46">
        <v>-16.2</v>
      </c>
      <c r="K14" s="47">
        <v>0.6</v>
      </c>
      <c r="L14" s="46">
        <v>19.600000000000001</v>
      </c>
      <c r="M14" s="46">
        <v>13.1</v>
      </c>
      <c r="N14" s="49">
        <v>6</v>
      </c>
      <c r="O14" s="54">
        <v>6.44</v>
      </c>
      <c r="P14" s="54">
        <v>-28.42</v>
      </c>
      <c r="Q14" s="54">
        <v>0.99</v>
      </c>
    </row>
    <row r="15" spans="1:17" ht="15" thickBot="1" x14ac:dyDescent="0.4">
      <c r="A15" s="48" t="s">
        <v>904</v>
      </c>
      <c r="B15" s="46">
        <v>-40.69</v>
      </c>
      <c r="C15" s="47">
        <v>-20.88</v>
      </c>
      <c r="D15" s="46">
        <v>-10.56</v>
      </c>
      <c r="E15" s="46">
        <v>7.8</v>
      </c>
      <c r="F15" s="46">
        <v>-316.39999999999998</v>
      </c>
      <c r="G15" s="47">
        <v>-164.3</v>
      </c>
      <c r="H15" s="46">
        <v>-94.9</v>
      </c>
      <c r="I15" s="46">
        <v>59</v>
      </c>
      <c r="J15" s="46">
        <v>-16.8</v>
      </c>
      <c r="K15" s="47">
        <v>2.7</v>
      </c>
      <c r="L15" s="46">
        <v>20.2</v>
      </c>
      <c r="M15" s="46">
        <v>7.1</v>
      </c>
      <c r="N15" s="49">
        <v>94</v>
      </c>
      <c r="O15" s="54">
        <v>7.55</v>
      </c>
      <c r="P15" s="54">
        <v>-6.68</v>
      </c>
      <c r="Q15" s="54">
        <v>0.99</v>
      </c>
    </row>
    <row r="16" spans="1:17" ht="25.5" thickBot="1" x14ac:dyDescent="0.4">
      <c r="A16" s="48" t="s">
        <v>905</v>
      </c>
      <c r="B16" s="46">
        <v>-36.869999999999997</v>
      </c>
      <c r="C16" s="47">
        <v>-20.18</v>
      </c>
      <c r="D16" s="46">
        <v>-12.19</v>
      </c>
      <c r="E16" s="46">
        <v>6.15</v>
      </c>
      <c r="F16" s="46">
        <v>-289.60000000000002</v>
      </c>
      <c r="G16" s="47">
        <v>-155.30000000000001</v>
      </c>
      <c r="H16" s="46">
        <v>-94.2</v>
      </c>
      <c r="I16" s="46">
        <v>49.3</v>
      </c>
      <c r="J16" s="46">
        <v>-45.2</v>
      </c>
      <c r="K16" s="47">
        <v>6.2</v>
      </c>
      <c r="L16" s="46">
        <v>17.5</v>
      </c>
      <c r="M16" s="46">
        <v>7.8</v>
      </c>
      <c r="N16" s="49">
        <v>109</v>
      </c>
      <c r="O16" s="54">
        <v>7.91</v>
      </c>
      <c r="P16" s="54">
        <v>4.4800000000000004</v>
      </c>
      <c r="Q16" s="54">
        <v>0.97</v>
      </c>
    </row>
    <row r="17" spans="1:17" ht="25.5" thickBot="1" x14ac:dyDescent="0.4">
      <c r="A17" s="48" t="s">
        <v>495</v>
      </c>
      <c r="B17" s="46">
        <v>-36.17</v>
      </c>
      <c r="C17" s="47">
        <v>-20.52</v>
      </c>
      <c r="D17" s="46">
        <v>-12.05</v>
      </c>
      <c r="E17" s="46">
        <v>6.25</v>
      </c>
      <c r="F17" s="46">
        <v>-279.3</v>
      </c>
      <c r="G17" s="47">
        <v>-160.30000000000001</v>
      </c>
      <c r="H17" s="46">
        <v>-104.3</v>
      </c>
      <c r="I17" s="46">
        <v>47.2</v>
      </c>
      <c r="J17" s="46">
        <v>-8.5</v>
      </c>
      <c r="K17" s="47">
        <v>3.9</v>
      </c>
      <c r="L17" s="46">
        <v>19.100000000000001</v>
      </c>
      <c r="M17" s="46">
        <v>6</v>
      </c>
      <c r="N17" s="49">
        <v>38</v>
      </c>
      <c r="O17" s="54">
        <v>7.51</v>
      </c>
      <c r="P17" s="54">
        <v>-6.03</v>
      </c>
      <c r="Q17" s="54">
        <v>0.98</v>
      </c>
    </row>
    <row r="18" spans="1:17" ht="25.5" thickBot="1" x14ac:dyDescent="0.4">
      <c r="A18" s="48" t="s">
        <v>512</v>
      </c>
      <c r="B18" s="46">
        <v>-26.92</v>
      </c>
      <c r="C18" s="47">
        <v>-16.47</v>
      </c>
      <c r="D18" s="46">
        <v>-6.51</v>
      </c>
      <c r="E18" s="46">
        <v>4.7300000000000004</v>
      </c>
      <c r="F18" s="46">
        <v>-213.2</v>
      </c>
      <c r="G18" s="47">
        <v>-128.69999999999999</v>
      </c>
      <c r="H18" s="46">
        <v>-48.4</v>
      </c>
      <c r="I18" s="46">
        <v>35.700000000000003</v>
      </c>
      <c r="J18" s="46">
        <v>-16.5</v>
      </c>
      <c r="K18" s="47">
        <v>3</v>
      </c>
      <c r="L18" s="46">
        <v>28.2</v>
      </c>
      <c r="M18" s="46">
        <v>8.6</v>
      </c>
      <c r="N18" s="49">
        <v>70</v>
      </c>
      <c r="O18" s="54">
        <v>7.5</v>
      </c>
      <c r="P18" s="54">
        <v>-5.0199999999999996</v>
      </c>
      <c r="Q18" s="54">
        <v>0.96</v>
      </c>
    </row>
  </sheetData>
  <mergeCells count="6">
    <mergeCell ref="O1:Q1"/>
    <mergeCell ref="A1:A2"/>
    <mergeCell ref="B1:E1"/>
    <mergeCell ref="F1:I1"/>
    <mergeCell ref="J1:M1"/>
    <mergeCell ref="N1:N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All</vt:lpstr>
      <vt:lpstr>Pallas</vt:lpstr>
      <vt:lpstr>Oulanka</vt:lpstr>
      <vt:lpstr>Kevo</vt:lpstr>
      <vt:lpstr>Abisko</vt:lpstr>
      <vt:lpstr>Krycklan</vt:lpstr>
      <vt:lpstr>Ny-Ålesund</vt:lpstr>
      <vt:lpstr>Nuuk</vt:lpstr>
      <vt:lpstr>Disko</vt:lpstr>
      <vt:lpstr>Sudurnes</vt:lpstr>
      <vt:lpstr>Arkhangelsk</vt:lpstr>
      <vt:lpstr>NarianMar</vt:lpstr>
      <vt:lpstr>Anmangynda</vt:lpstr>
      <vt:lpstr>Toolik Lake</vt:lpstr>
      <vt:lpstr>Anchorage</vt:lpstr>
      <vt:lpstr>Tiksi</vt:lpstr>
      <vt:lpstr>Samoylov</vt:lpstr>
      <vt:lpstr>Table 2</vt:lpstr>
      <vt:lpstr>'Table 2'!_Hlk122081559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Mellat Ardakani</dc:creator>
  <cp:lastModifiedBy>Moein Mellat</cp:lastModifiedBy>
  <dcterms:created xsi:type="dcterms:W3CDTF">2022-01-09T16:25:11Z</dcterms:created>
  <dcterms:modified xsi:type="dcterms:W3CDTF">2023-11-21T12:49:07Z</dcterms:modified>
</cp:coreProperties>
</file>