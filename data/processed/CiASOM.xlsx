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iASOM\PhD\07.Manuscripts\#1.Overview\"/>
    </mc:Choice>
  </mc:AlternateContent>
  <xr:revisionPtr revIDLastSave="0" documentId="13_ncr:1_{797BD680-59FB-4F6C-8DE2-91FFC556415B}" xr6:coauthVersionLast="36" xr6:coauthVersionMax="36" xr10:uidLastSave="{00000000-0000-0000-0000-000000000000}"/>
  <bookViews>
    <workbookView xWindow="0" yWindow="0" windowWidth="25610" windowHeight="11750" activeTab="3" xr2:uid="{6AFF3079-7003-4B87-9C44-4FE9C2C1AF60}"/>
  </bookViews>
  <sheets>
    <sheet name="All" sheetId="1" r:id="rId1"/>
    <sheet name="Seawater" sheetId="16" r:id="rId2"/>
    <sheet name="Seawater_Continuous" sheetId="20" r:id="rId3"/>
    <sheet name="Snow" sheetId="17" r:id="rId4"/>
    <sheet name="Brine" sheetId="10" r:id="rId5"/>
    <sheet name="Frostflower" sheetId="11" r:id="rId6"/>
    <sheet name="ICE" sheetId="12" r:id="rId7"/>
    <sheet name="Unknown_ICE" sheetId="21" r:id="rId8"/>
    <sheet name="SYI" sheetId="19" r:id="rId9"/>
    <sheet name="FYI" sheetId="18" r:id="rId10"/>
    <sheet name="Lead" sheetId="13" r:id="rId11"/>
    <sheet name="Melt_Pond" sheetId="14" r:id="rId12"/>
    <sheet name="Ridge" sheetId="15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19" i="21" l="1"/>
  <c r="U119" i="21"/>
  <c r="Y118" i="21"/>
  <c r="U118" i="21"/>
  <c r="Y117" i="21"/>
  <c r="U117" i="21"/>
  <c r="Y116" i="21"/>
  <c r="U116" i="21"/>
  <c r="Y115" i="21"/>
  <c r="U115" i="21"/>
  <c r="Y114" i="21"/>
  <c r="U114" i="21"/>
  <c r="Y113" i="21"/>
  <c r="U113" i="21"/>
  <c r="Y112" i="21"/>
  <c r="U112" i="21"/>
  <c r="Y111" i="21"/>
  <c r="U111" i="21"/>
  <c r="Y110" i="21"/>
  <c r="U110" i="21"/>
  <c r="Y109" i="21"/>
  <c r="U109" i="21"/>
  <c r="Y108" i="21"/>
  <c r="U108" i="21"/>
  <c r="Y107" i="21"/>
  <c r="U107" i="21"/>
  <c r="Y106" i="21"/>
  <c r="U106" i="21"/>
  <c r="Y105" i="21"/>
  <c r="U105" i="21"/>
  <c r="Y104" i="21"/>
  <c r="U104" i="21"/>
  <c r="Y103" i="21"/>
  <c r="U103" i="21"/>
  <c r="Y102" i="21"/>
  <c r="U102" i="21"/>
  <c r="Y101" i="21"/>
  <c r="Y100" i="21"/>
  <c r="Y99" i="21"/>
  <c r="Y98" i="21"/>
  <c r="Y97" i="21"/>
  <c r="Y96" i="21"/>
  <c r="Y95" i="21"/>
  <c r="Y94" i="21"/>
  <c r="Y93" i="21"/>
  <c r="Y92" i="21"/>
  <c r="Y91" i="21"/>
  <c r="Y90" i="21"/>
  <c r="Y89" i="21"/>
  <c r="Y88" i="21"/>
  <c r="Y87" i="21"/>
  <c r="Y86" i="21"/>
  <c r="Y85" i="21"/>
  <c r="Y84" i="21"/>
  <c r="Y83" i="21"/>
  <c r="Y82" i="21"/>
  <c r="Y81" i="21"/>
  <c r="Y80" i="21"/>
  <c r="Y79" i="21"/>
  <c r="Y78" i="21"/>
  <c r="Y77" i="21"/>
  <c r="Y76" i="21"/>
  <c r="Y75" i="21"/>
  <c r="Y74" i="21"/>
  <c r="Y73" i="21"/>
  <c r="Y72" i="21"/>
  <c r="Y71" i="21"/>
  <c r="Y70" i="21"/>
  <c r="Y69" i="21"/>
  <c r="Y68" i="21"/>
  <c r="Y67" i="21"/>
  <c r="Y66" i="21"/>
  <c r="Y65" i="21"/>
  <c r="Y64" i="21"/>
  <c r="Y63" i="21"/>
  <c r="Y62" i="21"/>
  <c r="Y61" i="21"/>
  <c r="Y60" i="21"/>
  <c r="Y59" i="21"/>
  <c r="Y58" i="21"/>
  <c r="Y57" i="21"/>
  <c r="Y56" i="21"/>
  <c r="Y55" i="21"/>
  <c r="Y54" i="21"/>
  <c r="Y53" i="21"/>
  <c r="Y52" i="21"/>
  <c r="Y51" i="21"/>
  <c r="Y50" i="21"/>
  <c r="Y49" i="21"/>
  <c r="Y48" i="21"/>
  <c r="Y47" i="21"/>
  <c r="Y46" i="21"/>
  <c r="Y45" i="21"/>
  <c r="Y44" i="21"/>
  <c r="Y43" i="21"/>
  <c r="Y42" i="21"/>
  <c r="Y41" i="21"/>
  <c r="Y40" i="21"/>
  <c r="Y39" i="21"/>
  <c r="Y38" i="21"/>
  <c r="Y37" i="21"/>
  <c r="Y36" i="21"/>
  <c r="Y35" i="21"/>
  <c r="Y34" i="21"/>
  <c r="Y33" i="21"/>
  <c r="Y32" i="21"/>
  <c r="Y31" i="21"/>
  <c r="Y30" i="21"/>
  <c r="Y29" i="21"/>
  <c r="Y28" i="21"/>
  <c r="Y27" i="21"/>
  <c r="Y26" i="21"/>
  <c r="Y25" i="21"/>
  <c r="Y24" i="21"/>
  <c r="Y23" i="21"/>
  <c r="Y22" i="21"/>
  <c r="Y21" i="21"/>
  <c r="Y20" i="21"/>
  <c r="Y19" i="21"/>
  <c r="Y18" i="21"/>
  <c r="Y17" i="21"/>
  <c r="Y16" i="21"/>
  <c r="Y15" i="21"/>
  <c r="Y14" i="21"/>
  <c r="Y13" i="21"/>
  <c r="Y12" i="21"/>
  <c r="Y11" i="21"/>
  <c r="Y10" i="21"/>
  <c r="Y9" i="21"/>
  <c r="Y8" i="21"/>
  <c r="Y7" i="21"/>
  <c r="Y6" i="21"/>
  <c r="Y5" i="21"/>
  <c r="Y4" i="21"/>
  <c r="Y3" i="21"/>
  <c r="Y2" i="21"/>
  <c r="Y873" i="12" l="1"/>
  <c r="U873" i="12"/>
  <c r="U353" i="19"/>
  <c r="X1191" i="1" l="1"/>
  <c r="X1117" i="1"/>
  <c r="X1116" i="1"/>
  <c r="X1079" i="1"/>
  <c r="X1078" i="1"/>
  <c r="X1075" i="1"/>
  <c r="X898" i="1"/>
  <c r="X816" i="1"/>
  <c r="X815" i="1"/>
  <c r="X710" i="1"/>
  <c r="X709" i="1"/>
  <c r="X656" i="1"/>
  <c r="X655" i="1"/>
  <c r="X623" i="1"/>
  <c r="X622" i="1"/>
  <c r="Y114" i="17" l="1"/>
  <c r="Y113" i="17"/>
  <c r="Y117" i="17"/>
  <c r="Y119" i="17"/>
  <c r="Y120" i="17"/>
  <c r="Y121" i="17"/>
  <c r="Y122" i="17"/>
  <c r="Y123" i="17"/>
  <c r="Y125" i="17"/>
  <c r="Y127" i="17"/>
  <c r="Y124" i="17"/>
  <c r="Y126" i="17"/>
  <c r="Y128" i="17"/>
  <c r="Y130" i="17"/>
  <c r="Y132" i="17"/>
  <c r="Y129" i="17"/>
  <c r="Y131" i="17"/>
  <c r="Y133" i="17"/>
  <c r="Y134" i="17"/>
  <c r="Y135" i="17"/>
  <c r="Y136" i="17"/>
  <c r="Y138" i="17"/>
  <c r="Y140" i="17"/>
  <c r="Y142" i="17"/>
  <c r="Y137" i="17"/>
  <c r="Y139" i="17"/>
  <c r="Y141" i="17"/>
  <c r="Y143" i="17"/>
  <c r="Y144" i="17"/>
  <c r="Y145" i="17"/>
  <c r="Y146" i="17"/>
  <c r="Y147" i="17"/>
  <c r="Y148" i="17"/>
  <c r="Y149" i="17"/>
  <c r="Y153" i="17"/>
  <c r="Y152" i="17"/>
  <c r="Y154" i="17"/>
  <c r="Y150" i="17"/>
  <c r="Y151" i="17"/>
  <c r="Y155" i="17"/>
  <c r="Y156" i="17"/>
  <c r="Y157" i="17"/>
  <c r="Y158" i="17"/>
  <c r="Y161" i="17"/>
  <c r="Y163" i="17"/>
  <c r="Y159" i="17"/>
  <c r="Y160" i="17"/>
  <c r="Y162" i="17"/>
  <c r="Y164" i="17"/>
  <c r="Y165" i="17"/>
  <c r="Y166" i="17"/>
  <c r="Y168" i="17"/>
  <c r="Y167" i="17"/>
  <c r="Y169" i="17"/>
  <c r="Y170" i="17"/>
  <c r="Y174" i="17"/>
  <c r="Y175" i="17"/>
  <c r="Y171" i="17"/>
  <c r="Y172" i="17"/>
  <c r="Y173" i="17"/>
  <c r="Y176" i="17"/>
  <c r="Y177" i="17"/>
  <c r="Y178" i="17"/>
  <c r="Y180" i="17"/>
  <c r="Y179" i="17"/>
  <c r="Y182" i="17"/>
  <c r="Y181" i="17"/>
  <c r="Y183" i="17"/>
  <c r="Y184" i="17"/>
  <c r="Y185" i="17"/>
  <c r="Y186" i="17"/>
  <c r="Y187" i="17"/>
  <c r="Y188" i="17"/>
  <c r="Y189" i="17"/>
  <c r="Y190" i="17"/>
  <c r="Y191" i="17"/>
  <c r="Y192" i="17"/>
  <c r="Y193" i="17"/>
  <c r="Y194" i="17"/>
  <c r="Y195" i="17"/>
  <c r="Y197" i="17"/>
  <c r="Y199" i="17"/>
  <c r="Y196" i="17"/>
  <c r="Y198" i="17"/>
  <c r="Y200" i="17"/>
  <c r="Y201" i="17"/>
  <c r="Y202" i="17"/>
  <c r="Y205" i="17"/>
  <c r="Y207" i="17"/>
  <c r="Y204" i="17"/>
  <c r="Y203" i="17"/>
  <c r="Y206" i="17"/>
  <c r="Y208" i="17"/>
  <c r="Y209" i="17"/>
  <c r="Y210" i="17"/>
  <c r="Y211" i="17"/>
  <c r="Y212" i="17"/>
  <c r="Y213" i="17"/>
  <c r="Y214" i="17"/>
  <c r="Y215" i="17"/>
  <c r="Y216" i="17"/>
  <c r="Y218" i="17"/>
  <c r="Y221" i="17"/>
  <c r="Y222" i="17"/>
  <c r="Y217" i="17"/>
  <c r="Y219" i="17"/>
  <c r="Y220" i="17"/>
  <c r="Y223" i="17"/>
  <c r="Y224" i="17"/>
  <c r="Y225" i="17"/>
  <c r="Y226" i="17"/>
  <c r="Y227" i="17"/>
  <c r="Y228" i="17"/>
  <c r="Y230" i="17"/>
  <c r="Y229" i="17"/>
  <c r="Y231" i="17"/>
  <c r="Y232" i="17"/>
  <c r="Y233" i="17"/>
  <c r="Y234" i="17"/>
  <c r="Y235" i="17"/>
  <c r="Y236" i="17"/>
  <c r="Y237" i="17"/>
  <c r="Y238" i="17"/>
  <c r="Y240" i="17"/>
  <c r="Y239" i="17"/>
  <c r="Y241" i="17"/>
  <c r="Y243" i="17"/>
  <c r="Y242" i="17"/>
  <c r="Y244" i="17"/>
  <c r="Y246" i="17"/>
  <c r="Y248" i="17"/>
  <c r="Y245" i="17"/>
  <c r="Y247" i="17"/>
  <c r="Y250" i="17"/>
  <c r="Y251" i="17"/>
  <c r="Y249" i="17"/>
  <c r="Y253" i="17"/>
  <c r="Y252" i="17"/>
  <c r="Y254" i="17"/>
  <c r="Y255" i="17"/>
  <c r="Y256" i="17"/>
  <c r="Y257" i="17"/>
  <c r="Y258" i="17"/>
  <c r="Y259" i="17"/>
  <c r="Y260" i="17"/>
  <c r="Y263" i="17"/>
  <c r="Y262" i="17"/>
  <c r="Y261" i="17"/>
  <c r="Y265" i="17"/>
  <c r="Y264" i="17"/>
  <c r="Y266" i="17"/>
  <c r="Y269" i="17"/>
  <c r="Y268" i="17"/>
  <c r="Y267" i="17"/>
  <c r="Y270" i="17"/>
  <c r="Y272" i="17"/>
  <c r="Y271" i="17"/>
  <c r="Y273" i="17"/>
  <c r="Y274" i="17"/>
  <c r="Y275" i="17"/>
  <c r="Y279" i="17"/>
  <c r="Y282" i="17"/>
  <c r="Y283" i="17"/>
  <c r="Y276" i="17"/>
  <c r="Y281" i="17"/>
  <c r="Y287" i="17"/>
  <c r="Y280" i="17"/>
  <c r="Y278" i="17"/>
  <c r="Y286" i="17"/>
  <c r="Y284" i="17"/>
  <c r="Y277" i="17"/>
  <c r="Y285" i="17"/>
  <c r="Y288" i="17"/>
  <c r="Y289" i="17"/>
  <c r="Y290" i="17"/>
  <c r="Y295" i="17"/>
  <c r="Y294" i="17"/>
  <c r="Y293" i="17"/>
  <c r="Y291" i="17"/>
  <c r="Y292" i="17"/>
  <c r="Y296" i="17"/>
  <c r="Y298" i="17"/>
  <c r="Y297" i="17"/>
  <c r="Y299" i="17"/>
  <c r="Y300" i="17"/>
  <c r="Y301" i="17"/>
  <c r="Y302" i="17"/>
  <c r="Y303" i="17"/>
  <c r="Y305" i="17"/>
  <c r="Y304" i="17"/>
  <c r="Y307" i="17"/>
  <c r="Y306" i="17"/>
  <c r="X22" i="15" l="1"/>
  <c r="T22" i="15"/>
  <c r="X21" i="15"/>
  <c r="T21" i="15"/>
  <c r="X20" i="15"/>
  <c r="T20" i="15"/>
  <c r="X19" i="15"/>
  <c r="T19" i="15"/>
  <c r="X18" i="15"/>
  <c r="T18" i="15"/>
  <c r="X17" i="15"/>
  <c r="T17" i="15"/>
  <c r="X16" i="15"/>
  <c r="T16" i="15"/>
  <c r="X15" i="15"/>
  <c r="T15" i="15"/>
  <c r="X14" i="15"/>
  <c r="T14" i="15"/>
  <c r="X13" i="15"/>
  <c r="T13" i="15"/>
  <c r="X12" i="15"/>
  <c r="T12" i="15"/>
  <c r="X11" i="15"/>
  <c r="T11" i="15"/>
  <c r="X10" i="15"/>
  <c r="T10" i="15"/>
  <c r="X9" i="15"/>
  <c r="T9" i="15"/>
  <c r="X8" i="15"/>
  <c r="T8" i="15"/>
  <c r="X7" i="15"/>
  <c r="T7" i="15"/>
  <c r="X6" i="15"/>
  <c r="T6" i="15"/>
  <c r="X5" i="15"/>
  <c r="T5" i="15"/>
  <c r="X4" i="15"/>
  <c r="T4" i="15"/>
  <c r="X3" i="15"/>
  <c r="T3" i="15"/>
  <c r="X2" i="15"/>
  <c r="T2" i="15"/>
  <c r="X110" i="14"/>
  <c r="X109" i="14"/>
  <c r="X108" i="14"/>
  <c r="X107" i="14"/>
  <c r="X106" i="14"/>
  <c r="X105" i="14"/>
  <c r="X104" i="14"/>
  <c r="X103" i="14"/>
  <c r="X102" i="14"/>
  <c r="X101" i="14"/>
  <c r="X100" i="14"/>
  <c r="X99" i="14"/>
  <c r="X98" i="14"/>
  <c r="X97" i="14"/>
  <c r="X96" i="14"/>
  <c r="X95" i="14"/>
  <c r="X94" i="14"/>
  <c r="X93" i="14"/>
  <c r="X92" i="14"/>
  <c r="X91" i="14"/>
  <c r="X90" i="14"/>
  <c r="X89" i="14"/>
  <c r="X88" i="14"/>
  <c r="T88" i="14"/>
  <c r="X87" i="14"/>
  <c r="T87" i="14"/>
  <c r="X86" i="14"/>
  <c r="T86" i="14"/>
  <c r="X85" i="14"/>
  <c r="T85" i="14"/>
  <c r="X84" i="14"/>
  <c r="T84" i="14"/>
  <c r="X83" i="14"/>
  <c r="T83" i="14"/>
  <c r="X82" i="14"/>
  <c r="T82" i="14"/>
  <c r="X81" i="14"/>
  <c r="T81" i="14"/>
  <c r="X80" i="14"/>
  <c r="T80" i="14"/>
  <c r="X79" i="14"/>
  <c r="X78" i="14"/>
  <c r="X77" i="14"/>
  <c r="X76" i="14"/>
  <c r="X75" i="14"/>
  <c r="X74" i="14"/>
  <c r="X73" i="14"/>
  <c r="X72" i="14"/>
  <c r="T72" i="14"/>
  <c r="X71" i="14"/>
  <c r="T71" i="14"/>
  <c r="X70" i="14"/>
  <c r="X69" i="14"/>
  <c r="X68" i="14"/>
  <c r="X67" i="14"/>
  <c r="X66" i="14"/>
  <c r="X65" i="14"/>
  <c r="T65" i="14"/>
  <c r="X64" i="14"/>
  <c r="T64" i="14"/>
  <c r="X63" i="14"/>
  <c r="T63" i="14"/>
  <c r="X62" i="14"/>
  <c r="T62" i="14"/>
  <c r="X61" i="14"/>
  <c r="T61" i="14"/>
  <c r="X60" i="14"/>
  <c r="T60" i="14"/>
  <c r="X59" i="14"/>
  <c r="T59" i="14"/>
  <c r="X58" i="14"/>
  <c r="T58" i="14"/>
  <c r="X57" i="14"/>
  <c r="T57" i="14"/>
  <c r="X56" i="14"/>
  <c r="X55" i="14"/>
  <c r="X54" i="14"/>
  <c r="X53" i="14"/>
  <c r="X52" i="14"/>
  <c r="X51" i="14"/>
  <c r="X50" i="14"/>
  <c r="X49" i="14"/>
  <c r="X48" i="14"/>
  <c r="X47" i="14"/>
  <c r="X46" i="14"/>
  <c r="X45" i="14"/>
  <c r="X44" i="14"/>
  <c r="X43" i="14"/>
  <c r="X42" i="14"/>
  <c r="X41" i="14"/>
  <c r="X40" i="14"/>
  <c r="X39" i="14"/>
  <c r="X38" i="14"/>
  <c r="X37" i="14"/>
  <c r="X36" i="14"/>
  <c r="X35" i="14"/>
  <c r="X34" i="14"/>
  <c r="X33" i="14"/>
  <c r="X32" i="14"/>
  <c r="X31" i="14"/>
  <c r="X30" i="14"/>
  <c r="X28" i="14"/>
  <c r="X27" i="14"/>
  <c r="T27" i="14"/>
  <c r="X26" i="14"/>
  <c r="T26" i="14"/>
  <c r="X25" i="14"/>
  <c r="T25" i="14"/>
  <c r="X24" i="14"/>
  <c r="T24" i="14"/>
  <c r="X23" i="14"/>
  <c r="T23" i="14"/>
  <c r="X22" i="14"/>
  <c r="T22" i="14"/>
  <c r="X21" i="14"/>
  <c r="T21" i="14"/>
  <c r="X20" i="14"/>
  <c r="T20" i="14"/>
  <c r="X19" i="14"/>
  <c r="T19" i="14"/>
  <c r="X18" i="14"/>
  <c r="T18" i="14"/>
  <c r="X17" i="14"/>
  <c r="T17" i="14"/>
  <c r="X16" i="14"/>
  <c r="T16" i="14"/>
  <c r="X15" i="14"/>
  <c r="T15" i="14"/>
  <c r="X14" i="14"/>
  <c r="T14" i="14"/>
  <c r="X13" i="14"/>
  <c r="T13" i="14"/>
  <c r="X12" i="14"/>
  <c r="T12" i="14"/>
  <c r="X11" i="14"/>
  <c r="T11" i="14"/>
  <c r="X10" i="14"/>
  <c r="T10" i="14"/>
  <c r="X9" i="14"/>
  <c r="T9" i="14"/>
  <c r="X8" i="14"/>
  <c r="T8" i="14"/>
  <c r="X7" i="14"/>
  <c r="T7" i="14"/>
  <c r="X6" i="14"/>
  <c r="T6" i="14"/>
  <c r="X5" i="14"/>
  <c r="T5" i="14"/>
  <c r="X4" i="14"/>
  <c r="X3" i="14"/>
  <c r="T3" i="14"/>
  <c r="X2" i="14"/>
  <c r="T2" i="14"/>
  <c r="X29" i="14"/>
  <c r="X138" i="13"/>
  <c r="T138" i="13"/>
  <c r="X137" i="13"/>
  <c r="X136" i="13"/>
  <c r="X135" i="13"/>
  <c r="X134" i="13"/>
  <c r="X133" i="13"/>
  <c r="X132" i="13"/>
  <c r="X131" i="13"/>
  <c r="X130" i="13"/>
  <c r="X129" i="13"/>
  <c r="X128" i="13"/>
  <c r="X127" i="13"/>
  <c r="X126" i="13"/>
  <c r="X125" i="13"/>
  <c r="X124" i="13"/>
  <c r="X123" i="13"/>
  <c r="X122" i="13"/>
  <c r="X121" i="13"/>
  <c r="X120" i="13"/>
  <c r="X119" i="13"/>
  <c r="X118" i="13"/>
  <c r="X117" i="13"/>
  <c r="X116" i="13"/>
  <c r="T116" i="13"/>
  <c r="X115" i="13"/>
  <c r="T115" i="13"/>
  <c r="X114" i="13"/>
  <c r="T114" i="13"/>
  <c r="X113" i="13"/>
  <c r="T113" i="13"/>
  <c r="X112" i="13"/>
  <c r="X111" i="13"/>
  <c r="T111" i="13"/>
  <c r="X110" i="13"/>
  <c r="T110" i="13"/>
  <c r="X109" i="13"/>
  <c r="T109" i="13"/>
  <c r="X108" i="13"/>
  <c r="T108" i="13"/>
  <c r="X107" i="13"/>
  <c r="T107" i="13"/>
  <c r="T106" i="13"/>
  <c r="T105" i="13"/>
  <c r="X104" i="13"/>
  <c r="X103" i="13"/>
  <c r="X102" i="13"/>
  <c r="T102" i="13"/>
  <c r="X101" i="13"/>
  <c r="T101" i="13"/>
  <c r="X100" i="13"/>
  <c r="T100" i="13"/>
  <c r="X99" i="13"/>
  <c r="T99" i="13"/>
  <c r="X98" i="13"/>
  <c r="X97" i="13"/>
  <c r="T97" i="13"/>
  <c r="X96" i="13"/>
  <c r="T96" i="13"/>
  <c r="X95" i="13"/>
  <c r="T95" i="13"/>
  <c r="X94" i="13"/>
  <c r="T94" i="13"/>
  <c r="X93" i="13"/>
  <c r="X92" i="13"/>
  <c r="T92" i="13"/>
  <c r="X91" i="13"/>
  <c r="T91" i="13"/>
  <c r="X90" i="13"/>
  <c r="T90" i="13"/>
  <c r="X89" i="13"/>
  <c r="T89" i="13"/>
  <c r="X88" i="13"/>
  <c r="T88" i="13"/>
  <c r="X87" i="13"/>
  <c r="X86" i="13"/>
  <c r="X85" i="13"/>
  <c r="X84" i="13"/>
  <c r="X83" i="13"/>
  <c r="X82" i="13"/>
  <c r="X81" i="13"/>
  <c r="T81" i="13"/>
  <c r="X80" i="13"/>
  <c r="X79" i="13"/>
  <c r="X78" i="13"/>
  <c r="T78" i="13"/>
  <c r="X77" i="13"/>
  <c r="T77" i="13"/>
  <c r="X76" i="13"/>
  <c r="T76" i="13"/>
  <c r="X75" i="13"/>
  <c r="T75" i="13"/>
  <c r="X74" i="13"/>
  <c r="T74" i="13"/>
  <c r="X73" i="13"/>
  <c r="T73" i="13"/>
  <c r="X72" i="13"/>
  <c r="X71" i="13"/>
  <c r="T71" i="13"/>
  <c r="X70" i="13"/>
  <c r="T70" i="13"/>
  <c r="X69" i="13"/>
  <c r="T69" i="13"/>
  <c r="X68" i="13"/>
  <c r="T68" i="13"/>
  <c r="X67" i="13"/>
  <c r="X66" i="13"/>
  <c r="T66" i="13"/>
  <c r="X65" i="13"/>
  <c r="T65" i="13"/>
  <c r="X64" i="13"/>
  <c r="T64" i="13"/>
  <c r="X63" i="13"/>
  <c r="T63" i="13"/>
  <c r="X62" i="13"/>
  <c r="T62" i="13"/>
  <c r="X61" i="13"/>
  <c r="T61" i="13"/>
  <c r="X60" i="13"/>
  <c r="T60" i="13"/>
  <c r="X59" i="13"/>
  <c r="T59" i="13"/>
  <c r="X58" i="13"/>
  <c r="T58" i="13"/>
  <c r="X57" i="13"/>
  <c r="T57" i="13"/>
  <c r="X56" i="13"/>
  <c r="T56" i="13"/>
  <c r="X55" i="13"/>
  <c r="T55" i="13"/>
  <c r="X54" i="13"/>
  <c r="T54" i="13"/>
  <c r="X53" i="13"/>
  <c r="T53" i="13"/>
  <c r="X52" i="13"/>
  <c r="T52" i="13"/>
  <c r="X51" i="13"/>
  <c r="T51" i="13"/>
  <c r="X50" i="13"/>
  <c r="T50" i="13"/>
  <c r="X49" i="13"/>
  <c r="T49" i="13"/>
  <c r="X48" i="13"/>
  <c r="T48" i="13"/>
  <c r="X47" i="13"/>
  <c r="T47" i="13"/>
  <c r="X46" i="13"/>
  <c r="T46" i="13"/>
  <c r="X45" i="13"/>
  <c r="T45" i="13"/>
  <c r="X44" i="13"/>
  <c r="X43" i="13"/>
  <c r="T43" i="13"/>
  <c r="X42" i="13"/>
  <c r="T42" i="13"/>
  <c r="X41" i="13"/>
  <c r="T41" i="13"/>
  <c r="X40" i="13"/>
  <c r="T40" i="13"/>
  <c r="X39" i="13"/>
  <c r="T39" i="13"/>
  <c r="X38" i="13"/>
  <c r="T38" i="13"/>
  <c r="X37" i="13"/>
  <c r="T37" i="13"/>
  <c r="X36" i="13"/>
  <c r="T36" i="13"/>
  <c r="X35" i="13"/>
  <c r="T35" i="13"/>
  <c r="X34" i="13"/>
  <c r="T34" i="13"/>
  <c r="X33" i="13"/>
  <c r="T33" i="13"/>
  <c r="X32" i="13"/>
  <c r="T32" i="13"/>
  <c r="X31" i="13"/>
  <c r="X30" i="13"/>
  <c r="T30" i="13"/>
  <c r="X29" i="13"/>
  <c r="T29" i="13"/>
  <c r="X28" i="13"/>
  <c r="T28" i="13"/>
  <c r="X27" i="13"/>
  <c r="T27" i="13"/>
  <c r="X26" i="13"/>
  <c r="T26" i="13"/>
  <c r="X25" i="13"/>
  <c r="T25" i="13"/>
  <c r="X24" i="13"/>
  <c r="T24" i="13"/>
  <c r="X23" i="13"/>
  <c r="T23" i="13"/>
  <c r="X22" i="13"/>
  <c r="T22" i="13"/>
  <c r="X21" i="13"/>
  <c r="T21" i="13"/>
  <c r="X20" i="13"/>
  <c r="T20" i="13"/>
  <c r="X19" i="13"/>
  <c r="T19" i="13"/>
  <c r="X18" i="13"/>
  <c r="T18" i="13"/>
  <c r="X17" i="13"/>
  <c r="T17" i="13"/>
  <c r="X16" i="13"/>
  <c r="T16" i="13"/>
  <c r="X15" i="13"/>
  <c r="T15" i="13"/>
  <c r="X14" i="13"/>
  <c r="T14" i="13"/>
  <c r="X13" i="13"/>
  <c r="T13" i="13"/>
  <c r="X12" i="13"/>
  <c r="T12" i="13"/>
  <c r="X11" i="13"/>
  <c r="T11" i="13"/>
  <c r="X10" i="13"/>
  <c r="T10" i="13"/>
  <c r="X9" i="13"/>
  <c r="T9" i="13"/>
  <c r="X8" i="13"/>
  <c r="T8" i="13"/>
  <c r="X7" i="13"/>
  <c r="T7" i="13"/>
  <c r="X6" i="13"/>
  <c r="T6" i="13"/>
  <c r="X5" i="13"/>
  <c r="T5" i="13"/>
  <c r="X4" i="13"/>
  <c r="T4" i="13"/>
  <c r="X3" i="13"/>
  <c r="T3" i="13"/>
  <c r="X2" i="13"/>
  <c r="T2" i="13"/>
  <c r="Y413" i="19"/>
  <c r="U413" i="19"/>
  <c r="Y409" i="19"/>
  <c r="U409" i="19"/>
  <c r="Y384" i="19"/>
  <c r="U384" i="19"/>
  <c r="Y412" i="19"/>
  <c r="U412" i="19"/>
  <c r="Y410" i="19"/>
  <c r="U410" i="19"/>
  <c r="Y403" i="19"/>
  <c r="U403" i="19"/>
  <c r="Y397" i="19"/>
  <c r="U397" i="19"/>
  <c r="Y408" i="19"/>
  <c r="U408" i="19"/>
  <c r="Y404" i="19"/>
  <c r="U404" i="19"/>
  <c r="Y407" i="19"/>
  <c r="U407" i="19"/>
  <c r="Y406" i="19"/>
  <c r="U406" i="19"/>
  <c r="Y405" i="19"/>
  <c r="U405" i="19"/>
  <c r="Y396" i="19"/>
  <c r="U396" i="19"/>
  <c r="Y389" i="19"/>
  <c r="U389" i="19"/>
  <c r="Y411" i="19"/>
  <c r="U411" i="19"/>
  <c r="Y402" i="19"/>
  <c r="U402" i="19"/>
  <c r="Y382" i="19"/>
  <c r="U382" i="19"/>
  <c r="Y385" i="19"/>
  <c r="U385" i="19"/>
  <c r="Y392" i="19"/>
  <c r="U392" i="19"/>
  <c r="Y399" i="19"/>
  <c r="U399" i="19"/>
  <c r="Y391" i="19"/>
  <c r="U391" i="19"/>
  <c r="Y390" i="19"/>
  <c r="U390" i="19"/>
  <c r="Y381" i="19"/>
  <c r="U381" i="19"/>
  <c r="Y374" i="19"/>
  <c r="U374" i="19"/>
  <c r="Y375" i="19"/>
  <c r="U375" i="19"/>
  <c r="Y383" i="19"/>
  <c r="U383" i="19"/>
  <c r="Y395" i="19"/>
  <c r="U395" i="19"/>
  <c r="Y388" i="19"/>
  <c r="U388" i="19"/>
  <c r="Y378" i="19"/>
  <c r="U378" i="19"/>
  <c r="Y398" i="19"/>
  <c r="U398" i="19"/>
  <c r="Y380" i="19"/>
  <c r="U380" i="19"/>
  <c r="Y373" i="19"/>
  <c r="U373" i="19"/>
  <c r="Y393" i="19"/>
  <c r="U393" i="19"/>
  <c r="Y376" i="19"/>
  <c r="U376" i="19"/>
  <c r="Y394" i="19"/>
  <c r="U394" i="19"/>
  <c r="Y377" i="19"/>
  <c r="U377" i="19"/>
  <c r="Y371" i="19"/>
  <c r="U371" i="19"/>
  <c r="Y379" i="19"/>
  <c r="U379" i="19"/>
  <c r="Y372" i="19"/>
  <c r="U372" i="19"/>
  <c r="Y386" i="19"/>
  <c r="U386" i="19"/>
  <c r="Y387" i="19"/>
  <c r="U387" i="19"/>
  <c r="Y400" i="19"/>
  <c r="U400" i="19"/>
  <c r="Y401" i="19"/>
  <c r="U401" i="19"/>
  <c r="Y365" i="19"/>
  <c r="U365" i="19"/>
  <c r="Y369" i="19"/>
  <c r="U369" i="19"/>
  <c r="Y366" i="19"/>
  <c r="U366" i="19"/>
  <c r="Y368" i="19"/>
  <c r="U368" i="19"/>
  <c r="Y362" i="19"/>
  <c r="U362" i="19"/>
  <c r="Y364" i="19"/>
  <c r="U364" i="19"/>
  <c r="Y358" i="19"/>
  <c r="U358" i="19"/>
  <c r="Y359" i="19"/>
  <c r="U359" i="19"/>
  <c r="Y361" i="19"/>
  <c r="U361" i="19"/>
  <c r="Y360" i="19"/>
  <c r="U360" i="19"/>
  <c r="Y363" i="19"/>
  <c r="U363" i="19"/>
  <c r="Y355" i="19"/>
  <c r="U355" i="19"/>
  <c r="Y348" i="19"/>
  <c r="U348" i="19"/>
  <c r="Y353" i="19"/>
  <c r="Y354" i="19"/>
  <c r="U354" i="19"/>
  <c r="Y351" i="19"/>
  <c r="U351" i="19"/>
  <c r="Y350" i="19"/>
  <c r="U350" i="19"/>
  <c r="Y349" i="19"/>
  <c r="U349" i="19"/>
  <c r="Y356" i="19"/>
  <c r="U356" i="19"/>
  <c r="Y357" i="19"/>
  <c r="U357" i="19"/>
  <c r="Y370" i="19"/>
  <c r="U370" i="19"/>
  <c r="Y367" i="19"/>
  <c r="U367" i="19"/>
  <c r="Y346" i="19"/>
  <c r="U346" i="19"/>
  <c r="Y340" i="19"/>
  <c r="U340" i="19"/>
  <c r="Y345" i="19"/>
  <c r="U345" i="19"/>
  <c r="Y352" i="19"/>
  <c r="U352" i="19"/>
  <c r="Y347" i="19"/>
  <c r="U347" i="19"/>
  <c r="Y339" i="19"/>
  <c r="U339" i="19"/>
  <c r="Y335" i="19"/>
  <c r="U335" i="19"/>
  <c r="Y333" i="19"/>
  <c r="U333" i="19"/>
  <c r="Y330" i="19"/>
  <c r="U330" i="19"/>
  <c r="Y336" i="19"/>
  <c r="U336" i="19"/>
  <c r="Y331" i="19"/>
  <c r="U331" i="19"/>
  <c r="Y338" i="19"/>
  <c r="U338" i="19"/>
  <c r="Y334" i="19"/>
  <c r="U334" i="19"/>
  <c r="Y337" i="19"/>
  <c r="U337" i="19"/>
  <c r="Y332" i="19"/>
  <c r="U332" i="19"/>
  <c r="Y342" i="19"/>
  <c r="U342" i="19"/>
  <c r="Y343" i="19"/>
  <c r="U343" i="19"/>
  <c r="Y341" i="19"/>
  <c r="U341" i="19"/>
  <c r="Y344" i="19"/>
  <c r="U344" i="19"/>
  <c r="Y329" i="19"/>
  <c r="U329" i="19"/>
  <c r="Y328" i="19"/>
  <c r="U328" i="19"/>
  <c r="Y327" i="19"/>
  <c r="U327" i="19"/>
  <c r="Y326" i="19"/>
  <c r="U326" i="19"/>
  <c r="Y325" i="19"/>
  <c r="U325" i="19"/>
  <c r="Y324" i="19"/>
  <c r="U324" i="19"/>
  <c r="Y323" i="19"/>
  <c r="U323" i="19"/>
  <c r="Y322" i="19"/>
  <c r="U322" i="19"/>
  <c r="Y321" i="19"/>
  <c r="U321" i="19"/>
  <c r="Y320" i="19"/>
  <c r="U320" i="19"/>
  <c r="Y319" i="19"/>
  <c r="U319" i="19"/>
  <c r="Y318" i="19"/>
  <c r="U318" i="19"/>
  <c r="Y317" i="19"/>
  <c r="U317" i="19"/>
  <c r="Y316" i="19"/>
  <c r="U316" i="19"/>
  <c r="Y315" i="19"/>
  <c r="U315" i="19"/>
  <c r="Y314" i="19"/>
  <c r="U314" i="19"/>
  <c r="Y313" i="19"/>
  <c r="U313" i="19"/>
  <c r="Y312" i="19"/>
  <c r="U312" i="19"/>
  <c r="Y311" i="19"/>
  <c r="U311" i="19"/>
  <c r="Y310" i="19"/>
  <c r="U310" i="19"/>
  <c r="Y309" i="19"/>
  <c r="U309" i="19"/>
  <c r="Y308" i="19"/>
  <c r="U308" i="19"/>
  <c r="Y307" i="19"/>
  <c r="U307" i="19"/>
  <c r="Y306" i="19"/>
  <c r="U306" i="19"/>
  <c r="Y305" i="19"/>
  <c r="U305" i="19"/>
  <c r="Y304" i="19"/>
  <c r="U304" i="19"/>
  <c r="Y303" i="19"/>
  <c r="U303" i="19"/>
  <c r="Y302" i="19"/>
  <c r="U302" i="19"/>
  <c r="Y301" i="19"/>
  <c r="U301" i="19"/>
  <c r="Y300" i="19"/>
  <c r="U300" i="19"/>
  <c r="Y299" i="19"/>
  <c r="U299" i="19"/>
  <c r="Y298" i="19"/>
  <c r="U298" i="19"/>
  <c r="Y297" i="19"/>
  <c r="U297" i="19"/>
  <c r="Y296" i="19"/>
  <c r="U296" i="19"/>
  <c r="Y295" i="19"/>
  <c r="U295" i="19"/>
  <c r="Y294" i="19"/>
  <c r="U294" i="19"/>
  <c r="Y293" i="19"/>
  <c r="U293" i="19"/>
  <c r="Y292" i="19"/>
  <c r="U292" i="19"/>
  <c r="Y291" i="19"/>
  <c r="U291" i="19"/>
  <c r="Y290" i="19"/>
  <c r="U290" i="19"/>
  <c r="Y289" i="19"/>
  <c r="U289" i="19"/>
  <c r="Y288" i="19"/>
  <c r="U288" i="19"/>
  <c r="Y287" i="19"/>
  <c r="U287" i="19"/>
  <c r="Y286" i="19"/>
  <c r="U286" i="19"/>
  <c r="Y285" i="19"/>
  <c r="U285" i="19"/>
  <c r="Y284" i="19"/>
  <c r="U284" i="19"/>
  <c r="Y283" i="19"/>
  <c r="U283" i="19"/>
  <c r="Y282" i="19"/>
  <c r="U282" i="19"/>
  <c r="Y281" i="19"/>
  <c r="U281" i="19"/>
  <c r="Y280" i="19"/>
  <c r="U280" i="19"/>
  <c r="Y279" i="19"/>
  <c r="U279" i="19"/>
  <c r="Y278" i="19"/>
  <c r="U278" i="19"/>
  <c r="Y277" i="19"/>
  <c r="U277" i="19"/>
  <c r="Y276" i="19"/>
  <c r="U276" i="19"/>
  <c r="Y275" i="19"/>
  <c r="U275" i="19"/>
  <c r="Y274" i="19"/>
  <c r="U274" i="19"/>
  <c r="Y273" i="19"/>
  <c r="U273" i="19"/>
  <c r="Y272" i="19"/>
  <c r="U272" i="19"/>
  <c r="Y271" i="19"/>
  <c r="U271" i="19"/>
  <c r="Y270" i="19"/>
  <c r="U270" i="19"/>
  <c r="Y269" i="19"/>
  <c r="U269" i="19"/>
  <c r="Y268" i="19"/>
  <c r="U268" i="19"/>
  <c r="Y267" i="19"/>
  <c r="U267" i="19"/>
  <c r="Y266" i="19"/>
  <c r="U266" i="19"/>
  <c r="Y265" i="19"/>
  <c r="U265" i="19"/>
  <c r="Y264" i="19"/>
  <c r="U264" i="19"/>
  <c r="Y263" i="19"/>
  <c r="U263" i="19"/>
  <c r="Y262" i="19"/>
  <c r="U262" i="19"/>
  <c r="Y261" i="19"/>
  <c r="U261" i="19"/>
  <c r="Y260" i="19"/>
  <c r="U260" i="19"/>
  <c r="Y259" i="19"/>
  <c r="U259" i="19"/>
  <c r="Y258" i="19"/>
  <c r="U258" i="19"/>
  <c r="Y257" i="19"/>
  <c r="U257" i="19"/>
  <c r="Y256" i="19"/>
  <c r="U256" i="19"/>
  <c r="Y255" i="19"/>
  <c r="U255" i="19"/>
  <c r="Y254" i="19"/>
  <c r="U254" i="19"/>
  <c r="Y253" i="19"/>
  <c r="U253" i="19"/>
  <c r="Y252" i="19"/>
  <c r="U252" i="19"/>
  <c r="Y251" i="19"/>
  <c r="U251" i="19"/>
  <c r="Y250" i="19"/>
  <c r="U250" i="19"/>
  <c r="Y249" i="19"/>
  <c r="U249" i="19"/>
  <c r="Y248" i="19"/>
  <c r="U248" i="19"/>
  <c r="Y247" i="19"/>
  <c r="U247" i="19"/>
  <c r="Y246" i="19"/>
  <c r="U246" i="19"/>
  <c r="Y245" i="19"/>
  <c r="U245" i="19"/>
  <c r="Y244" i="19"/>
  <c r="U244" i="19"/>
  <c r="Y243" i="19"/>
  <c r="U243" i="19"/>
  <c r="Y242" i="19"/>
  <c r="U242" i="19"/>
  <c r="Y241" i="19"/>
  <c r="U241" i="19"/>
  <c r="Y240" i="19"/>
  <c r="U240" i="19"/>
  <c r="Y239" i="19"/>
  <c r="U239" i="19"/>
  <c r="Y238" i="19"/>
  <c r="U238" i="19"/>
  <c r="Y237" i="19"/>
  <c r="U237" i="19"/>
  <c r="Y236" i="19"/>
  <c r="U236" i="19"/>
  <c r="Y235" i="19"/>
  <c r="U235" i="19"/>
  <c r="Y234" i="19"/>
  <c r="U234" i="19"/>
  <c r="Y233" i="19"/>
  <c r="U233" i="19"/>
  <c r="Y232" i="19"/>
  <c r="U232" i="19"/>
  <c r="Y231" i="19"/>
  <c r="U231" i="19"/>
  <c r="Y230" i="19"/>
  <c r="U230" i="19"/>
  <c r="Y229" i="19"/>
  <c r="U229" i="19"/>
  <c r="Y228" i="19"/>
  <c r="U228" i="19"/>
  <c r="Y227" i="19"/>
  <c r="U227" i="19"/>
  <c r="Y226" i="19"/>
  <c r="U226" i="19"/>
  <c r="Y225" i="19"/>
  <c r="U225" i="19"/>
  <c r="Y224" i="19"/>
  <c r="U224" i="19"/>
  <c r="Y223" i="19"/>
  <c r="U223" i="19"/>
  <c r="Y222" i="19"/>
  <c r="U222" i="19"/>
  <c r="Y221" i="19"/>
  <c r="U221" i="19"/>
  <c r="Y220" i="19"/>
  <c r="U220" i="19"/>
  <c r="Y219" i="19"/>
  <c r="U219" i="19"/>
  <c r="Y218" i="19"/>
  <c r="U218" i="19"/>
  <c r="Y217" i="19"/>
  <c r="U217" i="19"/>
  <c r="Y216" i="19"/>
  <c r="U216" i="19"/>
  <c r="Y215" i="19"/>
  <c r="U215" i="19"/>
  <c r="Y214" i="19"/>
  <c r="U214" i="19"/>
  <c r="Y213" i="19"/>
  <c r="U213" i="19"/>
  <c r="Y212" i="19"/>
  <c r="U212" i="19"/>
  <c r="Y211" i="19"/>
  <c r="U211" i="19"/>
  <c r="Y210" i="19"/>
  <c r="U210" i="19"/>
  <c r="Y209" i="19"/>
  <c r="U209" i="19"/>
  <c r="Y208" i="19"/>
  <c r="U208" i="19"/>
  <c r="Y207" i="19"/>
  <c r="U207" i="19"/>
  <c r="Y206" i="19"/>
  <c r="U206" i="19"/>
  <c r="Y205" i="19"/>
  <c r="U205" i="19"/>
  <c r="Y204" i="19"/>
  <c r="U204" i="19"/>
  <c r="Y203" i="19"/>
  <c r="U203" i="19"/>
  <c r="Y202" i="19"/>
  <c r="U202" i="19"/>
  <c r="Y201" i="19"/>
  <c r="U201" i="19"/>
  <c r="Y200" i="19"/>
  <c r="U200" i="19"/>
  <c r="Y199" i="19"/>
  <c r="U199" i="19"/>
  <c r="Y198" i="19"/>
  <c r="U198" i="19"/>
  <c r="Y197" i="19"/>
  <c r="U197" i="19"/>
  <c r="Y196" i="19"/>
  <c r="U196" i="19"/>
  <c r="Y195" i="19"/>
  <c r="U195" i="19"/>
  <c r="Y194" i="19"/>
  <c r="U194" i="19"/>
  <c r="Y193" i="19"/>
  <c r="U193" i="19"/>
  <c r="Y192" i="19"/>
  <c r="U192" i="19"/>
  <c r="Y191" i="19"/>
  <c r="U191" i="19"/>
  <c r="Y190" i="19"/>
  <c r="U190" i="19"/>
  <c r="Y189" i="19"/>
  <c r="U189" i="19"/>
  <c r="Y188" i="19"/>
  <c r="U188" i="19"/>
  <c r="Y187" i="19"/>
  <c r="U187" i="19"/>
  <c r="Y186" i="19"/>
  <c r="U186" i="19"/>
  <c r="Y185" i="19"/>
  <c r="U185" i="19"/>
  <c r="Y184" i="19"/>
  <c r="U184" i="19"/>
  <c r="Y183" i="19"/>
  <c r="U183" i="19"/>
  <c r="Y182" i="19"/>
  <c r="U182" i="19"/>
  <c r="Y181" i="19"/>
  <c r="U181" i="19"/>
  <c r="Y180" i="19"/>
  <c r="U180" i="19"/>
  <c r="Y179" i="19"/>
  <c r="U179" i="19"/>
  <c r="Y178" i="19"/>
  <c r="U178" i="19"/>
  <c r="Y177" i="19"/>
  <c r="U177" i="19"/>
  <c r="Y169" i="19"/>
  <c r="U169" i="19"/>
  <c r="Y165" i="19"/>
  <c r="U165" i="19"/>
  <c r="Y166" i="19"/>
  <c r="U166" i="19"/>
  <c r="Y167" i="19"/>
  <c r="U167" i="19"/>
  <c r="Y168" i="19"/>
  <c r="U168" i="19"/>
  <c r="Y174" i="19"/>
  <c r="U174" i="19"/>
  <c r="Y175" i="19"/>
  <c r="U175" i="19"/>
  <c r="Y176" i="19"/>
  <c r="U176" i="19"/>
  <c r="Y171" i="19"/>
  <c r="U171" i="19"/>
  <c r="Y173" i="19"/>
  <c r="U173" i="19"/>
  <c r="Y172" i="19"/>
  <c r="U172" i="19"/>
  <c r="Y170" i="19"/>
  <c r="U170" i="19"/>
  <c r="Y164" i="19"/>
  <c r="U164" i="19"/>
  <c r="Y163" i="19"/>
  <c r="U163" i="19"/>
  <c r="Y162" i="19"/>
  <c r="U162" i="19"/>
  <c r="Y161" i="19"/>
  <c r="U161" i="19"/>
  <c r="Y160" i="19"/>
  <c r="U160" i="19"/>
  <c r="Y159" i="19"/>
  <c r="U159" i="19"/>
  <c r="Y158" i="19"/>
  <c r="U158" i="19"/>
  <c r="Y157" i="19"/>
  <c r="U157" i="19"/>
  <c r="Y156" i="19"/>
  <c r="U156" i="19"/>
  <c r="Y155" i="19"/>
  <c r="U155" i="19"/>
  <c r="Y154" i="19"/>
  <c r="U154" i="19"/>
  <c r="Y152" i="19"/>
  <c r="U152" i="19"/>
  <c r="Y151" i="19"/>
  <c r="U151" i="19"/>
  <c r="Y150" i="19"/>
  <c r="U150" i="19"/>
  <c r="Y149" i="19"/>
  <c r="U149" i="19"/>
  <c r="Y148" i="19"/>
  <c r="U148" i="19"/>
  <c r="Y147" i="19"/>
  <c r="U147" i="19"/>
  <c r="Y146" i="19"/>
  <c r="U146" i="19"/>
  <c r="Y153" i="19"/>
  <c r="U153" i="19"/>
  <c r="Y145" i="19"/>
  <c r="U145" i="19"/>
  <c r="Y144" i="19"/>
  <c r="U144" i="19"/>
  <c r="Y143" i="19"/>
  <c r="U143" i="19"/>
  <c r="Y142" i="19"/>
  <c r="U142" i="19"/>
  <c r="Y141" i="19"/>
  <c r="U141" i="19"/>
  <c r="Y140" i="19"/>
  <c r="U140" i="19"/>
  <c r="Y139" i="19"/>
  <c r="U139" i="19"/>
  <c r="Y138" i="19"/>
  <c r="U138" i="19"/>
  <c r="Y137" i="19"/>
  <c r="U137" i="19"/>
  <c r="Y136" i="19"/>
  <c r="U136" i="19"/>
  <c r="Y135" i="19"/>
  <c r="U135" i="19"/>
  <c r="Y134" i="19"/>
  <c r="U134" i="19"/>
  <c r="Y132" i="19"/>
  <c r="U132" i="19"/>
  <c r="Y133" i="19"/>
  <c r="U133" i="19"/>
  <c r="Y126" i="19"/>
  <c r="U126" i="19"/>
  <c r="Y119" i="19"/>
  <c r="U119" i="19"/>
  <c r="Y124" i="19"/>
  <c r="U124" i="19"/>
  <c r="Y122" i="19"/>
  <c r="U122" i="19"/>
  <c r="Y121" i="19"/>
  <c r="U121" i="19"/>
  <c r="Y117" i="19"/>
  <c r="U117" i="19"/>
  <c r="Y131" i="19"/>
  <c r="U131" i="19"/>
  <c r="Y130" i="19"/>
  <c r="U130" i="19"/>
  <c r="Y128" i="19"/>
  <c r="U128" i="19"/>
  <c r="Y115" i="19"/>
  <c r="U115" i="19"/>
  <c r="Y125" i="19"/>
  <c r="U125" i="19"/>
  <c r="Y116" i="19"/>
  <c r="U116" i="19"/>
  <c r="Y114" i="19"/>
  <c r="U114" i="19"/>
  <c r="Y129" i="19"/>
  <c r="U129" i="19"/>
  <c r="Y127" i="19"/>
  <c r="U127" i="19"/>
  <c r="Y120" i="19"/>
  <c r="U120" i="19"/>
  <c r="Y118" i="19"/>
  <c r="U118" i="19"/>
  <c r="Y123" i="19"/>
  <c r="U123" i="19"/>
  <c r="Y99" i="19"/>
  <c r="U99" i="19"/>
  <c r="Y97" i="19"/>
  <c r="U97" i="19"/>
  <c r="Y107" i="19"/>
  <c r="U107" i="19"/>
  <c r="Y101" i="19"/>
  <c r="U101" i="19"/>
  <c r="Y103" i="19"/>
  <c r="U103" i="19"/>
  <c r="Y105" i="19"/>
  <c r="U105" i="19"/>
  <c r="Y95" i="19"/>
  <c r="U95" i="19"/>
  <c r="Y93" i="19"/>
  <c r="U93" i="19"/>
  <c r="Y91" i="19"/>
  <c r="U91" i="19"/>
  <c r="Y111" i="19"/>
  <c r="U111" i="19"/>
  <c r="Y113" i="19"/>
  <c r="U113" i="19"/>
  <c r="Y112" i="19"/>
  <c r="U112" i="19"/>
  <c r="Y110" i="19"/>
  <c r="U110" i="19"/>
  <c r="Y109" i="19"/>
  <c r="U109" i="19"/>
  <c r="Y108" i="19"/>
  <c r="U108" i="19"/>
  <c r="Y106" i="19"/>
  <c r="U106" i="19"/>
  <c r="Y104" i="19"/>
  <c r="U104" i="19"/>
  <c r="Y102" i="19"/>
  <c r="U102" i="19"/>
  <c r="Y100" i="19"/>
  <c r="U100" i="19"/>
  <c r="Y98" i="19"/>
  <c r="U98" i="19"/>
  <c r="Y96" i="19"/>
  <c r="U96" i="19"/>
  <c r="Y94" i="19"/>
  <c r="U94" i="19"/>
  <c r="Y92" i="19"/>
  <c r="U92" i="19"/>
  <c r="Y85" i="19"/>
  <c r="U85" i="19"/>
  <c r="Y84" i="19"/>
  <c r="U84" i="19"/>
  <c r="Y89" i="19"/>
  <c r="U89" i="19"/>
  <c r="Y88" i="19"/>
  <c r="U88" i="19"/>
  <c r="Y87" i="19"/>
  <c r="U87" i="19"/>
  <c r="Y86" i="19"/>
  <c r="U86" i="19"/>
  <c r="Y90" i="19"/>
  <c r="U90" i="19"/>
  <c r="Y83" i="19"/>
  <c r="U83" i="19"/>
  <c r="Y81" i="19"/>
  <c r="U81" i="19"/>
  <c r="Y79" i="19"/>
  <c r="U79" i="19"/>
  <c r="Y77" i="19"/>
  <c r="U77" i="19"/>
  <c r="Y75" i="19"/>
  <c r="U75" i="19"/>
  <c r="Y73" i="19"/>
  <c r="U73" i="19"/>
  <c r="Y71" i="19"/>
  <c r="U71" i="19"/>
  <c r="Y69" i="19"/>
  <c r="U69" i="19"/>
  <c r="Y78" i="19"/>
  <c r="U78" i="19"/>
  <c r="Y82" i="19"/>
  <c r="U82" i="19"/>
  <c r="Y70" i="19"/>
  <c r="U70" i="19"/>
  <c r="Y72" i="19"/>
  <c r="U72" i="19"/>
  <c r="Y80" i="19"/>
  <c r="U80" i="19"/>
  <c r="Y74" i="19"/>
  <c r="U74" i="19"/>
  <c r="Y76" i="19"/>
  <c r="U76" i="19"/>
  <c r="Y68" i="19"/>
  <c r="U68" i="19"/>
  <c r="Y67" i="19"/>
  <c r="U67" i="19"/>
  <c r="Y66" i="19"/>
  <c r="U66" i="19"/>
  <c r="Y65" i="19"/>
  <c r="U65" i="19"/>
  <c r="Y64" i="19"/>
  <c r="U64" i="19"/>
  <c r="Y63" i="19"/>
  <c r="U63" i="19"/>
  <c r="Y62" i="19"/>
  <c r="U62" i="19"/>
  <c r="Y61" i="19"/>
  <c r="U61" i="19"/>
  <c r="Y58" i="19"/>
  <c r="U58" i="19"/>
  <c r="Y59" i="19"/>
  <c r="U59" i="19"/>
  <c r="Y56" i="19"/>
  <c r="U56" i="19"/>
  <c r="Y57" i="19"/>
  <c r="U57" i="19"/>
  <c r="Y55" i="19"/>
  <c r="U55" i="19"/>
  <c r="Y60" i="19"/>
  <c r="U60" i="19"/>
  <c r="Y54" i="19"/>
  <c r="U54" i="19"/>
  <c r="Y52" i="19"/>
  <c r="U52" i="19"/>
  <c r="Y49" i="19"/>
  <c r="U49" i="19"/>
  <c r="Y48" i="19"/>
  <c r="U48" i="19"/>
  <c r="Y45" i="19"/>
  <c r="U45" i="19"/>
  <c r="Y42" i="19"/>
  <c r="U42" i="19"/>
  <c r="Y39" i="19"/>
  <c r="U39" i="19"/>
  <c r="Y35" i="19"/>
  <c r="U35" i="19"/>
  <c r="Y32" i="19"/>
  <c r="U32" i="19"/>
  <c r="Y34" i="19"/>
  <c r="U34" i="19"/>
  <c r="Y37" i="19"/>
  <c r="U37" i="19"/>
  <c r="Y38" i="19"/>
  <c r="U38" i="19"/>
  <c r="Y44" i="19"/>
  <c r="U44" i="19"/>
  <c r="Y41" i="19"/>
  <c r="U41" i="19"/>
  <c r="Y46" i="19"/>
  <c r="U46" i="19"/>
  <c r="Y31" i="19"/>
  <c r="U31" i="19"/>
  <c r="Y30" i="19"/>
  <c r="U30" i="19"/>
  <c r="Y40" i="19"/>
  <c r="U40" i="19"/>
  <c r="Y50" i="19"/>
  <c r="U50" i="19"/>
  <c r="Y33" i="19"/>
  <c r="U33" i="19"/>
  <c r="Y36" i="19"/>
  <c r="U36" i="19"/>
  <c r="Y51" i="19"/>
  <c r="U51" i="19"/>
  <c r="Y53" i="19"/>
  <c r="U53" i="19"/>
  <c r="Y43" i="19"/>
  <c r="U43" i="19"/>
  <c r="Y47" i="19"/>
  <c r="U47" i="19"/>
  <c r="Y29" i="19"/>
  <c r="U29" i="19"/>
  <c r="Y28" i="19"/>
  <c r="U28" i="19"/>
  <c r="Y27" i="19"/>
  <c r="U27" i="19"/>
  <c r="Y26" i="19"/>
  <c r="U26" i="19"/>
  <c r="Y25" i="19"/>
  <c r="U25" i="19"/>
  <c r="Y24" i="19"/>
  <c r="U24" i="19"/>
  <c r="Y23" i="19"/>
  <c r="U23" i="19"/>
  <c r="Y22" i="19"/>
  <c r="U22" i="19"/>
  <c r="Y21" i="19"/>
  <c r="U21" i="19"/>
  <c r="Y20" i="19"/>
  <c r="U20" i="19"/>
  <c r="Y19" i="19"/>
  <c r="U19" i="19"/>
  <c r="Y18" i="19"/>
  <c r="U18" i="19"/>
  <c r="Y15" i="19"/>
  <c r="U15" i="19"/>
  <c r="Y13" i="19"/>
  <c r="U13" i="19"/>
  <c r="Y11" i="19"/>
  <c r="U11" i="19"/>
  <c r="Y9" i="19"/>
  <c r="U9" i="19"/>
  <c r="Y7" i="19"/>
  <c r="U7" i="19"/>
  <c r="Y5" i="19"/>
  <c r="U5" i="19"/>
  <c r="Y3" i="19"/>
  <c r="U3" i="19"/>
  <c r="Y10" i="19"/>
  <c r="U10" i="19"/>
  <c r="Y8" i="19"/>
  <c r="U8" i="19"/>
  <c r="Y12" i="19"/>
  <c r="U12" i="19"/>
  <c r="Y14" i="19"/>
  <c r="U14" i="19"/>
  <c r="Y16" i="19"/>
  <c r="U16" i="19"/>
  <c r="Y17" i="19"/>
  <c r="U17" i="19"/>
  <c r="Y6" i="19"/>
  <c r="U6" i="19"/>
  <c r="Y4" i="19"/>
  <c r="U4" i="19"/>
  <c r="Y2" i="19"/>
  <c r="U2" i="19"/>
  <c r="Y456" i="18"/>
  <c r="U456" i="18"/>
  <c r="Y416" i="18"/>
  <c r="U416" i="18"/>
  <c r="Y379" i="18"/>
  <c r="U379" i="18"/>
  <c r="Y340" i="18"/>
  <c r="U340" i="18"/>
  <c r="Y293" i="18"/>
  <c r="U293" i="18"/>
  <c r="Y240" i="18"/>
  <c r="U240" i="18"/>
  <c r="Y184" i="18"/>
  <c r="U184" i="18"/>
  <c r="Y125" i="18"/>
  <c r="U125" i="18"/>
  <c r="Y57" i="18"/>
  <c r="U57" i="18"/>
  <c r="Y563" i="18"/>
  <c r="U563" i="18"/>
  <c r="Y558" i="18"/>
  <c r="U558" i="18"/>
  <c r="Y535" i="18"/>
  <c r="U535" i="18"/>
  <c r="Y511" i="18"/>
  <c r="U511" i="18"/>
  <c r="Y480" i="18"/>
  <c r="U480" i="18"/>
  <c r="Y445" i="18"/>
  <c r="U445" i="18"/>
  <c r="Y408" i="18"/>
  <c r="U408" i="18"/>
  <c r="Y371" i="18"/>
  <c r="U371" i="18"/>
  <c r="Y333" i="18"/>
  <c r="U333" i="18"/>
  <c r="Y289" i="18"/>
  <c r="U289" i="18"/>
  <c r="Y236" i="18"/>
  <c r="U236" i="18"/>
  <c r="Y177" i="18"/>
  <c r="U177" i="18"/>
  <c r="Y123" i="18"/>
  <c r="U123" i="18"/>
  <c r="Y56" i="18"/>
  <c r="U56" i="18"/>
  <c r="Y609" i="18"/>
  <c r="U609" i="18"/>
  <c r="Y595" i="18"/>
  <c r="U595" i="18"/>
  <c r="Y578" i="18"/>
  <c r="U578" i="18"/>
  <c r="Y557" i="18"/>
  <c r="U557" i="18"/>
  <c r="Y534" i="18"/>
  <c r="U534" i="18"/>
  <c r="Y510" i="18"/>
  <c r="U510" i="18"/>
  <c r="Y461" i="18"/>
  <c r="U461" i="18"/>
  <c r="Y427" i="18"/>
  <c r="U427" i="18"/>
  <c r="Y407" i="18"/>
  <c r="U407" i="18"/>
  <c r="Y370" i="18"/>
  <c r="U370" i="18"/>
  <c r="Y332" i="18"/>
  <c r="U332" i="18"/>
  <c r="Y288" i="18"/>
  <c r="U288" i="18"/>
  <c r="Y235" i="18"/>
  <c r="U235" i="18"/>
  <c r="Y176" i="18"/>
  <c r="U176" i="18"/>
  <c r="Y122" i="18"/>
  <c r="U122" i="18"/>
  <c r="Y55" i="18"/>
  <c r="U55" i="18"/>
  <c r="Y492" i="18"/>
  <c r="U492" i="18"/>
  <c r="Y459" i="18"/>
  <c r="U459" i="18"/>
  <c r="Y426" i="18"/>
  <c r="U426" i="18"/>
  <c r="Y385" i="18"/>
  <c r="U385" i="18"/>
  <c r="Y348" i="18"/>
  <c r="U348" i="18"/>
  <c r="Y331" i="18"/>
  <c r="U331" i="18"/>
  <c r="Y287" i="18"/>
  <c r="U287" i="18"/>
  <c r="Y234" i="18"/>
  <c r="U234" i="18"/>
  <c r="Y175" i="18"/>
  <c r="U175" i="18"/>
  <c r="Y121" i="18"/>
  <c r="U121" i="18"/>
  <c r="Y54" i="18"/>
  <c r="U54" i="18"/>
  <c r="Y344" i="18"/>
  <c r="U344" i="18"/>
  <c r="Y450" i="18"/>
  <c r="U450" i="18"/>
  <c r="Y422" i="18"/>
  <c r="U422" i="18"/>
  <c r="Y489" i="18"/>
  <c r="U489" i="18"/>
  <c r="Y458" i="18"/>
  <c r="U458" i="18"/>
  <c r="Y72" i="18"/>
  <c r="U72" i="18"/>
  <c r="Y302" i="18"/>
  <c r="U302" i="18"/>
  <c r="Y412" i="18"/>
  <c r="U412" i="18"/>
  <c r="Y70" i="18"/>
  <c r="U70" i="18"/>
  <c r="Y192" i="18"/>
  <c r="U192" i="18"/>
  <c r="Y187" i="18"/>
  <c r="U187" i="18"/>
  <c r="Y483" i="18"/>
  <c r="U483" i="18"/>
  <c r="Y246" i="18"/>
  <c r="U246" i="18"/>
  <c r="Y134" i="18"/>
  <c r="U134" i="18"/>
  <c r="Y296" i="18"/>
  <c r="U296" i="18"/>
  <c r="Y253" i="18"/>
  <c r="U253" i="18"/>
  <c r="Y513" i="18"/>
  <c r="U513" i="18"/>
  <c r="Y582" i="18"/>
  <c r="U582" i="18"/>
  <c r="Y561" i="18"/>
  <c r="U561" i="18"/>
  <c r="Y539" i="18"/>
  <c r="U539" i="18"/>
  <c r="Y515" i="18"/>
  <c r="U515" i="18"/>
  <c r="Y488" i="18"/>
  <c r="U488" i="18"/>
  <c r="Y455" i="18"/>
  <c r="U455" i="18"/>
  <c r="Y418" i="18"/>
  <c r="U418" i="18"/>
  <c r="Y375" i="18"/>
  <c r="U375" i="18"/>
  <c r="Y330" i="18"/>
  <c r="U330" i="18"/>
  <c r="Y286" i="18"/>
  <c r="U286" i="18"/>
  <c r="Y233" i="18"/>
  <c r="U233" i="18"/>
  <c r="Y174" i="18"/>
  <c r="U174" i="18"/>
  <c r="Y120" i="18"/>
  <c r="U120" i="18"/>
  <c r="Y53" i="18"/>
  <c r="U53" i="18"/>
  <c r="Y581" i="18"/>
  <c r="U581" i="18"/>
  <c r="Y560" i="18"/>
  <c r="U560" i="18"/>
  <c r="Y538" i="18"/>
  <c r="U538" i="18"/>
  <c r="Y512" i="18"/>
  <c r="U512" i="18"/>
  <c r="Y482" i="18"/>
  <c r="U482" i="18"/>
  <c r="Y446" i="18"/>
  <c r="U446" i="18"/>
  <c r="Y406" i="18"/>
  <c r="U406" i="18"/>
  <c r="Y369" i="18"/>
  <c r="U369" i="18"/>
  <c r="Y329" i="18"/>
  <c r="U329" i="18"/>
  <c r="Y285" i="18"/>
  <c r="U285" i="18"/>
  <c r="Y232" i="18"/>
  <c r="U232" i="18"/>
  <c r="Y173" i="18"/>
  <c r="U173" i="18"/>
  <c r="Y119" i="18"/>
  <c r="U119" i="18"/>
  <c r="Y52" i="18"/>
  <c r="U52" i="18"/>
  <c r="Y612" i="18"/>
  <c r="U612" i="18"/>
  <c r="Y594" i="18"/>
  <c r="U594" i="18"/>
  <c r="Y577" i="18"/>
  <c r="U577" i="18"/>
  <c r="Y556" i="18"/>
  <c r="U556" i="18"/>
  <c r="Y533" i="18"/>
  <c r="U533" i="18"/>
  <c r="Y509" i="18"/>
  <c r="U509" i="18"/>
  <c r="Y479" i="18"/>
  <c r="U479" i="18"/>
  <c r="Y444" i="18"/>
  <c r="U444" i="18"/>
  <c r="Y405" i="18"/>
  <c r="U405" i="18"/>
  <c r="Y368" i="18"/>
  <c r="U368" i="18"/>
  <c r="Y328" i="18"/>
  <c r="U328" i="18"/>
  <c r="Y284" i="18"/>
  <c r="U284" i="18"/>
  <c r="Y231" i="18"/>
  <c r="U231" i="18"/>
  <c r="Y172" i="18"/>
  <c r="U172" i="18"/>
  <c r="Y118" i="18"/>
  <c r="U118" i="18"/>
  <c r="Y51" i="18"/>
  <c r="U51" i="18"/>
  <c r="Y608" i="18"/>
  <c r="U608" i="18"/>
  <c r="Y593" i="18"/>
  <c r="U593" i="18"/>
  <c r="Y576" i="18"/>
  <c r="U576" i="18"/>
  <c r="Y555" i="18"/>
  <c r="U555" i="18"/>
  <c r="Y532" i="18"/>
  <c r="U532" i="18"/>
  <c r="Y508" i="18"/>
  <c r="U508" i="18"/>
  <c r="Y478" i="18"/>
  <c r="U478" i="18"/>
  <c r="Y443" i="18"/>
  <c r="U443" i="18"/>
  <c r="Y404" i="18"/>
  <c r="U404" i="18"/>
  <c r="Y367" i="18"/>
  <c r="U367" i="18"/>
  <c r="Y327" i="18"/>
  <c r="U327" i="18"/>
  <c r="Y283" i="18"/>
  <c r="U283" i="18"/>
  <c r="Y230" i="18"/>
  <c r="U230" i="18"/>
  <c r="Y171" i="18"/>
  <c r="U171" i="18"/>
  <c r="Y117" i="18"/>
  <c r="U117" i="18"/>
  <c r="Y50" i="18"/>
  <c r="U50" i="18"/>
  <c r="Y378" i="18"/>
  <c r="U378" i="18"/>
  <c r="Y295" i="18"/>
  <c r="U295" i="18"/>
  <c r="Y580" i="18"/>
  <c r="U580" i="18"/>
  <c r="Y600" i="18"/>
  <c r="U600" i="18"/>
  <c r="Y583" i="18"/>
  <c r="U583" i="18"/>
  <c r="Y613" i="18"/>
  <c r="U613" i="18"/>
  <c r="Y598" i="18"/>
  <c r="U598" i="18"/>
  <c r="Y620" i="18"/>
  <c r="U620" i="18"/>
  <c r="Y425" i="18"/>
  <c r="U425" i="18"/>
  <c r="Y339" i="18"/>
  <c r="U339" i="18"/>
  <c r="Y301" i="18"/>
  <c r="U301" i="18"/>
  <c r="Y415" i="18"/>
  <c r="U415" i="18"/>
  <c r="Y191" i="18"/>
  <c r="U191" i="18"/>
  <c r="Y69" i="18"/>
  <c r="U69" i="18"/>
  <c r="Y453" i="18"/>
  <c r="U453" i="18"/>
  <c r="Y377" i="18"/>
  <c r="U377" i="18"/>
  <c r="Y252" i="18"/>
  <c r="U252" i="18"/>
  <c r="Y245" i="18"/>
  <c r="U245" i="18"/>
  <c r="Y383" i="18"/>
  <c r="U383" i="18"/>
  <c r="Y414" i="18"/>
  <c r="U414" i="18"/>
  <c r="Y71" i="18"/>
  <c r="U71" i="18"/>
  <c r="Y562" i="18"/>
  <c r="U562" i="18"/>
  <c r="Y133" i="18"/>
  <c r="U133" i="18"/>
  <c r="Y128" i="18"/>
  <c r="U128" i="18"/>
  <c r="Y486" i="18"/>
  <c r="U486" i="18"/>
  <c r="Y460" i="18"/>
  <c r="U460" i="18"/>
  <c r="Y9" i="18"/>
  <c r="U9" i="18"/>
  <c r="Y514" i="18"/>
  <c r="U514" i="18"/>
  <c r="Y424" i="18"/>
  <c r="U424" i="18"/>
  <c r="Y559" i="18"/>
  <c r="U559" i="18"/>
  <c r="Y517" i="18"/>
  <c r="U517" i="18"/>
  <c r="Y540" i="18"/>
  <c r="U540" i="18"/>
  <c r="Y491" i="18"/>
  <c r="U491" i="18"/>
  <c r="Y537" i="18"/>
  <c r="U537" i="18"/>
  <c r="Y342" i="18"/>
  <c r="U342" i="18"/>
  <c r="Y382" i="18"/>
  <c r="U382" i="18"/>
  <c r="Y186" i="18"/>
  <c r="U186" i="18"/>
  <c r="Y607" i="18"/>
  <c r="U607" i="18"/>
  <c r="Y592" i="18"/>
  <c r="U592" i="18"/>
  <c r="Y575" i="18"/>
  <c r="U575" i="18"/>
  <c r="Y554" i="18"/>
  <c r="U554" i="18"/>
  <c r="Y531" i="18"/>
  <c r="U531" i="18"/>
  <c r="Y507" i="18"/>
  <c r="U507" i="18"/>
  <c r="Y477" i="18"/>
  <c r="U477" i="18"/>
  <c r="Y442" i="18"/>
  <c r="U442" i="18"/>
  <c r="Y403" i="18"/>
  <c r="U403" i="18"/>
  <c r="Y366" i="18"/>
  <c r="U366" i="18"/>
  <c r="Y326" i="18"/>
  <c r="U326" i="18"/>
  <c r="Y282" i="18"/>
  <c r="U282" i="18"/>
  <c r="Y229" i="18"/>
  <c r="U229" i="18"/>
  <c r="Y170" i="18"/>
  <c r="U170" i="18"/>
  <c r="Y116" i="18"/>
  <c r="U116" i="18"/>
  <c r="Y68" i="18"/>
  <c r="U68" i="18"/>
  <c r="Y8" i="18"/>
  <c r="U8" i="18"/>
  <c r="Y610" i="18"/>
  <c r="U610" i="18"/>
  <c r="Y591" i="18"/>
  <c r="U591" i="18"/>
  <c r="Y574" i="18"/>
  <c r="U574" i="18"/>
  <c r="Y553" i="18"/>
  <c r="U553" i="18"/>
  <c r="Y530" i="18"/>
  <c r="U530" i="18"/>
  <c r="Y506" i="18"/>
  <c r="U506" i="18"/>
  <c r="Y476" i="18"/>
  <c r="U476" i="18"/>
  <c r="Y441" i="18"/>
  <c r="U441" i="18"/>
  <c r="Y402" i="18"/>
  <c r="U402" i="18"/>
  <c r="Y365" i="18"/>
  <c r="U365" i="18"/>
  <c r="Y325" i="18"/>
  <c r="U325" i="18"/>
  <c r="Y281" i="18"/>
  <c r="U281" i="18"/>
  <c r="Y228" i="18"/>
  <c r="U228" i="18"/>
  <c r="Y169" i="18"/>
  <c r="U169" i="18"/>
  <c r="Y115" i="18"/>
  <c r="U115" i="18"/>
  <c r="Y67" i="18"/>
  <c r="U67" i="18"/>
  <c r="Y7" i="18"/>
  <c r="U7" i="18"/>
  <c r="Y599" i="18"/>
  <c r="U599" i="18"/>
  <c r="Y573" i="18"/>
  <c r="U573" i="18"/>
  <c r="Y552" i="18"/>
  <c r="U552" i="18"/>
  <c r="Y529" i="18"/>
  <c r="U529" i="18"/>
  <c r="Y505" i="18"/>
  <c r="U505" i="18"/>
  <c r="Y475" i="18"/>
  <c r="U475" i="18"/>
  <c r="Y440" i="18"/>
  <c r="U440" i="18"/>
  <c r="Y401" i="18"/>
  <c r="U401" i="18"/>
  <c r="Y364" i="18"/>
  <c r="U364" i="18"/>
  <c r="Y324" i="18"/>
  <c r="U324" i="18"/>
  <c r="Y280" i="18"/>
  <c r="U280" i="18"/>
  <c r="Y227" i="18"/>
  <c r="U227" i="18"/>
  <c r="Y168" i="18"/>
  <c r="U168" i="18"/>
  <c r="Y114" i="18"/>
  <c r="U114" i="18"/>
  <c r="Y66" i="18"/>
  <c r="U66" i="18"/>
  <c r="Y6" i="18"/>
  <c r="U6" i="18"/>
  <c r="Y632" i="18"/>
  <c r="U632" i="18"/>
  <c r="Y629" i="18"/>
  <c r="U629" i="18"/>
  <c r="Y628" i="18"/>
  <c r="U628" i="18"/>
  <c r="Y625" i="18"/>
  <c r="U625" i="18"/>
  <c r="Y619" i="18"/>
  <c r="U619" i="18"/>
  <c r="Y606" i="18"/>
  <c r="U606" i="18"/>
  <c r="Y590" i="18"/>
  <c r="U590" i="18"/>
  <c r="Y572" i="18"/>
  <c r="U572" i="18"/>
  <c r="Y551" i="18"/>
  <c r="U551" i="18"/>
  <c r="Y528" i="18"/>
  <c r="U528" i="18"/>
  <c r="Y504" i="18"/>
  <c r="U504" i="18"/>
  <c r="Y474" i="18"/>
  <c r="U474" i="18"/>
  <c r="Y439" i="18"/>
  <c r="U439" i="18"/>
  <c r="Y400" i="18"/>
  <c r="U400" i="18"/>
  <c r="Y363" i="18"/>
  <c r="U363" i="18"/>
  <c r="Y323" i="18"/>
  <c r="U323" i="18"/>
  <c r="Y279" i="18"/>
  <c r="U279" i="18"/>
  <c r="Y226" i="18"/>
  <c r="U226" i="18"/>
  <c r="Y167" i="18"/>
  <c r="U167" i="18"/>
  <c r="Y113" i="18"/>
  <c r="U113" i="18"/>
  <c r="Y49" i="18"/>
  <c r="U49" i="18"/>
  <c r="Y48" i="18"/>
  <c r="U48" i="18"/>
  <c r="Y630" i="18"/>
  <c r="U630" i="18"/>
  <c r="Y627" i="18"/>
  <c r="U627" i="18"/>
  <c r="Y624" i="18"/>
  <c r="U624" i="18"/>
  <c r="Y618" i="18"/>
  <c r="U618" i="18"/>
  <c r="Y605" i="18"/>
  <c r="U605" i="18"/>
  <c r="Y589" i="18"/>
  <c r="U589" i="18"/>
  <c r="Y571" i="18"/>
  <c r="U571" i="18"/>
  <c r="Y550" i="18"/>
  <c r="U550" i="18"/>
  <c r="Y527" i="18"/>
  <c r="U527" i="18"/>
  <c r="Y473" i="18"/>
  <c r="U473" i="18"/>
  <c r="Y438" i="18"/>
  <c r="U438" i="18"/>
  <c r="Y399" i="18"/>
  <c r="U399" i="18"/>
  <c r="Y362" i="18"/>
  <c r="U362" i="18"/>
  <c r="Y322" i="18"/>
  <c r="U322" i="18"/>
  <c r="Y278" i="18"/>
  <c r="U278" i="18"/>
  <c r="Y225" i="18"/>
  <c r="U225" i="18"/>
  <c r="Y166" i="18"/>
  <c r="U166" i="18"/>
  <c r="Y112" i="18"/>
  <c r="U112" i="18"/>
  <c r="Y611" i="18"/>
  <c r="U611" i="18"/>
  <c r="Y588" i="18"/>
  <c r="U588" i="18"/>
  <c r="Y570" i="18"/>
  <c r="U570" i="18"/>
  <c r="Y549" i="18"/>
  <c r="U549" i="18"/>
  <c r="Y526" i="18"/>
  <c r="U526" i="18"/>
  <c r="Y503" i="18"/>
  <c r="U503" i="18"/>
  <c r="Y472" i="18"/>
  <c r="U472" i="18"/>
  <c r="Y437" i="18"/>
  <c r="U437" i="18"/>
  <c r="Y398" i="18"/>
  <c r="U398" i="18"/>
  <c r="Y361" i="18"/>
  <c r="U361" i="18"/>
  <c r="Y321" i="18"/>
  <c r="U321" i="18"/>
  <c r="Y277" i="18"/>
  <c r="U277" i="18"/>
  <c r="Y224" i="18"/>
  <c r="U224" i="18"/>
  <c r="Y165" i="18"/>
  <c r="U165" i="18"/>
  <c r="Y111" i="18"/>
  <c r="U111" i="18"/>
  <c r="Y47" i="18"/>
  <c r="U47" i="18"/>
  <c r="Y614" i="18"/>
  <c r="U614" i="18"/>
  <c r="Y604" i="18"/>
  <c r="U604" i="18"/>
  <c r="Y587" i="18"/>
  <c r="U587" i="18"/>
  <c r="Y569" i="18"/>
  <c r="U569" i="18"/>
  <c r="Y548" i="18"/>
  <c r="U548" i="18"/>
  <c r="Y525" i="18"/>
  <c r="U525" i="18"/>
  <c r="Y502" i="18"/>
  <c r="U502" i="18"/>
  <c r="Y471" i="18"/>
  <c r="U471" i="18"/>
  <c r="Y436" i="18"/>
  <c r="U436" i="18"/>
  <c r="Y397" i="18"/>
  <c r="U397" i="18"/>
  <c r="Y360" i="18"/>
  <c r="U360" i="18"/>
  <c r="Y320" i="18"/>
  <c r="U320" i="18"/>
  <c r="Y276" i="18"/>
  <c r="U276" i="18"/>
  <c r="Y223" i="18"/>
  <c r="U223" i="18"/>
  <c r="Y164" i="18"/>
  <c r="U164" i="18"/>
  <c r="Y110" i="18"/>
  <c r="U110" i="18"/>
  <c r="Y65" i="18"/>
  <c r="U65" i="18"/>
  <c r="Y5" i="18"/>
  <c r="U5" i="18"/>
  <c r="Y631" i="18"/>
  <c r="U631" i="18"/>
  <c r="Y623" i="18"/>
  <c r="U623" i="18"/>
  <c r="Y617" i="18"/>
  <c r="U617" i="18"/>
  <c r="Y603" i="18"/>
  <c r="U603" i="18"/>
  <c r="Y586" i="18"/>
  <c r="U586" i="18"/>
  <c r="Y568" i="18"/>
  <c r="U568" i="18"/>
  <c r="Y547" i="18"/>
  <c r="U547" i="18"/>
  <c r="Y524" i="18"/>
  <c r="U524" i="18"/>
  <c r="Y501" i="18"/>
  <c r="U501" i="18"/>
  <c r="Y470" i="18"/>
  <c r="U470" i="18"/>
  <c r="Y435" i="18"/>
  <c r="U435" i="18"/>
  <c r="Y396" i="18"/>
  <c r="U396" i="18"/>
  <c r="Y359" i="18"/>
  <c r="U359" i="18"/>
  <c r="Y319" i="18"/>
  <c r="U319" i="18"/>
  <c r="Y275" i="18"/>
  <c r="U275" i="18"/>
  <c r="Y222" i="18"/>
  <c r="U222" i="18"/>
  <c r="Y163" i="18"/>
  <c r="U163" i="18"/>
  <c r="Y109" i="18"/>
  <c r="U109" i="18"/>
  <c r="Y64" i="18"/>
  <c r="U64" i="18"/>
  <c r="Y4" i="18"/>
  <c r="U4" i="18"/>
  <c r="Y597" i="18"/>
  <c r="U597" i="18"/>
  <c r="Y567" i="18"/>
  <c r="U567" i="18"/>
  <c r="Y546" i="18"/>
  <c r="U546" i="18"/>
  <c r="Y523" i="18"/>
  <c r="U523" i="18"/>
  <c r="Y500" i="18"/>
  <c r="U500" i="18"/>
  <c r="Y469" i="18"/>
  <c r="U469" i="18"/>
  <c r="Y434" i="18"/>
  <c r="U434" i="18"/>
  <c r="Y395" i="18"/>
  <c r="U395" i="18"/>
  <c r="Y358" i="18"/>
  <c r="U358" i="18"/>
  <c r="Y318" i="18"/>
  <c r="U318" i="18"/>
  <c r="Y274" i="18"/>
  <c r="U274" i="18"/>
  <c r="Y221" i="18"/>
  <c r="U221" i="18"/>
  <c r="Y162" i="18"/>
  <c r="U162" i="18"/>
  <c r="Y108" i="18"/>
  <c r="U108" i="18"/>
  <c r="Y46" i="18"/>
  <c r="U46" i="18"/>
  <c r="Y596" i="18"/>
  <c r="U596" i="18"/>
  <c r="Y566" i="18"/>
  <c r="U566" i="18"/>
  <c r="Y545" i="18"/>
  <c r="U545" i="18"/>
  <c r="Y522" i="18"/>
  <c r="U522" i="18"/>
  <c r="Y499" i="18"/>
  <c r="U499" i="18"/>
  <c r="Y468" i="18"/>
  <c r="U468" i="18"/>
  <c r="Y433" i="18"/>
  <c r="U433" i="18"/>
  <c r="Y394" i="18"/>
  <c r="U394" i="18"/>
  <c r="Y357" i="18"/>
  <c r="U357" i="18"/>
  <c r="Y317" i="18"/>
  <c r="U317" i="18"/>
  <c r="Y273" i="18"/>
  <c r="U273" i="18"/>
  <c r="Y220" i="18"/>
  <c r="U220" i="18"/>
  <c r="Y107" i="18"/>
  <c r="U107" i="18"/>
  <c r="Y106" i="18"/>
  <c r="U106" i="18"/>
  <c r="Y45" i="18"/>
  <c r="U45" i="18"/>
  <c r="Y541" i="18"/>
  <c r="U541" i="18"/>
  <c r="Y521" i="18"/>
  <c r="U521" i="18"/>
  <c r="Y498" i="18"/>
  <c r="U498" i="18"/>
  <c r="Y467" i="18"/>
  <c r="U467" i="18"/>
  <c r="Y432" i="18"/>
  <c r="U432" i="18"/>
  <c r="Y393" i="18"/>
  <c r="U393" i="18"/>
  <c r="Y356" i="18"/>
  <c r="U356" i="18"/>
  <c r="Y316" i="18"/>
  <c r="U316" i="18"/>
  <c r="Y272" i="18"/>
  <c r="U272" i="18"/>
  <c r="Y219" i="18"/>
  <c r="U219" i="18"/>
  <c r="Y161" i="18"/>
  <c r="U161" i="18"/>
  <c r="Y105" i="18"/>
  <c r="U105" i="18"/>
  <c r="Y44" i="18"/>
  <c r="U44" i="18"/>
  <c r="Y449" i="18"/>
  <c r="U449" i="18"/>
  <c r="Y392" i="18"/>
  <c r="U392" i="18"/>
  <c r="Y355" i="18"/>
  <c r="U355" i="18"/>
  <c r="Y315" i="18"/>
  <c r="U315" i="18"/>
  <c r="Y271" i="18"/>
  <c r="U271" i="18"/>
  <c r="Y218" i="18"/>
  <c r="U218" i="18"/>
  <c r="Y160" i="18"/>
  <c r="U160" i="18"/>
  <c r="Y104" i="18"/>
  <c r="U104" i="18"/>
  <c r="Y626" i="18"/>
  <c r="U626" i="18"/>
  <c r="Y622" i="18"/>
  <c r="U622" i="18"/>
  <c r="Y616" i="18"/>
  <c r="U616" i="18"/>
  <c r="Y602" i="18"/>
  <c r="U602" i="18"/>
  <c r="Y585" i="18"/>
  <c r="U585" i="18"/>
  <c r="Y565" i="18"/>
  <c r="U565" i="18"/>
  <c r="Y544" i="18"/>
  <c r="U544" i="18"/>
  <c r="Y520" i="18"/>
  <c r="U520" i="18"/>
  <c r="Y497" i="18"/>
  <c r="U497" i="18"/>
  <c r="Y466" i="18"/>
  <c r="U466" i="18"/>
  <c r="Y431" i="18"/>
  <c r="U431" i="18"/>
  <c r="Y391" i="18"/>
  <c r="U391" i="18"/>
  <c r="Y354" i="18"/>
  <c r="U354" i="18"/>
  <c r="Y314" i="18"/>
  <c r="U314" i="18"/>
  <c r="Y270" i="18"/>
  <c r="U270" i="18"/>
  <c r="Y217" i="18"/>
  <c r="U217" i="18"/>
  <c r="Y159" i="18"/>
  <c r="U159" i="18"/>
  <c r="Y103" i="18"/>
  <c r="U103" i="18"/>
  <c r="Y43" i="18"/>
  <c r="U43" i="18"/>
  <c r="Y536" i="18"/>
  <c r="U536" i="18"/>
  <c r="Y496" i="18"/>
  <c r="U496" i="18"/>
  <c r="Y465" i="18"/>
  <c r="U465" i="18"/>
  <c r="Y430" i="18"/>
  <c r="U430" i="18"/>
  <c r="Y390" i="18"/>
  <c r="U390" i="18"/>
  <c r="Y353" i="18"/>
  <c r="U353" i="18"/>
  <c r="Y313" i="18"/>
  <c r="U313" i="18"/>
  <c r="Y269" i="18"/>
  <c r="U269" i="18"/>
  <c r="Y216" i="18"/>
  <c r="U216" i="18"/>
  <c r="Y158" i="18"/>
  <c r="U158" i="18"/>
  <c r="Y102" i="18"/>
  <c r="U102" i="18"/>
  <c r="Y42" i="18"/>
  <c r="U42" i="18"/>
  <c r="Y487" i="18"/>
  <c r="U487" i="18"/>
  <c r="Y41" i="18"/>
  <c r="U41" i="18"/>
  <c r="Y101" i="18"/>
  <c r="U101" i="18"/>
  <c r="Y157" i="18"/>
  <c r="U157" i="18"/>
  <c r="Y215" i="18"/>
  <c r="U215" i="18"/>
  <c r="Y268" i="18"/>
  <c r="U268" i="18"/>
  <c r="Y312" i="18"/>
  <c r="U312" i="18"/>
  <c r="Y372" i="18"/>
  <c r="U372" i="18"/>
  <c r="Y411" i="18"/>
  <c r="U411" i="18"/>
  <c r="Y452" i="18"/>
  <c r="U452" i="18"/>
  <c r="Y389" i="18"/>
  <c r="U389" i="18"/>
  <c r="Y495" i="18"/>
  <c r="U495" i="18"/>
  <c r="Y464" i="18"/>
  <c r="U464" i="18"/>
  <c r="Y429" i="18"/>
  <c r="U429" i="18"/>
  <c r="Y388" i="18"/>
  <c r="U388" i="18"/>
  <c r="Y352" i="18"/>
  <c r="U352" i="18"/>
  <c r="Y311" i="18"/>
  <c r="U311" i="18"/>
  <c r="Y267" i="18"/>
  <c r="U267" i="18"/>
  <c r="Y214" i="18"/>
  <c r="U214" i="18"/>
  <c r="Y156" i="18"/>
  <c r="U156" i="18"/>
  <c r="Y100" i="18"/>
  <c r="U100" i="18"/>
  <c r="Y40" i="18"/>
  <c r="U40" i="18"/>
  <c r="Y39" i="18"/>
  <c r="U39" i="18"/>
  <c r="Y266" i="18"/>
  <c r="U266" i="18"/>
  <c r="Y310" i="18"/>
  <c r="U310" i="18"/>
  <c r="Y351" i="18"/>
  <c r="U351" i="18"/>
  <c r="Y387" i="18"/>
  <c r="U387" i="18"/>
  <c r="Y448" i="18"/>
  <c r="U448" i="18"/>
  <c r="Y99" i="18"/>
  <c r="U99" i="18"/>
  <c r="Y155" i="18"/>
  <c r="U155" i="18"/>
  <c r="Y213" i="18"/>
  <c r="U213" i="18"/>
  <c r="Y410" i="18"/>
  <c r="U410" i="18"/>
  <c r="Y350" i="18"/>
  <c r="U350" i="18"/>
  <c r="Y309" i="18"/>
  <c r="U309" i="18"/>
  <c r="Y265" i="18"/>
  <c r="U265" i="18"/>
  <c r="Y212" i="18"/>
  <c r="U212" i="18"/>
  <c r="Y154" i="18"/>
  <c r="U154" i="18"/>
  <c r="Y98" i="18"/>
  <c r="U98" i="18"/>
  <c r="Y38" i="18"/>
  <c r="U38" i="18"/>
  <c r="Y343" i="18"/>
  <c r="U343" i="18"/>
  <c r="Y306" i="18"/>
  <c r="U306" i="18"/>
  <c r="Y264" i="18"/>
  <c r="U264" i="18"/>
  <c r="Y211" i="18"/>
  <c r="U211" i="18"/>
  <c r="Y153" i="18"/>
  <c r="U153" i="18"/>
  <c r="Y97" i="18"/>
  <c r="U97" i="18"/>
  <c r="Y37" i="18"/>
  <c r="U37" i="18"/>
  <c r="Y305" i="18"/>
  <c r="U305" i="18"/>
  <c r="Y263" i="18"/>
  <c r="U263" i="18"/>
  <c r="Y36" i="18"/>
  <c r="U36" i="18"/>
  <c r="Y210" i="18"/>
  <c r="U210" i="18"/>
  <c r="Y384" i="18"/>
  <c r="U384" i="18"/>
  <c r="Y152" i="18"/>
  <c r="U152" i="18"/>
  <c r="Y347" i="18"/>
  <c r="U347" i="18"/>
  <c r="Y421" i="18"/>
  <c r="U421" i="18"/>
  <c r="Y96" i="18"/>
  <c r="U96" i="18"/>
  <c r="Y336" i="18"/>
  <c r="U336" i="18"/>
  <c r="Y262" i="18"/>
  <c r="U262" i="18"/>
  <c r="Y209" i="18"/>
  <c r="U209" i="18"/>
  <c r="Y151" i="18"/>
  <c r="U151" i="18"/>
  <c r="Y95" i="18"/>
  <c r="U95" i="18"/>
  <c r="Y35" i="18"/>
  <c r="U35" i="18"/>
  <c r="Y345" i="18"/>
  <c r="U345" i="18"/>
  <c r="Y308" i="18"/>
  <c r="U308" i="18"/>
  <c r="Y261" i="18"/>
  <c r="U261" i="18"/>
  <c r="Y208" i="18"/>
  <c r="U208" i="18"/>
  <c r="Y150" i="18"/>
  <c r="U150" i="18"/>
  <c r="Y94" i="18"/>
  <c r="U94" i="18"/>
  <c r="Y34" i="18"/>
  <c r="U34" i="18"/>
  <c r="Y419" i="18"/>
  <c r="U419" i="18"/>
  <c r="Y93" i="18"/>
  <c r="U93" i="18"/>
  <c r="Y149" i="18"/>
  <c r="U149" i="18"/>
  <c r="Y207" i="18"/>
  <c r="U207" i="18"/>
  <c r="Y257" i="18"/>
  <c r="U257" i="18"/>
  <c r="Y304" i="18"/>
  <c r="U304" i="18"/>
  <c r="Y33" i="18"/>
  <c r="U33" i="18"/>
  <c r="Y206" i="18"/>
  <c r="U206" i="18"/>
  <c r="Y256" i="18"/>
  <c r="U256" i="18"/>
  <c r="Y298" i="18"/>
  <c r="U298" i="18"/>
  <c r="Y92" i="18"/>
  <c r="U92" i="18"/>
  <c r="Y148" i="18"/>
  <c r="U148" i="18"/>
  <c r="Y32" i="18"/>
  <c r="U32" i="18"/>
  <c r="Y190" i="18"/>
  <c r="U190" i="18"/>
  <c r="Y251" i="18"/>
  <c r="U251" i="18"/>
  <c r="Y300" i="18"/>
  <c r="U300" i="18"/>
  <c r="Y73" i="18"/>
  <c r="U73" i="18"/>
  <c r="Y132" i="18"/>
  <c r="U132" i="18"/>
  <c r="Y31" i="18"/>
  <c r="U31" i="18"/>
  <c r="Y91" i="18"/>
  <c r="U91" i="18"/>
  <c r="Y147" i="18"/>
  <c r="U147" i="18"/>
  <c r="Y205" i="18"/>
  <c r="U205" i="18"/>
  <c r="Y260" i="18"/>
  <c r="U260" i="18"/>
  <c r="Y30" i="18"/>
  <c r="U30" i="18"/>
  <c r="Y543" i="18"/>
  <c r="U543" i="18"/>
  <c r="Y564" i="18"/>
  <c r="U564" i="18"/>
  <c r="Y584" i="18"/>
  <c r="U584" i="18"/>
  <c r="Y601" i="18"/>
  <c r="U601" i="18"/>
  <c r="Y519" i="18"/>
  <c r="U519" i="18"/>
  <c r="Y615" i="18"/>
  <c r="U615" i="18"/>
  <c r="Y621" i="18"/>
  <c r="U621" i="18"/>
  <c r="Y462" i="18"/>
  <c r="U462" i="18"/>
  <c r="Y493" i="18"/>
  <c r="U493" i="18"/>
  <c r="Y29" i="18"/>
  <c r="U29" i="18"/>
  <c r="Y90" i="18"/>
  <c r="U90" i="18"/>
  <c r="Y178" i="18"/>
  <c r="U178" i="18"/>
  <c r="Y237" i="18"/>
  <c r="U237" i="18"/>
  <c r="Y292" i="18"/>
  <c r="U292" i="18"/>
  <c r="Y335" i="18"/>
  <c r="U335" i="18"/>
  <c r="Y373" i="18"/>
  <c r="U373" i="18"/>
  <c r="Y447" i="18"/>
  <c r="U447" i="18"/>
  <c r="Y409" i="18"/>
  <c r="U409" i="18"/>
  <c r="Y89" i="18"/>
  <c r="U89" i="18"/>
  <c r="Y146" i="18"/>
  <c r="U146" i="18"/>
  <c r="Y204" i="18"/>
  <c r="U204" i="18"/>
  <c r="Y259" i="18"/>
  <c r="U259" i="18"/>
  <c r="Y28" i="18"/>
  <c r="U28" i="18"/>
  <c r="Y484" i="18"/>
  <c r="U484" i="18"/>
  <c r="Y423" i="18"/>
  <c r="U423" i="18"/>
  <c r="Y376" i="18"/>
  <c r="U376" i="18"/>
  <c r="Y299" i="18"/>
  <c r="U299" i="18"/>
  <c r="Y244" i="18"/>
  <c r="U244" i="18"/>
  <c r="Y131" i="18"/>
  <c r="U131" i="18"/>
  <c r="Y63" i="18"/>
  <c r="U63" i="18"/>
  <c r="Y255" i="18"/>
  <c r="U255" i="18"/>
  <c r="Y198" i="18"/>
  <c r="U198" i="18"/>
  <c r="Y145" i="18"/>
  <c r="U145" i="18"/>
  <c r="Y88" i="18"/>
  <c r="U88" i="18"/>
  <c r="Y27" i="18"/>
  <c r="U27" i="18"/>
  <c r="Y291" i="18"/>
  <c r="U291" i="18"/>
  <c r="Y203" i="18"/>
  <c r="U203" i="18"/>
  <c r="Y144" i="18"/>
  <c r="U144" i="18"/>
  <c r="Y87" i="18"/>
  <c r="U87" i="18"/>
  <c r="Y26" i="18"/>
  <c r="U26" i="18"/>
  <c r="Y516" i="18"/>
  <c r="U516" i="18"/>
  <c r="Y490" i="18"/>
  <c r="U490" i="18"/>
  <c r="Y457" i="18"/>
  <c r="U457" i="18"/>
  <c r="Y420" i="18"/>
  <c r="U420" i="18"/>
  <c r="Y380" i="18"/>
  <c r="U380" i="18"/>
  <c r="Y239" i="18"/>
  <c r="U239" i="18"/>
  <c r="Y143" i="18"/>
  <c r="U143" i="18"/>
  <c r="Y86" i="18"/>
  <c r="U86" i="18"/>
  <c r="Y25" i="18"/>
  <c r="U25" i="18"/>
  <c r="Y417" i="18"/>
  <c r="U417" i="18"/>
  <c r="Y183" i="18"/>
  <c r="U183" i="18"/>
  <c r="Y58" i="18"/>
  <c r="U58" i="18"/>
  <c r="Y454" i="18"/>
  <c r="U454" i="18"/>
  <c r="Y485" i="18"/>
  <c r="U485" i="18"/>
  <c r="Y199" i="18"/>
  <c r="U199" i="18"/>
  <c r="Y127" i="18"/>
  <c r="U127" i="18"/>
  <c r="Y85" i="18"/>
  <c r="U85" i="18"/>
  <c r="Y193" i="18"/>
  <c r="U193" i="18"/>
  <c r="Y135" i="18"/>
  <c r="U135" i="18"/>
  <c r="Y62" i="18"/>
  <c r="U62" i="18"/>
  <c r="Y3" i="18"/>
  <c r="U3" i="18"/>
  <c r="Y124" i="18"/>
  <c r="U124" i="18"/>
  <c r="Y182" i="18"/>
  <c r="U182" i="18"/>
  <c r="Y196" i="18"/>
  <c r="U196" i="18"/>
  <c r="Y249" i="18"/>
  <c r="U249" i="18"/>
  <c r="Y61" i="18"/>
  <c r="U61" i="18"/>
  <c r="Y2" i="18"/>
  <c r="U2" i="18"/>
  <c r="Y202" i="18"/>
  <c r="U202" i="18"/>
  <c r="Y142" i="18"/>
  <c r="U142" i="18"/>
  <c r="Y84" i="18"/>
  <c r="U84" i="18"/>
  <c r="Y24" i="18"/>
  <c r="U24" i="18"/>
  <c r="Y579" i="18"/>
  <c r="U579" i="18"/>
  <c r="Y542" i="18"/>
  <c r="U542" i="18"/>
  <c r="Y518" i="18"/>
  <c r="U518" i="18"/>
  <c r="Y494" i="18"/>
  <c r="U494" i="18"/>
  <c r="Y463" i="18"/>
  <c r="U463" i="18"/>
  <c r="Y428" i="18"/>
  <c r="U428" i="18"/>
  <c r="Y386" i="18"/>
  <c r="U386" i="18"/>
  <c r="Y349" i="18"/>
  <c r="U349" i="18"/>
  <c r="Y307" i="18"/>
  <c r="U307" i="18"/>
  <c r="Y258" i="18"/>
  <c r="U258" i="18"/>
  <c r="Y201" i="18"/>
  <c r="U201" i="18"/>
  <c r="Y141" i="18"/>
  <c r="U141" i="18"/>
  <c r="Y83" i="18"/>
  <c r="U83" i="18"/>
  <c r="Y23" i="18"/>
  <c r="U23" i="18"/>
  <c r="Y250" i="18"/>
  <c r="U250" i="18"/>
  <c r="Y194" i="18"/>
  <c r="U194" i="18"/>
  <c r="Y140" i="18"/>
  <c r="U140" i="18"/>
  <c r="Y82" i="18"/>
  <c r="U82" i="18"/>
  <c r="Y22" i="18"/>
  <c r="U22" i="18"/>
  <c r="Y243" i="18"/>
  <c r="U243" i="18"/>
  <c r="Y179" i="18"/>
  <c r="U179" i="18"/>
  <c r="Y81" i="18"/>
  <c r="U81" i="18"/>
  <c r="Y21" i="18"/>
  <c r="U21" i="18"/>
  <c r="Y241" i="18"/>
  <c r="U241" i="18"/>
  <c r="Y181" i="18"/>
  <c r="U181" i="18"/>
  <c r="Y80" i="18"/>
  <c r="U80" i="18"/>
  <c r="Y20" i="18"/>
  <c r="U20" i="18"/>
  <c r="Y185" i="18"/>
  <c r="U185" i="18"/>
  <c r="Y79" i="18"/>
  <c r="U79" i="18"/>
  <c r="Y19" i="18"/>
  <c r="U19" i="18"/>
  <c r="Y303" i="18"/>
  <c r="U303" i="18"/>
  <c r="Y254" i="18"/>
  <c r="U254" i="18"/>
  <c r="Y195" i="18"/>
  <c r="U195" i="18"/>
  <c r="Y139" i="18"/>
  <c r="U139" i="18"/>
  <c r="Y78" i="18"/>
  <c r="U78" i="18"/>
  <c r="Y18" i="18"/>
  <c r="U18" i="18"/>
  <c r="Y197" i="18"/>
  <c r="U197" i="18"/>
  <c r="Y138" i="18"/>
  <c r="U138" i="18"/>
  <c r="Y77" i="18"/>
  <c r="U77" i="18"/>
  <c r="Y17" i="18"/>
  <c r="U17" i="18"/>
  <c r="Y346" i="18"/>
  <c r="U346" i="18"/>
  <c r="Y337" i="18"/>
  <c r="U337" i="18"/>
  <c r="Y297" i="18"/>
  <c r="U297" i="18"/>
  <c r="Y248" i="18"/>
  <c r="U248" i="18"/>
  <c r="Y188" i="18"/>
  <c r="U188" i="18"/>
  <c r="Y126" i="18"/>
  <c r="U126" i="18"/>
  <c r="Y16" i="18"/>
  <c r="U16" i="18"/>
  <c r="Y381" i="18"/>
  <c r="U381" i="18"/>
  <c r="Y341" i="18"/>
  <c r="U341" i="18"/>
  <c r="Y294" i="18"/>
  <c r="U294" i="18"/>
  <c r="Y247" i="18"/>
  <c r="U247" i="18"/>
  <c r="Y189" i="18"/>
  <c r="U189" i="18"/>
  <c r="Y130" i="18"/>
  <c r="U130" i="18"/>
  <c r="Y60" i="18"/>
  <c r="U60" i="18"/>
  <c r="Y129" i="18"/>
  <c r="U129" i="18"/>
  <c r="Y59" i="18"/>
  <c r="U59" i="18"/>
  <c r="Y242" i="18"/>
  <c r="U242" i="18"/>
  <c r="Y180" i="18"/>
  <c r="U180" i="18"/>
  <c r="Y76" i="18"/>
  <c r="U76" i="18"/>
  <c r="Y15" i="18"/>
  <c r="U15" i="18"/>
  <c r="Y14" i="18"/>
  <c r="U14" i="18"/>
  <c r="Y334" i="18"/>
  <c r="U334" i="18"/>
  <c r="Y290" i="18"/>
  <c r="U290" i="18"/>
  <c r="Y200" i="18"/>
  <c r="U200" i="18"/>
  <c r="Y137" i="18"/>
  <c r="U137" i="18"/>
  <c r="Y75" i="18"/>
  <c r="U75" i="18"/>
  <c r="Y13" i="18"/>
  <c r="U13" i="18"/>
  <c r="Y12" i="18"/>
  <c r="U12" i="18"/>
  <c r="Y11" i="18"/>
  <c r="U11" i="18"/>
  <c r="Y374" i="18"/>
  <c r="U374" i="18"/>
  <c r="Y338" i="18"/>
  <c r="U338" i="18"/>
  <c r="Y136" i="18"/>
  <c r="U136" i="18"/>
  <c r="Y74" i="18"/>
  <c r="U74" i="18"/>
  <c r="Y10" i="18"/>
  <c r="U10" i="18"/>
  <c r="Y451" i="18"/>
  <c r="U451" i="18"/>
  <c r="Y238" i="18"/>
  <c r="U238" i="18"/>
  <c r="Y481" i="18"/>
  <c r="U481" i="18"/>
  <c r="Y413" i="18"/>
  <c r="U413" i="18"/>
  <c r="Y1044" i="12"/>
  <c r="U1044" i="12"/>
  <c r="Y1043" i="12"/>
  <c r="U1043" i="12"/>
  <c r="Y1042" i="12"/>
  <c r="U1042" i="12"/>
  <c r="Y1041" i="12"/>
  <c r="U1041" i="12"/>
  <c r="Y1040" i="12"/>
  <c r="U1040" i="12"/>
  <c r="Y1039" i="12"/>
  <c r="U1039" i="12"/>
  <c r="Y1038" i="12"/>
  <c r="U1038" i="12"/>
  <c r="Y1037" i="12"/>
  <c r="U1037" i="12"/>
  <c r="Y1036" i="12"/>
  <c r="U1036" i="12"/>
  <c r="Y1035" i="12"/>
  <c r="U1035" i="12"/>
  <c r="Y1034" i="12"/>
  <c r="U1034" i="12"/>
  <c r="Y1033" i="12"/>
  <c r="U1033" i="12"/>
  <c r="Y1032" i="12"/>
  <c r="U1032" i="12"/>
  <c r="Y1031" i="12"/>
  <c r="U1031" i="12"/>
  <c r="Y1030" i="12"/>
  <c r="U1030" i="12"/>
  <c r="Y1029" i="12"/>
  <c r="U1029" i="12"/>
  <c r="Y1028" i="12"/>
  <c r="U1028" i="12"/>
  <c r="Y1027" i="12"/>
  <c r="U1027" i="12"/>
  <c r="Y1026" i="12"/>
  <c r="U1026" i="12"/>
  <c r="Y1025" i="12"/>
  <c r="U1025" i="12"/>
  <c r="Y1024" i="12"/>
  <c r="U1024" i="12"/>
  <c r="Y1023" i="12"/>
  <c r="U1023" i="12"/>
  <c r="Y1022" i="12"/>
  <c r="U1022" i="12"/>
  <c r="Y1021" i="12"/>
  <c r="U1021" i="12"/>
  <c r="Y1020" i="12"/>
  <c r="U1020" i="12"/>
  <c r="Y1019" i="12"/>
  <c r="U1019" i="12"/>
  <c r="Y1018" i="12"/>
  <c r="U1018" i="12"/>
  <c r="Y1017" i="12"/>
  <c r="U1017" i="12"/>
  <c r="Y1016" i="12"/>
  <c r="U1016" i="12"/>
  <c r="Y1015" i="12"/>
  <c r="U1015" i="12"/>
  <c r="Y1014" i="12"/>
  <c r="U1014" i="12"/>
  <c r="Y1013" i="12"/>
  <c r="U1013" i="12"/>
  <c r="Y1012" i="12"/>
  <c r="U1012" i="12"/>
  <c r="Y1011" i="12"/>
  <c r="U1011" i="12"/>
  <c r="Y1010" i="12"/>
  <c r="U1010" i="12"/>
  <c r="Y1009" i="12"/>
  <c r="U1009" i="12"/>
  <c r="Y1008" i="12"/>
  <c r="U1008" i="12"/>
  <c r="Y1007" i="12"/>
  <c r="U1007" i="12"/>
  <c r="Y1006" i="12"/>
  <c r="U1006" i="12"/>
  <c r="Y1004" i="12"/>
  <c r="U1004" i="12"/>
  <c r="Y1001" i="12"/>
  <c r="U1001" i="12"/>
  <c r="Y998" i="12"/>
  <c r="U998" i="12"/>
  <c r="Y995" i="12"/>
  <c r="U995" i="12"/>
  <c r="Y994" i="12"/>
  <c r="U994" i="12"/>
  <c r="Y992" i="12"/>
  <c r="U992" i="12"/>
  <c r="Y989" i="12"/>
  <c r="U989" i="12"/>
  <c r="Y986" i="12"/>
  <c r="U986" i="12"/>
  <c r="Y983" i="12"/>
  <c r="U983" i="12"/>
  <c r="Y981" i="12"/>
  <c r="U981" i="12"/>
  <c r="Y978" i="12"/>
  <c r="U978" i="12"/>
  <c r="Y993" i="12"/>
  <c r="U993" i="12"/>
  <c r="Y999" i="12"/>
  <c r="U999" i="12"/>
  <c r="Y997" i="12"/>
  <c r="U997" i="12"/>
  <c r="Y1003" i="12"/>
  <c r="U1003" i="12"/>
  <c r="Y1000" i="12"/>
  <c r="U1000" i="12"/>
  <c r="Y980" i="12"/>
  <c r="U980" i="12"/>
  <c r="Y991" i="12"/>
  <c r="U991" i="12"/>
  <c r="Y996" i="12"/>
  <c r="U996" i="12"/>
  <c r="Y979" i="12"/>
  <c r="U979" i="12"/>
  <c r="Y985" i="12"/>
  <c r="U985" i="12"/>
  <c r="Y984" i="12"/>
  <c r="U984" i="12"/>
  <c r="Y1002" i="12"/>
  <c r="U1002" i="12"/>
  <c r="Y987" i="12"/>
  <c r="U987" i="12"/>
  <c r="Y982" i="12"/>
  <c r="U982" i="12"/>
  <c r="Y990" i="12"/>
  <c r="U990" i="12"/>
  <c r="Y988" i="12"/>
  <c r="U988" i="12"/>
  <c r="Y1005" i="12"/>
  <c r="U1005" i="12"/>
  <c r="Y977" i="12"/>
  <c r="U977" i="12"/>
  <c r="Y934" i="12"/>
  <c r="U934" i="12"/>
  <c r="Y933" i="12"/>
  <c r="U933" i="12"/>
  <c r="Y932" i="12"/>
  <c r="U932" i="12"/>
  <c r="Y931" i="12"/>
  <c r="U931" i="12"/>
  <c r="Y930" i="12"/>
  <c r="U930" i="12"/>
  <c r="Y929" i="12"/>
  <c r="U929" i="12"/>
  <c r="Y928" i="12"/>
  <c r="U928" i="12"/>
  <c r="Y927" i="12"/>
  <c r="U927" i="12"/>
  <c r="Y926" i="12"/>
  <c r="U926" i="12"/>
  <c r="Y925" i="12"/>
  <c r="U925" i="12"/>
  <c r="Y924" i="12"/>
  <c r="U924" i="12"/>
  <c r="Y923" i="12"/>
  <c r="U923" i="12"/>
  <c r="Y922" i="12"/>
  <c r="U922" i="12"/>
  <c r="Y921" i="12"/>
  <c r="U921" i="12"/>
  <c r="Y973" i="12"/>
  <c r="U973" i="12"/>
  <c r="Y948" i="12"/>
  <c r="U948" i="12"/>
  <c r="Y976" i="12"/>
  <c r="U976" i="12"/>
  <c r="Y974" i="12"/>
  <c r="U974" i="12"/>
  <c r="Y967" i="12"/>
  <c r="U967" i="12"/>
  <c r="Y961" i="12"/>
  <c r="U961" i="12"/>
  <c r="Y972" i="12"/>
  <c r="U972" i="12"/>
  <c r="Y968" i="12"/>
  <c r="U968" i="12"/>
  <c r="Y971" i="12"/>
  <c r="U971" i="12"/>
  <c r="Y970" i="12"/>
  <c r="U970" i="12"/>
  <c r="Y969" i="12"/>
  <c r="U969" i="12"/>
  <c r="Y960" i="12"/>
  <c r="U960" i="12"/>
  <c r="Y953" i="12"/>
  <c r="U953" i="12"/>
  <c r="Y975" i="12"/>
  <c r="U975" i="12"/>
  <c r="Y966" i="12"/>
  <c r="U966" i="12"/>
  <c r="Y946" i="12"/>
  <c r="U946" i="12"/>
  <c r="Y949" i="12"/>
  <c r="U949" i="12"/>
  <c r="Y956" i="12"/>
  <c r="U956" i="12"/>
  <c r="Y963" i="12"/>
  <c r="U963" i="12"/>
  <c r="Y955" i="12"/>
  <c r="U955" i="12"/>
  <c r="Y954" i="12"/>
  <c r="U954" i="12"/>
  <c r="Y945" i="12"/>
  <c r="U945" i="12"/>
  <c r="Y938" i="12"/>
  <c r="U938" i="12"/>
  <c r="Y939" i="12"/>
  <c r="U939" i="12"/>
  <c r="Y947" i="12"/>
  <c r="U947" i="12"/>
  <c r="Y959" i="12"/>
  <c r="U959" i="12"/>
  <c r="Y952" i="12"/>
  <c r="U952" i="12"/>
  <c r="Y942" i="12"/>
  <c r="U942" i="12"/>
  <c r="Y962" i="12"/>
  <c r="U962" i="12"/>
  <c r="Y944" i="12"/>
  <c r="U944" i="12"/>
  <c r="Y937" i="12"/>
  <c r="U937" i="12"/>
  <c r="Y957" i="12"/>
  <c r="U957" i="12"/>
  <c r="Y940" i="12"/>
  <c r="U940" i="12"/>
  <c r="Y958" i="12"/>
  <c r="U958" i="12"/>
  <c r="Y941" i="12"/>
  <c r="U941" i="12"/>
  <c r="Y935" i="12"/>
  <c r="U935" i="12"/>
  <c r="Y943" i="12"/>
  <c r="U943" i="12"/>
  <c r="Y936" i="12"/>
  <c r="U936" i="12"/>
  <c r="Y950" i="12"/>
  <c r="U950" i="12"/>
  <c r="Y951" i="12"/>
  <c r="U951" i="12"/>
  <c r="Y964" i="12"/>
  <c r="U964" i="12"/>
  <c r="Y965" i="12"/>
  <c r="U965" i="12"/>
  <c r="Y920" i="12"/>
  <c r="U920" i="12"/>
  <c r="Y919" i="12"/>
  <c r="U919" i="12"/>
  <c r="Y918" i="12"/>
  <c r="U918" i="12"/>
  <c r="Y917" i="12"/>
  <c r="U917" i="12"/>
  <c r="Y916" i="12"/>
  <c r="U916" i="12"/>
  <c r="Y915" i="12"/>
  <c r="U915" i="12"/>
  <c r="Y914" i="12"/>
  <c r="U914" i="12"/>
  <c r="Y913" i="12"/>
  <c r="U913" i="12"/>
  <c r="Y912" i="12"/>
  <c r="U912" i="12"/>
  <c r="Y911" i="12"/>
  <c r="U911" i="12"/>
  <c r="Y910" i="12"/>
  <c r="U910" i="12"/>
  <c r="Y909" i="12"/>
  <c r="U909" i="12"/>
  <c r="Y908" i="12"/>
  <c r="U908" i="12"/>
  <c r="Y907" i="12"/>
  <c r="U907" i="12"/>
  <c r="Y906" i="12"/>
  <c r="U906" i="12"/>
  <c r="Y905" i="12"/>
  <c r="U905" i="12"/>
  <c r="Y904" i="12"/>
  <c r="U904" i="12"/>
  <c r="Y903" i="12"/>
  <c r="U903" i="12"/>
  <c r="Y902" i="12"/>
  <c r="U902" i="12"/>
  <c r="Y901" i="12"/>
  <c r="U901" i="12"/>
  <c r="Y900" i="12"/>
  <c r="U900" i="12"/>
  <c r="Y899" i="12"/>
  <c r="U899" i="12"/>
  <c r="Y898" i="12"/>
  <c r="U898" i="12"/>
  <c r="Y897" i="12"/>
  <c r="U897" i="12"/>
  <c r="Y896" i="12"/>
  <c r="U896" i="12"/>
  <c r="Y895" i="12"/>
  <c r="U895" i="12"/>
  <c r="Y894" i="12"/>
  <c r="U894" i="12"/>
  <c r="Y893" i="12"/>
  <c r="U893" i="12"/>
  <c r="Y892" i="12"/>
  <c r="U892" i="12"/>
  <c r="Y891" i="12"/>
  <c r="U891" i="12"/>
  <c r="Y885" i="12"/>
  <c r="U885" i="12"/>
  <c r="Y889" i="12"/>
  <c r="U889" i="12"/>
  <c r="Y886" i="12"/>
  <c r="U886" i="12"/>
  <c r="Y888" i="12"/>
  <c r="U888" i="12"/>
  <c r="Y882" i="12"/>
  <c r="U882" i="12"/>
  <c r="Y884" i="12"/>
  <c r="U884" i="12"/>
  <c r="Y878" i="12"/>
  <c r="U878" i="12"/>
  <c r="Y879" i="12"/>
  <c r="U879" i="12"/>
  <c r="Y881" i="12"/>
  <c r="U881" i="12"/>
  <c r="Y880" i="12"/>
  <c r="U880" i="12"/>
  <c r="Y883" i="12"/>
  <c r="U883" i="12"/>
  <c r="Y875" i="12"/>
  <c r="U875" i="12"/>
  <c r="Y868" i="12"/>
  <c r="U868" i="12"/>
  <c r="Y874" i="12"/>
  <c r="U874" i="12"/>
  <c r="Y871" i="12"/>
  <c r="U871" i="12"/>
  <c r="Y870" i="12"/>
  <c r="U870" i="12"/>
  <c r="Y869" i="12"/>
  <c r="U869" i="12"/>
  <c r="Y876" i="12"/>
  <c r="U876" i="12"/>
  <c r="Y877" i="12"/>
  <c r="U877" i="12"/>
  <c r="Y890" i="12"/>
  <c r="U890" i="12"/>
  <c r="Y887" i="12"/>
  <c r="U887" i="12"/>
  <c r="Y866" i="12"/>
  <c r="U866" i="12"/>
  <c r="Y860" i="12"/>
  <c r="U860" i="12"/>
  <c r="Y865" i="12"/>
  <c r="U865" i="12"/>
  <c r="Y872" i="12"/>
  <c r="U872" i="12"/>
  <c r="Y867" i="12"/>
  <c r="U867" i="12"/>
  <c r="Y859" i="12"/>
  <c r="U859" i="12"/>
  <c r="Y855" i="12"/>
  <c r="U855" i="12"/>
  <c r="Y853" i="12"/>
  <c r="U853" i="12"/>
  <c r="Y850" i="12"/>
  <c r="U850" i="12"/>
  <c r="Y856" i="12"/>
  <c r="U856" i="12"/>
  <c r="Y851" i="12"/>
  <c r="U851" i="12"/>
  <c r="Y858" i="12"/>
  <c r="U858" i="12"/>
  <c r="Y854" i="12"/>
  <c r="U854" i="12"/>
  <c r="Y857" i="12"/>
  <c r="U857" i="12"/>
  <c r="Y852" i="12"/>
  <c r="U852" i="12"/>
  <c r="Y862" i="12"/>
  <c r="U862" i="12"/>
  <c r="Y863" i="12"/>
  <c r="U863" i="12"/>
  <c r="Y861" i="12"/>
  <c r="U861" i="12"/>
  <c r="Y864" i="12"/>
  <c r="U864" i="12"/>
  <c r="Y847" i="12"/>
  <c r="U847" i="12"/>
  <c r="Y844" i="12"/>
  <c r="U844" i="12"/>
  <c r="Y841" i="12"/>
  <c r="U841" i="12"/>
  <c r="Y838" i="12"/>
  <c r="U838" i="12"/>
  <c r="Y835" i="12"/>
  <c r="U835" i="12"/>
  <c r="Y832" i="12"/>
  <c r="U832" i="12"/>
  <c r="Y829" i="12"/>
  <c r="U829" i="12"/>
  <c r="Y826" i="12"/>
  <c r="U826" i="12"/>
  <c r="Y821" i="12"/>
  <c r="U821" i="12"/>
  <c r="Y816" i="12"/>
  <c r="U816" i="12"/>
  <c r="Y813" i="12"/>
  <c r="U813" i="12"/>
  <c r="Y810" i="12"/>
  <c r="U810" i="12"/>
  <c r="Y807" i="12"/>
  <c r="U807" i="12"/>
  <c r="Y804" i="12"/>
  <c r="U804" i="12"/>
  <c r="Y801" i="12"/>
  <c r="U801" i="12"/>
  <c r="Y798" i="12"/>
  <c r="U798" i="12"/>
  <c r="Y818" i="12"/>
  <c r="U818" i="12"/>
  <c r="Y811" i="12"/>
  <c r="U811" i="12"/>
  <c r="Y842" i="12"/>
  <c r="U842" i="12"/>
  <c r="Y846" i="12"/>
  <c r="U846" i="12"/>
  <c r="Y843" i="12"/>
  <c r="U843" i="12"/>
  <c r="Y848" i="12"/>
  <c r="U848" i="12"/>
  <c r="Y845" i="12"/>
  <c r="U845" i="12"/>
  <c r="Y849" i="12"/>
  <c r="U849" i="12"/>
  <c r="Y825" i="12"/>
  <c r="U825" i="12"/>
  <c r="Y814" i="12"/>
  <c r="U814" i="12"/>
  <c r="Y812" i="12"/>
  <c r="U812" i="12"/>
  <c r="Y823" i="12"/>
  <c r="U823" i="12"/>
  <c r="Y806" i="12"/>
  <c r="U806" i="12"/>
  <c r="Y799" i="12"/>
  <c r="U799" i="12"/>
  <c r="Y827" i="12"/>
  <c r="U827" i="12"/>
  <c r="Y817" i="12"/>
  <c r="U817" i="12"/>
  <c r="Y809" i="12"/>
  <c r="U809" i="12"/>
  <c r="Y808" i="12"/>
  <c r="U808" i="12"/>
  <c r="Y820" i="12"/>
  <c r="U820" i="12"/>
  <c r="Y822" i="12"/>
  <c r="U822" i="12"/>
  <c r="Y800" i="12"/>
  <c r="U800" i="12"/>
  <c r="Y840" i="12"/>
  <c r="U840" i="12"/>
  <c r="Y803" i="12"/>
  <c r="U803" i="12"/>
  <c r="Y802" i="12"/>
  <c r="U802" i="12"/>
  <c r="Y830" i="12"/>
  <c r="U830" i="12"/>
  <c r="Y828" i="12"/>
  <c r="U828" i="12"/>
  <c r="Y797" i="12"/>
  <c r="U797" i="12"/>
  <c r="Y833" i="12"/>
  <c r="U833" i="12"/>
  <c r="Y824" i="12"/>
  <c r="U824" i="12"/>
  <c r="Y839" i="12"/>
  <c r="U839" i="12"/>
  <c r="Y834" i="12"/>
  <c r="U834" i="12"/>
  <c r="Y837" i="12"/>
  <c r="U837" i="12"/>
  <c r="Y831" i="12"/>
  <c r="U831" i="12"/>
  <c r="Y836" i="12"/>
  <c r="U836" i="12"/>
  <c r="Y815" i="12"/>
  <c r="U815" i="12"/>
  <c r="Y819" i="12"/>
  <c r="U819" i="12"/>
  <c r="Y805" i="12"/>
  <c r="U805" i="12"/>
  <c r="Y771" i="12"/>
  <c r="U771" i="12"/>
  <c r="Y770" i="12"/>
  <c r="U770" i="12"/>
  <c r="Y769" i="12"/>
  <c r="U769" i="12"/>
  <c r="Y768" i="12"/>
  <c r="U768" i="12"/>
  <c r="Y767" i="12"/>
  <c r="U767" i="12"/>
  <c r="Y766" i="12"/>
  <c r="U766" i="12"/>
  <c r="Y765" i="12"/>
  <c r="U765" i="12"/>
  <c r="Y764" i="12"/>
  <c r="U764" i="12"/>
  <c r="Y763" i="12"/>
  <c r="U763" i="12"/>
  <c r="Y762" i="12"/>
  <c r="U762" i="12"/>
  <c r="Y761" i="12"/>
  <c r="U761" i="12"/>
  <c r="Y760" i="12"/>
  <c r="U760" i="12"/>
  <c r="Y759" i="12"/>
  <c r="U759" i="12"/>
  <c r="Y758" i="12"/>
  <c r="U758" i="12"/>
  <c r="Y757" i="12"/>
  <c r="U757" i="12"/>
  <c r="Y756" i="12"/>
  <c r="U756" i="12"/>
  <c r="Y755" i="12"/>
  <c r="U755" i="12"/>
  <c r="Y796" i="12"/>
  <c r="U796" i="12"/>
  <c r="Y795" i="12"/>
  <c r="U795" i="12"/>
  <c r="Y794" i="12"/>
  <c r="U794" i="12"/>
  <c r="Y793" i="12"/>
  <c r="U793" i="12"/>
  <c r="Y792" i="12"/>
  <c r="U792" i="12"/>
  <c r="Y791" i="12"/>
  <c r="U791" i="12"/>
  <c r="Y790" i="12"/>
  <c r="U790" i="12"/>
  <c r="Y789" i="12"/>
  <c r="U789" i="12"/>
  <c r="Y788" i="12"/>
  <c r="U788" i="12"/>
  <c r="Y787" i="12"/>
  <c r="U787" i="12"/>
  <c r="Y786" i="12"/>
  <c r="U786" i="12"/>
  <c r="Y785" i="12"/>
  <c r="U785" i="12"/>
  <c r="Y784" i="12"/>
  <c r="U784" i="12"/>
  <c r="Y783" i="12"/>
  <c r="U783" i="12"/>
  <c r="Y782" i="12"/>
  <c r="U782" i="12"/>
  <c r="Y781" i="12"/>
  <c r="U781" i="12"/>
  <c r="Y780" i="12"/>
  <c r="U780" i="12"/>
  <c r="Y779" i="12"/>
  <c r="U779" i="12"/>
  <c r="Y778" i="12"/>
  <c r="U778" i="12"/>
  <c r="Y777" i="12"/>
  <c r="U777" i="12"/>
  <c r="Y776" i="12"/>
  <c r="U776" i="12"/>
  <c r="Y775" i="12"/>
  <c r="U775" i="12"/>
  <c r="Y774" i="12"/>
  <c r="U774" i="12"/>
  <c r="Y773" i="12"/>
  <c r="U773" i="12"/>
  <c r="Y772" i="12"/>
  <c r="U772" i="12"/>
  <c r="Y754" i="12"/>
  <c r="U754" i="12"/>
  <c r="Y753" i="12"/>
  <c r="U753" i="12"/>
  <c r="Y752" i="12"/>
  <c r="U752" i="12"/>
  <c r="Y751" i="12"/>
  <c r="U751" i="12"/>
  <c r="Y750" i="12"/>
  <c r="U750" i="12"/>
  <c r="Y749" i="12"/>
  <c r="U749" i="12"/>
  <c r="Y748" i="12"/>
  <c r="U748" i="12"/>
  <c r="Y747" i="12"/>
  <c r="U747" i="12"/>
  <c r="Y746" i="12"/>
  <c r="U746" i="12"/>
  <c r="Y745" i="12"/>
  <c r="U745" i="12"/>
  <c r="Y744" i="12"/>
  <c r="U744" i="12"/>
  <c r="Y743" i="12"/>
  <c r="U743" i="12"/>
  <c r="Y742" i="12"/>
  <c r="U742" i="12"/>
  <c r="Y741" i="12"/>
  <c r="U741" i="12"/>
  <c r="Y740" i="12"/>
  <c r="U740" i="12"/>
  <c r="Y739" i="12"/>
  <c r="U739" i="12"/>
  <c r="Y738" i="12"/>
  <c r="U738" i="12"/>
  <c r="Y737" i="12"/>
  <c r="U737" i="12"/>
  <c r="Y736" i="12"/>
  <c r="U736" i="12"/>
  <c r="Y735" i="12"/>
  <c r="U735" i="12"/>
  <c r="Y734" i="12"/>
  <c r="U734" i="12"/>
  <c r="Y716" i="12"/>
  <c r="U716" i="12"/>
  <c r="Y715" i="12"/>
  <c r="U715" i="12"/>
  <c r="Y714" i="12"/>
  <c r="U714" i="12"/>
  <c r="Y713" i="12"/>
  <c r="U713" i="12"/>
  <c r="Y712" i="12"/>
  <c r="U712" i="12"/>
  <c r="Y711" i="12"/>
  <c r="U711" i="12"/>
  <c r="Y710" i="12"/>
  <c r="U710" i="12"/>
  <c r="Y709" i="12"/>
  <c r="U709" i="12"/>
  <c r="Y708" i="12"/>
  <c r="U708" i="12"/>
  <c r="Y707" i="12"/>
  <c r="U707" i="12"/>
  <c r="Y706" i="12"/>
  <c r="U706" i="12"/>
  <c r="Y705" i="12"/>
  <c r="U705" i="12"/>
  <c r="Y704" i="12"/>
  <c r="U704" i="12"/>
  <c r="Y703" i="12"/>
  <c r="U703" i="12"/>
  <c r="Y702" i="12"/>
  <c r="U702" i="12"/>
  <c r="Y701" i="12"/>
  <c r="U701" i="12"/>
  <c r="Y700" i="12"/>
  <c r="U700" i="12"/>
  <c r="Y733" i="12"/>
  <c r="U733" i="12"/>
  <c r="Y732" i="12"/>
  <c r="U732" i="12"/>
  <c r="Y731" i="12"/>
  <c r="U731" i="12"/>
  <c r="Y730" i="12"/>
  <c r="U730" i="12"/>
  <c r="Y729" i="12"/>
  <c r="U729" i="12"/>
  <c r="Y728" i="12"/>
  <c r="U728" i="12"/>
  <c r="Y727" i="12"/>
  <c r="U727" i="12"/>
  <c r="Y726" i="12"/>
  <c r="U726" i="12"/>
  <c r="Y725" i="12"/>
  <c r="U725" i="12"/>
  <c r="Y724" i="12"/>
  <c r="U724" i="12"/>
  <c r="Y723" i="12"/>
  <c r="U723" i="12"/>
  <c r="Y722" i="12"/>
  <c r="U722" i="12"/>
  <c r="Y721" i="12"/>
  <c r="U721" i="12"/>
  <c r="Y720" i="12"/>
  <c r="U720" i="12"/>
  <c r="Y719" i="12"/>
  <c r="U719" i="12"/>
  <c r="Y718" i="12"/>
  <c r="U718" i="12"/>
  <c r="Y717" i="12"/>
  <c r="U717" i="12"/>
  <c r="Y693" i="12"/>
  <c r="U693" i="12"/>
  <c r="Y691" i="12"/>
  <c r="U691" i="12"/>
  <c r="Y689" i="12"/>
  <c r="U689" i="12"/>
  <c r="Y687" i="12"/>
  <c r="U687" i="12"/>
  <c r="Y685" i="12"/>
  <c r="U685" i="12"/>
  <c r="Y683" i="12"/>
  <c r="U683" i="12"/>
  <c r="Y681" i="12"/>
  <c r="U681" i="12"/>
  <c r="Y679" i="12"/>
  <c r="U679" i="12"/>
  <c r="Y677" i="12"/>
  <c r="U677" i="12"/>
  <c r="Y675" i="12"/>
  <c r="U675" i="12"/>
  <c r="Y673" i="12"/>
  <c r="U673" i="12"/>
  <c r="Y671" i="12"/>
  <c r="U671" i="12"/>
  <c r="Y669" i="12"/>
  <c r="U669" i="12"/>
  <c r="Y667" i="12"/>
  <c r="U667" i="12"/>
  <c r="Y665" i="12"/>
  <c r="U665" i="12"/>
  <c r="Y663" i="12"/>
  <c r="U663" i="12"/>
  <c r="Y699" i="12"/>
  <c r="U699" i="12"/>
  <c r="Y698" i="12"/>
  <c r="U698" i="12"/>
  <c r="Y697" i="12"/>
  <c r="U697" i="12"/>
  <c r="Y696" i="12"/>
  <c r="U696" i="12"/>
  <c r="Y695" i="12"/>
  <c r="U695" i="12"/>
  <c r="Y694" i="12"/>
  <c r="U694" i="12"/>
  <c r="Y692" i="12"/>
  <c r="U692" i="12"/>
  <c r="Y690" i="12"/>
  <c r="U690" i="12"/>
  <c r="Y688" i="12"/>
  <c r="U688" i="12"/>
  <c r="Y686" i="12"/>
  <c r="U686" i="12"/>
  <c r="Y684" i="12"/>
  <c r="U684" i="12"/>
  <c r="Y682" i="12"/>
  <c r="U682" i="12"/>
  <c r="Y680" i="12"/>
  <c r="U680" i="12"/>
  <c r="Y678" i="12"/>
  <c r="U678" i="12"/>
  <c r="Y676" i="12"/>
  <c r="U676" i="12"/>
  <c r="Y674" i="12"/>
  <c r="U674" i="12"/>
  <c r="Y672" i="12"/>
  <c r="U672" i="12"/>
  <c r="Y670" i="12"/>
  <c r="U670" i="12"/>
  <c r="Y668" i="12"/>
  <c r="U668" i="12"/>
  <c r="Y666" i="12"/>
  <c r="U666" i="12"/>
  <c r="Y664" i="12"/>
  <c r="U664" i="12"/>
  <c r="Y662" i="12"/>
  <c r="U662" i="12"/>
  <c r="Y661" i="12"/>
  <c r="U661" i="12"/>
  <c r="Y660" i="12"/>
  <c r="U660" i="12"/>
  <c r="Y659" i="12"/>
  <c r="U659" i="12"/>
  <c r="Y658" i="12"/>
  <c r="U658" i="12"/>
  <c r="Y657" i="12"/>
  <c r="U657" i="12"/>
  <c r="Y656" i="12"/>
  <c r="U656" i="12"/>
  <c r="Y655" i="12"/>
  <c r="U655" i="12"/>
  <c r="Y654" i="12"/>
  <c r="U654" i="12"/>
  <c r="Y653" i="12"/>
  <c r="U653" i="12"/>
  <c r="Y652" i="12"/>
  <c r="U652" i="12"/>
  <c r="Y651" i="12"/>
  <c r="U651" i="12"/>
  <c r="Y650" i="12"/>
  <c r="U650" i="12"/>
  <c r="Y649" i="12"/>
  <c r="U649" i="12"/>
  <c r="Y648" i="12"/>
  <c r="U648" i="12"/>
  <c r="Y647" i="12"/>
  <c r="U647" i="12"/>
  <c r="Y646" i="12"/>
  <c r="U646" i="12"/>
  <c r="Y645" i="12"/>
  <c r="U645" i="12"/>
  <c r="Y644" i="12"/>
  <c r="U644" i="12"/>
  <c r="Y643" i="12"/>
  <c r="U643" i="12"/>
  <c r="Y642" i="12"/>
  <c r="U642" i="12"/>
  <c r="Y641" i="12"/>
  <c r="U641" i="12"/>
  <c r="Y640" i="12"/>
  <c r="U640" i="12"/>
  <c r="Y639" i="12"/>
  <c r="U639" i="12"/>
  <c r="Y638" i="12"/>
  <c r="U638" i="12"/>
  <c r="Y637" i="12"/>
  <c r="U637" i="12"/>
  <c r="Y636" i="12"/>
  <c r="U636" i="12"/>
  <c r="Y635" i="12"/>
  <c r="U635" i="12"/>
  <c r="Y634" i="12"/>
  <c r="U634" i="12"/>
  <c r="Y633" i="12"/>
  <c r="U633" i="12"/>
  <c r="Y632" i="12"/>
  <c r="U632" i="12"/>
  <c r="Y631" i="12"/>
  <c r="U631" i="12"/>
  <c r="Y630" i="12"/>
  <c r="U630" i="12"/>
  <c r="Y629" i="12"/>
  <c r="U629" i="12"/>
  <c r="Y628" i="12"/>
  <c r="U628" i="12"/>
  <c r="Y627" i="12"/>
  <c r="U627" i="12"/>
  <c r="Y626" i="12"/>
  <c r="U626" i="12"/>
  <c r="Y625" i="12"/>
  <c r="U625" i="12"/>
  <c r="Y624" i="12"/>
  <c r="U624" i="12"/>
  <c r="Y623" i="12"/>
  <c r="U623" i="12"/>
  <c r="Y622" i="12"/>
  <c r="U622" i="12"/>
  <c r="Y621" i="12"/>
  <c r="U621" i="12"/>
  <c r="Y620" i="12"/>
  <c r="U620" i="12"/>
  <c r="Y619" i="12"/>
  <c r="U619" i="12"/>
  <c r="Y618" i="12"/>
  <c r="U618" i="12"/>
  <c r="Y617" i="12"/>
  <c r="U617" i="12"/>
  <c r="Y616" i="12"/>
  <c r="U616" i="12"/>
  <c r="Y615" i="12"/>
  <c r="U615" i="12"/>
  <c r="Y614" i="12"/>
  <c r="U614" i="12"/>
  <c r="Y613" i="12"/>
  <c r="U613" i="12"/>
  <c r="Y612" i="12"/>
  <c r="U612" i="12"/>
  <c r="Y611" i="12"/>
  <c r="U611" i="12"/>
  <c r="Y610" i="12"/>
  <c r="U610" i="12"/>
  <c r="Y609" i="12"/>
  <c r="U609" i="12"/>
  <c r="Y608" i="12"/>
  <c r="U608" i="12"/>
  <c r="Y607" i="12"/>
  <c r="U607" i="12"/>
  <c r="Y606" i="12"/>
  <c r="U606" i="12"/>
  <c r="Y605" i="12"/>
  <c r="U605" i="12"/>
  <c r="Y604" i="12"/>
  <c r="U604" i="12"/>
  <c r="Y603" i="12"/>
  <c r="U603" i="12"/>
  <c r="Y602" i="12"/>
  <c r="U602" i="12"/>
  <c r="Y601" i="12"/>
  <c r="U601" i="12"/>
  <c r="Y600" i="12"/>
  <c r="U600" i="12"/>
  <c r="Y599" i="12"/>
  <c r="U599" i="12"/>
  <c r="Y598" i="12"/>
  <c r="U598" i="12"/>
  <c r="Y597" i="12"/>
  <c r="U597" i="12"/>
  <c r="Y596" i="12"/>
  <c r="U596" i="12"/>
  <c r="Y595" i="12"/>
  <c r="U595" i="12"/>
  <c r="Y594" i="12"/>
  <c r="U594" i="12"/>
  <c r="Y593" i="12"/>
  <c r="U593" i="12"/>
  <c r="Y592" i="12"/>
  <c r="U592" i="12"/>
  <c r="Y591" i="12"/>
  <c r="U591" i="12"/>
  <c r="Y590" i="12"/>
  <c r="U590" i="12"/>
  <c r="Y589" i="12"/>
  <c r="U589" i="12"/>
  <c r="Y588" i="12"/>
  <c r="U588" i="12"/>
  <c r="Y587" i="12"/>
  <c r="U587" i="12"/>
  <c r="Y586" i="12"/>
  <c r="U586" i="12"/>
  <c r="Y585" i="12"/>
  <c r="U585" i="12"/>
  <c r="Y584" i="12"/>
  <c r="U584" i="12"/>
  <c r="Y583" i="12"/>
  <c r="U583" i="12"/>
  <c r="Y582" i="12"/>
  <c r="U582" i="12"/>
  <c r="Y581" i="12"/>
  <c r="U581" i="12"/>
  <c r="Y580" i="12"/>
  <c r="U580" i="12"/>
  <c r="Y579" i="12"/>
  <c r="U579" i="12"/>
  <c r="Y578" i="12"/>
  <c r="U578" i="12"/>
  <c r="Y577" i="12"/>
  <c r="U577" i="12"/>
  <c r="Y576" i="12"/>
  <c r="U576" i="12"/>
  <c r="Y575" i="12"/>
  <c r="U575" i="12"/>
  <c r="Y574" i="12"/>
  <c r="U574" i="12"/>
  <c r="Y573" i="12"/>
  <c r="U573" i="12"/>
  <c r="Y572" i="12"/>
  <c r="U572" i="12"/>
  <c r="Y571" i="12"/>
  <c r="U571" i="12"/>
  <c r="Y570" i="12"/>
  <c r="U570" i="12"/>
  <c r="Y569" i="12"/>
  <c r="U569" i="12"/>
  <c r="Y568" i="12"/>
  <c r="U568" i="12"/>
  <c r="Y567" i="12"/>
  <c r="U567" i="12"/>
  <c r="Y566" i="12"/>
  <c r="U566" i="12"/>
  <c r="Y565" i="12"/>
  <c r="U565" i="12"/>
  <c r="Y564" i="12"/>
  <c r="U564" i="12"/>
  <c r="Y563" i="12"/>
  <c r="U563" i="12"/>
  <c r="Y562" i="12"/>
  <c r="U562" i="12"/>
  <c r="Y561" i="12"/>
  <c r="U561" i="12"/>
  <c r="Y560" i="12"/>
  <c r="U560" i="12"/>
  <c r="Y559" i="12"/>
  <c r="U559" i="12"/>
  <c r="Y558" i="12"/>
  <c r="U558" i="12"/>
  <c r="Y557" i="12"/>
  <c r="U557" i="12"/>
  <c r="Y556" i="12"/>
  <c r="U556" i="12"/>
  <c r="Y555" i="12"/>
  <c r="U555" i="12"/>
  <c r="Y554" i="12"/>
  <c r="U554" i="12"/>
  <c r="Y553" i="12"/>
  <c r="U553" i="12"/>
  <c r="Y552" i="12"/>
  <c r="U552" i="12"/>
  <c r="Y551" i="12"/>
  <c r="U551" i="12"/>
  <c r="Y550" i="12"/>
  <c r="U550" i="12"/>
  <c r="Y549" i="12"/>
  <c r="U549" i="12"/>
  <c r="Y548" i="12"/>
  <c r="U548" i="12"/>
  <c r="Y547" i="12"/>
  <c r="U547" i="12"/>
  <c r="Y546" i="12"/>
  <c r="U546" i="12"/>
  <c r="Y545" i="12"/>
  <c r="U545" i="12"/>
  <c r="Y544" i="12"/>
  <c r="U544" i="12"/>
  <c r="Y543" i="12"/>
  <c r="U543" i="12"/>
  <c r="Y542" i="12"/>
  <c r="U542" i="12"/>
  <c r="Y541" i="12"/>
  <c r="U541" i="12"/>
  <c r="Y540" i="12"/>
  <c r="U540" i="12"/>
  <c r="Y539" i="12"/>
  <c r="U539" i="12"/>
  <c r="Y538" i="12"/>
  <c r="U538" i="12"/>
  <c r="Y537" i="12"/>
  <c r="U537" i="12"/>
  <c r="Y536" i="12"/>
  <c r="U536" i="12"/>
  <c r="Y535" i="12"/>
  <c r="U535" i="12"/>
  <c r="Y534" i="12"/>
  <c r="U534" i="12"/>
  <c r="Y533" i="12"/>
  <c r="U533" i="12"/>
  <c r="Y532" i="12"/>
  <c r="U532" i="12"/>
  <c r="Y531" i="12"/>
  <c r="U531" i="12"/>
  <c r="Y530" i="12"/>
  <c r="U530" i="12"/>
  <c r="Y529" i="12"/>
  <c r="U529" i="12"/>
  <c r="Y528" i="12"/>
  <c r="U528" i="12"/>
  <c r="Y527" i="12"/>
  <c r="U527" i="12"/>
  <c r="Y526" i="12"/>
  <c r="U526" i="12"/>
  <c r="Y525" i="12"/>
  <c r="U525" i="12"/>
  <c r="Y524" i="12"/>
  <c r="U524" i="12"/>
  <c r="Y523" i="12"/>
  <c r="U523" i="12"/>
  <c r="Y522" i="12"/>
  <c r="U522" i="12"/>
  <c r="Y521" i="12"/>
  <c r="U521" i="12"/>
  <c r="Y520" i="12"/>
  <c r="U520" i="12"/>
  <c r="Y519" i="12"/>
  <c r="U519" i="12"/>
  <c r="Y518" i="12"/>
  <c r="U518" i="12"/>
  <c r="Y517" i="12"/>
  <c r="U517" i="12"/>
  <c r="Y516" i="12"/>
  <c r="U516" i="12"/>
  <c r="Y515" i="12"/>
  <c r="U515" i="12"/>
  <c r="Y514" i="12"/>
  <c r="U514" i="12"/>
  <c r="Y513" i="12"/>
  <c r="U513" i="12"/>
  <c r="Y512" i="12"/>
  <c r="U512" i="12"/>
  <c r="Y511" i="12"/>
  <c r="U511" i="12"/>
  <c r="Y510" i="12"/>
  <c r="U510" i="12"/>
  <c r="Y509" i="12"/>
  <c r="U509" i="12"/>
  <c r="Y508" i="12"/>
  <c r="U508" i="12"/>
  <c r="Y507" i="12"/>
  <c r="U507" i="12"/>
  <c r="Y506" i="12"/>
  <c r="U506" i="12"/>
  <c r="Y505" i="12"/>
  <c r="U505" i="12"/>
  <c r="Y504" i="12"/>
  <c r="U504" i="12"/>
  <c r="Y503" i="12"/>
  <c r="U503" i="12"/>
  <c r="Y502" i="12"/>
  <c r="U502" i="12"/>
  <c r="Y501" i="12"/>
  <c r="U501" i="12"/>
  <c r="Y500" i="12"/>
  <c r="U500" i="12"/>
  <c r="Y499" i="12"/>
  <c r="U499" i="12"/>
  <c r="Y498" i="12"/>
  <c r="U498" i="12"/>
  <c r="Y497" i="12"/>
  <c r="U497" i="12"/>
  <c r="Y496" i="12"/>
  <c r="U496" i="12"/>
  <c r="Y495" i="12"/>
  <c r="U495" i="12"/>
  <c r="Y494" i="12"/>
  <c r="U494" i="12"/>
  <c r="Y493" i="12"/>
  <c r="U493" i="12"/>
  <c r="Y492" i="12"/>
  <c r="U492" i="12"/>
  <c r="Y491" i="12"/>
  <c r="U491" i="12"/>
  <c r="Y490" i="12"/>
  <c r="U490" i="12"/>
  <c r="Y489" i="12"/>
  <c r="U489" i="12"/>
  <c r="Y488" i="12"/>
  <c r="U488" i="12"/>
  <c r="Y487" i="12"/>
  <c r="U487" i="12"/>
  <c r="Y486" i="12"/>
  <c r="U486" i="12"/>
  <c r="Y485" i="12"/>
  <c r="U485" i="12"/>
  <c r="Y484" i="12"/>
  <c r="U484" i="12"/>
  <c r="Y483" i="12"/>
  <c r="U483" i="12"/>
  <c r="Y482" i="12"/>
  <c r="U482" i="12"/>
  <c r="Y481" i="12"/>
  <c r="U481" i="12"/>
  <c r="Y480" i="12"/>
  <c r="U480" i="12"/>
  <c r="Y479" i="12"/>
  <c r="U479" i="12"/>
  <c r="Y478" i="12"/>
  <c r="U478" i="12"/>
  <c r="Y477" i="12"/>
  <c r="U477" i="12"/>
  <c r="Y476" i="12"/>
  <c r="U476" i="12"/>
  <c r="Y475" i="12"/>
  <c r="U475" i="12"/>
  <c r="Y474" i="12"/>
  <c r="U474" i="12"/>
  <c r="Y473" i="12"/>
  <c r="U473" i="12"/>
  <c r="Y472" i="12"/>
  <c r="U472" i="12"/>
  <c r="Y471" i="12"/>
  <c r="U471" i="12"/>
  <c r="Y470" i="12"/>
  <c r="U470" i="12"/>
  <c r="Y469" i="12"/>
  <c r="U469" i="12"/>
  <c r="Y468" i="12"/>
  <c r="U468" i="12"/>
  <c r="Y467" i="12"/>
  <c r="U467" i="12"/>
  <c r="Y466" i="12"/>
  <c r="U466" i="12"/>
  <c r="Y465" i="12"/>
  <c r="U465" i="12"/>
  <c r="Y464" i="12"/>
  <c r="U464" i="12"/>
  <c r="Y463" i="12"/>
  <c r="U463" i="12"/>
  <c r="Y462" i="12"/>
  <c r="U462" i="12"/>
  <c r="Y461" i="12"/>
  <c r="U461" i="12"/>
  <c r="Y460" i="12"/>
  <c r="U460" i="12"/>
  <c r="Y459" i="12"/>
  <c r="U459" i="12"/>
  <c r="Y458" i="12"/>
  <c r="U458" i="12"/>
  <c r="Y457" i="12"/>
  <c r="U457" i="12"/>
  <c r="Y456" i="12"/>
  <c r="U456" i="12"/>
  <c r="Y455" i="12"/>
  <c r="U455" i="12"/>
  <c r="Y454" i="12"/>
  <c r="U454" i="12"/>
  <c r="Y453" i="12"/>
  <c r="U453" i="12"/>
  <c r="Y452" i="12"/>
  <c r="U452" i="12"/>
  <c r="Y451" i="12"/>
  <c r="U451" i="12"/>
  <c r="Y450" i="12"/>
  <c r="U450" i="12"/>
  <c r="Y449" i="12"/>
  <c r="U449" i="12"/>
  <c r="Y448" i="12"/>
  <c r="U448" i="12"/>
  <c r="Y447" i="12"/>
  <c r="U447" i="12"/>
  <c r="Y446" i="12"/>
  <c r="U446" i="12"/>
  <c r="Y445" i="12"/>
  <c r="U445" i="12"/>
  <c r="Y444" i="12"/>
  <c r="U444" i="12"/>
  <c r="Y443" i="12"/>
  <c r="U443" i="12"/>
  <c r="Y442" i="12"/>
  <c r="U442" i="12"/>
  <c r="Y441" i="12"/>
  <c r="U441" i="12"/>
  <c r="Y440" i="12"/>
  <c r="U440" i="12"/>
  <c r="Y439" i="12"/>
  <c r="U439" i="12"/>
  <c r="Y438" i="12"/>
  <c r="U438" i="12"/>
  <c r="Y437" i="12"/>
  <c r="U437" i="12"/>
  <c r="Y436" i="12"/>
  <c r="U436" i="12"/>
  <c r="Y435" i="12"/>
  <c r="U435" i="12"/>
  <c r="Y434" i="12"/>
  <c r="U434" i="12"/>
  <c r="Y433" i="12"/>
  <c r="U433" i="12"/>
  <c r="Y432" i="12"/>
  <c r="U432" i="12"/>
  <c r="Y431" i="12"/>
  <c r="U431" i="12"/>
  <c r="Y430" i="12"/>
  <c r="U430" i="12"/>
  <c r="Y429" i="12"/>
  <c r="U429" i="12"/>
  <c r="Y428" i="12"/>
  <c r="U428" i="12"/>
  <c r="Y427" i="12"/>
  <c r="U427" i="12"/>
  <c r="Y426" i="12"/>
  <c r="U426" i="12"/>
  <c r="Y425" i="12"/>
  <c r="U425" i="12"/>
  <c r="Y424" i="12"/>
  <c r="U424" i="12"/>
  <c r="Y423" i="12"/>
  <c r="U423" i="12"/>
  <c r="Y422" i="12"/>
  <c r="U422" i="12"/>
  <c r="Y421" i="12"/>
  <c r="U421" i="12"/>
  <c r="Y420" i="12"/>
  <c r="U420" i="12"/>
  <c r="Y419" i="12"/>
  <c r="U419" i="12"/>
  <c r="Y418" i="12"/>
  <c r="U418" i="12"/>
  <c r="Y417" i="12"/>
  <c r="U417" i="12"/>
  <c r="Y408" i="12"/>
  <c r="U408" i="12"/>
  <c r="Y409" i="12"/>
  <c r="U409" i="12"/>
  <c r="Y410" i="12"/>
  <c r="U410" i="12"/>
  <c r="Y411" i="12"/>
  <c r="U411" i="12"/>
  <c r="Y412" i="12"/>
  <c r="U412" i="12"/>
  <c r="Y413" i="12"/>
  <c r="U413" i="12"/>
  <c r="Y414" i="12"/>
  <c r="U414" i="12"/>
  <c r="Y415" i="12"/>
  <c r="U415" i="12"/>
  <c r="Y416" i="12"/>
  <c r="U416" i="12"/>
  <c r="Y404" i="12"/>
  <c r="U404" i="12"/>
  <c r="Y407" i="12"/>
  <c r="U407" i="12"/>
  <c r="Y406" i="12"/>
  <c r="U406" i="12"/>
  <c r="Y405" i="12"/>
  <c r="U405" i="12"/>
  <c r="Y403" i="12"/>
  <c r="U403" i="12"/>
  <c r="Y402" i="12"/>
  <c r="U402" i="12"/>
  <c r="Y401" i="12"/>
  <c r="U401" i="12"/>
  <c r="Y400" i="12"/>
  <c r="U400" i="12"/>
  <c r="Y399" i="12"/>
  <c r="U399" i="12"/>
  <c r="Y398" i="12"/>
  <c r="U398" i="12"/>
  <c r="Y397" i="12"/>
  <c r="U397" i="12"/>
  <c r="Y396" i="12"/>
  <c r="U396" i="12"/>
  <c r="Y388" i="12"/>
  <c r="U388" i="12"/>
  <c r="Y384" i="12"/>
  <c r="U384" i="12"/>
  <c r="Y385" i="12"/>
  <c r="U385" i="12"/>
  <c r="Y386" i="12"/>
  <c r="U386" i="12"/>
  <c r="Y387" i="12"/>
  <c r="U387" i="12"/>
  <c r="Y393" i="12"/>
  <c r="U393" i="12"/>
  <c r="Y394" i="12"/>
  <c r="U394" i="12"/>
  <c r="Y395" i="12"/>
  <c r="U395" i="12"/>
  <c r="Y390" i="12"/>
  <c r="U390" i="12"/>
  <c r="Y392" i="12"/>
  <c r="U392" i="12"/>
  <c r="Y391" i="12"/>
  <c r="U391" i="12"/>
  <c r="Y389" i="12"/>
  <c r="U389" i="12"/>
  <c r="Y375" i="12"/>
  <c r="U375" i="12"/>
  <c r="Y379" i="12"/>
  <c r="U379" i="12"/>
  <c r="Y380" i="12"/>
  <c r="U380" i="12"/>
  <c r="Y381" i="12"/>
  <c r="U381" i="12"/>
  <c r="Y382" i="12"/>
  <c r="U382" i="12"/>
  <c r="Y383" i="12"/>
  <c r="U383" i="12"/>
  <c r="Y376" i="12"/>
  <c r="U376" i="12"/>
  <c r="Y377" i="12"/>
  <c r="U377" i="12"/>
  <c r="Y378" i="12"/>
  <c r="U378" i="12"/>
  <c r="Y374" i="12"/>
  <c r="U374" i="12"/>
  <c r="Y373" i="12"/>
  <c r="U373" i="12"/>
  <c r="Y372" i="12"/>
  <c r="U372" i="12"/>
  <c r="Y371" i="12"/>
  <c r="U371" i="12"/>
  <c r="Y370" i="12"/>
  <c r="U370" i="12"/>
  <c r="Y369" i="12"/>
  <c r="U369" i="12"/>
  <c r="Y368" i="12"/>
  <c r="U368" i="12"/>
  <c r="Y367" i="12"/>
  <c r="U367" i="12"/>
  <c r="Y366" i="12"/>
  <c r="U366" i="12"/>
  <c r="Y365" i="12"/>
  <c r="U365" i="12"/>
  <c r="Y364" i="12"/>
  <c r="U364" i="12"/>
  <c r="Y362" i="12"/>
  <c r="U362" i="12"/>
  <c r="Y361" i="12"/>
  <c r="U361" i="12"/>
  <c r="Y360" i="12"/>
  <c r="U360" i="12"/>
  <c r="Y359" i="12"/>
  <c r="U359" i="12"/>
  <c r="Y358" i="12"/>
  <c r="U358" i="12"/>
  <c r="Y357" i="12"/>
  <c r="U357" i="12"/>
  <c r="Y356" i="12"/>
  <c r="U356" i="12"/>
  <c r="Y363" i="12"/>
  <c r="U363" i="12"/>
  <c r="Y348" i="12"/>
  <c r="U348" i="12"/>
  <c r="Y347" i="12"/>
  <c r="U347" i="12"/>
  <c r="Y355" i="12"/>
  <c r="U355" i="12"/>
  <c r="Y354" i="12"/>
  <c r="U354" i="12"/>
  <c r="Y353" i="12"/>
  <c r="U353" i="12"/>
  <c r="Y352" i="12"/>
  <c r="U352" i="12"/>
  <c r="Y351" i="12"/>
  <c r="U351" i="12"/>
  <c r="Y350" i="12"/>
  <c r="U350" i="12"/>
  <c r="Y349" i="12"/>
  <c r="U349" i="12"/>
  <c r="Y346" i="12"/>
  <c r="U346" i="12"/>
  <c r="Y345" i="12"/>
  <c r="U345" i="12"/>
  <c r="Y344" i="12"/>
  <c r="U344" i="12"/>
  <c r="Y343" i="12"/>
  <c r="U343" i="12"/>
  <c r="Y342" i="12"/>
  <c r="U342" i="12"/>
  <c r="Y341" i="12"/>
  <c r="U341" i="12"/>
  <c r="Y340" i="12"/>
  <c r="U340" i="12"/>
  <c r="Y339" i="12"/>
  <c r="U339" i="12"/>
  <c r="Y338" i="12"/>
  <c r="U338" i="12"/>
  <c r="Y337" i="12"/>
  <c r="U337" i="12"/>
  <c r="Y336" i="12"/>
  <c r="U336" i="12"/>
  <c r="Y335" i="12"/>
  <c r="U335" i="12"/>
  <c r="Y334" i="12"/>
  <c r="U334" i="12"/>
  <c r="Y330" i="12"/>
  <c r="U330" i="12"/>
  <c r="Y329" i="12"/>
  <c r="U329" i="12"/>
  <c r="Y325" i="12"/>
  <c r="U325" i="12"/>
  <c r="Y328" i="12"/>
  <c r="U328" i="12"/>
  <c r="Y332" i="12"/>
  <c r="U332" i="12"/>
  <c r="Y327" i="12"/>
  <c r="U327" i="12"/>
  <c r="Y331" i="12"/>
  <c r="U331" i="12"/>
  <c r="Y333" i="12"/>
  <c r="U333" i="12"/>
  <c r="Y326" i="12"/>
  <c r="U326" i="12"/>
  <c r="Y324" i="12"/>
  <c r="U324" i="12"/>
  <c r="Y323" i="12"/>
  <c r="U323" i="12"/>
  <c r="Y322" i="12"/>
  <c r="U322" i="12"/>
  <c r="Y321" i="12"/>
  <c r="U321" i="12"/>
  <c r="Y320" i="12"/>
  <c r="U320" i="12"/>
  <c r="Y319" i="12"/>
  <c r="U319" i="12"/>
  <c r="Y310" i="12"/>
  <c r="U310" i="12"/>
  <c r="Y309" i="12"/>
  <c r="U309" i="12"/>
  <c r="Y308" i="12"/>
  <c r="U308" i="12"/>
  <c r="Y307" i="12"/>
  <c r="U307" i="12"/>
  <c r="Y306" i="12"/>
  <c r="U306" i="12"/>
  <c r="Y305" i="12"/>
  <c r="U305" i="12"/>
  <c r="Y304" i="12"/>
  <c r="U304" i="12"/>
  <c r="Y311" i="12"/>
  <c r="U311" i="12"/>
  <c r="Y318" i="12"/>
  <c r="U318" i="12"/>
  <c r="Y317" i="12"/>
  <c r="U317" i="12"/>
  <c r="Y316" i="12"/>
  <c r="U316" i="12"/>
  <c r="Y315" i="12"/>
  <c r="U315" i="12"/>
  <c r="Y314" i="12"/>
  <c r="U314" i="12"/>
  <c r="Y312" i="12"/>
  <c r="U312" i="12"/>
  <c r="Y313" i="12"/>
  <c r="U313" i="12"/>
  <c r="Y299" i="12"/>
  <c r="U299" i="12"/>
  <c r="Y291" i="12"/>
  <c r="U291" i="12"/>
  <c r="Y297" i="12"/>
  <c r="U297" i="12"/>
  <c r="Y295" i="12"/>
  <c r="U295" i="12"/>
  <c r="Y293" i="12"/>
  <c r="U293" i="12"/>
  <c r="Y289" i="12"/>
  <c r="U289" i="12"/>
  <c r="Y303" i="12"/>
  <c r="U303" i="12"/>
  <c r="Y302" i="12"/>
  <c r="U302" i="12"/>
  <c r="Y300" i="12"/>
  <c r="U300" i="12"/>
  <c r="Y287" i="12"/>
  <c r="U287" i="12"/>
  <c r="Y296" i="12"/>
  <c r="U296" i="12"/>
  <c r="Y288" i="12"/>
  <c r="U288" i="12"/>
  <c r="Y286" i="12"/>
  <c r="U286" i="12"/>
  <c r="Y301" i="12"/>
  <c r="U301" i="12"/>
  <c r="Y298" i="12"/>
  <c r="U298" i="12"/>
  <c r="Y292" i="12"/>
  <c r="U292" i="12"/>
  <c r="Y290" i="12"/>
  <c r="U290" i="12"/>
  <c r="Y294" i="12"/>
  <c r="U294" i="12"/>
  <c r="Y281" i="12"/>
  <c r="U281" i="12"/>
  <c r="Y282" i="12"/>
  <c r="U282" i="12"/>
  <c r="Y283" i="12"/>
  <c r="U283" i="12"/>
  <c r="Y284" i="12"/>
  <c r="U284" i="12"/>
  <c r="Y285" i="12"/>
  <c r="U285" i="12"/>
  <c r="Y280" i="12"/>
  <c r="U280" i="12"/>
  <c r="Y265" i="12"/>
  <c r="U265" i="12"/>
  <c r="Y263" i="12"/>
  <c r="U263" i="12"/>
  <c r="Y273" i="12"/>
  <c r="U273" i="12"/>
  <c r="Y267" i="12"/>
  <c r="U267" i="12"/>
  <c r="Y269" i="12"/>
  <c r="U269" i="12"/>
  <c r="Y271" i="12"/>
  <c r="U271" i="12"/>
  <c r="Y261" i="12"/>
  <c r="U261" i="12"/>
  <c r="Y259" i="12"/>
  <c r="U259" i="12"/>
  <c r="Y257" i="12"/>
  <c r="U257" i="12"/>
  <c r="Y254" i="12"/>
  <c r="U254" i="12"/>
  <c r="Y255" i="12"/>
  <c r="U255" i="12"/>
  <c r="Y256" i="12"/>
  <c r="U256" i="12"/>
  <c r="Y252" i="12"/>
  <c r="U252" i="12"/>
  <c r="Y253" i="12"/>
  <c r="U253" i="12"/>
  <c r="Y251" i="12"/>
  <c r="U251" i="12"/>
  <c r="Y277" i="12"/>
  <c r="U277" i="12"/>
  <c r="Y279" i="12"/>
  <c r="U279" i="12"/>
  <c r="Y278" i="12"/>
  <c r="U278" i="12"/>
  <c r="Y276" i="12"/>
  <c r="U276" i="12"/>
  <c r="Y275" i="12"/>
  <c r="U275" i="12"/>
  <c r="Y274" i="12"/>
  <c r="U274" i="12"/>
  <c r="Y272" i="12"/>
  <c r="U272" i="12"/>
  <c r="Y270" i="12"/>
  <c r="U270" i="12"/>
  <c r="Y268" i="12"/>
  <c r="U268" i="12"/>
  <c r="Y266" i="12"/>
  <c r="U266" i="12"/>
  <c r="Y264" i="12"/>
  <c r="U264" i="12"/>
  <c r="Y262" i="12"/>
  <c r="U262" i="12"/>
  <c r="Y260" i="12"/>
  <c r="U260" i="12"/>
  <c r="Y258" i="12"/>
  <c r="U258" i="12"/>
  <c r="Y245" i="12"/>
  <c r="U245" i="12"/>
  <c r="Y244" i="12"/>
  <c r="U244" i="12"/>
  <c r="Y249" i="12"/>
  <c r="U249" i="12"/>
  <c r="Y248" i="12"/>
  <c r="U248" i="12"/>
  <c r="Y247" i="12"/>
  <c r="U247" i="12"/>
  <c r="Y246" i="12"/>
  <c r="U246" i="12"/>
  <c r="Y250" i="12"/>
  <c r="U250" i="12"/>
  <c r="Y243" i="12"/>
  <c r="U243" i="12"/>
  <c r="Y241" i="12"/>
  <c r="U241" i="12"/>
  <c r="Y239" i="12"/>
  <c r="U239" i="12"/>
  <c r="Y237" i="12"/>
  <c r="U237" i="12"/>
  <c r="Y235" i="12"/>
  <c r="U235" i="12"/>
  <c r="Y233" i="12"/>
  <c r="U233" i="12"/>
  <c r="Y231" i="12"/>
  <c r="U231" i="12"/>
  <c r="Y229" i="12"/>
  <c r="U229" i="12"/>
  <c r="Y238" i="12"/>
  <c r="U238" i="12"/>
  <c r="Y242" i="12"/>
  <c r="U242" i="12"/>
  <c r="Y230" i="12"/>
  <c r="U230" i="12"/>
  <c r="Y232" i="12"/>
  <c r="U232" i="12"/>
  <c r="Y240" i="12"/>
  <c r="U240" i="12"/>
  <c r="Y234" i="12"/>
  <c r="U234" i="12"/>
  <c r="Y236" i="12"/>
  <c r="U236" i="12"/>
  <c r="Y226" i="12"/>
  <c r="U226" i="12"/>
  <c r="Y227" i="12"/>
  <c r="U227" i="12"/>
  <c r="Y228" i="12"/>
  <c r="U228" i="12"/>
  <c r="Y224" i="12"/>
  <c r="U224" i="12"/>
  <c r="Y225" i="12"/>
  <c r="U225" i="12"/>
  <c r="Y223" i="12"/>
  <c r="U223" i="12"/>
  <c r="Y219" i="12"/>
  <c r="U219" i="12"/>
  <c r="Y220" i="12"/>
  <c r="U220" i="12"/>
  <c r="Y221" i="12"/>
  <c r="U221" i="12"/>
  <c r="Y222" i="12"/>
  <c r="U222" i="12"/>
  <c r="Y218" i="12"/>
  <c r="U218" i="12"/>
  <c r="Y212" i="12"/>
  <c r="U212" i="12"/>
  <c r="Y213" i="12"/>
  <c r="U213" i="12"/>
  <c r="Y214" i="12"/>
  <c r="U214" i="12"/>
  <c r="Y215" i="12"/>
  <c r="U215" i="12"/>
  <c r="Y211" i="12"/>
  <c r="U211" i="12"/>
  <c r="Y216" i="12"/>
  <c r="U216" i="12"/>
  <c r="Y217" i="12"/>
  <c r="U217" i="12"/>
  <c r="Y209" i="12"/>
  <c r="U209" i="12"/>
  <c r="Y210" i="12"/>
  <c r="U210" i="12"/>
  <c r="Y200" i="12"/>
  <c r="U200" i="12"/>
  <c r="Y201" i="12"/>
  <c r="U201" i="12"/>
  <c r="Y202" i="12"/>
  <c r="U202" i="12"/>
  <c r="Y203" i="12"/>
  <c r="U203" i="12"/>
  <c r="Y204" i="12"/>
  <c r="U204" i="12"/>
  <c r="Y205" i="12"/>
  <c r="U205" i="12"/>
  <c r="Y206" i="12"/>
  <c r="U206" i="12"/>
  <c r="Y208" i="12"/>
  <c r="U208" i="12"/>
  <c r="Y207" i="12"/>
  <c r="U207" i="12"/>
  <c r="Y196" i="12"/>
  <c r="U196" i="12"/>
  <c r="Y197" i="12"/>
  <c r="U197" i="12"/>
  <c r="Y198" i="12"/>
  <c r="U198" i="12"/>
  <c r="Y199" i="12"/>
  <c r="U199" i="12"/>
  <c r="Y195" i="12"/>
  <c r="U195" i="12"/>
  <c r="Y194" i="12"/>
  <c r="U194" i="12"/>
  <c r="Y193" i="12"/>
  <c r="U193" i="12"/>
  <c r="Y192" i="12"/>
  <c r="U192" i="12"/>
  <c r="Y191" i="12"/>
  <c r="U191" i="12"/>
  <c r="Y190" i="12"/>
  <c r="U190" i="12"/>
  <c r="Y189" i="12"/>
  <c r="U189" i="12"/>
  <c r="Y188" i="12"/>
  <c r="U188" i="12"/>
  <c r="Y179" i="12"/>
  <c r="U179" i="12"/>
  <c r="Y178" i="12"/>
  <c r="U178" i="12"/>
  <c r="Y177" i="12"/>
  <c r="U177" i="12"/>
  <c r="Y176" i="12"/>
  <c r="U176" i="12"/>
  <c r="Y175" i="12"/>
  <c r="U175" i="12"/>
  <c r="Y187" i="12"/>
  <c r="U187" i="12"/>
  <c r="Y186" i="12"/>
  <c r="U186" i="12"/>
  <c r="Y185" i="12"/>
  <c r="U185" i="12"/>
  <c r="Y184" i="12"/>
  <c r="U184" i="12"/>
  <c r="Y183" i="12"/>
  <c r="U183" i="12"/>
  <c r="Y182" i="12"/>
  <c r="U182" i="12"/>
  <c r="Y181" i="12"/>
  <c r="U181" i="12"/>
  <c r="Y180" i="12"/>
  <c r="U180" i="12"/>
  <c r="Y172" i="12"/>
  <c r="U172" i="12"/>
  <c r="Y173" i="12"/>
  <c r="U173" i="12"/>
  <c r="Y170" i="12"/>
  <c r="U170" i="12"/>
  <c r="Y171" i="12"/>
  <c r="U171" i="12"/>
  <c r="Y169" i="12"/>
  <c r="U169" i="12"/>
  <c r="Y174" i="12"/>
  <c r="U174" i="12"/>
  <c r="Y168" i="12"/>
  <c r="U168" i="12"/>
  <c r="Y167" i="12"/>
  <c r="U167" i="12"/>
  <c r="Y166" i="12"/>
  <c r="U166" i="12"/>
  <c r="Y165" i="12"/>
  <c r="U165" i="12"/>
  <c r="Y164" i="12"/>
  <c r="U164" i="12"/>
  <c r="Y163" i="12"/>
  <c r="U163" i="12"/>
  <c r="Y162" i="12"/>
  <c r="U162" i="12"/>
  <c r="Y161" i="12"/>
  <c r="U161" i="12"/>
  <c r="Y160" i="12"/>
  <c r="U160" i="12"/>
  <c r="Y159" i="12"/>
  <c r="U159" i="12"/>
  <c r="Y158" i="12"/>
  <c r="U158" i="12"/>
  <c r="Y157" i="12"/>
  <c r="U157" i="12"/>
  <c r="Y156" i="12"/>
  <c r="U156" i="12"/>
  <c r="Y155" i="12"/>
  <c r="U155" i="12"/>
  <c r="Y154" i="12"/>
  <c r="U154" i="12"/>
  <c r="Y152" i="12"/>
  <c r="U152" i="12"/>
  <c r="Y150" i="12"/>
  <c r="U150" i="12"/>
  <c r="Y148" i="12"/>
  <c r="U148" i="12"/>
  <c r="Y145" i="12"/>
  <c r="U145" i="12"/>
  <c r="Y142" i="12"/>
  <c r="U142" i="12"/>
  <c r="Y139" i="12"/>
  <c r="U139" i="12"/>
  <c r="Y137" i="12"/>
  <c r="U137" i="12"/>
  <c r="Y132" i="12"/>
  <c r="U132" i="12"/>
  <c r="Y134" i="12"/>
  <c r="U134" i="12"/>
  <c r="Y136" i="12"/>
  <c r="U136" i="12"/>
  <c r="Y138" i="12"/>
  <c r="U138" i="12"/>
  <c r="Y144" i="12"/>
  <c r="U144" i="12"/>
  <c r="Y141" i="12"/>
  <c r="U141" i="12"/>
  <c r="Y146" i="12"/>
  <c r="U146" i="12"/>
  <c r="Y131" i="12"/>
  <c r="U131" i="12"/>
  <c r="Y130" i="12"/>
  <c r="U130" i="12"/>
  <c r="Y140" i="12"/>
  <c r="U140" i="12"/>
  <c r="Y149" i="12"/>
  <c r="U149" i="12"/>
  <c r="Y133" i="12"/>
  <c r="U133" i="12"/>
  <c r="Y135" i="12"/>
  <c r="U135" i="12"/>
  <c r="Y151" i="12"/>
  <c r="U151" i="12"/>
  <c r="Y153" i="12"/>
  <c r="U153" i="12"/>
  <c r="Y143" i="12"/>
  <c r="U143" i="12"/>
  <c r="Y147" i="12"/>
  <c r="U147" i="12"/>
  <c r="Y127" i="12"/>
  <c r="U127" i="12"/>
  <c r="Y125" i="12"/>
  <c r="U125" i="12"/>
  <c r="Y123" i="12"/>
  <c r="U123" i="12"/>
  <c r="Y128" i="12"/>
  <c r="U128" i="12"/>
  <c r="Y129" i="12"/>
  <c r="U129" i="12"/>
  <c r="Y126" i="12"/>
  <c r="U126" i="12"/>
  <c r="Y124" i="12"/>
  <c r="U124" i="12"/>
  <c r="Y120" i="12"/>
  <c r="U120" i="12"/>
  <c r="Y122" i="12"/>
  <c r="U122" i="12"/>
  <c r="Y121" i="12"/>
  <c r="U121" i="12"/>
  <c r="Y119" i="12"/>
  <c r="U119" i="12"/>
  <c r="Y118" i="12"/>
  <c r="U118" i="12"/>
  <c r="Y117" i="12"/>
  <c r="U117" i="12"/>
  <c r="Y116" i="12"/>
  <c r="U116" i="12"/>
  <c r="Y115" i="12"/>
  <c r="U115" i="12"/>
  <c r="Y114" i="12"/>
  <c r="U114" i="12"/>
  <c r="Y113" i="12"/>
  <c r="U113" i="12"/>
  <c r="Y112" i="12"/>
  <c r="U112" i="12"/>
  <c r="Y111" i="12"/>
  <c r="U111" i="12"/>
  <c r="Y110" i="12"/>
  <c r="U110" i="12"/>
  <c r="Y109" i="12"/>
  <c r="U109" i="12"/>
  <c r="Y108" i="12"/>
  <c r="U108" i="12"/>
  <c r="Y107" i="12"/>
  <c r="U107" i="12"/>
  <c r="Y106" i="12"/>
  <c r="U106" i="12"/>
  <c r="Y103" i="12"/>
  <c r="U103" i="12"/>
  <c r="Y101" i="12"/>
  <c r="U101" i="12"/>
  <c r="Y99" i="12"/>
  <c r="U99" i="12"/>
  <c r="Y97" i="12"/>
  <c r="U97" i="12"/>
  <c r="Y96" i="12"/>
  <c r="U96" i="12"/>
  <c r="Y94" i="12"/>
  <c r="U94" i="12"/>
  <c r="Y91" i="12"/>
  <c r="U91" i="12"/>
  <c r="Y98" i="12"/>
  <c r="U98" i="12"/>
  <c r="Y95" i="12"/>
  <c r="U95" i="12"/>
  <c r="Y100" i="12"/>
  <c r="U100" i="12"/>
  <c r="Y102" i="12"/>
  <c r="U102" i="12"/>
  <c r="Y104" i="12"/>
  <c r="U104" i="12"/>
  <c r="Y105" i="12"/>
  <c r="U105" i="12"/>
  <c r="Y93" i="12"/>
  <c r="U93" i="12"/>
  <c r="Y92" i="12"/>
  <c r="U92" i="12"/>
  <c r="Y90" i="12"/>
  <c r="U90" i="12"/>
  <c r="Y86" i="12"/>
  <c r="U86" i="12"/>
  <c r="Y87" i="12"/>
  <c r="U87" i="12"/>
  <c r="Y88" i="12"/>
  <c r="U88" i="12"/>
  <c r="Y89" i="12"/>
  <c r="U89" i="12"/>
  <c r="Y85" i="12"/>
  <c r="U85" i="12"/>
  <c r="Y84" i="12"/>
  <c r="U84" i="12"/>
  <c r="Y83" i="12"/>
  <c r="U83" i="12"/>
  <c r="Y82" i="12"/>
  <c r="U82" i="12"/>
  <c r="Y81" i="12"/>
  <c r="U81" i="12"/>
  <c r="Y80" i="12"/>
  <c r="U80" i="12"/>
  <c r="Y79" i="12"/>
  <c r="U79" i="12"/>
  <c r="Y78" i="12"/>
  <c r="U78" i="12"/>
  <c r="Y77" i="12"/>
  <c r="U77" i="12"/>
  <c r="Y76" i="12"/>
  <c r="U76" i="12"/>
  <c r="Y75" i="12"/>
  <c r="U75" i="12"/>
  <c r="Y74" i="12"/>
  <c r="U74" i="12"/>
  <c r="Y73" i="12"/>
  <c r="U73" i="12"/>
  <c r="Y72" i="12"/>
  <c r="U72" i="12"/>
  <c r="Y71" i="12"/>
  <c r="U71" i="12"/>
  <c r="Y70" i="12"/>
  <c r="U70" i="12"/>
  <c r="Y69" i="12"/>
  <c r="U69" i="12"/>
  <c r="Y68" i="12"/>
  <c r="U68" i="12"/>
  <c r="Y67" i="12"/>
  <c r="U67" i="12"/>
  <c r="Y66" i="12"/>
  <c r="U66" i="12"/>
  <c r="Y63" i="12"/>
  <c r="U63" i="12"/>
  <c r="Y58" i="12"/>
  <c r="U58" i="12"/>
  <c r="Y54" i="12"/>
  <c r="U54" i="12"/>
  <c r="Y51" i="12"/>
  <c r="U51" i="12"/>
  <c r="Y45" i="12"/>
  <c r="U45" i="12"/>
  <c r="Y62" i="12"/>
  <c r="U62" i="12"/>
  <c r="Y55" i="12"/>
  <c r="U55" i="12"/>
  <c r="Y50" i="12"/>
  <c r="U50" i="12"/>
  <c r="Y44" i="12"/>
  <c r="U44" i="12"/>
  <c r="Y61" i="12"/>
  <c r="U61" i="12"/>
  <c r="Y56" i="12"/>
  <c r="U56" i="12"/>
  <c r="Y49" i="12"/>
  <c r="U49" i="12"/>
  <c r="Y43" i="12"/>
  <c r="U43" i="12"/>
  <c r="Y57" i="12"/>
  <c r="U57" i="12"/>
  <c r="Y48" i="12"/>
  <c r="U48" i="12"/>
  <c r="Y42" i="12"/>
  <c r="U42" i="12"/>
  <c r="Y65" i="12"/>
  <c r="U65" i="12"/>
  <c r="Y64" i="12"/>
  <c r="U64" i="12"/>
  <c r="Y59" i="12"/>
  <c r="U59" i="12"/>
  <c r="Y53" i="12"/>
  <c r="U53" i="12"/>
  <c r="Y47" i="12"/>
  <c r="U47" i="12"/>
  <c r="Y41" i="12"/>
  <c r="U41" i="12"/>
  <c r="Y60" i="12"/>
  <c r="U60" i="12"/>
  <c r="Y52" i="12"/>
  <c r="U52" i="12"/>
  <c r="Y46" i="12"/>
  <c r="U46" i="12"/>
  <c r="Y40" i="12"/>
  <c r="U40" i="12"/>
  <c r="Y38" i="12"/>
  <c r="U38" i="12"/>
  <c r="Y36" i="12"/>
  <c r="U36" i="12"/>
  <c r="Y35" i="12"/>
  <c r="U35" i="12"/>
  <c r="Y33" i="12"/>
  <c r="U33" i="12"/>
  <c r="Y29" i="12"/>
  <c r="U29" i="12"/>
  <c r="Y25" i="12"/>
  <c r="U25" i="12"/>
  <c r="Y21" i="12"/>
  <c r="U21" i="12"/>
  <c r="Y39" i="12"/>
  <c r="U39" i="12"/>
  <c r="Y37" i="12"/>
  <c r="U37" i="12"/>
  <c r="Y34" i="12"/>
  <c r="U34" i="12"/>
  <c r="Y32" i="12"/>
  <c r="U32" i="12"/>
  <c r="Y30" i="12"/>
  <c r="U30" i="12"/>
  <c r="Y27" i="12"/>
  <c r="U27" i="12"/>
  <c r="Y23" i="12"/>
  <c r="U23" i="12"/>
  <c r="Y26" i="12"/>
  <c r="U26" i="12"/>
  <c r="Y22" i="12"/>
  <c r="U22" i="12"/>
  <c r="Y31" i="12"/>
  <c r="U31" i="12"/>
  <c r="Y28" i="12"/>
  <c r="U28" i="12"/>
  <c r="Y24" i="12"/>
  <c r="U24" i="12"/>
  <c r="Y20" i="12"/>
  <c r="U20" i="12"/>
  <c r="Y14" i="12"/>
  <c r="U14" i="12"/>
  <c r="Y19" i="12"/>
  <c r="U19" i="12"/>
  <c r="Y18" i="12"/>
  <c r="U18" i="12"/>
  <c r="Y17" i="12"/>
  <c r="U17" i="12"/>
  <c r="Y16" i="12"/>
  <c r="U16" i="12"/>
  <c r="Y15" i="12"/>
  <c r="U15" i="12"/>
  <c r="Y13" i="12"/>
  <c r="U13" i="12"/>
  <c r="Y12" i="12"/>
  <c r="U12" i="12"/>
  <c r="Y11" i="12"/>
  <c r="U11" i="12"/>
  <c r="Y7" i="12"/>
  <c r="U7" i="12"/>
  <c r="Y6" i="12"/>
  <c r="U6" i="12"/>
  <c r="Y4" i="12"/>
  <c r="U4" i="12"/>
  <c r="Y3" i="12"/>
  <c r="U3" i="12"/>
  <c r="Y2" i="12"/>
  <c r="U2" i="12"/>
  <c r="Y9" i="12"/>
  <c r="U9" i="12"/>
  <c r="Y5" i="12"/>
  <c r="U5" i="12"/>
  <c r="Y10" i="12"/>
  <c r="U10" i="12"/>
  <c r="Y8" i="12"/>
  <c r="U8" i="12"/>
  <c r="X11" i="11"/>
  <c r="T11" i="11"/>
  <c r="X10" i="11"/>
  <c r="T10" i="11"/>
  <c r="X9" i="11"/>
  <c r="T9" i="11"/>
  <c r="X8" i="11"/>
  <c r="T8" i="11"/>
  <c r="X7" i="11"/>
  <c r="T7" i="11"/>
  <c r="X6" i="11"/>
  <c r="T6" i="11"/>
  <c r="X5" i="11"/>
  <c r="T5" i="11"/>
  <c r="X4" i="11"/>
  <c r="X2" i="11"/>
  <c r="T2" i="11"/>
  <c r="X3" i="11"/>
  <c r="T3" i="11"/>
  <c r="X2" i="10"/>
  <c r="T210" i="17"/>
  <c r="T201" i="17"/>
  <c r="T200" i="17"/>
  <c r="T198" i="17"/>
  <c r="T196" i="17"/>
  <c r="T199" i="17"/>
  <c r="T197" i="17"/>
  <c r="T195" i="17"/>
  <c r="T194" i="17"/>
  <c r="T193" i="17"/>
  <c r="T192" i="17"/>
  <c r="Y118" i="17"/>
  <c r="Y116" i="17"/>
  <c r="Y115" i="17"/>
  <c r="Y110" i="17"/>
  <c r="Y109" i="17"/>
  <c r="Y107" i="17"/>
  <c r="Y108" i="17"/>
  <c r="Y112" i="17"/>
  <c r="Y111" i="17"/>
  <c r="Y106" i="17"/>
  <c r="Y105" i="17"/>
  <c r="Y104" i="17"/>
  <c r="Y102" i="17"/>
  <c r="Y100" i="17"/>
  <c r="Y103" i="17"/>
  <c r="Y101" i="17"/>
  <c r="Y99" i="17"/>
  <c r="Y96" i="17"/>
  <c r="Y98" i="17"/>
  <c r="Y97" i="17"/>
  <c r="Y95" i="17"/>
  <c r="Y94" i="17"/>
  <c r="Y93" i="17"/>
  <c r="Y92" i="17"/>
  <c r="Y91" i="17"/>
  <c r="Y90" i="17"/>
  <c r="Y89" i="17"/>
  <c r="T89" i="17"/>
  <c r="Y86" i="17"/>
  <c r="T86" i="17"/>
  <c r="Y88" i="17"/>
  <c r="Y87" i="17"/>
  <c r="Y85" i="17"/>
  <c r="Y84" i="17"/>
  <c r="T84" i="17"/>
  <c r="Y83" i="17"/>
  <c r="T83" i="17"/>
  <c r="Y82" i="17"/>
  <c r="T82" i="17"/>
  <c r="Y77" i="17"/>
  <c r="Y81" i="17"/>
  <c r="Y75" i="17"/>
  <c r="T75" i="17"/>
  <c r="Y80" i="17"/>
  <c r="Y78" i="17"/>
  <c r="Y76" i="17"/>
  <c r="Y79" i="17"/>
  <c r="T79" i="17"/>
  <c r="Y74" i="17"/>
  <c r="T74" i="17"/>
  <c r="Y73" i="17"/>
  <c r="T73" i="17"/>
  <c r="Y72" i="17"/>
  <c r="T72" i="17"/>
  <c r="Y71" i="17"/>
  <c r="T71" i="17"/>
  <c r="Y67" i="17"/>
  <c r="T67" i="17"/>
  <c r="Y68" i="17"/>
  <c r="T68" i="17"/>
  <c r="Y70" i="17"/>
  <c r="T70" i="17"/>
  <c r="Y69" i="17"/>
  <c r="T69" i="17"/>
  <c r="Y66" i="17"/>
  <c r="T66" i="17"/>
  <c r="Y65" i="17"/>
  <c r="T65" i="17"/>
  <c r="Y61" i="17"/>
  <c r="T61" i="17"/>
  <c r="Y62" i="17"/>
  <c r="T62" i="17"/>
  <c r="Y63" i="17"/>
  <c r="T63" i="17"/>
  <c r="Y64" i="17"/>
  <c r="T64" i="17"/>
  <c r="Y60" i="17"/>
  <c r="T60" i="17"/>
  <c r="Y59" i="17"/>
  <c r="T59" i="17"/>
  <c r="Y58" i="17"/>
  <c r="Y57" i="17"/>
  <c r="Y56" i="17"/>
  <c r="Y55" i="17"/>
  <c r="T55" i="17"/>
  <c r="Y54" i="17"/>
  <c r="T54" i="17"/>
  <c r="Y50" i="17"/>
  <c r="T50" i="17"/>
  <c r="Y52" i="17"/>
  <c r="T52" i="17"/>
  <c r="Y53" i="17"/>
  <c r="T53" i="17"/>
  <c r="Y51" i="17"/>
  <c r="T51" i="17"/>
  <c r="Y47" i="17"/>
  <c r="T47" i="17"/>
  <c r="Y48" i="17"/>
  <c r="T48" i="17"/>
  <c r="Y49" i="17"/>
  <c r="T49" i="17"/>
  <c r="Y46" i="17"/>
  <c r="T46" i="17"/>
  <c r="Y45" i="17"/>
  <c r="T45" i="17"/>
  <c r="Y44" i="17"/>
  <c r="T44" i="17"/>
  <c r="Y43" i="17"/>
  <c r="T43" i="17"/>
  <c r="Y40" i="17"/>
  <c r="T40" i="17"/>
  <c r="Y42" i="17"/>
  <c r="T42" i="17"/>
  <c r="Y35" i="17"/>
  <c r="T35" i="17"/>
  <c r="Y36" i="17"/>
  <c r="T36" i="17"/>
  <c r="Y38" i="17"/>
  <c r="T38" i="17"/>
  <c r="Y41" i="17"/>
  <c r="T41" i="17"/>
  <c r="Y39" i="17"/>
  <c r="Y37" i="17"/>
  <c r="Y34" i="17"/>
  <c r="Y33" i="17"/>
  <c r="T33" i="17"/>
  <c r="Y32" i="17"/>
  <c r="T32" i="17"/>
  <c r="Y31" i="17"/>
  <c r="T31" i="17"/>
  <c r="Y29" i="17"/>
  <c r="T29" i="17"/>
  <c r="Y30" i="17"/>
  <c r="T30" i="17"/>
  <c r="Y27" i="17"/>
  <c r="T27" i="17"/>
  <c r="Y28" i="17"/>
  <c r="T28" i="17"/>
  <c r="Y25" i="17"/>
  <c r="T25" i="17"/>
  <c r="Y22" i="17"/>
  <c r="T22" i="17"/>
  <c r="Y21" i="17"/>
  <c r="T21" i="17"/>
  <c r="Y24" i="17"/>
  <c r="T24" i="17"/>
  <c r="Y20" i="17"/>
  <c r="T20" i="17"/>
  <c r="Y26" i="17"/>
  <c r="Y23" i="17"/>
  <c r="Y19" i="17"/>
  <c r="Y18" i="17"/>
  <c r="T18" i="17"/>
  <c r="Y17" i="17"/>
  <c r="T17" i="17"/>
  <c r="Y16" i="17"/>
  <c r="T16" i="17"/>
  <c r="Y14" i="17"/>
  <c r="T14" i="17"/>
  <c r="Y15" i="17"/>
  <c r="T15" i="17"/>
  <c r="Y9" i="17"/>
  <c r="Y8" i="17"/>
  <c r="Y11" i="17"/>
  <c r="Y10" i="17"/>
  <c r="Y7" i="17"/>
  <c r="Y13" i="17"/>
  <c r="Y12" i="17"/>
  <c r="Y6" i="17"/>
  <c r="Y4" i="17"/>
  <c r="Y2" i="17"/>
  <c r="Y3" i="17"/>
  <c r="Y5" i="17"/>
  <c r="X303" i="20" l="1"/>
  <c r="X302" i="20"/>
  <c r="X301" i="20"/>
  <c r="X300" i="20"/>
  <c r="X299" i="20"/>
  <c r="X298" i="20"/>
  <c r="X297" i="20"/>
  <c r="X296" i="20"/>
  <c r="X295" i="20"/>
  <c r="X294" i="20"/>
  <c r="X293" i="20"/>
  <c r="X292" i="20"/>
  <c r="X291" i="20"/>
  <c r="X290" i="20"/>
  <c r="X289" i="20"/>
  <c r="X288" i="20"/>
  <c r="X287" i="20"/>
  <c r="X286" i="20"/>
  <c r="X285" i="20"/>
  <c r="X284" i="20"/>
  <c r="X283" i="20"/>
  <c r="X282" i="20"/>
  <c r="X281" i="20"/>
  <c r="X280" i="20"/>
  <c r="X279" i="20"/>
  <c r="X278" i="20"/>
  <c r="X277" i="20"/>
  <c r="X276" i="20"/>
  <c r="X275" i="20"/>
  <c r="X274" i="20"/>
  <c r="X273" i="20"/>
  <c r="X272" i="20"/>
  <c r="X271" i="20"/>
  <c r="X270" i="20"/>
  <c r="X269" i="20"/>
  <c r="X268" i="20"/>
  <c r="X267" i="20"/>
  <c r="X266" i="20"/>
  <c r="X265" i="20"/>
  <c r="X264" i="20"/>
  <c r="X263" i="20"/>
  <c r="X262" i="20"/>
  <c r="X261" i="20"/>
  <c r="X260" i="20"/>
  <c r="X259" i="20"/>
  <c r="X258" i="20"/>
  <c r="X257" i="20"/>
  <c r="X256" i="20"/>
  <c r="X255" i="20"/>
  <c r="X254" i="20"/>
  <c r="X253" i="20"/>
  <c r="X252" i="20"/>
  <c r="X251" i="20"/>
  <c r="X250" i="20"/>
  <c r="X249" i="20"/>
  <c r="X248" i="20"/>
  <c r="X247" i="20"/>
  <c r="X246" i="20"/>
  <c r="X245" i="20"/>
  <c r="X244" i="20"/>
  <c r="X243" i="20"/>
  <c r="X242" i="20"/>
  <c r="X241" i="20"/>
  <c r="X240" i="20"/>
  <c r="X239" i="20"/>
  <c r="X238" i="20"/>
  <c r="X237" i="20"/>
  <c r="X236" i="20"/>
  <c r="X235" i="20"/>
  <c r="X234" i="20"/>
  <c r="X233" i="20"/>
  <c r="X232" i="20"/>
  <c r="X231" i="20"/>
  <c r="X230" i="20"/>
  <c r="X229" i="20"/>
  <c r="X228" i="20"/>
  <c r="X227" i="20"/>
  <c r="X226" i="20"/>
  <c r="X225" i="20"/>
  <c r="X224" i="20"/>
  <c r="X223" i="20"/>
  <c r="X222" i="20"/>
  <c r="X221" i="20"/>
  <c r="X220" i="20"/>
  <c r="X219" i="20"/>
  <c r="X218" i="20"/>
  <c r="X217" i="20"/>
  <c r="X216" i="20"/>
  <c r="X215" i="20"/>
  <c r="X214" i="20"/>
  <c r="X213" i="20"/>
  <c r="X212" i="20"/>
  <c r="X211" i="20"/>
  <c r="X210" i="20"/>
  <c r="X209" i="20"/>
  <c r="X208" i="20"/>
  <c r="X207" i="20"/>
  <c r="X206" i="20"/>
  <c r="X205" i="20"/>
  <c r="X204" i="20"/>
  <c r="X203" i="20"/>
  <c r="X202" i="20"/>
  <c r="X201" i="20"/>
  <c r="X200" i="20"/>
  <c r="X199" i="20"/>
  <c r="X198" i="20"/>
  <c r="X197" i="20"/>
  <c r="X196" i="20"/>
  <c r="X195" i="20"/>
  <c r="X194" i="20"/>
  <c r="X193" i="20"/>
  <c r="X192" i="20"/>
  <c r="X191" i="20"/>
  <c r="X190" i="20"/>
  <c r="X189" i="20"/>
  <c r="X188" i="20"/>
  <c r="X187" i="20"/>
  <c r="X186" i="20"/>
  <c r="X185" i="20"/>
  <c r="X184" i="20"/>
  <c r="X183" i="20"/>
  <c r="X182" i="20"/>
  <c r="X181" i="20"/>
  <c r="X180" i="20"/>
  <c r="X179" i="20"/>
  <c r="X178" i="20"/>
  <c r="X177" i="20"/>
  <c r="X176" i="20"/>
  <c r="X175" i="20"/>
  <c r="X174" i="20"/>
  <c r="X173" i="20"/>
  <c r="X172" i="20"/>
  <c r="X171" i="20"/>
  <c r="X170" i="20"/>
  <c r="X169" i="20"/>
  <c r="X168" i="20"/>
  <c r="X167" i="20"/>
  <c r="X166" i="20"/>
  <c r="X165" i="20"/>
  <c r="X164" i="20"/>
  <c r="X163" i="20"/>
  <c r="X162" i="20"/>
  <c r="X161" i="20"/>
  <c r="X160" i="20"/>
  <c r="X159" i="20"/>
  <c r="X158" i="20"/>
  <c r="X157" i="20"/>
  <c r="X156" i="20"/>
  <c r="X155" i="20"/>
  <c r="X154" i="20"/>
  <c r="X153" i="20"/>
  <c r="X152" i="20"/>
  <c r="X151" i="20"/>
  <c r="X150" i="20"/>
  <c r="X149" i="20"/>
  <c r="X148" i="20"/>
  <c r="X147" i="20"/>
  <c r="X146" i="20"/>
  <c r="X145" i="20"/>
  <c r="X144" i="20"/>
  <c r="X143" i="20"/>
  <c r="X142" i="20"/>
  <c r="X141" i="20"/>
  <c r="X140" i="20"/>
  <c r="X139" i="20"/>
  <c r="X138" i="20"/>
  <c r="X137" i="20"/>
  <c r="X136" i="20"/>
  <c r="X135" i="20"/>
  <c r="X134" i="20"/>
  <c r="X133" i="20"/>
  <c r="X132" i="20"/>
  <c r="X131" i="20"/>
  <c r="X130" i="20"/>
  <c r="X129" i="20"/>
  <c r="X128" i="20"/>
  <c r="X127" i="20"/>
  <c r="X126" i="20"/>
  <c r="X125" i="20"/>
  <c r="X124" i="20"/>
  <c r="X123" i="20"/>
  <c r="X122" i="20"/>
  <c r="X121" i="20"/>
  <c r="X120" i="20"/>
  <c r="X119" i="20"/>
  <c r="X118" i="20"/>
  <c r="X117" i="20"/>
  <c r="X116" i="20"/>
  <c r="X115" i="20"/>
  <c r="X114" i="20"/>
  <c r="X113" i="20"/>
  <c r="X112" i="20"/>
  <c r="X111" i="20"/>
  <c r="X110" i="20"/>
  <c r="X109" i="20"/>
  <c r="X108" i="20"/>
  <c r="X107" i="20"/>
  <c r="X106" i="20"/>
  <c r="X105" i="20"/>
  <c r="X104" i="20"/>
  <c r="X103" i="20"/>
  <c r="X102" i="20"/>
  <c r="X101" i="20"/>
  <c r="X100" i="20"/>
  <c r="X99" i="20"/>
  <c r="X98" i="20"/>
  <c r="X97" i="20"/>
  <c r="X96" i="20"/>
  <c r="X95" i="20"/>
  <c r="X94" i="20"/>
  <c r="X93" i="20"/>
  <c r="X92" i="20"/>
  <c r="X91" i="20"/>
  <c r="X90" i="20"/>
  <c r="X89" i="20"/>
  <c r="X88" i="20"/>
  <c r="X87" i="20"/>
  <c r="X86" i="20"/>
  <c r="X85" i="20"/>
  <c r="X84" i="20"/>
  <c r="X83" i="20"/>
  <c r="X82" i="20"/>
  <c r="X81" i="20"/>
  <c r="X80" i="20"/>
  <c r="X79" i="20"/>
  <c r="X78" i="20"/>
  <c r="X77" i="20"/>
  <c r="X76" i="20"/>
  <c r="X75" i="20"/>
  <c r="X74" i="20"/>
  <c r="X73" i="20"/>
  <c r="X72" i="20"/>
  <c r="X71" i="20"/>
  <c r="X70" i="20"/>
  <c r="X69" i="20"/>
  <c r="X68" i="20"/>
  <c r="X67" i="20"/>
  <c r="X66" i="20"/>
  <c r="X65" i="20"/>
  <c r="X64" i="20"/>
  <c r="X63" i="20"/>
  <c r="X62" i="20"/>
  <c r="X61" i="20"/>
  <c r="X60" i="20"/>
  <c r="X59" i="20"/>
  <c r="X58" i="20"/>
  <c r="X57" i="20"/>
  <c r="X56" i="20"/>
  <c r="X55" i="20"/>
  <c r="X54" i="20"/>
  <c r="X53" i="20"/>
  <c r="X52" i="20"/>
  <c r="X51" i="20"/>
  <c r="X50" i="20"/>
  <c r="X49" i="20"/>
  <c r="X48" i="20"/>
  <c r="X47" i="20"/>
  <c r="X46" i="20"/>
  <c r="X45" i="20"/>
  <c r="X44" i="20"/>
  <c r="X43" i="20"/>
  <c r="X42" i="20"/>
  <c r="X41" i="20"/>
  <c r="X40" i="20"/>
  <c r="X39" i="20"/>
  <c r="X38" i="20"/>
  <c r="X37" i="20"/>
  <c r="X36" i="20"/>
  <c r="X35" i="20"/>
  <c r="X34" i="20"/>
  <c r="X33" i="20"/>
  <c r="X32" i="20"/>
  <c r="X31" i="20"/>
  <c r="X30" i="20"/>
  <c r="X29" i="20"/>
  <c r="X28" i="20"/>
  <c r="X27" i="20"/>
  <c r="X26" i="20"/>
  <c r="X25" i="20"/>
  <c r="X24" i="20"/>
  <c r="X23" i="20"/>
  <c r="X22" i="20"/>
  <c r="X21" i="20"/>
  <c r="X20" i="20"/>
  <c r="X19" i="20"/>
  <c r="X18" i="20"/>
  <c r="X17" i="20"/>
  <c r="X16" i="20"/>
  <c r="X15" i="20"/>
  <c r="X14" i="20"/>
  <c r="X13" i="20"/>
  <c r="X12" i="20"/>
  <c r="X11" i="20"/>
  <c r="X10" i="20"/>
  <c r="X9" i="20"/>
  <c r="X8" i="20"/>
  <c r="X7" i="20"/>
  <c r="X6" i="20"/>
  <c r="X5" i="20"/>
  <c r="X4" i="20"/>
  <c r="X3" i="20"/>
  <c r="X2" i="20"/>
  <c r="X300" i="1" l="1"/>
  <c r="X301" i="1"/>
  <c r="X307" i="1"/>
  <c r="X315" i="1"/>
  <c r="X327" i="1"/>
  <c r="X338" i="1"/>
  <c r="X339" i="1"/>
  <c r="X352" i="1"/>
  <c r="X355" i="1"/>
  <c r="X385" i="1"/>
  <c r="X391" i="1"/>
  <c r="X404" i="1"/>
  <c r="X427" i="1"/>
  <c r="X429" i="1"/>
  <c r="X446" i="1"/>
  <c r="X448" i="1"/>
  <c r="X470" i="1"/>
  <c r="X477" i="1"/>
  <c r="X483" i="1"/>
  <c r="X484" i="1"/>
  <c r="X494" i="1"/>
  <c r="X495" i="1"/>
  <c r="X496" i="1"/>
  <c r="X504" i="1"/>
  <c r="X505" i="1"/>
  <c r="X512" i="1"/>
  <c r="X513" i="1"/>
  <c r="X514" i="1"/>
  <c r="X515" i="1"/>
  <c r="X516" i="1"/>
  <c r="X520" i="1"/>
  <c r="X521" i="1"/>
  <c r="X522" i="1"/>
  <c r="X523" i="1"/>
  <c r="X537" i="1"/>
  <c r="X544" i="1"/>
  <c r="X546" i="1"/>
  <c r="X555" i="1"/>
  <c r="X556" i="1"/>
  <c r="X560" i="1"/>
  <c r="X561" i="1"/>
  <c r="X562" i="1"/>
  <c r="X568" i="1"/>
  <c r="X578" i="1"/>
  <c r="X579" i="1"/>
  <c r="X590" i="1"/>
  <c r="X594" i="1"/>
  <c r="X595" i="1"/>
  <c r="X607" i="1"/>
  <c r="X615" i="1"/>
  <c r="X616" i="1"/>
  <c r="X617" i="1"/>
  <c r="X618" i="1"/>
  <c r="X625" i="1"/>
  <c r="X626" i="1"/>
  <c r="X639" i="1"/>
  <c r="X642" i="1"/>
  <c r="X654" i="1"/>
  <c r="X670" i="1"/>
  <c r="X671" i="1"/>
  <c r="X677" i="1"/>
  <c r="X678" i="1"/>
  <c r="X689" i="1"/>
  <c r="X698" i="1"/>
  <c r="X706" i="1"/>
  <c r="X707" i="1"/>
  <c r="X708" i="1"/>
  <c r="X719" i="1"/>
  <c r="X724" i="1"/>
  <c r="X726" i="1"/>
  <c r="X749" i="1"/>
  <c r="X760" i="1"/>
  <c r="X762" i="1"/>
  <c r="X764" i="1"/>
  <c r="X767" i="1"/>
  <c r="X768" i="1"/>
  <c r="X770" i="1"/>
  <c r="X793" i="1"/>
  <c r="X794" i="1"/>
  <c r="X810" i="1"/>
  <c r="X811" i="1"/>
  <c r="X824" i="1"/>
  <c r="X827" i="1"/>
  <c r="X834" i="1"/>
  <c r="X835" i="1"/>
  <c r="X858" i="1"/>
  <c r="X859" i="1"/>
  <c r="X871" i="1"/>
  <c r="X872" i="1"/>
  <c r="X876" i="1"/>
  <c r="X879" i="1"/>
  <c r="X880" i="1"/>
  <c r="X881" i="1"/>
  <c r="X882" i="1"/>
  <c r="X888" i="1"/>
  <c r="X889" i="1"/>
  <c r="X890" i="1"/>
  <c r="X892" i="1"/>
  <c r="X896" i="1"/>
  <c r="X911" i="1"/>
  <c r="X912" i="1"/>
  <c r="X913" i="1"/>
  <c r="X925" i="1"/>
  <c r="X927" i="1"/>
  <c r="X929" i="1"/>
  <c r="X930" i="1"/>
  <c r="X936" i="1"/>
  <c r="X937" i="1"/>
  <c r="X947" i="1"/>
  <c r="X951" i="1"/>
  <c r="X952" i="1"/>
  <c r="X967" i="1"/>
  <c r="X968" i="1"/>
  <c r="X989" i="1"/>
  <c r="X995" i="1"/>
  <c r="X999" i="1"/>
  <c r="X1007" i="1"/>
  <c r="X1010" i="1"/>
  <c r="X1029" i="1"/>
  <c r="X1033" i="1"/>
  <c r="X1034" i="1"/>
  <c r="X1050" i="1"/>
  <c r="X1074" i="1"/>
  <c r="X1089" i="1"/>
  <c r="X1093" i="1"/>
  <c r="X1115" i="1"/>
  <c r="X1118" i="1"/>
  <c r="X1122" i="1"/>
  <c r="X1124" i="1"/>
  <c r="X1125" i="1"/>
  <c r="X1126" i="1"/>
  <c r="X1127" i="1"/>
  <c r="X1134" i="1"/>
  <c r="X1135" i="1"/>
  <c r="X1139" i="1"/>
  <c r="X1141" i="1"/>
  <c r="X1149" i="1"/>
  <c r="X1181" i="1"/>
  <c r="X1186" i="1"/>
  <c r="X1187" i="1"/>
  <c r="X1194" i="1"/>
  <c r="X1196" i="1"/>
  <c r="X1220" i="1"/>
  <c r="X1224" i="1"/>
  <c r="X1242" i="1"/>
  <c r="X1265" i="1"/>
  <c r="X1268" i="1"/>
  <c r="X1272" i="1"/>
  <c r="X1276" i="1"/>
  <c r="X1278" i="1"/>
  <c r="X1279" i="1"/>
  <c r="X1280" i="1"/>
  <c r="X1282" i="1"/>
  <c r="X1301" i="1"/>
  <c r="X1307" i="1"/>
  <c r="X1316" i="1"/>
  <c r="X1354" i="1"/>
  <c r="X1363" i="1"/>
  <c r="X1390" i="1"/>
  <c r="X1414" i="1"/>
  <c r="X1415" i="1"/>
  <c r="X1437" i="1"/>
  <c r="X1441" i="1"/>
  <c r="X1442" i="1"/>
  <c r="X1451" i="1"/>
  <c r="X1497" i="1"/>
  <c r="X1502" i="1"/>
  <c r="X1510" i="1"/>
  <c r="X1514" i="1"/>
  <c r="X1515" i="1"/>
  <c r="X1516" i="1"/>
  <c r="X1520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1" i="1"/>
  <c r="X1552" i="1"/>
  <c r="X1553" i="1"/>
  <c r="X1554" i="1"/>
  <c r="X1555" i="1"/>
  <c r="X1556" i="1"/>
  <c r="X1610" i="1"/>
  <c r="X1611" i="1"/>
  <c r="X1615" i="1"/>
  <c r="X1616" i="1"/>
  <c r="X1620" i="1"/>
  <c r="X1622" i="1"/>
  <c r="X1666" i="1"/>
  <c r="X1667" i="1"/>
  <c r="X1668" i="1"/>
  <c r="X1669" i="1"/>
  <c r="X1670" i="1"/>
  <c r="X1687" i="1"/>
  <c r="X1688" i="1"/>
  <c r="X1691" i="1"/>
  <c r="X1704" i="1"/>
  <c r="X1705" i="1"/>
  <c r="X1706" i="1"/>
  <c r="X1721" i="1"/>
  <c r="X1722" i="1"/>
  <c r="X1726" i="1"/>
  <c r="X1727" i="1"/>
  <c r="X1728" i="1"/>
  <c r="X1755" i="1"/>
  <c r="X1757" i="1"/>
  <c r="X1819" i="1"/>
  <c r="X1826" i="1"/>
  <c r="X1827" i="1"/>
  <c r="X1828" i="1"/>
  <c r="X1834" i="1"/>
  <c r="X1836" i="1"/>
  <c r="X1837" i="1"/>
  <c r="X1839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6" i="1"/>
  <c r="X1897" i="1"/>
  <c r="X1898" i="1"/>
  <c r="X1899" i="1"/>
  <c r="X1900" i="1"/>
  <c r="X1902" i="1"/>
  <c r="X1905" i="1"/>
  <c r="X1914" i="1"/>
  <c r="X1931" i="1"/>
  <c r="X1934" i="1"/>
  <c r="X1936" i="1"/>
  <c r="X1947" i="1"/>
  <c r="X1948" i="1"/>
  <c r="X1950" i="1"/>
  <c r="X1954" i="1"/>
  <c r="X1969" i="1"/>
  <c r="X1971" i="1"/>
  <c r="X1973" i="1"/>
  <c r="X1986" i="1"/>
  <c r="X1987" i="1"/>
  <c r="X1988" i="1"/>
  <c r="X2009" i="1"/>
  <c r="X2019" i="1"/>
  <c r="X2032" i="1"/>
  <c r="X2038" i="1"/>
  <c r="X2040" i="1"/>
  <c r="X2043" i="1"/>
  <c r="X2062" i="1"/>
  <c r="X2063" i="1"/>
  <c r="X2064" i="1"/>
  <c r="X2065" i="1"/>
  <c r="X2070" i="1"/>
  <c r="X2071" i="1"/>
  <c r="X2075" i="1"/>
  <c r="X2076" i="1"/>
  <c r="X2077" i="1"/>
  <c r="X2078" i="1"/>
  <c r="X2079" i="1"/>
  <c r="X2080" i="1"/>
  <c r="X2081" i="1"/>
  <c r="X123" i="16" l="1"/>
  <c r="X122" i="16"/>
  <c r="T122" i="16"/>
  <c r="X118" i="16"/>
  <c r="T118" i="16"/>
  <c r="X119" i="16"/>
  <c r="T119" i="16"/>
  <c r="X114" i="16"/>
  <c r="T114" i="16"/>
  <c r="X121" i="16"/>
  <c r="T121" i="16"/>
  <c r="X120" i="16"/>
  <c r="T120" i="16"/>
  <c r="X116" i="16"/>
  <c r="T116" i="16"/>
  <c r="X115" i="16"/>
  <c r="T115" i="16"/>
  <c r="X117" i="16"/>
  <c r="T117" i="16"/>
  <c r="X113" i="16"/>
  <c r="X109" i="16"/>
  <c r="T109" i="16"/>
  <c r="X105" i="16"/>
  <c r="T105" i="16"/>
  <c r="X104" i="16"/>
  <c r="T104" i="16"/>
  <c r="X111" i="16"/>
  <c r="T111" i="16"/>
  <c r="X112" i="16"/>
  <c r="T112" i="16"/>
  <c r="X108" i="16"/>
  <c r="T108" i="16"/>
  <c r="X107" i="16"/>
  <c r="T107" i="16"/>
  <c r="X110" i="16"/>
  <c r="T110" i="16"/>
  <c r="X106" i="16"/>
  <c r="T106" i="16"/>
  <c r="X103" i="16"/>
  <c r="T103" i="16"/>
  <c r="X102" i="16"/>
  <c r="T102" i="16"/>
  <c r="X101" i="16"/>
  <c r="T101" i="16"/>
  <c r="X100" i="16"/>
  <c r="T100" i="16"/>
  <c r="X99" i="16"/>
  <c r="T99" i="16"/>
  <c r="X98" i="16"/>
  <c r="T98" i="16"/>
  <c r="X93" i="16"/>
  <c r="T93" i="16"/>
  <c r="X97" i="16"/>
  <c r="T97" i="16"/>
  <c r="X94" i="16"/>
  <c r="T94" i="16"/>
  <c r="X96" i="16"/>
  <c r="T96" i="16"/>
  <c r="X95" i="16"/>
  <c r="T95" i="16"/>
  <c r="X92" i="16"/>
  <c r="T92" i="16"/>
  <c r="X91" i="16"/>
  <c r="T91" i="16"/>
  <c r="X89" i="16"/>
  <c r="T89" i="16"/>
  <c r="X85" i="16"/>
  <c r="T85" i="16"/>
  <c r="X88" i="16"/>
  <c r="T88" i="16"/>
  <c r="X84" i="16"/>
  <c r="T84" i="16"/>
  <c r="X87" i="16"/>
  <c r="T87" i="16"/>
  <c r="X83" i="16"/>
  <c r="T83" i="16"/>
  <c r="X86" i="16"/>
  <c r="T86" i="16"/>
  <c r="X90" i="16"/>
  <c r="T90" i="16"/>
  <c r="X82" i="16"/>
  <c r="T82" i="16"/>
  <c r="X81" i="16"/>
  <c r="T81" i="16"/>
  <c r="X80" i="16"/>
  <c r="T80" i="16"/>
  <c r="X79" i="16"/>
  <c r="T79" i="16"/>
  <c r="X78" i="16"/>
  <c r="X77" i="16"/>
  <c r="T77" i="16"/>
  <c r="X72" i="16"/>
  <c r="T72" i="16"/>
  <c r="X74" i="16"/>
  <c r="T74" i="16"/>
  <c r="X69" i="16"/>
  <c r="T69" i="16"/>
  <c r="X68" i="16"/>
  <c r="T68" i="16"/>
  <c r="X75" i="16"/>
  <c r="T75" i="16"/>
  <c r="X76" i="16"/>
  <c r="T76" i="16"/>
  <c r="X73" i="16"/>
  <c r="T73" i="16"/>
  <c r="X70" i="16"/>
  <c r="T70" i="16"/>
  <c r="X71" i="16"/>
  <c r="T71" i="16"/>
  <c r="X67" i="16"/>
  <c r="X66" i="16"/>
  <c r="X62" i="16"/>
  <c r="T62" i="16"/>
  <c r="X65" i="16"/>
  <c r="T65" i="16"/>
  <c r="X60" i="16"/>
  <c r="T60" i="16"/>
  <c r="X61" i="16"/>
  <c r="T61" i="16"/>
  <c r="X58" i="16"/>
  <c r="T58" i="16"/>
  <c r="X57" i="16"/>
  <c r="T57" i="16"/>
  <c r="X59" i="16"/>
  <c r="T59" i="16"/>
  <c r="X63" i="16"/>
  <c r="T63" i="16"/>
  <c r="X64" i="16"/>
  <c r="T64" i="16"/>
  <c r="X56" i="16"/>
  <c r="T56" i="16"/>
  <c r="X55" i="16"/>
  <c r="X49" i="16"/>
  <c r="T49" i="16"/>
  <c r="X51" i="16"/>
  <c r="T51" i="16"/>
  <c r="X53" i="16"/>
  <c r="T53" i="16"/>
  <c r="X50" i="16"/>
  <c r="T50" i="16"/>
  <c r="X54" i="16"/>
  <c r="T54" i="16"/>
  <c r="X52" i="16"/>
  <c r="T52" i="16"/>
  <c r="X48" i="16"/>
  <c r="X47" i="16"/>
  <c r="T47" i="16"/>
  <c r="X46" i="16"/>
  <c r="T46" i="16"/>
  <c r="X45" i="16"/>
  <c r="T45" i="16"/>
  <c r="X44" i="16"/>
  <c r="T44" i="16"/>
  <c r="X43" i="16"/>
  <c r="X39" i="16"/>
  <c r="T39" i="16"/>
  <c r="X38" i="16"/>
  <c r="T38" i="16"/>
  <c r="X41" i="16"/>
  <c r="T41" i="16"/>
  <c r="X37" i="16"/>
  <c r="T37" i="16"/>
  <c r="X42" i="16"/>
  <c r="T42" i="16"/>
  <c r="X40" i="16"/>
  <c r="T40" i="16"/>
  <c r="X36" i="16"/>
  <c r="T36" i="16"/>
  <c r="X32" i="16"/>
  <c r="T32" i="16"/>
  <c r="X30" i="16"/>
  <c r="T30" i="16"/>
  <c r="X33" i="16"/>
  <c r="T33" i="16"/>
  <c r="X35" i="16"/>
  <c r="T35" i="16"/>
  <c r="X34" i="16"/>
  <c r="T34" i="16"/>
  <c r="X31" i="16"/>
  <c r="T31" i="16"/>
  <c r="X29" i="16"/>
  <c r="T29" i="16"/>
  <c r="X21" i="16"/>
  <c r="T21" i="16"/>
  <c r="X22" i="16"/>
  <c r="T22" i="16"/>
  <c r="X28" i="16"/>
  <c r="T28" i="16"/>
  <c r="X27" i="16"/>
  <c r="T27" i="16"/>
  <c r="X24" i="16"/>
  <c r="T24" i="16"/>
  <c r="X20" i="16"/>
  <c r="T20" i="16"/>
  <c r="X25" i="16"/>
  <c r="T25" i="16"/>
  <c r="X23" i="16"/>
  <c r="T23" i="16"/>
  <c r="X26" i="16"/>
  <c r="T26" i="16"/>
  <c r="X19" i="16"/>
  <c r="T19" i="16"/>
  <c r="X18" i="16"/>
  <c r="T18" i="16"/>
  <c r="X17" i="16"/>
  <c r="T17" i="16"/>
  <c r="X16" i="16"/>
  <c r="T16" i="16"/>
  <c r="X15" i="16"/>
  <c r="T15" i="16"/>
  <c r="X14" i="16"/>
  <c r="T14" i="16"/>
  <c r="X13" i="16"/>
  <c r="T13" i="16"/>
  <c r="X12" i="16"/>
  <c r="T12" i="16"/>
  <c r="X11" i="16"/>
  <c r="T11" i="16"/>
  <c r="X7" i="16"/>
  <c r="T7" i="16"/>
  <c r="X10" i="16"/>
  <c r="T10" i="16"/>
  <c r="X6" i="16"/>
  <c r="T6" i="16"/>
  <c r="X3" i="16"/>
  <c r="T3" i="16"/>
  <c r="X8" i="16"/>
  <c r="T8" i="16"/>
  <c r="X5" i="16"/>
  <c r="T5" i="16"/>
  <c r="X4" i="16"/>
  <c r="T4" i="16"/>
  <c r="X9" i="16"/>
  <c r="T9" i="16"/>
  <c r="X2" i="16"/>
  <c r="T2" i="16"/>
  <c r="X2214" i="1" l="1"/>
  <c r="X2213" i="1"/>
  <c r="X2212" i="1"/>
  <c r="X2211" i="1"/>
  <c r="X2206" i="1"/>
  <c r="X2205" i="1"/>
  <c r="X2204" i="1"/>
  <c r="X2203" i="1"/>
  <c r="X2202" i="1"/>
  <c r="X2037" i="1"/>
  <c r="X2061" i="1"/>
  <c r="X2060" i="1"/>
  <c r="X1972" i="1"/>
  <c r="X1949" i="1"/>
  <c r="X1933" i="1"/>
  <c r="X1901" i="1"/>
  <c r="X1895" i="1"/>
  <c r="X1894" i="1"/>
  <c r="X1690" i="1"/>
  <c r="X1689" i="1"/>
  <c r="X1550" i="1"/>
  <c r="X1621" i="1"/>
  <c r="X1619" i="1"/>
  <c r="X1618" i="1"/>
  <c r="X1617" i="1"/>
  <c r="X1614" i="1"/>
  <c r="X1613" i="1"/>
  <c r="X1612" i="1"/>
  <c r="X1522" i="1"/>
  <c r="X1521" i="1"/>
  <c r="X1519" i="1"/>
  <c r="X1518" i="1"/>
  <c r="X1517" i="1"/>
  <c r="X1513" i="1"/>
  <c r="X1512" i="1"/>
  <c r="X1511" i="1"/>
  <c r="X1500" i="1"/>
  <c r="X1499" i="1"/>
  <c r="X1498" i="1"/>
  <c r="X1440" i="1"/>
  <c r="X1439" i="1"/>
  <c r="X1438" i="1"/>
  <c r="X1395" i="1"/>
  <c r="X1394" i="1"/>
  <c r="X1454" i="1"/>
  <c r="X1453" i="1"/>
  <c r="X1452" i="1"/>
  <c r="X1393" i="1"/>
  <c r="X1392" i="1"/>
  <c r="X1391" i="1"/>
  <c r="X1310" i="1"/>
  <c r="X1309" i="1"/>
  <c r="X1308" i="1"/>
  <c r="X1304" i="1"/>
  <c r="X1303" i="1"/>
  <c r="X1302" i="1"/>
  <c r="X1356" i="1"/>
  <c r="X1355" i="1"/>
  <c r="X1275" i="1"/>
  <c r="X1274" i="1"/>
  <c r="X1273" i="1"/>
  <c r="X1271" i="1"/>
  <c r="X1270" i="1"/>
  <c r="X1269" i="1"/>
  <c r="X895" i="1"/>
  <c r="X894" i="1"/>
  <c r="X893" i="1"/>
  <c r="X902" i="1"/>
  <c r="X901" i="1"/>
  <c r="X900" i="1"/>
  <c r="X899" i="1"/>
  <c r="X897" i="1"/>
  <c r="X887" i="1"/>
  <c r="X886" i="1"/>
  <c r="X885" i="1"/>
  <c r="X884" i="1"/>
  <c r="X883" i="1"/>
  <c r="X878" i="1"/>
  <c r="X877" i="1"/>
  <c r="X874" i="1"/>
  <c r="X873" i="1"/>
  <c r="X838" i="1"/>
  <c r="X837" i="1"/>
  <c r="X836" i="1"/>
  <c r="X833" i="1"/>
  <c r="X832" i="1"/>
  <c r="X831" i="1"/>
  <c r="X830" i="1"/>
  <c r="X829" i="1"/>
  <c r="X828" i="1"/>
  <c r="X826" i="1"/>
  <c r="X825" i="1"/>
  <c r="X817" i="1"/>
  <c r="X814" i="1"/>
  <c r="X813" i="1"/>
  <c r="X812" i="1"/>
  <c r="X797" i="1"/>
  <c r="X796" i="1"/>
  <c r="X795" i="1"/>
  <c r="X772" i="1"/>
  <c r="X771" i="1"/>
  <c r="X766" i="1"/>
  <c r="X765" i="1"/>
  <c r="X732" i="1"/>
  <c r="X731" i="1"/>
  <c r="X730" i="1"/>
  <c r="X729" i="1"/>
  <c r="X728" i="1"/>
  <c r="X727" i="1"/>
  <c r="X711" i="1"/>
  <c r="X694" i="1"/>
  <c r="X693" i="1"/>
  <c r="X692" i="1"/>
  <c r="X691" i="1"/>
  <c r="X690" i="1"/>
  <c r="X673" i="1"/>
  <c r="X672" i="1"/>
  <c r="X676" i="1"/>
  <c r="X675" i="1"/>
  <c r="X674" i="1"/>
  <c r="X641" i="1"/>
  <c r="X640" i="1"/>
  <c r="X657" i="1"/>
  <c r="X621" i="1"/>
  <c r="X620" i="1"/>
  <c r="X619" i="1"/>
  <c r="X610" i="1"/>
  <c r="X609" i="1"/>
  <c r="X608" i="1"/>
  <c r="X613" i="1"/>
  <c r="X612" i="1"/>
  <c r="X611" i="1"/>
  <c r="X624" i="1"/>
  <c r="X567" i="1"/>
  <c r="X566" i="1"/>
  <c r="X593" i="1"/>
  <c r="X592" i="1"/>
  <c r="X591" i="1"/>
  <c r="X565" i="1"/>
  <c r="X564" i="1"/>
  <c r="X563" i="1"/>
  <c r="X540" i="1"/>
  <c r="X539" i="1"/>
  <c r="X538" i="1"/>
  <c r="X559" i="1"/>
  <c r="X558" i="1"/>
  <c r="X557" i="1"/>
  <c r="X519" i="1"/>
  <c r="X518" i="1"/>
  <c r="X517" i="1"/>
  <c r="X342" i="1"/>
  <c r="X341" i="1"/>
  <c r="X340" i="1"/>
  <c r="X242" i="1"/>
  <c r="X241" i="1"/>
  <c r="X240" i="1"/>
  <c r="X201" i="1"/>
  <c r="X200" i="1"/>
  <c r="X199" i="1"/>
  <c r="X116" i="1"/>
  <c r="X115" i="1"/>
  <c r="X114" i="1"/>
  <c r="X110" i="1"/>
  <c r="X508" i="1"/>
  <c r="X507" i="1"/>
  <c r="X506" i="1"/>
  <c r="X451" i="1"/>
  <c r="X450" i="1"/>
  <c r="X449" i="1"/>
  <c r="X1245" i="1"/>
  <c r="X1244" i="1"/>
  <c r="X1243" i="1"/>
  <c r="X1193" i="1"/>
  <c r="X1192" i="1"/>
  <c r="X1190" i="1"/>
  <c r="X1189" i="1"/>
  <c r="X1188" i="1"/>
  <c r="X1184" i="1"/>
  <c r="X1183" i="1"/>
  <c r="X1182" i="1"/>
  <c r="X1138" i="1"/>
  <c r="X1137" i="1"/>
  <c r="X1136" i="1"/>
  <c r="X1223" i="1"/>
  <c r="X1222" i="1"/>
  <c r="X1221" i="1"/>
  <c r="X1080" i="1"/>
  <c r="X1077" i="1"/>
  <c r="X1076" i="1"/>
  <c r="X971" i="1"/>
  <c r="X970" i="1"/>
  <c r="X969" i="1"/>
  <c r="X933" i="1"/>
  <c r="X932" i="1"/>
  <c r="X931" i="1"/>
  <c r="X928" i="1"/>
  <c r="X1835" i="1"/>
  <c r="X1833" i="1"/>
  <c r="X1832" i="1"/>
  <c r="X1831" i="1"/>
  <c r="X1830" i="1"/>
  <c r="X1829" i="1"/>
  <c r="X2210" i="1"/>
  <c r="X2209" i="1"/>
  <c r="X2208" i="1"/>
  <c r="X2207" i="1"/>
  <c r="X1725" i="1"/>
  <c r="X1724" i="1"/>
  <c r="X1723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2082" i="1" l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16" i="1" l="1"/>
  <c r="X2215" i="1"/>
  <c r="X18" i="1"/>
  <c r="T18" i="1"/>
  <c r="X17" i="1"/>
  <c r="T17" i="1"/>
  <c r="X16" i="1"/>
  <c r="T16" i="1"/>
  <c r="X15" i="1"/>
  <c r="T15" i="1"/>
  <c r="X14" i="1"/>
  <c r="T14" i="1"/>
  <c r="X13" i="1"/>
  <c r="T13" i="1"/>
  <c r="X12" i="1"/>
  <c r="T12" i="1"/>
  <c r="X11" i="1"/>
  <c r="T11" i="1"/>
  <c r="X10" i="1"/>
  <c r="T10" i="1"/>
  <c r="X9" i="1"/>
  <c r="T9" i="1"/>
  <c r="X8" i="1"/>
  <c r="T8" i="1"/>
  <c r="X7" i="1"/>
  <c r="T7" i="1"/>
  <c r="X6" i="1"/>
  <c r="T6" i="1"/>
  <c r="X5" i="1"/>
  <c r="T5" i="1"/>
  <c r="X4" i="1"/>
  <c r="T4" i="1"/>
  <c r="X3" i="1"/>
  <c r="T3" i="1"/>
  <c r="X2" i="1"/>
  <c r="T2" i="1"/>
  <c r="X2074" i="1"/>
  <c r="X2073" i="1"/>
  <c r="X2072" i="1"/>
  <c r="X2069" i="1"/>
  <c r="X2068" i="1"/>
  <c r="X2067" i="1"/>
  <c r="X2066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2" i="1"/>
  <c r="X2041" i="1"/>
  <c r="X2039" i="1"/>
  <c r="X2035" i="1"/>
  <c r="X2034" i="1"/>
  <c r="X2033" i="1"/>
  <c r="X2036" i="1"/>
  <c r="X2031" i="1"/>
  <c r="T2031" i="1"/>
  <c r="X2030" i="1"/>
  <c r="T2030" i="1"/>
  <c r="X2029" i="1"/>
  <c r="T2029" i="1"/>
  <c r="X2028" i="1"/>
  <c r="T2028" i="1"/>
  <c r="X2027" i="1"/>
  <c r="T2027" i="1"/>
  <c r="X2026" i="1"/>
  <c r="T2026" i="1"/>
  <c r="X2025" i="1"/>
  <c r="T2025" i="1"/>
  <c r="X2024" i="1"/>
  <c r="T2024" i="1"/>
  <c r="X2023" i="1"/>
  <c r="T2023" i="1"/>
  <c r="X2022" i="1"/>
  <c r="X2021" i="1"/>
  <c r="X2020" i="1"/>
  <c r="X2018" i="1"/>
  <c r="T2018" i="1"/>
  <c r="X2017" i="1"/>
  <c r="T2017" i="1"/>
  <c r="X2016" i="1"/>
  <c r="T2016" i="1"/>
  <c r="X2015" i="1"/>
  <c r="T2015" i="1"/>
  <c r="X2014" i="1"/>
  <c r="T2014" i="1"/>
  <c r="X2013" i="1"/>
  <c r="T2013" i="1"/>
  <c r="X2012" i="1"/>
  <c r="T2012" i="1"/>
  <c r="X2011" i="1"/>
  <c r="T2011" i="1"/>
  <c r="X2010" i="1"/>
  <c r="T2010" i="1"/>
  <c r="X2008" i="1"/>
  <c r="X2007" i="1"/>
  <c r="X2006" i="1"/>
  <c r="X2005" i="1"/>
  <c r="X2004" i="1"/>
  <c r="T2004" i="1"/>
  <c r="X2003" i="1"/>
  <c r="T2003" i="1"/>
  <c r="X2002" i="1"/>
  <c r="X2001" i="1"/>
  <c r="X2000" i="1"/>
  <c r="X1999" i="1"/>
  <c r="X1998" i="1"/>
  <c r="X1997" i="1"/>
  <c r="T1997" i="1"/>
  <c r="X1996" i="1"/>
  <c r="T1996" i="1"/>
  <c r="X1995" i="1"/>
  <c r="T1995" i="1"/>
  <c r="X1994" i="1"/>
  <c r="T1994" i="1"/>
  <c r="X1993" i="1"/>
  <c r="T1993" i="1"/>
  <c r="X1992" i="1"/>
  <c r="T1992" i="1"/>
  <c r="X1991" i="1"/>
  <c r="T1991" i="1"/>
  <c r="X1990" i="1"/>
  <c r="T1990" i="1"/>
  <c r="X1989" i="1"/>
  <c r="T1989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0" i="1"/>
  <c r="X1968" i="1"/>
  <c r="T1968" i="1"/>
  <c r="X1967" i="1"/>
  <c r="T1967" i="1"/>
  <c r="X1966" i="1"/>
  <c r="T1966" i="1"/>
  <c r="X1965" i="1"/>
  <c r="T1965" i="1"/>
  <c r="X1964" i="1"/>
  <c r="T1964" i="1"/>
  <c r="X1963" i="1"/>
  <c r="T1963" i="1"/>
  <c r="X1962" i="1"/>
  <c r="T1962" i="1"/>
  <c r="X1961" i="1"/>
  <c r="T1961" i="1"/>
  <c r="X1960" i="1"/>
  <c r="T1960" i="1"/>
  <c r="X1959" i="1"/>
  <c r="T1959" i="1"/>
  <c r="X1958" i="1"/>
  <c r="T1958" i="1"/>
  <c r="X1957" i="1"/>
  <c r="T1957" i="1"/>
  <c r="X1956" i="1"/>
  <c r="T1956" i="1"/>
  <c r="X1955" i="1"/>
  <c r="T1955" i="1"/>
  <c r="X1953" i="1"/>
  <c r="X1952" i="1"/>
  <c r="X1951" i="1"/>
  <c r="X1946" i="1"/>
  <c r="X1941" i="1"/>
  <c r="X1940" i="1"/>
  <c r="X1939" i="1"/>
  <c r="X1938" i="1"/>
  <c r="X1937" i="1"/>
  <c r="X1945" i="1"/>
  <c r="X1944" i="1"/>
  <c r="X1943" i="1"/>
  <c r="X1942" i="1"/>
  <c r="X1935" i="1"/>
  <c r="X1932" i="1"/>
  <c r="X1930" i="1"/>
  <c r="T1930" i="1"/>
  <c r="X1929" i="1"/>
  <c r="T1929" i="1"/>
  <c r="X1928" i="1"/>
  <c r="T1928" i="1"/>
  <c r="X1927" i="1"/>
  <c r="T1927" i="1"/>
  <c r="X1926" i="1"/>
  <c r="T1926" i="1"/>
  <c r="X1925" i="1"/>
  <c r="T1925" i="1"/>
  <c r="X1924" i="1"/>
  <c r="T1924" i="1"/>
  <c r="X1923" i="1"/>
  <c r="T1923" i="1"/>
  <c r="X1922" i="1"/>
  <c r="T1922" i="1"/>
  <c r="X1921" i="1"/>
  <c r="T1921" i="1"/>
  <c r="X1920" i="1"/>
  <c r="T1920" i="1"/>
  <c r="X1919" i="1"/>
  <c r="T1919" i="1"/>
  <c r="X1918" i="1"/>
  <c r="T1918" i="1"/>
  <c r="X1917" i="1"/>
  <c r="T1917" i="1"/>
  <c r="X1916" i="1"/>
  <c r="T1916" i="1"/>
  <c r="X1915" i="1"/>
  <c r="T1915" i="1"/>
  <c r="X1913" i="1"/>
  <c r="X1912" i="1"/>
  <c r="X1911" i="1"/>
  <c r="X1910" i="1"/>
  <c r="X1909" i="1"/>
  <c r="X1908" i="1"/>
  <c r="X1907" i="1"/>
  <c r="X1906" i="1"/>
  <c r="X1904" i="1"/>
  <c r="X1903" i="1"/>
  <c r="X1893" i="1"/>
  <c r="X1867" i="1"/>
  <c r="T1867" i="1"/>
  <c r="X1866" i="1"/>
  <c r="T1866" i="1"/>
  <c r="X1865" i="1"/>
  <c r="T1865" i="1"/>
  <c r="X1864" i="1"/>
  <c r="T1864" i="1"/>
  <c r="X1863" i="1"/>
  <c r="T1863" i="1"/>
  <c r="X1862" i="1"/>
  <c r="T1862" i="1"/>
  <c r="X1861" i="1"/>
  <c r="T1861" i="1"/>
  <c r="X1860" i="1"/>
  <c r="T1860" i="1"/>
  <c r="X1859" i="1"/>
  <c r="T1859" i="1"/>
  <c r="X1858" i="1"/>
  <c r="T1858" i="1"/>
  <c r="X1857" i="1"/>
  <c r="T1857" i="1"/>
  <c r="X1856" i="1"/>
  <c r="T1856" i="1"/>
  <c r="X1855" i="1"/>
  <c r="T1855" i="1"/>
  <c r="X1854" i="1"/>
  <c r="T1854" i="1"/>
  <c r="X1853" i="1"/>
  <c r="T1853" i="1"/>
  <c r="X1852" i="1"/>
  <c r="T1852" i="1"/>
  <c r="X1851" i="1"/>
  <c r="T1851" i="1"/>
  <c r="X1850" i="1"/>
  <c r="T1850" i="1"/>
  <c r="X1849" i="1"/>
  <c r="T1849" i="1"/>
  <c r="X1848" i="1"/>
  <c r="T1848" i="1"/>
  <c r="X1847" i="1"/>
  <c r="T1847" i="1"/>
  <c r="X1846" i="1"/>
  <c r="T1846" i="1"/>
  <c r="X1845" i="1"/>
  <c r="T1845" i="1"/>
  <c r="X1844" i="1"/>
  <c r="T1844" i="1"/>
  <c r="X1843" i="1"/>
  <c r="T1843" i="1"/>
  <c r="X1842" i="1"/>
  <c r="T1842" i="1"/>
  <c r="X1841" i="1"/>
  <c r="T1841" i="1"/>
  <c r="X1840" i="1"/>
  <c r="T1840" i="1"/>
  <c r="X1838" i="1"/>
  <c r="X1824" i="1"/>
  <c r="T1824" i="1"/>
  <c r="X1823" i="1"/>
  <c r="T1823" i="1"/>
  <c r="X1822" i="1"/>
  <c r="T1822" i="1"/>
  <c r="X1821" i="1"/>
  <c r="T1821" i="1"/>
  <c r="X1820" i="1"/>
  <c r="X1825" i="1"/>
  <c r="T1825" i="1"/>
  <c r="X1818" i="1"/>
  <c r="X1817" i="1"/>
  <c r="X1816" i="1"/>
  <c r="X1815" i="1"/>
  <c r="X1796" i="1"/>
  <c r="X1814" i="1"/>
  <c r="T1814" i="1"/>
  <c r="X1813" i="1"/>
  <c r="T1813" i="1"/>
  <c r="X1812" i="1"/>
  <c r="T1812" i="1"/>
  <c r="X1811" i="1"/>
  <c r="T1811" i="1"/>
  <c r="X1810" i="1"/>
  <c r="T1810" i="1"/>
  <c r="X1809" i="1"/>
  <c r="T1809" i="1"/>
  <c r="X1808" i="1"/>
  <c r="T1808" i="1"/>
  <c r="X1807" i="1"/>
  <c r="T1807" i="1"/>
  <c r="X1806" i="1"/>
  <c r="T1806" i="1"/>
  <c r="X1805" i="1"/>
  <c r="T1805" i="1"/>
  <c r="X1804" i="1"/>
  <c r="T1804" i="1"/>
  <c r="X1803" i="1"/>
  <c r="T1803" i="1"/>
  <c r="X1802" i="1"/>
  <c r="T1802" i="1"/>
  <c r="X1801" i="1"/>
  <c r="T1801" i="1"/>
  <c r="X1800" i="1"/>
  <c r="T1800" i="1"/>
  <c r="X1799" i="1"/>
  <c r="T1799" i="1"/>
  <c r="X1798" i="1"/>
  <c r="T1798" i="1"/>
  <c r="X1797" i="1"/>
  <c r="T1797" i="1"/>
  <c r="X1795" i="1"/>
  <c r="T1795" i="1"/>
  <c r="X1794" i="1"/>
  <c r="T1794" i="1"/>
  <c r="X1793" i="1"/>
  <c r="T1793" i="1"/>
  <c r="X1792" i="1"/>
  <c r="T1792" i="1"/>
  <c r="X1791" i="1"/>
  <c r="T1791" i="1"/>
  <c r="X1790" i="1"/>
  <c r="T1790" i="1"/>
  <c r="X1789" i="1"/>
  <c r="T1789" i="1"/>
  <c r="X1788" i="1"/>
  <c r="T1788" i="1"/>
  <c r="X1787" i="1"/>
  <c r="T1787" i="1"/>
  <c r="X1786" i="1"/>
  <c r="T1786" i="1"/>
  <c r="X1785" i="1"/>
  <c r="T1785" i="1"/>
  <c r="X1784" i="1"/>
  <c r="T1784" i="1"/>
  <c r="X1783" i="1"/>
  <c r="T1783" i="1"/>
  <c r="X1782" i="1"/>
  <c r="T1782" i="1"/>
  <c r="X1781" i="1"/>
  <c r="T1781" i="1"/>
  <c r="X1780" i="1"/>
  <c r="T1780" i="1"/>
  <c r="X1779" i="1"/>
  <c r="T1779" i="1"/>
  <c r="X1778" i="1"/>
  <c r="T1778" i="1"/>
  <c r="X1777" i="1"/>
  <c r="T1777" i="1"/>
  <c r="X1776" i="1"/>
  <c r="T1776" i="1"/>
  <c r="X1775" i="1"/>
  <c r="T1775" i="1"/>
  <c r="X1774" i="1"/>
  <c r="T1774" i="1"/>
  <c r="X1773" i="1"/>
  <c r="T1773" i="1"/>
  <c r="X1772" i="1"/>
  <c r="T1772" i="1"/>
  <c r="X1771" i="1"/>
  <c r="T1771" i="1"/>
  <c r="X1770" i="1"/>
  <c r="T1770" i="1"/>
  <c r="X1769" i="1"/>
  <c r="T1769" i="1"/>
  <c r="X1768" i="1"/>
  <c r="T1768" i="1"/>
  <c r="X1767" i="1"/>
  <c r="T1767" i="1"/>
  <c r="X1766" i="1"/>
  <c r="T1766" i="1"/>
  <c r="X1765" i="1"/>
  <c r="T1765" i="1"/>
  <c r="X1764" i="1"/>
  <c r="T1764" i="1"/>
  <c r="X1763" i="1"/>
  <c r="T1763" i="1"/>
  <c r="X1762" i="1"/>
  <c r="T1762" i="1"/>
  <c r="X1761" i="1"/>
  <c r="T1761" i="1"/>
  <c r="X1760" i="1"/>
  <c r="T1760" i="1"/>
  <c r="X1759" i="1"/>
  <c r="T1759" i="1"/>
  <c r="X1758" i="1"/>
  <c r="T1758" i="1"/>
  <c r="X1756" i="1"/>
  <c r="X1754" i="1"/>
  <c r="T1754" i="1"/>
  <c r="X1753" i="1"/>
  <c r="T1753" i="1"/>
  <c r="X1752" i="1"/>
  <c r="T1752" i="1"/>
  <c r="X1751" i="1"/>
  <c r="T1751" i="1"/>
  <c r="X1750" i="1"/>
  <c r="T1750" i="1"/>
  <c r="X1749" i="1"/>
  <c r="T1749" i="1"/>
  <c r="X1748" i="1"/>
  <c r="T1748" i="1"/>
  <c r="X1747" i="1"/>
  <c r="T1747" i="1"/>
  <c r="X1746" i="1"/>
  <c r="T1746" i="1"/>
  <c r="X1745" i="1"/>
  <c r="T1745" i="1"/>
  <c r="X1744" i="1"/>
  <c r="T1744" i="1"/>
  <c r="X1743" i="1"/>
  <c r="T1743" i="1"/>
  <c r="X1742" i="1"/>
  <c r="T1742" i="1"/>
  <c r="X1741" i="1"/>
  <c r="T1741" i="1"/>
  <c r="X1740" i="1"/>
  <c r="T1740" i="1"/>
  <c r="X1739" i="1"/>
  <c r="T1739" i="1"/>
  <c r="X1738" i="1"/>
  <c r="T1738" i="1"/>
  <c r="X1737" i="1"/>
  <c r="T1737" i="1"/>
  <c r="X1736" i="1"/>
  <c r="T1736" i="1"/>
  <c r="X1735" i="1"/>
  <c r="T1735" i="1"/>
  <c r="X1734" i="1"/>
  <c r="T1734" i="1"/>
  <c r="X1733" i="1"/>
  <c r="T1733" i="1"/>
  <c r="X1732" i="1"/>
  <c r="T1732" i="1"/>
  <c r="X1731" i="1"/>
  <c r="X1730" i="1"/>
  <c r="T1730" i="1"/>
  <c r="X1729" i="1"/>
  <c r="T1729" i="1"/>
  <c r="X1720" i="1"/>
  <c r="T1720" i="1"/>
  <c r="X1719" i="1"/>
  <c r="T1719" i="1"/>
  <c r="X1718" i="1"/>
  <c r="T1718" i="1"/>
  <c r="X1717" i="1"/>
  <c r="T1717" i="1"/>
  <c r="X1716" i="1"/>
  <c r="T1716" i="1"/>
  <c r="X1715" i="1"/>
  <c r="T1715" i="1"/>
  <c r="X1714" i="1"/>
  <c r="T1714" i="1"/>
  <c r="X1713" i="1"/>
  <c r="T1713" i="1"/>
  <c r="X1712" i="1"/>
  <c r="T1712" i="1"/>
  <c r="X1711" i="1"/>
  <c r="T1711" i="1"/>
  <c r="X1710" i="1"/>
  <c r="T1710" i="1"/>
  <c r="X1709" i="1"/>
  <c r="T1709" i="1"/>
  <c r="X1708" i="1"/>
  <c r="T1708" i="1"/>
  <c r="X1707" i="1"/>
  <c r="T1707" i="1"/>
  <c r="X1686" i="1"/>
  <c r="T1686" i="1"/>
  <c r="X1685" i="1"/>
  <c r="T1685" i="1"/>
  <c r="X1684" i="1"/>
  <c r="T1684" i="1"/>
  <c r="X1683" i="1"/>
  <c r="T1683" i="1"/>
  <c r="X1682" i="1"/>
  <c r="T1682" i="1"/>
  <c r="X1681" i="1"/>
  <c r="T1681" i="1"/>
  <c r="X1680" i="1"/>
  <c r="T1680" i="1"/>
  <c r="X1679" i="1"/>
  <c r="T1679" i="1"/>
  <c r="X1678" i="1"/>
  <c r="T1678" i="1"/>
  <c r="X1677" i="1"/>
  <c r="T1677" i="1"/>
  <c r="X1676" i="1"/>
  <c r="T1676" i="1"/>
  <c r="X1675" i="1"/>
  <c r="T1675" i="1"/>
  <c r="X1674" i="1"/>
  <c r="T1674" i="1"/>
  <c r="X1673" i="1"/>
  <c r="T1673" i="1"/>
  <c r="X1672" i="1"/>
  <c r="T1672" i="1"/>
  <c r="X1671" i="1"/>
  <c r="T1671" i="1"/>
  <c r="X1662" i="1"/>
  <c r="X1665" i="1"/>
  <c r="T1665" i="1"/>
  <c r="X1664" i="1"/>
  <c r="T1664" i="1"/>
  <c r="X1663" i="1"/>
  <c r="T1663" i="1"/>
  <c r="X1661" i="1"/>
  <c r="T1661" i="1"/>
  <c r="X1660" i="1"/>
  <c r="T1660" i="1"/>
  <c r="X1659" i="1"/>
  <c r="T1659" i="1"/>
  <c r="X1658" i="1"/>
  <c r="T1658" i="1"/>
  <c r="X1657" i="1"/>
  <c r="T1657" i="1"/>
  <c r="X1656" i="1"/>
  <c r="T1656" i="1"/>
  <c r="X1655" i="1"/>
  <c r="T1655" i="1"/>
  <c r="X1654" i="1"/>
  <c r="T1654" i="1"/>
  <c r="X1653" i="1"/>
  <c r="T1653" i="1"/>
  <c r="X1652" i="1"/>
  <c r="T1652" i="1"/>
  <c r="X1651" i="1"/>
  <c r="X1650" i="1"/>
  <c r="T1650" i="1"/>
  <c r="X1649" i="1"/>
  <c r="T1649" i="1"/>
  <c r="X1648" i="1"/>
  <c r="T1648" i="1"/>
  <c r="X1647" i="1"/>
  <c r="T1647" i="1"/>
  <c r="X1646" i="1"/>
  <c r="T1646" i="1"/>
  <c r="X1645" i="1"/>
  <c r="T1645" i="1"/>
  <c r="X1644" i="1"/>
  <c r="T1644" i="1"/>
  <c r="X1643" i="1"/>
  <c r="T1643" i="1"/>
  <c r="X1642" i="1"/>
  <c r="T1642" i="1"/>
  <c r="X1641" i="1"/>
  <c r="T1641" i="1"/>
  <c r="X1640" i="1"/>
  <c r="T1640" i="1"/>
  <c r="X1639" i="1"/>
  <c r="T1639" i="1"/>
  <c r="X1638" i="1"/>
  <c r="T1638" i="1"/>
  <c r="X1637" i="1"/>
  <c r="T1637" i="1"/>
  <c r="X1636" i="1"/>
  <c r="T1636" i="1"/>
  <c r="X1635" i="1"/>
  <c r="T1635" i="1"/>
  <c r="X1634" i="1"/>
  <c r="T1634" i="1"/>
  <c r="X1633" i="1"/>
  <c r="X1632" i="1"/>
  <c r="T1632" i="1"/>
  <c r="X1631" i="1"/>
  <c r="T1631" i="1"/>
  <c r="X1630" i="1"/>
  <c r="T1630" i="1"/>
  <c r="X1629" i="1"/>
  <c r="T1629" i="1"/>
  <c r="X1628" i="1"/>
  <c r="T1628" i="1"/>
  <c r="X1627" i="1"/>
  <c r="T1627" i="1"/>
  <c r="X1626" i="1"/>
  <c r="T1626" i="1"/>
  <c r="X1625" i="1"/>
  <c r="T1625" i="1"/>
  <c r="X1624" i="1"/>
  <c r="T1624" i="1"/>
  <c r="X1623" i="1"/>
  <c r="T1623" i="1"/>
  <c r="X1609" i="1"/>
  <c r="T1609" i="1"/>
  <c r="X1608" i="1"/>
  <c r="T1608" i="1"/>
  <c r="X1607" i="1"/>
  <c r="T1607" i="1"/>
  <c r="X1606" i="1"/>
  <c r="T1606" i="1"/>
  <c r="X1605" i="1"/>
  <c r="T1605" i="1"/>
  <c r="X1604" i="1"/>
  <c r="T1604" i="1"/>
  <c r="X1603" i="1"/>
  <c r="T1603" i="1"/>
  <c r="X1602" i="1"/>
  <c r="T1602" i="1"/>
  <c r="X1601" i="1"/>
  <c r="T1601" i="1"/>
  <c r="X1600" i="1"/>
  <c r="T1600" i="1"/>
  <c r="X1599" i="1"/>
  <c r="T1599" i="1"/>
  <c r="X1598" i="1"/>
  <c r="T1598" i="1"/>
  <c r="X1597" i="1"/>
  <c r="T1597" i="1"/>
  <c r="X1596" i="1"/>
  <c r="T1596" i="1"/>
  <c r="X1595" i="1"/>
  <c r="T1595" i="1"/>
  <c r="X1594" i="1"/>
  <c r="T1594" i="1"/>
  <c r="X1593" i="1"/>
  <c r="T1593" i="1"/>
  <c r="X1592" i="1"/>
  <c r="T1592" i="1"/>
  <c r="X1591" i="1"/>
  <c r="T1591" i="1"/>
  <c r="X1590" i="1"/>
  <c r="T1590" i="1"/>
  <c r="X1589" i="1"/>
  <c r="T1589" i="1"/>
  <c r="X1588" i="1"/>
  <c r="T1588" i="1"/>
  <c r="X1587" i="1"/>
  <c r="T1587" i="1"/>
  <c r="X1586" i="1"/>
  <c r="T1586" i="1"/>
  <c r="X1585" i="1"/>
  <c r="T1585" i="1"/>
  <c r="X1584" i="1"/>
  <c r="T1584" i="1"/>
  <c r="X1583" i="1"/>
  <c r="T1583" i="1"/>
  <c r="X1582" i="1"/>
  <c r="T1582" i="1"/>
  <c r="X1581" i="1"/>
  <c r="T1581" i="1"/>
  <c r="X1580" i="1"/>
  <c r="T1580" i="1"/>
  <c r="X1579" i="1"/>
  <c r="T1579" i="1"/>
  <c r="X1578" i="1"/>
  <c r="T1578" i="1"/>
  <c r="X1577" i="1"/>
  <c r="T1577" i="1"/>
  <c r="X1576" i="1"/>
  <c r="T1576" i="1"/>
  <c r="X1575" i="1"/>
  <c r="T1575" i="1"/>
  <c r="X1574" i="1"/>
  <c r="T1574" i="1"/>
  <c r="X1573" i="1"/>
  <c r="T1573" i="1"/>
  <c r="X1572" i="1"/>
  <c r="T1572" i="1"/>
  <c r="X1571" i="1"/>
  <c r="T1571" i="1"/>
  <c r="X1570" i="1"/>
  <c r="T1570" i="1"/>
  <c r="X1569" i="1"/>
  <c r="T1569" i="1"/>
  <c r="X1568" i="1"/>
  <c r="T1568" i="1"/>
  <c r="X1567" i="1"/>
  <c r="T1567" i="1"/>
  <c r="X1566" i="1"/>
  <c r="T1566" i="1"/>
  <c r="X1565" i="1"/>
  <c r="T1565" i="1"/>
  <c r="X1564" i="1"/>
  <c r="T1564" i="1"/>
  <c r="X1563" i="1"/>
  <c r="T1563" i="1"/>
  <c r="X1562" i="1"/>
  <c r="T1562" i="1"/>
  <c r="X1561" i="1"/>
  <c r="T1561" i="1"/>
  <c r="X1560" i="1"/>
  <c r="T1560" i="1"/>
  <c r="X1559" i="1"/>
  <c r="T1559" i="1"/>
  <c r="X1558" i="1"/>
  <c r="T1558" i="1"/>
  <c r="X1557" i="1"/>
  <c r="T1557" i="1"/>
  <c r="X1509" i="1"/>
  <c r="T1509" i="1"/>
  <c r="X1508" i="1"/>
  <c r="T1508" i="1"/>
  <c r="X1507" i="1"/>
  <c r="T1507" i="1"/>
  <c r="X1506" i="1"/>
  <c r="T1506" i="1"/>
  <c r="X1505" i="1"/>
  <c r="T1505" i="1"/>
  <c r="T1504" i="1"/>
  <c r="T1503" i="1"/>
  <c r="X1501" i="1"/>
  <c r="T1501" i="1"/>
  <c r="X1496" i="1"/>
  <c r="T1496" i="1"/>
  <c r="X1495" i="1"/>
  <c r="T1495" i="1"/>
  <c r="X1494" i="1"/>
  <c r="T1494" i="1"/>
  <c r="X1493" i="1"/>
  <c r="T1493" i="1"/>
  <c r="X1492" i="1"/>
  <c r="T1492" i="1"/>
  <c r="X1491" i="1"/>
  <c r="T1491" i="1"/>
  <c r="X1490" i="1"/>
  <c r="T1490" i="1"/>
  <c r="X1489" i="1"/>
  <c r="T1489" i="1"/>
  <c r="X1488" i="1"/>
  <c r="T1488" i="1"/>
  <c r="X1487" i="1"/>
  <c r="T1487" i="1"/>
  <c r="X1486" i="1"/>
  <c r="T1486" i="1"/>
  <c r="X1485" i="1"/>
  <c r="T1485" i="1"/>
  <c r="X1484" i="1"/>
  <c r="T1484" i="1"/>
  <c r="X1483" i="1"/>
  <c r="T1483" i="1"/>
  <c r="X1482" i="1"/>
  <c r="T1482" i="1"/>
  <c r="X1481" i="1"/>
  <c r="T1481" i="1"/>
  <c r="X1480" i="1"/>
  <c r="T1480" i="1"/>
  <c r="X1479" i="1"/>
  <c r="T1479" i="1"/>
  <c r="X1478" i="1"/>
  <c r="T1478" i="1"/>
  <c r="X1477" i="1"/>
  <c r="T1477" i="1"/>
  <c r="X1476" i="1"/>
  <c r="T1476" i="1"/>
  <c r="X1475" i="1"/>
  <c r="T1475" i="1"/>
  <c r="X1474" i="1"/>
  <c r="T1474" i="1"/>
  <c r="X1473" i="1"/>
  <c r="T1473" i="1"/>
  <c r="X1472" i="1"/>
  <c r="T1472" i="1"/>
  <c r="X1471" i="1"/>
  <c r="T1471" i="1"/>
  <c r="X1470" i="1"/>
  <c r="T1470" i="1"/>
  <c r="X1469" i="1"/>
  <c r="T1469" i="1"/>
  <c r="X1468" i="1"/>
  <c r="T1468" i="1"/>
  <c r="X1467" i="1"/>
  <c r="T1467" i="1"/>
  <c r="X1466" i="1"/>
  <c r="T1466" i="1"/>
  <c r="X1465" i="1"/>
  <c r="T1465" i="1"/>
  <c r="X1464" i="1"/>
  <c r="T1464" i="1"/>
  <c r="X1463" i="1"/>
  <c r="T1463" i="1"/>
  <c r="X1462" i="1"/>
  <c r="T1462" i="1"/>
  <c r="X1461" i="1"/>
  <c r="T1461" i="1"/>
  <c r="X1460" i="1"/>
  <c r="T1460" i="1"/>
  <c r="X1459" i="1"/>
  <c r="T1459" i="1"/>
  <c r="X1458" i="1"/>
  <c r="T1458" i="1"/>
  <c r="X1457" i="1"/>
  <c r="T1457" i="1"/>
  <c r="X1456" i="1"/>
  <c r="T1456" i="1"/>
  <c r="X1455" i="1"/>
  <c r="T1455" i="1"/>
  <c r="X1450" i="1"/>
  <c r="T1450" i="1"/>
  <c r="X1449" i="1"/>
  <c r="T1449" i="1"/>
  <c r="X1448" i="1"/>
  <c r="T1448" i="1"/>
  <c r="X1447" i="1"/>
  <c r="T1447" i="1"/>
  <c r="X1446" i="1"/>
  <c r="T1446" i="1"/>
  <c r="X1445" i="1"/>
  <c r="T1445" i="1"/>
  <c r="X1444" i="1"/>
  <c r="T1444" i="1"/>
  <c r="X1443" i="1"/>
  <c r="T1443" i="1"/>
  <c r="X1436" i="1"/>
  <c r="T1436" i="1"/>
  <c r="X1435" i="1"/>
  <c r="T1435" i="1"/>
  <c r="X1434" i="1"/>
  <c r="T1434" i="1"/>
  <c r="X1433" i="1"/>
  <c r="T1433" i="1"/>
  <c r="X1432" i="1"/>
  <c r="T1432" i="1"/>
  <c r="X1431" i="1"/>
  <c r="T1431" i="1"/>
  <c r="X1430" i="1"/>
  <c r="T1430" i="1"/>
  <c r="X1429" i="1"/>
  <c r="T1429" i="1"/>
  <c r="X1428" i="1"/>
  <c r="T1428" i="1"/>
  <c r="X1427" i="1"/>
  <c r="T1427" i="1"/>
  <c r="X1426" i="1"/>
  <c r="T1426" i="1"/>
  <c r="X1425" i="1"/>
  <c r="T1425" i="1"/>
  <c r="X1424" i="1"/>
  <c r="T1424" i="1"/>
  <c r="X1423" i="1"/>
  <c r="T1423" i="1"/>
  <c r="X1422" i="1"/>
  <c r="T1422" i="1"/>
  <c r="X1421" i="1"/>
  <c r="T1421" i="1"/>
  <c r="X1420" i="1"/>
  <c r="T1420" i="1"/>
  <c r="X1419" i="1"/>
  <c r="T1419" i="1"/>
  <c r="X1418" i="1"/>
  <c r="T1418" i="1"/>
  <c r="X1417" i="1"/>
  <c r="T1417" i="1"/>
  <c r="X1416" i="1"/>
  <c r="T1416" i="1"/>
  <c r="X1413" i="1"/>
  <c r="X1412" i="1"/>
  <c r="T1412" i="1"/>
  <c r="X1411" i="1"/>
  <c r="T1411" i="1"/>
  <c r="X1410" i="1"/>
  <c r="T1410" i="1"/>
  <c r="X1409" i="1"/>
  <c r="T1409" i="1"/>
  <c r="X1408" i="1"/>
  <c r="T1408" i="1"/>
  <c r="X1407" i="1"/>
  <c r="T1407" i="1"/>
  <c r="X1406" i="1"/>
  <c r="T1406" i="1"/>
  <c r="X1405" i="1"/>
  <c r="T1405" i="1"/>
  <c r="X1404" i="1"/>
  <c r="T1404" i="1"/>
  <c r="X1403" i="1"/>
  <c r="T1403" i="1"/>
  <c r="X1402" i="1"/>
  <c r="T1402" i="1"/>
  <c r="X1401" i="1"/>
  <c r="T1401" i="1"/>
  <c r="X1400" i="1"/>
  <c r="T1400" i="1"/>
  <c r="X1399" i="1"/>
  <c r="T1399" i="1"/>
  <c r="X1398" i="1"/>
  <c r="T1398" i="1"/>
  <c r="X1397" i="1"/>
  <c r="T1397" i="1"/>
  <c r="X1396" i="1"/>
  <c r="T1396" i="1"/>
  <c r="X1389" i="1"/>
  <c r="T1389" i="1"/>
  <c r="X1388" i="1"/>
  <c r="T1388" i="1"/>
  <c r="X1387" i="1"/>
  <c r="T1387" i="1"/>
  <c r="X1386" i="1"/>
  <c r="T1386" i="1"/>
  <c r="X1385" i="1"/>
  <c r="T1385" i="1"/>
  <c r="X1384" i="1"/>
  <c r="T1384" i="1"/>
  <c r="X1383" i="1"/>
  <c r="T1383" i="1"/>
  <c r="X1382" i="1"/>
  <c r="T1382" i="1"/>
  <c r="X1381" i="1"/>
  <c r="T1381" i="1"/>
  <c r="X1380" i="1"/>
  <c r="T1380" i="1"/>
  <c r="X1379" i="1"/>
  <c r="T1379" i="1"/>
  <c r="X1378" i="1"/>
  <c r="T1378" i="1"/>
  <c r="X1377" i="1"/>
  <c r="T1377" i="1"/>
  <c r="X1376" i="1"/>
  <c r="T1376" i="1"/>
  <c r="X1375" i="1"/>
  <c r="T1375" i="1"/>
  <c r="X1374" i="1"/>
  <c r="T1374" i="1"/>
  <c r="X1373" i="1"/>
  <c r="T1373" i="1"/>
  <c r="X1372" i="1"/>
  <c r="T1372" i="1"/>
  <c r="X1371" i="1"/>
  <c r="T1371" i="1"/>
  <c r="X1370" i="1"/>
  <c r="T1370" i="1"/>
  <c r="X1369" i="1"/>
  <c r="T1369" i="1"/>
  <c r="X1368" i="1"/>
  <c r="T1368" i="1"/>
  <c r="X1367" i="1"/>
  <c r="T1367" i="1"/>
  <c r="X1366" i="1"/>
  <c r="T1366" i="1"/>
  <c r="X1365" i="1"/>
  <c r="T1365" i="1"/>
  <c r="X1364" i="1"/>
  <c r="T1364" i="1"/>
  <c r="X1362" i="1"/>
  <c r="X1361" i="1"/>
  <c r="X1360" i="1"/>
  <c r="T1360" i="1"/>
  <c r="X1359" i="1"/>
  <c r="T1359" i="1"/>
  <c r="X1358" i="1"/>
  <c r="T1358" i="1"/>
  <c r="X1357" i="1"/>
  <c r="T1357" i="1"/>
  <c r="X1353" i="1"/>
  <c r="T1353" i="1"/>
  <c r="X1352" i="1"/>
  <c r="T1352" i="1"/>
  <c r="X1351" i="1"/>
  <c r="T1351" i="1"/>
  <c r="X1350" i="1"/>
  <c r="T1350" i="1"/>
  <c r="X1349" i="1"/>
  <c r="T1349" i="1"/>
  <c r="X1348" i="1"/>
  <c r="T1348" i="1"/>
  <c r="X1347" i="1"/>
  <c r="T1347" i="1"/>
  <c r="X1346" i="1"/>
  <c r="T1346" i="1"/>
  <c r="X1345" i="1"/>
  <c r="T1345" i="1"/>
  <c r="X1344" i="1"/>
  <c r="T1344" i="1"/>
  <c r="X1343" i="1"/>
  <c r="T1343" i="1"/>
  <c r="X1342" i="1"/>
  <c r="T1342" i="1"/>
  <c r="X1341" i="1"/>
  <c r="T1341" i="1"/>
  <c r="X1340" i="1"/>
  <c r="T1340" i="1"/>
  <c r="X1339" i="1"/>
  <c r="T1339" i="1"/>
  <c r="X1338" i="1"/>
  <c r="T1338" i="1"/>
  <c r="X1337" i="1"/>
  <c r="T1337" i="1"/>
  <c r="X1336" i="1"/>
  <c r="T1336" i="1"/>
  <c r="X1335" i="1"/>
  <c r="T1335" i="1"/>
  <c r="X1334" i="1"/>
  <c r="T1334" i="1"/>
  <c r="X1333" i="1"/>
  <c r="T1333" i="1"/>
  <c r="X1332" i="1"/>
  <c r="T1332" i="1"/>
  <c r="X1331" i="1"/>
  <c r="T1331" i="1"/>
  <c r="X1330" i="1"/>
  <c r="T1330" i="1"/>
  <c r="X1329" i="1"/>
  <c r="T1329" i="1"/>
  <c r="X1328" i="1"/>
  <c r="T1328" i="1"/>
  <c r="X1327" i="1"/>
  <c r="T1327" i="1"/>
  <c r="X1326" i="1"/>
  <c r="T1326" i="1"/>
  <c r="X1325" i="1"/>
  <c r="T1325" i="1"/>
  <c r="X1324" i="1"/>
  <c r="T1324" i="1"/>
  <c r="X1323" i="1"/>
  <c r="T1323" i="1"/>
  <c r="X1322" i="1"/>
  <c r="T1322" i="1"/>
  <c r="X1321" i="1"/>
  <c r="T1321" i="1"/>
  <c r="X1320" i="1"/>
  <c r="T1320" i="1"/>
  <c r="X1319" i="1"/>
  <c r="T1319" i="1"/>
  <c r="X1318" i="1"/>
  <c r="T1318" i="1"/>
  <c r="X1317" i="1"/>
  <c r="T1317" i="1"/>
  <c r="X1315" i="1"/>
  <c r="X1314" i="1"/>
  <c r="T1314" i="1"/>
  <c r="X1313" i="1"/>
  <c r="T1313" i="1"/>
  <c r="X1312" i="1"/>
  <c r="T1312" i="1"/>
  <c r="X1311" i="1"/>
  <c r="T1311" i="1"/>
  <c r="X1306" i="1"/>
  <c r="X1305" i="1"/>
  <c r="X1300" i="1"/>
  <c r="T1300" i="1"/>
  <c r="X1299" i="1"/>
  <c r="T1299" i="1"/>
  <c r="X1298" i="1"/>
  <c r="T1298" i="1"/>
  <c r="X1297" i="1"/>
  <c r="T1297" i="1"/>
  <c r="X1296" i="1"/>
  <c r="T1296" i="1"/>
  <c r="X1295" i="1"/>
  <c r="T1295" i="1"/>
  <c r="X1294" i="1"/>
  <c r="T1294" i="1"/>
  <c r="X1293" i="1"/>
  <c r="T1293" i="1"/>
  <c r="X1292" i="1"/>
  <c r="T1292" i="1"/>
  <c r="X1291" i="1"/>
  <c r="T1291" i="1"/>
  <c r="X1290" i="1"/>
  <c r="T1290" i="1"/>
  <c r="X1289" i="1"/>
  <c r="T1289" i="1"/>
  <c r="X1288" i="1"/>
  <c r="T1288" i="1"/>
  <c r="X1287" i="1"/>
  <c r="T1287" i="1"/>
  <c r="X1286" i="1"/>
  <c r="T1286" i="1"/>
  <c r="X1285" i="1"/>
  <c r="T1285" i="1"/>
  <c r="X1284" i="1"/>
  <c r="T1284" i="1"/>
  <c r="X1283" i="1"/>
  <c r="T1283" i="1"/>
  <c r="X1281" i="1"/>
  <c r="T1281" i="1"/>
  <c r="X1277" i="1"/>
  <c r="T1277" i="1"/>
  <c r="X1267" i="1"/>
  <c r="X1266" i="1"/>
  <c r="T1266" i="1"/>
  <c r="X1264" i="1"/>
  <c r="T1264" i="1"/>
  <c r="X1263" i="1"/>
  <c r="T1263" i="1"/>
  <c r="X1262" i="1"/>
  <c r="T1262" i="1"/>
  <c r="X1261" i="1"/>
  <c r="T1261" i="1"/>
  <c r="X1260" i="1"/>
  <c r="T1260" i="1"/>
  <c r="X1259" i="1"/>
  <c r="T1259" i="1"/>
  <c r="X1258" i="1"/>
  <c r="T1258" i="1"/>
  <c r="X1257" i="1"/>
  <c r="T1257" i="1"/>
  <c r="X1256" i="1"/>
  <c r="T1256" i="1"/>
  <c r="X1255" i="1"/>
  <c r="T1255" i="1"/>
  <c r="X1254" i="1"/>
  <c r="T1254" i="1"/>
  <c r="X1253" i="1"/>
  <c r="T1253" i="1"/>
  <c r="X1252" i="1"/>
  <c r="T1252" i="1"/>
  <c r="X1251" i="1"/>
  <c r="T1251" i="1"/>
  <c r="X1250" i="1"/>
  <c r="T1250" i="1"/>
  <c r="X1249" i="1"/>
  <c r="T1249" i="1"/>
  <c r="X1248" i="1"/>
  <c r="T1248" i="1"/>
  <c r="X1247" i="1"/>
  <c r="T1247" i="1"/>
  <c r="X1246" i="1"/>
  <c r="T1246" i="1"/>
  <c r="X1241" i="1"/>
  <c r="T1241" i="1"/>
  <c r="X1240" i="1"/>
  <c r="T1240" i="1"/>
  <c r="X1239" i="1"/>
  <c r="T1239" i="1"/>
  <c r="X1238" i="1"/>
  <c r="T1238" i="1"/>
  <c r="X1237" i="1"/>
  <c r="T1237" i="1"/>
  <c r="X1236" i="1"/>
  <c r="T1236" i="1"/>
  <c r="X1235" i="1"/>
  <c r="T1235" i="1"/>
  <c r="X1234" i="1"/>
  <c r="T1234" i="1"/>
  <c r="X1233" i="1"/>
  <c r="T1233" i="1"/>
  <c r="X1232" i="1"/>
  <c r="T1232" i="1"/>
  <c r="X1231" i="1"/>
  <c r="T1231" i="1"/>
  <c r="X1230" i="1"/>
  <c r="T1230" i="1"/>
  <c r="X1229" i="1"/>
  <c r="T1229" i="1"/>
  <c r="X1228" i="1"/>
  <c r="T1228" i="1"/>
  <c r="X1227" i="1"/>
  <c r="T1227" i="1"/>
  <c r="X1226" i="1"/>
  <c r="T1226" i="1"/>
  <c r="X1225" i="1"/>
  <c r="T1225" i="1"/>
  <c r="X1203" i="1"/>
  <c r="T1203" i="1"/>
  <c r="X1202" i="1"/>
  <c r="T1202" i="1"/>
  <c r="X1201" i="1"/>
  <c r="T1201" i="1"/>
  <c r="X1200" i="1"/>
  <c r="T1200" i="1"/>
  <c r="X1199" i="1"/>
  <c r="T1199" i="1"/>
  <c r="X1198" i="1"/>
  <c r="T1198" i="1"/>
  <c r="X1197" i="1"/>
  <c r="X1219" i="1"/>
  <c r="T1219" i="1"/>
  <c r="X1218" i="1"/>
  <c r="T1218" i="1"/>
  <c r="X1217" i="1"/>
  <c r="T1217" i="1"/>
  <c r="X1216" i="1"/>
  <c r="T1216" i="1"/>
  <c r="X1215" i="1"/>
  <c r="T1215" i="1"/>
  <c r="X1214" i="1"/>
  <c r="T1214" i="1"/>
  <c r="X1213" i="1"/>
  <c r="T1213" i="1"/>
  <c r="X1212" i="1"/>
  <c r="T1212" i="1"/>
  <c r="X1211" i="1"/>
  <c r="T1211" i="1"/>
  <c r="X1210" i="1"/>
  <c r="T1210" i="1"/>
  <c r="X1209" i="1"/>
  <c r="T1209" i="1"/>
  <c r="X1208" i="1"/>
  <c r="T1208" i="1"/>
  <c r="X1207" i="1"/>
  <c r="T1207" i="1"/>
  <c r="X1206" i="1"/>
  <c r="T1206" i="1"/>
  <c r="X1205" i="1"/>
  <c r="T1205" i="1"/>
  <c r="X1204" i="1"/>
  <c r="T1204" i="1"/>
  <c r="X1195" i="1"/>
  <c r="X1185" i="1"/>
  <c r="T1185" i="1"/>
  <c r="X1162" i="1"/>
  <c r="T1162" i="1"/>
  <c r="X1161" i="1"/>
  <c r="T1161" i="1"/>
  <c r="X1160" i="1"/>
  <c r="T1160" i="1"/>
  <c r="X1159" i="1"/>
  <c r="T1159" i="1"/>
  <c r="X1158" i="1"/>
  <c r="T1158" i="1"/>
  <c r="X1157" i="1"/>
  <c r="T1157" i="1"/>
  <c r="X1156" i="1"/>
  <c r="X1155" i="1"/>
  <c r="X1154" i="1"/>
  <c r="X1153" i="1"/>
  <c r="X1152" i="1"/>
  <c r="T1152" i="1"/>
  <c r="X1151" i="1"/>
  <c r="X1150" i="1"/>
  <c r="X1180" i="1"/>
  <c r="T1180" i="1"/>
  <c r="X1179" i="1"/>
  <c r="T1179" i="1"/>
  <c r="X1178" i="1"/>
  <c r="T1178" i="1"/>
  <c r="X1177" i="1"/>
  <c r="T1177" i="1"/>
  <c r="X1176" i="1"/>
  <c r="T1176" i="1"/>
  <c r="X1175" i="1"/>
  <c r="T1175" i="1"/>
  <c r="X1174" i="1"/>
  <c r="T1174" i="1"/>
  <c r="X1173" i="1"/>
  <c r="T1173" i="1"/>
  <c r="X1172" i="1"/>
  <c r="T1172" i="1"/>
  <c r="X1171" i="1"/>
  <c r="T1171" i="1"/>
  <c r="X1170" i="1"/>
  <c r="T1170" i="1"/>
  <c r="X1169" i="1"/>
  <c r="T1169" i="1"/>
  <c r="X1168" i="1"/>
  <c r="T1168" i="1"/>
  <c r="X1167" i="1"/>
  <c r="T1167" i="1"/>
  <c r="X1166" i="1"/>
  <c r="T1166" i="1"/>
  <c r="X1165" i="1"/>
  <c r="T1165" i="1"/>
  <c r="X1164" i="1"/>
  <c r="T1164" i="1"/>
  <c r="X1163" i="1"/>
  <c r="T1163" i="1"/>
  <c r="X1148" i="1"/>
  <c r="T1148" i="1"/>
  <c r="X1147" i="1"/>
  <c r="T1147" i="1"/>
  <c r="X1146" i="1"/>
  <c r="T1146" i="1"/>
  <c r="X1145" i="1"/>
  <c r="T1145" i="1"/>
  <c r="X1144" i="1"/>
  <c r="T1144" i="1"/>
  <c r="X1143" i="1"/>
  <c r="T1143" i="1"/>
  <c r="X1142" i="1"/>
  <c r="T1142" i="1"/>
  <c r="X1140" i="1"/>
  <c r="X1133" i="1"/>
  <c r="T1133" i="1"/>
  <c r="X1132" i="1"/>
  <c r="T1132" i="1"/>
  <c r="X1131" i="1"/>
  <c r="T1131" i="1"/>
  <c r="X1130" i="1"/>
  <c r="T1130" i="1"/>
  <c r="X1129" i="1"/>
  <c r="T1129" i="1"/>
  <c r="X1128" i="1"/>
  <c r="T1128" i="1"/>
  <c r="X1123" i="1"/>
  <c r="T1123" i="1"/>
  <c r="X1121" i="1"/>
  <c r="T1121" i="1"/>
  <c r="X1120" i="1"/>
  <c r="T1120" i="1"/>
  <c r="X1119" i="1"/>
  <c r="T1119" i="1"/>
  <c r="X1114" i="1"/>
  <c r="T1114" i="1"/>
  <c r="X1113" i="1"/>
  <c r="T1113" i="1"/>
  <c r="X1112" i="1"/>
  <c r="T1112" i="1"/>
  <c r="X1111" i="1"/>
  <c r="T1111" i="1"/>
  <c r="X1110" i="1"/>
  <c r="T1110" i="1"/>
  <c r="X1109" i="1"/>
  <c r="T1109" i="1"/>
  <c r="X1108" i="1"/>
  <c r="T1108" i="1"/>
  <c r="X1107" i="1"/>
  <c r="T1107" i="1"/>
  <c r="X1106" i="1"/>
  <c r="T1106" i="1"/>
  <c r="X1105" i="1"/>
  <c r="T1105" i="1"/>
  <c r="X1104" i="1"/>
  <c r="T1104" i="1"/>
  <c r="X1103" i="1"/>
  <c r="T1103" i="1"/>
  <c r="X1102" i="1"/>
  <c r="T1102" i="1"/>
  <c r="X1101" i="1"/>
  <c r="T1101" i="1"/>
  <c r="X1100" i="1"/>
  <c r="T1100" i="1"/>
  <c r="X1099" i="1"/>
  <c r="T1099" i="1"/>
  <c r="X1098" i="1"/>
  <c r="T1098" i="1"/>
  <c r="X1097" i="1"/>
  <c r="T1097" i="1"/>
  <c r="X1096" i="1"/>
  <c r="T1096" i="1"/>
  <c r="X1095" i="1"/>
  <c r="T1095" i="1"/>
  <c r="X1094" i="1"/>
  <c r="T1094" i="1"/>
  <c r="X1092" i="1"/>
  <c r="T1092" i="1"/>
  <c r="X1091" i="1"/>
  <c r="T1091" i="1"/>
  <c r="X1090" i="1"/>
  <c r="T1090" i="1"/>
  <c r="X1088" i="1"/>
  <c r="T1088" i="1"/>
  <c r="X1087" i="1"/>
  <c r="T1087" i="1"/>
  <c r="X1086" i="1"/>
  <c r="T1086" i="1"/>
  <c r="X1085" i="1"/>
  <c r="T1085" i="1"/>
  <c r="X1084" i="1"/>
  <c r="T1084" i="1"/>
  <c r="X1083" i="1"/>
  <c r="T1083" i="1"/>
  <c r="X1082" i="1"/>
  <c r="T1082" i="1"/>
  <c r="X1081" i="1"/>
  <c r="T1081" i="1"/>
  <c r="X1073" i="1"/>
  <c r="T1073" i="1"/>
  <c r="X1072" i="1"/>
  <c r="T1072" i="1"/>
  <c r="X1071" i="1"/>
  <c r="T1071" i="1"/>
  <c r="X1070" i="1"/>
  <c r="T1070" i="1"/>
  <c r="X1069" i="1"/>
  <c r="T1069" i="1"/>
  <c r="X1068" i="1"/>
  <c r="T1068" i="1"/>
  <c r="X1067" i="1"/>
  <c r="T1067" i="1"/>
  <c r="X1066" i="1"/>
  <c r="T1066" i="1"/>
  <c r="X1065" i="1"/>
  <c r="T1065" i="1"/>
  <c r="X1064" i="1"/>
  <c r="T1064" i="1"/>
  <c r="X1063" i="1"/>
  <c r="T1063" i="1"/>
  <c r="X1062" i="1"/>
  <c r="T1062" i="1"/>
  <c r="X1061" i="1"/>
  <c r="T1061" i="1"/>
  <c r="X1060" i="1"/>
  <c r="T1060" i="1"/>
  <c r="X1059" i="1"/>
  <c r="T1059" i="1"/>
  <c r="X1058" i="1"/>
  <c r="T1058" i="1"/>
  <c r="X1057" i="1"/>
  <c r="T1057" i="1"/>
  <c r="X1056" i="1"/>
  <c r="T1056" i="1"/>
  <c r="X1055" i="1"/>
  <c r="T1055" i="1"/>
  <c r="X1054" i="1"/>
  <c r="T1054" i="1"/>
  <c r="X1053" i="1"/>
  <c r="T1053" i="1"/>
  <c r="X1052" i="1"/>
  <c r="T1052" i="1"/>
  <c r="X1051" i="1"/>
  <c r="T1051" i="1"/>
  <c r="X1049" i="1"/>
  <c r="T1049" i="1"/>
  <c r="X1048" i="1"/>
  <c r="T1048" i="1"/>
  <c r="X1047" i="1"/>
  <c r="T1047" i="1"/>
  <c r="X1046" i="1"/>
  <c r="T1046" i="1"/>
  <c r="X1045" i="1"/>
  <c r="T1045" i="1"/>
  <c r="X1044" i="1"/>
  <c r="T1044" i="1"/>
  <c r="X1043" i="1"/>
  <c r="T1043" i="1"/>
  <c r="X1042" i="1"/>
  <c r="T1042" i="1"/>
  <c r="X1041" i="1"/>
  <c r="T1041" i="1"/>
  <c r="X1040" i="1"/>
  <c r="T1040" i="1"/>
  <c r="X1039" i="1"/>
  <c r="T1039" i="1"/>
  <c r="X1038" i="1"/>
  <c r="T1038" i="1"/>
  <c r="X1037" i="1"/>
  <c r="T1037" i="1"/>
  <c r="X1036" i="1"/>
  <c r="T1036" i="1"/>
  <c r="X1035" i="1"/>
  <c r="T1035" i="1"/>
  <c r="X1032" i="1"/>
  <c r="X1031" i="1"/>
  <c r="T1031" i="1"/>
  <c r="X1030" i="1"/>
  <c r="T1030" i="1"/>
  <c r="X1028" i="1"/>
  <c r="T1028" i="1"/>
  <c r="X1027" i="1"/>
  <c r="T1027" i="1"/>
  <c r="X1026" i="1"/>
  <c r="T1026" i="1"/>
  <c r="X1025" i="1"/>
  <c r="T1025" i="1"/>
  <c r="X1024" i="1"/>
  <c r="T1024" i="1"/>
  <c r="X1023" i="1"/>
  <c r="T1023" i="1"/>
  <c r="X1022" i="1"/>
  <c r="T1022" i="1"/>
  <c r="X1021" i="1"/>
  <c r="T1021" i="1"/>
  <c r="X1020" i="1"/>
  <c r="T1020" i="1"/>
  <c r="X1019" i="1"/>
  <c r="T1019" i="1"/>
  <c r="X1018" i="1"/>
  <c r="T1018" i="1"/>
  <c r="X1017" i="1"/>
  <c r="T1017" i="1"/>
  <c r="X1016" i="1"/>
  <c r="T1016" i="1"/>
  <c r="X1015" i="1"/>
  <c r="T1015" i="1"/>
  <c r="X1014" i="1"/>
  <c r="T1014" i="1"/>
  <c r="X1013" i="1"/>
  <c r="T1013" i="1"/>
  <c r="X1012" i="1"/>
  <c r="T1012" i="1"/>
  <c r="X1011" i="1"/>
  <c r="T1011" i="1"/>
  <c r="X1006" i="1"/>
  <c r="T1006" i="1"/>
  <c r="X1009" i="1"/>
  <c r="T1009" i="1"/>
  <c r="X1008" i="1"/>
  <c r="T1008" i="1"/>
  <c r="X1005" i="1"/>
  <c r="T1005" i="1"/>
  <c r="X1004" i="1"/>
  <c r="T1004" i="1"/>
  <c r="X1003" i="1"/>
  <c r="T1003" i="1"/>
  <c r="X1002" i="1"/>
  <c r="T1002" i="1"/>
  <c r="X1001" i="1"/>
  <c r="T1001" i="1"/>
  <c r="X1000" i="1"/>
  <c r="T1000" i="1"/>
  <c r="X998" i="1"/>
  <c r="T998" i="1"/>
  <c r="X997" i="1"/>
  <c r="T997" i="1"/>
  <c r="X996" i="1"/>
  <c r="T996" i="1"/>
  <c r="X994" i="1"/>
  <c r="T994" i="1"/>
  <c r="X993" i="1"/>
  <c r="T993" i="1"/>
  <c r="X992" i="1"/>
  <c r="T992" i="1"/>
  <c r="X991" i="1"/>
  <c r="T991" i="1"/>
  <c r="X990" i="1"/>
  <c r="T990" i="1"/>
  <c r="X988" i="1"/>
  <c r="T988" i="1"/>
  <c r="X987" i="1"/>
  <c r="T987" i="1"/>
  <c r="X986" i="1"/>
  <c r="T986" i="1"/>
  <c r="X985" i="1"/>
  <c r="T985" i="1"/>
  <c r="X984" i="1"/>
  <c r="T984" i="1"/>
  <c r="X983" i="1"/>
  <c r="T983" i="1"/>
  <c r="X982" i="1"/>
  <c r="T982" i="1"/>
  <c r="X981" i="1"/>
  <c r="T981" i="1"/>
  <c r="X980" i="1"/>
  <c r="T980" i="1"/>
  <c r="X979" i="1"/>
  <c r="T979" i="1"/>
  <c r="X978" i="1"/>
  <c r="T978" i="1"/>
  <c r="X977" i="1"/>
  <c r="T977" i="1"/>
  <c r="X976" i="1"/>
  <c r="T976" i="1"/>
  <c r="X975" i="1"/>
  <c r="T975" i="1"/>
  <c r="X974" i="1"/>
  <c r="T974" i="1"/>
  <c r="X973" i="1"/>
  <c r="T973" i="1"/>
  <c r="X972" i="1"/>
  <c r="T972" i="1"/>
  <c r="X966" i="1"/>
  <c r="T966" i="1"/>
  <c r="X965" i="1"/>
  <c r="T965" i="1"/>
  <c r="X964" i="1"/>
  <c r="T964" i="1"/>
  <c r="X963" i="1"/>
  <c r="T963" i="1"/>
  <c r="X962" i="1"/>
  <c r="T962" i="1"/>
  <c r="X961" i="1"/>
  <c r="T961" i="1"/>
  <c r="X960" i="1"/>
  <c r="T960" i="1"/>
  <c r="X959" i="1"/>
  <c r="T959" i="1"/>
  <c r="X958" i="1"/>
  <c r="T958" i="1"/>
  <c r="X957" i="1"/>
  <c r="T957" i="1"/>
  <c r="X956" i="1"/>
  <c r="T956" i="1"/>
  <c r="X955" i="1"/>
  <c r="T955" i="1"/>
  <c r="X954" i="1"/>
  <c r="T954" i="1"/>
  <c r="X953" i="1"/>
  <c r="T953" i="1"/>
  <c r="X950" i="1"/>
  <c r="T950" i="1"/>
  <c r="X949" i="1"/>
  <c r="T949" i="1"/>
  <c r="X948" i="1"/>
  <c r="T948" i="1"/>
  <c r="X946" i="1"/>
  <c r="T946" i="1"/>
  <c r="X945" i="1"/>
  <c r="T945" i="1"/>
  <c r="X944" i="1"/>
  <c r="T944" i="1"/>
  <c r="X943" i="1"/>
  <c r="T943" i="1"/>
  <c r="X942" i="1"/>
  <c r="T942" i="1"/>
  <c r="X941" i="1"/>
  <c r="T941" i="1"/>
  <c r="X940" i="1"/>
  <c r="T940" i="1"/>
  <c r="X939" i="1"/>
  <c r="T939" i="1"/>
  <c r="X938" i="1"/>
  <c r="T938" i="1"/>
  <c r="X935" i="1"/>
  <c r="T935" i="1"/>
  <c r="X934" i="1"/>
  <c r="T934" i="1"/>
  <c r="X926" i="1"/>
  <c r="X924" i="1"/>
  <c r="T924" i="1"/>
  <c r="X923" i="1"/>
  <c r="T923" i="1"/>
  <c r="X922" i="1"/>
  <c r="T922" i="1"/>
  <c r="X921" i="1"/>
  <c r="T921" i="1"/>
  <c r="X920" i="1"/>
  <c r="T920" i="1"/>
  <c r="X919" i="1"/>
  <c r="T919" i="1"/>
  <c r="X918" i="1"/>
  <c r="T918" i="1"/>
  <c r="X917" i="1"/>
  <c r="T917" i="1"/>
  <c r="X916" i="1"/>
  <c r="T916" i="1"/>
  <c r="X915" i="1"/>
  <c r="T915" i="1"/>
  <c r="X914" i="1"/>
  <c r="X910" i="1"/>
  <c r="T910" i="1"/>
  <c r="X909" i="1"/>
  <c r="T909" i="1"/>
  <c r="X908" i="1"/>
  <c r="T908" i="1"/>
  <c r="X907" i="1"/>
  <c r="T907" i="1"/>
  <c r="X906" i="1"/>
  <c r="T906" i="1"/>
  <c r="X905" i="1"/>
  <c r="T905" i="1"/>
  <c r="X904" i="1"/>
  <c r="T904" i="1"/>
  <c r="X903" i="1"/>
  <c r="T903" i="1"/>
  <c r="X891" i="1"/>
  <c r="X875" i="1"/>
  <c r="X870" i="1"/>
  <c r="T870" i="1"/>
  <c r="X869" i="1"/>
  <c r="T869" i="1"/>
  <c r="X868" i="1"/>
  <c r="T868" i="1"/>
  <c r="X867" i="1"/>
  <c r="T867" i="1"/>
  <c r="X866" i="1"/>
  <c r="T866" i="1"/>
  <c r="X865" i="1"/>
  <c r="T865" i="1"/>
  <c r="X864" i="1"/>
  <c r="T864" i="1"/>
  <c r="X863" i="1"/>
  <c r="T863" i="1"/>
  <c r="X862" i="1"/>
  <c r="T862" i="1"/>
  <c r="X861" i="1"/>
  <c r="X860" i="1"/>
  <c r="X857" i="1"/>
  <c r="T857" i="1"/>
  <c r="X856" i="1"/>
  <c r="T856" i="1"/>
  <c r="X855" i="1"/>
  <c r="T855" i="1"/>
  <c r="X854" i="1"/>
  <c r="T854" i="1"/>
  <c r="X853" i="1"/>
  <c r="T853" i="1"/>
  <c r="X852" i="1"/>
  <c r="T852" i="1"/>
  <c r="X851" i="1"/>
  <c r="T851" i="1"/>
  <c r="X850" i="1"/>
  <c r="T850" i="1"/>
  <c r="X849" i="1"/>
  <c r="T849" i="1"/>
  <c r="X848" i="1"/>
  <c r="T848" i="1"/>
  <c r="X847" i="1"/>
  <c r="T847" i="1"/>
  <c r="X846" i="1"/>
  <c r="T846" i="1"/>
  <c r="X845" i="1"/>
  <c r="T845" i="1"/>
  <c r="X844" i="1"/>
  <c r="T844" i="1"/>
  <c r="X843" i="1"/>
  <c r="T843" i="1"/>
  <c r="X842" i="1"/>
  <c r="T842" i="1"/>
  <c r="X841" i="1"/>
  <c r="T841" i="1"/>
  <c r="X840" i="1"/>
  <c r="T840" i="1"/>
  <c r="X839" i="1"/>
  <c r="T839" i="1"/>
  <c r="X823" i="1"/>
  <c r="T823" i="1"/>
  <c r="X822" i="1"/>
  <c r="T822" i="1"/>
  <c r="X821" i="1"/>
  <c r="T821" i="1"/>
  <c r="X820" i="1"/>
  <c r="T820" i="1"/>
  <c r="X819" i="1"/>
  <c r="T819" i="1"/>
  <c r="X818" i="1"/>
  <c r="T818" i="1"/>
  <c r="X809" i="1"/>
  <c r="T809" i="1"/>
  <c r="X808" i="1"/>
  <c r="T808" i="1"/>
  <c r="X807" i="1"/>
  <c r="T807" i="1"/>
  <c r="X806" i="1"/>
  <c r="T806" i="1"/>
  <c r="X805" i="1"/>
  <c r="T805" i="1"/>
  <c r="X804" i="1"/>
  <c r="T804" i="1"/>
  <c r="X803" i="1"/>
  <c r="T803" i="1"/>
  <c r="X802" i="1"/>
  <c r="T802" i="1"/>
  <c r="X801" i="1"/>
  <c r="T801" i="1"/>
  <c r="X800" i="1"/>
  <c r="T800" i="1"/>
  <c r="X799" i="1"/>
  <c r="T799" i="1"/>
  <c r="X798" i="1"/>
  <c r="T798" i="1"/>
  <c r="X792" i="1"/>
  <c r="X791" i="1"/>
  <c r="T791" i="1"/>
  <c r="X790" i="1"/>
  <c r="T790" i="1"/>
  <c r="X789" i="1"/>
  <c r="T789" i="1"/>
  <c r="X788" i="1"/>
  <c r="T788" i="1"/>
  <c r="X787" i="1"/>
  <c r="T787" i="1"/>
  <c r="X786" i="1"/>
  <c r="T786" i="1"/>
  <c r="X785" i="1"/>
  <c r="X784" i="1"/>
  <c r="T784" i="1"/>
  <c r="X783" i="1"/>
  <c r="T783" i="1"/>
  <c r="X782" i="1"/>
  <c r="T782" i="1"/>
  <c r="X781" i="1"/>
  <c r="T781" i="1"/>
  <c r="X780" i="1"/>
  <c r="T780" i="1"/>
  <c r="X779" i="1"/>
  <c r="T779" i="1"/>
  <c r="X778" i="1"/>
  <c r="T778" i="1"/>
  <c r="X777" i="1"/>
  <c r="T777" i="1"/>
  <c r="X776" i="1"/>
  <c r="T776" i="1"/>
  <c r="X775" i="1"/>
  <c r="T775" i="1"/>
  <c r="X774" i="1"/>
  <c r="T774" i="1"/>
  <c r="X773" i="1"/>
  <c r="T773" i="1"/>
  <c r="X769" i="1"/>
  <c r="T769" i="1"/>
  <c r="X763" i="1"/>
  <c r="T763" i="1"/>
  <c r="X761" i="1"/>
  <c r="X759" i="1"/>
  <c r="T759" i="1"/>
  <c r="X758" i="1"/>
  <c r="T758" i="1"/>
  <c r="X756" i="1"/>
  <c r="T756" i="1"/>
  <c r="X755" i="1"/>
  <c r="T755" i="1"/>
  <c r="X754" i="1"/>
  <c r="T754" i="1"/>
  <c r="X753" i="1"/>
  <c r="T753" i="1"/>
  <c r="X752" i="1"/>
  <c r="T752" i="1"/>
  <c r="X751" i="1"/>
  <c r="T751" i="1"/>
  <c r="X750" i="1"/>
  <c r="T750" i="1"/>
  <c r="X757" i="1"/>
  <c r="X748" i="1"/>
  <c r="T748" i="1"/>
  <c r="X725" i="1"/>
  <c r="T725" i="1"/>
  <c r="X747" i="1"/>
  <c r="T747" i="1"/>
  <c r="X746" i="1"/>
  <c r="T746" i="1"/>
  <c r="X745" i="1"/>
  <c r="T745" i="1"/>
  <c r="X744" i="1"/>
  <c r="T744" i="1"/>
  <c r="X743" i="1"/>
  <c r="T743" i="1"/>
  <c r="X742" i="1"/>
  <c r="T742" i="1"/>
  <c r="X741" i="1"/>
  <c r="T741" i="1"/>
  <c r="X740" i="1"/>
  <c r="T740" i="1"/>
  <c r="X739" i="1"/>
  <c r="T739" i="1"/>
  <c r="X738" i="1"/>
  <c r="T738" i="1"/>
  <c r="X737" i="1"/>
  <c r="T737" i="1"/>
  <c r="X736" i="1"/>
  <c r="T736" i="1"/>
  <c r="X735" i="1"/>
  <c r="T735" i="1"/>
  <c r="X734" i="1"/>
  <c r="T734" i="1"/>
  <c r="X733" i="1"/>
  <c r="T733" i="1"/>
  <c r="X722" i="1"/>
  <c r="T722" i="1"/>
  <c r="X723" i="1"/>
  <c r="T723" i="1"/>
  <c r="X721" i="1"/>
  <c r="T721" i="1"/>
  <c r="X720" i="1"/>
  <c r="T720" i="1"/>
  <c r="X718" i="1"/>
  <c r="X717" i="1"/>
  <c r="T717" i="1"/>
  <c r="X716" i="1"/>
  <c r="T716" i="1"/>
  <c r="X715" i="1"/>
  <c r="T715" i="1"/>
  <c r="X714" i="1"/>
  <c r="T714" i="1"/>
  <c r="X713" i="1"/>
  <c r="T713" i="1"/>
  <c r="X712" i="1"/>
  <c r="T712" i="1"/>
  <c r="X705" i="1"/>
  <c r="T705" i="1"/>
  <c r="X704" i="1"/>
  <c r="T704" i="1"/>
  <c r="X703" i="1"/>
  <c r="T703" i="1"/>
  <c r="X702" i="1"/>
  <c r="T702" i="1"/>
  <c r="X701" i="1"/>
  <c r="T701" i="1"/>
  <c r="X700" i="1"/>
  <c r="T700" i="1"/>
  <c r="X699" i="1"/>
  <c r="T699" i="1"/>
  <c r="X697" i="1"/>
  <c r="T697" i="1"/>
  <c r="X688" i="1"/>
  <c r="T688" i="1"/>
  <c r="X687" i="1"/>
  <c r="T687" i="1"/>
  <c r="X686" i="1"/>
  <c r="T686" i="1"/>
  <c r="X685" i="1"/>
  <c r="T685" i="1"/>
  <c r="X684" i="1"/>
  <c r="T684" i="1"/>
  <c r="X683" i="1"/>
  <c r="T683" i="1"/>
  <c r="X682" i="1"/>
  <c r="T682" i="1"/>
  <c r="X681" i="1"/>
  <c r="T681" i="1"/>
  <c r="X680" i="1"/>
  <c r="T680" i="1"/>
  <c r="X679" i="1"/>
  <c r="T679" i="1"/>
  <c r="X696" i="1"/>
  <c r="T696" i="1"/>
  <c r="X695" i="1"/>
  <c r="T695" i="1"/>
  <c r="X669" i="1"/>
  <c r="T669" i="1"/>
  <c r="X668" i="1"/>
  <c r="T668" i="1"/>
  <c r="X667" i="1"/>
  <c r="T667" i="1"/>
  <c r="X666" i="1"/>
  <c r="T666" i="1"/>
  <c r="X665" i="1"/>
  <c r="T665" i="1"/>
  <c r="X664" i="1"/>
  <c r="T664" i="1"/>
  <c r="X663" i="1"/>
  <c r="T663" i="1"/>
  <c r="X662" i="1"/>
  <c r="T662" i="1"/>
  <c r="X661" i="1"/>
  <c r="T661" i="1"/>
  <c r="X660" i="1"/>
  <c r="T660" i="1"/>
  <c r="X659" i="1"/>
  <c r="T659" i="1"/>
  <c r="X658" i="1"/>
  <c r="T658" i="1"/>
  <c r="X653" i="1"/>
  <c r="T653" i="1"/>
  <c r="X652" i="1"/>
  <c r="T652" i="1"/>
  <c r="X651" i="1"/>
  <c r="T651" i="1"/>
  <c r="X650" i="1"/>
  <c r="T650" i="1"/>
  <c r="X649" i="1"/>
  <c r="T649" i="1"/>
  <c r="X648" i="1"/>
  <c r="T648" i="1"/>
  <c r="X647" i="1"/>
  <c r="T647" i="1"/>
  <c r="X646" i="1"/>
  <c r="T646" i="1"/>
  <c r="X645" i="1"/>
  <c r="T645" i="1"/>
  <c r="X644" i="1"/>
  <c r="T644" i="1"/>
  <c r="X643" i="1"/>
  <c r="X638" i="1"/>
  <c r="T638" i="1"/>
  <c r="X637" i="1"/>
  <c r="T637" i="1"/>
  <c r="X636" i="1"/>
  <c r="T636" i="1"/>
  <c r="X635" i="1"/>
  <c r="T635" i="1"/>
  <c r="X634" i="1"/>
  <c r="T634" i="1"/>
  <c r="X633" i="1"/>
  <c r="T633" i="1"/>
  <c r="X632" i="1"/>
  <c r="T632" i="1"/>
  <c r="X631" i="1"/>
  <c r="T631" i="1"/>
  <c r="X630" i="1"/>
  <c r="T630" i="1"/>
  <c r="X629" i="1"/>
  <c r="T629" i="1"/>
  <c r="X628" i="1"/>
  <c r="T628" i="1"/>
  <c r="X627" i="1"/>
  <c r="T627" i="1"/>
  <c r="X606" i="1"/>
  <c r="T606" i="1"/>
  <c r="X600" i="1"/>
  <c r="T600" i="1"/>
  <c r="X599" i="1"/>
  <c r="T599" i="1"/>
  <c r="X614" i="1"/>
  <c r="T614" i="1"/>
  <c r="X605" i="1"/>
  <c r="T605" i="1"/>
  <c r="X604" i="1"/>
  <c r="T604" i="1"/>
  <c r="X603" i="1"/>
  <c r="T603" i="1"/>
  <c r="X602" i="1"/>
  <c r="T602" i="1"/>
  <c r="X601" i="1"/>
  <c r="T601" i="1"/>
  <c r="X598" i="1"/>
  <c r="T598" i="1"/>
  <c r="X597" i="1"/>
  <c r="T597" i="1"/>
  <c r="X596" i="1"/>
  <c r="T596" i="1"/>
  <c r="X589" i="1"/>
  <c r="T589" i="1"/>
  <c r="X588" i="1"/>
  <c r="T588" i="1"/>
  <c r="X587" i="1"/>
  <c r="T587" i="1"/>
  <c r="X586" i="1"/>
  <c r="T586" i="1"/>
  <c r="X585" i="1"/>
  <c r="T585" i="1"/>
  <c r="X584" i="1"/>
  <c r="T584" i="1"/>
  <c r="X583" i="1"/>
  <c r="T583" i="1"/>
  <c r="X582" i="1"/>
  <c r="T582" i="1"/>
  <c r="X581" i="1"/>
  <c r="T581" i="1"/>
  <c r="X580" i="1"/>
  <c r="T580" i="1"/>
  <c r="X577" i="1"/>
  <c r="T577" i="1"/>
  <c r="X576" i="1"/>
  <c r="T576" i="1"/>
  <c r="X575" i="1"/>
  <c r="T575" i="1"/>
  <c r="X574" i="1"/>
  <c r="T574" i="1"/>
  <c r="X573" i="1"/>
  <c r="T573" i="1"/>
  <c r="X572" i="1"/>
  <c r="T572" i="1"/>
  <c r="X571" i="1"/>
  <c r="T571" i="1"/>
  <c r="X570" i="1"/>
  <c r="T570" i="1"/>
  <c r="X569" i="1"/>
  <c r="T569" i="1"/>
  <c r="X554" i="1"/>
  <c r="T554" i="1"/>
  <c r="X553" i="1"/>
  <c r="T553" i="1"/>
  <c r="X552" i="1"/>
  <c r="T552" i="1"/>
  <c r="X551" i="1"/>
  <c r="T551" i="1"/>
  <c r="X550" i="1"/>
  <c r="T550" i="1"/>
  <c r="X549" i="1"/>
  <c r="T549" i="1"/>
  <c r="X548" i="1"/>
  <c r="T548" i="1"/>
  <c r="X547" i="1"/>
  <c r="T547" i="1"/>
  <c r="X545" i="1"/>
  <c r="T545" i="1"/>
  <c r="X543" i="1"/>
  <c r="T543" i="1"/>
  <c r="X542" i="1"/>
  <c r="T542" i="1"/>
  <c r="X541" i="1"/>
  <c r="T541" i="1"/>
  <c r="X536" i="1"/>
  <c r="T536" i="1"/>
  <c r="X535" i="1"/>
  <c r="T535" i="1"/>
  <c r="X534" i="1"/>
  <c r="T534" i="1"/>
  <c r="X533" i="1"/>
  <c r="T533" i="1"/>
  <c r="X532" i="1"/>
  <c r="T532" i="1"/>
  <c r="X531" i="1"/>
  <c r="T531" i="1"/>
  <c r="X530" i="1"/>
  <c r="T530" i="1"/>
  <c r="X529" i="1"/>
  <c r="T529" i="1"/>
  <c r="X528" i="1"/>
  <c r="T528" i="1"/>
  <c r="X527" i="1"/>
  <c r="T527" i="1"/>
  <c r="X526" i="1"/>
  <c r="T526" i="1"/>
  <c r="X525" i="1"/>
  <c r="T525" i="1"/>
  <c r="X524" i="1"/>
  <c r="T524" i="1"/>
  <c r="X511" i="1"/>
  <c r="T511" i="1"/>
  <c r="X510" i="1"/>
  <c r="T510" i="1"/>
  <c r="X509" i="1"/>
  <c r="T509" i="1"/>
  <c r="X503" i="1"/>
  <c r="T503" i="1"/>
  <c r="X502" i="1"/>
  <c r="T502" i="1"/>
  <c r="X501" i="1"/>
  <c r="T501" i="1"/>
  <c r="X500" i="1"/>
  <c r="T500" i="1"/>
  <c r="X499" i="1"/>
  <c r="T499" i="1"/>
  <c r="X498" i="1"/>
  <c r="T498" i="1"/>
  <c r="X497" i="1"/>
  <c r="T497" i="1"/>
  <c r="X493" i="1"/>
  <c r="T493" i="1"/>
  <c r="X492" i="1"/>
  <c r="T492" i="1"/>
  <c r="X491" i="1"/>
  <c r="T491" i="1"/>
  <c r="X490" i="1"/>
  <c r="T490" i="1"/>
  <c r="X489" i="1"/>
  <c r="T489" i="1"/>
  <c r="X488" i="1"/>
  <c r="T488" i="1"/>
  <c r="X487" i="1"/>
  <c r="T487" i="1"/>
  <c r="X486" i="1"/>
  <c r="T486" i="1"/>
  <c r="X485" i="1"/>
  <c r="T485" i="1"/>
  <c r="X482" i="1"/>
  <c r="T482" i="1"/>
  <c r="X481" i="1"/>
  <c r="T481" i="1"/>
  <c r="X480" i="1"/>
  <c r="T480" i="1"/>
  <c r="X479" i="1"/>
  <c r="T479" i="1"/>
  <c r="X478" i="1"/>
  <c r="T478" i="1"/>
  <c r="X476" i="1"/>
  <c r="T476" i="1"/>
  <c r="X475" i="1"/>
  <c r="T475" i="1"/>
  <c r="X474" i="1"/>
  <c r="T474" i="1"/>
  <c r="X473" i="1"/>
  <c r="T473" i="1"/>
  <c r="X472" i="1"/>
  <c r="T472" i="1"/>
  <c r="X471" i="1"/>
  <c r="T471" i="1"/>
  <c r="X467" i="1"/>
  <c r="T467" i="1"/>
  <c r="X469" i="1"/>
  <c r="X468" i="1"/>
  <c r="X447" i="1"/>
  <c r="T447" i="1"/>
  <c r="X459" i="1"/>
  <c r="T459" i="1"/>
  <c r="X458" i="1"/>
  <c r="T458" i="1"/>
  <c r="X457" i="1"/>
  <c r="T457" i="1"/>
  <c r="X456" i="1"/>
  <c r="T456" i="1"/>
  <c r="X455" i="1"/>
  <c r="T455" i="1"/>
  <c r="X454" i="1"/>
  <c r="T454" i="1"/>
  <c r="X453" i="1"/>
  <c r="T453" i="1"/>
  <c r="X452" i="1"/>
  <c r="T452" i="1"/>
  <c r="X466" i="1"/>
  <c r="T466" i="1"/>
  <c r="X465" i="1"/>
  <c r="T465" i="1"/>
  <c r="X464" i="1"/>
  <c r="T464" i="1"/>
  <c r="X463" i="1"/>
  <c r="T463" i="1"/>
  <c r="X462" i="1"/>
  <c r="T462" i="1"/>
  <c r="X461" i="1"/>
  <c r="T461" i="1"/>
  <c r="X460" i="1"/>
  <c r="T460" i="1"/>
  <c r="X445" i="1"/>
  <c r="T445" i="1"/>
  <c r="X444" i="1"/>
  <c r="T444" i="1"/>
  <c r="X443" i="1"/>
  <c r="T443" i="1"/>
  <c r="X442" i="1"/>
  <c r="T442" i="1"/>
  <c r="X441" i="1"/>
  <c r="T441" i="1"/>
  <c r="X440" i="1"/>
  <c r="T440" i="1"/>
  <c r="X439" i="1"/>
  <c r="T439" i="1"/>
  <c r="X438" i="1"/>
  <c r="T438" i="1"/>
  <c r="X437" i="1"/>
  <c r="T437" i="1"/>
  <c r="X436" i="1"/>
  <c r="T436" i="1"/>
  <c r="X435" i="1"/>
  <c r="T435" i="1"/>
  <c r="X434" i="1"/>
  <c r="T434" i="1"/>
  <c r="X433" i="1"/>
  <c r="T433" i="1"/>
  <c r="X432" i="1"/>
  <c r="T432" i="1"/>
  <c r="X431" i="1"/>
  <c r="T431" i="1"/>
  <c r="X430" i="1"/>
  <c r="T430" i="1"/>
  <c r="X408" i="1"/>
  <c r="X407" i="1"/>
  <c r="X428" i="1"/>
  <c r="T428" i="1"/>
  <c r="X426" i="1"/>
  <c r="T426" i="1"/>
  <c r="X425" i="1"/>
  <c r="T425" i="1"/>
  <c r="X424" i="1"/>
  <c r="T424" i="1"/>
  <c r="X423" i="1"/>
  <c r="T423" i="1"/>
  <c r="X422" i="1"/>
  <c r="T422" i="1"/>
  <c r="X421" i="1"/>
  <c r="T421" i="1"/>
  <c r="X420" i="1"/>
  <c r="T420" i="1"/>
  <c r="X419" i="1"/>
  <c r="T419" i="1"/>
  <c r="X418" i="1"/>
  <c r="T418" i="1"/>
  <c r="X417" i="1"/>
  <c r="T417" i="1"/>
  <c r="X416" i="1"/>
  <c r="T416" i="1"/>
  <c r="X415" i="1"/>
  <c r="T415" i="1"/>
  <c r="X414" i="1"/>
  <c r="T414" i="1"/>
  <c r="X413" i="1"/>
  <c r="T413" i="1"/>
  <c r="X412" i="1"/>
  <c r="T412" i="1"/>
  <c r="X411" i="1"/>
  <c r="T411" i="1"/>
  <c r="X410" i="1"/>
  <c r="T410" i="1"/>
  <c r="X409" i="1"/>
  <c r="T409" i="1"/>
  <c r="X406" i="1"/>
  <c r="T406" i="1"/>
  <c r="X405" i="1"/>
  <c r="T405" i="1"/>
  <c r="X403" i="1"/>
  <c r="T403" i="1"/>
  <c r="X402" i="1"/>
  <c r="T402" i="1"/>
  <c r="X401" i="1"/>
  <c r="T401" i="1"/>
  <c r="X400" i="1"/>
  <c r="T400" i="1"/>
  <c r="X399" i="1"/>
  <c r="T399" i="1"/>
  <c r="X398" i="1"/>
  <c r="T398" i="1"/>
  <c r="X390" i="1"/>
  <c r="T390" i="1"/>
  <c r="X397" i="1"/>
  <c r="T397" i="1"/>
  <c r="X396" i="1"/>
  <c r="T396" i="1"/>
  <c r="X395" i="1"/>
  <c r="T395" i="1"/>
  <c r="X394" i="1"/>
  <c r="T394" i="1"/>
  <c r="X393" i="1"/>
  <c r="T393" i="1"/>
  <c r="X392" i="1"/>
  <c r="T392" i="1"/>
  <c r="X389" i="1"/>
  <c r="T389" i="1"/>
  <c r="X387" i="1"/>
  <c r="T387" i="1"/>
  <c r="X386" i="1"/>
  <c r="T386" i="1"/>
  <c r="X388" i="1"/>
  <c r="T388" i="1"/>
  <c r="X384" i="1"/>
  <c r="T384" i="1"/>
  <c r="X383" i="1"/>
  <c r="T383" i="1"/>
  <c r="X382" i="1"/>
  <c r="T382" i="1"/>
  <c r="X381" i="1"/>
  <c r="T381" i="1"/>
  <c r="X380" i="1"/>
  <c r="T380" i="1"/>
  <c r="X379" i="1"/>
  <c r="T379" i="1"/>
  <c r="X378" i="1"/>
  <c r="T378" i="1"/>
  <c r="X377" i="1"/>
  <c r="T377" i="1"/>
  <c r="X376" i="1"/>
  <c r="T376" i="1"/>
  <c r="X375" i="1"/>
  <c r="T375" i="1"/>
  <c r="X374" i="1"/>
  <c r="T374" i="1"/>
  <c r="X373" i="1"/>
  <c r="T373" i="1"/>
  <c r="X372" i="1"/>
  <c r="T372" i="1"/>
  <c r="X371" i="1"/>
  <c r="T371" i="1"/>
  <c r="X370" i="1"/>
  <c r="T370" i="1"/>
  <c r="X369" i="1"/>
  <c r="T369" i="1"/>
  <c r="X368" i="1"/>
  <c r="T368" i="1"/>
  <c r="X367" i="1"/>
  <c r="T367" i="1"/>
  <c r="X366" i="1"/>
  <c r="T366" i="1"/>
  <c r="X365" i="1"/>
  <c r="T365" i="1"/>
  <c r="X364" i="1"/>
  <c r="T364" i="1"/>
  <c r="X363" i="1"/>
  <c r="T363" i="1"/>
  <c r="X362" i="1"/>
  <c r="T362" i="1"/>
  <c r="X361" i="1"/>
  <c r="T361" i="1"/>
  <c r="X360" i="1"/>
  <c r="T360" i="1"/>
  <c r="X359" i="1"/>
  <c r="T359" i="1"/>
  <c r="X358" i="1"/>
  <c r="T358" i="1"/>
  <c r="X357" i="1"/>
  <c r="T357" i="1"/>
  <c r="X356" i="1"/>
  <c r="T356" i="1"/>
  <c r="X351" i="1"/>
  <c r="X350" i="1"/>
  <c r="X354" i="1"/>
  <c r="T354" i="1"/>
  <c r="X353" i="1"/>
  <c r="T353" i="1"/>
  <c r="X349" i="1"/>
  <c r="T349" i="1"/>
  <c r="X348" i="1"/>
  <c r="T348" i="1"/>
  <c r="X347" i="1"/>
  <c r="T347" i="1"/>
  <c r="X346" i="1"/>
  <c r="T346" i="1"/>
  <c r="X345" i="1"/>
  <c r="T345" i="1"/>
  <c r="X344" i="1"/>
  <c r="T344" i="1"/>
  <c r="X343" i="1"/>
  <c r="T343" i="1"/>
  <c r="X337" i="1"/>
  <c r="T337" i="1"/>
  <c r="X336" i="1"/>
  <c r="T336" i="1"/>
  <c r="X335" i="1"/>
  <c r="T335" i="1"/>
  <c r="X334" i="1"/>
  <c r="T334" i="1"/>
  <c r="X333" i="1"/>
  <c r="T333" i="1"/>
  <c r="X332" i="1"/>
  <c r="T332" i="1"/>
  <c r="X331" i="1"/>
  <c r="T331" i="1"/>
  <c r="X330" i="1"/>
  <c r="T330" i="1"/>
  <c r="X329" i="1"/>
  <c r="T329" i="1"/>
  <c r="X328" i="1"/>
  <c r="T328" i="1"/>
  <c r="X326" i="1"/>
  <c r="T326" i="1"/>
  <c r="X325" i="1"/>
  <c r="T325" i="1"/>
  <c r="X324" i="1"/>
  <c r="T324" i="1"/>
  <c r="X323" i="1"/>
  <c r="T323" i="1"/>
  <c r="X322" i="1"/>
  <c r="T322" i="1"/>
  <c r="X321" i="1"/>
  <c r="T321" i="1"/>
  <c r="X320" i="1"/>
  <c r="T320" i="1"/>
  <c r="X314" i="1"/>
  <c r="T314" i="1"/>
  <c r="X319" i="1"/>
  <c r="T319" i="1"/>
  <c r="X318" i="1"/>
  <c r="T318" i="1"/>
  <c r="X317" i="1"/>
  <c r="T317" i="1"/>
  <c r="X316" i="1"/>
  <c r="T316" i="1"/>
  <c r="X313" i="1"/>
  <c r="T313" i="1"/>
  <c r="X312" i="1"/>
  <c r="T312" i="1"/>
  <c r="X311" i="1"/>
  <c r="T311" i="1"/>
  <c r="X310" i="1"/>
  <c r="T310" i="1"/>
  <c r="X309" i="1"/>
  <c r="T309" i="1"/>
  <c r="X308" i="1"/>
  <c r="T308" i="1"/>
  <c r="X306" i="1"/>
  <c r="T306" i="1"/>
  <c r="X305" i="1"/>
  <c r="T305" i="1"/>
  <c r="X304" i="1"/>
  <c r="T304" i="1"/>
  <c r="X303" i="1"/>
  <c r="T303" i="1"/>
  <c r="X302" i="1"/>
  <c r="T302" i="1"/>
  <c r="X299" i="1"/>
  <c r="T299" i="1"/>
  <c r="X298" i="1"/>
  <c r="T298" i="1"/>
  <c r="X297" i="1"/>
  <c r="T297" i="1"/>
  <c r="X296" i="1"/>
  <c r="T296" i="1"/>
  <c r="X295" i="1"/>
  <c r="T295" i="1"/>
  <c r="X294" i="1"/>
  <c r="T294" i="1"/>
  <c r="X293" i="1"/>
  <c r="T293" i="1"/>
  <c r="X292" i="1"/>
  <c r="T292" i="1"/>
  <c r="X291" i="1"/>
  <c r="T291" i="1"/>
  <c r="X290" i="1"/>
  <c r="T290" i="1"/>
  <c r="X289" i="1"/>
  <c r="T289" i="1"/>
  <c r="X288" i="1"/>
  <c r="T288" i="1"/>
  <c r="X287" i="1"/>
  <c r="T287" i="1"/>
  <c r="X286" i="1"/>
  <c r="T286" i="1"/>
  <c r="X285" i="1"/>
  <c r="T285" i="1"/>
  <c r="X284" i="1"/>
  <c r="T284" i="1"/>
  <c r="X283" i="1"/>
  <c r="T283" i="1"/>
  <c r="X282" i="1"/>
  <c r="T282" i="1"/>
  <c r="X281" i="1"/>
  <c r="T281" i="1"/>
  <c r="X280" i="1"/>
  <c r="T280" i="1"/>
  <c r="X279" i="1"/>
  <c r="T279" i="1"/>
  <c r="X278" i="1"/>
  <c r="T278" i="1"/>
  <c r="X277" i="1"/>
  <c r="T277" i="1"/>
  <c r="X276" i="1"/>
  <c r="T276" i="1"/>
  <c r="X275" i="1"/>
  <c r="T275" i="1"/>
  <c r="X274" i="1"/>
  <c r="T274" i="1"/>
  <c r="X273" i="1"/>
  <c r="T273" i="1"/>
  <c r="X272" i="1"/>
  <c r="T272" i="1"/>
  <c r="X271" i="1"/>
  <c r="T271" i="1"/>
  <c r="X262" i="1"/>
  <c r="T262" i="1"/>
  <c r="X270" i="1"/>
  <c r="T270" i="1"/>
  <c r="X269" i="1"/>
  <c r="T269" i="1"/>
  <c r="X268" i="1"/>
  <c r="T268" i="1"/>
  <c r="X267" i="1"/>
  <c r="T267" i="1"/>
  <c r="X266" i="1"/>
  <c r="T266" i="1"/>
  <c r="X265" i="1"/>
  <c r="T265" i="1"/>
  <c r="X264" i="1"/>
  <c r="T264" i="1"/>
  <c r="X263" i="1"/>
  <c r="T263" i="1"/>
  <c r="X261" i="1"/>
  <c r="T261" i="1"/>
  <c r="X260" i="1"/>
  <c r="T260" i="1"/>
  <c r="X259" i="1"/>
  <c r="T259" i="1"/>
  <c r="X258" i="1"/>
  <c r="T258" i="1"/>
  <c r="X257" i="1"/>
  <c r="T257" i="1"/>
  <c r="X256" i="1"/>
  <c r="T256" i="1"/>
  <c r="X235" i="1"/>
  <c r="X239" i="1"/>
  <c r="T239" i="1"/>
  <c r="X238" i="1"/>
  <c r="T238" i="1"/>
  <c r="X237" i="1"/>
  <c r="T237" i="1"/>
  <c r="X236" i="1"/>
  <c r="T236" i="1"/>
  <c r="X250" i="1"/>
  <c r="T250" i="1"/>
  <c r="X249" i="1"/>
  <c r="T249" i="1"/>
  <c r="X248" i="1"/>
  <c r="T248" i="1"/>
  <c r="X247" i="1"/>
  <c r="T247" i="1"/>
  <c r="X246" i="1"/>
  <c r="T246" i="1"/>
  <c r="X245" i="1"/>
  <c r="T245" i="1"/>
  <c r="X244" i="1"/>
  <c r="T244" i="1"/>
  <c r="X243" i="1"/>
  <c r="T243" i="1"/>
  <c r="X255" i="1"/>
  <c r="T255" i="1"/>
  <c r="X254" i="1"/>
  <c r="T254" i="1"/>
  <c r="X253" i="1"/>
  <c r="T253" i="1"/>
  <c r="X252" i="1"/>
  <c r="T252" i="1"/>
  <c r="X251" i="1"/>
  <c r="T251" i="1"/>
  <c r="X234" i="1"/>
  <c r="T234" i="1"/>
  <c r="X233" i="1"/>
  <c r="T233" i="1"/>
  <c r="X232" i="1"/>
  <c r="T232" i="1"/>
  <c r="X231" i="1"/>
  <c r="T231" i="1"/>
  <c r="X230" i="1"/>
  <c r="T230" i="1"/>
  <c r="X229" i="1"/>
  <c r="T229" i="1"/>
  <c r="X228" i="1"/>
  <c r="T228" i="1"/>
  <c r="X227" i="1"/>
  <c r="T227" i="1"/>
  <c r="X226" i="1"/>
  <c r="T226" i="1"/>
  <c r="X218" i="1"/>
  <c r="T218" i="1"/>
  <c r="X225" i="1"/>
  <c r="T225" i="1"/>
  <c r="X224" i="1"/>
  <c r="T224" i="1"/>
  <c r="X223" i="1"/>
  <c r="T223" i="1"/>
  <c r="X222" i="1"/>
  <c r="T222" i="1"/>
  <c r="X221" i="1"/>
  <c r="T221" i="1"/>
  <c r="X220" i="1"/>
  <c r="T220" i="1"/>
  <c r="X219" i="1"/>
  <c r="T219" i="1"/>
  <c r="X217" i="1"/>
  <c r="T217" i="1"/>
  <c r="X216" i="1"/>
  <c r="T216" i="1"/>
  <c r="X208" i="1"/>
  <c r="T208" i="1"/>
  <c r="X207" i="1"/>
  <c r="T207" i="1"/>
  <c r="X215" i="1"/>
  <c r="T215" i="1"/>
  <c r="X214" i="1"/>
  <c r="T214" i="1"/>
  <c r="X213" i="1"/>
  <c r="T213" i="1"/>
  <c r="X212" i="1"/>
  <c r="T212" i="1"/>
  <c r="X211" i="1"/>
  <c r="T211" i="1"/>
  <c r="X210" i="1"/>
  <c r="T210" i="1"/>
  <c r="X209" i="1"/>
  <c r="T209" i="1"/>
  <c r="X203" i="1"/>
  <c r="T203" i="1"/>
  <c r="X202" i="1"/>
  <c r="T202" i="1"/>
  <c r="X206" i="1"/>
  <c r="T206" i="1"/>
  <c r="X205" i="1"/>
  <c r="T205" i="1"/>
  <c r="X204" i="1"/>
  <c r="T204" i="1"/>
  <c r="X198" i="1"/>
  <c r="T198" i="1"/>
  <c r="X197" i="1"/>
  <c r="T197" i="1"/>
  <c r="X196" i="1"/>
  <c r="T196" i="1"/>
  <c r="X195" i="1"/>
  <c r="T195" i="1"/>
  <c r="X194" i="1"/>
  <c r="T194" i="1"/>
  <c r="X193" i="1"/>
  <c r="T193" i="1"/>
  <c r="X192" i="1"/>
  <c r="T192" i="1"/>
  <c r="X191" i="1"/>
  <c r="T191" i="1"/>
  <c r="X190" i="1"/>
  <c r="T190" i="1"/>
  <c r="X189" i="1"/>
  <c r="T189" i="1"/>
  <c r="X188" i="1"/>
  <c r="T188" i="1"/>
  <c r="X187" i="1"/>
  <c r="T187" i="1"/>
  <c r="X186" i="1"/>
  <c r="T186" i="1"/>
  <c r="X185" i="1"/>
  <c r="T185" i="1"/>
  <c r="X184" i="1"/>
  <c r="T184" i="1"/>
  <c r="X183" i="1"/>
  <c r="T183" i="1"/>
  <c r="X182" i="1"/>
  <c r="T182" i="1"/>
  <c r="X181" i="1"/>
  <c r="T181" i="1"/>
  <c r="X180" i="1"/>
  <c r="T180" i="1"/>
  <c r="X179" i="1"/>
  <c r="T179" i="1"/>
  <c r="X178" i="1"/>
  <c r="T178" i="1"/>
  <c r="X177" i="1"/>
  <c r="T177" i="1"/>
  <c r="X176" i="1"/>
  <c r="T176" i="1"/>
  <c r="X175" i="1"/>
  <c r="T175" i="1"/>
  <c r="X174" i="1"/>
  <c r="T174" i="1"/>
  <c r="X173" i="1"/>
  <c r="T173" i="1"/>
  <c r="X172" i="1"/>
  <c r="T172" i="1"/>
  <c r="X171" i="1"/>
  <c r="T171" i="1"/>
  <c r="X170" i="1"/>
  <c r="T170" i="1"/>
  <c r="X169" i="1"/>
  <c r="T169" i="1"/>
  <c r="X168" i="1"/>
  <c r="T168" i="1"/>
  <c r="X167" i="1"/>
  <c r="T167" i="1"/>
  <c r="X166" i="1"/>
  <c r="T166" i="1"/>
  <c r="X165" i="1"/>
  <c r="T165" i="1"/>
  <c r="X164" i="1"/>
  <c r="T164" i="1"/>
  <c r="X163" i="1"/>
  <c r="T163" i="1"/>
  <c r="X162" i="1"/>
  <c r="T162" i="1"/>
  <c r="X161" i="1"/>
  <c r="T161" i="1"/>
  <c r="X160" i="1"/>
  <c r="T160" i="1"/>
  <c r="X159" i="1"/>
  <c r="T159" i="1"/>
  <c r="X158" i="1"/>
  <c r="T158" i="1"/>
  <c r="X157" i="1"/>
  <c r="T157" i="1"/>
  <c r="X156" i="1"/>
  <c r="T156" i="1"/>
  <c r="X153" i="1"/>
  <c r="X152" i="1"/>
  <c r="X151" i="1"/>
  <c r="X155" i="1"/>
  <c r="X154" i="1"/>
  <c r="X150" i="1"/>
  <c r="T150" i="1"/>
  <c r="X149" i="1"/>
  <c r="T149" i="1"/>
  <c r="X148" i="1"/>
  <c r="T148" i="1"/>
  <c r="X147" i="1"/>
  <c r="T147" i="1"/>
  <c r="X146" i="1"/>
  <c r="T146" i="1"/>
  <c r="X145" i="1"/>
  <c r="T145" i="1"/>
  <c r="X144" i="1"/>
  <c r="T144" i="1"/>
  <c r="X143" i="1"/>
  <c r="T143" i="1"/>
  <c r="X142" i="1"/>
  <c r="T142" i="1"/>
  <c r="X141" i="1"/>
  <c r="T141" i="1"/>
  <c r="X140" i="1"/>
  <c r="T140" i="1"/>
  <c r="X139" i="1"/>
  <c r="T139" i="1"/>
  <c r="X138" i="1"/>
  <c r="T138" i="1"/>
  <c r="X137" i="1"/>
  <c r="T137" i="1"/>
  <c r="X136" i="1"/>
  <c r="T136" i="1"/>
  <c r="X135" i="1"/>
  <c r="T135" i="1"/>
  <c r="X134" i="1"/>
  <c r="T134" i="1"/>
  <c r="X133" i="1"/>
  <c r="T133" i="1"/>
  <c r="X132" i="1"/>
  <c r="T132" i="1"/>
  <c r="X131" i="1"/>
  <c r="T131" i="1"/>
  <c r="X130" i="1"/>
  <c r="T130" i="1"/>
  <c r="X129" i="1"/>
  <c r="T129" i="1"/>
  <c r="X128" i="1"/>
  <c r="T128" i="1"/>
  <c r="X127" i="1"/>
  <c r="T127" i="1"/>
  <c r="X126" i="1"/>
  <c r="T126" i="1"/>
  <c r="X125" i="1"/>
  <c r="T125" i="1"/>
  <c r="X124" i="1"/>
  <c r="T124" i="1"/>
  <c r="X123" i="1"/>
  <c r="T123" i="1"/>
  <c r="X122" i="1"/>
  <c r="T122" i="1"/>
  <c r="X121" i="1"/>
  <c r="T121" i="1"/>
  <c r="X120" i="1"/>
  <c r="T120" i="1"/>
  <c r="X119" i="1"/>
  <c r="T119" i="1"/>
  <c r="X118" i="1"/>
  <c r="T118" i="1"/>
  <c r="X117" i="1"/>
  <c r="T117" i="1"/>
  <c r="X113" i="1"/>
  <c r="X112" i="1"/>
  <c r="X111" i="1"/>
  <c r="X105" i="1"/>
  <c r="T105" i="1"/>
  <c r="X104" i="1"/>
  <c r="T104" i="1"/>
  <c r="X103" i="1"/>
  <c r="T103" i="1"/>
  <c r="X102" i="1"/>
  <c r="T102" i="1"/>
  <c r="X101" i="1"/>
  <c r="T101" i="1"/>
  <c r="X100" i="1"/>
  <c r="T100" i="1"/>
  <c r="X99" i="1"/>
  <c r="T99" i="1"/>
  <c r="X98" i="1"/>
  <c r="T98" i="1"/>
  <c r="X109" i="1"/>
  <c r="T109" i="1"/>
  <c r="X108" i="1"/>
  <c r="T108" i="1"/>
  <c r="X107" i="1"/>
  <c r="T107" i="1"/>
  <c r="X106" i="1"/>
  <c r="T106" i="1"/>
  <c r="X97" i="1"/>
  <c r="T97" i="1"/>
  <c r="X96" i="1"/>
  <c r="T96" i="1"/>
  <c r="X95" i="1"/>
  <c r="T95" i="1"/>
  <c r="X94" i="1"/>
  <c r="T94" i="1"/>
  <c r="X93" i="1"/>
  <c r="T93" i="1"/>
  <c r="X92" i="1"/>
  <c r="T92" i="1"/>
  <c r="X91" i="1"/>
  <c r="T91" i="1"/>
  <c r="X90" i="1"/>
  <c r="T90" i="1"/>
  <c r="X89" i="1"/>
  <c r="T89" i="1"/>
  <c r="X88" i="1"/>
  <c r="T88" i="1"/>
  <c r="X87" i="1"/>
  <c r="T87" i="1"/>
  <c r="X86" i="1"/>
  <c r="T86" i="1"/>
  <c r="X85" i="1"/>
  <c r="T85" i="1"/>
  <c r="X84" i="1"/>
  <c r="T84" i="1"/>
  <c r="X83" i="1"/>
  <c r="T83" i="1"/>
  <c r="X82" i="1"/>
  <c r="T82" i="1"/>
  <c r="X81" i="1"/>
  <c r="T81" i="1"/>
  <c r="X80" i="1"/>
  <c r="T80" i="1"/>
  <c r="X79" i="1"/>
  <c r="T79" i="1"/>
  <c r="X78" i="1"/>
  <c r="T78" i="1"/>
  <c r="X77" i="1"/>
  <c r="T77" i="1"/>
  <c r="X76" i="1"/>
  <c r="T76" i="1"/>
  <c r="X75" i="1"/>
  <c r="T75" i="1"/>
  <c r="X74" i="1"/>
  <c r="T74" i="1"/>
  <c r="X73" i="1"/>
  <c r="T73" i="1"/>
  <c r="X72" i="1"/>
  <c r="T72" i="1"/>
  <c r="X71" i="1"/>
  <c r="T71" i="1"/>
  <c r="X70" i="1"/>
  <c r="T70" i="1"/>
  <c r="X69" i="1"/>
  <c r="T69" i="1"/>
  <c r="X68" i="1"/>
  <c r="T68" i="1"/>
  <c r="X67" i="1"/>
  <c r="T67" i="1"/>
  <c r="X66" i="1"/>
  <c r="T66" i="1"/>
  <c r="X65" i="1"/>
  <c r="T65" i="1"/>
  <c r="X64" i="1"/>
  <c r="T64" i="1"/>
  <c r="X63" i="1"/>
  <c r="T63" i="1"/>
  <c r="X62" i="1"/>
  <c r="T62" i="1"/>
  <c r="X61" i="1"/>
  <c r="T61" i="1"/>
  <c r="X60" i="1"/>
  <c r="T60" i="1"/>
  <c r="X59" i="1"/>
  <c r="T59" i="1"/>
  <c r="X58" i="1"/>
  <c r="T58" i="1"/>
  <c r="X57" i="1"/>
  <c r="T57" i="1"/>
  <c r="X56" i="1"/>
  <c r="T56" i="1"/>
  <c r="X55" i="1"/>
  <c r="T55" i="1"/>
  <c r="X54" i="1"/>
  <c r="T54" i="1"/>
  <c r="X53" i="1"/>
  <c r="T53" i="1"/>
  <c r="X52" i="1"/>
  <c r="T52" i="1"/>
  <c r="X51" i="1"/>
  <c r="T51" i="1"/>
  <c r="X50" i="1"/>
  <c r="T50" i="1"/>
  <c r="X49" i="1"/>
  <c r="T49" i="1"/>
  <c r="X48" i="1"/>
  <c r="T48" i="1"/>
  <c r="X47" i="1"/>
  <c r="T47" i="1"/>
  <c r="X46" i="1"/>
  <c r="T46" i="1"/>
  <c r="X45" i="1"/>
  <c r="T45" i="1"/>
  <c r="X44" i="1"/>
  <c r="T44" i="1"/>
  <c r="X43" i="1"/>
  <c r="T43" i="1"/>
  <c r="X42" i="1"/>
  <c r="T42" i="1"/>
  <c r="X41" i="1"/>
  <c r="T41" i="1"/>
  <c r="X40" i="1"/>
  <c r="T40" i="1"/>
  <c r="X39" i="1"/>
  <c r="T39" i="1"/>
  <c r="X38" i="1"/>
  <c r="T38" i="1"/>
  <c r="X37" i="1"/>
  <c r="T37" i="1"/>
  <c r="X36" i="1"/>
  <c r="T36" i="1"/>
  <c r="X35" i="1"/>
  <c r="T35" i="1"/>
  <c r="X34" i="1"/>
  <c r="T34" i="1"/>
  <c r="X33" i="1"/>
  <c r="T33" i="1"/>
  <c r="X32" i="1"/>
  <c r="T32" i="1"/>
  <c r="X31" i="1"/>
  <c r="T31" i="1"/>
  <c r="X30" i="1"/>
  <c r="T30" i="1"/>
  <c r="X29" i="1"/>
  <c r="T29" i="1"/>
  <c r="X28" i="1"/>
  <c r="T28" i="1"/>
  <c r="X27" i="1"/>
  <c r="T27" i="1"/>
  <c r="X26" i="1"/>
  <c r="T26" i="1"/>
  <c r="X25" i="1"/>
  <c r="T25" i="1"/>
  <c r="X24" i="1"/>
  <c r="T24" i="1"/>
  <c r="X23" i="1"/>
  <c r="T23" i="1"/>
  <c r="X22" i="1"/>
  <c r="T22" i="1"/>
  <c r="X21" i="1"/>
  <c r="T21" i="1"/>
  <c r="X20" i="1"/>
  <c r="T20" i="1"/>
  <c r="X19" i="1"/>
  <c r="T19" i="1"/>
</calcChain>
</file>

<file path=xl/sharedStrings.xml><?xml version="1.0" encoding="utf-8"?>
<sst xmlns="http://schemas.openxmlformats.org/spreadsheetml/2006/main" count="34821" uniqueCount="4473">
  <si>
    <t>Project</t>
  </si>
  <si>
    <t>Sample CiASOM ID</t>
  </si>
  <si>
    <t>Sample MOSAiC ID</t>
  </si>
  <si>
    <t>PS Operation Device/Lable on Bottle</t>
  </si>
  <si>
    <t>Leg</t>
  </si>
  <si>
    <t>Week</t>
  </si>
  <si>
    <t>Location</t>
  </si>
  <si>
    <t>Snow Thickness (cm)</t>
  </si>
  <si>
    <t>Latitude</t>
  </si>
  <si>
    <t>Longitude</t>
  </si>
  <si>
    <t>Media Type</t>
  </si>
  <si>
    <t>Date</t>
  </si>
  <si>
    <t>Time</t>
  </si>
  <si>
    <t>Week_MOSAiC</t>
  </si>
  <si>
    <t>Air_Temp</t>
  </si>
  <si>
    <r>
      <t>In Core Temp (</t>
    </r>
    <r>
      <rPr>
        <b/>
        <sz val="11"/>
        <color rgb="FF3F3F3F"/>
        <rFont val="Calibri"/>
        <family val="2"/>
      </rPr>
      <t>°C)</t>
    </r>
  </si>
  <si>
    <t>Sample Depth (cm)</t>
  </si>
  <si>
    <t>Depth 1 (cm)</t>
  </si>
  <si>
    <t>Depth_2</t>
  </si>
  <si>
    <t>Mean_Depth</t>
  </si>
  <si>
    <t>Salinity (psu)</t>
  </si>
  <si>
    <t>d18O</t>
  </si>
  <si>
    <t>dD</t>
  </si>
  <si>
    <t>d_excess</t>
  </si>
  <si>
    <t>Comments</t>
  </si>
  <si>
    <t>CiASOM</t>
  </si>
  <si>
    <t>M10105</t>
  </si>
  <si>
    <t>20191003 122-DN-L1-c1-72-82 2/2</t>
  </si>
  <si>
    <t>DN_1</t>
  </si>
  <si>
    <t>ICE</t>
  </si>
  <si>
    <t>M10106</t>
  </si>
  <si>
    <t>20191003 122-DN-L1-c1-92-99 2/2</t>
  </si>
  <si>
    <t>M10107</t>
  </si>
  <si>
    <t>20191003 122-DN-L1-c1-30-42 1/2</t>
  </si>
  <si>
    <t>M10108</t>
  </si>
  <si>
    <t>20191003 122-DN-L1-c1-82-92 2/2</t>
  </si>
  <si>
    <t>M10119</t>
  </si>
  <si>
    <t>20191003_122-L1-01 0-10 cm DN Stat. 1/2</t>
  </si>
  <si>
    <t>M10120</t>
  </si>
  <si>
    <t>20191003_122-DN-L1-core1 10-20 1/2</t>
  </si>
  <si>
    <t>M10121</t>
  </si>
  <si>
    <t>20191003_122-DN-L1-c1 20-30</t>
  </si>
  <si>
    <t>M10122</t>
  </si>
  <si>
    <t>20191003_122-DN-L1-c1 52-62 2/2</t>
  </si>
  <si>
    <t>M10123</t>
  </si>
  <si>
    <t>20191003_122-DN-L1-c1 62-72 2/2</t>
  </si>
  <si>
    <t>DN-L1-CORE2/0-10CM/20191005</t>
  </si>
  <si>
    <t>DN-L1-CORE4/0-10CM/20191005</t>
  </si>
  <si>
    <t>M10801</t>
  </si>
  <si>
    <t>122-DN</t>
  </si>
  <si>
    <t xml:space="preserve">122-DN-L3-core1 </t>
  </si>
  <si>
    <t>M10802</t>
  </si>
  <si>
    <t>M10803</t>
  </si>
  <si>
    <t>M10804</t>
  </si>
  <si>
    <t>M10805</t>
  </si>
  <si>
    <t>M10806</t>
  </si>
  <si>
    <t>20191009 DN_L3_/CORE4 FEDEROV/1X  0-10CM</t>
  </si>
  <si>
    <t>DN_2</t>
  </si>
  <si>
    <t>M10340</t>
  </si>
  <si>
    <t xml:space="preserve">122/1_2_68 #24 2m </t>
  </si>
  <si>
    <t>Ocean city</t>
  </si>
  <si>
    <t>M10850</t>
  </si>
  <si>
    <t>PS122/1_2-132</t>
  </si>
  <si>
    <t>R&amp;A reg3 survey</t>
  </si>
  <si>
    <t>0-10</t>
  </si>
  <si>
    <t>M10851</t>
  </si>
  <si>
    <t>10-20</t>
  </si>
  <si>
    <t>M10852</t>
  </si>
  <si>
    <t>20-32</t>
  </si>
  <si>
    <t>M10853</t>
  </si>
  <si>
    <t>32-43</t>
  </si>
  <si>
    <t>M10854</t>
  </si>
  <si>
    <t>PS122/1_2_138</t>
  </si>
  <si>
    <t>0-12</t>
  </si>
  <si>
    <t>M10855</t>
  </si>
  <si>
    <t>12-24</t>
  </si>
  <si>
    <t>M10856</t>
  </si>
  <si>
    <t>PS122/1_2-133</t>
  </si>
  <si>
    <t>0-13.5</t>
  </si>
  <si>
    <t>M10857</t>
  </si>
  <si>
    <t>13.5-24cm</t>
  </si>
  <si>
    <t>M10858</t>
  </si>
  <si>
    <t>24-34</t>
  </si>
  <si>
    <t>M10859</t>
  </si>
  <si>
    <t>34-42</t>
  </si>
  <si>
    <t>M10860</t>
  </si>
  <si>
    <t>42-53</t>
  </si>
  <si>
    <t>M10861</t>
  </si>
  <si>
    <t>53-63</t>
  </si>
  <si>
    <t>M10862</t>
  </si>
  <si>
    <t>63-78</t>
  </si>
  <si>
    <t>M10863</t>
  </si>
  <si>
    <t>PS122/1_2-131</t>
  </si>
  <si>
    <t>M10864</t>
  </si>
  <si>
    <t>10-23cm</t>
  </si>
  <si>
    <t>M10865</t>
  </si>
  <si>
    <t>23-33</t>
  </si>
  <si>
    <t>M10866</t>
  </si>
  <si>
    <t>33-43</t>
  </si>
  <si>
    <t>M10867</t>
  </si>
  <si>
    <t>43-53</t>
  </si>
  <si>
    <t>M10868</t>
  </si>
  <si>
    <t>53-60</t>
  </si>
  <si>
    <t>M10869</t>
  </si>
  <si>
    <t>60-69</t>
  </si>
  <si>
    <t>M10870</t>
  </si>
  <si>
    <t>PS122/1_2-154</t>
  </si>
  <si>
    <t>R&amp;A 2nd survey</t>
  </si>
  <si>
    <t>M10871</t>
  </si>
  <si>
    <t>10-20cm</t>
  </si>
  <si>
    <t>M10872</t>
  </si>
  <si>
    <t>20-30cm</t>
  </si>
  <si>
    <t>M10873</t>
  </si>
  <si>
    <t>30-39cm</t>
  </si>
  <si>
    <t>M10874</t>
  </si>
  <si>
    <t>PS122/1_2-153</t>
  </si>
  <si>
    <t>M10875</t>
  </si>
  <si>
    <t>M10876</t>
  </si>
  <si>
    <t>M10877</t>
  </si>
  <si>
    <t>30-38cm</t>
  </si>
  <si>
    <t>M10878</t>
  </si>
  <si>
    <t>38-48</t>
  </si>
  <si>
    <t>M10879</t>
  </si>
  <si>
    <t>48-58</t>
  </si>
  <si>
    <t>M10880</t>
  </si>
  <si>
    <t>PS122/1_2-151</t>
  </si>
  <si>
    <t>M10881</t>
  </si>
  <si>
    <t>M10882</t>
  </si>
  <si>
    <t>20-34cm</t>
  </si>
  <si>
    <t>M10883</t>
  </si>
  <si>
    <t>PS122/1_2-152</t>
  </si>
  <si>
    <t>M10884</t>
  </si>
  <si>
    <t>M10885</t>
  </si>
  <si>
    <t>20-32cm</t>
  </si>
  <si>
    <t>M10886</t>
  </si>
  <si>
    <t>32-42cm</t>
  </si>
  <si>
    <t>M10887</t>
  </si>
  <si>
    <t>M10888</t>
  </si>
  <si>
    <t>10--20</t>
  </si>
  <si>
    <t>M10889</t>
  </si>
  <si>
    <t>20-31</t>
  </si>
  <si>
    <t>M10890</t>
  </si>
  <si>
    <t>31-44</t>
  </si>
  <si>
    <t>M10891</t>
  </si>
  <si>
    <t>M10892</t>
  </si>
  <si>
    <t>M10893</t>
  </si>
  <si>
    <t>20--30</t>
  </si>
  <si>
    <t>M10894</t>
  </si>
  <si>
    <t>30-37.5</t>
  </si>
  <si>
    <t>M10895</t>
  </si>
  <si>
    <t>37.5-46.5</t>
  </si>
  <si>
    <t>M10896</t>
  </si>
  <si>
    <t>PS122/1_2-203</t>
  </si>
  <si>
    <t>LOG area</t>
  </si>
  <si>
    <t>M10897</t>
  </si>
  <si>
    <t>M10898</t>
  </si>
  <si>
    <t>M10899</t>
  </si>
  <si>
    <t>30-40</t>
  </si>
  <si>
    <t>M10900</t>
  </si>
  <si>
    <t>40-50</t>
  </si>
  <si>
    <t>M10901</t>
  </si>
  <si>
    <t>50-60</t>
  </si>
  <si>
    <t>M10902</t>
  </si>
  <si>
    <t>60-70</t>
  </si>
  <si>
    <t>M10903</t>
  </si>
  <si>
    <t>70-80</t>
  </si>
  <si>
    <t>M10904</t>
  </si>
  <si>
    <t>80-90</t>
  </si>
  <si>
    <t>M10905</t>
  </si>
  <si>
    <t>90-100</t>
  </si>
  <si>
    <t>M10906</t>
  </si>
  <si>
    <t>100-110</t>
  </si>
  <si>
    <t>M10907</t>
  </si>
  <si>
    <t>110-120</t>
  </si>
  <si>
    <t>M10908</t>
  </si>
  <si>
    <t>120-130</t>
  </si>
  <si>
    <t>M10909</t>
  </si>
  <si>
    <t>130-141</t>
  </si>
  <si>
    <t>PS122/1_4-29</t>
  </si>
  <si>
    <t>BGC_1</t>
  </si>
  <si>
    <t>M10339</t>
  </si>
  <si>
    <t>122_1_4 #12 2m 24.10.19</t>
  </si>
  <si>
    <t>M10342</t>
  </si>
  <si>
    <t>122_1_4 #5 OC 85cm 24.10.19</t>
  </si>
  <si>
    <t>M10344</t>
  </si>
  <si>
    <t>122_1_4 #11 10m 24.10.19</t>
  </si>
  <si>
    <t>M10345</t>
  </si>
  <si>
    <t>122_1_4 #6 OC 45m 24.10.19</t>
  </si>
  <si>
    <t>M10346</t>
  </si>
  <si>
    <t>122_1_4 #4 OC 78m 24.10.19</t>
  </si>
  <si>
    <t>M10347</t>
  </si>
  <si>
    <t>122_1_4 #8 OC 32.7m 24.10.19</t>
  </si>
  <si>
    <t>M10350</t>
  </si>
  <si>
    <t>122_1_4 #10 OC 20m 24.10.19</t>
  </si>
  <si>
    <t>M10358</t>
  </si>
  <si>
    <t>122_1_4 #3 90m 24.10.19 OC</t>
  </si>
  <si>
    <t>122/1_4</t>
  </si>
  <si>
    <t>Profile bottom</t>
  </si>
  <si>
    <t>Snow</t>
  </si>
  <si>
    <t>Profile middle</t>
  </si>
  <si>
    <t>Profile top</t>
  </si>
  <si>
    <t>PS122/1_5-3</t>
  </si>
  <si>
    <t>DS_FYI</t>
  </si>
  <si>
    <t>0-5</t>
  </si>
  <si>
    <t>5--10</t>
  </si>
  <si>
    <t>36.5-41.5</t>
  </si>
  <si>
    <t>31.5-36.5</t>
  </si>
  <si>
    <t>20.7-31.5</t>
  </si>
  <si>
    <t>10--20.7</t>
  </si>
  <si>
    <t>PS122/1_5-78</t>
  </si>
  <si>
    <t>DS_SYI</t>
  </si>
  <si>
    <t>70-75</t>
  </si>
  <si>
    <t>65-70</t>
  </si>
  <si>
    <t>55-65</t>
  </si>
  <si>
    <t>45-55</t>
  </si>
  <si>
    <t>20-30</t>
  </si>
  <si>
    <t>30-45</t>
  </si>
  <si>
    <t>PS122/1_5-81</t>
  </si>
  <si>
    <t>10--20 (6+4 nat.break)</t>
  </si>
  <si>
    <t>30-40 (6+4 nat.break)</t>
  </si>
  <si>
    <t>40-51</t>
  </si>
  <si>
    <t>51-61</t>
  </si>
  <si>
    <t>61-71</t>
  </si>
  <si>
    <t>71-82</t>
  </si>
  <si>
    <t>82-92</t>
  </si>
  <si>
    <t>92-102</t>
  </si>
  <si>
    <t>102-112</t>
  </si>
  <si>
    <t>112-122</t>
  </si>
  <si>
    <t>122-132 (nat. break)</t>
  </si>
  <si>
    <t>132-142</t>
  </si>
  <si>
    <t>142-152</t>
  </si>
  <si>
    <t>152-162</t>
  </si>
  <si>
    <t>162-172 (5+5 nat.break)</t>
  </si>
  <si>
    <t>172-183</t>
  </si>
  <si>
    <t>183-195</t>
  </si>
  <si>
    <t>122_1_5</t>
  </si>
  <si>
    <t>BGC Site</t>
  </si>
  <si>
    <t>CAR0001 snowpid david</t>
  </si>
  <si>
    <t>PS122/1_5-92</t>
  </si>
  <si>
    <t>FYI_mc</t>
  </si>
  <si>
    <t>PS122/1_5-93</t>
  </si>
  <si>
    <t>SYI_mc</t>
  </si>
  <si>
    <t>M10195</t>
  </si>
  <si>
    <t>122/1_5_24 BGC#32 0-5 cm 30.10.19</t>
  </si>
  <si>
    <t>M10203</t>
  </si>
  <si>
    <t>122/1_5_24 BGC #32 5-10 cm 30.10.19</t>
  </si>
  <si>
    <t>M10204</t>
  </si>
  <si>
    <t>122/1_5_24 BGC #32 20-29 cm 30.10.19</t>
  </si>
  <si>
    <t>M10213</t>
  </si>
  <si>
    <t>122/1_5_24 BGC #32 29-38 cm 30.10.19</t>
  </si>
  <si>
    <t>M10214</t>
  </si>
  <si>
    <t>122/1_5_24 BGC #32 10-20 cm 30.10.19</t>
  </si>
  <si>
    <t>122/1_5_</t>
  </si>
  <si>
    <t>4.5-9 cm</t>
  </si>
  <si>
    <t>0-4.5 cm</t>
  </si>
  <si>
    <t>M10341</t>
  </si>
  <si>
    <t>122/1_5_46 #12 2m 01.11.19</t>
  </si>
  <si>
    <t>M10196</t>
  </si>
  <si>
    <t>122/1_5#35 11-22cm site 2 02.11.19</t>
  </si>
  <si>
    <t>M10197</t>
  </si>
  <si>
    <t>122/1_5 #35 30,5-39 cm site 2 02.11.19</t>
  </si>
  <si>
    <t>M10198</t>
  </si>
  <si>
    <t>122/1_5 #35 94-101 cm site 2 02.11.19</t>
  </si>
  <si>
    <t>M10199</t>
  </si>
  <si>
    <t>122/1_5 #35 84-94 cm site 2 02.11.19</t>
  </si>
  <si>
    <t>M10200</t>
  </si>
  <si>
    <t>122/1_5 #35 00-11 cm site 2 02.11.19</t>
  </si>
  <si>
    <t>M10201</t>
  </si>
  <si>
    <t>122/1_5 #35 22-30.5 cm site 2 02.11.19</t>
  </si>
  <si>
    <t>M10202</t>
  </si>
  <si>
    <t>122/1_5 #35 74-84 cm site 2 02.11.19</t>
  </si>
  <si>
    <t>PS122/1_5-95 snow_sampler_metal</t>
  </si>
  <si>
    <t>BGC_2</t>
  </si>
  <si>
    <t>0-6</t>
  </si>
  <si>
    <t>6-12</t>
  </si>
  <si>
    <t>12-18</t>
  </si>
  <si>
    <t>M10205</t>
  </si>
  <si>
    <t>122/1_6 BGC #42 46-58 cm 04.11.19   336</t>
  </si>
  <si>
    <t>46-58</t>
  </si>
  <si>
    <t>M10206</t>
  </si>
  <si>
    <t>122/1_6-BGC #42 34-46 cm 04.11.19</t>
  </si>
  <si>
    <t>34-46</t>
  </si>
  <si>
    <t>M10207</t>
  </si>
  <si>
    <t>122/1_6 BGC #42 73-78 cm 04.11.19 Subsampled from CH4</t>
  </si>
  <si>
    <t>73-78</t>
  </si>
  <si>
    <t>M10208</t>
  </si>
  <si>
    <t>122/1_6 BGC #42 68-73 cm 04.11.19 subsampled from CH4</t>
  </si>
  <si>
    <t>68-73</t>
  </si>
  <si>
    <t>M10209</t>
  </si>
  <si>
    <t>122/1_6 BGC #42 10-20 cm 04.11.19</t>
  </si>
  <si>
    <t>M10210</t>
  </si>
  <si>
    <t>122/1_6 BGC #42 5-10 cm 04.11.19</t>
  </si>
  <si>
    <t>5-10</t>
  </si>
  <si>
    <t>M10211</t>
  </si>
  <si>
    <t>122/1_6 BGC #42 58-68 cm 04.11.19</t>
  </si>
  <si>
    <t>58-68</t>
  </si>
  <si>
    <t>M10212</t>
  </si>
  <si>
    <t>122/1_6 BGC #42 20-34 cm 04.11.19</t>
  </si>
  <si>
    <t>20-34</t>
  </si>
  <si>
    <t>M10215</t>
  </si>
  <si>
    <t>122/1_6 BGC #42 0-5cm 04.11.19 CH4 -SYI subsampled from CH4</t>
  </si>
  <si>
    <t>M10216</t>
  </si>
  <si>
    <t>122/1_6 BGC #39 0-5cm 04.11.19 FYI</t>
  </si>
  <si>
    <t>M10217</t>
  </si>
  <si>
    <t>122/1_6 BGC #39 44.5-49.5 cm 04.11.19 FYI</t>
  </si>
  <si>
    <t>44.5-49.5</t>
  </si>
  <si>
    <t>M10218</t>
  </si>
  <si>
    <t>122/1_6 BGC #39 29.5-39.5 cm 04.11.19 FYI</t>
  </si>
  <si>
    <t>29.5-39.5</t>
  </si>
  <si>
    <t>M10219</t>
  </si>
  <si>
    <t>122/1_6 BGC #39 39.5-44.5 cm 04.11.19 FYI</t>
  </si>
  <si>
    <t>39.5-44.5</t>
  </si>
  <si>
    <t>M10220</t>
  </si>
  <si>
    <t>122/1_6 BGC #39 20-29.5 cm 04.11.19 FYI</t>
  </si>
  <si>
    <t>20-29.5</t>
  </si>
  <si>
    <t>M10221</t>
  </si>
  <si>
    <t>122/1_6 BGC #39 10-20 cm 04.11.19 FYI</t>
  </si>
  <si>
    <t>M10222</t>
  </si>
  <si>
    <t>122/1_6 BGC #39 5-10 cm 04.11.19 FYI</t>
  </si>
  <si>
    <t>M10910</t>
  </si>
  <si>
    <t>PS122-1_6-10</t>
  </si>
  <si>
    <t>M10911</t>
  </si>
  <si>
    <t>M10912</t>
  </si>
  <si>
    <t>M10913</t>
  </si>
  <si>
    <t>30-42</t>
  </si>
  <si>
    <t>M10914</t>
  </si>
  <si>
    <t>42-50</t>
  </si>
  <si>
    <t>M10915</t>
  </si>
  <si>
    <t>50-58</t>
  </si>
  <si>
    <t>M10916</t>
  </si>
  <si>
    <t>M10917</t>
  </si>
  <si>
    <t>68-78</t>
  </si>
  <si>
    <t>M10918</t>
  </si>
  <si>
    <t>78-90</t>
  </si>
  <si>
    <t>122-1-6-10</t>
  </si>
  <si>
    <t>FYI</t>
  </si>
  <si>
    <t>0-4</t>
  </si>
  <si>
    <t>122/1_6</t>
  </si>
  <si>
    <t>4-8</t>
  </si>
  <si>
    <t>8-12</t>
  </si>
  <si>
    <t>PS122-1_6-34 (was 122-1-6-7 before)</t>
  </si>
  <si>
    <t>0-4.5</t>
  </si>
  <si>
    <t xml:space="preserve"> </t>
  </si>
  <si>
    <t>4.5-9</t>
  </si>
  <si>
    <t>PS122-1_6-59</t>
  </si>
  <si>
    <t>BGC_3</t>
  </si>
  <si>
    <t>65-75</t>
  </si>
  <si>
    <t>75-85</t>
  </si>
  <si>
    <t>85-97</t>
  </si>
  <si>
    <t>97-107</t>
  </si>
  <si>
    <t>107-117</t>
  </si>
  <si>
    <t>PS122/1_6-140 snow_sampler_metal</t>
  </si>
  <si>
    <t>6-12 cm</t>
  </si>
  <si>
    <t>fitting were open</t>
  </si>
  <si>
    <t>PS122-1_6-61</t>
  </si>
  <si>
    <t>40-52</t>
  </si>
  <si>
    <t>4-7cm</t>
  </si>
  <si>
    <t>S = 38.9</t>
  </si>
  <si>
    <t>M10337</t>
  </si>
  <si>
    <t>122/1_6_38 #12 2m 07.11.19</t>
  </si>
  <si>
    <t>M10223</t>
  </si>
  <si>
    <t>122/1_6 #58 48-62 cm 10.11.19</t>
  </si>
  <si>
    <t>48-62</t>
  </si>
  <si>
    <t>M10224</t>
  </si>
  <si>
    <t>PS122/1_6 #58 0-10 cm 10.11.19</t>
  </si>
  <si>
    <t>M10225</t>
  </si>
  <si>
    <t>122/1_6 #58 20-29 cm 10.11.19</t>
  </si>
  <si>
    <t>20-29</t>
  </si>
  <si>
    <t>M10226</t>
  </si>
  <si>
    <t>122/1_6 #58 10-20 cm 10.11.19</t>
  </si>
  <si>
    <t>M10227</t>
  </si>
  <si>
    <t>122/1_6 #58 38-48 cm 10.11.19</t>
  </si>
  <si>
    <t>M10228</t>
  </si>
  <si>
    <t>122/1_6 #58 29-38 cm 10.11.19</t>
  </si>
  <si>
    <t>29-38</t>
  </si>
  <si>
    <t>PS122/1_6-136 snow_sampler_metal</t>
  </si>
  <si>
    <t>10-15</t>
  </si>
  <si>
    <t>PS122/1_7-6 SI_corer_9cm</t>
  </si>
  <si>
    <t>30-39</t>
  </si>
  <si>
    <t>39-47</t>
  </si>
  <si>
    <t>PS122/1_7-9 SI_corer_9cm</t>
  </si>
  <si>
    <t>20-32.5</t>
  </si>
  <si>
    <t>32.5-45.5</t>
  </si>
  <si>
    <t>45.5-55.5</t>
  </si>
  <si>
    <t>55.5-65.5</t>
  </si>
  <si>
    <t>65.5-74.5</t>
  </si>
  <si>
    <t>74.5-83.5</t>
  </si>
  <si>
    <t>M10537</t>
  </si>
  <si>
    <t>Lead C 10 cm 200722</t>
  </si>
  <si>
    <t>Lead Survey - Lead C between ROV and Drones</t>
  </si>
  <si>
    <t>Lead Ice</t>
  </si>
  <si>
    <t>M10538</t>
  </si>
  <si>
    <t>20200722 lead D 100 cm</t>
  </si>
  <si>
    <t>Lead</t>
  </si>
  <si>
    <t>M10539</t>
  </si>
  <si>
    <t>20200722 lead D 5 cm</t>
  </si>
  <si>
    <t>M10540</t>
  </si>
  <si>
    <t>20200722 lead D 55 cm</t>
  </si>
  <si>
    <t>M10536</t>
  </si>
  <si>
    <t>Bot 2020-07-20 James Pond</t>
  </si>
  <si>
    <t>Meltpond bottom</t>
  </si>
  <si>
    <t>bottom</t>
  </si>
  <si>
    <t>PS122/1_7-105 snow_sampler_metal</t>
  </si>
  <si>
    <t>5-10cm</t>
  </si>
  <si>
    <t>10-13cm</t>
  </si>
  <si>
    <t>data with Mike</t>
  </si>
  <si>
    <t>PS122/1_7-106 snow_sampler_metal</t>
  </si>
  <si>
    <t>8-12cm</t>
  </si>
  <si>
    <t>4-8cm</t>
  </si>
  <si>
    <t>PS122/1_7-52 SI_corer_9cm</t>
  </si>
  <si>
    <t>0-15cm</t>
  </si>
  <si>
    <t>15-30cm</t>
  </si>
  <si>
    <t>45-59.5</t>
  </si>
  <si>
    <t>59.5-75</t>
  </si>
  <si>
    <t>75-90</t>
  </si>
  <si>
    <t>90-103.5</t>
  </si>
  <si>
    <t>122/1_7</t>
  </si>
  <si>
    <t>12-18 cm</t>
  </si>
  <si>
    <t>M10336</t>
  </si>
  <si>
    <t>122/1_7 #12 2m 13.11.2019</t>
  </si>
  <si>
    <t>M10229</t>
  </si>
  <si>
    <t>122/1_7 #78 0-10 cm 14.11.2019</t>
  </si>
  <si>
    <t>0-10cm</t>
  </si>
  <si>
    <t>M10230</t>
  </si>
  <si>
    <t>122/1_7 #78 40-50 cm 14.11.2019</t>
  </si>
  <si>
    <t>M10231</t>
  </si>
  <si>
    <t>122/1_7 #78 30-40 cm 14.11.2019</t>
  </si>
  <si>
    <t>M10232</t>
  </si>
  <si>
    <t>122/1_7 #78 20-30 cm 14.11.2019</t>
  </si>
  <si>
    <t>M10233</t>
  </si>
  <si>
    <t>122/1_7 #78 10-20 cm 14.11.2019</t>
  </si>
  <si>
    <t>0-6 cm</t>
  </si>
  <si>
    <t>6-12cm</t>
  </si>
  <si>
    <t>12-18cm</t>
  </si>
  <si>
    <t>M10234</t>
  </si>
  <si>
    <t>122/1_7 #82 71-81 cm 15.11.2019</t>
  </si>
  <si>
    <t>71-81</t>
  </si>
  <si>
    <t>M10235</t>
  </si>
  <si>
    <t>122/1_7 #82 81-90 cm 15.11.2019</t>
  </si>
  <si>
    <t>81-90</t>
  </si>
  <si>
    <t>M10236</t>
  </si>
  <si>
    <t>122/1_7 #82 61-71 cm 15.11.2019</t>
  </si>
  <si>
    <t>M10237</t>
  </si>
  <si>
    <t>122/1_7 #82 51-61 cm 15.11.2019</t>
  </si>
  <si>
    <t>M10238</t>
  </si>
  <si>
    <t>122/1_7 #82 41-51 cm 15.11.2019</t>
  </si>
  <si>
    <t>41-51</t>
  </si>
  <si>
    <t>M10239</t>
  </si>
  <si>
    <t>122/1_7 #82 30.5-41 cm 15.11.2019</t>
  </si>
  <si>
    <t>30.5--41</t>
  </si>
  <si>
    <t>M10240</t>
  </si>
  <si>
    <t>122/1_7 #82 20-30.5 cm 15.11.2019</t>
  </si>
  <si>
    <t>20-30.5</t>
  </si>
  <si>
    <t>M10241</t>
  </si>
  <si>
    <t>122/1_7 #82 10-20 cm 15.11.2019</t>
  </si>
  <si>
    <t>M10242</t>
  </si>
  <si>
    <t>122/1_7 #82 0-10 cm 15.11.2019</t>
  </si>
  <si>
    <t>M10243</t>
  </si>
  <si>
    <t>122/1_7 #82 90-110 cm 15.11.2020</t>
  </si>
  <si>
    <t>99-110</t>
  </si>
  <si>
    <t>M10244</t>
  </si>
  <si>
    <t>122/1_7 #82 90-99 cm 15.11.2020</t>
  </si>
  <si>
    <t>90-99</t>
  </si>
  <si>
    <t>M10245</t>
  </si>
  <si>
    <t>122/1_7 #82 169-178 cm 15.11.2020</t>
  </si>
  <si>
    <t>169-178</t>
  </si>
  <si>
    <t>M10246</t>
  </si>
  <si>
    <t>122/1_7 #82 160-169 cm 15.11.2020</t>
  </si>
  <si>
    <t>160-169</t>
  </si>
  <si>
    <t>M10247</t>
  </si>
  <si>
    <t>122/1_7 #82 110-120 cm 15.11.2020</t>
  </si>
  <si>
    <t>M10248</t>
  </si>
  <si>
    <t>122/1_7 #82 150-160 cm 15.11.2020</t>
  </si>
  <si>
    <t>150-160</t>
  </si>
  <si>
    <t>M10249</t>
  </si>
  <si>
    <t>122/1_7 #82 140-150 cm 15.11.2020</t>
  </si>
  <si>
    <t>140-150</t>
  </si>
  <si>
    <t>M10250</t>
  </si>
  <si>
    <t>122/1_7 #82 130-140 cm 15.11.2020</t>
  </si>
  <si>
    <t>130-140</t>
  </si>
  <si>
    <t>M10251</t>
  </si>
  <si>
    <t>122/1_7 #82 120-130 cm 15.11.2020</t>
  </si>
  <si>
    <t>PS122/1_7-89 snow_sampler_metal</t>
  </si>
  <si>
    <t>0-9</t>
  </si>
  <si>
    <t>9-18cm</t>
  </si>
  <si>
    <t>18-27cm</t>
  </si>
  <si>
    <t>M10252</t>
  </si>
  <si>
    <t>122/1_8 #84 0-10 cm 18.11.19 FYI</t>
  </si>
  <si>
    <t>M10253</t>
  </si>
  <si>
    <t>122/1_8 #84 40-50 cm 18.11.19 FYI</t>
  </si>
  <si>
    <t>M10254</t>
  </si>
  <si>
    <t>122/1_8 #84 30-40 cm 18.11.19 FYI</t>
  </si>
  <si>
    <t>30--40</t>
  </si>
  <si>
    <t>M10255</t>
  </si>
  <si>
    <t>122/1_8 #84 20-30 cm 18.11.19 FYI</t>
  </si>
  <si>
    <t>M10256</t>
  </si>
  <si>
    <t>122/1_8 #84 10-20 cm 18.11.19 FYI</t>
  </si>
  <si>
    <t>M10257</t>
  </si>
  <si>
    <t>122/1_8 #96 0-10 cm 19.11.19</t>
  </si>
  <si>
    <t>M10258</t>
  </si>
  <si>
    <t>122/1_8 #96 17.5-27.5 cm 19.11.19</t>
  </si>
  <si>
    <t>17.5-27.5</t>
  </si>
  <si>
    <t>M10259</t>
  </si>
  <si>
    <t>122/1_8 #96 10-17.5 cm 19.11.19</t>
  </si>
  <si>
    <t>10-17.5cm</t>
  </si>
  <si>
    <t>M10260</t>
  </si>
  <si>
    <t>122/1_8 #96 47.5-57 cm 19.11.19</t>
  </si>
  <si>
    <t>47.5-57</t>
  </si>
  <si>
    <t>M10261</t>
  </si>
  <si>
    <t>122/1_8 #96 37.5-47.5 cm 19.11.19</t>
  </si>
  <si>
    <t>37.5-47.5</t>
  </si>
  <si>
    <t>M10262</t>
  </si>
  <si>
    <t>122/1_8 #96 27.5-37.5 cm 19.11.19</t>
  </si>
  <si>
    <t>27.5-37.5</t>
  </si>
  <si>
    <t>PS122/1_8-24 snow_sampler_metal</t>
  </si>
  <si>
    <t>0-4 cm</t>
  </si>
  <si>
    <t>4-8 cm</t>
  </si>
  <si>
    <t>122/1_</t>
  </si>
  <si>
    <t>0-4cm</t>
  </si>
  <si>
    <t>M10343</t>
  </si>
  <si>
    <t>122/1_8_16 2m 19.11.19</t>
  </si>
  <si>
    <t>M10263</t>
  </si>
  <si>
    <t>122/1 #103 32-42 cm 20.11.19</t>
  </si>
  <si>
    <t>32-42</t>
  </si>
  <si>
    <t>M10264</t>
  </si>
  <si>
    <t>122/1 #103 22-32 cm 20.11.19</t>
  </si>
  <si>
    <t>22-32</t>
  </si>
  <si>
    <t>M10265</t>
  </si>
  <si>
    <t>122/1 #103 52-62 cm 20.11.19</t>
  </si>
  <si>
    <t>52-62</t>
  </si>
  <si>
    <t>M10266</t>
  </si>
  <si>
    <t>122/1 #103 12-22 cm 20.11.19</t>
  </si>
  <si>
    <t>12-22cm</t>
  </si>
  <si>
    <t>M10267</t>
  </si>
  <si>
    <t>122/1_8 #103 0-12 cm 20.11.19</t>
  </si>
  <si>
    <t>M10268</t>
  </si>
  <si>
    <t>122/1 #103 62-74 cm 20.11.19</t>
  </si>
  <si>
    <t>62-74</t>
  </si>
  <si>
    <t>M10269</t>
  </si>
  <si>
    <t>122/1 #103 42-52 cm 20.11.19</t>
  </si>
  <si>
    <t>42-52</t>
  </si>
  <si>
    <t>PS122-1_8-37</t>
  </si>
  <si>
    <t>20-29cm</t>
  </si>
  <si>
    <t>29-40</t>
  </si>
  <si>
    <t>70-82</t>
  </si>
  <si>
    <t>PS122-1_8-33</t>
  </si>
  <si>
    <t>SYI</t>
  </si>
  <si>
    <t>0-3.5</t>
  </si>
  <si>
    <t>3.5-7cm</t>
  </si>
  <si>
    <t>upper part very fluffy</t>
  </si>
  <si>
    <t>M10286</t>
  </si>
  <si>
    <t>122/1_8 #106 60-68.5 cm 23.11.19 FW</t>
  </si>
  <si>
    <t>60-68.5</t>
  </si>
  <si>
    <t>M10287</t>
  </si>
  <si>
    <t>122/1_8 #106 20-30 cm 23.11.19 FW</t>
  </si>
  <si>
    <t>nan</t>
  </si>
  <si>
    <t>M10288</t>
  </si>
  <si>
    <t>122/1_8 #106 30-41.5 cm 23.11.19 FW</t>
  </si>
  <si>
    <t>30-41.5</t>
  </si>
  <si>
    <t>M10289</t>
  </si>
  <si>
    <t>122/1_8 #106 41.5-51.5 cm 23.11.19 FW</t>
  </si>
  <si>
    <t>41.5-51.5</t>
  </si>
  <si>
    <t>M10290</t>
  </si>
  <si>
    <t>122/1_8 #106 51.5-60 cm 23.11.19 FW</t>
  </si>
  <si>
    <t>51.5-60</t>
  </si>
  <si>
    <t>M10291</t>
  </si>
  <si>
    <t>122/1_8 #106 0-10 cm 23.11.19 FW</t>
  </si>
  <si>
    <t>M10292</t>
  </si>
  <si>
    <t>122/1_8 #106 10-20 cm 23.11.19 FW</t>
  </si>
  <si>
    <t>PS122-1_8-110</t>
  </si>
  <si>
    <t>0-5cm</t>
  </si>
  <si>
    <t>lower part very hard and icy</t>
  </si>
  <si>
    <t>M10293</t>
  </si>
  <si>
    <t>122/1_8 water pocket #107/106/105 23.11.19 1/2</t>
  </si>
  <si>
    <t>Water Pocket</t>
  </si>
  <si>
    <t>M10294</t>
  </si>
  <si>
    <t>122/1_8 water pocket #107/106/105 23.11.19 2/2</t>
  </si>
  <si>
    <t>M10270</t>
  </si>
  <si>
    <t>122/1_9 #119 0-13 cm 25.11.19</t>
  </si>
  <si>
    <t>M10271</t>
  </si>
  <si>
    <t>122/1_9 #119 13-23 cm 25.11.19</t>
  </si>
  <si>
    <t>M10272</t>
  </si>
  <si>
    <t>122/1_9 #119 23-32 cm 25.11.19</t>
  </si>
  <si>
    <t>M10273</t>
  </si>
  <si>
    <t>122/1_9 #119 32-43 cm 25.11.19</t>
  </si>
  <si>
    <t>M10274</t>
  </si>
  <si>
    <t>122/1_9 #119 43-53 cm 25.11.19</t>
  </si>
  <si>
    <t>M10275</t>
  </si>
  <si>
    <t>122/1_9 #119 53-63 cm 25.11.19</t>
  </si>
  <si>
    <t>M10276</t>
  </si>
  <si>
    <t>122/1_9 #119 63-73 cm 25.11.19</t>
  </si>
  <si>
    <t>M10277</t>
  </si>
  <si>
    <t>122/1_9 #119 73-83 cm 25.11.19</t>
  </si>
  <si>
    <t>M10278</t>
  </si>
  <si>
    <t>122/1_9 #119 83-93 cm 25.11.19</t>
  </si>
  <si>
    <t>M10279</t>
  </si>
  <si>
    <t>122/1_9 #119 93-103 cm 25.11.19</t>
  </si>
  <si>
    <t>M10280</t>
  </si>
  <si>
    <t>122/1_9 #119 103-113 cm 25.11.19</t>
  </si>
  <si>
    <t>M10281</t>
  </si>
  <si>
    <t>122/1_9 #119 123-133 cm 25.11.19</t>
  </si>
  <si>
    <t>M10283</t>
  </si>
  <si>
    <t>122/1_9 #119 133-146.5 cm 25.11.19</t>
  </si>
  <si>
    <t>M10285</t>
  </si>
  <si>
    <t>122/1_9 #119 113-123 cm 25.11.19</t>
  </si>
  <si>
    <t>M10295</t>
  </si>
  <si>
    <t>122/1_9 #110 0-10 cm 25.11.19 FYI</t>
  </si>
  <si>
    <t>M10296</t>
  </si>
  <si>
    <t>122/1_9 #110 20-30 cm 25.11.19 FYI</t>
  </si>
  <si>
    <t>M10297</t>
  </si>
  <si>
    <t>122/1_9 #110 10-20 cm 25.11.19 FYI</t>
  </si>
  <si>
    <t>M10298</t>
  </si>
  <si>
    <t>122/1_9 #110 48-56 cm 25.11.19 FYI</t>
  </si>
  <si>
    <t>48-56</t>
  </si>
  <si>
    <t>M10299</t>
  </si>
  <si>
    <t>122/1_9 #110 40-48 cm 25.11.19 FYI</t>
  </si>
  <si>
    <t>40-48</t>
  </si>
  <si>
    <t>M10300</t>
  </si>
  <si>
    <t>122/1_9 #110 30-40 cm 25.11.19 FYI</t>
  </si>
  <si>
    <t>M10301</t>
  </si>
  <si>
    <t>122/1_9 #114 0-10 cm 25.11.19</t>
  </si>
  <si>
    <t>M10302</t>
  </si>
  <si>
    <t>122/1_9 #114 10-20 cm 25.11.19</t>
  </si>
  <si>
    <t>M10303</t>
  </si>
  <si>
    <t>122/1_9 #114 20-30 cm 25.11.19</t>
  </si>
  <si>
    <t>M10304</t>
  </si>
  <si>
    <t>122/1_9 #114 69.5-78 cm 25.11.19</t>
  </si>
  <si>
    <t>69.5-78</t>
  </si>
  <si>
    <t>M10305</t>
  </si>
  <si>
    <t>122/1_9 #114 60-69.5 cm 25.11.19</t>
  </si>
  <si>
    <t>60-69.5</t>
  </si>
  <si>
    <t>M10306</t>
  </si>
  <si>
    <t>122/1_9 #114 50-60 cm 25.11.19</t>
  </si>
  <si>
    <t>M10307</t>
  </si>
  <si>
    <t>122/1_9 #114 78-86.5 cm 25.11.19</t>
  </si>
  <si>
    <t>78-86.5</t>
  </si>
  <si>
    <t>M10308</t>
  </si>
  <si>
    <t>122/1_9 #114 30-40 cm 25.11.19</t>
  </si>
  <si>
    <t>M10309</t>
  </si>
  <si>
    <t>122/1_9 #114 40-50 cm 25.11.19</t>
  </si>
  <si>
    <t>122/1_9</t>
  </si>
  <si>
    <t>FYI Site</t>
  </si>
  <si>
    <t>0-5 cm</t>
  </si>
  <si>
    <t>PS122/1_9-31 snow_sampler_metal</t>
  </si>
  <si>
    <t>10-14cm</t>
  </si>
  <si>
    <t>PS122/1_9-23 Snowpit B</t>
  </si>
  <si>
    <t>SNOW 1</t>
  </si>
  <si>
    <t>510775 and 510776 might be mixed up</t>
  </si>
  <si>
    <t>8--13</t>
  </si>
  <si>
    <t>13-18</t>
  </si>
  <si>
    <t>10--17</t>
  </si>
  <si>
    <t>0-8</t>
  </si>
  <si>
    <t>M10338</t>
  </si>
  <si>
    <t>122/1_9_48 2m 26.11.19</t>
  </si>
  <si>
    <t>M10310</t>
  </si>
  <si>
    <t>122/1_9 #123 0-10 cm 27.11.19</t>
  </si>
  <si>
    <t>M10311</t>
  </si>
  <si>
    <t>122/1_9 #123 49-58 cm 27.11.19</t>
  </si>
  <si>
    <t>49-58</t>
  </si>
  <si>
    <t>M10312</t>
  </si>
  <si>
    <t>122/1_9 #123 40-49 cm 27.11.19</t>
  </si>
  <si>
    <t>40--49</t>
  </si>
  <si>
    <t>M10313</t>
  </si>
  <si>
    <t>122/1_9 #123 30-40 cm 27.11.19</t>
  </si>
  <si>
    <t>M10314</t>
  </si>
  <si>
    <t>122/1_9 #123 20-30 cm 27.11.19</t>
  </si>
  <si>
    <t>M10315</t>
  </si>
  <si>
    <t>122/1_9 #123 10-20 cm 27.11.19</t>
  </si>
  <si>
    <t>PS122/1_9-39 snow_sampler_metal</t>
  </si>
  <si>
    <t>5--10cm</t>
  </si>
  <si>
    <t>M10317</t>
  </si>
  <si>
    <t>122/1_9 #124 40-50 cm 28.11.19</t>
  </si>
  <si>
    <t>M10318</t>
  </si>
  <si>
    <t>122/1_9 #124 20-30 cm 28.11.19</t>
  </si>
  <si>
    <t>M10319</t>
  </si>
  <si>
    <t>122/1_9 #124 30-40 cm 28.11.19</t>
  </si>
  <si>
    <t>M10320</t>
  </si>
  <si>
    <t>122/1_9 #124 60-70 cm 28.11.19</t>
  </si>
  <si>
    <t>M10321</t>
  </si>
  <si>
    <t>122/1_9 #124 70-82 cm 28.11.19</t>
  </si>
  <si>
    <t>M10322</t>
  </si>
  <si>
    <t>122/1_9 #124 0-10 cm 28.11.19</t>
  </si>
  <si>
    <t>M10323</t>
  </si>
  <si>
    <t>122/1_9 #124 10-20 cm 28.11.19</t>
  </si>
  <si>
    <t>M10324</t>
  </si>
  <si>
    <t>122/1_9 #124 50-60 cm 28.11.19</t>
  </si>
  <si>
    <t>M10325</t>
  </si>
  <si>
    <t>122/1_9 #125 0-10.5 cm 28.11.19</t>
  </si>
  <si>
    <t>0-10.5</t>
  </si>
  <si>
    <t>M10326</t>
  </si>
  <si>
    <t>122/1_9 #125 70-80 cm 28.11.19</t>
  </si>
  <si>
    <t>M10327</t>
  </si>
  <si>
    <t>122/1_9 #125 80-90 cm 28.11.19</t>
  </si>
  <si>
    <t>M10328</t>
  </si>
  <si>
    <t>122/1_9 #125 90-98.5 cm 28.11.19</t>
  </si>
  <si>
    <t>90-98.5</t>
  </si>
  <si>
    <t>M10329</t>
  </si>
  <si>
    <t>122/1_9 #125 10.5-20.5 cm 28.11.19</t>
  </si>
  <si>
    <t>10.5--20.5</t>
  </si>
  <si>
    <t>M10330</t>
  </si>
  <si>
    <t>122/1_9 #125 30.5-40 cm 28.11.19</t>
  </si>
  <si>
    <t>30.5--40</t>
  </si>
  <si>
    <t>M10331</t>
  </si>
  <si>
    <t>122/1_9 #125 40-50 cm 28.11.19</t>
  </si>
  <si>
    <t>40--50</t>
  </si>
  <si>
    <t>M10332</t>
  </si>
  <si>
    <t>122/1_9 #125 50-60 cm 28.11.19</t>
  </si>
  <si>
    <t>M10333</t>
  </si>
  <si>
    <t>122/1_9 #125 20.5-30.5 cm 28.11.19</t>
  </si>
  <si>
    <t>20.5--30.5</t>
  </si>
  <si>
    <t>M10334</t>
  </si>
  <si>
    <t>122/1_9 #125 60-70 cm 28.11.19</t>
  </si>
  <si>
    <t>PS122/1_9-65 snow_sampler_metal</t>
  </si>
  <si>
    <t>M10194</t>
  </si>
  <si>
    <t>28.11. FW -&gt; 18O salinity 7,3 a)</t>
  </si>
  <si>
    <t>M10316</t>
  </si>
  <si>
    <t>28.11. FW -&gt; 18O salinity 7,3</t>
  </si>
  <si>
    <t>M10919</t>
  </si>
  <si>
    <t>PS122/1_9-97</t>
  </si>
  <si>
    <t>Ridge</t>
  </si>
  <si>
    <t>M10920</t>
  </si>
  <si>
    <t>M10921</t>
  </si>
  <si>
    <t>M10922</t>
  </si>
  <si>
    <t>30.5-40.5</t>
  </si>
  <si>
    <t>M10923</t>
  </si>
  <si>
    <t>40.5-50.5</t>
  </si>
  <si>
    <t>M10924</t>
  </si>
  <si>
    <t>50.5-60.5</t>
  </si>
  <si>
    <t>M10925</t>
  </si>
  <si>
    <t>60.5-70.5</t>
  </si>
  <si>
    <t>M10926</t>
  </si>
  <si>
    <t>70.5-80.5</t>
  </si>
  <si>
    <t>M10927</t>
  </si>
  <si>
    <t>80.5-90.5</t>
  </si>
  <si>
    <t>M10928</t>
  </si>
  <si>
    <t>90.5-100.5</t>
  </si>
  <si>
    <t>M10929</t>
  </si>
  <si>
    <t>100.5-110.5</t>
  </si>
  <si>
    <t>M10930</t>
  </si>
  <si>
    <t>110.5-120.5</t>
  </si>
  <si>
    <t>M10931</t>
  </si>
  <si>
    <t>120.5-130.5</t>
  </si>
  <si>
    <t>M10932</t>
  </si>
  <si>
    <t>130.5-140.5</t>
  </si>
  <si>
    <t>M10933</t>
  </si>
  <si>
    <t>140.5-148.5</t>
  </si>
  <si>
    <t>14--28</t>
  </si>
  <si>
    <t>PS122/1_10-19</t>
  </si>
  <si>
    <t>60-68</t>
  </si>
  <si>
    <t>PS122/1-10-16</t>
  </si>
  <si>
    <t>62-73.5</t>
  </si>
  <si>
    <t>73.5-85</t>
  </si>
  <si>
    <t>M10284</t>
  </si>
  <si>
    <t>122/1_10 snow SYI 8-13.5 02.12.19 Check possible mix up</t>
  </si>
  <si>
    <t>SYI-mc</t>
  </si>
  <si>
    <t>David</t>
  </si>
  <si>
    <t>PS122/1_10-35 snow_sampler_metal</t>
  </si>
  <si>
    <t>M10743</t>
  </si>
  <si>
    <t xml:space="preserve">PS122/1_10-39 </t>
  </si>
  <si>
    <t>0--10</t>
  </si>
  <si>
    <t>M10744</t>
  </si>
  <si>
    <t>M10745</t>
  </si>
  <si>
    <t>M10746</t>
  </si>
  <si>
    <t>M10747</t>
  </si>
  <si>
    <t>M10748</t>
  </si>
  <si>
    <t>50-62</t>
  </si>
  <si>
    <t>122/1_10</t>
  </si>
  <si>
    <t>8-12 cm</t>
  </si>
  <si>
    <t>M10282</t>
  </si>
  <si>
    <t>122/1_10_45 80 m 05.12.19</t>
  </si>
  <si>
    <t>M10349</t>
  </si>
  <si>
    <t>122/1_10_45 2m 05.12.19</t>
  </si>
  <si>
    <t xml:space="preserve">PS122/1_10-69 </t>
  </si>
  <si>
    <t>PS122/1_10-69</t>
  </si>
  <si>
    <t>77-84</t>
  </si>
  <si>
    <t>59-70</t>
  </si>
  <si>
    <t>70-77</t>
  </si>
  <si>
    <t>50-59</t>
  </si>
  <si>
    <t>M10697</t>
  </si>
  <si>
    <t>122-2-?</t>
  </si>
  <si>
    <t>M10698</t>
  </si>
  <si>
    <t>M10699</t>
  </si>
  <si>
    <t>M10700</t>
  </si>
  <si>
    <t>M10701</t>
  </si>
  <si>
    <t>M10702</t>
  </si>
  <si>
    <t>M10703</t>
  </si>
  <si>
    <t>M10335</t>
  </si>
  <si>
    <t>122/1_11_40 2m 12.12.19</t>
  </si>
  <si>
    <t>M10836</t>
  </si>
  <si>
    <t>122-2-17</t>
  </si>
  <si>
    <t>M10837</t>
  </si>
  <si>
    <t>M10838</t>
  </si>
  <si>
    <t>M10839</t>
  </si>
  <si>
    <t>M10840</t>
  </si>
  <si>
    <t>M10841</t>
  </si>
  <si>
    <t>M10842</t>
  </si>
  <si>
    <t>M10843</t>
  </si>
  <si>
    <t>M10844</t>
  </si>
  <si>
    <t>M10845</t>
  </si>
  <si>
    <t>M10846</t>
  </si>
  <si>
    <t>M10847</t>
  </si>
  <si>
    <t>M10848</t>
  </si>
  <si>
    <t>122_W17/FYI DARK SIDE/60-70CM</t>
  </si>
  <si>
    <t>122_W17/FYI DARK SIDE/70-82CM</t>
  </si>
  <si>
    <t>M10348</t>
  </si>
  <si>
    <t>20191224 122 week17 2m OC (10)</t>
  </si>
  <si>
    <t>M10849</t>
  </si>
  <si>
    <t>PS122_2_17/BGC2/0-10CM</t>
  </si>
  <si>
    <t>PS122_2_17/BGC2/10-20CM</t>
  </si>
  <si>
    <t>PS122_2_17/BGC2/20-30CM</t>
  </si>
  <si>
    <t>PS122_2_17/BGC2/30-40CM</t>
  </si>
  <si>
    <t>PS122_2_17/BGC2/40-50CM</t>
  </si>
  <si>
    <t>PS122_2_17/BGC2/50-60CM</t>
  </si>
  <si>
    <t>PS122_2W17/BGC2/60-70CM</t>
  </si>
  <si>
    <t>122_W17_/BGC2/80-92CM</t>
  </si>
  <si>
    <t>PS122_2_18_16</t>
  </si>
  <si>
    <t>PS122_2_18/BGC2/0-10CM</t>
  </si>
  <si>
    <t>PS122_2_18/BGC2/10-20CM</t>
  </si>
  <si>
    <t>PS122_2_18/BGC2/20-30CM</t>
  </si>
  <si>
    <t>PS122_2_18/BGC2/30-40CM</t>
  </si>
  <si>
    <t>PS122_2_18/BGC2/40-50CM</t>
  </si>
  <si>
    <t>PS122_2_18/BGC2/50-60CM</t>
  </si>
  <si>
    <t>PS122_2_18/BGC2/60-70CM NM</t>
  </si>
  <si>
    <t>PS122_2_18/BGC2/70-82CM</t>
  </si>
  <si>
    <t>20200102PS122-2/-18BGC2 80-92CM/NM</t>
  </si>
  <si>
    <t>PS122_2_18/BGC2/92-104CM</t>
  </si>
  <si>
    <t>M10114</t>
  </si>
  <si>
    <t>20200106-122-2-19- FYI darksite-30-40</t>
  </si>
  <si>
    <t>M10115</t>
  </si>
  <si>
    <t>20200106-122-2-19- FYI darksite-20-30</t>
  </si>
  <si>
    <t>M10116</t>
  </si>
  <si>
    <t>20200106-122-2-19- FYI darksite-10-20</t>
  </si>
  <si>
    <t>M10128</t>
  </si>
  <si>
    <t>20200106-122-2-19- FYI darksite-80-91</t>
  </si>
  <si>
    <t>M10129</t>
  </si>
  <si>
    <t>20200106-122-2-19- FYI darksite-70-80</t>
  </si>
  <si>
    <t>M10130</t>
  </si>
  <si>
    <t>20200106-122-2-19- FYI darksite-60-70</t>
  </si>
  <si>
    <t>M10131</t>
  </si>
  <si>
    <t>20200106-122-2-19- FYI darksite-50-60</t>
  </si>
  <si>
    <t>M10132</t>
  </si>
  <si>
    <t>20200106-122-2-19- FYI darksite-40-50</t>
  </si>
  <si>
    <t>122_2_19/FYI DARK SIDE/0-10CM</t>
  </si>
  <si>
    <t>M10117</t>
  </si>
  <si>
    <t>20200106-122-2-19-lead-7.5-16</t>
  </si>
  <si>
    <t>M10118</t>
  </si>
  <si>
    <t>20200106-122-2-19-lead-0-7.5</t>
  </si>
  <si>
    <t>M10355</t>
  </si>
  <si>
    <t>20200106 PS122_2_19 ocean city 2m 12</t>
  </si>
  <si>
    <t>M10124</t>
  </si>
  <si>
    <t>20200113-122-2-20- SYI darksite-50-60</t>
  </si>
  <si>
    <t>M10125</t>
  </si>
  <si>
    <t>20200113-122-2-20- SYI darksite-70-80</t>
  </si>
  <si>
    <t>M10126</t>
  </si>
  <si>
    <t>20200113-122-2-20- SYI darksite-80-90</t>
  </si>
  <si>
    <t>M10127</t>
  </si>
  <si>
    <t>20200113-122-2-20- SYI darksite-60-70</t>
  </si>
  <si>
    <t>M10135</t>
  </si>
  <si>
    <t>20200113-122-2-20- SYI darksite-110-120</t>
  </si>
  <si>
    <t>M10136</t>
  </si>
  <si>
    <t>20200113-122-2-20- SYI darksite-100-110</t>
  </si>
  <si>
    <t>M10137</t>
  </si>
  <si>
    <t>20200113-122-2-20- SYI darksite-90-100</t>
  </si>
  <si>
    <t>M10138</t>
  </si>
  <si>
    <t>20200113-122-2-20- SYI darksite-30-40</t>
  </si>
  <si>
    <t>M10139</t>
  </si>
  <si>
    <t>20200113-122-2-20- SYI darksite-20-30</t>
  </si>
  <si>
    <t>M10140</t>
  </si>
  <si>
    <t>20200113-122-2-20- SYI darksite-10-20</t>
  </si>
  <si>
    <t>M10141</t>
  </si>
  <si>
    <t>20200113-122-2-20-SYI darksite-0-10</t>
  </si>
  <si>
    <t>M10142</t>
  </si>
  <si>
    <t>20200113-122-2-20- SYI darksite-40-50</t>
  </si>
  <si>
    <t>PS122_2_20_17</t>
  </si>
  <si>
    <t>M10133</t>
  </si>
  <si>
    <t>20200115-122-2-20- -Lead  30-40</t>
  </si>
  <si>
    <t>Lead ice</t>
  </si>
  <si>
    <t>M10134</t>
  </si>
  <si>
    <t>20200115-122-2-20- -Lead ice  0-10</t>
  </si>
  <si>
    <t>M10143</t>
  </si>
  <si>
    <t>20200115-122-2-20- -Lead ice  20-30</t>
  </si>
  <si>
    <t>M10144</t>
  </si>
  <si>
    <t>20200115-122-2-20- -Lead ice  10-20</t>
  </si>
  <si>
    <t>M10824</t>
  </si>
  <si>
    <t>122-2-20</t>
  </si>
  <si>
    <t>M10825</t>
  </si>
  <si>
    <t>M10826</t>
  </si>
  <si>
    <t>M10827</t>
  </si>
  <si>
    <t>M10828</t>
  </si>
  <si>
    <t>M10829</t>
  </si>
  <si>
    <t>M10830</t>
  </si>
  <si>
    <t>M10831</t>
  </si>
  <si>
    <t>M10832</t>
  </si>
  <si>
    <t>M10833</t>
  </si>
  <si>
    <t>M10834</t>
  </si>
  <si>
    <t>M10835</t>
  </si>
  <si>
    <t>122_2_21/FROSTFLOWER/BAG 40</t>
  </si>
  <si>
    <t>Frost flower</t>
  </si>
  <si>
    <t>122_2_21/FROSTFLOWER/20200120</t>
  </si>
  <si>
    <t>M10145</t>
  </si>
  <si>
    <t>20200120- 122-2-21-FYI darksite-82-93</t>
  </si>
  <si>
    <t>M10146</t>
  </si>
  <si>
    <t>20200120- 122-2-21-FYI darksite-70-80</t>
  </si>
  <si>
    <t>M10147</t>
  </si>
  <si>
    <t>20200120- 122-2-21-FYI darksite-60-70</t>
  </si>
  <si>
    <t>M10148</t>
  </si>
  <si>
    <t>20200120- 122-2-21-FYI darksite-50-60</t>
  </si>
  <si>
    <t>M10149</t>
  </si>
  <si>
    <t>20200120- 122-2-21-FYI darksite-40-50</t>
  </si>
  <si>
    <t>M10150</t>
  </si>
  <si>
    <t>20200120- 122-2-21-FYI darksite-30-40</t>
  </si>
  <si>
    <t>M10151</t>
  </si>
  <si>
    <t>20200120- 122-2-21-FYI darksite-20-30</t>
  </si>
  <si>
    <t>M10152</t>
  </si>
  <si>
    <t>20200120-122-2-21-FYI darksite-10-20</t>
  </si>
  <si>
    <t>M10153</t>
  </si>
  <si>
    <t>20200120-122-2-21-FYI darksite-0-10</t>
  </si>
  <si>
    <t>M10163</t>
  </si>
  <si>
    <t>20200120- 122-2-21-FYI darksite-93-105</t>
  </si>
  <si>
    <t>M10354</t>
  </si>
  <si>
    <t>20200121 122_2_21 ocean city 2m 11</t>
  </si>
  <si>
    <t>M10156</t>
  </si>
  <si>
    <t>20200122- 122-2-21-lead ice darksite-45-52.5</t>
  </si>
  <si>
    <t>Lead ice darkside</t>
  </si>
  <si>
    <t>M10157</t>
  </si>
  <si>
    <t>20200122- 122-2-21-lead ice darksite-37.5-45</t>
  </si>
  <si>
    <t>M10158</t>
  </si>
  <si>
    <t>20200122- 122-2-21-lead ice darksite-52.5-60</t>
  </si>
  <si>
    <t>M10159</t>
  </si>
  <si>
    <t>20200122- 122-2-21-lead ice darksite-0-7.5</t>
  </si>
  <si>
    <t>M10160</t>
  </si>
  <si>
    <t>20200122- 122-2-21-lead ice darksite-22.5-30</t>
  </si>
  <si>
    <t>M10161</t>
  </si>
  <si>
    <t>20200122- 122-2-21-lead ice darksite-15-22.5</t>
  </si>
  <si>
    <t>M10162</t>
  </si>
  <si>
    <t>20200122- 122-2-21-lead ice darksite-7.5-15</t>
  </si>
  <si>
    <t>PS122_2_21_101</t>
  </si>
  <si>
    <t>M10174</t>
  </si>
  <si>
    <t>20200125_122-2-21-ocean city 2m 12</t>
  </si>
  <si>
    <t>M10155</t>
  </si>
  <si>
    <t>20200126- 122-2-21-Egon lead ice -0-7.5</t>
  </si>
  <si>
    <t xml:space="preserve">Egon lead ice </t>
  </si>
  <si>
    <t>M10170</t>
  </si>
  <si>
    <t>20200126- 122-2-21-Egon lead ice -7.5-15</t>
  </si>
  <si>
    <t>M10180</t>
  </si>
  <si>
    <t>20200126- 122-2-21-Egon lead ice -15-22.5</t>
  </si>
  <si>
    <t>M10175</t>
  </si>
  <si>
    <t>20200126_122-2-21-ocean city 2m</t>
  </si>
  <si>
    <t>122_2_22/SYI DARK SIDE/0-10CM</t>
  </si>
  <si>
    <t>122_2_22/SYI DARK SIDE/10-20CM</t>
  </si>
  <si>
    <t>122_2_22/SYI DARK SIDE/20-30CM</t>
  </si>
  <si>
    <t>122_2_22/SYI DARK SIDE/30-40CM</t>
  </si>
  <si>
    <t>122_2_22/SYI DARK SIDE/40-50CM</t>
  </si>
  <si>
    <t>122_2_22/SYI DARK SIDE/50-60CM</t>
  </si>
  <si>
    <t>122_2_22/SYI DARK SIDE/60-70CM</t>
  </si>
  <si>
    <t>122_2_22/SYI DARK SIDE/70-80CM</t>
  </si>
  <si>
    <t>122_2_22/SYI DARK SIDE/80-90CM</t>
  </si>
  <si>
    <t>122_2_22/SYI DARK SIDE/90-100CM</t>
  </si>
  <si>
    <t>122_2_22/SYIdarksite/100-110CM</t>
  </si>
  <si>
    <t>122_2_22/SYIdarksite/110-120CM</t>
  </si>
  <si>
    <t>122_2_22/SYI DARK SIDE/120-130CM</t>
  </si>
  <si>
    <t>122_2_22/SYI DARK SIDE/131-142 CM</t>
  </si>
  <si>
    <t>122_2_22/SYIdarksite/142-153CM</t>
  </si>
  <si>
    <t>M10364</t>
  </si>
  <si>
    <t>20200127 122_2_21 ocean city 5m</t>
  </si>
  <si>
    <t>M10366</t>
  </si>
  <si>
    <t>20200128 122_2_22 ocean city 2m</t>
  </si>
  <si>
    <t>M10177</t>
  </si>
  <si>
    <t>20200129_122-2-22-new lead darksite frostflower</t>
  </si>
  <si>
    <t>frostflower on top of new ice</t>
  </si>
  <si>
    <t>M10154</t>
  </si>
  <si>
    <t>20200129- 122-2-22-lead ice darkside-0-8</t>
  </si>
  <si>
    <t>M10164</t>
  </si>
  <si>
    <t>20200129- 122-2-22-lead ice darkside-56-64</t>
  </si>
  <si>
    <t>M10165</t>
  </si>
  <si>
    <t>20200129- 122-2-22-lead ice darkside-48-56</t>
  </si>
  <si>
    <t>M10166</t>
  </si>
  <si>
    <t>20200129- 122-2-22-lead ice darkside-42-48</t>
  </si>
  <si>
    <t>M10167</t>
  </si>
  <si>
    <t>20200129- 122-2-22-lead ice 32-40</t>
  </si>
  <si>
    <t>M10168</t>
  </si>
  <si>
    <t>20200129- 122-2-22-lead ice darkside-24-32</t>
  </si>
  <si>
    <t>M10169</t>
  </si>
  <si>
    <t>20200129- 122-2-22-lead ice darkside-16-24</t>
  </si>
  <si>
    <t>M10178</t>
  </si>
  <si>
    <t>20200129_122-2-22 new lead/darksite-ice 0-40 ('evtl' 4) cm</t>
  </si>
  <si>
    <t>lead ice darkside/new ice</t>
  </si>
  <si>
    <t>M10179</t>
  </si>
  <si>
    <t>20200129- 122-2-22-lead ice darkside-8-16</t>
  </si>
  <si>
    <t>M10176</t>
  </si>
  <si>
    <t>20200130- 122-2-22- new ice/2. lead darks.</t>
  </si>
  <si>
    <t>Lead darksite</t>
  </si>
  <si>
    <t>M10183</t>
  </si>
  <si>
    <t>20200131_122-2-22 O C 5m 12</t>
  </si>
  <si>
    <t>122-2-23/OLD LEAD ICE/0-8CM NM</t>
  </si>
  <si>
    <t>FYI darksite</t>
  </si>
  <si>
    <t>122-2-23 /FYIdarksite/0-10CM</t>
  </si>
  <si>
    <t>122-2-23/FYIdarksite/10-20CM</t>
  </si>
  <si>
    <t>122-2-23/FYIdarksite/20-30CM</t>
  </si>
  <si>
    <t>122-2-23/FYIdarksite/30-40CM</t>
  </si>
  <si>
    <t>122-2-23/FYIdarksite/40-50CM</t>
  </si>
  <si>
    <t>122-2-23/FYIdarksite/50-60CM</t>
  </si>
  <si>
    <t>122-2-23/FYIdarksite/60-70cm</t>
  </si>
  <si>
    <t>122-2-23/FYIdarksite/70-80CM</t>
  </si>
  <si>
    <t>122-2-23/FYIdarksite/80-90CM</t>
  </si>
  <si>
    <t>122-2-23/FYIdarksite/90-100CM</t>
  </si>
  <si>
    <t>122-2-23/FYIdarksite/100-110CM</t>
  </si>
  <si>
    <t>122-2-23/FYIdarksite/110-123CM</t>
  </si>
  <si>
    <t>PS122_2_23_4</t>
  </si>
  <si>
    <t>M10362</t>
  </si>
  <si>
    <t xml:space="preserve">20200204 122_2_23 OC 5m </t>
  </si>
  <si>
    <t>122_2_23/NEW LEAD DARKS/75X802CM</t>
  </si>
  <si>
    <t>lead ice darkside (2nd new)</t>
  </si>
  <si>
    <t>122-2-23 LEAD/NEW DARKSITE/0-7.5CM</t>
  </si>
  <si>
    <t>122_2_23/LEAD ICE NEW/7,5-15CM</t>
  </si>
  <si>
    <t>122-2-23/OLD LEAD ICE/0-8CM</t>
  </si>
  <si>
    <t>lead ice darkside (old)</t>
  </si>
  <si>
    <t>122-2-23/OLD LEAD ICE/8-16CM</t>
  </si>
  <si>
    <t>122-2-23/OLD LEAD ICE/16-24CM</t>
  </si>
  <si>
    <t>122-2-23/OLD LEAD ICE/24-32CM</t>
  </si>
  <si>
    <t>122-2-23/OLD LEAD ICE/32-40CM</t>
  </si>
  <si>
    <t>122-2-23/OLD LEAD ICE/40-48CM</t>
  </si>
  <si>
    <t>122-2-23/OLD LEAD ICE/48-56CM</t>
  </si>
  <si>
    <t>122-2-23/OLD LEAD ICE/56-64CM</t>
  </si>
  <si>
    <t>122-2-23/OLD LEAD ICE/64-72CM</t>
  </si>
  <si>
    <t>20200207_122_2_/23 BGC2/0-10CM</t>
  </si>
  <si>
    <t>20200207_122_2_/23 BGC2/80-90CM</t>
  </si>
  <si>
    <t>20200207_122_2_/23 BGC2/90-101CM</t>
  </si>
  <si>
    <t>20200207_122_2_/23 BGC2/101-112CM</t>
  </si>
  <si>
    <t>20200207_122_2_/23 BGC2/112-125CM</t>
  </si>
  <si>
    <t>M10365</t>
  </si>
  <si>
    <t>20200208 122_2_23 ocean city 5m 12</t>
  </si>
  <si>
    <t>20200212_122_2_/24_DN_L2/0-10CM</t>
  </si>
  <si>
    <t>20200212_122_2_/24_DN_L2/10-20CM</t>
  </si>
  <si>
    <t>20200212-122_2_/24_DN_L2/20-30CM</t>
  </si>
  <si>
    <t>20200212_122_2_/24_DN_L2/30-40CM</t>
  </si>
  <si>
    <t>20200212_122_2_/24_DN_L2/40-50CM</t>
  </si>
  <si>
    <t>20200212_122_2_/24_L2/50-60CM</t>
  </si>
  <si>
    <t>20200212_122_2_/24_DN_L2/60-70CM</t>
  </si>
  <si>
    <t>20200212_122_2_/24_DN_L2/70-80CM</t>
  </si>
  <si>
    <t>20200212_122_2_/24_DN_L2/80-90CM</t>
  </si>
  <si>
    <t>20200212_122_2_/24_DN_L2/90-100CM</t>
  </si>
  <si>
    <t>20200212_122_2_/24_DN_L2/100-110CM</t>
  </si>
  <si>
    <t>20200212_122_2_/24_DN_L2/110-120CM</t>
  </si>
  <si>
    <t>20200212_122_2_/24_DN_L2 /120-130CM</t>
  </si>
  <si>
    <t>20200212_122_2_/24_DN_L2/130-140CM</t>
  </si>
  <si>
    <t>20200212_122_2_/24_DN_L2/140-150CM</t>
  </si>
  <si>
    <t>20200212_122_2_/24_DN_L2/150-160CM</t>
  </si>
  <si>
    <t>20200212_122_2_/24_DN_L2/160-169CM</t>
  </si>
  <si>
    <t>20200212_122_2_/24_DN_L2 /169-178CM</t>
  </si>
  <si>
    <t>20200212_122_2_/24_DN_L2/178-189CM</t>
  </si>
  <si>
    <t>PS122_2_24_47</t>
  </si>
  <si>
    <t>M10361</t>
  </si>
  <si>
    <t>20200217 122_2_25 OC 5m 12</t>
  </si>
  <si>
    <t>M10363</t>
  </si>
  <si>
    <t>20200225 122_3_29 OC 5m 12</t>
  </si>
  <si>
    <t>20200226_122_3_/29 OLD LEADICE/10-20CM</t>
  </si>
  <si>
    <t>20200226_122_3_/29 OLD LEADICE/20-30CM</t>
  </si>
  <si>
    <t>20200226_122_3_/29 OLD LEADICE/30-40CM</t>
  </si>
  <si>
    <t>20200226_122_3_/29 OLD LEADICE/40-50CM</t>
  </si>
  <si>
    <t>122_3_29/OLD LEAD ICE/50-60CM</t>
  </si>
  <si>
    <t>122_3_29/OLD LEAD ICE /60-70CM</t>
  </si>
  <si>
    <t>122_3_29/OLD LEAD ICE/70-80CM</t>
  </si>
  <si>
    <t>122_3_29/OLD LEAD ICE/80-91CM</t>
  </si>
  <si>
    <t>PS122_3_29_74</t>
  </si>
  <si>
    <t>M10353</t>
  </si>
  <si>
    <t>20200302 122_3_30 5m 12 OC</t>
  </si>
  <si>
    <t>122_3_30/FROSTFLOWER/20200304</t>
  </si>
  <si>
    <t>M10357</t>
  </si>
  <si>
    <t>20200305 122_3_30 ocean city CTD 5m 9</t>
  </si>
  <si>
    <t>20200306_122_3_/30 STALAKTITEN/ICE</t>
  </si>
  <si>
    <t>122_3_30/OLD LEAD DARK S/0-10CM</t>
  </si>
  <si>
    <t>20200306_122_3_/30 OLD LEADICE /DARK 10-20CM</t>
  </si>
  <si>
    <t>20200306_122_3_/30 OLD LEADICE /DARK 20-30CM</t>
  </si>
  <si>
    <t>20200306_122_3_/30 OLD LEADICE/DARK 30-40CM</t>
  </si>
  <si>
    <t>20200306_122_3_/30 OLD LEADICE/DARK 40-50CM</t>
  </si>
  <si>
    <t>20200306_122_3_/30 OLD LEADICE/DARK 50-60CM</t>
  </si>
  <si>
    <t>20200306_122_3_/30 OLD LEADICE/DARK 70-80CM</t>
  </si>
  <si>
    <t>20200306_122_3_/30 OLD LEADICE/DARK 80-97CM</t>
  </si>
  <si>
    <t>122_3_30/LEAD RUNWAY ICE/BAG 15 PATRIC</t>
  </si>
  <si>
    <t>122_3_30/LEAD RUNWAY ICE/BAG 24</t>
  </si>
  <si>
    <t>122-3_30/LEAD RUNWAY ICE/20200307</t>
  </si>
  <si>
    <t>122_3_31/BGC1/0-10CM</t>
  </si>
  <si>
    <t>122_3_31/BGC1/10-20CM</t>
  </si>
  <si>
    <t>122_3_31/BGC1/20-30CM</t>
  </si>
  <si>
    <t>122_3_31/BGC1/30-40CM</t>
  </si>
  <si>
    <t>122_3_31/BGC1/40-50CM</t>
  </si>
  <si>
    <t>122_3_31/BGC1/50-60CM</t>
  </si>
  <si>
    <t>122_3_31/BGC1/60-70CM</t>
  </si>
  <si>
    <t>122_3_31/BGC1/70-80CM</t>
  </si>
  <si>
    <t>122_3_31/BGC1/80-90CM</t>
  </si>
  <si>
    <t>122_3_31/BGC1/90-100CM</t>
  </si>
  <si>
    <t>122_3_31/BGC1/100-110CM</t>
  </si>
  <si>
    <t>122_3_31/BGC1/110-120CM</t>
  </si>
  <si>
    <t>122_3_31/BGC1/120-129CM</t>
  </si>
  <si>
    <t>M10184</t>
  </si>
  <si>
    <t>20200310_122-3-31 ocean city 5m</t>
  </si>
  <si>
    <t>20200311_122_3_/31 BGC3/0-10CM</t>
  </si>
  <si>
    <t>20200311_122_3_/31 BGC3/10-20CM</t>
  </si>
  <si>
    <t>20200311-122_3_/31 BGC3/10-20CM _2MW</t>
  </si>
  <si>
    <t>20200311_122_3_/31 BGC3/30-40CM</t>
  </si>
  <si>
    <t>20200311_122_3_/31 BGC3/40-50CM</t>
  </si>
  <si>
    <t>20200311-122_3_/31 BGC3/50-60CM</t>
  </si>
  <si>
    <t>20200311_122_3_/31 BGC3/60-70CM</t>
  </si>
  <si>
    <t>20200311_122_3_/31 BGC3/70-80CM</t>
  </si>
  <si>
    <t>20200311_122_3_/31 BGC3/80-90CM</t>
  </si>
  <si>
    <t>20200311_122_3_/31 BGC3/90-100CM</t>
  </si>
  <si>
    <t>20200311_122_3_/31 BGC3/100-110CM</t>
  </si>
  <si>
    <t>20200311_122_3_/31 BGC3 /110-120CM</t>
  </si>
  <si>
    <t>20200311_122_3_/31 BGC3/120-130CM</t>
  </si>
  <si>
    <t>20200311122-3-/31BGC3 /130-140CM NM</t>
  </si>
  <si>
    <t>20200311_122_3_/31 BGC3/140-151CM</t>
  </si>
  <si>
    <t xml:space="preserve">20200311_122_3_/31 LEADICE /POLAR BAG 220  </t>
  </si>
  <si>
    <t>20200311_122_3_/31 NEW LEADICE /POLAR BAG 218</t>
  </si>
  <si>
    <t>20200311_122_3_/31 LEAD GANGWAY/ICE BAG 26</t>
  </si>
  <si>
    <t>20200312_122_3_/31 LEAD GANGWAY/ICE BAG 27</t>
  </si>
  <si>
    <t>20200311_122_3_/31 LEAD GANGWAY/ICE BAG 1A</t>
  </si>
  <si>
    <t>20200312_122_3_/31 LEAD GANGWAY/SNOW BAG 8</t>
  </si>
  <si>
    <t>20200312_122_3_/31 LEAD GANGWAY/SNOW BAG 25</t>
  </si>
  <si>
    <t>20200313_122_3_/31 LEAD GANGWAY/ICE BAG 93</t>
  </si>
  <si>
    <t>20200313_122_3_/31 LEAD GANG SN/0-5CM BAG 242</t>
  </si>
  <si>
    <t>20200313_122_3_/31 LEAD GANG SN/5-7CM BAG 101</t>
  </si>
  <si>
    <t>20200314_122_3_/31 LEADICE/O-7CM BAG 204</t>
  </si>
  <si>
    <t>20200314_122_3_/31 LEADICE/7-14CM BAG 203</t>
  </si>
  <si>
    <t>20200314_122_3_/31 LEAD GANG SN/0-3CM TOP BAG8</t>
  </si>
  <si>
    <t>20200314_122_3_/31 LEAD GANG SN/3-5CM BOT BAG44</t>
  </si>
  <si>
    <t>20200314_122_3_/31 LEAD GANG SN/0-2,5CM BAG5</t>
  </si>
  <si>
    <t>20200314_122_3_/31 LEAD GANG SN/2,5-5CM BAG1A</t>
  </si>
  <si>
    <t>20200315_122_3_/31 LEAD METCITY/ICE CU13</t>
  </si>
  <si>
    <t>Met City</t>
  </si>
  <si>
    <t>20200315_122_3_/31 LEAD METCITY/SNOW CU11</t>
  </si>
  <si>
    <t>M10360</t>
  </si>
  <si>
    <t>20200315 122_3_31 ocean city 5m 12</t>
  </si>
  <si>
    <t>20200316_122_3_/32 BGC2/0-10CM</t>
  </si>
  <si>
    <t>20200316-122_3_/32 BGC2/10-20CM</t>
  </si>
  <si>
    <t>20200316_122_3_/32 BGC2/20-30CM</t>
  </si>
  <si>
    <t>20200316_122_3_/32 BGC2/30-40CM</t>
  </si>
  <si>
    <t>20200316_122_3_/32 BGC2/40-50CM</t>
  </si>
  <si>
    <t>20200316_122_3_/32 BGC2/50-60CM NM</t>
  </si>
  <si>
    <t>20200316_122_3_/32 BGC2/60-70CM</t>
  </si>
  <si>
    <t>20200316_122_3_/32 BGC2/70-80CM</t>
  </si>
  <si>
    <t>20200316_122_3_/32 BGC2/80-90CM</t>
  </si>
  <si>
    <t>20200316_122_3_/32 BGC2/90-100CM</t>
  </si>
  <si>
    <t>20200316_122_3_/32 BGC2/100-110CM</t>
  </si>
  <si>
    <t>20200316_122_3_/32 BGC2/110-120CM</t>
  </si>
  <si>
    <t>20200316_122_3_/32 BGC2/120-130CM</t>
  </si>
  <si>
    <t>20200316_122_3_/32 BGC2/130-140CM</t>
  </si>
  <si>
    <t>20200316_122_3_/32 BGC2/140-156CM</t>
  </si>
  <si>
    <t>20200316_122_3_/32 LEAD METCITY/ICE CU8</t>
  </si>
  <si>
    <t xml:space="preserve">20200316_122_3_/32 LEAD METCITY/SNOW CU16 </t>
  </si>
  <si>
    <t>M10172</t>
  </si>
  <si>
    <t>20200317_122-3-32 ocean city 5m 12</t>
  </si>
  <si>
    <t>20200318-122_3_/32 FROSTFLOWERS/CU16</t>
  </si>
  <si>
    <t>Front ship</t>
  </si>
  <si>
    <t>20200318_122_3_/32 FRONT SHIP/ICEICLES CU20</t>
  </si>
  <si>
    <t>20200318_122_3_/32 FRONT SHIP/ICE CU14</t>
  </si>
  <si>
    <t>20200320_122_3_/32 BGC1/0-10CM</t>
  </si>
  <si>
    <t>20200320_122_3_/32 BGC1/10-20CM</t>
  </si>
  <si>
    <t>20200320_122_3_/32 BGC1/20-30CM</t>
  </si>
  <si>
    <t>20200320_122_3_/32 BGC1/30-40CM</t>
  </si>
  <si>
    <t>20200320-122_3_/32 BGC1/40-50CM</t>
  </si>
  <si>
    <t>20200320_122_3_/32 BGC1/50-60CM</t>
  </si>
  <si>
    <t>20200320_122_3_/32 BGC1/60-70CM</t>
  </si>
  <si>
    <t>20200320_122_3_/32 BGC1/70-80CM</t>
  </si>
  <si>
    <t>20200320_122_3_/32 BGC1/80-90CM</t>
  </si>
  <si>
    <t>20200320_122_3_/32 BGC1/90-100CM</t>
  </si>
  <si>
    <t>20200320_122_3_/32 BGC1/100-110CM</t>
  </si>
  <si>
    <t>20200320_122_3_/32 BGC1/110-120CM</t>
  </si>
  <si>
    <t>20200320_122_3_/32 BGC1/120-130CM</t>
  </si>
  <si>
    <t>2020200320_122_/32 BGC1/130-140CM NM</t>
  </si>
  <si>
    <t>20200320_122_3_/32 BGC1/140-151CM</t>
  </si>
  <si>
    <t>20200321_122_3_/32 DRONEVILLE/FLOWER CU 19</t>
  </si>
  <si>
    <t>Droneville</t>
  </si>
  <si>
    <t>20200321_122_3_/32 DRONEVILLE/FLOWER CU16</t>
  </si>
  <si>
    <t>20200321_122_3_/32 DRONEVILLE/FLOWER/SLUSH 77</t>
  </si>
  <si>
    <t>20200321_122_3_/32 FYI DARKSITE/0-5CM</t>
  </si>
  <si>
    <t>20200321_122_3_/32 FYI DARKSITE/5-10CM</t>
  </si>
  <si>
    <t>20200321_122_3_/32 FYI DARKSITE/10-20CM</t>
  </si>
  <si>
    <t>20200321_122-3_/32 FYI DARKSITE/20-30CM</t>
  </si>
  <si>
    <t>20200321_122_3_/32 FYI DARKSITE/30-40CM</t>
  </si>
  <si>
    <t>20200321_122_3_/32 FYI DARKSITE/40-50CM</t>
  </si>
  <si>
    <t>20200321_122_3_/32 FYI DARKSITE/50-60CM</t>
  </si>
  <si>
    <t>20200321_122_3_/32 FYI DARKSITE/60-70CM</t>
  </si>
  <si>
    <t>20200321_122_3_/32 FYI DARKSITE/70-80CM</t>
  </si>
  <si>
    <t>20200321_122_3_/32 FYI DARKSITE/80-90CM</t>
  </si>
  <si>
    <t>20200321_122_3_/32 FYI DARKSITE/90-100CM</t>
  </si>
  <si>
    <t>20200321_122_3_/32 FYI DARKSITE/100-110CM</t>
  </si>
  <si>
    <t>20200321_122_3_/32 FYI DARKSITE/110-120CM</t>
  </si>
  <si>
    <t>20200321_122_3_/32 FYI DARKSITE/120-130CM</t>
  </si>
  <si>
    <t>20200321_122_3_/32 FYI DARKSITE/130-140CM</t>
  </si>
  <si>
    <t>20200321_122_3_/32 FYI DARKSITE/140-150CM</t>
  </si>
  <si>
    <t>20200321_122_3_/32 FYI DARKSITE/150-160CM</t>
  </si>
  <si>
    <t>20200321_122_3_/32 FYI DARKSITE/160-170CM</t>
  </si>
  <si>
    <t>20200321_122_3_/32 FYI DARKSITE/170-179CM</t>
  </si>
  <si>
    <t>20200321_122_3_/32 FYI DARKSITE/190.5-220.5CM</t>
  </si>
  <si>
    <t>PS122_3_32_72</t>
  </si>
  <si>
    <t>20200321_122_3_/32 DRONEVILLE/FLOWER BAG 39</t>
  </si>
  <si>
    <t>20200321_122_3_/32 DRONEVILLE/LEAD ICE BAG 8</t>
  </si>
  <si>
    <t>20200321_122_3_/32 DRONEVILLE/SLUSH</t>
  </si>
  <si>
    <t>Lead Slush</t>
  </si>
  <si>
    <t>20200324_122_3_/33 SYI DARKSITE/0-10CM</t>
  </si>
  <si>
    <t>20200324_122_3_/33 SYI DARKSITE/10-20CM</t>
  </si>
  <si>
    <t>20200324_122-3_/33 SYI DARKSITE/20-30CM</t>
  </si>
  <si>
    <t>20200324_122_3_/33 SYI DARKSITE/30-40CM</t>
  </si>
  <si>
    <t>20200324_122_3_/33 SYI DARKSITE/40-50CM</t>
  </si>
  <si>
    <t>20200324_122_2_/33 SYI DARKSITE/50-60CM</t>
  </si>
  <si>
    <t>20200324_122_3_/33 SYI DARKSITE/60-70CM</t>
  </si>
  <si>
    <t>20200324_122_3_/33 SYI DARK S/70-80CM</t>
  </si>
  <si>
    <t>20200324_122_3_/33 sYI DARK S/80-88CM</t>
  </si>
  <si>
    <t>20200324_122_3_/33 SYI DARKSITE/88-96CM</t>
  </si>
  <si>
    <t>20200324_122_3_/33 SYI DARKSITE/96-106 CM</t>
  </si>
  <si>
    <t xml:space="preserve">20200324_122_3_/33 SYI DARKSITE/106-116 CM </t>
  </si>
  <si>
    <t>20200324_122_3_/33 SYI DARKSITE/116-126 CM</t>
  </si>
  <si>
    <t>20200324_122_3_/33 SYI DARKSITE/126-136CM</t>
  </si>
  <si>
    <t>20200324_122_3_/33 SYI /136-146CM</t>
  </si>
  <si>
    <t>20200324_122_3_/33 SYI DARKSITE/146-156CM</t>
  </si>
  <si>
    <t>20200324_122_3_/33 SYI DARKSITE/166-176CM</t>
  </si>
  <si>
    <t>20200324_122_3_/33 SYI DARKSITE/176-186CM</t>
  </si>
  <si>
    <t>20200324_122_3_/33 SYI DARKSITE/186-196CM</t>
  </si>
  <si>
    <t>20200324_122_3_/33 SYI DARKSITE/196-206CM</t>
  </si>
  <si>
    <t>20200324_122_3_/33 FROST FLOWER/LEAD</t>
  </si>
  <si>
    <t>lead in front of ship</t>
  </si>
  <si>
    <t>20200326/122_3_33/SLUSH LOWER P</t>
  </si>
  <si>
    <t>20200326_122_3_/33 SLUSH/UPPER PART</t>
  </si>
  <si>
    <t>20200326_122_3_/33 SNOW LEAD /ICE FRONT SHIP</t>
  </si>
  <si>
    <t>M10359</t>
  </si>
  <si>
    <t>20200328_3_33 5m OC 9</t>
  </si>
  <si>
    <t>PS122_3_34_17</t>
  </si>
  <si>
    <t>M10013</t>
  </si>
  <si>
    <t>20200404-122-3-34 FF lead bow notes from box sheet</t>
  </si>
  <si>
    <t>20200404_122_3_/33 LEAD NEW ICE/0-3CM</t>
  </si>
  <si>
    <t>20200404_122_3_/33 LEAD NEW ICE/3-5.5CM</t>
  </si>
  <si>
    <t>20200404_122_3_/LEAD SLUSH/</t>
  </si>
  <si>
    <t>20200404_122_3_/33 METCITY R/0-6CM NM</t>
  </si>
  <si>
    <t>MetCity Ridge</t>
  </si>
  <si>
    <t>20200404_122_3_/33 METCITY R/12-16CM NM</t>
  </si>
  <si>
    <t>20200404_122_3_/33 METCITY R/6-12CM NM</t>
  </si>
  <si>
    <t>M10185</t>
  </si>
  <si>
    <t>20200405_122-3-33 ocean city 5m 12</t>
  </si>
  <si>
    <t>M10749</t>
  </si>
  <si>
    <t>122-3-34</t>
  </si>
  <si>
    <t>M10750</t>
  </si>
  <si>
    <t>M10751</t>
  </si>
  <si>
    <t>M10752</t>
  </si>
  <si>
    <t>M10753</t>
  </si>
  <si>
    <t>M10754</t>
  </si>
  <si>
    <t>M10755</t>
  </si>
  <si>
    <t>M10756</t>
  </si>
  <si>
    <t>M10757</t>
  </si>
  <si>
    <t>M10758</t>
  </si>
  <si>
    <t>M10759</t>
  </si>
  <si>
    <t>M10760</t>
  </si>
  <si>
    <t>M10761</t>
  </si>
  <si>
    <t>M10762</t>
  </si>
  <si>
    <t>M10763</t>
  </si>
  <si>
    <t>M10764</t>
  </si>
  <si>
    <t>M10765</t>
  </si>
  <si>
    <t>M10766</t>
  </si>
  <si>
    <t>M10000</t>
  </si>
  <si>
    <t>20200406--122-3-34 Lead Ballon Town slush</t>
  </si>
  <si>
    <t>Lead Ballon Town</t>
  </si>
  <si>
    <t>M10001</t>
  </si>
  <si>
    <t>20200406--122-3-34 Lead Ballon Town frostflower</t>
  </si>
  <si>
    <t>M10002</t>
  </si>
  <si>
    <t>20200406--122-3-34 Lead Ballon Town new ice 4cm</t>
  </si>
  <si>
    <t>M10003</t>
  </si>
  <si>
    <t>20200406_122-3-34 crack Droneville soft new ice bag 22</t>
  </si>
  <si>
    <t>M10004</t>
  </si>
  <si>
    <t>20200406--122-3-34 crack Droneville soft new ice bag109</t>
  </si>
  <si>
    <t>M10005</t>
  </si>
  <si>
    <t>20200406--122-3-34 stern of ship lead slush</t>
  </si>
  <si>
    <t>M10006</t>
  </si>
  <si>
    <t>20200406--122-3-34 stern of ship lead ice (bag23)</t>
  </si>
  <si>
    <t>M10007</t>
  </si>
  <si>
    <t>20200406--122-3-34 Ridge sunsite 10-15</t>
  </si>
  <si>
    <t>M10008</t>
  </si>
  <si>
    <t>20200406--122-3-34 Ridge sunsite 5-10</t>
  </si>
  <si>
    <t>M10009</t>
  </si>
  <si>
    <t>20200406--122-3-34 Ridge sunsite 0-5</t>
  </si>
  <si>
    <t>M10010</t>
  </si>
  <si>
    <t>20200406--122-3-34 Ridge shadowsite 0-5</t>
  </si>
  <si>
    <t>M10011</t>
  </si>
  <si>
    <t>20200406--122-3-34 Ridge shadowsite 5-10</t>
  </si>
  <si>
    <t>M10012</t>
  </si>
  <si>
    <t>20200406--122-3-34 Ridge shadowsite 10-13</t>
  </si>
  <si>
    <t>M10352</t>
  </si>
  <si>
    <t>20200407 122_3_34 ocean city 5m 12</t>
  </si>
  <si>
    <t>M10015</t>
  </si>
  <si>
    <t>20200410--122-3-34 Stern lead ('unreadable') cu10</t>
  </si>
  <si>
    <t>Stern lead</t>
  </si>
  <si>
    <t>M10767</t>
  </si>
  <si>
    <t>122-3-35</t>
  </si>
  <si>
    <t>M10768</t>
  </si>
  <si>
    <t>M10769</t>
  </si>
  <si>
    <t>M10770</t>
  </si>
  <si>
    <t>M10771</t>
  </si>
  <si>
    <t>M10772</t>
  </si>
  <si>
    <t>M10773</t>
  </si>
  <si>
    <t>M10774</t>
  </si>
  <si>
    <t>M10775</t>
  </si>
  <si>
    <t>M10776</t>
  </si>
  <si>
    <t>M10777</t>
  </si>
  <si>
    <t>M10778</t>
  </si>
  <si>
    <t>M10779</t>
  </si>
  <si>
    <t>M10780</t>
  </si>
  <si>
    <t>M10781</t>
  </si>
  <si>
    <t>M10782</t>
  </si>
  <si>
    <t>M10014</t>
  </si>
  <si>
    <t>20200411-122-3-35 Stern lead slush cu30</t>
  </si>
  <si>
    <t>M10060</t>
  </si>
  <si>
    <t>20200411--122-3-35 Lead ice stern lead  0-10</t>
  </si>
  <si>
    <t>Lead ice stern</t>
  </si>
  <si>
    <t>M10061</t>
  </si>
  <si>
    <t>20200411--122-3-35 Lead ice stern lead  10-20</t>
  </si>
  <si>
    <t>M10062</t>
  </si>
  <si>
    <t>20200411--122-3-35 Lead ice stern lead  20-30</t>
  </si>
  <si>
    <t>M10063</t>
  </si>
  <si>
    <t>20200411--122-3-35 Lead ice stern lead  30-40</t>
  </si>
  <si>
    <t>M10064</t>
  </si>
  <si>
    <t>20200411--122-3-35 Lead ice stern lead  40-50</t>
  </si>
  <si>
    <t>M10171</t>
  </si>
  <si>
    <t>20200411_122-3-34 Ocean City 5m 12</t>
  </si>
  <si>
    <t>M10018</t>
  </si>
  <si>
    <t>20200413--122-3-36 SYI dark site  0-10</t>
  </si>
  <si>
    <t>M10019</t>
  </si>
  <si>
    <t>20200413--122-3-36 SYI dark site  10-20</t>
  </si>
  <si>
    <t>M10020</t>
  </si>
  <si>
    <t>20200413--122-3-36 SYI dark site  20-30</t>
  </si>
  <si>
    <t>M10021</t>
  </si>
  <si>
    <t>20200413--122-3-36 SYI dark site  30-40</t>
  </si>
  <si>
    <t>M10022</t>
  </si>
  <si>
    <t>20200413--122-3-36 SYI dark site  40-50</t>
  </si>
  <si>
    <t>M10023</t>
  </si>
  <si>
    <t>20200413--122-3-36 SYI dark site  50-60</t>
  </si>
  <si>
    <t>M10024</t>
  </si>
  <si>
    <t>20200413--122-3-36 SYI dark site  60-70</t>
  </si>
  <si>
    <t>M10025</t>
  </si>
  <si>
    <t>20200413--122-3-36 SYI dark site  70-80</t>
  </si>
  <si>
    <t>M10026</t>
  </si>
  <si>
    <t>20200413--122-3-36 SYI dark site  80-90</t>
  </si>
  <si>
    <t>M10027</t>
  </si>
  <si>
    <t>20200413--122-3-36 SYI dark site  90-100</t>
  </si>
  <si>
    <t>M10028</t>
  </si>
  <si>
    <t>20200413--122-3-36 SYI dark site  100-110</t>
  </si>
  <si>
    <t>M10029</t>
  </si>
  <si>
    <t>20200413--122-3-36 SYI dark site  110-120</t>
  </si>
  <si>
    <t>M10030</t>
  </si>
  <si>
    <t>20200413--122-3-36 SYI dark site  120-130</t>
  </si>
  <si>
    <t>M10031</t>
  </si>
  <si>
    <t>20200413--122-3-36 SYI dark site  130-140</t>
  </si>
  <si>
    <t>M10032</t>
  </si>
  <si>
    <t>20200413--122-3-36 SYI dark site  140-150</t>
  </si>
  <si>
    <t>M10033</t>
  </si>
  <si>
    <t>20200413--122-3-36 SYI dark site  150-160</t>
  </si>
  <si>
    <t>M10034</t>
  </si>
  <si>
    <t>20200413--122-3-36 SYI dark site  160-170</t>
  </si>
  <si>
    <t>M10035</t>
  </si>
  <si>
    <t>20200414--122-3-36 FYI dark site  10-20</t>
  </si>
  <si>
    <t>M10036</t>
  </si>
  <si>
    <t>20200414--122-3-36 FYI dark site  20-30</t>
  </si>
  <si>
    <t>M10037</t>
  </si>
  <si>
    <t>20200414--122-3-36 FYI dark site  30-40</t>
  </si>
  <si>
    <t>M10038</t>
  </si>
  <si>
    <t>20200414--122-3-36 FYI dark site  40-50</t>
  </si>
  <si>
    <t>M10039</t>
  </si>
  <si>
    <t>20200414--122-3-36 FYI dark site  50-60</t>
  </si>
  <si>
    <t>M10040</t>
  </si>
  <si>
    <t>20200414--122-3-36 FYI dark site  60-70</t>
  </si>
  <si>
    <t>M10041</t>
  </si>
  <si>
    <t>20200414--122-3-36 FYI dark site  70-80</t>
  </si>
  <si>
    <t>M10042</t>
  </si>
  <si>
    <t>20200414--122-3-36 FYI dark site  80-90</t>
  </si>
  <si>
    <t>M10043</t>
  </si>
  <si>
    <t>20200414--122-3-36 FYI dark site  90-100</t>
  </si>
  <si>
    <t>M10044</t>
  </si>
  <si>
    <t>20200414--122-3-36 FYI dark site  110-120</t>
  </si>
  <si>
    <t>M10045</t>
  </si>
  <si>
    <t>20200414--122-3-36 FYI dark site  120-130</t>
  </si>
  <si>
    <t>M10046</t>
  </si>
  <si>
    <t>20200414--122-3-36 FYI dark site  130-140</t>
  </si>
  <si>
    <t>M10047</t>
  </si>
  <si>
    <t>20200414--122-3-36 FYI dark site  140-150</t>
  </si>
  <si>
    <t>M10048</t>
  </si>
  <si>
    <t>20200414--122-3-36 FYI dark site  150-160</t>
  </si>
  <si>
    <t>M10049</t>
  </si>
  <si>
    <t>20200414--122-3-36 FYI dark site  160-170</t>
  </si>
  <si>
    <t>M10050</t>
  </si>
  <si>
    <t>20200414--122-3-36 FYI dark site  170-180</t>
  </si>
  <si>
    <t>M10051</t>
  </si>
  <si>
    <t>20200414--122-3-36 FYI dark site  180-192</t>
  </si>
  <si>
    <t>M10052</t>
  </si>
  <si>
    <t>20200414--122-3-36 FYI dark site  192-211</t>
  </si>
  <si>
    <t>M10173</t>
  </si>
  <si>
    <t>20200414_122-3-35 ocean city 5m 12</t>
  </si>
  <si>
    <t>M10016</t>
  </si>
  <si>
    <t>20200415--122-3-36 FYI dark site ('unreadable') cu10+15</t>
  </si>
  <si>
    <t>M10017</t>
  </si>
  <si>
    <t xml:space="preserve">20200415--122-3-36 FYI dark site snow/cu20 </t>
  </si>
  <si>
    <t>M10356</t>
  </si>
  <si>
    <t>20200418 122_3_36 OC 5m 12</t>
  </si>
  <si>
    <t>M10182</t>
  </si>
  <si>
    <t>20200421_122-3-37 ocean city 5m 12</t>
  </si>
  <si>
    <t>M10783</t>
  </si>
  <si>
    <t>122-3-37</t>
  </si>
  <si>
    <t>M10784</t>
  </si>
  <si>
    <t>M10785</t>
  </si>
  <si>
    <t>M10786</t>
  </si>
  <si>
    <t>M10787</t>
  </si>
  <si>
    <t>M10788</t>
  </si>
  <si>
    <t>M10789</t>
  </si>
  <si>
    <t>M10790</t>
  </si>
  <si>
    <t>M10791</t>
  </si>
  <si>
    <t>M10792</t>
  </si>
  <si>
    <t>M10793</t>
  </si>
  <si>
    <t>M10794</t>
  </si>
  <si>
    <t>M10795</t>
  </si>
  <si>
    <t>M10796</t>
  </si>
  <si>
    <t>M10797</t>
  </si>
  <si>
    <t>M10798</t>
  </si>
  <si>
    <t>M10799</t>
  </si>
  <si>
    <t>M10800</t>
  </si>
  <si>
    <t>M10053</t>
  </si>
  <si>
    <t>20200423--122-3-37 brine&amp;seawater lead fort ridge from PIC</t>
  </si>
  <si>
    <t>Fort Ridge Lead</t>
  </si>
  <si>
    <t>Brine</t>
  </si>
  <si>
    <t>M10054</t>
  </si>
  <si>
    <t>20200423--122-3-37 Brine lead fort ridge from PIC</t>
  </si>
  <si>
    <t>M10055</t>
  </si>
  <si>
    <t>20200424--122-3-37 stern Lead ice  0-10</t>
  </si>
  <si>
    <t>Lead ice Droneville/stern of ship 5x</t>
  </si>
  <si>
    <t>M10056</t>
  </si>
  <si>
    <t>20200424--122-3-37 stern Lead ice  10-20</t>
  </si>
  <si>
    <t>M10057</t>
  </si>
  <si>
    <t>20200424--122-3-37 stern Lead ice  20-30</t>
  </si>
  <si>
    <t>M10058</t>
  </si>
  <si>
    <t>20200424--122-3-37 stern Lead ice  30-40 / bottom</t>
  </si>
  <si>
    <t>M10059</t>
  </si>
  <si>
    <t>20200424--122-3-37 lead Dromville new ice 3cm fleick</t>
  </si>
  <si>
    <t>M10071</t>
  </si>
  <si>
    <t>20200425--122-3-37 DN-L1-SYI  0-10</t>
  </si>
  <si>
    <t>M10072</t>
  </si>
  <si>
    <t>20200425--122-3-37 DN-L1-SYI  10-20</t>
  </si>
  <si>
    <t>M10073</t>
  </si>
  <si>
    <t>20200425--122-3-37 DN-L1-SYI  20-30</t>
  </si>
  <si>
    <t>M10074</t>
  </si>
  <si>
    <t>20200425--122-3-37 DN-L1-SYI  30-40</t>
  </si>
  <si>
    <t>M10075</t>
  </si>
  <si>
    <t>20200425--122-3-37 DN-L1-SYI  40-50</t>
  </si>
  <si>
    <t>M10076</t>
  </si>
  <si>
    <t>20200425--122-3-37 DN-L1-SYI  50-60</t>
  </si>
  <si>
    <t>M10077</t>
  </si>
  <si>
    <t>20200425--122-3-37 DN-L1-SYI  60-70</t>
  </si>
  <si>
    <t>M10078</t>
  </si>
  <si>
    <t>20200425--122-3-37 DN-L1-SYI  70-80</t>
  </si>
  <si>
    <t>M10079</t>
  </si>
  <si>
    <t>20200425--122-3-37 DN-L1-SYI  80-90</t>
  </si>
  <si>
    <t>M10080</t>
  </si>
  <si>
    <t>20200425--122-3-37 DN-L1-SYI  90-100</t>
  </si>
  <si>
    <t>M10081</t>
  </si>
  <si>
    <t>20200425--122-3-37 DN-L1-SYI  100-110</t>
  </si>
  <si>
    <t>M10082</t>
  </si>
  <si>
    <t>20200425--122-3-37 DN-L1-SYI  110-120</t>
  </si>
  <si>
    <t>M10083</t>
  </si>
  <si>
    <t>20200425--122-3-37 DN-L1-SYI  120-130</t>
  </si>
  <si>
    <t>M10084</t>
  </si>
  <si>
    <t>20200425--122-3-37 DN-L1-SYI  130-140</t>
  </si>
  <si>
    <t>M10085</t>
  </si>
  <si>
    <t>20200425--122-3-37 DN-L1-SYI  140-150</t>
  </si>
  <si>
    <t>M10086</t>
  </si>
  <si>
    <t>20200425--122-3-37 DN-L1-SYI  150-160</t>
  </si>
  <si>
    <t>M10087</t>
  </si>
  <si>
    <t>20200425--122-3-37 DN-L1-SYI  160-170</t>
  </si>
  <si>
    <t>M10088</t>
  </si>
  <si>
    <t>20200425--122-3-37 DN-L1-SYI  170-180</t>
  </si>
  <si>
    <t>M10089</t>
  </si>
  <si>
    <t>20200425--122-3-37 DN-L1-SYI  180-193</t>
  </si>
  <si>
    <t>M10090</t>
  </si>
  <si>
    <t>20200425--122-3-37 DN-L1-SYI  190-200</t>
  </si>
  <si>
    <t>M10091</t>
  </si>
  <si>
    <t>20200425--122-3-37 DN-L1-SYI  200-212</t>
  </si>
  <si>
    <t>M10092</t>
  </si>
  <si>
    <t>20200425--122-3-37 DN-L1-FYI  0-5</t>
  </si>
  <si>
    <t>M10093</t>
  </si>
  <si>
    <t>20200425--122-3-37 DN-L1-FYI  5-10</t>
  </si>
  <si>
    <t>M10094</t>
  </si>
  <si>
    <t>20200425--122-3-37 DN-L1-FYI  10-20</t>
  </si>
  <si>
    <t>M10095</t>
  </si>
  <si>
    <t>20200425--122-3-37 DN-L1-FYI  20-30</t>
  </si>
  <si>
    <t>M10096</t>
  </si>
  <si>
    <t>20200425--122-3-37 DN-L1-FYI  30-40</t>
  </si>
  <si>
    <t>M10097</t>
  </si>
  <si>
    <t>20200425--122-3-37 DN-L1-FYI  40-50</t>
  </si>
  <si>
    <t>M10098</t>
  </si>
  <si>
    <t>20200425--122-3-37 DN-L1-FYI  50-60</t>
  </si>
  <si>
    <t>M10099</t>
  </si>
  <si>
    <t>20200425--122-3-37 DN-L1-FYI  60-70</t>
  </si>
  <si>
    <t>M10100</t>
  </si>
  <si>
    <t>20200425--122-3-37 DN-L1-FYI  70-80</t>
  </si>
  <si>
    <t>M10101</t>
  </si>
  <si>
    <t>20200425--122-3-37 DN-L1-FYI  80-90</t>
  </si>
  <si>
    <t>M10102</t>
  </si>
  <si>
    <t>20200425--122-3-37 DN-L1-FYI  90-100</t>
  </si>
  <si>
    <t>M10103</t>
  </si>
  <si>
    <t>20200425--122-3-37 DN-L1-FYI  100-110</t>
  </si>
  <si>
    <t>M10104</t>
  </si>
  <si>
    <t>20200425--122-3-37 DN-L1-FYI  110-120</t>
  </si>
  <si>
    <t>M10109</t>
  </si>
  <si>
    <t>20200425--122-3-37 DN-L1-FYI  120-130</t>
  </si>
  <si>
    <t>M10110</t>
  </si>
  <si>
    <t>20200425--122-3-37 DN-L1-FYI  130-140</t>
  </si>
  <si>
    <t>M10111</t>
  </si>
  <si>
    <t>20200425--122-3-37 DN-L1-FYI  140-156</t>
  </si>
  <si>
    <t>M10065</t>
  </si>
  <si>
    <t>20200426--122-3-37 Fort Ridge Lead ice  0-10</t>
  </si>
  <si>
    <t>Fort Ridge Lead ice</t>
  </si>
  <si>
    <t>M10066</t>
  </si>
  <si>
    <t>20200426--122-3-37 Fort Ridge Lead ice  10-20</t>
  </si>
  <si>
    <t>M10067</t>
  </si>
  <si>
    <t>20200426--122-3-37 Fort Ridge Lead ice  20-30</t>
  </si>
  <si>
    <t>M10068</t>
  </si>
  <si>
    <t>20200426--122-3-37 Fort Ridge Lead ice  30-40</t>
  </si>
  <si>
    <t>M10069</t>
  </si>
  <si>
    <t>20200426--122-3-37 Fort Ridge Lead ice  -</t>
  </si>
  <si>
    <t>M10070</t>
  </si>
  <si>
    <t>PS122_3_37_116</t>
  </si>
  <si>
    <t>M10704</t>
  </si>
  <si>
    <t>M10705</t>
  </si>
  <si>
    <t>M10706</t>
  </si>
  <si>
    <t>M10707</t>
  </si>
  <si>
    <t>M10708</t>
  </si>
  <si>
    <t>M10709</t>
  </si>
  <si>
    <t>M10710</t>
  </si>
  <si>
    <t>M10711</t>
  </si>
  <si>
    <t>M10712</t>
  </si>
  <si>
    <t>M10713</t>
  </si>
  <si>
    <t>M10714</t>
  </si>
  <si>
    <t>M10715</t>
  </si>
  <si>
    <t>M10716</t>
  </si>
  <si>
    <t>M10717</t>
  </si>
  <si>
    <t>M10718</t>
  </si>
  <si>
    <t>M10719</t>
  </si>
  <si>
    <t>M10720</t>
  </si>
  <si>
    <t>122_3_38/FYI DARK SIDE/0-5CM</t>
  </si>
  <si>
    <t>122_3_38/FYIdarksite/5-10CM</t>
  </si>
  <si>
    <t>122_3_38/FYI DARK SIDE/10-20CM</t>
  </si>
  <si>
    <t>122_3_38/FYI DARK SIDE/20-30CM</t>
  </si>
  <si>
    <t>122_2_38/FYI DARK SIDE/30-40CM</t>
  </si>
  <si>
    <t>122_3_38/FYI DARK SIDE/30-40CM</t>
  </si>
  <si>
    <t>122_3_38/FYI DARK SIDE/50-60CM</t>
  </si>
  <si>
    <t>122_3_38/FYI DARK SIDE/60-70CM</t>
  </si>
  <si>
    <t>122_3_38/FYI DARK SIDE/70-80CM</t>
  </si>
  <si>
    <t>122_3_38/FYI DARK SIDE/80-90CM</t>
  </si>
  <si>
    <t>122_3_38/FYI DARK SIDE/90-100CM</t>
  </si>
  <si>
    <t>122_3_38/FYI DARK SIDE/100-110CM</t>
  </si>
  <si>
    <t>122_3_38/FYI DARK SIDE/110-120CM</t>
  </si>
  <si>
    <t>122_3_38/FYI DARK SIDE/120-130CM</t>
  </si>
  <si>
    <t>122_3_38/FYI DARK SIDE/130-140CM</t>
  </si>
  <si>
    <t>122_3_38 FYI/DARK SIDE/140-150CM NM</t>
  </si>
  <si>
    <t>20200427122-3-/38DARKSITEFYI/150-161CM NM</t>
  </si>
  <si>
    <t>M10351</t>
  </si>
  <si>
    <t>20200428 122_3_38 ocean city 5m 12</t>
  </si>
  <si>
    <t>M10676</t>
  </si>
  <si>
    <t xml:space="preserve">122-3-38 </t>
  </si>
  <si>
    <t xml:space="preserve">122-3-38 DN-L2-SYI </t>
  </si>
  <si>
    <t>M10677</t>
  </si>
  <si>
    <t>M10678</t>
  </si>
  <si>
    <t>M10679</t>
  </si>
  <si>
    <t>M10680</t>
  </si>
  <si>
    <t>M10681</t>
  </si>
  <si>
    <t>M10682</t>
  </si>
  <si>
    <t>M10683</t>
  </si>
  <si>
    <t>M10684</t>
  </si>
  <si>
    <t>M10685</t>
  </si>
  <si>
    <t>M10686</t>
  </si>
  <si>
    <t>M10687</t>
  </si>
  <si>
    <t>M10688</t>
  </si>
  <si>
    <t>M10689</t>
  </si>
  <si>
    <t>M10690</t>
  </si>
  <si>
    <t>M10691</t>
  </si>
  <si>
    <t>M10692</t>
  </si>
  <si>
    <t>M10693</t>
  </si>
  <si>
    <t>M10694</t>
  </si>
  <si>
    <t>M10695</t>
  </si>
  <si>
    <t>M10696</t>
  </si>
  <si>
    <t>PS122_3_38_100</t>
  </si>
  <si>
    <t>20200502/100M/#6</t>
  </si>
  <si>
    <t>20200502/115M/#5</t>
  </si>
  <si>
    <t>20200502/125M/#4</t>
  </si>
  <si>
    <t>20200502/20M/#11</t>
  </si>
  <si>
    <t>20200502/40M/#10</t>
  </si>
  <si>
    <t>20200502/5M/#12</t>
  </si>
  <si>
    <t>20200502/60M/#8</t>
  </si>
  <si>
    <t>20200502/75M/#7</t>
  </si>
  <si>
    <t>M10651</t>
  </si>
  <si>
    <t>M10652</t>
  </si>
  <si>
    <t>M10653</t>
  </si>
  <si>
    <t>M10654</t>
  </si>
  <si>
    <t>M10655</t>
  </si>
  <si>
    <t>M10656</t>
  </si>
  <si>
    <t>M10657</t>
  </si>
  <si>
    <t>M10658</t>
  </si>
  <si>
    <t>M10659</t>
  </si>
  <si>
    <t>M10660</t>
  </si>
  <si>
    <t>M10661</t>
  </si>
  <si>
    <t>M10662</t>
  </si>
  <si>
    <t>M10663</t>
  </si>
  <si>
    <t>M10664</t>
  </si>
  <si>
    <t>M10665</t>
  </si>
  <si>
    <t>M10666</t>
  </si>
  <si>
    <t>M10667</t>
  </si>
  <si>
    <t>M10668</t>
  </si>
  <si>
    <t>M10669</t>
  </si>
  <si>
    <t>M10670</t>
  </si>
  <si>
    <t>M10671</t>
  </si>
  <si>
    <t>M10672</t>
  </si>
  <si>
    <t>M10673</t>
  </si>
  <si>
    <t>M10674</t>
  </si>
  <si>
    <t>M10675</t>
  </si>
  <si>
    <t>M10721</t>
  </si>
  <si>
    <t>122-3-39</t>
  </si>
  <si>
    <t>M10722</t>
  </si>
  <si>
    <t>M10723</t>
  </si>
  <si>
    <t>M10724</t>
  </si>
  <si>
    <t>M10725</t>
  </si>
  <si>
    <t>M10726</t>
  </si>
  <si>
    <t>M10727</t>
  </si>
  <si>
    <t>M10728</t>
  </si>
  <si>
    <t>M10729</t>
  </si>
  <si>
    <t>M10730</t>
  </si>
  <si>
    <t>M10731</t>
  </si>
  <si>
    <t>M10732</t>
  </si>
  <si>
    <t>M10733</t>
  </si>
  <si>
    <t>M10734</t>
  </si>
  <si>
    <t>M10735</t>
  </si>
  <si>
    <t>M10736</t>
  </si>
  <si>
    <t>M10737</t>
  </si>
  <si>
    <t>M10181</t>
  </si>
  <si>
    <t>20200505_122-3-39 ocean city 5m 12</t>
  </si>
  <si>
    <t>M10112</t>
  </si>
  <si>
    <t>20200506_122-3-39 Lead fort ridge brine hole 40 cm</t>
  </si>
  <si>
    <t>Lead fort ridge</t>
  </si>
  <si>
    <t>M10113</t>
  </si>
  <si>
    <t>20200506_122-3-39 Lead fort ridge brine hole 30 cm</t>
  </si>
  <si>
    <t>Load fort ridge</t>
  </si>
  <si>
    <t>M10738</t>
  </si>
  <si>
    <t>122-3-29</t>
  </si>
  <si>
    <t>122-3-29 Lead Ford Ridge</t>
  </si>
  <si>
    <t>M10739</t>
  </si>
  <si>
    <t>M10740</t>
  </si>
  <si>
    <t>M10741</t>
  </si>
  <si>
    <t>M10742</t>
  </si>
  <si>
    <t>M10367</t>
  </si>
  <si>
    <t>PS122_4_44-134_DO18-6</t>
  </si>
  <si>
    <t>0.25-0.3</t>
  </si>
  <si>
    <t>M10368</t>
  </si>
  <si>
    <t>PS122_4_44-134_DO18-15</t>
  </si>
  <si>
    <t>0.7-0.75</t>
  </si>
  <si>
    <t>M10369</t>
  </si>
  <si>
    <t>PS122_4_44-134_DO18-13</t>
  </si>
  <si>
    <t>0.6-0.65</t>
  </si>
  <si>
    <t>M10370</t>
  </si>
  <si>
    <t>PS122_4_44-134_DO18-24</t>
  </si>
  <si>
    <t>1.15-1.2</t>
  </si>
  <si>
    <t>M10371</t>
  </si>
  <si>
    <t>PS122_4_44-134_DO18-21</t>
  </si>
  <si>
    <t>1-1.05</t>
  </si>
  <si>
    <t>M10372</t>
  </si>
  <si>
    <t>PS122_4_44-134_DO18-25</t>
  </si>
  <si>
    <t>1.2-1.25</t>
  </si>
  <si>
    <t>M10373</t>
  </si>
  <si>
    <t>PS122_4_44-134_DO18-23</t>
  </si>
  <si>
    <t>1.1-1.15</t>
  </si>
  <si>
    <t>M10374</t>
  </si>
  <si>
    <t>PS122_4_44-134_DO18-26</t>
  </si>
  <si>
    <t>1.25-1.3</t>
  </si>
  <si>
    <t>M10375</t>
  </si>
  <si>
    <t>PS122_4_44-134_DO18-17</t>
  </si>
  <si>
    <t>0.8-0.85</t>
  </si>
  <si>
    <t>M10376</t>
  </si>
  <si>
    <t>PS122_4_44-134_DO18-22</t>
  </si>
  <si>
    <t>1.05-1.1</t>
  </si>
  <si>
    <t>M10377</t>
  </si>
  <si>
    <t>PS122_4_44-134_DO18-1</t>
  </si>
  <si>
    <t>0-0.05</t>
  </si>
  <si>
    <t>M10378</t>
  </si>
  <si>
    <t>PS122_4_44-134_DO18-19</t>
  </si>
  <si>
    <t>0.9-0.95</t>
  </si>
  <si>
    <t>M10379</t>
  </si>
  <si>
    <t>PS122_4_44-134_DO18-20</t>
  </si>
  <si>
    <t>0.95-1</t>
  </si>
  <si>
    <t>M10380</t>
  </si>
  <si>
    <t>PS122_4_44-134_DO18-4</t>
  </si>
  <si>
    <t>0.15-0.2</t>
  </si>
  <si>
    <t>M10381</t>
  </si>
  <si>
    <t>PS122_4_44-134_DO18-5</t>
  </si>
  <si>
    <t>0.2-0.25</t>
  </si>
  <si>
    <t>M10382</t>
  </si>
  <si>
    <t>PS122_4_44-134_DO18-27</t>
  </si>
  <si>
    <t>1.3-1.35</t>
  </si>
  <si>
    <t>M10383</t>
  </si>
  <si>
    <t>PS122_4_44-134_DO18-3</t>
  </si>
  <si>
    <t>0.1-0.15</t>
  </si>
  <si>
    <t>M10384</t>
  </si>
  <si>
    <t>PS122-4_44-42-DO18-18</t>
  </si>
  <si>
    <t>M10385</t>
  </si>
  <si>
    <t>PS122-4_44-42-DO18-17</t>
  </si>
  <si>
    <t>M10386</t>
  </si>
  <si>
    <t>PS122_4_44-134_DO18-8</t>
  </si>
  <si>
    <t>0.35-0.4</t>
  </si>
  <si>
    <t>M10387</t>
  </si>
  <si>
    <t>PS122_4_44-134_DO18-9</t>
  </si>
  <si>
    <t>0.4-0.45</t>
  </si>
  <si>
    <t>M10388</t>
  </si>
  <si>
    <t>PS122-4_44-42-DO18-16</t>
  </si>
  <si>
    <t>M10389</t>
  </si>
  <si>
    <t>PS122_4_44-134_DO18-18</t>
  </si>
  <si>
    <t>0.85-0.9</t>
  </si>
  <si>
    <t>M10390</t>
  </si>
  <si>
    <t>PS122_4_44-134_DO18-2</t>
  </si>
  <si>
    <t>0.05-0.1</t>
  </si>
  <si>
    <t>M10391</t>
  </si>
  <si>
    <t>PS122_4_44-134_DO18-7</t>
  </si>
  <si>
    <t>0.3-0.35</t>
  </si>
  <si>
    <t>M10392</t>
  </si>
  <si>
    <t>PS122_4_44-134_DO18-16</t>
  </si>
  <si>
    <t>0.75-0.8</t>
  </si>
  <si>
    <t>M10393</t>
  </si>
  <si>
    <t>PS122_4_44-134_DO18-11</t>
  </si>
  <si>
    <t>0.5-0.55</t>
  </si>
  <si>
    <t>M10394</t>
  </si>
  <si>
    <t>PS122_4_44-134_DO18-12</t>
  </si>
  <si>
    <t>0.55-0.6</t>
  </si>
  <si>
    <t>M10395</t>
  </si>
  <si>
    <t>PS122-4_44-42-DO18-19</t>
  </si>
  <si>
    <t>M10397</t>
  </si>
  <si>
    <t>PS122_4_44-134_DO18-33</t>
  </si>
  <si>
    <t>1.63-1.68</t>
  </si>
  <si>
    <t>M10398</t>
  </si>
  <si>
    <t>PS122_4_44-134_DO18-30</t>
  </si>
  <si>
    <t>1.45-1.5</t>
  </si>
  <si>
    <t>M10399</t>
  </si>
  <si>
    <t>PS122_4_44-134_DO18-32</t>
  </si>
  <si>
    <t>1.58-1.63</t>
  </si>
  <si>
    <t>M10400</t>
  </si>
  <si>
    <t>PS122_4_44-134_DO18-29</t>
  </si>
  <si>
    <t>1.4-1.45</t>
  </si>
  <si>
    <t>M10401</t>
  </si>
  <si>
    <t>PS122_4_44-134_DO18-31</t>
  </si>
  <si>
    <t>1.5-1.56</t>
  </si>
  <si>
    <t>M10402</t>
  </si>
  <si>
    <t>PS122_4_44-134_DO18-28</t>
  </si>
  <si>
    <t>1.35-1.4</t>
  </si>
  <si>
    <t>M10403</t>
  </si>
  <si>
    <t>PS122_4_44-134_DO18-10</t>
  </si>
  <si>
    <t>0.45-0.5</t>
  </si>
  <si>
    <t>M10404</t>
  </si>
  <si>
    <t>PS122_4_44-134_DO18-14</t>
  </si>
  <si>
    <t>0.65-0.7</t>
  </si>
  <si>
    <t>M10555</t>
  </si>
  <si>
    <t>leg 4 22.06.2020 0-10</t>
  </si>
  <si>
    <t>salinity in percentage</t>
  </si>
  <si>
    <t>M10556</t>
  </si>
  <si>
    <t>leg 4 22.06.2020 10-20</t>
  </si>
  <si>
    <t>M10557</t>
  </si>
  <si>
    <t>leg 4 22.06.2020 20-30</t>
  </si>
  <si>
    <t>M10558</t>
  </si>
  <si>
    <t>leg 4 22.06.2020 30-40</t>
  </si>
  <si>
    <t>M10559</t>
  </si>
  <si>
    <t>leg 4 22.06.2020 40-50</t>
  </si>
  <si>
    <t>M10560</t>
  </si>
  <si>
    <t>leg 4 22.06.2020 50-60</t>
  </si>
  <si>
    <t>M10561</t>
  </si>
  <si>
    <t>leg 4 22.06.2020 60-70</t>
  </si>
  <si>
    <t>M10562</t>
  </si>
  <si>
    <t>leg 4 22.06.2020 70-80</t>
  </si>
  <si>
    <t>M10563</t>
  </si>
  <si>
    <t>leg 4 22.06.2020 80-90</t>
  </si>
  <si>
    <t>M10564</t>
  </si>
  <si>
    <t>leg 4 22.06.2020 90-100</t>
  </si>
  <si>
    <t>M10565</t>
  </si>
  <si>
    <t>leg 4 22.06.2020 100-110</t>
  </si>
  <si>
    <t>M10566</t>
  </si>
  <si>
    <t>leg 4 22.06.2020 110-120</t>
  </si>
  <si>
    <t>M10567</t>
  </si>
  <si>
    <t>leg 4 22.06.2020 120-130</t>
  </si>
  <si>
    <t>M10568</t>
  </si>
  <si>
    <t>leg 4 22.06.2020 130-140</t>
  </si>
  <si>
    <t>M10569</t>
  </si>
  <si>
    <t>leg 4 22.06.2020 140-150</t>
  </si>
  <si>
    <t>M10570</t>
  </si>
  <si>
    <t>leg 4 22.06.2020 150-160</t>
  </si>
  <si>
    <t>M10396</t>
  </si>
  <si>
    <t>PS122/4_45-29_DO18-17</t>
  </si>
  <si>
    <t>0.79-0.84</t>
  </si>
  <si>
    <t>M10405</t>
  </si>
  <si>
    <t>PS122/4_45-29_DO18-14</t>
  </si>
  <si>
    <t>0.64-0.69</t>
  </si>
  <si>
    <t>M10406</t>
  </si>
  <si>
    <t>PS122/4_45-29_DO18-16</t>
  </si>
  <si>
    <t>0.74-0.79</t>
  </si>
  <si>
    <t>M10407</t>
  </si>
  <si>
    <t>PS122/4_45-29_DO18-15</t>
  </si>
  <si>
    <t>0.69-0.74</t>
  </si>
  <si>
    <t>M10408</t>
  </si>
  <si>
    <t>PS122/4_45-29_DO18-04</t>
  </si>
  <si>
    <t>0.14-0.19</t>
  </si>
  <si>
    <t>M10409</t>
  </si>
  <si>
    <t>PS122/4_45-29_DO18-09</t>
  </si>
  <si>
    <t>0.39-0.44</t>
  </si>
  <si>
    <t>M10410</t>
  </si>
  <si>
    <t>PS122/4_45-29_DO18-06</t>
  </si>
  <si>
    <t>0.24-0.29</t>
  </si>
  <si>
    <t>M10411</t>
  </si>
  <si>
    <t>PS122/4_45-29_DO18-10</t>
  </si>
  <si>
    <t>0.44-0.49</t>
  </si>
  <si>
    <t>M10412</t>
  </si>
  <si>
    <t>PS122/4_45-29_DO18-03</t>
  </si>
  <si>
    <t>0.09-0.14</t>
  </si>
  <si>
    <t>M10413</t>
  </si>
  <si>
    <t>PS122/4_45-29_DO18-08</t>
  </si>
  <si>
    <t>0.34-0.39</t>
  </si>
  <si>
    <t>M10414</t>
  </si>
  <si>
    <t>PS122-4_45-9-DO18-06</t>
  </si>
  <si>
    <t>M10415</t>
  </si>
  <si>
    <t>PS122/4_45-29_DO18-01</t>
  </si>
  <si>
    <t>M10416</t>
  </si>
  <si>
    <t>PS122/4_45-29_DO18-05</t>
  </si>
  <si>
    <t>0.19-0.22  + 0.22 + 0.24</t>
  </si>
  <si>
    <t>M10417</t>
  </si>
  <si>
    <t>PS122/4_45-29_DO18-07</t>
  </si>
  <si>
    <t>0.29-0.34</t>
  </si>
  <si>
    <t>M10418</t>
  </si>
  <si>
    <t>PS122/4_45-29_DO18-12</t>
  </si>
  <si>
    <t>0.54-0.59</t>
  </si>
  <si>
    <t>M10419</t>
  </si>
  <si>
    <t>PS122/4_45-29_DO18-20</t>
  </si>
  <si>
    <t>0.94-0.99</t>
  </si>
  <si>
    <t>M10420</t>
  </si>
  <si>
    <t>PS122/4_45-29_DO18-25</t>
  </si>
  <si>
    <t>1.19-1.24</t>
  </si>
  <si>
    <t>M10421</t>
  </si>
  <si>
    <t>PS122/4_45-29_DO18-18</t>
  </si>
  <si>
    <t>0.84-0.89</t>
  </si>
  <si>
    <t>M10422</t>
  </si>
  <si>
    <t>PS122/4_45-29_DO18-13</t>
  </si>
  <si>
    <t>0.59-0.64</t>
  </si>
  <si>
    <t>M10423</t>
  </si>
  <si>
    <t>PS122/4_45-29_DO18-19</t>
  </si>
  <si>
    <t>0.89-0.94</t>
  </si>
  <si>
    <t>M10424</t>
  </si>
  <si>
    <t>PS122/4_45-29_DO18-40</t>
  </si>
  <si>
    <t>1.95-2.00</t>
  </si>
  <si>
    <t>M10425</t>
  </si>
  <si>
    <t>PS122/4_45-29_DO18-43</t>
  </si>
  <si>
    <t>2.10 - 2.15</t>
  </si>
  <si>
    <t>M10426</t>
  </si>
  <si>
    <t>PS122/4_45-29_DO18-30</t>
  </si>
  <si>
    <t>1.44-1.49</t>
  </si>
  <si>
    <t>M10427</t>
  </si>
  <si>
    <t>PS122/4_45-29_DO18-29 handschriftlich 29</t>
  </si>
  <si>
    <t>1.39-1.44</t>
  </si>
  <si>
    <t>M10428</t>
  </si>
  <si>
    <t>PS122/4_45-29_DO18-22</t>
  </si>
  <si>
    <t>1.04-1.06 + 1.66-1.09</t>
  </si>
  <si>
    <t>M10429</t>
  </si>
  <si>
    <t>PS122/4_45-29_DO18-23</t>
  </si>
  <si>
    <t>1.09-1.14</t>
  </si>
  <si>
    <t>M10430</t>
  </si>
  <si>
    <t>PS122/4_45-29_DO18-24</t>
  </si>
  <si>
    <t>1.14-1.19</t>
  </si>
  <si>
    <t>M10431</t>
  </si>
  <si>
    <t>PS122/4_45-29_DO18-27</t>
  </si>
  <si>
    <t>1.29-1.34</t>
  </si>
  <si>
    <t>M10432</t>
  </si>
  <si>
    <t>PS122/4_45-29_DO18-29 gelabelt 29</t>
  </si>
  <si>
    <t>M10433</t>
  </si>
  <si>
    <t>PS122/4_45-29_DO18-21</t>
  </si>
  <si>
    <t>0.99-1.04</t>
  </si>
  <si>
    <t>M10434</t>
  </si>
  <si>
    <t>PS122/4_45-29_DO18-28</t>
  </si>
  <si>
    <t>1.34-1.39</t>
  </si>
  <si>
    <t>M10435</t>
  </si>
  <si>
    <t>PS122/4_45-29_DO18-36</t>
  </si>
  <si>
    <t>1.75-1.80</t>
  </si>
  <si>
    <t>M10436</t>
  </si>
  <si>
    <t>PS122/4_45-29_DO18-33</t>
  </si>
  <si>
    <t>1.59-1.64</t>
  </si>
  <si>
    <t>M10437</t>
  </si>
  <si>
    <t>PS122/4_45-29_DO18-34</t>
  </si>
  <si>
    <t>1.64-1.69</t>
  </si>
  <si>
    <t>M10438</t>
  </si>
  <si>
    <t>PS122/4_45-29_DO18-32</t>
  </si>
  <si>
    <t>1.54-1.59</t>
  </si>
  <si>
    <t>M10439</t>
  </si>
  <si>
    <t>PS122/4_45-29_DO18-31</t>
  </si>
  <si>
    <t>1.49-1.54</t>
  </si>
  <si>
    <t>M10440</t>
  </si>
  <si>
    <t>PS122/4_45-29_DO18-37</t>
  </si>
  <si>
    <t>1.80-1.85</t>
  </si>
  <si>
    <t>M10441</t>
  </si>
  <si>
    <t>PS122/4_45-29_DO18-35</t>
  </si>
  <si>
    <t>1.69-1.73 + 1.73-1.75</t>
  </si>
  <si>
    <t>M10442</t>
  </si>
  <si>
    <t>PS122/4_45-29_DO18-41</t>
  </si>
  <si>
    <t>2.00-2.05</t>
  </si>
  <si>
    <t>M10450</t>
  </si>
  <si>
    <t>PS122/4_45-29_DO18-39</t>
  </si>
  <si>
    <t>1.90-1.95</t>
  </si>
  <si>
    <t>M10451</t>
  </si>
  <si>
    <t>PS122/4_45-29_DO18-42</t>
  </si>
  <si>
    <t>2.05-2.08 + 2.08-2.10</t>
  </si>
  <si>
    <t>M10452</t>
  </si>
  <si>
    <t>PS122/4_45-29_DO18-38</t>
  </si>
  <si>
    <t>1.85-1.90</t>
  </si>
  <si>
    <t>M10449</t>
  </si>
  <si>
    <t>PS122-4_45-26 DO18-11 (handschriftlich 26)</t>
  </si>
  <si>
    <t>M10571</t>
  </si>
  <si>
    <t>leg 4 06.07.2020 0-10</t>
  </si>
  <si>
    <t>M10572</t>
  </si>
  <si>
    <t>leg 4 06.07.2020 10-20</t>
  </si>
  <si>
    <t>M10573</t>
  </si>
  <si>
    <t>leg 4 06.07.2020 20-30</t>
  </si>
  <si>
    <t>M10574</t>
  </si>
  <si>
    <t>leg 4 06.07.2020 30-40</t>
  </si>
  <si>
    <t>M10575</t>
  </si>
  <si>
    <t>leg 4 06.07.2020 40-50</t>
  </si>
  <si>
    <t>M10576</t>
  </si>
  <si>
    <t>leg 4 06.07.2020 50-60</t>
  </si>
  <si>
    <t>M10577</t>
  </si>
  <si>
    <t>leg 4 06.07.2020 60-70</t>
  </si>
  <si>
    <t>M10578</t>
  </si>
  <si>
    <t>leg 4 06.07.2020 70-80</t>
  </si>
  <si>
    <t>M10579</t>
  </si>
  <si>
    <t>leg 4 06.07.2020 80-90</t>
  </si>
  <si>
    <t>M10580</t>
  </si>
  <si>
    <t>leg 4 06.07.2020 90-100</t>
  </si>
  <si>
    <t>M10581</t>
  </si>
  <si>
    <t>leg 4 06.07.2020 100-110</t>
  </si>
  <si>
    <t>M10582</t>
  </si>
  <si>
    <t>leg 4 06.07.2020 110-120</t>
  </si>
  <si>
    <t>M10583</t>
  </si>
  <si>
    <t>leg 4 06.07.2020 120-130</t>
  </si>
  <si>
    <t>M10584</t>
  </si>
  <si>
    <t>leg 4 06.07.2020 130-140</t>
  </si>
  <si>
    <t>M10585</t>
  </si>
  <si>
    <t>leg 4 06.07.2020 140-150</t>
  </si>
  <si>
    <t>M10586</t>
  </si>
  <si>
    <t>leg 4 06.07.2020 150-162</t>
  </si>
  <si>
    <t>M10541</t>
  </si>
  <si>
    <t>Leg 4 13.07.2020 0-10</t>
  </si>
  <si>
    <t>M10542</t>
  </si>
  <si>
    <t>Leg 4 13.07.2020 10-20</t>
  </si>
  <si>
    <t>M10543</t>
  </si>
  <si>
    <t>Leg 4 13.07.2020 20-30</t>
  </si>
  <si>
    <t>M10544</t>
  </si>
  <si>
    <t>Leg 4 13.07.2020 30-40</t>
  </si>
  <si>
    <t>M10545</t>
  </si>
  <si>
    <t>Leg 4 13.07.2020 40-50</t>
  </si>
  <si>
    <t>M10546</t>
  </si>
  <si>
    <t>Leg 4 13.07.2020 50-60</t>
  </si>
  <si>
    <t>M10547</t>
  </si>
  <si>
    <t>Leg 4 13.07.2020 60-70</t>
  </si>
  <si>
    <t>M10548</t>
  </si>
  <si>
    <t>Leg 4 13.07.2020 70-80</t>
  </si>
  <si>
    <t>M10549</t>
  </si>
  <si>
    <t>Leg 4 13.07.2020 80-90,5</t>
  </si>
  <si>
    <t>M10550</t>
  </si>
  <si>
    <t>Leg 4 13.07.2020 90,5-101</t>
  </si>
  <si>
    <t>M10551</t>
  </si>
  <si>
    <t>Leg 4 13.07.2020 101-112</t>
  </si>
  <si>
    <t>M10552</t>
  </si>
  <si>
    <t>Leg 4 13.07.2020 112-123</t>
  </si>
  <si>
    <t>M10553</t>
  </si>
  <si>
    <t>Leg 4 13.07.2020 122-134</t>
  </si>
  <si>
    <t>M10554</t>
  </si>
  <si>
    <t>Leg 4 13.07.2020 132-145</t>
  </si>
  <si>
    <t>M10443</t>
  </si>
  <si>
    <t>PS122_47_137-MP-DO18-06</t>
  </si>
  <si>
    <t>Meltpond Core</t>
  </si>
  <si>
    <t>0.25-0.30</t>
  </si>
  <si>
    <t>M10444</t>
  </si>
  <si>
    <t>PS122_47_137-MP-DO18-07</t>
  </si>
  <si>
    <t>0.30-0.35</t>
  </si>
  <si>
    <t>M10445</t>
  </si>
  <si>
    <t>20200718_surface_meltpond2_aftofship</t>
  </si>
  <si>
    <t>Meltpond Surface</t>
  </si>
  <si>
    <t>surface</t>
  </si>
  <si>
    <t>M10446</t>
  </si>
  <si>
    <t>PS122_47_137-MP-DO18-08</t>
  </si>
  <si>
    <t>0.35-0.40</t>
  </si>
  <si>
    <t>M10447</t>
  </si>
  <si>
    <t>PS122_47_137-MP-DO18-09</t>
  </si>
  <si>
    <t>0.40-0.45</t>
  </si>
  <si>
    <t>M10448</t>
  </si>
  <si>
    <t>PS122_47_137-MP-DO18-14</t>
  </si>
  <si>
    <t>M10453</t>
  </si>
  <si>
    <t>PS122_47_137-MP-DO18-20</t>
  </si>
  <si>
    <t>M10454</t>
  </si>
  <si>
    <t>PS122_47_137-MP-DO18-05</t>
  </si>
  <si>
    <t>0.20-0.25</t>
  </si>
  <si>
    <t>M10455</t>
  </si>
  <si>
    <t>PS122_47_137-MP-DO18-04</t>
  </si>
  <si>
    <t>0.15-0.20</t>
  </si>
  <si>
    <t>M10456</t>
  </si>
  <si>
    <t>PS122_47_137-MP-DO18-03</t>
  </si>
  <si>
    <t>0.10-0.15</t>
  </si>
  <si>
    <t>M10457</t>
  </si>
  <si>
    <t>PS122_47_137-MP-DO18-22</t>
  </si>
  <si>
    <t>M10458</t>
  </si>
  <si>
    <t>PS122_47_137-MP-DO18-11</t>
  </si>
  <si>
    <t>0.49-0.54</t>
  </si>
  <si>
    <t>M10459</t>
  </si>
  <si>
    <t>PS122_47_137-MP-DO18-19</t>
  </si>
  <si>
    <t>M10460</t>
  </si>
  <si>
    <t>PS122_47_137-MP-DO18-13</t>
  </si>
  <si>
    <t>M10461</t>
  </si>
  <si>
    <t>PS122_47_137-MP-DO18-16</t>
  </si>
  <si>
    <t>M10463</t>
  </si>
  <si>
    <t>PS122_47_137-MP-DO18-17</t>
  </si>
  <si>
    <t>0.79-0.89</t>
  </si>
  <si>
    <t>M10464</t>
  </si>
  <si>
    <t>PS122_47_137-MP-DO18-15</t>
  </si>
  <si>
    <t>M10465</t>
  </si>
  <si>
    <t>PS122_47_137-MP-DO18-25</t>
  </si>
  <si>
    <t>1.24-1.29</t>
  </si>
  <si>
    <t>M10466</t>
  </si>
  <si>
    <t>PS122_47_137-MP-DO18-23</t>
  </si>
  <si>
    <t>1.14-1.17, 1.17-1.19</t>
  </si>
  <si>
    <t>M10467</t>
  </si>
  <si>
    <t>PS122_47_137-MP-DO18-01</t>
  </si>
  <si>
    <t>M10468</t>
  </si>
  <si>
    <t>PS122_47_137-MP-DO18-02</t>
  </si>
  <si>
    <t>0.05-0.10</t>
  </si>
  <si>
    <t>M10469</t>
  </si>
  <si>
    <t>PS122_47_137-MP-DO18-18</t>
  </si>
  <si>
    <t>M10470</t>
  </si>
  <si>
    <t>PS122_47_137-MP-DO18-24</t>
  </si>
  <si>
    <t>M10471</t>
  </si>
  <si>
    <t>PS122_47_137-MP-DO18-21</t>
  </si>
  <si>
    <t>1.04-1.09</t>
  </si>
  <si>
    <t>M10472</t>
  </si>
  <si>
    <t>PS122_47_137-MP-DO18-26</t>
  </si>
  <si>
    <t>1.29-1.35</t>
  </si>
  <si>
    <t>M10482</t>
  </si>
  <si>
    <t>PS122_47_137-MP-DO18-10</t>
  </si>
  <si>
    <t>0.45-0.49</t>
  </si>
  <si>
    <t>M11236</t>
  </si>
  <si>
    <t>20200718 leg pond surface ice 15 cm</t>
  </si>
  <si>
    <t>Ice coring near meltpond. Chamber dyployment</t>
  </si>
  <si>
    <t>M10473</t>
  </si>
  <si>
    <t>PS122_48_25-SYI-DO18-31</t>
  </si>
  <si>
    <t>1.48-1.53</t>
  </si>
  <si>
    <t>M10474</t>
  </si>
  <si>
    <t>PS122_48_25-SYI-DO18-30</t>
  </si>
  <si>
    <t>1.45-1.48</t>
  </si>
  <si>
    <t>M10475</t>
  </si>
  <si>
    <t>PS122_48_25-SYI-DO18-17</t>
  </si>
  <si>
    <t>0.80-0.85</t>
  </si>
  <si>
    <t>M10476</t>
  </si>
  <si>
    <t>PS122_48_25-SYI-DO18-16</t>
  </si>
  <si>
    <t>0.75-0.80</t>
  </si>
  <si>
    <t>M10477</t>
  </si>
  <si>
    <t>PS122_48_25-SYI-DO18-02</t>
  </si>
  <si>
    <t>M10478</t>
  </si>
  <si>
    <t>PS122_48_25-SYI-DO18-09</t>
  </si>
  <si>
    <t>0.39-0.45</t>
  </si>
  <si>
    <t>M10479</t>
  </si>
  <si>
    <t>PS122_48_25-SYI-DO18-01</t>
  </si>
  <si>
    <t>M10480</t>
  </si>
  <si>
    <t>PS122_48_25-SYI-DO18-07</t>
  </si>
  <si>
    <t>M10483</t>
  </si>
  <si>
    <t>PS122_48_25-SYI-DO18-24</t>
  </si>
  <si>
    <t>1.15-1.20</t>
  </si>
  <si>
    <t>M10484</t>
  </si>
  <si>
    <t>PS122_48_25-SYI-DO18-06</t>
  </si>
  <si>
    <t>M10485</t>
  </si>
  <si>
    <t>PS122_48_25-SYI-DO18-23</t>
  </si>
  <si>
    <t>1.10-1.15</t>
  </si>
  <si>
    <t>M10486</t>
  </si>
  <si>
    <t>PS122_48_25-SYI-DO18-03</t>
  </si>
  <si>
    <t>M10487</t>
  </si>
  <si>
    <t>PS122_48_25-SYI-DO18-10</t>
  </si>
  <si>
    <t>0.45-0.50</t>
  </si>
  <si>
    <t>M10488</t>
  </si>
  <si>
    <t>PS122_48_25-SYI-DO18-28</t>
  </si>
  <si>
    <t>1.35-1.40</t>
  </si>
  <si>
    <t>M10489</t>
  </si>
  <si>
    <t>PS122_48_25-SYI-DO18-08</t>
  </si>
  <si>
    <t>0.35-0.39</t>
  </si>
  <si>
    <t>M10490</t>
  </si>
  <si>
    <t>PS122_48_25-SYI-DO18-18</t>
  </si>
  <si>
    <t>0.85-0.90</t>
  </si>
  <si>
    <t>M10492</t>
  </si>
  <si>
    <t>PS122_48_25-SYI-DO18-25</t>
  </si>
  <si>
    <t>1.20-1.25</t>
  </si>
  <si>
    <t>M10493</t>
  </si>
  <si>
    <t>PS122_48_25-SYI-DO18-13</t>
  </si>
  <si>
    <t>0.60-0.65</t>
  </si>
  <si>
    <t>M10494</t>
  </si>
  <si>
    <t>PS122_48_25-SYI-DO18-05</t>
  </si>
  <si>
    <t>M10495</t>
  </si>
  <si>
    <t>PS122_48_25-SYI-DO18-04</t>
  </si>
  <si>
    <t>M10496</t>
  </si>
  <si>
    <t>PS122_48_25-SYI-DO18-11</t>
  </si>
  <si>
    <t>0.50-0.55</t>
  </si>
  <si>
    <t>M10497</t>
  </si>
  <si>
    <t>PS122_48_25-SYI-DO18-20</t>
  </si>
  <si>
    <t>0.95-1.00</t>
  </si>
  <si>
    <t>M10498</t>
  </si>
  <si>
    <t>PS122_48_25-SYI-DO18-21</t>
  </si>
  <si>
    <t>1.00-1.05</t>
  </si>
  <si>
    <t>M10499</t>
  </si>
  <si>
    <t>PS122_48_25-SYI-DO18-29</t>
  </si>
  <si>
    <t>1.40-1.45</t>
  </si>
  <si>
    <t>M10501</t>
  </si>
  <si>
    <t>PS122_48_25-SYI-DO18-22</t>
  </si>
  <si>
    <t>1.05-1.10</t>
  </si>
  <si>
    <t>M10502</t>
  </si>
  <si>
    <t>PS122_48_25-SYI-DO18-15</t>
  </si>
  <si>
    <t>0.70-0.75</t>
  </si>
  <si>
    <t>M10503</t>
  </si>
  <si>
    <t>PS122_48_25-SYI-DO18-12</t>
  </si>
  <si>
    <t>0.55-0.60</t>
  </si>
  <si>
    <t>M10504</t>
  </si>
  <si>
    <t>PS122_48_25-SYI-DO18-32</t>
  </si>
  <si>
    <t>1.53-1.60</t>
  </si>
  <si>
    <t>M10505</t>
  </si>
  <si>
    <t>PS122_48_25-SYI-DO18-42</t>
  </si>
  <si>
    <t>2.03-2.08</t>
  </si>
  <si>
    <t>M10506</t>
  </si>
  <si>
    <t>PS122_48_25-SYI-DO18-19</t>
  </si>
  <si>
    <t>0.90-0.95</t>
  </si>
  <si>
    <t>M10507</t>
  </si>
  <si>
    <t>PS122_48_25-SYI-DO18-26</t>
  </si>
  <si>
    <t>1.25-1.30</t>
  </si>
  <si>
    <t>M10508</t>
  </si>
  <si>
    <t>PS122_48_25-SYI-DO18-35</t>
  </si>
  <si>
    <t>1.68-1.73</t>
  </si>
  <si>
    <t>M10509</t>
  </si>
  <si>
    <t>PS122_48_25-SYI-DO18-36</t>
  </si>
  <si>
    <t>1.73-1.78</t>
  </si>
  <si>
    <t>M10510</t>
  </si>
  <si>
    <t>PS122_48_25-SYI-DO18-37</t>
  </si>
  <si>
    <t>1.78-1.83</t>
  </si>
  <si>
    <t>M10511</t>
  </si>
  <si>
    <t>PS122_48_25-SYI-DO18-34</t>
  </si>
  <si>
    <t>M10512</t>
  </si>
  <si>
    <t>PS122_48_25-SYI-DO18-38</t>
  </si>
  <si>
    <t>1.83-1.88</t>
  </si>
  <si>
    <t>M10513</t>
  </si>
  <si>
    <t>PS122_48_25-SYI-DO18-27</t>
  </si>
  <si>
    <t>1.30-1.35</t>
  </si>
  <si>
    <t>M10514</t>
  </si>
  <si>
    <t>PS122_48_25-SYI-DO18-33</t>
  </si>
  <si>
    <t>1.60-1.63</t>
  </si>
  <si>
    <t>M10517</t>
  </si>
  <si>
    <t>PS122_48_25-SYI-DO18-41</t>
  </si>
  <si>
    <t>1.98-2.03</t>
  </si>
  <si>
    <t>M10519</t>
  </si>
  <si>
    <t>PS122_48_25-SYI-DO18-43</t>
  </si>
  <si>
    <t>2.08-2.13</t>
  </si>
  <si>
    <t>M10524</t>
  </si>
  <si>
    <t>PS122_48_25-SYI-DO18-14</t>
  </si>
  <si>
    <t>0.65-0.70</t>
  </si>
  <si>
    <t>M10525</t>
  </si>
  <si>
    <t>PS122_48_25-SYI-DO18-40</t>
  </si>
  <si>
    <t>1.93-1.98</t>
  </si>
  <si>
    <t>M10587</t>
  </si>
  <si>
    <t>leg 4 20.07.2020 0-10</t>
  </si>
  <si>
    <t>M10588</t>
  </si>
  <si>
    <t>leg 4 20.07.2020 10-20</t>
  </si>
  <si>
    <t>M10589</t>
  </si>
  <si>
    <t>leg 4 20.07.2020 20-30</t>
  </si>
  <si>
    <t>M10590</t>
  </si>
  <si>
    <t>leg 4 20.07.2020 30-40</t>
  </si>
  <si>
    <t>M10591</t>
  </si>
  <si>
    <t>leg 4 20.07.2020 40-50</t>
  </si>
  <si>
    <t>M10592</t>
  </si>
  <si>
    <t>leg 4 20.07.2020 50-60</t>
  </si>
  <si>
    <t>M10593</t>
  </si>
  <si>
    <t>leg 4 20.07.2020 60-74</t>
  </si>
  <si>
    <t>M10594</t>
  </si>
  <si>
    <t>leg 4 20.07.2020 74-84</t>
  </si>
  <si>
    <t>M10595</t>
  </si>
  <si>
    <t>leg 4 20.07.2020 84-94</t>
  </si>
  <si>
    <t>M10596</t>
  </si>
  <si>
    <t>leg 4 20.07.2020 94-104</t>
  </si>
  <si>
    <t>M10597</t>
  </si>
  <si>
    <t>leg 4 20.07.2020 104-114,5</t>
  </si>
  <si>
    <t>M10598</t>
  </si>
  <si>
    <t>leg 4 20.07.2020 114,5-125</t>
  </si>
  <si>
    <t>M10599</t>
  </si>
  <si>
    <t>leg 4 20.07.2020 125-136</t>
  </si>
  <si>
    <t>M10600</t>
  </si>
  <si>
    <t>leg 4 20.07.2020 136-145</t>
  </si>
  <si>
    <t>M10516</t>
  </si>
  <si>
    <t>Top 2020-07-20 James Pond</t>
  </si>
  <si>
    <t>Meltpond surface</t>
  </si>
  <si>
    <t>M10190</t>
  </si>
  <si>
    <t xml:space="preserve">2020-07-21 Pond 2 Bot. </t>
  </si>
  <si>
    <t>meltpond bottom</t>
  </si>
  <si>
    <t>M10191</t>
  </si>
  <si>
    <t>2020-07-21 Pond 1 Top</t>
  </si>
  <si>
    <t>M10192</t>
  </si>
  <si>
    <t xml:space="preserve">2020-07-21 Pond 1 Bot. </t>
  </si>
  <si>
    <t>M10193</t>
  </si>
  <si>
    <t>2020-07-21 Pond 2 Top</t>
  </si>
  <si>
    <t>M10535</t>
  </si>
  <si>
    <t>PS122_48_25-SYI-DO18-39</t>
  </si>
  <si>
    <t>1.88-1.93</t>
  </si>
  <si>
    <t>M10186</t>
  </si>
  <si>
    <t>20200722 lead A 50 cm (doppelt gelabelt evtl. 5cm)</t>
  </si>
  <si>
    <t>M10187</t>
  </si>
  <si>
    <t>Lead A 80 cm 20200722</t>
  </si>
  <si>
    <t>Lead Survey - Lead A near albedo lines</t>
  </si>
  <si>
    <t>M10188</t>
  </si>
  <si>
    <t>Lead C 45 cm 200722</t>
  </si>
  <si>
    <t>M10189</t>
  </si>
  <si>
    <t>Lead A 110 cm 20200722</t>
  </si>
  <si>
    <t>M10532</t>
  </si>
  <si>
    <t>Lead C 100 cm 20200722</t>
  </si>
  <si>
    <t>M10531</t>
  </si>
  <si>
    <t>20200728 lead D surface</t>
  </si>
  <si>
    <t>M10462</t>
  </si>
  <si>
    <t>PS122/4_49-34_FYI-DO18-21</t>
  </si>
  <si>
    <t>M10481</t>
  </si>
  <si>
    <t>PS122/4_49-34_FYI-DO18-09</t>
  </si>
  <si>
    <t>M10491</t>
  </si>
  <si>
    <t>PS122-4_49-34-FYI-DO18-10</t>
  </si>
  <si>
    <t>M10500</t>
  </si>
  <si>
    <t>PS122/4_49-34_FYI-DO18-05</t>
  </si>
  <si>
    <t>M10515</t>
  </si>
  <si>
    <t>PS122/4_49-34_FYI-DO18-08</t>
  </si>
  <si>
    <t>M10518</t>
  </si>
  <si>
    <t>PS122/4_49-34_FYI-DO18-19</t>
  </si>
  <si>
    <t>M10520</t>
  </si>
  <si>
    <t>PS122/4_49-34_FYI-DO18-06</t>
  </si>
  <si>
    <t>M10521</t>
  </si>
  <si>
    <t>PS122/4_49-34_FYI-DO18-07</t>
  </si>
  <si>
    <t>M10522</t>
  </si>
  <si>
    <t>PS122/4_49-34_FYI-DO18-02</t>
  </si>
  <si>
    <t>M10523</t>
  </si>
  <si>
    <t>PS122/4_49-34_FYI-DO18-15</t>
  </si>
  <si>
    <t>M10526</t>
  </si>
  <si>
    <t>PS122/4_49-34_FYI-DO18-11</t>
  </si>
  <si>
    <t>M10527</t>
  </si>
  <si>
    <t>PS122/4_49-34_FYI-DO18-03</t>
  </si>
  <si>
    <t>M10528</t>
  </si>
  <si>
    <t>PS122/4_49-34_FYI-DO18-18</t>
  </si>
  <si>
    <t>M10529</t>
  </si>
  <si>
    <t>PS122/4_49-34_FYI-DO18-20</t>
  </si>
  <si>
    <t>M10530</t>
  </si>
  <si>
    <t>PS122/4_49-34_FYI-DO18-16</t>
  </si>
  <si>
    <t>M10533</t>
  </si>
  <si>
    <t>PS122/4_49-34_FYI-DO18-17</t>
  </si>
  <si>
    <t>M10534</t>
  </si>
  <si>
    <t>PS122/4_49-34_FYI-DO18-13</t>
  </si>
  <si>
    <t>0.60-0.67</t>
  </si>
  <si>
    <t>M10601</t>
  </si>
  <si>
    <t>leg 4 29.07.2020 0-10</t>
  </si>
  <si>
    <t>M10602</t>
  </si>
  <si>
    <t>leg 4 29.07.2020 10-20</t>
  </si>
  <si>
    <t>M10603</t>
  </si>
  <si>
    <t>leg 4 29.07.2020 20-30</t>
  </si>
  <si>
    <t>M10604</t>
  </si>
  <si>
    <t>leg 4 29.07.2020 30-40</t>
  </si>
  <si>
    <t>M10605</t>
  </si>
  <si>
    <t>leg 4 29.07.2020 40-50</t>
  </si>
  <si>
    <t>M10606</t>
  </si>
  <si>
    <t>leg 4 29.07.2020 50-60</t>
  </si>
  <si>
    <t>M10607</t>
  </si>
  <si>
    <t>leg 4 29.07.2020 60-69</t>
  </si>
  <si>
    <t>M10608</t>
  </si>
  <si>
    <t>leg 4 29.07.2020 69-78</t>
  </si>
  <si>
    <t>M10609</t>
  </si>
  <si>
    <t>leg 4 29.07.2020 78-87</t>
  </si>
  <si>
    <t>M10610</t>
  </si>
  <si>
    <t>leg 4 29.07.2020 87-96</t>
  </si>
  <si>
    <t>M10611</t>
  </si>
  <si>
    <t>leg 4 29.07.2020 96-111</t>
  </si>
  <si>
    <t>M11237</t>
  </si>
  <si>
    <t>22Aug Underway 15:54</t>
  </si>
  <si>
    <t>PS underway</t>
  </si>
  <si>
    <t>M11238</t>
  </si>
  <si>
    <t>PS122/5_2200828 59-343 ST1 Ice</t>
  </si>
  <si>
    <t>Meltpond station 1</t>
  </si>
  <si>
    <t>M11239</t>
  </si>
  <si>
    <t>PS122/5_2200828 59-343 ST4 Ice</t>
  </si>
  <si>
    <t>Meltpond station 4</t>
  </si>
  <si>
    <t>M11240</t>
  </si>
  <si>
    <t>PS122/5_59-389 Lead OC top 29 Aug</t>
  </si>
  <si>
    <t xml:space="preserve">Lead water station OC </t>
  </si>
  <si>
    <t>M11241</t>
  </si>
  <si>
    <t>PS122/5_59-389 Lead OC middle 29 Aug</t>
  </si>
  <si>
    <t>M11242</t>
  </si>
  <si>
    <t>PS122/5_59-389 Lead OC bottom 29 Aug</t>
  </si>
  <si>
    <t>M11243</t>
  </si>
  <si>
    <t>PS122/5_59-392 Lead 3 top 29 Aug</t>
  </si>
  <si>
    <t>Lead water station 3 (Meltpond station 3)</t>
  </si>
  <si>
    <t>M11244</t>
  </si>
  <si>
    <t>PS122/5_59-392 Lead 3 middle 29 Aug</t>
  </si>
  <si>
    <t>M11245</t>
  </si>
  <si>
    <t>PS122/5_59-392 Lead 3 bottom 29 Aug</t>
  </si>
  <si>
    <t>M11246</t>
  </si>
  <si>
    <t>PS122/5_59-446 20200829 St3 Lead ice</t>
  </si>
  <si>
    <t>St3 lead ice</t>
  </si>
  <si>
    <t>M11247</t>
  </si>
  <si>
    <t>PS122/5_59-447 20200829 OC ice</t>
  </si>
  <si>
    <t>St.OC lead ice</t>
  </si>
  <si>
    <t>M10612</t>
  </si>
  <si>
    <t>leg 5 31.08.2020 0-10</t>
  </si>
  <si>
    <t>M10613</t>
  </si>
  <si>
    <t>leg 5 31.08.2020 10-20</t>
  </si>
  <si>
    <t>M10614</t>
  </si>
  <si>
    <t>leg 5 31.08.2020 20-30</t>
  </si>
  <si>
    <t>M10615</t>
  </si>
  <si>
    <t>leg 5 31.08.2020 30-40</t>
  </si>
  <si>
    <t>M10616</t>
  </si>
  <si>
    <t>leg 5 31.08.2020 40-50</t>
  </si>
  <si>
    <t>M10617</t>
  </si>
  <si>
    <t>leg 5 31.08.2020 50-60</t>
  </si>
  <si>
    <t>M10618</t>
  </si>
  <si>
    <t>leg 5 31.08.2020 60-70</t>
  </si>
  <si>
    <t>M10619</t>
  </si>
  <si>
    <t>leg 5 31.08.2020 70-80</t>
  </si>
  <si>
    <t>M10620</t>
  </si>
  <si>
    <t>leg 5 31.08.2020 80-88</t>
  </si>
  <si>
    <t>M10621</t>
  </si>
  <si>
    <t>leg 5 31.08.2020 88-100</t>
  </si>
  <si>
    <t>M10622</t>
  </si>
  <si>
    <t>leg 5 31.08.2020 100-110</t>
  </si>
  <si>
    <t>M10623</t>
  </si>
  <si>
    <t>leg 5 31.08.2020 110-120</t>
  </si>
  <si>
    <t>M10624</t>
  </si>
  <si>
    <t>leg 5 31.08.2020 120-130</t>
  </si>
  <si>
    <t>M10625</t>
  </si>
  <si>
    <t>leg 5 31.08.2020 130-140</t>
  </si>
  <si>
    <t>M10626</t>
  </si>
  <si>
    <t>leg 5 31.08.2020 140-150</t>
  </si>
  <si>
    <t>M10627</t>
  </si>
  <si>
    <t>leg 5 31.08.2020 150-160</t>
  </si>
  <si>
    <t>M11248</t>
  </si>
  <si>
    <t xml:space="preserve">PS122/5_60-16 pond 20200831 coringsite </t>
  </si>
  <si>
    <t>Meltpond near ice coring site</t>
  </si>
  <si>
    <t>M11249</t>
  </si>
  <si>
    <t>PS122/5_60-260 20200901 snow metal cham</t>
  </si>
  <si>
    <t>near meltpond station</t>
  </si>
  <si>
    <t>M11255</t>
  </si>
  <si>
    <t>60-133 20200902 Lead 1</t>
  </si>
  <si>
    <t>ROV Lead (near Met Sled)</t>
  </si>
  <si>
    <t>M11256</t>
  </si>
  <si>
    <t>60-133 20200902 Lead 2</t>
  </si>
  <si>
    <t>M11257</t>
  </si>
  <si>
    <t>60-133 20200902 Lead 3</t>
  </si>
  <si>
    <t>M11258</t>
  </si>
  <si>
    <t>60-133 20200902 Lead 4</t>
  </si>
  <si>
    <t>M11250</t>
  </si>
  <si>
    <t>PS122/5_60-61 20200902 Meltpond sample 1</t>
  </si>
  <si>
    <t>Meltpond station No. 4a</t>
  </si>
  <si>
    <t>M11251</t>
  </si>
  <si>
    <t>PS122/5_60-61 20200902 Meltpond sample 2</t>
  </si>
  <si>
    <t>M11252</t>
  </si>
  <si>
    <t>PS122/5_60-61 20200902 Meltpond sample 3</t>
  </si>
  <si>
    <t>M11253</t>
  </si>
  <si>
    <t>PS122/5_60-61 20200902 Meltpond sample 4</t>
  </si>
  <si>
    <t>M11254</t>
  </si>
  <si>
    <t>PS122/5_60-61 20200902 Meltpond sample 5</t>
  </si>
  <si>
    <t>M11259</t>
  </si>
  <si>
    <t>2 SEP POND 4A ICE</t>
  </si>
  <si>
    <t>Meltpond station 4a</t>
  </si>
  <si>
    <t>M11264</t>
  </si>
  <si>
    <t>PS122/5_2200905 60-146 St.ROV Before 10 cm</t>
  </si>
  <si>
    <t>M11265</t>
  </si>
  <si>
    <t>PS122/5_2200905 60-146 St.ROV After 10 cm</t>
  </si>
  <si>
    <t>M11266</t>
  </si>
  <si>
    <t>5 SEP ROV LEAD ICE</t>
  </si>
  <si>
    <t>M10628</t>
  </si>
  <si>
    <t>leg 5 07.09.2020 0-10</t>
  </si>
  <si>
    <t>M10629</t>
  </si>
  <si>
    <t>leg 5 07.09.2020 10-20</t>
  </si>
  <si>
    <t>M10630</t>
  </si>
  <si>
    <t>leg 5 07.09.2020 20-30</t>
  </si>
  <si>
    <t>M10631</t>
  </si>
  <si>
    <t>leg 5 07.09.2020 30-40</t>
  </si>
  <si>
    <t>M10632</t>
  </si>
  <si>
    <t>leg 5 07.09.2020 40-50</t>
  </si>
  <si>
    <t>M10633</t>
  </si>
  <si>
    <t>leg 5 07.09.2020 50-60</t>
  </si>
  <si>
    <t>M10634</t>
  </si>
  <si>
    <t>leg 5 07.09.2020 60-70</t>
  </si>
  <si>
    <t>M10635</t>
  </si>
  <si>
    <t>leg 5 07.09.2020 70-80</t>
  </si>
  <si>
    <t>M10636</t>
  </si>
  <si>
    <t>leg 5 07.09.2020 80-90</t>
  </si>
  <si>
    <t>M10637</t>
  </si>
  <si>
    <t>leg 5 07.09.2020 90-100</t>
  </si>
  <si>
    <t>M10638</t>
  </si>
  <si>
    <t>leg 5 07.09.2020 100-110</t>
  </si>
  <si>
    <t>M10639</t>
  </si>
  <si>
    <t>leg 5 07.09.2020 110-120</t>
  </si>
  <si>
    <t>M10640</t>
  </si>
  <si>
    <t>leg 5 07.09.2020 120-130</t>
  </si>
  <si>
    <t>M10641</t>
  </si>
  <si>
    <t>leg 5 07.09.2020 130-139</t>
  </si>
  <si>
    <t>M11267</t>
  </si>
  <si>
    <t>7 SEP CORING SITE POND ICE</t>
  </si>
  <si>
    <t>Coring Site Pond</t>
  </si>
  <si>
    <t>M11268</t>
  </si>
  <si>
    <t xml:space="preserve">61-126 20200909_pond river st1 </t>
  </si>
  <si>
    <t>Meltpond river station No. 1</t>
  </si>
  <si>
    <t>M11269</t>
  </si>
  <si>
    <t>61-126 20200909_pond river st2</t>
  </si>
  <si>
    <t>Meltpond river station No. 2</t>
  </si>
  <si>
    <t>M11270</t>
  </si>
  <si>
    <t>61-126 20200909_pond river st3</t>
  </si>
  <si>
    <t>Meltpond river station No. 3</t>
  </si>
  <si>
    <t>M11271</t>
  </si>
  <si>
    <t>61-126 20200909_pond river st4</t>
  </si>
  <si>
    <t>Meltpond river station No. 4</t>
  </si>
  <si>
    <t>M11272</t>
  </si>
  <si>
    <t>61-126 20200909_pond river st5</t>
  </si>
  <si>
    <t>Meltpond river station No. 5</t>
  </si>
  <si>
    <t>M11273</t>
  </si>
  <si>
    <t>61-126 20200909_pond river st6</t>
  </si>
  <si>
    <t>Meltpond river station No. 6</t>
  </si>
  <si>
    <t>M11274</t>
  </si>
  <si>
    <t>61-126 20200909_pond river st7</t>
  </si>
  <si>
    <t>Meltpond river station No. 7</t>
  </si>
  <si>
    <t>M11275</t>
  </si>
  <si>
    <t>61-126 20200909_pond river st8</t>
  </si>
  <si>
    <t>Meltpond river station No. 8</t>
  </si>
  <si>
    <t>M11276</t>
  </si>
  <si>
    <t>61-126 20200909_pond river st9</t>
  </si>
  <si>
    <t>Meltpond river station No. 9</t>
  </si>
  <si>
    <t>M11277</t>
  </si>
  <si>
    <t>61-126 20200909_pond river st10</t>
  </si>
  <si>
    <t>Meltpond river station No. 10</t>
  </si>
  <si>
    <t>M11278</t>
  </si>
  <si>
    <t>61-126 20200909_pond river st11</t>
  </si>
  <si>
    <t>Meltpond river station No. 11</t>
  </si>
  <si>
    <t>M11279</t>
  </si>
  <si>
    <t>61-126 20200909_pond river st12</t>
  </si>
  <si>
    <t>Meltpond river station No. 12</t>
  </si>
  <si>
    <t>M11280</t>
  </si>
  <si>
    <t>61-206 20200912 4b pond surface ice TOP</t>
  </si>
  <si>
    <t>Meltpond station 4b</t>
  </si>
  <si>
    <t>M11281</t>
  </si>
  <si>
    <t>61-206 20200912 4b pond surface ice Bottom</t>
  </si>
  <si>
    <t>M11282</t>
  </si>
  <si>
    <t>61-206 20200912 4b pond bottom ice 1</t>
  </si>
  <si>
    <t>M11283</t>
  </si>
  <si>
    <t>61-206 20200912 4b pond bottom ice 2</t>
  </si>
  <si>
    <t>M11284</t>
  </si>
  <si>
    <t>61-206 20200912 4b pond bottom ice 3</t>
  </si>
  <si>
    <t>M11285</t>
  </si>
  <si>
    <t>61-206 20200912 4b pond bottom ice 4</t>
  </si>
  <si>
    <t>M11286</t>
  </si>
  <si>
    <t>61-206 20200912 4b pond bottom ice 5</t>
  </si>
  <si>
    <t>M11287</t>
  </si>
  <si>
    <t>61-206 20200912 4b pond bottom ice 6</t>
  </si>
  <si>
    <t>M11288</t>
  </si>
  <si>
    <t>61-206 20200912 4b pond bottom ice 7</t>
  </si>
  <si>
    <t>M11289</t>
  </si>
  <si>
    <t>61-206 20200912 St4b Bottom ice whole 1</t>
  </si>
  <si>
    <t>M11290</t>
  </si>
  <si>
    <t>61-206 20200912 St4b Bottom ice whole 2</t>
  </si>
  <si>
    <t>M11291</t>
  </si>
  <si>
    <t>61-206 20200912 St4b Bottom ice Small piece 1</t>
  </si>
  <si>
    <t>M11292</t>
  </si>
  <si>
    <t>61-206 20200912 St4b Bottom ice Small piece 2</t>
  </si>
  <si>
    <t>M11293</t>
  </si>
  <si>
    <t>61-206 20200912 St4b Bottom ice Small piece 3</t>
  </si>
  <si>
    <t>M11294</t>
  </si>
  <si>
    <t>61-206 20200912 St4b Bottom ice TOP</t>
  </si>
  <si>
    <t>M11295</t>
  </si>
  <si>
    <t>61-206 20200912 St4b Bottom ice Bottom</t>
  </si>
  <si>
    <t>M11296</t>
  </si>
  <si>
    <t>20200912 st4b pond water surface</t>
  </si>
  <si>
    <t>M11297</t>
  </si>
  <si>
    <t>20200912 st4b pond water middle</t>
  </si>
  <si>
    <t>M11298</t>
  </si>
  <si>
    <t>20200912 st4b pond water bottom</t>
  </si>
  <si>
    <t>M11299</t>
  </si>
  <si>
    <t>20200912 st4b pond water deep</t>
  </si>
  <si>
    <t>M10642</t>
  </si>
  <si>
    <t>leg 5 14.09.2020 0-10,5</t>
  </si>
  <si>
    <t>M10643</t>
  </si>
  <si>
    <t>leg 5 14.09.2020 10,5-21</t>
  </si>
  <si>
    <t>M10644</t>
  </si>
  <si>
    <t>leg 5 14.09.2020 21-31,5</t>
  </si>
  <si>
    <t>M10645</t>
  </si>
  <si>
    <t>leg 5 14.09.2020 31,5-42</t>
  </si>
  <si>
    <t>M10646</t>
  </si>
  <si>
    <t>leg 5 14.09.2020 42-52,5</t>
  </si>
  <si>
    <t>M10647</t>
  </si>
  <si>
    <t>leg 5 14.09.2020 52,5-63</t>
  </si>
  <si>
    <t>M10648</t>
  </si>
  <si>
    <t>leg 5 14.09.2020 63-73,5</t>
  </si>
  <si>
    <t>M10649</t>
  </si>
  <si>
    <t>leg 5 14.09.2020 73,5-84</t>
  </si>
  <si>
    <t>M10650</t>
  </si>
  <si>
    <t>leg 5 14.09.2020 84-95</t>
  </si>
  <si>
    <t>M11300</t>
  </si>
  <si>
    <t>20200914 4a pond shallow</t>
  </si>
  <si>
    <t>M11301</t>
  </si>
  <si>
    <t>20200914 4a pond middle</t>
  </si>
  <si>
    <t>M11302</t>
  </si>
  <si>
    <t>20200914 4a pond bottom</t>
  </si>
  <si>
    <t>M11303</t>
  </si>
  <si>
    <t>62-35 20200914 St4a pond surface ice TOP</t>
  </si>
  <si>
    <t>M11304</t>
  </si>
  <si>
    <t>62-35 20200914 St4a pond surface ice bottom</t>
  </si>
  <si>
    <t>M11305</t>
  </si>
  <si>
    <t>62-35 20200914 St4a pond bottom ice 1</t>
  </si>
  <si>
    <t>M11306</t>
  </si>
  <si>
    <t>62-35 20200914 St4a pond bottom ice 2</t>
  </si>
  <si>
    <t>M11307</t>
  </si>
  <si>
    <t>62-35 20200914 St4a pond bottom ice 3</t>
  </si>
  <si>
    <t>M11308</t>
  </si>
  <si>
    <t>62-35 20200914 St4a pond bottom ice 4</t>
  </si>
  <si>
    <t>M11309</t>
  </si>
  <si>
    <t>62-35 20200914 St4a pond bottom ice 5</t>
  </si>
  <si>
    <t>M11310</t>
  </si>
  <si>
    <t>62-35 20200914 St4a pond bottom ice 6</t>
  </si>
  <si>
    <t>M11311</t>
  </si>
  <si>
    <t>62-35 20200914 St4a pond bottom ice 7</t>
  </si>
  <si>
    <t>M11315</t>
  </si>
  <si>
    <t>20200915 St8 62-42 Lead ice</t>
  </si>
  <si>
    <t>St8</t>
  </si>
  <si>
    <t>M11312</t>
  </si>
  <si>
    <t>20200915 St8 lead shallow</t>
  </si>
  <si>
    <t>Meltpond station 8</t>
  </si>
  <si>
    <t>M11313</t>
  </si>
  <si>
    <t>20200915 St8 lead middle</t>
  </si>
  <si>
    <t>M11314</t>
  </si>
  <si>
    <t>20200915 St8 lead bottom</t>
  </si>
  <si>
    <t>M11316</t>
  </si>
  <si>
    <t xml:space="preserve">20200916 pond 1 shallow before </t>
  </si>
  <si>
    <t>St1</t>
  </si>
  <si>
    <t>M11317</t>
  </si>
  <si>
    <t>20200917 st1 pond top</t>
  </si>
  <si>
    <t>M11318</t>
  </si>
  <si>
    <t>20200917 st1 pond bottom</t>
  </si>
  <si>
    <t>M11319</t>
  </si>
  <si>
    <t>62-120 20200918 st1 pond surface ice TOP</t>
  </si>
  <si>
    <t>M11320</t>
  </si>
  <si>
    <t>62-120 20200918 st1 pond surface ice bottom</t>
  </si>
  <si>
    <t>M11321</t>
  </si>
  <si>
    <t>62-120 20200918 st1 pond bottom ice 1</t>
  </si>
  <si>
    <t>M11322</t>
  </si>
  <si>
    <t>62-120 20200918 st1 pond bottom ice 2</t>
  </si>
  <si>
    <t>M11323</t>
  </si>
  <si>
    <t>62-120 20200918 st1 pond bottom ice 3</t>
  </si>
  <si>
    <t>M11324</t>
  </si>
  <si>
    <t>62-120 20200918 st1 pond bottom ice 4</t>
  </si>
  <si>
    <t>M11325</t>
  </si>
  <si>
    <t>62-120 20200918 st1 pond bottom ice 5</t>
  </si>
  <si>
    <t>M11326</t>
  </si>
  <si>
    <t>62-120 20200918 st1 pond bottom ice 6</t>
  </si>
  <si>
    <t>M11327</t>
  </si>
  <si>
    <t>62-120 20200918 st1 pond bottom ice 7</t>
  </si>
  <si>
    <t>M11328</t>
  </si>
  <si>
    <t>62-120 20200918 st1 pond bottom ice 8</t>
  </si>
  <si>
    <t>M11329</t>
  </si>
  <si>
    <t>62-120 20200918 st1 pond bottom ice 9</t>
  </si>
  <si>
    <t>M11330</t>
  </si>
  <si>
    <t>62-120 20200918 st1 pond bottom ice 10</t>
  </si>
  <si>
    <t>M11331</t>
  </si>
  <si>
    <t>62-120 20200918 st1 pond bottom ice 11</t>
  </si>
  <si>
    <t>M11332</t>
  </si>
  <si>
    <t>62-120 20200918 st1 pond bottom ice 12</t>
  </si>
  <si>
    <t>M11333</t>
  </si>
  <si>
    <t>62-120 20200918 st1 pond bottom ice 13</t>
  </si>
  <si>
    <t>M11334</t>
  </si>
  <si>
    <t>62-120 20200918 st1 pond bottom ice 14</t>
  </si>
  <si>
    <t>M11260</t>
  </si>
  <si>
    <t>PS122/5_2200904 60-130 Lead 1</t>
  </si>
  <si>
    <t>M11261</t>
  </si>
  <si>
    <t>PS122/5_2200904 60-130 Lead 2</t>
  </si>
  <si>
    <t>M11262</t>
  </si>
  <si>
    <t>PS122/5_2200904 60-130 Lead 3</t>
  </si>
  <si>
    <t>M11263</t>
  </si>
  <si>
    <t>PS122/5_2200904 60-130 Lead 4</t>
  </si>
  <si>
    <t>M11335</t>
  </si>
  <si>
    <t>20200924 Chamber site snow</t>
  </si>
  <si>
    <t>ice station</t>
  </si>
  <si>
    <t>M11336</t>
  </si>
  <si>
    <t>20200924 Chamber site Ice layer</t>
  </si>
  <si>
    <t>M11337</t>
  </si>
  <si>
    <t>20200924 Chamber site sea ice top 10cm</t>
  </si>
  <si>
    <t>M10807</t>
  </si>
  <si>
    <t>M10808</t>
  </si>
  <si>
    <t>M10809</t>
  </si>
  <si>
    <t>M10810</t>
  </si>
  <si>
    <t>M10811</t>
  </si>
  <si>
    <t>M10812</t>
  </si>
  <si>
    <t>M10813</t>
  </si>
  <si>
    <t>M10814</t>
  </si>
  <si>
    <t>M10815</t>
  </si>
  <si>
    <t>M10816</t>
  </si>
  <si>
    <t>M10817</t>
  </si>
  <si>
    <t>M10818</t>
  </si>
  <si>
    <t>M10819</t>
  </si>
  <si>
    <t>M10820</t>
  </si>
  <si>
    <t>M10821</t>
  </si>
  <si>
    <t>M10822</t>
  </si>
  <si>
    <t>M10823</t>
  </si>
  <si>
    <t>122/1</t>
  </si>
  <si>
    <t>Davids Snowpid</t>
  </si>
  <si>
    <t>S = 11.9</t>
  </si>
  <si>
    <t>Seawater</t>
  </si>
  <si>
    <t>M11338</t>
  </si>
  <si>
    <t>M11339</t>
  </si>
  <si>
    <t>M11340</t>
  </si>
  <si>
    <t>M11341</t>
  </si>
  <si>
    <t>M11342</t>
  </si>
  <si>
    <t>M11343</t>
  </si>
  <si>
    <t>M11344</t>
  </si>
  <si>
    <t>M11345</t>
  </si>
  <si>
    <t>M11346</t>
  </si>
  <si>
    <t>M11347</t>
  </si>
  <si>
    <t>M11348</t>
  </si>
  <si>
    <t>M11349</t>
  </si>
  <si>
    <t>M11350</t>
  </si>
  <si>
    <t>M11351</t>
  </si>
  <si>
    <t>M11352</t>
  </si>
  <si>
    <t>M11353</t>
  </si>
  <si>
    <t>M11354</t>
  </si>
  <si>
    <t>M11355</t>
  </si>
  <si>
    <t>M11356</t>
  </si>
  <si>
    <t>M11357</t>
  </si>
  <si>
    <t>M11358</t>
  </si>
  <si>
    <t>M11359</t>
  </si>
  <si>
    <t>M11360</t>
  </si>
  <si>
    <t>M11361</t>
  </si>
  <si>
    <t>M11362</t>
  </si>
  <si>
    <t>M11363</t>
  </si>
  <si>
    <t>M11364</t>
  </si>
  <si>
    <t>M11365</t>
  </si>
  <si>
    <t>M11366</t>
  </si>
  <si>
    <t>M11367</t>
  </si>
  <si>
    <t>M11368</t>
  </si>
  <si>
    <t>M11369</t>
  </si>
  <si>
    <t>M11370</t>
  </si>
  <si>
    <t>M11371</t>
  </si>
  <si>
    <t>M11372</t>
  </si>
  <si>
    <t>M11373</t>
  </si>
  <si>
    <t>M11374</t>
  </si>
  <si>
    <t>M11375</t>
  </si>
  <si>
    <t>M11376</t>
  </si>
  <si>
    <t>M11377</t>
  </si>
  <si>
    <t>M11378</t>
  </si>
  <si>
    <t>M11379</t>
  </si>
  <si>
    <t>M11380</t>
  </si>
  <si>
    <t>M11381</t>
  </si>
  <si>
    <t>M11382</t>
  </si>
  <si>
    <t>M11383</t>
  </si>
  <si>
    <t>M11384</t>
  </si>
  <si>
    <t>M11385</t>
  </si>
  <si>
    <t>M11386</t>
  </si>
  <si>
    <t>M11387</t>
  </si>
  <si>
    <t>M11388</t>
  </si>
  <si>
    <t>M11389</t>
  </si>
  <si>
    <t>M11390</t>
  </si>
  <si>
    <t>M11391</t>
  </si>
  <si>
    <t>M11392</t>
  </si>
  <si>
    <t>M11393</t>
  </si>
  <si>
    <t>M11394</t>
  </si>
  <si>
    <t>M11395</t>
  </si>
  <si>
    <t>M11396</t>
  </si>
  <si>
    <t>M11397</t>
  </si>
  <si>
    <t>M11398</t>
  </si>
  <si>
    <t>M11399</t>
  </si>
  <si>
    <t>M11400</t>
  </si>
  <si>
    <t>M11401</t>
  </si>
  <si>
    <t>M11402</t>
  </si>
  <si>
    <t>M11403</t>
  </si>
  <si>
    <t>M11404</t>
  </si>
  <si>
    <t>M11405</t>
  </si>
  <si>
    <t>M11406</t>
  </si>
  <si>
    <t>M11407</t>
  </si>
  <si>
    <t>M11408</t>
  </si>
  <si>
    <t>M11409</t>
  </si>
  <si>
    <t>M11410</t>
  </si>
  <si>
    <t>M11411</t>
  </si>
  <si>
    <t>M11412</t>
  </si>
  <si>
    <t>M11413</t>
  </si>
  <si>
    <t>M11414</t>
  </si>
  <si>
    <t>M11415</t>
  </si>
  <si>
    <t>M11416</t>
  </si>
  <si>
    <t>M11417</t>
  </si>
  <si>
    <t>M11418</t>
  </si>
  <si>
    <t>M11419</t>
  </si>
  <si>
    <t>M11420</t>
  </si>
  <si>
    <t>M11421</t>
  </si>
  <si>
    <t>M11422</t>
  </si>
  <si>
    <t>M11423</t>
  </si>
  <si>
    <t>M11424</t>
  </si>
  <si>
    <t>M11425</t>
  </si>
  <si>
    <t>M11426</t>
  </si>
  <si>
    <t>M11427</t>
  </si>
  <si>
    <t>M11428</t>
  </si>
  <si>
    <t>M11429</t>
  </si>
  <si>
    <t>M11430</t>
  </si>
  <si>
    <t>M11431</t>
  </si>
  <si>
    <t>M11432</t>
  </si>
  <si>
    <t>M11433</t>
  </si>
  <si>
    <t>M11434</t>
  </si>
  <si>
    <t>M11435</t>
  </si>
  <si>
    <t>M11436</t>
  </si>
  <si>
    <t>M11437</t>
  </si>
  <si>
    <t>M11438</t>
  </si>
  <si>
    <t>M11439</t>
  </si>
  <si>
    <t>M11440</t>
  </si>
  <si>
    <t>M11441</t>
  </si>
  <si>
    <t>M11442</t>
  </si>
  <si>
    <t>M11443</t>
  </si>
  <si>
    <t>M11444</t>
  </si>
  <si>
    <t>M11445</t>
  </si>
  <si>
    <t>M11446</t>
  </si>
  <si>
    <t>M11447</t>
  </si>
  <si>
    <t>M11448</t>
  </si>
  <si>
    <t>M11449</t>
  </si>
  <si>
    <t>M11450</t>
  </si>
  <si>
    <t>M11451</t>
  </si>
  <si>
    <t>M11452</t>
  </si>
  <si>
    <t>M11453</t>
  </si>
  <si>
    <t>M11454</t>
  </si>
  <si>
    <t>M11455</t>
  </si>
  <si>
    <t>M11456</t>
  </si>
  <si>
    <t>M11457</t>
  </si>
  <si>
    <t>M11458</t>
  </si>
  <si>
    <t>M11459</t>
  </si>
  <si>
    <t>M11460</t>
  </si>
  <si>
    <t>M11461</t>
  </si>
  <si>
    <t>M11462</t>
  </si>
  <si>
    <t>M11463</t>
  </si>
  <si>
    <t>M11464</t>
  </si>
  <si>
    <t>M11465</t>
  </si>
  <si>
    <t>M11466</t>
  </si>
  <si>
    <t>M11467</t>
  </si>
  <si>
    <t>M11468</t>
  </si>
  <si>
    <t>M11469</t>
  </si>
  <si>
    <t>M11470</t>
  </si>
  <si>
    <t>M11471</t>
  </si>
  <si>
    <t>M11472</t>
  </si>
  <si>
    <t>M11473</t>
  </si>
  <si>
    <t>M11474</t>
  </si>
  <si>
    <t>M11475</t>
  </si>
  <si>
    <t>M11476</t>
  </si>
  <si>
    <t>M11477</t>
  </si>
  <si>
    <t>M11478</t>
  </si>
  <si>
    <t>M11479</t>
  </si>
  <si>
    <t>M11480</t>
  </si>
  <si>
    <t>M11481</t>
  </si>
  <si>
    <t>M11482</t>
  </si>
  <si>
    <t>M11483</t>
  </si>
  <si>
    <t>M11484</t>
  </si>
  <si>
    <t>M11485</t>
  </si>
  <si>
    <t>M11486</t>
  </si>
  <si>
    <t>M11487</t>
  </si>
  <si>
    <t>M11488</t>
  </si>
  <si>
    <t>M11489</t>
  </si>
  <si>
    <t>M11490</t>
  </si>
  <si>
    <t>M11491</t>
  </si>
  <si>
    <t>M11492</t>
  </si>
  <si>
    <t>M11493</t>
  </si>
  <si>
    <t>M11494</t>
  </si>
  <si>
    <t>M11495</t>
  </si>
  <si>
    <t>M11496</t>
  </si>
  <si>
    <t>M11497</t>
  </si>
  <si>
    <t>M11498</t>
  </si>
  <si>
    <t>M11499</t>
  </si>
  <si>
    <t>M11500</t>
  </si>
  <si>
    <t>M11501</t>
  </si>
  <si>
    <t>M11502</t>
  </si>
  <si>
    <t>M11503</t>
  </si>
  <si>
    <t>M11504</t>
  </si>
  <si>
    <t>M11505</t>
  </si>
  <si>
    <t>M11506</t>
  </si>
  <si>
    <t>M11507</t>
  </si>
  <si>
    <t>M11508</t>
  </si>
  <si>
    <t>M11509</t>
  </si>
  <si>
    <t>M11510</t>
  </si>
  <si>
    <t>M11511</t>
  </si>
  <si>
    <t>M11512</t>
  </si>
  <si>
    <t>M11513</t>
  </si>
  <si>
    <t>M11514</t>
  </si>
  <si>
    <t>M11515</t>
  </si>
  <si>
    <t>M11516</t>
  </si>
  <si>
    <t>M11517</t>
  </si>
  <si>
    <t>M11518</t>
  </si>
  <si>
    <t>M11519</t>
  </si>
  <si>
    <t>M11520</t>
  </si>
  <si>
    <t>M11521</t>
  </si>
  <si>
    <t>M11522</t>
  </si>
  <si>
    <t>M11523</t>
  </si>
  <si>
    <t>M11524</t>
  </si>
  <si>
    <t>M11525</t>
  </si>
  <si>
    <t>M11526</t>
  </si>
  <si>
    <t>M11527</t>
  </si>
  <si>
    <t>M11528</t>
  </si>
  <si>
    <t>M11529</t>
  </si>
  <si>
    <t>M11530</t>
  </si>
  <si>
    <t>M11531</t>
  </si>
  <si>
    <t>M11532</t>
  </si>
  <si>
    <t>M11533</t>
  </si>
  <si>
    <t>M11534</t>
  </si>
  <si>
    <t>M11535</t>
  </si>
  <si>
    <t>M11536</t>
  </si>
  <si>
    <t>M11537</t>
  </si>
  <si>
    <t>M11538</t>
  </si>
  <si>
    <t>M11539</t>
  </si>
  <si>
    <t>M11540</t>
  </si>
  <si>
    <t>M11541</t>
  </si>
  <si>
    <t>M11542</t>
  </si>
  <si>
    <t>M11543</t>
  </si>
  <si>
    <t>M11544</t>
  </si>
  <si>
    <t>M11545</t>
  </si>
  <si>
    <t>M11546</t>
  </si>
  <si>
    <t>M11547</t>
  </si>
  <si>
    <t>M11548</t>
  </si>
  <si>
    <t>M11549</t>
  </si>
  <si>
    <t>M11550</t>
  </si>
  <si>
    <t>M11551</t>
  </si>
  <si>
    <t>M11552</t>
  </si>
  <si>
    <t>M11553</t>
  </si>
  <si>
    <t>M11554</t>
  </si>
  <si>
    <t>M11555</t>
  </si>
  <si>
    <t>M11556</t>
  </si>
  <si>
    <t>M11557</t>
  </si>
  <si>
    <t>M11558</t>
  </si>
  <si>
    <t>M11559</t>
  </si>
  <si>
    <t>M11560</t>
  </si>
  <si>
    <t>M11561</t>
  </si>
  <si>
    <t>M11562</t>
  </si>
  <si>
    <t>M11563</t>
  </si>
  <si>
    <t>M11564</t>
  </si>
  <si>
    <t>M11565</t>
  </si>
  <si>
    <t>M11566</t>
  </si>
  <si>
    <t>M11567</t>
  </si>
  <si>
    <t>M11568</t>
  </si>
  <si>
    <t>M11569</t>
  </si>
  <si>
    <t>M11570</t>
  </si>
  <si>
    <t>M11571</t>
  </si>
  <si>
    <t>M11572</t>
  </si>
  <si>
    <t>M11573</t>
  </si>
  <si>
    <t>M11574</t>
  </si>
  <si>
    <t>M11575</t>
  </si>
  <si>
    <t>M11576</t>
  </si>
  <si>
    <t>M11577</t>
  </si>
  <si>
    <t>M11578</t>
  </si>
  <si>
    <t>M11579</t>
  </si>
  <si>
    <t>M11580</t>
  </si>
  <si>
    <t>M11581</t>
  </si>
  <si>
    <t>M11582</t>
  </si>
  <si>
    <t>M11583</t>
  </si>
  <si>
    <t>M11584</t>
  </si>
  <si>
    <t>M11585</t>
  </si>
  <si>
    <t>M11586</t>
  </si>
  <si>
    <t>M11587</t>
  </si>
  <si>
    <t>M11588</t>
  </si>
  <si>
    <t>M11589</t>
  </si>
  <si>
    <t>M11590</t>
  </si>
  <si>
    <t>M11591</t>
  </si>
  <si>
    <t>M11592</t>
  </si>
  <si>
    <t>M11593</t>
  </si>
  <si>
    <t>M11594</t>
  </si>
  <si>
    <t>M11595</t>
  </si>
  <si>
    <t>M11596</t>
  </si>
  <si>
    <t>M11597</t>
  </si>
  <si>
    <t>M11598</t>
  </si>
  <si>
    <t>M11599</t>
  </si>
  <si>
    <t>M11600</t>
  </si>
  <si>
    <t>M11601</t>
  </si>
  <si>
    <t>M11602</t>
  </si>
  <si>
    <t>M11603</t>
  </si>
  <si>
    <t>M11604</t>
  </si>
  <si>
    <t>M11605</t>
  </si>
  <si>
    <t>M11606</t>
  </si>
  <si>
    <t>M11607</t>
  </si>
  <si>
    <t>M11608</t>
  </si>
  <si>
    <t>M11609</t>
  </si>
  <si>
    <t>M11610</t>
  </si>
  <si>
    <t>M11611</t>
  </si>
  <si>
    <t>M11612</t>
  </si>
  <si>
    <t>M11613</t>
  </si>
  <si>
    <t>M11614</t>
  </si>
  <si>
    <t>M11615</t>
  </si>
  <si>
    <t>M11616</t>
  </si>
  <si>
    <t>M11617</t>
  </si>
  <si>
    <t>M11618</t>
  </si>
  <si>
    <t>M11619</t>
  </si>
  <si>
    <t>M11620</t>
  </si>
  <si>
    <t>M11621</t>
  </si>
  <si>
    <t>M11622</t>
  </si>
  <si>
    <t>M11623</t>
  </si>
  <si>
    <t>M11624</t>
  </si>
  <si>
    <t>M11625</t>
  </si>
  <si>
    <t>M11626</t>
  </si>
  <si>
    <t>M11627</t>
  </si>
  <si>
    <t>M11628</t>
  </si>
  <si>
    <t>M11629</t>
  </si>
  <si>
    <t>M11630</t>
  </si>
  <si>
    <t>M11631</t>
  </si>
  <si>
    <t>M11632</t>
  </si>
  <si>
    <t>M11633</t>
  </si>
  <si>
    <t>M11634</t>
  </si>
  <si>
    <t>M11635</t>
  </si>
  <si>
    <t>M11636</t>
  </si>
  <si>
    <t>M11637</t>
  </si>
  <si>
    <t>M11638</t>
  </si>
  <si>
    <t>M11639</t>
  </si>
  <si>
    <t>M11640</t>
  </si>
  <si>
    <t>M11641</t>
  </si>
  <si>
    <t>M11642</t>
  </si>
  <si>
    <t>M11643</t>
  </si>
  <si>
    <t>M11644</t>
  </si>
  <si>
    <t>M11645</t>
  </si>
  <si>
    <t>M11646</t>
  </si>
  <si>
    <t>M11647</t>
  </si>
  <si>
    <t>M11648</t>
  </si>
  <si>
    <t>M11649</t>
  </si>
  <si>
    <t>M11650</t>
  </si>
  <si>
    <t>M11651</t>
  </si>
  <si>
    <t>M11652</t>
  </si>
  <si>
    <t>M11653</t>
  </si>
  <si>
    <t>M11654</t>
  </si>
  <si>
    <t>M11655</t>
  </si>
  <si>
    <t>PS122-4_48-158-TxFB-DO18-1</t>
  </si>
  <si>
    <t>PS122-4_48-158-TxFB-DO18-2</t>
  </si>
  <si>
    <t>PS122-4_48-158-TxFB-DO18-3</t>
  </si>
  <si>
    <t>PS122-4_48-158-TxFB-DO18-4</t>
  </si>
  <si>
    <t>PS122-4_48-158-TxFB-DO18-5</t>
  </si>
  <si>
    <t>PS122-4_48-158-TxFB-DO18-6</t>
  </si>
  <si>
    <t>PS122-4_48-158-TxFB-DO18-7</t>
  </si>
  <si>
    <t>PS122-4_48-158-TxFB-DO18-8</t>
  </si>
  <si>
    <t>PS122-4_48-158-TxFB-DO18-9</t>
  </si>
  <si>
    <t>PS122-4_48-158-TxFB-DO18-10</t>
  </si>
  <si>
    <t>PS122-4_48-158-TxFB-DO18-11</t>
  </si>
  <si>
    <t>PS122-4_48-158-TxFB-DO18-12</t>
  </si>
  <si>
    <t>PS122-4_48-158-TxFB-DO18-13</t>
  </si>
  <si>
    <t>PS122-4_48-158-TxFB-DO18-14</t>
  </si>
  <si>
    <t>PS122-4_48-158-TxFB-DO18-15</t>
  </si>
  <si>
    <t>PS122-4_48-158-TxFB-DO18-16</t>
  </si>
  <si>
    <t>PS122-4_48-158-TxFB-DO18-17</t>
  </si>
  <si>
    <t>PS122-4_48-158-TxFB-DO18-18</t>
  </si>
  <si>
    <t>PS122-4_48-158-TxFB-DO18-19</t>
  </si>
  <si>
    <t>PS122-4_48-158-TxFB-DO18-20</t>
  </si>
  <si>
    <t>PS122-4_48-158-TxFB-DO18-21</t>
  </si>
  <si>
    <t>PS122-4_48-158-TxFB-DO18-22</t>
  </si>
  <si>
    <t>PS122-4_48-158-TxFB-DO18-23</t>
  </si>
  <si>
    <t>PS122-4_48-158-TxFB-DO18-24</t>
  </si>
  <si>
    <t>PS122-4_48-158-TxFB-DO18-25</t>
  </si>
  <si>
    <t>PS122-4_48-158-TxFB-DO18-26</t>
  </si>
  <si>
    <t>PS122-4_48-158-TxFB-DO18-27</t>
  </si>
  <si>
    <t>PS122-4_48-158-TxFB-DO18-28</t>
  </si>
  <si>
    <t>PS122-4_48-158-TxFB-DO18-29</t>
  </si>
  <si>
    <t>PS122/1_5 FYI DO18-1</t>
  </si>
  <si>
    <t>PS122/1_5 FYI DO18-2</t>
  </si>
  <si>
    <t>PS122/1_5 FYI DO18-3</t>
  </si>
  <si>
    <t>PS122/1_5 FYI DO18-4</t>
  </si>
  <si>
    <t>PS122/1_5 FYI DO18-5</t>
  </si>
  <si>
    <t>PS122/1_5 FYI DO18-6</t>
  </si>
  <si>
    <t>PS122/1_5 FYI DO18-7</t>
  </si>
  <si>
    <t>PS122/1_5 FYI DO18-8</t>
  </si>
  <si>
    <t>PS122/1_7 FYI DO18-1</t>
  </si>
  <si>
    <t>PS122/1_7 FYI DO18-2</t>
  </si>
  <si>
    <t>PS122/1_7 FYI DO18-4</t>
  </si>
  <si>
    <t>PS122/1_7 FYI DO18-5</t>
  </si>
  <si>
    <t>PS122/1_7 FYI DO18-6</t>
  </si>
  <si>
    <t>PS122/1_7 FYI DO18-7</t>
  </si>
  <si>
    <t>PS122/1_7 FYI DO18-8</t>
  </si>
  <si>
    <t>PS122/1_7 FYI DO18-9</t>
  </si>
  <si>
    <t>PS122/1_7 FYI DO18-10</t>
  </si>
  <si>
    <t>PS122/1_7 FYI DO18-11</t>
  </si>
  <si>
    <t>PS122/1_7 FYI DO18-12</t>
  </si>
  <si>
    <t>PS122/1_7 FYI DO18-13</t>
  </si>
  <si>
    <t>PS122/1_9 FYI DO18-1</t>
  </si>
  <si>
    <t>PS122/1_9 FYI DO18-2</t>
  </si>
  <si>
    <t>PS122/1_9 FYI DO18-3</t>
  </si>
  <si>
    <t>PS122/1_9 FYI DO18-4</t>
  </si>
  <si>
    <t>PS122/1_9 FYI DO18-5</t>
  </si>
  <si>
    <t>PS122/1_9 FYI DO18-6</t>
  </si>
  <si>
    <t>PS122/1_9 FYI DO18-7</t>
  </si>
  <si>
    <t>PS122/1_9 FYI DO18-8</t>
  </si>
  <si>
    <t>PS122/1_9 FYI DO18-9</t>
  </si>
  <si>
    <t>PS122/1_9 FYI DO18-10</t>
  </si>
  <si>
    <t>PS122/1_9 FYI DO18-11</t>
  </si>
  <si>
    <t>PS122/1_5 SYI DO18-1</t>
  </si>
  <si>
    <t>PS122/1_5 SYI DO18-2</t>
  </si>
  <si>
    <t>PS122/1_5 SYI DO18-3</t>
  </si>
  <si>
    <t>PS122/1_5 SYI DO18-4</t>
  </si>
  <si>
    <t>PS122/1_5 SYI DO18-5</t>
  </si>
  <si>
    <t>PS122/1_5 SYI DO18-6</t>
  </si>
  <si>
    <t>PS122/1_5 SYI DO18-7</t>
  </si>
  <si>
    <t>PS122/1_5 SYI DO18-8</t>
  </si>
  <si>
    <t>PS122/1_5 SYI DO18-9_probably week 5</t>
  </si>
  <si>
    <t>PS122/1_5 SYI DO18-10</t>
  </si>
  <si>
    <t>PS122/1_5 SYI DO18-11</t>
  </si>
  <si>
    <t>PS122/1_5 SYI DO18-12</t>
  </si>
  <si>
    <t>PS122/1_5 SYI DO18-13</t>
  </si>
  <si>
    <t>PS122/1_5 SYI DO18-14</t>
  </si>
  <si>
    <t>PS122/1_5 SYI DO18-15</t>
  </si>
  <si>
    <t>PS122/1_7 SYI DO18-1</t>
  </si>
  <si>
    <t>PS122/1_7 SYI DO18-2</t>
  </si>
  <si>
    <t>PS122/1_7 SYI DO18-3</t>
  </si>
  <si>
    <t>PS122/1_7 SYI DO18-4</t>
  </si>
  <si>
    <t>PS122/1_7 SYI DO18-5</t>
  </si>
  <si>
    <t>PS122/1_7 SYI DO18-6</t>
  </si>
  <si>
    <t>PS122/1_7 SYI DO18-7</t>
  </si>
  <si>
    <t>PS122/1_7 SYI DO18-8</t>
  </si>
  <si>
    <t>PS122/1_7 SYI DO18-9</t>
  </si>
  <si>
    <t>PS122/1_7 SYI DO18-10</t>
  </si>
  <si>
    <t>PS122/1_7 SYI DO18-11</t>
  </si>
  <si>
    <t>PS122/1_7 SYI DO18-12</t>
  </si>
  <si>
    <t>PS122/1_7 SYI DO18-13</t>
  </si>
  <si>
    <t>PS122/1_7 SYI DO18-14</t>
  </si>
  <si>
    <t>PS122/1_7 SYI DO18-15</t>
  </si>
  <si>
    <t>PS122/1_7 SYI DO18-16</t>
  </si>
  <si>
    <t>PS122/1_7 SYI DO18-17</t>
  </si>
  <si>
    <t>PS122/1_7 SYI DO18-19</t>
  </si>
  <si>
    <t>PS122/1_7 SYI DO18-20</t>
  </si>
  <si>
    <t>PS122/1_7 SYI DO18-21</t>
  </si>
  <si>
    <t>PS122/1_7 SYI DO18-22</t>
  </si>
  <si>
    <t>PS122/1_9 SYI DO18-1</t>
  </si>
  <si>
    <t>PS122/1_9 SYI DO18-2</t>
  </si>
  <si>
    <t>PS122/1_9 SYI DO18-3</t>
  </si>
  <si>
    <t>PS122/1_9 SYI DO18-4</t>
  </si>
  <si>
    <t>PS122/1_9 SYI DO18-5</t>
  </si>
  <si>
    <t>PS122/1_9 SYI DO18-6</t>
  </si>
  <si>
    <t>PS122/1_9 SYI DO18-7</t>
  </si>
  <si>
    <t>PS122/1_9 SYI DO18-8</t>
  </si>
  <si>
    <t>PS122/1_9 SYI DO18-9</t>
  </si>
  <si>
    <t>PS122/1_9 SYI DO18-10</t>
  </si>
  <si>
    <t>PS122/1_9 SYI DO18-11</t>
  </si>
  <si>
    <t>PS122/1_9 SYI DO18-12</t>
  </si>
  <si>
    <t>PS122/1_9 SYI DO18-13</t>
  </si>
  <si>
    <t>PS122/1_9 SYI DO18-14</t>
  </si>
  <si>
    <t>PS122/1_9 SYI DO18-15</t>
  </si>
  <si>
    <t>PS122/1_9 SYI DO18-16</t>
  </si>
  <si>
    <t>PS122/1_9 SYI DO18-17</t>
  </si>
  <si>
    <t>PS122/1_9 SYI DO18-18</t>
  </si>
  <si>
    <t>PS122/1_9 SYI DO18-19</t>
  </si>
  <si>
    <t>PS122/1_9 SYI DO18-20</t>
  </si>
  <si>
    <t>PS122/1_9 SYI DO18-21</t>
  </si>
  <si>
    <t>PS122/1_9 SYI DO18-22</t>
  </si>
  <si>
    <t>PS122/1_9 SYI DO18-23</t>
  </si>
  <si>
    <t>PS122/1_10 SYI DO18-6</t>
  </si>
  <si>
    <t>M11656</t>
  </si>
  <si>
    <t>M11657</t>
  </si>
  <si>
    <t>M11658</t>
  </si>
  <si>
    <t>M11659</t>
  </si>
  <si>
    <t>M11660</t>
  </si>
  <si>
    <t>M11661</t>
  </si>
  <si>
    <t>M11662</t>
  </si>
  <si>
    <t>M11663</t>
  </si>
  <si>
    <t>M11664</t>
  </si>
  <si>
    <t>M11665</t>
  </si>
  <si>
    <t>M11666</t>
  </si>
  <si>
    <t>M11667</t>
  </si>
  <si>
    <t>M11668</t>
  </si>
  <si>
    <t>M11669</t>
  </si>
  <si>
    <t>M11670</t>
  </si>
  <si>
    <t>M11671</t>
  </si>
  <si>
    <t>M11672</t>
  </si>
  <si>
    <t>M11673</t>
  </si>
  <si>
    <t>M11674</t>
  </si>
  <si>
    <t>M11675</t>
  </si>
  <si>
    <t>M11676</t>
  </si>
  <si>
    <t>M11677</t>
  </si>
  <si>
    <t>M11678</t>
  </si>
  <si>
    <t>M11679</t>
  </si>
  <si>
    <t>M11680</t>
  </si>
  <si>
    <t>M11681</t>
  </si>
  <si>
    <t>M11682</t>
  </si>
  <si>
    <t>M11683</t>
  </si>
  <si>
    <t>M11684</t>
  </si>
  <si>
    <t>M11685</t>
  </si>
  <si>
    <t>M11686</t>
  </si>
  <si>
    <t>M11687</t>
  </si>
  <si>
    <t>M11688</t>
  </si>
  <si>
    <t>M11689</t>
  </si>
  <si>
    <t>M11690</t>
  </si>
  <si>
    <t>M11691</t>
  </si>
  <si>
    <t>M11692</t>
  </si>
  <si>
    <t>M11693</t>
  </si>
  <si>
    <t>PS122-1_4-10</t>
  </si>
  <si>
    <t>PS122-1_5-5</t>
  </si>
  <si>
    <t>PS122-1_6-6</t>
  </si>
  <si>
    <t>PS122-1_7-12</t>
  </si>
  <si>
    <t>PS122-1_8-79</t>
  </si>
  <si>
    <t>PS122-1_10-5</t>
  </si>
  <si>
    <t>PS122-1_11-23</t>
  </si>
  <si>
    <t>PS122-2_16-9</t>
  </si>
  <si>
    <t>PS122-2_17-16</t>
  </si>
  <si>
    <t>PS122-2_17-109</t>
  </si>
  <si>
    <t>PS122-2_18-17</t>
  </si>
  <si>
    <t>PS122-2_18-8</t>
  </si>
  <si>
    <t>PS122-2_18-66</t>
  </si>
  <si>
    <t>PS122-2_19-9</t>
  </si>
  <si>
    <t>PS122-2_19-28</t>
  </si>
  <si>
    <t>PS122-2_19-92</t>
  </si>
  <si>
    <t>PS122-2_20-4</t>
  </si>
  <si>
    <t>PS122-2_19-144</t>
  </si>
  <si>
    <t>PS122-2_20-36</t>
  </si>
  <si>
    <t>PS122-2_20-83</t>
  </si>
  <si>
    <t>PS122-2_20-80</t>
  </si>
  <si>
    <t>PS122-2_21-14</t>
  </si>
  <si>
    <t>PS122-2_21-15</t>
  </si>
  <si>
    <t>PS122-2_21-96</t>
  </si>
  <si>
    <t>PS122-2_22-5</t>
  </si>
  <si>
    <t>PS122-2_22-6</t>
  </si>
  <si>
    <t>PS122-2_22-73</t>
  </si>
  <si>
    <t>PS122-2_23-9</t>
  </si>
  <si>
    <t>PS122-2_23-2</t>
  </si>
  <si>
    <t>PS122-2_23-34</t>
  </si>
  <si>
    <t>PS122-2_23-73</t>
  </si>
  <si>
    <t>PS122-2_23-74</t>
  </si>
  <si>
    <t>PS122-2_24-14</t>
  </si>
  <si>
    <t>PS122-4_44-157</t>
  </si>
  <si>
    <t>PS122-2_24-15</t>
  </si>
  <si>
    <t>PS122-2_24-35</t>
  </si>
  <si>
    <t>PS122-2_24-86</t>
  </si>
  <si>
    <t>PS122-2_25-22</t>
  </si>
  <si>
    <t>PS122-2_25-80</t>
  </si>
  <si>
    <t>PS122-2_25-81</t>
  </si>
  <si>
    <t>PS122-3_29-9</t>
  </si>
  <si>
    <t>PS122-3_29-28</t>
  </si>
  <si>
    <t>PS122-3_29-29</t>
  </si>
  <si>
    <t>PS122_3_30-17</t>
  </si>
  <si>
    <t>PS122_3_30-25</t>
  </si>
  <si>
    <t>PS122_3_31-55</t>
  </si>
  <si>
    <t>PS122_3_32-88</t>
  </si>
  <si>
    <t>PS122_3_32-92</t>
  </si>
  <si>
    <t>PS122_3_33-66</t>
  </si>
  <si>
    <t>PS122_3_33-65</t>
  </si>
  <si>
    <t>PS122_3_34-34</t>
  </si>
  <si>
    <t>PS122_3_35-23</t>
  </si>
  <si>
    <t>PS122_3_34-45</t>
  </si>
  <si>
    <t>PS122_3_35-53</t>
  </si>
  <si>
    <t>PS122_3_35-56</t>
  </si>
  <si>
    <t>PS122_3_36-14</t>
  </si>
  <si>
    <t>PS122-3_36-35</t>
  </si>
  <si>
    <t>PS122-3_36-99</t>
  </si>
  <si>
    <t>PS122-3_37-41</t>
  </si>
  <si>
    <t>PS122-3_37-57</t>
  </si>
  <si>
    <t>PS122-3_37-129</t>
  </si>
  <si>
    <t>PS122-3_38-1</t>
  </si>
  <si>
    <t>PS122-3_38-4</t>
  </si>
  <si>
    <t>PS122-3_38-51</t>
  </si>
  <si>
    <t>PS122-3_38-141</t>
  </si>
  <si>
    <t>PS122-3_39-46</t>
  </si>
  <si>
    <t>PS122-3_39-48</t>
  </si>
  <si>
    <t>PS122-3_39-88</t>
  </si>
  <si>
    <t>PS122-3_39-92</t>
  </si>
  <si>
    <t>PS122-4_44-47</t>
  </si>
  <si>
    <t>PS122-4_44-215</t>
  </si>
  <si>
    <t>PS122-4_46-32</t>
  </si>
  <si>
    <t>PS122-4_44-216</t>
  </si>
  <si>
    <t>PS122/4_46-50</t>
  </si>
  <si>
    <t>PS122/4_47-23</t>
  </si>
  <si>
    <t>PS122/4_48-146</t>
  </si>
  <si>
    <t>PS122/4_47-86</t>
  </si>
  <si>
    <t>PS122/4_48-142</t>
  </si>
  <si>
    <t>PS122/4_48-143</t>
  </si>
  <si>
    <t>PS122/4_48-144</t>
  </si>
  <si>
    <t>PS122/4_48-145</t>
  </si>
  <si>
    <t>PS122-5_59-313</t>
  </si>
  <si>
    <t>PS122-5_59-204</t>
  </si>
  <si>
    <t>PS122-5_60-2</t>
  </si>
  <si>
    <t>PS122-5_60-91</t>
  </si>
  <si>
    <t>PS122-5_61-25</t>
  </si>
  <si>
    <t>PS122-5_62-44</t>
  </si>
  <si>
    <t>PS122-5_62-124</t>
  </si>
  <si>
    <t>Surface</t>
  </si>
  <si>
    <t>Middle</t>
  </si>
  <si>
    <t>Bottom</t>
  </si>
  <si>
    <t>1cm snow 4cm slush</t>
  </si>
  <si>
    <t>after days with strong wind and snow drift</t>
  </si>
  <si>
    <t>done with ice saw to hard to do it differently</t>
  </si>
  <si>
    <t>top 2 cm are missing (surface) to avoid contamination due to usage of ice axt</t>
  </si>
  <si>
    <t>to icy to get deeper samples</t>
  </si>
  <si>
    <t>under 6,5 too icy</t>
  </si>
  <si>
    <t>no sutface sample, but same layer</t>
  </si>
  <si>
    <t>snow dune on lead</t>
  </si>
  <si>
    <t>below this too icy due to melt pond</t>
  </si>
  <si>
    <t>Dirty sample next to LOG area</t>
  </si>
  <si>
    <t>ab hier Beutel sehr voll; deshalb Löcher in den Beuteln ??</t>
  </si>
  <si>
    <t>unterschiedlich viel Probe ausgelaufen</t>
  </si>
  <si>
    <t>fast völlig ausgelaufen</t>
  </si>
  <si>
    <t>Wet snow next to melt pond</t>
  </si>
  <si>
    <t>sehr dreckig / Sedimented wet snow</t>
  </si>
  <si>
    <t>sehr dreckik, fast ganz ausglaufen / drained pond slush</t>
  </si>
  <si>
    <t>ridge, melt grains</t>
  </si>
  <si>
    <t>melt grains, dirty</t>
  </si>
  <si>
    <t>small ridge</t>
  </si>
  <si>
    <t>melt pond slush</t>
  </si>
  <si>
    <t>rain on snow, large grains</t>
  </si>
  <si>
    <t>drained melt pond</t>
  </si>
  <si>
    <t>by old ship parkingspot by lemon drop start, porous snow, old melt pond?</t>
  </si>
  <si>
    <t>black carbon taken in dirt on melt pond edge, other taken on edge of melt pond, jewel snow</t>
  </si>
  <si>
    <t>close to old path to FYI coring</t>
  </si>
  <si>
    <t>Melt pond island, sedimented SSL</t>
  </si>
  <si>
    <t>Small ridge. Jewel snow</t>
  </si>
  <si>
    <t>very wet SSL</t>
  </si>
  <si>
    <t>Alli’s ridge</t>
  </si>
  <si>
    <t>jaridge 0m</t>
  </si>
  <si>
    <t>jaridge 5m</t>
  </si>
  <si>
    <t>jaridge 10m</t>
  </si>
  <si>
    <t>jaridge 14m</t>
  </si>
  <si>
    <t>top</t>
  </si>
  <si>
    <t>PS122/1_4-10 Snowpit A, snow1-A1</t>
  </si>
  <si>
    <t>PS122/1_5-5 A Snowpit, snow1-A1</t>
  </si>
  <si>
    <t>PS122/1_6-6 Snowpit A, snow1-A5</t>
  </si>
  <si>
    <t>PS122/1_7-12 Snowpit A, snow1-A3</t>
  </si>
  <si>
    <t>PS122/1_8-79 Snowpit A, ds-coring-A7</t>
  </si>
  <si>
    <t>Slight snowfall, drifting snow, blowing snow</t>
  </si>
  <si>
    <t>a3 pit snow1 fyi-lead</t>
  </si>
  <si>
    <t>a pit dark coring: ok</t>
  </si>
  <si>
    <t>PS122/2_17-109 Snowpit A  $snow2-A8$, snow2-A8</t>
  </si>
  <si>
    <t>Top</t>
  </si>
  <si>
    <t>PS122/2_17-16 Snowpit A  $snow1-A9$, snow1-A9</t>
  </si>
  <si>
    <t>PS122/2_18-17 Snowpit A $snow1-A5$, snow1-A5</t>
  </si>
  <si>
    <t>PS122/2_18-66 Snowpit A $snow1-A5$, snow1-A5</t>
  </si>
  <si>
    <t>PS122/2_18-8 Snowpit A $snow3-A6$, snow3-A6</t>
  </si>
  <si>
    <t>PS122/2_19-144 Snowpit A $FR$, FR</t>
  </si>
  <si>
    <t>PS122/2_20-36 Snowpit A $FR$, FR</t>
  </si>
  <si>
    <t>PS122/2_19-28 Snowpit A  $snowDS-A7$, ds-coring-FYI</t>
  </si>
  <si>
    <t>PS122/2_19-9 Snowpit A  $snow1-A1$, snow1-A1</t>
  </si>
  <si>
    <t>PS122/2_19-92 Snowpit A  $snow2-A2$, snow2-A2</t>
  </si>
  <si>
    <t>PS122/2_21-96 Snowpit A $FR$, FR</t>
  </si>
  <si>
    <t>PS122/2_20-4 Snowpit A  $snow3-A6$, snow3-A6</t>
  </si>
  <si>
    <t>PS122/2_20-80 Snowpit A  $snow1-A5$, snow1-A5</t>
  </si>
  <si>
    <t>PS122/2_20-83 Snowpit A  $snow2-A8$, snow2-A8</t>
  </si>
  <si>
    <t>PS122/2_21-14 Snowpit A  $snow1-A1$, snow1-A1</t>
  </si>
  <si>
    <t>PS122/2_21-15 Snowpit A  $snow2-A2$, snow2-A2</t>
  </si>
  <si>
    <t>PS122/2_22-5 Snowpit A $snow2-A8$, snow2-A8</t>
  </si>
  <si>
    <t>PS122/2_22-6 Snowpit A $snow3-A6$, snow3-A6</t>
  </si>
  <si>
    <t>PS122/2_22-73 Snowpit A $snow1-A3$, snow1-A3</t>
  </si>
  <si>
    <t>PS122/2_23-2 Snowpit A $DS-A7$, ds-coring-FYI</t>
  </si>
  <si>
    <t>PS122/2_23-34 Snowpit A $snow2-A2$, snow2-A2</t>
  </si>
  <si>
    <t>PS122/2_23-73 Snowpit A $FR$, FR</t>
  </si>
  <si>
    <t>PS122/2_23-74 Snowpit A $snow1-A5$, snow1-A5</t>
  </si>
  <si>
    <t>PS122/2_23-9 Snowpit A $snow1-A1$, snow1-A1</t>
  </si>
  <si>
    <t>PS122/2_24-14 Snowpit A $snow3-A6$, snow3-A6</t>
  </si>
  <si>
    <t>PS122/2_24-15 Snowpit A $snow2-A8$, snow2-A8</t>
  </si>
  <si>
    <t>PS122/2_24-35 Snowpit A $snow2-A10$, snow2-A10</t>
  </si>
  <si>
    <t>PS122/2_24-86 Snowpit A $snow1-A3$, snow1-A3</t>
  </si>
  <si>
    <t>PS122/2_25-22 Snowpit A $snow2-A2$, snow2-A2</t>
  </si>
  <si>
    <t>PS122/2_25-80 Snowpit A  $snow1-A5$, snow1-A5</t>
  </si>
  <si>
    <t>PS122/2_25-81 Snowpit A $FR$, FR</t>
  </si>
  <si>
    <t>PS122/3_29-28 Snowpit A $snow1-A3$, snow1-A3</t>
  </si>
  <si>
    <t>PS122/3_29-29 Snowpit A $snow3-A6$, snow3-A6</t>
  </si>
  <si>
    <t>PS122/3_29-9 Snowpit A $snow2-A8$, snow2-A8</t>
  </si>
  <si>
    <t>PS122/3_36-35 Snowpit A $snow2-A2$, snow2-A2</t>
  </si>
  <si>
    <t>PS122/3_36-99 Snowpit A $DS-A7$, PS122-3_36-99</t>
  </si>
  <si>
    <t>PS122/3_37-129 Snowpit A $L1$, L1</t>
  </si>
  <si>
    <t>PS122/3_37-41 Snowpit A $snow2-A2$, snow2-A2</t>
  </si>
  <si>
    <t>PS122/3_38-1 Snowpit A $snow2-A2$, snow2-A2</t>
  </si>
  <si>
    <t>PS122/3_39-88 Snowpit A $snow2-A2$, snow2-A2</t>
  </si>
  <si>
    <t>PS122/3_37-57 Snowpit A $DR$, DR</t>
  </si>
  <si>
    <t>RELOCATION. The FYI coring site relocated over the ridge, still in same area, see coring notes for more details</t>
  </si>
  <si>
    <t>PS122/3_38-141 Snowpit A $DS-A7*$, ds-coring-FYI*</t>
  </si>
  <si>
    <t>PS122/3_38-4 Snowpit A $snow1-A5*$, snow1-A5*</t>
  </si>
  <si>
    <t>PS122/3_39-46 Snowpit A $snow1-A5*$, snow1-A5*</t>
  </si>
  <si>
    <t xml:space="preserve">snowpit $L2$: A pit </t>
  </si>
  <si>
    <t>PS122/3_38-51 Snowpit A $L2$, L2</t>
  </si>
  <si>
    <t>PS122/3_39-48 Snowpit A $L3$, L3</t>
  </si>
  <si>
    <t>PS122/3_39-92 Snowpit A $snow1-A3$, snow1-A3</t>
  </si>
  <si>
    <t>PS122/4_44-157 Snowpit A $RS5-A1$, RS5-A1</t>
  </si>
  <si>
    <t>PS122/4_44-215 Snowpit A $Met-City-Ridge$, Met-City-Ridge</t>
  </si>
  <si>
    <t>PS122/4_44-216 Snowpit A $Met-City-Ridge$, Met-City-Ridge</t>
  </si>
  <si>
    <t>PS122/4_46-32 Snowpit A $Met-City-Ridge$, Met-City-Ridge</t>
  </si>
  <si>
    <t>PS122/4_44-47 Snowpit A $Port$, Port</t>
  </si>
  <si>
    <t>82,08,173
7,42,012</t>
  </si>
  <si>
    <t>middle, $SNOW5_ROV$, A-pit at ROV snow site</t>
  </si>
  <si>
    <t>PS122/5_59-204 Snowpit, SNOW5_ROV</t>
  </si>
  <si>
    <t>top, $SNOW5_RS$, A-pit at RS site, with sampling</t>
  </si>
  <si>
    <t>PS122/5_59-313 Snowpit, SNOW5_RS</t>
  </si>
  <si>
    <t>top, $SNOW5_CORING$, A-pit at coring site</t>
  </si>
  <si>
    <t>PS122/5_60-2 Snowpit, SNOW5_CORING</t>
  </si>
  <si>
    <t>top, new snow, $SNOW5_ALBK$, A-pit at Albedo Kinder snow site</t>
  </si>
  <si>
    <t>PS122/5_60-91 Snowpit, SNOW5_ALBK</t>
  </si>
  <si>
    <t>surface/top, $SNOW5_ROV$, A-pit at ROV snow site</t>
  </si>
  <si>
    <t>PS122/5_61-25 Snowpit, SNOW5_ROV</t>
  </si>
  <si>
    <t>top, $SNOW5_MET$, A-pit at MET snow site</t>
  </si>
  <si>
    <t>PS122/5_62-124 Snowpit, SNOW5_MET</t>
  </si>
  <si>
    <t>PS122/5_62-44 Snowpit, SNOW5_RS</t>
  </si>
  <si>
    <t>top, $SNOW5_RS$, A-pit at RS snow site</t>
  </si>
  <si>
    <t>same</t>
  </si>
  <si>
    <t>201910-DN-L2-core6-0-10 "1/3"</t>
  </si>
  <si>
    <t>122-DN-L2-c6-10-20 "1/3"</t>
  </si>
  <si>
    <t>122-DN-L2-c6-20-30 "1/3"</t>
  </si>
  <si>
    <t>122-DN-L2-c6-30-40 "1/3"</t>
  </si>
  <si>
    <t>122-DN-L2-c6-40-50 "1/3"</t>
  </si>
  <si>
    <t>122-DN-L2-c6-50-60 "1/3"</t>
  </si>
  <si>
    <t>122-DN-L2-c6-60-70 "1/3"</t>
  </si>
  <si>
    <t>122-DN-L2-c6-70-80 "1/3"</t>
  </si>
  <si>
    <t>122-DN-L2-c6-80-87.5 "1/3"</t>
  </si>
  <si>
    <t>122-DN-L2-c6-87.5-97.5 "2/3"</t>
  </si>
  <si>
    <t>122-DN-L2-c6-97.5-107.5 "2/3"</t>
  </si>
  <si>
    <t>122-DN-L2-c6-107.5-116.5 "2/3"</t>
  </si>
  <si>
    <t>122-DN-L2-c6-116.5-126.5 "3/3"</t>
  </si>
  <si>
    <t>122-DN-L2-c6-126.5-136.5</t>
  </si>
  <si>
    <t>122-DN-L2-c6-136.5-146.5 "3/3"</t>
  </si>
  <si>
    <t>122-DN-L2-c6-146.5-156.5 "3/3"</t>
  </si>
  <si>
    <t>122-DN-L2-c6-156.5-163 "3/3"</t>
  </si>
  <si>
    <t>PS122/3_30-17 Snowpit A $snow2-A2$, snow2-A2</t>
  </si>
  <si>
    <t>PS122/3_30-25 Snowpit A $snow1-A1$, snow1-A1</t>
  </si>
  <si>
    <t>PS122/3_31-55 Snowpit A $snow1-A5$, snow1-A5</t>
  </si>
  <si>
    <t>PS122/3_32-88 Snowpit A $snow1-A5$</t>
  </si>
  <si>
    <t>PS122/3_32-92 Snowpit A $snow1-A3$</t>
  </si>
  <si>
    <t>PS122/3_35-56 Snowpit A $snow1-A3$</t>
  </si>
  <si>
    <t>PS122/3_33-66 Snowpit $snow2-A12$</t>
  </si>
  <si>
    <t>PS122/3_34-34 Snowpit A $snow2-A2$</t>
  </si>
  <si>
    <t>PS122/3_35-23 Snowpit A $DS-SYI$, ds-coring-SYI</t>
  </si>
  <si>
    <t>PS122/3_34-45 Snowpit A $snow1-A5$</t>
  </si>
  <si>
    <t>PS122/3_35-53 Snowpit A $RS4$</t>
  </si>
  <si>
    <t>PS122/3_36-14 Snowpit A $snow1-A5*$</t>
  </si>
  <si>
    <t>PS122/4_46-50 Snowpit $Chemical-perimeter-transect$</t>
  </si>
  <si>
    <t>PS122/4_47-23 Snowpit A $RS5-A2$</t>
  </si>
  <si>
    <t>PS122/4_48-146 Snowpit A $Met-City-Ridge$</t>
  </si>
  <si>
    <t>PS122/4_48-142 Snowpit $Jaridge$</t>
  </si>
  <si>
    <t>PS122/4_48-143 Snowpit $Jaridge$</t>
  </si>
  <si>
    <t>PS122/4_48-144 Snowpit $Jaridge$</t>
  </si>
  <si>
    <t>PS122/4_48-145 Snowpit $Jaridge$</t>
  </si>
  <si>
    <t>PS122/1_10-5 Snowpit A</t>
  </si>
  <si>
    <t>PS122/1_11-23 Snowpit B</t>
  </si>
  <si>
    <t>A-Pit: Snow1 ROV road</t>
  </si>
  <si>
    <t>B-Pit: Snow 1, Met City</t>
  </si>
  <si>
    <t>PS122/2_16-9 Snowpit A  $snow1-A1$, snow depth: 26,5</t>
  </si>
  <si>
    <t>Snow 1 Exercise profile with sampling and SMP</t>
  </si>
  <si>
    <t>PS122/3_38-16 SI_corer_9cm</t>
  </si>
  <si>
    <t>PS122/3_39-18 SI_corer_9cm</t>
  </si>
  <si>
    <t>M10934</t>
  </si>
  <si>
    <t>M10935</t>
  </si>
  <si>
    <t>M10936</t>
  </si>
  <si>
    <t>M10937</t>
  </si>
  <si>
    <t>M10938</t>
  </si>
  <si>
    <t>M10939</t>
  </si>
  <si>
    <t>M10940</t>
  </si>
  <si>
    <t>M10941</t>
  </si>
  <si>
    <t>M10942</t>
  </si>
  <si>
    <t>M10943</t>
  </si>
  <si>
    <t>M10944</t>
  </si>
  <si>
    <t>M10945</t>
  </si>
  <si>
    <t>M10946</t>
  </si>
  <si>
    <t>M10947</t>
  </si>
  <si>
    <t>M10948</t>
  </si>
  <si>
    <t>M10949</t>
  </si>
  <si>
    <t>M10950</t>
  </si>
  <si>
    <t>M10951</t>
  </si>
  <si>
    <t>M10952</t>
  </si>
  <si>
    <t>M10953</t>
  </si>
  <si>
    <t>M10954</t>
  </si>
  <si>
    <t>M10955</t>
  </si>
  <si>
    <t>M10956</t>
  </si>
  <si>
    <t>M10957</t>
  </si>
  <si>
    <t>M10958</t>
  </si>
  <si>
    <t>M10959</t>
  </si>
  <si>
    <t>M10960</t>
  </si>
  <si>
    <t>M10961</t>
  </si>
  <si>
    <t>M10962</t>
  </si>
  <si>
    <t>M10963</t>
  </si>
  <si>
    <t>M10964</t>
  </si>
  <si>
    <t>M10965</t>
  </si>
  <si>
    <t>M10966</t>
  </si>
  <si>
    <t>M10967</t>
  </si>
  <si>
    <t>M10968</t>
  </si>
  <si>
    <t>M10969</t>
  </si>
  <si>
    <t>M10970</t>
  </si>
  <si>
    <t>M10971</t>
  </si>
  <si>
    <t>M10972</t>
  </si>
  <si>
    <t>M10973</t>
  </si>
  <si>
    <t>M10974</t>
  </si>
  <si>
    <t>M10975</t>
  </si>
  <si>
    <t>M10976</t>
  </si>
  <si>
    <t>M10977</t>
  </si>
  <si>
    <t>M10978</t>
  </si>
  <si>
    <t>M10979</t>
  </si>
  <si>
    <t>M10980</t>
  </si>
  <si>
    <t>M10981</t>
  </si>
  <si>
    <t>M10982</t>
  </si>
  <si>
    <t>M10983</t>
  </si>
  <si>
    <t>M10984</t>
  </si>
  <si>
    <t>M10985</t>
  </si>
  <si>
    <t>M10986</t>
  </si>
  <si>
    <t>M10987</t>
  </si>
  <si>
    <t>M10988</t>
  </si>
  <si>
    <t>M10989</t>
  </si>
  <si>
    <t>M10990</t>
  </si>
  <si>
    <t>M10991</t>
  </si>
  <si>
    <t>M10992</t>
  </si>
  <si>
    <t>M10993</t>
  </si>
  <si>
    <t>M10994</t>
  </si>
  <si>
    <t>M10995</t>
  </si>
  <si>
    <t>M10996</t>
  </si>
  <si>
    <t>M10997</t>
  </si>
  <si>
    <t>M10998</t>
  </si>
  <si>
    <t>M10999</t>
  </si>
  <si>
    <t>M11000</t>
  </si>
  <si>
    <t>M11001</t>
  </si>
  <si>
    <t>M11002</t>
  </si>
  <si>
    <t>M11003</t>
  </si>
  <si>
    <t>M11004</t>
  </si>
  <si>
    <t>M11005</t>
  </si>
  <si>
    <t>M11006</t>
  </si>
  <si>
    <t>M11007</t>
  </si>
  <si>
    <t>M11008</t>
  </si>
  <si>
    <t>M11009</t>
  </si>
  <si>
    <t>M11010</t>
  </si>
  <si>
    <t>M11011</t>
  </si>
  <si>
    <t>M11012</t>
  </si>
  <si>
    <t>M11013</t>
  </si>
  <si>
    <t>M11014</t>
  </si>
  <si>
    <t>M11015</t>
  </si>
  <si>
    <t>M11016</t>
  </si>
  <si>
    <t>M11017</t>
  </si>
  <si>
    <t>M11018</t>
  </si>
  <si>
    <t>M11019</t>
  </si>
  <si>
    <t>M11020</t>
  </si>
  <si>
    <t>M11021</t>
  </si>
  <si>
    <t>M11022</t>
  </si>
  <si>
    <t>M11023</t>
  </si>
  <si>
    <t>M11024</t>
  </si>
  <si>
    <t>M11025</t>
  </si>
  <si>
    <t>M11026</t>
  </si>
  <si>
    <t>M11027</t>
  </si>
  <si>
    <t>M11028</t>
  </si>
  <si>
    <t>M11029</t>
  </si>
  <si>
    <t>M11030</t>
  </si>
  <si>
    <t>M11031</t>
  </si>
  <si>
    <t>M11032</t>
  </si>
  <si>
    <t>M11033</t>
  </si>
  <si>
    <t>M11034</t>
  </si>
  <si>
    <t>M11035</t>
  </si>
  <si>
    <t>M11036</t>
  </si>
  <si>
    <t>M11037</t>
  </si>
  <si>
    <t>M11038</t>
  </si>
  <si>
    <t>M11039</t>
  </si>
  <si>
    <t>M11040</t>
  </si>
  <si>
    <t>M11041</t>
  </si>
  <si>
    <t>M11042</t>
  </si>
  <si>
    <t>M11043</t>
  </si>
  <si>
    <t>M11044</t>
  </si>
  <si>
    <t>M11045</t>
  </si>
  <si>
    <t>M11046</t>
  </si>
  <si>
    <t>M11047</t>
  </si>
  <si>
    <t>M11048</t>
  </si>
  <si>
    <t>M11049</t>
  </si>
  <si>
    <t>M11050</t>
  </si>
  <si>
    <t>M11051</t>
  </si>
  <si>
    <t>M11052</t>
  </si>
  <si>
    <t>M11053</t>
  </si>
  <si>
    <t>M11054</t>
  </si>
  <si>
    <t>M11055</t>
  </si>
  <si>
    <t>M11056</t>
  </si>
  <si>
    <t>M11057</t>
  </si>
  <si>
    <t>M11058</t>
  </si>
  <si>
    <t>M11059</t>
  </si>
  <si>
    <t>M11060</t>
  </si>
  <si>
    <t>M11061</t>
  </si>
  <si>
    <t>M11062</t>
  </si>
  <si>
    <t>M11063</t>
  </si>
  <si>
    <t>M11064</t>
  </si>
  <si>
    <t>M11065</t>
  </si>
  <si>
    <t>M11066</t>
  </si>
  <si>
    <t>M11067</t>
  </si>
  <si>
    <t>M11068</t>
  </si>
  <si>
    <t>M11069</t>
  </si>
  <si>
    <t>M11070</t>
  </si>
  <si>
    <t>M11071</t>
  </si>
  <si>
    <t>M11072</t>
  </si>
  <si>
    <t>M11073</t>
  </si>
  <si>
    <t>M11074</t>
  </si>
  <si>
    <t>M11075</t>
  </si>
  <si>
    <t>M11076</t>
  </si>
  <si>
    <t>M11077</t>
  </si>
  <si>
    <t>M11078</t>
  </si>
  <si>
    <t>M11079</t>
  </si>
  <si>
    <t>M11080</t>
  </si>
  <si>
    <t>M11081</t>
  </si>
  <si>
    <t>M11082</t>
  </si>
  <si>
    <t>M11083</t>
  </si>
  <si>
    <t>M11084</t>
  </si>
  <si>
    <t>M11085</t>
  </si>
  <si>
    <t>M11086</t>
  </si>
  <si>
    <t>M11087</t>
  </si>
  <si>
    <t>M11088</t>
  </si>
  <si>
    <t>M11089</t>
  </si>
  <si>
    <t>M11090</t>
  </si>
  <si>
    <t>M11091</t>
  </si>
  <si>
    <t>M11092</t>
  </si>
  <si>
    <t>M11093</t>
  </si>
  <si>
    <t>M11094</t>
  </si>
  <si>
    <t>M11095</t>
  </si>
  <si>
    <t>M11096</t>
  </si>
  <si>
    <t>M11097</t>
  </si>
  <si>
    <t>M11098</t>
  </si>
  <si>
    <t>M11099</t>
  </si>
  <si>
    <t>M11100</t>
  </si>
  <si>
    <t>M11101</t>
  </si>
  <si>
    <t>M11102</t>
  </si>
  <si>
    <t>M11103</t>
  </si>
  <si>
    <t>M11104</t>
  </si>
  <si>
    <t>M11105</t>
  </si>
  <si>
    <t>M11106</t>
  </si>
  <si>
    <t>M11107</t>
  </si>
  <si>
    <t>M11108</t>
  </si>
  <si>
    <t>M11109</t>
  </si>
  <si>
    <t>M11110</t>
  </si>
  <si>
    <t>M11111</t>
  </si>
  <si>
    <t>M11112</t>
  </si>
  <si>
    <t>M11113</t>
  </si>
  <si>
    <t>M11114</t>
  </si>
  <si>
    <t>M11115</t>
  </si>
  <si>
    <t>M11116</t>
  </si>
  <si>
    <t>M11117</t>
  </si>
  <si>
    <t>M11118</t>
  </si>
  <si>
    <t>M11119</t>
  </si>
  <si>
    <t>M11120</t>
  </si>
  <si>
    <t>M11121</t>
  </si>
  <si>
    <t>M11122</t>
  </si>
  <si>
    <t>M11123</t>
  </si>
  <si>
    <t>M11124</t>
  </si>
  <si>
    <t>M11125</t>
  </si>
  <si>
    <t>M11126</t>
  </si>
  <si>
    <t>M11127</t>
  </si>
  <si>
    <t>M11128</t>
  </si>
  <si>
    <t>M11129</t>
  </si>
  <si>
    <t>M11130</t>
  </si>
  <si>
    <t>M11131</t>
  </si>
  <si>
    <t>M11132</t>
  </si>
  <si>
    <t>M11133</t>
  </si>
  <si>
    <t>M11134</t>
  </si>
  <si>
    <t>M11135</t>
  </si>
  <si>
    <t>M11136</t>
  </si>
  <si>
    <t>M11137</t>
  </si>
  <si>
    <t>M11138</t>
  </si>
  <si>
    <t>M11139</t>
  </si>
  <si>
    <t>M11140</t>
  </si>
  <si>
    <t>M11141</t>
  </si>
  <si>
    <t>M11142</t>
  </si>
  <si>
    <t>M11143</t>
  </si>
  <si>
    <t>M11144</t>
  </si>
  <si>
    <t>M11145</t>
  </si>
  <si>
    <t>M11146</t>
  </si>
  <si>
    <t>M11147</t>
  </si>
  <si>
    <t>M11148</t>
  </si>
  <si>
    <t>M11149</t>
  </si>
  <si>
    <t>M11150</t>
  </si>
  <si>
    <t>M11151</t>
  </si>
  <si>
    <t>M11152</t>
  </si>
  <si>
    <t>M11153</t>
  </si>
  <si>
    <t>M11154</t>
  </si>
  <si>
    <t>M11155</t>
  </si>
  <si>
    <t>M11156</t>
  </si>
  <si>
    <t>M11157</t>
  </si>
  <si>
    <t>M11158</t>
  </si>
  <si>
    <t>M11159</t>
  </si>
  <si>
    <t>M11160</t>
  </si>
  <si>
    <t>M11161</t>
  </si>
  <si>
    <t>M11162</t>
  </si>
  <si>
    <t>M11163</t>
  </si>
  <si>
    <t>M11164</t>
  </si>
  <si>
    <t>M11165</t>
  </si>
  <si>
    <t>M11166</t>
  </si>
  <si>
    <t>M11167</t>
  </si>
  <si>
    <t>M11168</t>
  </si>
  <si>
    <t>M11169</t>
  </si>
  <si>
    <t>M11170</t>
  </si>
  <si>
    <t>M11171</t>
  </si>
  <si>
    <t>M11172</t>
  </si>
  <si>
    <t>M11173</t>
  </si>
  <si>
    <t>M11174</t>
  </si>
  <si>
    <t>M11175</t>
  </si>
  <si>
    <t>M11176</t>
  </si>
  <si>
    <t>M11177</t>
  </si>
  <si>
    <t>M11178</t>
  </si>
  <si>
    <t>M11179</t>
  </si>
  <si>
    <t>M11180</t>
  </si>
  <si>
    <t>M11181</t>
  </si>
  <si>
    <t>M11182</t>
  </si>
  <si>
    <t>M11183</t>
  </si>
  <si>
    <t>M11184</t>
  </si>
  <si>
    <t>M11185</t>
  </si>
  <si>
    <t>M11186</t>
  </si>
  <si>
    <t>M11187</t>
  </si>
  <si>
    <t>M11188</t>
  </si>
  <si>
    <t>M11189</t>
  </si>
  <si>
    <t>M11190</t>
  </si>
  <si>
    <t>M11191</t>
  </si>
  <si>
    <t>M11192</t>
  </si>
  <si>
    <t>M11193</t>
  </si>
  <si>
    <t>M11194</t>
  </si>
  <si>
    <t>M11195</t>
  </si>
  <si>
    <t>M11196</t>
  </si>
  <si>
    <t>M11197</t>
  </si>
  <si>
    <t>M11198</t>
  </si>
  <si>
    <t>M11199</t>
  </si>
  <si>
    <t>M11200</t>
  </si>
  <si>
    <t>M11201</t>
  </si>
  <si>
    <t>M11202</t>
  </si>
  <si>
    <t>M11203</t>
  </si>
  <si>
    <t>M11204</t>
  </si>
  <si>
    <t>M11205</t>
  </si>
  <si>
    <t>M11206</t>
  </si>
  <si>
    <t>M11207</t>
  </si>
  <si>
    <t>M11208</t>
  </si>
  <si>
    <t>M11209</t>
  </si>
  <si>
    <t>M11210</t>
  </si>
  <si>
    <t>M11211</t>
  </si>
  <si>
    <t>M11212</t>
  </si>
  <si>
    <t>M11213</t>
  </si>
  <si>
    <t>M11214</t>
  </si>
  <si>
    <t>M11215</t>
  </si>
  <si>
    <t>M11216</t>
  </si>
  <si>
    <t>M11217</t>
  </si>
  <si>
    <t>M11218</t>
  </si>
  <si>
    <t>M11219</t>
  </si>
  <si>
    <t>M11220</t>
  </si>
  <si>
    <t>M11221</t>
  </si>
  <si>
    <t>M11222</t>
  </si>
  <si>
    <t>M11223</t>
  </si>
  <si>
    <t>M11224</t>
  </si>
  <si>
    <t>M11225</t>
  </si>
  <si>
    <t>M11226</t>
  </si>
  <si>
    <t>M11227</t>
  </si>
  <si>
    <t>M11228</t>
  </si>
  <si>
    <t>M11229</t>
  </si>
  <si>
    <t>M11230</t>
  </si>
  <si>
    <t>M11231</t>
  </si>
  <si>
    <t>M11232</t>
  </si>
  <si>
    <t>M11233</t>
  </si>
  <si>
    <t>M11234</t>
  </si>
  <si>
    <t>M11235</t>
  </si>
  <si>
    <t>M1_16.11.2019_PS122/1_7-95</t>
  </si>
  <si>
    <t>M2_17.11.2019_PS122/1_7-111</t>
  </si>
  <si>
    <t>M3_18.11.2019_PS122/1_8-4</t>
  </si>
  <si>
    <t>M4_19.11.2019_PS122/1_8-15</t>
  </si>
  <si>
    <t>M5_20.11.2019_PS122/1_8-26</t>
  </si>
  <si>
    <t>M6_21.11.2019_PS122/1_8-61</t>
  </si>
  <si>
    <t>M7_22.11.2019_PS122/1_8-84</t>
  </si>
  <si>
    <t>M8_23.11.2019_PS122/1_8-100</t>
  </si>
  <si>
    <t>M9_24.11.2019_PS122/1_8-119</t>
  </si>
  <si>
    <t>M10_25.11.2019_PS122/1_9-15</t>
  </si>
  <si>
    <t>M11_26.11.2019_PS122/1_9-29</t>
  </si>
  <si>
    <t>M12_27.11.2019_PS122/1_9-45</t>
  </si>
  <si>
    <t>M13_28.11.2019_PS122/1_9-56</t>
  </si>
  <si>
    <t>M14_29.11.2019_PS122/1_9-92</t>
  </si>
  <si>
    <t>M15_01.12.2019_PS122/1_9-103</t>
  </si>
  <si>
    <t>M16_02.12.2019_PS122/1_10-2</t>
  </si>
  <si>
    <t>M17_03.12.2019_PS122/1_10-25</t>
  </si>
  <si>
    <t>M18_04.12.2019_PS122/1_10-32</t>
  </si>
  <si>
    <t>M19_05.12.2019_PS122/1_10-52</t>
  </si>
  <si>
    <t>M20_06.12.2019_PS122/1_10-77</t>
  </si>
  <si>
    <t>M21_07.12.2019_PS122/1_10-93</t>
  </si>
  <si>
    <t>M22_08.12.2019_PS122/1_10-111</t>
  </si>
  <si>
    <t>M23_09.12.2019_PS122/1_11-4</t>
  </si>
  <si>
    <t>M24_10.12.2019_PS122/1_11-15</t>
  </si>
  <si>
    <t>M25_11.12.2019_PS122/1_11-28</t>
  </si>
  <si>
    <t>M26_12.12.2019_PS122/1_11-42</t>
  </si>
  <si>
    <t>M27_13.12.2019_PS122/2_15-6</t>
  </si>
  <si>
    <t>M28_14.12.2019_PS122/2_15-8</t>
  </si>
  <si>
    <t>M29_16.12.2019_PS122/2_16-8</t>
  </si>
  <si>
    <t>M30_17.12.2019_PS122/2_16-14</t>
  </si>
  <si>
    <t>M31_19.12.2019_PS122/2_16-29</t>
  </si>
  <si>
    <t>M32_20.12.2019_PS122/2_16-37</t>
  </si>
  <si>
    <t>M33_21.12.2019_PS122/2_16-53</t>
  </si>
  <si>
    <t>M34_22.12.2019_PS122/2_16-61</t>
  </si>
  <si>
    <t>M35_23.12.2019_PS122/2_17-2</t>
  </si>
  <si>
    <t>M36_24.12.2019_PS122/2_17-17</t>
  </si>
  <si>
    <t>M37_25.12.2019_PS122/2_17-25</t>
  </si>
  <si>
    <t>M38_26.12.2019_PS122/2_17-42</t>
  </si>
  <si>
    <t>M39_27.12.2019_PS122/2_17-67</t>
  </si>
  <si>
    <t>M40_28.12.2019_PS122/2_17-75</t>
  </si>
  <si>
    <t>M41_29.12.2019_PS122/2_17-97</t>
  </si>
  <si>
    <t>M42_30.12.2019_PS122/2_18-2</t>
  </si>
  <si>
    <t>M43_31.12.2019_PS122/2_18-15</t>
  </si>
  <si>
    <t>M44_01.01.2020_PS122/2_18-23</t>
  </si>
  <si>
    <t>M45_02.01.2020_PS122/2_18-39</t>
  </si>
  <si>
    <t>M46_03.01.2020_PS122/2_18-58</t>
  </si>
  <si>
    <t>M47_04.01.2020_PS122/2_18-75</t>
  </si>
  <si>
    <t>M48_05.01.2020_PS122/2_18-90</t>
  </si>
  <si>
    <t>M49_06.01.2020_PS122/2_19-2</t>
  </si>
  <si>
    <t>M50_07.01.2020_PS122/2_19-17</t>
  </si>
  <si>
    <t>M51_08.01.2020_PS122/2_19-33</t>
  </si>
  <si>
    <t>M52_09.01.2020_PS122/2_19-58</t>
  </si>
  <si>
    <t>M53_10.01.2020_PS122/2_19-80</t>
  </si>
  <si>
    <t>M54_11.01.2020_PS122/2_19-90</t>
  </si>
  <si>
    <t>M55_12.01.2020_PS122/2_19-114</t>
  </si>
  <si>
    <t>M56_13.01.2020_PS122/2_20-1</t>
  </si>
  <si>
    <t>M57_14.01.2020_PS122/2_20-13</t>
  </si>
  <si>
    <t>M58_15.01.2020_PS122/2_20-21</t>
  </si>
  <si>
    <t>M59_16.01.2020_PS122/2_20-50</t>
  </si>
  <si>
    <t>M60_17.01.2020_PS122/2_20-75</t>
  </si>
  <si>
    <t>M61_18.01.2020_PS122/2_20-99</t>
  </si>
  <si>
    <t>M62_19.01.2020_PS122/2_20-111</t>
  </si>
  <si>
    <t>M63_20.01.2020_PS122/2_21-11</t>
  </si>
  <si>
    <t>M64_21.01.2020_PS122/2_21-33</t>
  </si>
  <si>
    <t>M65_22.01.2020_PS122/2_21-50</t>
  </si>
  <si>
    <t>M66_23.01.2020_PS122/2_21-69</t>
  </si>
  <si>
    <t>M67_24.01.2020_PS122/2_21-85</t>
  </si>
  <si>
    <t>M68_25.01.2020_PS122/2_21-112</t>
  </si>
  <si>
    <t>M69_26.01.2020_PS122/2_21-123</t>
  </si>
  <si>
    <t>M70_27.01.2020_PS122/2_22-2</t>
  </si>
  <si>
    <t>M71_28.01.2020_PS122/2_22-14</t>
  </si>
  <si>
    <t>M72_29.01.2020_PS122/2_22-31</t>
  </si>
  <si>
    <t>M73_30.01.2020_PS122/2_22-48</t>
  </si>
  <si>
    <t>M74_31.01.2020_PS122/2_22-64</t>
  </si>
  <si>
    <t>M75_01.02.2020_PS122/2_22-84</t>
  </si>
  <si>
    <t>M76_02.02.2020_PS122/2_22-95</t>
  </si>
  <si>
    <t>M77_03.02.2020_PS122/2_23-1</t>
  </si>
  <si>
    <t>M78_04.02.2020_PS122/2_23-11</t>
  </si>
  <si>
    <t>M79_05.02.2020_PS122/2_23-33</t>
  </si>
  <si>
    <t>M80_06.02.2020_PS122/2_23-49</t>
  </si>
  <si>
    <t>M81_07.02.2020_PS122/2_23-66</t>
  </si>
  <si>
    <t>M82_08.02.2020_PS122/2_23-86</t>
  </si>
  <si>
    <t>M83_10.02.2020_PS122/2_24-5</t>
  </si>
  <si>
    <t>M84_11.02.2020_PS122/2_24-20</t>
  </si>
  <si>
    <t>M85_12.02.2020_PS122/2_24-30</t>
  </si>
  <si>
    <t>M86_13.02.2020_PS122/2_24-41</t>
  </si>
  <si>
    <t>M87_14.02.2020_PS122/2_24-48</t>
  </si>
  <si>
    <t>M88_15.02.2020_PS122/2_24-71</t>
  </si>
  <si>
    <t>M89_16.02.2020_PS122/2_24-82</t>
  </si>
  <si>
    <t>M90_17.02.2020_PS122/2_25-5</t>
  </si>
  <si>
    <t>M91_18.02.2020_PS122/2_25-29</t>
  </si>
  <si>
    <t>M92_19.02.2020_PS122/2_25-43</t>
  </si>
  <si>
    <t>M93_20.02.2020_PS122/2_25-56</t>
  </si>
  <si>
    <t>M94_21.02.2020_PS122/2_25-75</t>
  </si>
  <si>
    <t>M95_22.02.2020_PS122/2_25-88</t>
  </si>
  <si>
    <t>M96_23.02.2020_PS122/2_25-101</t>
  </si>
  <si>
    <t>M97_24.02.2020_PS122/3_29-7</t>
  </si>
  <si>
    <t>M98_25.02.2020_PS122/3_29-6</t>
  </si>
  <si>
    <t>M99_26.02.2020_PS122/3_29-21</t>
  </si>
  <si>
    <t>M100_27.02.2020_PS122/3_29-36</t>
  </si>
  <si>
    <t>M101_28.02.2020_PS122/3_29-51</t>
  </si>
  <si>
    <t>M102_29.02.2020_PS122/3_29-60</t>
  </si>
  <si>
    <t>M103_01.03.2020_PS122/3_29-81</t>
  </si>
  <si>
    <t>M104_02.03.2020_PS122/3_30-0</t>
  </si>
  <si>
    <t>M105_03.03.2020_PS122/3_30-18</t>
  </si>
  <si>
    <t>M106_04.03.2020_PS122/3_30-23</t>
  </si>
  <si>
    <t>M107_05.03.2020_PS122/3_30-35</t>
  </si>
  <si>
    <t>M108_06.03.2020_PS122/3_30-52</t>
  </si>
  <si>
    <t>M109_07.03.2020_PS122/3_30-66</t>
  </si>
  <si>
    <t>M110_08.03.2020_PS122/3_30-83</t>
  </si>
  <si>
    <t>M111_09.03.2020_PS122/3_31-13</t>
  </si>
  <si>
    <t>M112_10.03.2020_PS122/3_31-16</t>
  </si>
  <si>
    <t>M113_11.03.2020_PS122/3_31-28</t>
  </si>
  <si>
    <t>M114_12.03.2020_PS122/3_31-46</t>
  </si>
  <si>
    <t>M115_13.03.2020_PS122/3_31-54</t>
  </si>
  <si>
    <t>M116_14.03.2020_PS122/3_31-60</t>
  </si>
  <si>
    <t>M117_15.03.2020_PS122/3_31-78</t>
  </si>
  <si>
    <t>M118_16.03.2020_PS122/3_32-1</t>
  </si>
  <si>
    <t>M119_18.03.2020_PS122/3_32-21</t>
  </si>
  <si>
    <t>M120_19.03.2020_PS122/3_32-37</t>
  </si>
  <si>
    <t>M121_20.03.2020_PS122/3_32-48</t>
  </si>
  <si>
    <t>M122_21.03.2020_PS122/3_32-60</t>
  </si>
  <si>
    <t>M123_22.03.2020_PS122/3_32-72</t>
  </si>
  <si>
    <t>M124_23.03.2020_PS122/3_33-8</t>
  </si>
  <si>
    <t>M125_24.03.2020_PS122/3_33-15</t>
  </si>
  <si>
    <t>M126_25.03.2020_PS122/3_33-35</t>
  </si>
  <si>
    <t>M127_26.03.2020_PS122/3_33-50</t>
  </si>
  <si>
    <t>M128_27.03.2020_PS122/3_33-64</t>
  </si>
  <si>
    <t>M129_28.03.2020_PS122/3_33-79</t>
  </si>
  <si>
    <t>M130_29.03.2020_PS122/3_33-93</t>
  </si>
  <si>
    <t>M131_30.03.2020_PS122/3_34-1</t>
  </si>
  <si>
    <t>M132_31.03.2020_PS122/3_34-12</t>
  </si>
  <si>
    <t>M133_01.04.2020_PS122/3_34-26</t>
  </si>
  <si>
    <t>M134_02.04.2020_PS122/3_34-35</t>
  </si>
  <si>
    <t>M135_03.04.2020_PS122/3_34-47</t>
  </si>
  <si>
    <t>M136_04.04.2020_PS122/3_34-61</t>
  </si>
  <si>
    <t>M137_05.04.2020_PS122/3_34-74</t>
  </si>
  <si>
    <t>M138_06.04.2020_PS122/3_35-3</t>
  </si>
  <si>
    <t>M139_07.04.2020_PS122/3_35-17</t>
  </si>
  <si>
    <t>M140_08.04.2020_PS122/3_35-35</t>
  </si>
  <si>
    <t>M141_09.04.2020_PS122/3_35-52</t>
  </si>
  <si>
    <t>M142_10.04.2020_PS122/3_35-75</t>
  </si>
  <si>
    <t>M143_11.04.2020_PS122/3_35-89</t>
  </si>
  <si>
    <t>M144_12.04.2020_PS122/3_35-103</t>
  </si>
  <si>
    <t>M145_13.04.2020_PS122/3_36-1</t>
  </si>
  <si>
    <t>M146_14.04.2020_PS122/3_36-13</t>
  </si>
  <si>
    <t>M147_15.04.2020_PS122/3_36-34</t>
  </si>
  <si>
    <t>M148_16.04.2020_PS122/3_36-55</t>
  </si>
  <si>
    <t>M149_17.04.2020_PS122/3_36-72</t>
  </si>
  <si>
    <t>M150_18.04.2020_PS122/3_36-110</t>
  </si>
  <si>
    <t>M151_19.04.2020_PS122/3_36-135</t>
  </si>
  <si>
    <t>M152_20.04.2020_PS122/3_37-2</t>
  </si>
  <si>
    <t>M153_21.04.2020_PS122/3_37-12</t>
  </si>
  <si>
    <t>M154_22.04.2020_PS122/3_37-23</t>
  </si>
  <si>
    <t>M155_23.04.2020_PS122/3_37-42</t>
  </si>
  <si>
    <t>M156_24.04.2020_PS122/3_37-67</t>
  </si>
  <si>
    <t>M157_25.04.2020_PS122/3_37-90</t>
  </si>
  <si>
    <t>M158_26.04.2020_PS122/3_37-112</t>
  </si>
  <si>
    <t>M159_27.04.2020_PS122/3_38-22</t>
  </si>
  <si>
    <t>M160_28.04.2020_PS122/3_38-26</t>
  </si>
  <si>
    <t>M161_29.04.2020_PS122/3_38-37</t>
  </si>
  <si>
    <t>M162_30.04.2020_PS122/3_38-48</t>
  </si>
  <si>
    <t>M163_01.05.2020_PS122/3_38-67</t>
  </si>
  <si>
    <t>M164_02.05.2020_PS122/3_38-88</t>
  </si>
  <si>
    <t>M165_03.05.2020_PS122/3_38-113</t>
  </si>
  <si>
    <t>M166_04.05.2020_PS122/3_39-1</t>
  </si>
  <si>
    <t>M167_05.05.2020_PS122/3_39-14</t>
  </si>
  <si>
    <t>M168_06.05.2020_PS122/3_39-29</t>
  </si>
  <si>
    <t>M169_07.05.2020_PS122/3_39-49</t>
  </si>
  <si>
    <t>M170_08.05.2020_PS122/3_39-68</t>
  </si>
  <si>
    <t>M171_09.05.2020_PS122/3_39-76</t>
  </si>
  <si>
    <t>M172_10.05.2020_PS122/3_39-85</t>
  </si>
  <si>
    <t>M173_11.05.2020_PS122/3_40-1</t>
  </si>
  <si>
    <t>M174_12.05.2020_PS122/3_40-7</t>
  </si>
  <si>
    <t>M175_13.05.2020_PS122/3_40-13</t>
  </si>
  <si>
    <t>M176_14.05.2020_PS122/3_40-22</t>
  </si>
  <si>
    <t>M177_15.05.2020_PS122/3_40-30</t>
  </si>
  <si>
    <t>M178_16.05.2020_PS122/3_40-35</t>
  </si>
  <si>
    <t>M179_17.05.2020_PS122/3_40-45</t>
  </si>
  <si>
    <t>M180_18.05.2020_PS122/3_41-4</t>
  </si>
  <si>
    <t>M181_19.05.2020_PS122/3_41-13</t>
  </si>
  <si>
    <t>M182_20.05.2020_PS122/3_41-20</t>
  </si>
  <si>
    <t>M183_21.05.2020_PS122/3_41-27</t>
  </si>
  <si>
    <t>M184_22.05.2020_PS122/3_41-38</t>
  </si>
  <si>
    <t>M185_23.05.2020_PS122/3_41-42</t>
  </si>
  <si>
    <t>M186_24.05.2020_PS122/3_41-48</t>
  </si>
  <si>
    <t>M187_25.05.2020_PS122/3_42-1</t>
  </si>
  <si>
    <t>M188_26.05.2020_PS122/3_42-6</t>
  </si>
  <si>
    <t>M189_27.05.2020_PS122/3_42-12</t>
  </si>
  <si>
    <t>M190_28.05.2020_PS122/3_42-21</t>
  </si>
  <si>
    <t>M191_29.05.2020_PS122/3_42-27</t>
  </si>
  <si>
    <t>M192_30.05.2020_PS122/3_42-33</t>
  </si>
  <si>
    <t>M193_31.05.2020_PS122/3_42-43</t>
  </si>
  <si>
    <t>M194_01.06.2020_PS122/3_42-52</t>
  </si>
  <si>
    <t>M195_02.06.2020_PS122/3_42-58</t>
  </si>
  <si>
    <t>M196_03.06.2020_PS122/3_42-67</t>
  </si>
  <si>
    <t>M197_11.06.2020_PS122/4_44-19</t>
  </si>
  <si>
    <t>M198_12.06.2020_PS122/4_44-28</t>
  </si>
  <si>
    <t>M199_13.06.2020_PS122/4_44-34</t>
  </si>
  <si>
    <t>M200_14.06.2020_PS122/4_44-54</t>
  </si>
  <si>
    <t>M201_15.06.2020_PS122/4_44-64</t>
  </si>
  <si>
    <t>M202_16.06.2020_PS122/4_44-80</t>
  </si>
  <si>
    <t>M203_17.06.2020_PS122/4_44-85</t>
  </si>
  <si>
    <t>M204_20.06.2020_PS122/4_44-96</t>
  </si>
  <si>
    <t>M205_21.06.2020_PS122/4_44-123</t>
  </si>
  <si>
    <t>M206_22.06.2020_PS122/4_44-131</t>
  </si>
  <si>
    <t>M207_23.06.2020_PS122/4_44-146</t>
  </si>
  <si>
    <t>M208_24.06.2020_PS122/4_44-160</t>
  </si>
  <si>
    <t>M209_26.06.2020_PS122/4_44-175</t>
  </si>
  <si>
    <t>M210_28.06.2020_PS122/4_44-194</t>
  </si>
  <si>
    <t>M211_29.06.2020_PS122/4_45-6</t>
  </si>
  <si>
    <t>M212_30.06.2020_PS122/4_45-14</t>
  </si>
  <si>
    <t>M213_02.07.2020_PS122/4_45-65</t>
  </si>
  <si>
    <t>M214_03.07.2020_PS122/4_45-90</t>
  </si>
  <si>
    <t>M215_04.07.2020_PS122/4_45-111</t>
  </si>
  <si>
    <t>M216_05.07.2020_PS122/4_45-133</t>
  </si>
  <si>
    <t>M217_06.07.2020_PS122/4_46-5</t>
  </si>
  <si>
    <t>M218_07.07.2020_PS122/4_46-22</t>
  </si>
  <si>
    <t>M219_08.07.2020_PS122/4_46-51</t>
  </si>
  <si>
    <t>M220_09.07.2020_PS122/4_46-67</t>
  </si>
  <si>
    <t>M221_11.07.2020_PS122/4_46-96</t>
  </si>
  <si>
    <t>M222_12.07.2020_PS122/4_46-124</t>
  </si>
  <si>
    <t>M223_13.07.2020_PS122/4_47-5</t>
  </si>
  <si>
    <t>M224_14.07.2020_PS122/4_47-24</t>
  </si>
  <si>
    <t>M225_15.07.2020_PS122/4_47-37</t>
  </si>
  <si>
    <t>M226_16.07.2020_PS122/4_47-70</t>
  </si>
  <si>
    <t>M227_17.07.2020_PS122/4_47-88</t>
  </si>
  <si>
    <t>M228_18.07.2020_PS122/4_47-105</t>
  </si>
  <si>
    <t>M229_19.07.2020_PS122/4_47-118</t>
  </si>
  <si>
    <t>M230_21.07.2020_PS122/4_48-18</t>
  </si>
  <si>
    <t>M231_22.07.2020_PS122/4_48-48</t>
  </si>
  <si>
    <t>M232_23.07.2020_PS122/4_48-68</t>
  </si>
  <si>
    <t>M233_24.07.2020_PS122/4_48-119</t>
  </si>
  <si>
    <t>M234_25.07.2020_PS122/4_48-149</t>
  </si>
  <si>
    <t>M235_26.07.2020_PS122/4_48-156</t>
  </si>
  <si>
    <t>M236_27.07.2020_PS122/4_49-24</t>
  </si>
  <si>
    <t>M237_28.07.2020_PS122/4_49-23</t>
  </si>
  <si>
    <t>M238_29.07.2020_PS122/4_49-28</t>
  </si>
  <si>
    <t>M239_30.07.2020_PS122/4_49-58</t>
  </si>
  <si>
    <t>M240_31.07.2020_PS122/4_49-67</t>
  </si>
  <si>
    <t>M241_01.08.2020_PS122/4_49-82</t>
  </si>
  <si>
    <t>M242_02.08.2020_PS122/4_49-96</t>
  </si>
  <si>
    <t>M243_03.08.2020_PS122/4_50-3</t>
  </si>
  <si>
    <t>M244_04.08.2020_PS122/4_50-12</t>
  </si>
  <si>
    <t>M245_05.08.2020_PS122/4_50-22</t>
  </si>
  <si>
    <t>M246_06.08.2020_PS122/4_50-34</t>
  </si>
  <si>
    <t>M247_07.08.2020_PS122/4_50-44</t>
  </si>
  <si>
    <t>M248_08.08.2020_PS122/4_50-53</t>
  </si>
  <si>
    <t>M249_09.08.2020_PS122/4_50-59</t>
  </si>
  <si>
    <t>M250_10.08.2020_PS122/4_50-62</t>
  </si>
  <si>
    <t>M251_11.08.2020_PS122/4_50-71</t>
  </si>
  <si>
    <t>M252_12.08.2020_PS122/5_59-4</t>
  </si>
  <si>
    <t>M253_13.08.2020_PS122/5_59-11</t>
  </si>
  <si>
    <t>M254_14.08.2020_PS122/5_59-26</t>
  </si>
  <si>
    <t>M255_15.08.2020_PS122/5_59-36</t>
  </si>
  <si>
    <t>M256_16.08.2020_PS122/5_59-59</t>
  </si>
  <si>
    <t>M257_17.08.2020_PS122/5_59-65</t>
  </si>
  <si>
    <t>M258_18.08.2020_PS122/5_59-133</t>
  </si>
  <si>
    <t>M259_19.08.2020_PS122/5_59-</t>
  </si>
  <si>
    <t>M260_20.08.2020_PS122/5_59-167</t>
  </si>
  <si>
    <t>M261_21.08.2020_PS122/5_59-179</t>
  </si>
  <si>
    <t>M262_22.08.2020_PS122/5_59-199</t>
  </si>
  <si>
    <t>M263_23.08.2020_PS122/5_59-220</t>
  </si>
  <si>
    <t>M264_24.08.2020_PS122/5_59-247</t>
  </si>
  <si>
    <t>M265_25.08.2020_PS122/5_59-266</t>
  </si>
  <si>
    <t>M266_26.08.2020_PS122/5_59-287</t>
  </si>
  <si>
    <t>M267_27.08.2020_PS122/5_59-323</t>
  </si>
  <si>
    <t>M268_28.08.2020_PS122/5_59-341</t>
  </si>
  <si>
    <t>M269_29.08.2020_PS122/5_59-361</t>
  </si>
  <si>
    <t>M270_30.08.2020_PS122/5_59-379</t>
  </si>
  <si>
    <t>M271_31.08.2020_PS122/5_60-1</t>
  </si>
  <si>
    <t>M272_01.09.2020_PS122/5_60-35</t>
  </si>
  <si>
    <t>M273_02.09.2020_PS122/5_60-50</t>
  </si>
  <si>
    <t>M274_03.09.2020_PS122/5_60-75</t>
  </si>
  <si>
    <t>M275_04.09.2020_PS122/5_60-116</t>
  </si>
  <si>
    <t>M276_05.09.2020_PS122/5_60-140</t>
  </si>
  <si>
    <t>M277_06.09.2020_PS122/5_60-169</t>
  </si>
  <si>
    <t>M278_07.09.2020_PS122/5_61-3</t>
  </si>
  <si>
    <t>M279_08.09.2020_PS122/5_61-34</t>
  </si>
  <si>
    <t>M280_09.09.2020_PS122/5_61-106</t>
  </si>
  <si>
    <t>M281_10.09.2020_PS122/5_61-141</t>
  </si>
  <si>
    <t>M282_11.09.2020_PS122/5_61-184</t>
  </si>
  <si>
    <t>M283_12.09.2020_PS122/5_61-208</t>
  </si>
  <si>
    <t>M284_13.09.2020_PS122/5_61-244</t>
  </si>
  <si>
    <t>M285_14.09.2020_PS122/5_62-8</t>
  </si>
  <si>
    <t>M286_15.09.2020_PS122/5_62-63</t>
  </si>
  <si>
    <t>M287_16.09.2020_PS122/5_62-86</t>
  </si>
  <si>
    <t>M288_17.09.2020_PS122/5_62-111</t>
  </si>
  <si>
    <t>M289_18.09.2020_PS122/5_62-133</t>
  </si>
  <si>
    <t>M290_19.09.2020_PS122/5_62-150</t>
  </si>
  <si>
    <t>M291_20.09.2020_PS122/5_62-171</t>
  </si>
  <si>
    <t>M292_21.09.2020_PS122/5_63-6</t>
  </si>
  <si>
    <t>M293_22.09.2020_PS122/5_63-7</t>
  </si>
  <si>
    <t>M294_23.09.2020_PS122/5_63-27</t>
  </si>
  <si>
    <t>M295_24.09.2020_PS122/5_63-52</t>
  </si>
  <si>
    <t>M296_25.09.2020_PS122/5_63-66</t>
  </si>
  <si>
    <t>M297_26.09.2020_PS122/5_63-78</t>
  </si>
  <si>
    <t>M298_27.09.2020_PS122/5_63-93</t>
  </si>
  <si>
    <t>M299_28.09.2020_PS122/5_63-115</t>
  </si>
  <si>
    <t>M300_29.09.2020_PS122/5_63-123</t>
  </si>
  <si>
    <t>M301_30.09.2020_PS122/5_63-134</t>
  </si>
  <si>
    <t>M302_01.10.2020_PS122/5_63-144</t>
  </si>
  <si>
    <t>PS122/1_7-95</t>
  </si>
  <si>
    <t>PS122/1_7-111</t>
  </si>
  <si>
    <t>PS122/1_8-4</t>
  </si>
  <si>
    <t>PS122/1_8-15</t>
  </si>
  <si>
    <t>PS122/1_8-26</t>
  </si>
  <si>
    <t>PS122/1_8-61</t>
  </si>
  <si>
    <t>PS122/1_8-84</t>
  </si>
  <si>
    <t>PS122/1_8-100</t>
  </si>
  <si>
    <t>PS122/1_8-119</t>
  </si>
  <si>
    <t>PS122/1_9-15</t>
  </si>
  <si>
    <t>PS122/1_9-29</t>
  </si>
  <si>
    <t>PS122/1_9-45</t>
  </si>
  <si>
    <t>PS122/1_9-56</t>
  </si>
  <si>
    <t>PS122/1_9-92</t>
  </si>
  <si>
    <t>PS122/1_9-103</t>
  </si>
  <si>
    <t>PS122/1_10-2</t>
  </si>
  <si>
    <t>PS122/1_10-25</t>
  </si>
  <si>
    <t>PS122/1_10-32</t>
  </si>
  <si>
    <t>PS122/1_10-52</t>
  </si>
  <si>
    <t>PS122/1_10-77</t>
  </si>
  <si>
    <t>PS122/1_10-93</t>
  </si>
  <si>
    <t>PS122/1_10-111</t>
  </si>
  <si>
    <t>PS122/1_11-4</t>
  </si>
  <si>
    <t>PS122/1_11-15</t>
  </si>
  <si>
    <t>PS122/1_11-28</t>
  </si>
  <si>
    <t>PS122/1_11-42</t>
  </si>
  <si>
    <t>PS122/2_15-6</t>
  </si>
  <si>
    <t>PS122/2_15-8</t>
  </si>
  <si>
    <t>PS122/2_16-8</t>
  </si>
  <si>
    <t>PS122/2_16-14</t>
  </si>
  <si>
    <t>PS122/2_16-29</t>
  </si>
  <si>
    <t>PS122/2_16-37</t>
  </si>
  <si>
    <t>PS122/2_16-53</t>
  </si>
  <si>
    <t>PS122/2_16-61</t>
  </si>
  <si>
    <t>PS122/2_17-2</t>
  </si>
  <si>
    <t>PS122/2_17-17</t>
  </si>
  <si>
    <t>PS122/2_17-25</t>
  </si>
  <si>
    <t>PS122/2_17-42</t>
  </si>
  <si>
    <t>PS122/2_17-67</t>
  </si>
  <si>
    <t>PS122/2_17-75</t>
  </si>
  <si>
    <t>PS122/2_17-97</t>
  </si>
  <si>
    <t>PS122/2_18-2</t>
  </si>
  <si>
    <t>PS122/2_18-15</t>
  </si>
  <si>
    <t>PS122/2_18-23</t>
  </si>
  <si>
    <t>PS122/2_18-39</t>
  </si>
  <si>
    <t>PS122/2_18-58</t>
  </si>
  <si>
    <t>PS122/2_18-75</t>
  </si>
  <si>
    <t>PS122/2_18-90</t>
  </si>
  <si>
    <t>PS122/2_19-2</t>
  </si>
  <si>
    <t>PS122/2_19-17</t>
  </si>
  <si>
    <t>PS122/2_19-33</t>
  </si>
  <si>
    <t>PS122/2_19-58</t>
  </si>
  <si>
    <t>PS122/2_19-80</t>
  </si>
  <si>
    <t>PS122/2_19-90</t>
  </si>
  <si>
    <t>PS122/2_19-114</t>
  </si>
  <si>
    <t>PS122/2_20-1</t>
  </si>
  <si>
    <t>PS122/2_20-13</t>
  </si>
  <si>
    <t>PS122/2_20-21</t>
  </si>
  <si>
    <t>PS122/2_20-50</t>
  </si>
  <si>
    <t>PS122/2_20-75</t>
  </si>
  <si>
    <t>PS122/2_20-99</t>
  </si>
  <si>
    <t>PS122/2_20-111</t>
  </si>
  <si>
    <t>PS122/2_21-11</t>
  </si>
  <si>
    <t>PS122/2_21-33</t>
  </si>
  <si>
    <t>PS122/2_21-50</t>
  </si>
  <si>
    <t>PS122/2_21-69</t>
  </si>
  <si>
    <t>PS122/2_21-85</t>
  </si>
  <si>
    <t>PS122/2_21-112</t>
  </si>
  <si>
    <t>PS122/2_21-123</t>
  </si>
  <si>
    <t>PS122/2_22-2</t>
  </si>
  <si>
    <t>PS122/2_22-14</t>
  </si>
  <si>
    <t>PS122/2_22-31</t>
  </si>
  <si>
    <t>PS122/2_22-48</t>
  </si>
  <si>
    <t>PS122/2_22-64</t>
  </si>
  <si>
    <t>PS122/2_22-84</t>
  </si>
  <si>
    <t>PS122/2_22-95</t>
  </si>
  <si>
    <t>PS122/2_23-1</t>
  </si>
  <si>
    <t>PS122/2_23-11</t>
  </si>
  <si>
    <t>PS122/2_23-33</t>
  </si>
  <si>
    <t>PS122/2_23-49</t>
  </si>
  <si>
    <t>PS122/2_23-66</t>
  </si>
  <si>
    <t>PS122/2_23-86</t>
  </si>
  <si>
    <t>PS122/2_24-5</t>
  </si>
  <si>
    <t>PS122/2_24-20</t>
  </si>
  <si>
    <t>PS122/2_24-30</t>
  </si>
  <si>
    <t>PS122/2_24-41</t>
  </si>
  <si>
    <t>PS122/2_24-48</t>
  </si>
  <si>
    <t>PS122/2_24-71</t>
  </si>
  <si>
    <t>PS122/2_24-82</t>
  </si>
  <si>
    <t>PS122/2_25-5</t>
  </si>
  <si>
    <t>PS122/2_25-29</t>
  </si>
  <si>
    <t>PS122/2_25-43</t>
  </si>
  <si>
    <t>PS122/2_25-56</t>
  </si>
  <si>
    <t>PS122/2_25-75</t>
  </si>
  <si>
    <t>PS122/2_25-88</t>
  </si>
  <si>
    <t>PS122/2_25-101</t>
  </si>
  <si>
    <t>PS122/3_29-7</t>
  </si>
  <si>
    <t>PS122/3_29-6</t>
  </si>
  <si>
    <t>PS122/3_29-21</t>
  </si>
  <si>
    <t>PS122/3_29-36</t>
  </si>
  <si>
    <t>PS122/3_29-51</t>
  </si>
  <si>
    <t>PS122/3_29-60</t>
  </si>
  <si>
    <t>PS122/3_29-81</t>
  </si>
  <si>
    <t>PS122/3_30-0</t>
  </si>
  <si>
    <t>PS122/3_30-18</t>
  </si>
  <si>
    <t>PS122/3_30-23</t>
  </si>
  <si>
    <t>PS122/3_30-35</t>
  </si>
  <si>
    <t>PS122/3_30-52</t>
  </si>
  <si>
    <t>PS122/3_30-66</t>
  </si>
  <si>
    <t>PS122/3_30-83</t>
  </si>
  <si>
    <t>PS122/3_31-13</t>
  </si>
  <si>
    <t>PS122/3_31-16</t>
  </si>
  <si>
    <t>PS122/3_31-28</t>
  </si>
  <si>
    <t>PS122/3_31-46</t>
  </si>
  <si>
    <t>PS122/3_31-54</t>
  </si>
  <si>
    <t>PS122/3_31-60</t>
  </si>
  <si>
    <t>PS122/3_31-78</t>
  </si>
  <si>
    <t>PS122/3_32-1</t>
  </si>
  <si>
    <t>PS122/3_32-21</t>
  </si>
  <si>
    <t>PS122/3_32-37</t>
  </si>
  <si>
    <t>PS122/3_32-48</t>
  </si>
  <si>
    <t>PS122/3_32-60</t>
  </si>
  <si>
    <t>PS122/3_32-72</t>
  </si>
  <si>
    <t>PS122/3_33-8</t>
  </si>
  <si>
    <t>PS122/3_33-15</t>
  </si>
  <si>
    <t>PS122/3_33-35</t>
  </si>
  <si>
    <t>PS122/3_33-50</t>
  </si>
  <si>
    <t>PS122/3_33-64</t>
  </si>
  <si>
    <t>PS122/3_33-79</t>
  </si>
  <si>
    <t>PS122/3_33-93</t>
  </si>
  <si>
    <t>PS122/3_34-1</t>
  </si>
  <si>
    <t>PS122/3_34-12</t>
  </si>
  <si>
    <t>PS122/3_34-26</t>
  </si>
  <si>
    <t>PS122/3_34-35</t>
  </si>
  <si>
    <t>PS122/3_34-47</t>
  </si>
  <si>
    <t>PS122/3_34-61</t>
  </si>
  <si>
    <t>PS122/3_34-74</t>
  </si>
  <si>
    <t>PS122/3_35-3</t>
  </si>
  <si>
    <t>PS122/3_35-17</t>
  </si>
  <si>
    <t>PS122/3_35-35</t>
  </si>
  <si>
    <t>PS122/3_35-52</t>
  </si>
  <si>
    <t>PS122/3_35-75</t>
  </si>
  <si>
    <t>PS122/3_35-89</t>
  </si>
  <si>
    <t>PS122/3_35-103</t>
  </si>
  <si>
    <t>PS122/3_36-1</t>
  </si>
  <si>
    <t>PS122/3_36-13</t>
  </si>
  <si>
    <t>PS122/3_36-34</t>
  </si>
  <si>
    <t>PS122/3_36-55</t>
  </si>
  <si>
    <t>PS122/3_36-72</t>
  </si>
  <si>
    <t>PS122/3_36-110</t>
  </si>
  <si>
    <t>PS122/3_36-135</t>
  </si>
  <si>
    <t>PS122/3_37-2</t>
  </si>
  <si>
    <t>PS122/3_37-12</t>
  </si>
  <si>
    <t>PS122/3_37-23</t>
  </si>
  <si>
    <t>PS122/3_37-42</t>
  </si>
  <si>
    <t>PS122/3_37-67</t>
  </si>
  <si>
    <t>PS122/3_37-90</t>
  </si>
  <si>
    <t>PS122/3_37-112</t>
  </si>
  <si>
    <t>PS122/3_38-22</t>
  </si>
  <si>
    <t>PS122/3_38-26</t>
  </si>
  <si>
    <t>PS122/3_38-37</t>
  </si>
  <si>
    <t>PS122/3_38-48</t>
  </si>
  <si>
    <t>PS122/3_38-67</t>
  </si>
  <si>
    <t>PS122/3_38-88</t>
  </si>
  <si>
    <t>PS122/3_38-113</t>
  </si>
  <si>
    <t>PS122/3_39-1</t>
  </si>
  <si>
    <t>PS122/3_39-14</t>
  </si>
  <si>
    <t>PS122/3_39-29</t>
  </si>
  <si>
    <t>PS122/3_39-49</t>
  </si>
  <si>
    <t>PS122/3_39-68</t>
  </si>
  <si>
    <t>PS122/3_39-76</t>
  </si>
  <si>
    <t>PS122/3_39-85</t>
  </si>
  <si>
    <t>PS122/3_40-1</t>
  </si>
  <si>
    <t>PS122/3_40-7</t>
  </si>
  <si>
    <t>PS122/3_40-13</t>
  </si>
  <si>
    <t>PS122/3_40-22</t>
  </si>
  <si>
    <t>PS122/3_40-30</t>
  </si>
  <si>
    <t>PS122/3_40-35</t>
  </si>
  <si>
    <t>PS122/3_40-45</t>
  </si>
  <si>
    <t>PS122/3_41-4</t>
  </si>
  <si>
    <t>PS122/3_41-13</t>
  </si>
  <si>
    <t>PS122/3_41-20</t>
  </si>
  <si>
    <t>PS122/3_41-27</t>
  </si>
  <si>
    <t>PS122/3_41-38</t>
  </si>
  <si>
    <t>PS122/3_41-42</t>
  </si>
  <si>
    <t>PS122/3_41-48</t>
  </si>
  <si>
    <t>PS122/3_42-1</t>
  </si>
  <si>
    <t>PS122/3_42-6</t>
  </si>
  <si>
    <t>PS122/3_42-12</t>
  </si>
  <si>
    <t>PS122/3_42-21</t>
  </si>
  <si>
    <t>PS122/3_42-27</t>
  </si>
  <si>
    <t>PS122/3_42-33</t>
  </si>
  <si>
    <t>PS122/3_42-43</t>
  </si>
  <si>
    <t>PS122/3_42-52</t>
  </si>
  <si>
    <t>PS122/3_42-58</t>
  </si>
  <si>
    <t>PS122/3_42-67</t>
  </si>
  <si>
    <t>PS122/4_44-19</t>
  </si>
  <si>
    <t>PS122/4_44-28</t>
  </si>
  <si>
    <t>PS122/4_44-34</t>
  </si>
  <si>
    <t>PS122/4_44-54</t>
  </si>
  <si>
    <t>PS122/4_44-64</t>
  </si>
  <si>
    <t>PS122/4_44-80</t>
  </si>
  <si>
    <t>PS122/4_44-85</t>
  </si>
  <si>
    <t>PS122/4_44-96</t>
  </si>
  <si>
    <t>PS122/4_44-123</t>
  </si>
  <si>
    <t>PS122/4_44-131</t>
  </si>
  <si>
    <t>PS122/4_44-146</t>
  </si>
  <si>
    <t>PS122/4_44-160</t>
  </si>
  <si>
    <t>PS122/4_44-175</t>
  </si>
  <si>
    <t>PS122/4_44-194</t>
  </si>
  <si>
    <t>PS122/4_45-6</t>
  </si>
  <si>
    <t>PS122/4_45-14</t>
  </si>
  <si>
    <t>PS122/4_45-65</t>
  </si>
  <si>
    <t>PS122/4_45-90</t>
  </si>
  <si>
    <t>PS122/4_45-111</t>
  </si>
  <si>
    <t>PS122/4_45-133</t>
  </si>
  <si>
    <t>PS122/4_46-5</t>
  </si>
  <si>
    <t>PS122/4_46-22</t>
  </si>
  <si>
    <t>PS122/4_46-51</t>
  </si>
  <si>
    <t>PS122/4_46-67</t>
  </si>
  <si>
    <t>PS122/4_46-96</t>
  </si>
  <si>
    <t>PS122/4_46-124</t>
  </si>
  <si>
    <t>PS122/4_47-5</t>
  </si>
  <si>
    <t>PS122/4_47-24</t>
  </si>
  <si>
    <t>PS122/4_47-37</t>
  </si>
  <si>
    <t>PS122/4_47-70</t>
  </si>
  <si>
    <t>PS122/4_47-88</t>
  </si>
  <si>
    <t>PS122/4_47-105</t>
  </si>
  <si>
    <t>PS122/4_47-118</t>
  </si>
  <si>
    <t>PS122/4_48-18</t>
  </si>
  <si>
    <t>PS122/4_48-48</t>
  </si>
  <si>
    <t>PS122/4_48-68</t>
  </si>
  <si>
    <t>PS122/4_48-119</t>
  </si>
  <si>
    <t>PS122/4_48-149</t>
  </si>
  <si>
    <t>PS122/4_48-156</t>
  </si>
  <si>
    <t>PS122/4_49-24</t>
  </si>
  <si>
    <t>PS122/4_49-23</t>
  </si>
  <si>
    <t>PS122/4_49-28</t>
  </si>
  <si>
    <t>PS122/4_49-58</t>
  </si>
  <si>
    <t>PS122/4_49-67</t>
  </si>
  <si>
    <t>PS122/4_49-82</t>
  </si>
  <si>
    <t>PS122/4_49-96</t>
  </si>
  <si>
    <t>PS122/4_50-3</t>
  </si>
  <si>
    <t>PS122/4_50-12</t>
  </si>
  <si>
    <t>PS122/4_50-22</t>
  </si>
  <si>
    <t>PS122/4_50-34</t>
  </si>
  <si>
    <t>PS122/4_50-44</t>
  </si>
  <si>
    <t>PS122/4_50-53</t>
  </si>
  <si>
    <t>PS122/4_50-59</t>
  </si>
  <si>
    <t>PS122/4_50-62</t>
  </si>
  <si>
    <t>PS122/4_50-71</t>
  </si>
  <si>
    <t>PS122/5_59-4</t>
  </si>
  <si>
    <t>PS122/5_59-11</t>
  </si>
  <si>
    <t>PS122/5_59-26</t>
  </si>
  <si>
    <t>PS122/5_59-36</t>
  </si>
  <si>
    <t>PS122/5_59-59</t>
  </si>
  <si>
    <t>PS122/5_59-65</t>
  </si>
  <si>
    <t>PS122/5_59-133</t>
  </si>
  <si>
    <t>PS122/5_59-</t>
  </si>
  <si>
    <t>PS122/5_59-167</t>
  </si>
  <si>
    <t>PS122/5_59-179</t>
  </si>
  <si>
    <t>PS122/5_59-199</t>
  </si>
  <si>
    <t>PS122/5_59-220</t>
  </si>
  <si>
    <t>PS122/5_59-247</t>
  </si>
  <si>
    <t>PS122/5_59-266</t>
  </si>
  <si>
    <t>PS122/5_59-287</t>
  </si>
  <si>
    <t>PS122/5_59-323</t>
  </si>
  <si>
    <t>PS122/5_59-341</t>
  </si>
  <si>
    <t>PS122/5_59-361</t>
  </si>
  <si>
    <t>PS122/5_59-379</t>
  </si>
  <si>
    <t>PS122/5_60-1</t>
  </si>
  <si>
    <t>PS122/5_60-35</t>
  </si>
  <si>
    <t>PS122/5_60-50</t>
  </si>
  <si>
    <t>PS122/5_60-75</t>
  </si>
  <si>
    <t>PS122/5_60-116</t>
  </si>
  <si>
    <t>PS122/5_60-140</t>
  </si>
  <si>
    <t>PS122/5_60-169</t>
  </si>
  <si>
    <t>PS122/5_61-3</t>
  </si>
  <si>
    <t>PS122/5_61-34</t>
  </si>
  <si>
    <t>PS122/5_61-106</t>
  </si>
  <si>
    <t>PS122/5_61-141</t>
  </si>
  <si>
    <t>PS122/5_61-184</t>
  </si>
  <si>
    <t>PS122/5_61-208</t>
  </si>
  <si>
    <t>PS122/5_61-244</t>
  </si>
  <si>
    <t>PS122/5_62-8</t>
  </si>
  <si>
    <t>PS122/5_62-63</t>
  </si>
  <si>
    <t>PS122/5_62-86</t>
  </si>
  <si>
    <t>PS122/5_62-111</t>
  </si>
  <si>
    <t>PS122/5_62-133</t>
  </si>
  <si>
    <t>PS122/5_62-150</t>
  </si>
  <si>
    <t>PS122/5_62-171</t>
  </si>
  <si>
    <t>PS122/5_63-6</t>
  </si>
  <si>
    <t>PS122/5_63-7</t>
  </si>
  <si>
    <t>PS122/5_63-27</t>
  </si>
  <si>
    <t>PS122/5_63-52</t>
  </si>
  <si>
    <t>PS122/5_63-66</t>
  </si>
  <si>
    <t>PS122/5_63-78</t>
  </si>
  <si>
    <t>PS122/5_63-93</t>
  </si>
  <si>
    <t>PS122/5_63-115</t>
  </si>
  <si>
    <t>PS122/5_63-123</t>
  </si>
  <si>
    <t>PS122/5_63-134</t>
  </si>
  <si>
    <t>PS122/5_63-144</t>
  </si>
  <si>
    <t>Depth_1</t>
  </si>
  <si>
    <t>-5.8</t>
  </si>
  <si>
    <t>-9.8</t>
  </si>
  <si>
    <t>-12.2</t>
  </si>
  <si>
    <t>-12.7</t>
  </si>
  <si>
    <t>-14.0</t>
  </si>
  <si>
    <t>-16.6</t>
  </si>
  <si>
    <t>-13.7</t>
  </si>
  <si>
    <t>-12.8</t>
  </si>
  <si>
    <t>-20.8</t>
  </si>
  <si>
    <t>-14.4</t>
  </si>
  <si>
    <t>-16.8</t>
  </si>
  <si>
    <t>-18.4</t>
  </si>
  <si>
    <t>-20.2</t>
  </si>
  <si>
    <t>-16.7</t>
  </si>
  <si>
    <t>-24.0</t>
  </si>
  <si>
    <t>-23.4</t>
  </si>
  <si>
    <t>-26.6</t>
  </si>
  <si>
    <t>-22.6</t>
  </si>
  <si>
    <t>-17.4</t>
  </si>
  <si>
    <t>-6.3</t>
  </si>
  <si>
    <t>-13.8</t>
  </si>
  <si>
    <t>-11.3</t>
  </si>
  <si>
    <t>-7.3</t>
  </si>
  <si>
    <t>-15.6</t>
  </si>
  <si>
    <t>-15.7</t>
  </si>
  <si>
    <t>-16.5</t>
  </si>
  <si>
    <t>-20.9</t>
  </si>
  <si>
    <t>-16.9</t>
  </si>
  <si>
    <t>-22.4</t>
  </si>
  <si>
    <t>-27.7</t>
  </si>
  <si>
    <t>-30.4</t>
  </si>
  <si>
    <t>-25.8</t>
  </si>
  <si>
    <t>-26.1</t>
  </si>
  <si>
    <t>-28.4</t>
  </si>
  <si>
    <t>-21.9</t>
  </si>
  <si>
    <t>-27.2</t>
  </si>
  <si>
    <t>-16.0</t>
  </si>
  <si>
    <t>-18.0</t>
  </si>
  <si>
    <t>-25.7</t>
  </si>
  <si>
    <t>-21.2</t>
  </si>
  <si>
    <t>-20.3</t>
  </si>
  <si>
    <t>-21.4</t>
  </si>
  <si>
    <t>-18.5</t>
  </si>
  <si>
    <t>-26.0</t>
  </si>
  <si>
    <t>-24.7</t>
  </si>
  <si>
    <t>-24.4</t>
  </si>
  <si>
    <t>-22.0</t>
  </si>
  <si>
    <t>-18.7</t>
  </si>
  <si>
    <t>-22.1</t>
  </si>
  <si>
    <t>-26.3</t>
  </si>
  <si>
    <t>-19.8</t>
  </si>
  <si>
    <t>-28.2</t>
  </si>
  <si>
    <t>-25.6</t>
  </si>
  <si>
    <t>-28.8</t>
  </si>
  <si>
    <t>-28.5</t>
  </si>
  <si>
    <t>-29.4</t>
  </si>
  <si>
    <t>-31.3</t>
  </si>
  <si>
    <t>-27.4</t>
  </si>
  <si>
    <t>-33.8</t>
  </si>
  <si>
    <t>-30.7</t>
  </si>
  <si>
    <t>-26.8</t>
  </si>
  <si>
    <t>-25.3</t>
  </si>
  <si>
    <t>-25.2</t>
  </si>
  <si>
    <t>-27.5</t>
  </si>
  <si>
    <t>-29.7</t>
  </si>
  <si>
    <t>-30.0</t>
  </si>
  <si>
    <t>-27.6</t>
  </si>
  <si>
    <t>-23.8</t>
  </si>
  <si>
    <t>-25.5</t>
  </si>
  <si>
    <t>-24.9</t>
  </si>
  <si>
    <t>-23.7</t>
  </si>
  <si>
    <t>-32.0</t>
  </si>
  <si>
    <t>-30.3</t>
  </si>
  <si>
    <t>-26.4</t>
  </si>
  <si>
    <t>-34.3</t>
  </si>
  <si>
    <t>-21.8</t>
  </si>
  <si>
    <t>-20.5</t>
  </si>
  <si>
    <t>-27.3</t>
  </si>
  <si>
    <t>-33.1</t>
  </si>
  <si>
    <t>-32.9</t>
  </si>
  <si>
    <t>-14.8</t>
  </si>
  <si>
    <t>-27.8</t>
  </si>
  <si>
    <t>-18.9</t>
  </si>
  <si>
    <t>-29.0</t>
  </si>
  <si>
    <t>-36.0</t>
  </si>
  <si>
    <t>-27.0</t>
  </si>
  <si>
    <t>-33.7</t>
  </si>
  <si>
    <t>-23.2</t>
  </si>
  <si>
    <t>-14.2</t>
  </si>
  <si>
    <t>-11.2</t>
  </si>
  <si>
    <t>-19.7</t>
  </si>
  <si>
    <t>-24.2</t>
  </si>
  <si>
    <t>-22.5</t>
  </si>
  <si>
    <t>-32.2</t>
  </si>
  <si>
    <t>-36.1</t>
  </si>
  <si>
    <t>-35.4</t>
  </si>
  <si>
    <t>-35.5</t>
  </si>
  <si>
    <t>-33.4</t>
  </si>
  <si>
    <t>-35.9</t>
  </si>
  <si>
    <t>-36.4</t>
  </si>
  <si>
    <t>-29.3</t>
  </si>
  <si>
    <t>-37.7</t>
  </si>
  <si>
    <t>-38.6</t>
  </si>
  <si>
    <t>-35.0</t>
  </si>
  <si>
    <t>-28.9</t>
  </si>
  <si>
    <t>-29.6</t>
  </si>
  <si>
    <t>-20.1</t>
  </si>
  <si>
    <t>-29.2</t>
  </si>
  <si>
    <t>-21.5</t>
  </si>
  <si>
    <t>-27.1</t>
  </si>
  <si>
    <t>-31.5</t>
  </si>
  <si>
    <t>-28.1</t>
  </si>
  <si>
    <t>-29.5</t>
  </si>
  <si>
    <t>-19.2</t>
  </si>
  <si>
    <t>-26.5</t>
  </si>
  <si>
    <t>-25.9</t>
  </si>
  <si>
    <t>-18.6</t>
  </si>
  <si>
    <t>-19.5</t>
  </si>
  <si>
    <t>-28.6</t>
  </si>
  <si>
    <t>-23.6</t>
  </si>
  <si>
    <t>-28.0</t>
  </si>
  <si>
    <t>-7.9</t>
  </si>
  <si>
    <t>-1.4</t>
  </si>
  <si>
    <t>-17.0</t>
  </si>
  <si>
    <t>-5.7</t>
  </si>
  <si>
    <t>-0.7</t>
  </si>
  <si>
    <t>-7.2</t>
  </si>
  <si>
    <t>-15.0</t>
  </si>
  <si>
    <t>-17.3</t>
  </si>
  <si>
    <t>-4.1</t>
  </si>
  <si>
    <t>-11.8</t>
  </si>
  <si>
    <t>-13.6</t>
  </si>
  <si>
    <t>-15.1</t>
  </si>
  <si>
    <t>-10.9</t>
  </si>
  <si>
    <t>-6.8</t>
  </si>
  <si>
    <t>-10.6</t>
  </si>
  <si>
    <t>-10.5</t>
  </si>
  <si>
    <t>-13.1</t>
  </si>
  <si>
    <t>-10.7</t>
  </si>
  <si>
    <t>-1.6</t>
  </si>
  <si>
    <t>-2.5</t>
  </si>
  <si>
    <t>-1.5</t>
  </si>
  <si>
    <t>-6.0</t>
  </si>
  <si>
    <t>-4.7</t>
  </si>
  <si>
    <t>-6.2</t>
  </si>
  <si>
    <t>-4.2</t>
  </si>
  <si>
    <t>-2.3</t>
  </si>
  <si>
    <t>-2.8</t>
  </si>
  <si>
    <t>-5.4</t>
  </si>
  <si>
    <t>-1.7</t>
  </si>
  <si>
    <t>0.3</t>
  </si>
  <si>
    <t>1.3</t>
  </si>
  <si>
    <t>-0.2</t>
  </si>
  <si>
    <t>-0.4</t>
  </si>
  <si>
    <t>-0.8</t>
  </si>
  <si>
    <t>-0.3</t>
  </si>
  <si>
    <t>-1.3</t>
  </si>
  <si>
    <t>-0.6</t>
  </si>
  <si>
    <t>-3.7</t>
  </si>
  <si>
    <t>-3.6</t>
  </si>
  <si>
    <t>-1.1</t>
  </si>
  <si>
    <t>0.0</t>
  </si>
  <si>
    <t>-2.1</t>
  </si>
  <si>
    <t>-1.0</t>
  </si>
  <si>
    <t>-0.9</t>
  </si>
  <si>
    <t>0.8</t>
  </si>
  <si>
    <t>-0.1</t>
  </si>
  <si>
    <t>-1.8</t>
  </si>
  <si>
    <t>1.2</t>
  </si>
  <si>
    <t>0.7</t>
  </si>
  <si>
    <t>0.2</t>
  </si>
  <si>
    <t>1.0</t>
  </si>
  <si>
    <t>0.4</t>
  </si>
  <si>
    <t>0.9</t>
  </si>
  <si>
    <t>-0.5</t>
  </si>
  <si>
    <t>0.1</t>
  </si>
  <si>
    <t>1.5</t>
  </si>
  <si>
    <t>1.1</t>
  </si>
  <si>
    <t>2.4</t>
  </si>
  <si>
    <t>3.6</t>
  </si>
  <si>
    <t>2.1</t>
  </si>
  <si>
    <t>4.1</t>
  </si>
  <si>
    <t>2.5</t>
  </si>
  <si>
    <t>1.7</t>
  </si>
  <si>
    <t>3.2</t>
  </si>
  <si>
    <t>2.2</t>
  </si>
  <si>
    <t>2.9</t>
  </si>
  <si>
    <t>1.6</t>
  </si>
  <si>
    <t>-1.9</t>
  </si>
  <si>
    <t>-3.8</t>
  </si>
  <si>
    <t>0.5</t>
  </si>
  <si>
    <t>-2.4</t>
  </si>
  <si>
    <t>-3.0</t>
  </si>
  <si>
    <t>-5.0</t>
  </si>
  <si>
    <t>-5.3</t>
  </si>
  <si>
    <t>-9.6</t>
  </si>
  <si>
    <t>-12.4</t>
  </si>
  <si>
    <t>-4.3</t>
  </si>
  <si>
    <t>-5.9</t>
  </si>
  <si>
    <t>-8.7</t>
  </si>
  <si>
    <t>-6.7</t>
  </si>
  <si>
    <t>-11.4</t>
  </si>
  <si>
    <t>-6.9</t>
  </si>
  <si>
    <t>-8.2</t>
  </si>
  <si>
    <t>-4.6</t>
  </si>
  <si>
    <t>-5.5</t>
  </si>
  <si>
    <t>-3.1</t>
  </si>
  <si>
    <t>ICE_type</t>
  </si>
  <si>
    <t>Melt_Pond</t>
  </si>
  <si>
    <t>Falsbottom study</t>
  </si>
  <si>
    <t>Bot 5-10</t>
  </si>
  <si>
    <t>Bot 0-5</t>
  </si>
  <si>
    <t>void</t>
  </si>
  <si>
    <t>puck 1</t>
  </si>
  <si>
    <t>puck 2</t>
  </si>
  <si>
    <t>melt pond</t>
  </si>
  <si>
    <t>under-ice water</t>
  </si>
  <si>
    <t>platelet ice from hole</t>
  </si>
  <si>
    <t>empty!</t>
  </si>
  <si>
    <t>µS/cm</t>
  </si>
  <si>
    <t>mS/cm</t>
  </si>
  <si>
    <t>Salinity/Conductivity</t>
  </si>
  <si>
    <t>Conductivity_unit</t>
  </si>
  <si>
    <t>Media_Type</t>
  </si>
  <si>
    <t>DN-L3</t>
  </si>
  <si>
    <t>Lead Runway ice</t>
  </si>
  <si>
    <t>Lead gangway</t>
  </si>
  <si>
    <t>Lead BOW</t>
  </si>
  <si>
    <t>Fort Ridge Brine Lead</t>
  </si>
  <si>
    <t>Lead Ford Ridge</t>
  </si>
  <si>
    <t>Lead D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</si>
</sst>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3F3F3F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5">
    <xf numFmtId="0" fontId="0" fillId="0" borderId="0" xfId="0"/>
    <xf numFmtId="0" fontId="1" fillId="3" borderId="1" xfId="1" applyFill="1" applyAlignment="1">
      <alignment horizontal="center" vertical="center"/>
    </xf>
    <xf numFmtId="164" fontId="1" fillId="3" borderId="1" xfId="1" applyNumberFormat="1" applyFill="1" applyAlignment="1">
      <alignment horizontal="center" vertical="center"/>
    </xf>
    <xf numFmtId="0" fontId="1" fillId="4" borderId="1" xfId="1" applyFill="1" applyAlignment="1">
      <alignment horizontal="center" vertical="center"/>
    </xf>
    <xf numFmtId="0" fontId="1" fillId="3" borderId="1" xfId="1" applyNumberFormat="1" applyFill="1" applyAlignment="1">
      <alignment horizontal="center" vertical="center"/>
    </xf>
    <xf numFmtId="0" fontId="1" fillId="5" borderId="1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0" borderId="0" xfId="0" applyFont="1" applyAlignment="1"/>
    <xf numFmtId="20" fontId="0" fillId="0" borderId="0" xfId="0" applyNumberFormat="1" applyAlignment="1">
      <alignment horizontal="center" vertical="center"/>
    </xf>
    <xf numFmtId="0" fontId="0" fillId="0" borderId="0" xfId="0" applyFont="1"/>
    <xf numFmtId="46" fontId="0" fillId="0" borderId="0" xfId="0" applyNumberFormat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5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D8E8-86C3-4885-BCCC-904D1FEDB183}">
  <dimension ref="A1:BQ2216"/>
  <sheetViews>
    <sheetView zoomScaleNormal="10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7.7265625" style="6" bestFit="1" customWidth="1"/>
    <col min="2" max="3" width="17" style="6" bestFit="1" customWidth="1"/>
    <col min="4" max="4" width="55.36328125" style="6" bestFit="1" customWidth="1"/>
    <col min="5" max="5" width="3.81640625" style="6" bestFit="1" customWidth="1"/>
    <col min="6" max="6" width="6" style="6" bestFit="1" customWidth="1"/>
    <col min="7" max="7" width="84.7265625" style="6" bestFit="1" customWidth="1"/>
    <col min="8" max="8" width="18.6328125" style="6" bestFit="1" customWidth="1"/>
    <col min="9" max="9" width="7.90625" style="6" bestFit="1" customWidth="1"/>
    <col min="10" max="10" width="9.36328125" style="6" bestFit="1" customWidth="1"/>
    <col min="11" max="11" width="11.1796875" style="6" bestFit="1" customWidth="1"/>
    <col min="12" max="12" width="11.7265625" style="9" bestFit="1" customWidth="1"/>
    <col min="13" max="13" width="7.90625" style="6" bestFit="1" customWidth="1"/>
    <col min="14" max="14" width="13.81640625" style="6" customWidth="1"/>
    <col min="15" max="15" width="9.08984375" style="6" bestFit="1" customWidth="1"/>
    <col min="16" max="16" width="15.81640625" style="6" bestFit="1" customWidth="1"/>
    <col min="17" max="17" width="20.81640625" style="6" customWidth="1"/>
    <col min="18" max="18" width="18.08984375" style="6" customWidth="1"/>
    <col min="19" max="19" width="8" style="6" customWidth="1"/>
    <col min="20" max="21" width="12" style="6" bestFit="1" customWidth="1"/>
    <col min="22" max="22" width="6" style="6" bestFit="1" customWidth="1"/>
    <col min="23" max="23" width="7" style="6" bestFit="1" customWidth="1"/>
    <col min="24" max="24" width="8.54296875" style="6" bestFit="1" customWidth="1"/>
    <col min="25" max="25" width="95.1796875" style="6" bestFit="1" customWidth="1"/>
    <col min="26" max="16384" width="8.7265625" style="6"/>
  </cols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4465</v>
      </c>
      <c r="L1" s="2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4" t="s">
        <v>16</v>
      </c>
      <c r="R1" s="4" t="s">
        <v>4241</v>
      </c>
      <c r="S1" s="4" t="s">
        <v>18</v>
      </c>
      <c r="T1" s="4" t="s">
        <v>19</v>
      </c>
      <c r="U1" s="1" t="s">
        <v>20</v>
      </c>
      <c r="V1" s="5" t="s">
        <v>21</v>
      </c>
      <c r="W1" s="5" t="s">
        <v>22</v>
      </c>
      <c r="X1" s="5" t="s">
        <v>23</v>
      </c>
      <c r="Y1" s="1" t="s">
        <v>24</v>
      </c>
    </row>
    <row r="2" spans="1:25" x14ac:dyDescent="0.35">
      <c r="A2" s="6" t="s">
        <v>25</v>
      </c>
      <c r="B2" s="6" t="s">
        <v>2590</v>
      </c>
      <c r="D2" s="6" t="s">
        <v>3291</v>
      </c>
      <c r="G2" s="6" t="s">
        <v>57</v>
      </c>
      <c r="K2" s="6" t="s">
        <v>29</v>
      </c>
      <c r="L2" s="16">
        <v>43739</v>
      </c>
      <c r="Q2" s="6">
        <v>0</v>
      </c>
      <c r="R2" s="6">
        <v>0</v>
      </c>
      <c r="S2" s="6">
        <v>10</v>
      </c>
      <c r="T2" s="10">
        <f t="shared" ref="T2:T33" si="0">AVERAGE(R2:S2)</f>
        <v>5</v>
      </c>
      <c r="V2" s="8">
        <v>-5.2922019217491147</v>
      </c>
      <c r="W2" s="8">
        <v>-41.341042956542964</v>
      </c>
      <c r="X2" s="8">
        <f t="shared" ref="X2:X65" si="1">W2-(8*V2)</f>
        <v>0.99657241744995417</v>
      </c>
    </row>
    <row r="3" spans="1:25" x14ac:dyDescent="0.35">
      <c r="A3" s="6" t="s">
        <v>25</v>
      </c>
      <c r="B3" s="6" t="s">
        <v>2591</v>
      </c>
      <c r="D3" s="6" t="s">
        <v>3292</v>
      </c>
      <c r="G3" s="6" t="s">
        <v>57</v>
      </c>
      <c r="K3" s="6" t="s">
        <v>29</v>
      </c>
      <c r="L3" s="16">
        <v>43739</v>
      </c>
      <c r="Q3" s="6">
        <v>10</v>
      </c>
      <c r="R3" s="6">
        <v>10</v>
      </c>
      <c r="S3" s="6">
        <v>20</v>
      </c>
      <c r="T3" s="10">
        <f t="shared" si="0"/>
        <v>15</v>
      </c>
      <c r="V3" s="8">
        <v>-4.0675152566909789</v>
      </c>
      <c r="W3" s="8">
        <v>-32.031119750976558</v>
      </c>
      <c r="X3" s="8">
        <f t="shared" si="1"/>
        <v>0.50900230255127354</v>
      </c>
    </row>
    <row r="4" spans="1:25" x14ac:dyDescent="0.35">
      <c r="A4" s="6" t="s">
        <v>25</v>
      </c>
      <c r="B4" s="6" t="s">
        <v>2592</v>
      </c>
      <c r="D4" s="6" t="s">
        <v>3293</v>
      </c>
      <c r="G4" s="6" t="s">
        <v>57</v>
      </c>
      <c r="K4" s="6" t="s">
        <v>29</v>
      </c>
      <c r="L4" s="16">
        <v>43739</v>
      </c>
      <c r="Q4" s="6">
        <v>20</v>
      </c>
      <c r="R4" s="6">
        <v>20</v>
      </c>
      <c r="S4" s="6">
        <v>30</v>
      </c>
      <c r="T4" s="10">
        <f t="shared" si="0"/>
        <v>25</v>
      </c>
      <c r="V4" s="8">
        <v>-3.7457234164237971</v>
      </c>
      <c r="W4" s="8">
        <v>-28.581844377136232</v>
      </c>
      <c r="X4" s="8">
        <f t="shared" si="1"/>
        <v>1.3839429542541453</v>
      </c>
    </row>
    <row r="5" spans="1:25" x14ac:dyDescent="0.35">
      <c r="A5" s="6" t="s">
        <v>25</v>
      </c>
      <c r="B5" s="6" t="s">
        <v>2593</v>
      </c>
      <c r="D5" s="6" t="s">
        <v>3294</v>
      </c>
      <c r="G5" s="6" t="s">
        <v>57</v>
      </c>
      <c r="K5" s="6" t="s">
        <v>29</v>
      </c>
      <c r="L5" s="16">
        <v>43739</v>
      </c>
      <c r="Q5" s="6">
        <v>30</v>
      </c>
      <c r="R5" s="6">
        <v>30</v>
      </c>
      <c r="S5" s="6">
        <v>40</v>
      </c>
      <c r="T5" s="10">
        <f t="shared" si="0"/>
        <v>35</v>
      </c>
      <c r="V5" s="8">
        <v>-2.7354655054569239</v>
      </c>
      <c r="W5" s="8">
        <v>-21.282820790863042</v>
      </c>
      <c r="X5" s="8">
        <f t="shared" si="1"/>
        <v>0.60090325279234946</v>
      </c>
    </row>
    <row r="6" spans="1:25" x14ac:dyDescent="0.35">
      <c r="A6" s="6" t="s">
        <v>25</v>
      </c>
      <c r="B6" s="6" t="s">
        <v>2594</v>
      </c>
      <c r="D6" s="6" t="s">
        <v>3295</v>
      </c>
      <c r="G6" s="6" t="s">
        <v>57</v>
      </c>
      <c r="K6" s="6" t="s">
        <v>29</v>
      </c>
      <c r="L6" s="16">
        <v>43739</v>
      </c>
      <c r="Q6" s="6">
        <v>40</v>
      </c>
      <c r="R6" s="6">
        <v>40</v>
      </c>
      <c r="S6" s="6">
        <v>50</v>
      </c>
      <c r="T6" s="10">
        <f t="shared" si="0"/>
        <v>45</v>
      </c>
      <c r="V6" s="8">
        <v>-0.65546178928613674</v>
      </c>
      <c r="W6" s="8">
        <v>-4.5776695838928232</v>
      </c>
      <c r="X6" s="8">
        <f t="shared" si="1"/>
        <v>0.66602473039627075</v>
      </c>
    </row>
    <row r="7" spans="1:25" x14ac:dyDescent="0.35">
      <c r="A7" s="6" t="s">
        <v>25</v>
      </c>
      <c r="B7" s="6" t="s">
        <v>2595</v>
      </c>
      <c r="D7" s="6" t="s">
        <v>3296</v>
      </c>
      <c r="G7" s="6" t="s">
        <v>57</v>
      </c>
      <c r="K7" s="6" t="s">
        <v>29</v>
      </c>
      <c r="L7" s="16">
        <v>43739</v>
      </c>
      <c r="Q7" s="6">
        <v>50</v>
      </c>
      <c r="R7" s="6">
        <v>50</v>
      </c>
      <c r="S7" s="6">
        <v>60</v>
      </c>
      <c r="T7" s="10">
        <f t="shared" si="0"/>
        <v>55</v>
      </c>
      <c r="V7" s="8">
        <v>-1.2801417827367783</v>
      </c>
      <c r="W7" s="8">
        <v>-9.7799299999237093</v>
      </c>
      <c r="X7" s="8">
        <f t="shared" si="1"/>
        <v>0.46120426197051678</v>
      </c>
    </row>
    <row r="8" spans="1:25" x14ac:dyDescent="0.35">
      <c r="A8" s="6" t="s">
        <v>25</v>
      </c>
      <c r="B8" s="6" t="s">
        <v>2596</v>
      </c>
      <c r="D8" s="6" t="s">
        <v>3297</v>
      </c>
      <c r="G8" s="6" t="s">
        <v>57</v>
      </c>
      <c r="K8" s="6" t="s">
        <v>29</v>
      </c>
      <c r="L8" s="16">
        <v>43739</v>
      </c>
      <c r="Q8" s="6">
        <v>60</v>
      </c>
      <c r="R8" s="6">
        <v>60</v>
      </c>
      <c r="S8" s="6">
        <v>70</v>
      </c>
      <c r="T8" s="10">
        <f t="shared" si="0"/>
        <v>65</v>
      </c>
      <c r="V8" s="8">
        <v>-1.1569782501220705</v>
      </c>
      <c r="W8" s="8">
        <v>-8.7664914241790779</v>
      </c>
      <c r="X8" s="8">
        <f t="shared" si="1"/>
        <v>0.48933457679748571</v>
      </c>
    </row>
    <row r="9" spans="1:25" x14ac:dyDescent="0.35">
      <c r="A9" s="6" t="s">
        <v>25</v>
      </c>
      <c r="B9" s="6" t="s">
        <v>2597</v>
      </c>
      <c r="D9" s="6" t="s">
        <v>3298</v>
      </c>
      <c r="G9" s="6" t="s">
        <v>57</v>
      </c>
      <c r="K9" s="6" t="s">
        <v>29</v>
      </c>
      <c r="L9" s="16">
        <v>43739</v>
      </c>
      <c r="Q9" s="6">
        <v>70</v>
      </c>
      <c r="R9" s="6">
        <v>70</v>
      </c>
      <c r="S9" s="6">
        <v>80</v>
      </c>
      <c r="T9" s="10">
        <f t="shared" si="0"/>
        <v>75</v>
      </c>
      <c r="V9" s="8">
        <v>-0.65826039460897456</v>
      </c>
      <c r="W9" s="8">
        <v>-4.3829364086151132</v>
      </c>
      <c r="X9" s="8">
        <f t="shared" si="1"/>
        <v>0.88314674825668327</v>
      </c>
    </row>
    <row r="10" spans="1:25" x14ac:dyDescent="0.35">
      <c r="A10" s="6" t="s">
        <v>25</v>
      </c>
      <c r="B10" s="6" t="s">
        <v>2598</v>
      </c>
      <c r="D10" s="6" t="s">
        <v>3299</v>
      </c>
      <c r="G10" s="6" t="s">
        <v>57</v>
      </c>
      <c r="K10" s="6" t="s">
        <v>29</v>
      </c>
      <c r="L10" s="16">
        <v>43739</v>
      </c>
      <c r="Q10" s="6">
        <v>80</v>
      </c>
      <c r="R10" s="6">
        <v>80</v>
      </c>
      <c r="S10" s="6">
        <v>87.5</v>
      </c>
      <c r="T10" s="10">
        <f t="shared" si="0"/>
        <v>83.75</v>
      </c>
      <c r="V10" s="8">
        <v>-0.27184119350314129</v>
      </c>
      <c r="W10" s="8">
        <v>-1.9040208419322968</v>
      </c>
      <c r="X10" s="8">
        <f t="shared" si="1"/>
        <v>0.27070870609283348</v>
      </c>
    </row>
    <row r="11" spans="1:25" x14ac:dyDescent="0.35">
      <c r="A11" s="6" t="s">
        <v>25</v>
      </c>
      <c r="B11" s="6" t="s">
        <v>2599</v>
      </c>
      <c r="D11" s="6" t="s">
        <v>3300</v>
      </c>
      <c r="G11" s="6" t="s">
        <v>57</v>
      </c>
      <c r="K11" s="6" t="s">
        <v>29</v>
      </c>
      <c r="L11" s="16">
        <v>43739</v>
      </c>
      <c r="Q11" s="6">
        <v>87.5</v>
      </c>
      <c r="R11" s="6">
        <v>87.5</v>
      </c>
      <c r="S11" s="6">
        <v>97.5</v>
      </c>
      <c r="T11" s="10">
        <f t="shared" si="0"/>
        <v>92.5</v>
      </c>
      <c r="V11" s="8">
        <v>-1.3477088223729285</v>
      </c>
      <c r="W11" s="8">
        <v>-8.488077672958374</v>
      </c>
      <c r="X11" s="8">
        <f t="shared" si="1"/>
        <v>2.2935929060250544</v>
      </c>
    </row>
    <row r="12" spans="1:25" x14ac:dyDescent="0.35">
      <c r="A12" s="6" t="s">
        <v>25</v>
      </c>
      <c r="B12" s="6" t="s">
        <v>2600</v>
      </c>
      <c r="D12" s="6" t="s">
        <v>3301</v>
      </c>
      <c r="G12" s="6" t="s">
        <v>57</v>
      </c>
      <c r="K12" s="6" t="s">
        <v>29</v>
      </c>
      <c r="L12" s="16">
        <v>43739</v>
      </c>
      <c r="Q12" s="6">
        <v>97.5</v>
      </c>
      <c r="R12" s="6">
        <v>97.5</v>
      </c>
      <c r="S12" s="6">
        <v>107.5</v>
      </c>
      <c r="T12" s="10">
        <f t="shared" si="0"/>
        <v>102.5</v>
      </c>
      <c r="V12" s="8">
        <v>-1.5929208728909492</v>
      </c>
      <c r="W12" s="8">
        <v>-12.646785312652588</v>
      </c>
      <c r="X12" s="8">
        <f t="shared" si="1"/>
        <v>9.6581670475005765E-2</v>
      </c>
    </row>
    <row r="13" spans="1:25" x14ac:dyDescent="0.35">
      <c r="A13" s="6" t="s">
        <v>25</v>
      </c>
      <c r="B13" s="6" t="s">
        <v>2601</v>
      </c>
      <c r="D13" s="6" t="s">
        <v>3302</v>
      </c>
      <c r="G13" s="6" t="s">
        <v>57</v>
      </c>
      <c r="K13" s="6" t="s">
        <v>29</v>
      </c>
      <c r="L13" s="16">
        <v>43739</v>
      </c>
      <c r="Q13" s="6">
        <v>107.5</v>
      </c>
      <c r="R13" s="6">
        <v>107.5</v>
      </c>
      <c r="S13" s="6">
        <v>116.5</v>
      </c>
      <c r="T13" s="10">
        <f t="shared" si="0"/>
        <v>112</v>
      </c>
      <c r="V13" s="8">
        <v>-1.7327508819341662</v>
      </c>
      <c r="W13" s="8">
        <v>-12.40573936843872</v>
      </c>
      <c r="X13" s="8">
        <f t="shared" si="1"/>
        <v>1.4562676870346092</v>
      </c>
    </row>
    <row r="14" spans="1:25" x14ac:dyDescent="0.35">
      <c r="A14" s="6" t="s">
        <v>25</v>
      </c>
      <c r="B14" s="6" t="s">
        <v>2602</v>
      </c>
      <c r="D14" s="6" t="s">
        <v>3303</v>
      </c>
      <c r="G14" s="6" t="s">
        <v>57</v>
      </c>
      <c r="K14" s="6" t="s">
        <v>29</v>
      </c>
      <c r="L14" s="16">
        <v>43739</v>
      </c>
      <c r="Q14" s="6">
        <v>116.5</v>
      </c>
      <c r="R14" s="6">
        <v>116.5</v>
      </c>
      <c r="S14" s="6">
        <v>126.5</v>
      </c>
      <c r="T14" s="10">
        <f t="shared" si="0"/>
        <v>121.5</v>
      </c>
      <c r="V14" s="8">
        <v>-1.4792037768900399</v>
      </c>
      <c r="W14" s="8">
        <v>-9.7992449340820311</v>
      </c>
      <c r="X14" s="8">
        <f t="shared" si="1"/>
        <v>2.0343852810382881</v>
      </c>
    </row>
    <row r="15" spans="1:25" x14ac:dyDescent="0.35">
      <c r="A15" s="6" t="s">
        <v>25</v>
      </c>
      <c r="B15" s="6" t="s">
        <v>2603</v>
      </c>
      <c r="D15" s="6" t="s">
        <v>3304</v>
      </c>
      <c r="G15" s="6" t="s">
        <v>57</v>
      </c>
      <c r="K15" s="6" t="s">
        <v>29</v>
      </c>
      <c r="L15" s="16">
        <v>43739</v>
      </c>
      <c r="Q15" s="6">
        <v>126.5</v>
      </c>
      <c r="R15" s="6">
        <v>126.5</v>
      </c>
      <c r="S15" s="6">
        <v>136.5</v>
      </c>
      <c r="T15" s="10">
        <f t="shared" si="0"/>
        <v>131.5</v>
      </c>
      <c r="V15" s="8">
        <v>-1.1512689398467542</v>
      </c>
      <c r="W15" s="8">
        <v>-7.0754005508422857</v>
      </c>
      <c r="X15" s="8">
        <f t="shared" si="1"/>
        <v>2.1347509679317476</v>
      </c>
    </row>
    <row r="16" spans="1:25" x14ac:dyDescent="0.35">
      <c r="A16" s="6" t="s">
        <v>25</v>
      </c>
      <c r="B16" s="6" t="s">
        <v>2604</v>
      </c>
      <c r="D16" s="6" t="s">
        <v>3305</v>
      </c>
      <c r="G16" s="6" t="s">
        <v>57</v>
      </c>
      <c r="K16" s="6" t="s">
        <v>29</v>
      </c>
      <c r="L16" s="16">
        <v>43739</v>
      </c>
      <c r="Q16" s="6">
        <v>136.5</v>
      </c>
      <c r="R16" s="6">
        <v>136.5</v>
      </c>
      <c r="S16" s="6">
        <v>146.5</v>
      </c>
      <c r="T16" s="10">
        <f t="shared" si="0"/>
        <v>141.5</v>
      </c>
      <c r="V16" s="8">
        <v>-1.2533100595563647</v>
      </c>
      <c r="W16" s="8">
        <v>-8.8287790718078618</v>
      </c>
      <c r="X16" s="8">
        <f t="shared" si="1"/>
        <v>1.1977014046430554</v>
      </c>
    </row>
    <row r="17" spans="1:24" x14ac:dyDescent="0.35">
      <c r="A17" s="6" t="s">
        <v>25</v>
      </c>
      <c r="B17" s="6" t="s">
        <v>2605</v>
      </c>
      <c r="D17" s="6" t="s">
        <v>3306</v>
      </c>
      <c r="G17" s="6" t="s">
        <v>57</v>
      </c>
      <c r="K17" s="6" t="s">
        <v>29</v>
      </c>
      <c r="L17" s="16">
        <v>43739</v>
      </c>
      <c r="Q17" s="6">
        <v>146.5</v>
      </c>
      <c r="R17" s="6">
        <v>146.5</v>
      </c>
      <c r="S17" s="6">
        <v>156.5</v>
      </c>
      <c r="T17" s="10">
        <f t="shared" si="0"/>
        <v>151.5</v>
      </c>
      <c r="V17" s="8">
        <v>-1.9951445184886456</v>
      </c>
      <c r="W17" s="8">
        <v>-14.253417766571044</v>
      </c>
      <c r="X17" s="8">
        <f t="shared" si="1"/>
        <v>1.7077383813381211</v>
      </c>
    </row>
    <row r="18" spans="1:24" x14ac:dyDescent="0.35">
      <c r="A18" s="6" t="s">
        <v>25</v>
      </c>
      <c r="B18" s="6" t="s">
        <v>2606</v>
      </c>
      <c r="D18" s="6" t="s">
        <v>3307</v>
      </c>
      <c r="G18" s="6" t="s">
        <v>57</v>
      </c>
      <c r="K18" s="6" t="s">
        <v>29</v>
      </c>
      <c r="L18" s="16">
        <v>43739</v>
      </c>
      <c r="Q18" s="6">
        <v>156.5</v>
      </c>
      <c r="R18" s="6">
        <v>156.5</v>
      </c>
      <c r="S18" s="6">
        <v>163</v>
      </c>
      <c r="T18" s="10">
        <f t="shared" si="0"/>
        <v>159.75</v>
      </c>
      <c r="V18" s="8">
        <v>-2.3170661070644853</v>
      </c>
      <c r="W18" s="8">
        <v>-18.386178889465334</v>
      </c>
      <c r="X18" s="8">
        <f t="shared" si="1"/>
        <v>0.15034996705054837</v>
      </c>
    </row>
    <row r="19" spans="1:24" x14ac:dyDescent="0.35">
      <c r="A19" s="6" t="s">
        <v>25</v>
      </c>
      <c r="B19" s="7" t="s">
        <v>26</v>
      </c>
      <c r="D19" s="6" t="s">
        <v>27</v>
      </c>
      <c r="E19" s="6">
        <v>1</v>
      </c>
      <c r="F19" s="6">
        <v>1</v>
      </c>
      <c r="G19" s="6" t="s">
        <v>28</v>
      </c>
      <c r="I19" s="8">
        <v>85.144790624999999</v>
      </c>
      <c r="J19" s="8">
        <v>133.79209895833301</v>
      </c>
      <c r="K19" s="6" t="s">
        <v>29</v>
      </c>
      <c r="L19" s="9">
        <v>43741</v>
      </c>
      <c r="N19" s="6">
        <v>1</v>
      </c>
      <c r="O19" s="6" t="s">
        <v>4242</v>
      </c>
      <c r="Q19" s="10"/>
      <c r="R19" s="10">
        <v>72</v>
      </c>
      <c r="S19" s="10">
        <v>82</v>
      </c>
      <c r="T19" s="10">
        <f t="shared" si="0"/>
        <v>77</v>
      </c>
      <c r="V19" s="8">
        <v>8.400521952658821E-3</v>
      </c>
      <c r="W19" s="8">
        <v>0.66218341846019046</v>
      </c>
      <c r="X19" s="8">
        <f t="shared" si="1"/>
        <v>0.5949792428389199</v>
      </c>
    </row>
    <row r="20" spans="1:24" x14ac:dyDescent="0.35">
      <c r="A20" s="6" t="s">
        <v>25</v>
      </c>
      <c r="B20" s="7" t="s">
        <v>30</v>
      </c>
      <c r="D20" s="6" t="s">
        <v>31</v>
      </c>
      <c r="E20" s="6">
        <v>1</v>
      </c>
      <c r="F20" s="6">
        <v>1</v>
      </c>
      <c r="G20" s="6" t="s">
        <v>28</v>
      </c>
      <c r="I20" s="8">
        <v>85.144790624999999</v>
      </c>
      <c r="J20" s="8">
        <v>133.79209895833301</v>
      </c>
      <c r="K20" s="6" t="s">
        <v>29</v>
      </c>
      <c r="L20" s="9">
        <v>43741</v>
      </c>
      <c r="N20" s="6">
        <v>1</v>
      </c>
      <c r="O20" s="6" t="s">
        <v>4242</v>
      </c>
      <c r="Q20" s="10"/>
      <c r="R20" s="10">
        <v>92</v>
      </c>
      <c r="S20" s="10">
        <v>99</v>
      </c>
      <c r="T20" s="10">
        <f t="shared" si="0"/>
        <v>95.5</v>
      </c>
      <c r="V20" s="8">
        <v>0.26641544595360794</v>
      </c>
      <c r="W20" s="8">
        <v>3.0036548447608951</v>
      </c>
      <c r="X20" s="8">
        <f t="shared" si="1"/>
        <v>0.87233127713203151</v>
      </c>
    </row>
    <row r="21" spans="1:24" x14ac:dyDescent="0.35">
      <c r="A21" s="6" t="s">
        <v>25</v>
      </c>
      <c r="B21" s="7" t="s">
        <v>32</v>
      </c>
      <c r="D21" s="6" t="s">
        <v>33</v>
      </c>
      <c r="E21" s="6">
        <v>1</v>
      </c>
      <c r="F21" s="6">
        <v>1</v>
      </c>
      <c r="G21" s="6" t="s">
        <v>28</v>
      </c>
      <c r="I21" s="8">
        <v>85.144790624999999</v>
      </c>
      <c r="J21" s="8">
        <v>133.79209895833301</v>
      </c>
      <c r="K21" s="6" t="s">
        <v>29</v>
      </c>
      <c r="L21" s="9">
        <v>43741</v>
      </c>
      <c r="N21" s="6">
        <v>1</v>
      </c>
      <c r="O21" s="6" t="s">
        <v>4242</v>
      </c>
      <c r="Q21" s="10"/>
      <c r="R21" s="10">
        <v>30</v>
      </c>
      <c r="S21" s="10">
        <v>42</v>
      </c>
      <c r="T21" s="10">
        <f t="shared" si="0"/>
        <v>36</v>
      </c>
      <c r="V21" s="8">
        <v>-0.53046490052938455</v>
      </c>
      <c r="W21" s="8">
        <v>-3.4013069109916687</v>
      </c>
      <c r="X21" s="8">
        <f t="shared" si="1"/>
        <v>0.84241229324340772</v>
      </c>
    </row>
    <row r="22" spans="1:24" x14ac:dyDescent="0.35">
      <c r="A22" s="6" t="s">
        <v>25</v>
      </c>
      <c r="B22" s="7" t="s">
        <v>34</v>
      </c>
      <c r="D22" s="6" t="s">
        <v>35</v>
      </c>
      <c r="E22" s="6">
        <v>1</v>
      </c>
      <c r="F22" s="6">
        <v>1</v>
      </c>
      <c r="G22" s="6" t="s">
        <v>28</v>
      </c>
      <c r="I22" s="8">
        <v>85.144790624999999</v>
      </c>
      <c r="J22" s="8">
        <v>133.79209895833301</v>
      </c>
      <c r="K22" s="6" t="s">
        <v>29</v>
      </c>
      <c r="L22" s="9">
        <v>43741</v>
      </c>
      <c r="N22" s="6">
        <v>1</v>
      </c>
      <c r="O22" s="6" t="s">
        <v>4242</v>
      </c>
      <c r="Q22" s="10"/>
      <c r="R22" s="10">
        <v>82</v>
      </c>
      <c r="S22" s="10">
        <v>92</v>
      </c>
      <c r="T22" s="10">
        <f t="shared" si="0"/>
        <v>87</v>
      </c>
      <c r="V22" s="8">
        <v>-0.74133409360647184</v>
      </c>
      <c r="W22" s="8">
        <v>-5.9789396696090691</v>
      </c>
      <c r="X22" s="8">
        <f t="shared" si="1"/>
        <v>-4.8266920757294329E-2</v>
      </c>
    </row>
    <row r="23" spans="1:24" x14ac:dyDescent="0.35">
      <c r="A23" s="6" t="s">
        <v>25</v>
      </c>
      <c r="B23" s="7" t="s">
        <v>36</v>
      </c>
      <c r="D23" s="6" t="s">
        <v>37</v>
      </c>
      <c r="E23" s="6">
        <v>1</v>
      </c>
      <c r="F23" s="6">
        <v>1</v>
      </c>
      <c r="G23" s="6" t="s">
        <v>28</v>
      </c>
      <c r="I23" s="8">
        <v>85.144790624999999</v>
      </c>
      <c r="J23" s="8">
        <v>133.79209895833301</v>
      </c>
      <c r="K23" s="6" t="s">
        <v>29</v>
      </c>
      <c r="L23" s="9">
        <v>43741</v>
      </c>
      <c r="N23" s="6">
        <v>1</v>
      </c>
      <c r="O23" s="6" t="s">
        <v>4242</v>
      </c>
      <c r="Q23" s="10"/>
      <c r="R23" s="10">
        <v>0</v>
      </c>
      <c r="S23" s="10">
        <v>10</v>
      </c>
      <c r="T23" s="10">
        <f t="shared" si="0"/>
        <v>5</v>
      </c>
      <c r="V23" s="8">
        <v>-4.2837162017822266</v>
      </c>
      <c r="W23" s="8">
        <v>-32.932406082153321</v>
      </c>
      <c r="X23" s="8">
        <f t="shared" si="1"/>
        <v>1.3373235321044916</v>
      </c>
    </row>
    <row r="24" spans="1:24" x14ac:dyDescent="0.35">
      <c r="A24" s="6" t="s">
        <v>25</v>
      </c>
      <c r="B24" s="7" t="s">
        <v>38</v>
      </c>
      <c r="D24" s="6" t="s">
        <v>39</v>
      </c>
      <c r="E24" s="6">
        <v>1</v>
      </c>
      <c r="F24" s="6">
        <v>1</v>
      </c>
      <c r="G24" s="6" t="s">
        <v>28</v>
      </c>
      <c r="I24" s="8">
        <v>85.144790624999999</v>
      </c>
      <c r="J24" s="8">
        <v>133.79209895833301</v>
      </c>
      <c r="K24" s="6" t="s">
        <v>29</v>
      </c>
      <c r="L24" s="9">
        <v>43741</v>
      </c>
      <c r="N24" s="6">
        <v>1</v>
      </c>
      <c r="O24" s="6" t="s">
        <v>4242</v>
      </c>
      <c r="Q24" s="10"/>
      <c r="R24" s="10">
        <v>10</v>
      </c>
      <c r="S24" s="10">
        <v>20</v>
      </c>
      <c r="T24" s="10">
        <f t="shared" si="0"/>
        <v>15</v>
      </c>
      <c r="V24" s="8">
        <v>-4.8361034393310556</v>
      </c>
      <c r="W24" s="8">
        <v>-35.87792022705078</v>
      </c>
      <c r="X24" s="8">
        <f t="shared" si="1"/>
        <v>2.8109072875976651</v>
      </c>
    </row>
    <row r="25" spans="1:24" x14ac:dyDescent="0.35">
      <c r="A25" s="6" t="s">
        <v>25</v>
      </c>
      <c r="B25" s="7" t="s">
        <v>40</v>
      </c>
      <c r="D25" s="6" t="s">
        <v>41</v>
      </c>
      <c r="E25" s="6">
        <v>1</v>
      </c>
      <c r="F25" s="6">
        <v>1</v>
      </c>
      <c r="G25" s="6" t="s">
        <v>28</v>
      </c>
      <c r="I25" s="8">
        <v>85.144790624999999</v>
      </c>
      <c r="J25" s="8">
        <v>133.79209895833301</v>
      </c>
      <c r="K25" s="6" t="s">
        <v>29</v>
      </c>
      <c r="L25" s="9">
        <v>43741</v>
      </c>
      <c r="N25" s="6">
        <v>1</v>
      </c>
      <c r="O25" s="6" t="s">
        <v>4242</v>
      </c>
      <c r="Q25" s="10"/>
      <c r="R25" s="10">
        <v>20</v>
      </c>
      <c r="S25" s="10">
        <v>30</v>
      </c>
      <c r="T25" s="10">
        <f t="shared" si="0"/>
        <v>25</v>
      </c>
      <c r="V25" s="8">
        <v>-2.7815372943878178</v>
      </c>
      <c r="W25" s="8">
        <v>-20.388182525634765</v>
      </c>
      <c r="X25" s="8">
        <f t="shared" si="1"/>
        <v>1.864115829467778</v>
      </c>
    </row>
    <row r="26" spans="1:24" x14ac:dyDescent="0.35">
      <c r="A26" s="6" t="s">
        <v>25</v>
      </c>
      <c r="B26" s="7" t="s">
        <v>42</v>
      </c>
      <c r="D26" s="6" t="s">
        <v>43</v>
      </c>
      <c r="E26" s="6">
        <v>1</v>
      </c>
      <c r="F26" s="6">
        <v>1</v>
      </c>
      <c r="G26" s="6" t="s">
        <v>28</v>
      </c>
      <c r="I26" s="8">
        <v>85.144790624999999</v>
      </c>
      <c r="J26" s="8">
        <v>133.79209895833301</v>
      </c>
      <c r="K26" s="6" t="s">
        <v>29</v>
      </c>
      <c r="L26" s="9">
        <v>43741</v>
      </c>
      <c r="N26" s="6">
        <v>1</v>
      </c>
      <c r="O26" s="6" t="s">
        <v>4242</v>
      </c>
      <c r="Q26" s="10"/>
      <c r="R26" s="10">
        <v>52</v>
      </c>
      <c r="S26" s="10">
        <v>62</v>
      </c>
      <c r="T26" s="10">
        <f t="shared" si="0"/>
        <v>57</v>
      </c>
      <c r="V26" s="8">
        <v>-0.52796268463134799</v>
      </c>
      <c r="W26" s="8">
        <v>-3.78242862701416</v>
      </c>
      <c r="X26" s="8">
        <f t="shared" si="1"/>
        <v>0.44127285003662386</v>
      </c>
    </row>
    <row r="27" spans="1:24" x14ac:dyDescent="0.35">
      <c r="A27" s="6" t="s">
        <v>25</v>
      </c>
      <c r="B27" s="7" t="s">
        <v>44</v>
      </c>
      <c r="D27" s="6" t="s">
        <v>45</v>
      </c>
      <c r="E27" s="6">
        <v>1</v>
      </c>
      <c r="F27" s="6">
        <v>1</v>
      </c>
      <c r="G27" s="6" t="s">
        <v>28</v>
      </c>
      <c r="I27" s="8">
        <v>85.144790624999999</v>
      </c>
      <c r="J27" s="8">
        <v>133.79209895833301</v>
      </c>
      <c r="K27" s="6" t="s">
        <v>29</v>
      </c>
      <c r="L27" s="9">
        <v>43741</v>
      </c>
      <c r="N27" s="6">
        <v>1</v>
      </c>
      <c r="O27" s="6" t="s">
        <v>4242</v>
      </c>
      <c r="Q27" s="10"/>
      <c r="R27" s="10">
        <v>62</v>
      </c>
      <c r="S27" s="10">
        <v>72</v>
      </c>
      <c r="T27" s="10">
        <f t="shared" si="0"/>
        <v>67</v>
      </c>
      <c r="V27" s="8">
        <v>-0.52897989749908503</v>
      </c>
      <c r="W27" s="8">
        <v>-2.8046562480926513</v>
      </c>
      <c r="X27" s="8">
        <f t="shared" si="1"/>
        <v>1.4271829319000289</v>
      </c>
    </row>
    <row r="28" spans="1:24" x14ac:dyDescent="0.35">
      <c r="A28" s="6" t="s">
        <v>25</v>
      </c>
      <c r="B28" s="7"/>
      <c r="D28" s="6" t="s">
        <v>46</v>
      </c>
      <c r="E28" s="6">
        <v>1</v>
      </c>
      <c r="F28" s="6">
        <v>1</v>
      </c>
      <c r="G28" s="6" t="s">
        <v>28</v>
      </c>
      <c r="I28" s="8">
        <v>85.099701597222193</v>
      </c>
      <c r="J28" s="8">
        <v>133.789371527778</v>
      </c>
      <c r="K28" s="6" t="s">
        <v>29</v>
      </c>
      <c r="L28" s="9">
        <v>43743</v>
      </c>
      <c r="N28" s="6">
        <v>1</v>
      </c>
      <c r="O28" s="6" t="s">
        <v>4243</v>
      </c>
      <c r="R28" s="6">
        <v>0</v>
      </c>
      <c r="S28" s="6">
        <v>10</v>
      </c>
      <c r="T28" s="10">
        <f t="shared" si="0"/>
        <v>5</v>
      </c>
      <c r="V28" s="8">
        <v>-5.0546222634887705</v>
      </c>
      <c r="W28" s="8">
        <v>-39.570289764404293</v>
      </c>
      <c r="X28" s="8">
        <f t="shared" si="1"/>
        <v>0.86668834350587076</v>
      </c>
    </row>
    <row r="29" spans="1:24" x14ac:dyDescent="0.35">
      <c r="A29" s="6" t="s">
        <v>25</v>
      </c>
      <c r="B29" s="7"/>
      <c r="D29" s="6" t="s">
        <v>47</v>
      </c>
      <c r="E29" s="6">
        <v>1</v>
      </c>
      <c r="F29" s="6">
        <v>1</v>
      </c>
      <c r="G29" s="6" t="s">
        <v>28</v>
      </c>
      <c r="I29" s="8">
        <v>85.099701597222193</v>
      </c>
      <c r="J29" s="8">
        <v>133.789371527778</v>
      </c>
      <c r="K29" s="6" t="s">
        <v>29</v>
      </c>
      <c r="L29" s="9">
        <v>43743</v>
      </c>
      <c r="N29" s="6">
        <v>1</v>
      </c>
      <c r="O29" s="6" t="s">
        <v>4243</v>
      </c>
      <c r="R29" s="6">
        <v>0</v>
      </c>
      <c r="S29" s="6">
        <v>10</v>
      </c>
      <c r="T29" s="10">
        <f t="shared" si="0"/>
        <v>5</v>
      </c>
      <c r="V29" s="8">
        <v>-4.3573673616027833</v>
      </c>
      <c r="W29" s="8">
        <v>-33.25143970489502</v>
      </c>
      <c r="X29" s="8">
        <f t="shared" si="1"/>
        <v>1.607499187927246</v>
      </c>
    </row>
    <row r="30" spans="1:24" x14ac:dyDescent="0.35">
      <c r="A30" s="6" t="s">
        <v>25</v>
      </c>
      <c r="B30" s="6" t="s">
        <v>48</v>
      </c>
      <c r="D30" s="6" t="s">
        <v>49</v>
      </c>
      <c r="E30" s="6">
        <v>1</v>
      </c>
      <c r="F30" s="6">
        <v>1</v>
      </c>
      <c r="G30" s="6" t="s">
        <v>50</v>
      </c>
      <c r="I30" s="8">
        <v>84.908087777777794</v>
      </c>
      <c r="J30" s="8">
        <v>135.908380208333</v>
      </c>
      <c r="K30" s="6" t="s">
        <v>29</v>
      </c>
      <c r="L30" s="9">
        <v>43747</v>
      </c>
      <c r="N30" s="6">
        <v>2</v>
      </c>
      <c r="O30" s="6" t="s">
        <v>4244</v>
      </c>
      <c r="Q30" s="6">
        <v>0</v>
      </c>
      <c r="R30" s="6">
        <v>0</v>
      </c>
      <c r="S30" s="6">
        <v>10</v>
      </c>
      <c r="T30" s="10">
        <f t="shared" si="0"/>
        <v>5</v>
      </c>
      <c r="V30" s="8">
        <v>-5.0611176494280494</v>
      </c>
      <c r="W30" s="8">
        <v>-39.810881086985269</v>
      </c>
      <c r="X30" s="8">
        <f t="shared" si="1"/>
        <v>0.67806010843912645</v>
      </c>
    </row>
    <row r="31" spans="1:24" x14ac:dyDescent="0.35">
      <c r="A31" s="6" t="s">
        <v>25</v>
      </c>
      <c r="B31" s="6" t="s">
        <v>51</v>
      </c>
      <c r="D31" s="6" t="s">
        <v>49</v>
      </c>
      <c r="E31" s="6">
        <v>1</v>
      </c>
      <c r="F31" s="6">
        <v>1</v>
      </c>
      <c r="G31" s="6" t="s">
        <v>50</v>
      </c>
      <c r="I31" s="8">
        <v>84.908087777777794</v>
      </c>
      <c r="J31" s="8">
        <v>135.908380208333</v>
      </c>
      <c r="K31" s="6" t="s">
        <v>29</v>
      </c>
      <c r="L31" s="9">
        <v>43747</v>
      </c>
      <c r="N31" s="6">
        <v>2</v>
      </c>
      <c r="O31" s="6" t="s">
        <v>4244</v>
      </c>
      <c r="Q31" s="6">
        <v>10</v>
      </c>
      <c r="R31" s="6">
        <v>10</v>
      </c>
      <c r="S31" s="6">
        <v>20</v>
      </c>
      <c r="T31" s="10">
        <f t="shared" si="0"/>
        <v>15</v>
      </c>
      <c r="V31" s="8">
        <v>-3.4949455609798434</v>
      </c>
      <c r="W31" s="8">
        <v>-26.491822105407714</v>
      </c>
      <c r="X31" s="8">
        <f t="shared" si="1"/>
        <v>1.4677423824310338</v>
      </c>
    </row>
    <row r="32" spans="1:24" x14ac:dyDescent="0.35">
      <c r="A32" s="6" t="s">
        <v>25</v>
      </c>
      <c r="B32" s="6" t="s">
        <v>52</v>
      </c>
      <c r="D32" s="6" t="s">
        <v>49</v>
      </c>
      <c r="E32" s="6">
        <v>1</v>
      </c>
      <c r="F32" s="6">
        <v>1</v>
      </c>
      <c r="G32" s="6" t="s">
        <v>50</v>
      </c>
      <c r="I32" s="8">
        <v>84.908087777777794</v>
      </c>
      <c r="J32" s="8">
        <v>135.908380208333</v>
      </c>
      <c r="K32" s="6" t="s">
        <v>29</v>
      </c>
      <c r="L32" s="9">
        <v>43747</v>
      </c>
      <c r="N32" s="6">
        <v>2</v>
      </c>
      <c r="O32" s="6" t="s">
        <v>4244</v>
      </c>
      <c r="Q32" s="6">
        <v>20</v>
      </c>
      <c r="R32" s="6">
        <v>20</v>
      </c>
      <c r="S32" s="6">
        <v>30</v>
      </c>
      <c r="T32" s="10">
        <f t="shared" si="0"/>
        <v>25</v>
      </c>
      <c r="V32" s="8">
        <v>-0.47649671385884274</v>
      </c>
      <c r="W32" s="8">
        <v>-2.9242799670219419</v>
      </c>
      <c r="X32" s="8">
        <f t="shared" si="1"/>
        <v>0.88769374384879995</v>
      </c>
    </row>
    <row r="33" spans="1:24" x14ac:dyDescent="0.35">
      <c r="A33" s="6" t="s">
        <v>25</v>
      </c>
      <c r="B33" s="6" t="s">
        <v>53</v>
      </c>
      <c r="D33" s="6" t="s">
        <v>49</v>
      </c>
      <c r="E33" s="6">
        <v>1</v>
      </c>
      <c r="F33" s="6">
        <v>1</v>
      </c>
      <c r="G33" s="6" t="s">
        <v>50</v>
      </c>
      <c r="I33" s="8">
        <v>84.908087777777794</v>
      </c>
      <c r="J33" s="8">
        <v>135.908380208333</v>
      </c>
      <c r="K33" s="6" t="s">
        <v>29</v>
      </c>
      <c r="L33" s="9">
        <v>43747</v>
      </c>
      <c r="N33" s="6">
        <v>2</v>
      </c>
      <c r="O33" s="6" t="s">
        <v>4244</v>
      </c>
      <c r="Q33" s="6">
        <v>30</v>
      </c>
      <c r="R33" s="6">
        <v>30</v>
      </c>
      <c r="S33" s="6">
        <v>40</v>
      </c>
      <c r="T33" s="10">
        <f t="shared" si="0"/>
        <v>35</v>
      </c>
      <c r="V33" s="8">
        <v>-0.44330404427945613</v>
      </c>
      <c r="W33" s="8">
        <v>-1.382868501663209</v>
      </c>
      <c r="X33" s="8">
        <f t="shared" si="1"/>
        <v>2.1635638525724401</v>
      </c>
    </row>
    <row r="34" spans="1:24" x14ac:dyDescent="0.35">
      <c r="A34" s="6" t="s">
        <v>25</v>
      </c>
      <c r="B34" s="6" t="s">
        <v>54</v>
      </c>
      <c r="D34" s="6" t="s">
        <v>49</v>
      </c>
      <c r="E34" s="6">
        <v>1</v>
      </c>
      <c r="F34" s="6">
        <v>1</v>
      </c>
      <c r="G34" s="6" t="s">
        <v>50</v>
      </c>
      <c r="I34" s="8">
        <v>84.908087777777794</v>
      </c>
      <c r="J34" s="8">
        <v>135.908380208333</v>
      </c>
      <c r="K34" s="6" t="s">
        <v>29</v>
      </c>
      <c r="L34" s="9">
        <v>43747</v>
      </c>
      <c r="N34" s="6">
        <v>2</v>
      </c>
      <c r="O34" s="6" t="s">
        <v>4244</v>
      </c>
      <c r="Q34" s="6">
        <v>40</v>
      </c>
      <c r="R34" s="6">
        <v>40</v>
      </c>
      <c r="S34" s="6">
        <v>50.5</v>
      </c>
      <c r="T34" s="10">
        <f t="shared" ref="T34:T65" si="2">AVERAGE(R34:S34)</f>
        <v>45.25</v>
      </c>
      <c r="V34" s="8">
        <v>0.43791376897394663</v>
      </c>
      <c r="W34" s="8">
        <v>3.3449619412422176</v>
      </c>
      <c r="X34" s="8">
        <f t="shared" si="1"/>
        <v>-0.15834821054935544</v>
      </c>
    </row>
    <row r="35" spans="1:24" x14ac:dyDescent="0.35">
      <c r="A35" s="6" t="s">
        <v>25</v>
      </c>
      <c r="B35" s="6" t="s">
        <v>55</v>
      </c>
      <c r="D35" s="6" t="s">
        <v>49</v>
      </c>
      <c r="E35" s="6">
        <v>1</v>
      </c>
      <c r="F35" s="6">
        <v>1</v>
      </c>
      <c r="G35" s="6" t="s">
        <v>50</v>
      </c>
      <c r="I35" s="8">
        <v>84.908087777777794</v>
      </c>
      <c r="J35" s="8">
        <v>135.908380208333</v>
      </c>
      <c r="K35" s="6" t="s">
        <v>29</v>
      </c>
      <c r="L35" s="9">
        <v>43747</v>
      </c>
      <c r="N35" s="6">
        <v>2</v>
      </c>
      <c r="O35" s="6" t="s">
        <v>4244</v>
      </c>
      <c r="Q35" s="6">
        <v>50.5</v>
      </c>
      <c r="R35" s="6">
        <v>50.5</v>
      </c>
      <c r="S35" s="6">
        <v>61</v>
      </c>
      <c r="T35" s="10">
        <f t="shared" si="2"/>
        <v>55.75</v>
      </c>
      <c r="V35" s="8">
        <v>1.0000119287490845</v>
      </c>
      <c r="W35" s="8">
        <v>7.5923291271209719</v>
      </c>
      <c r="X35" s="8">
        <f t="shared" si="1"/>
        <v>-0.40776630287170423</v>
      </c>
    </row>
    <row r="36" spans="1:24" x14ac:dyDescent="0.35">
      <c r="A36" s="6" t="s">
        <v>25</v>
      </c>
      <c r="B36" s="7"/>
      <c r="D36" s="6" t="s">
        <v>56</v>
      </c>
      <c r="E36" s="6">
        <v>1</v>
      </c>
      <c r="F36" s="6">
        <v>1</v>
      </c>
      <c r="G36" s="6" t="s">
        <v>57</v>
      </c>
      <c r="I36" s="8">
        <v>84.908087777777794</v>
      </c>
      <c r="J36" s="8">
        <v>135.908380208333</v>
      </c>
      <c r="K36" s="6" t="s">
        <v>29</v>
      </c>
      <c r="L36" s="9">
        <v>43747</v>
      </c>
      <c r="N36" s="6">
        <v>2</v>
      </c>
      <c r="O36" s="6" t="s">
        <v>4244</v>
      </c>
      <c r="R36" s="6">
        <v>0</v>
      </c>
      <c r="S36" s="6">
        <v>10</v>
      </c>
      <c r="T36" s="10">
        <f t="shared" si="2"/>
        <v>5</v>
      </c>
      <c r="V36" s="8">
        <v>-4.673436317100526</v>
      </c>
      <c r="W36" s="8">
        <v>-36.002122789382938</v>
      </c>
      <c r="X36" s="8">
        <f t="shared" si="1"/>
        <v>1.3853677474212702</v>
      </c>
    </row>
    <row r="37" spans="1:24" x14ac:dyDescent="0.35">
      <c r="A37" s="6" t="s">
        <v>25</v>
      </c>
      <c r="B37" s="7" t="s">
        <v>58</v>
      </c>
      <c r="C37" s="6">
        <v>510023</v>
      </c>
      <c r="D37" s="6" t="s">
        <v>59</v>
      </c>
      <c r="E37" s="6">
        <v>1</v>
      </c>
      <c r="F37" s="6">
        <v>1</v>
      </c>
      <c r="G37" s="6" t="s">
        <v>60</v>
      </c>
      <c r="I37" s="8">
        <v>84.913235277777801</v>
      </c>
      <c r="J37" s="8">
        <v>135.35366104166701</v>
      </c>
      <c r="K37" s="7" t="s">
        <v>2610</v>
      </c>
      <c r="L37" s="9">
        <v>43748</v>
      </c>
      <c r="N37" s="6">
        <v>2</v>
      </c>
      <c r="O37" s="6" t="s">
        <v>4245</v>
      </c>
      <c r="Q37" s="10">
        <v>200</v>
      </c>
      <c r="R37" s="10"/>
      <c r="S37" s="10">
        <v>200</v>
      </c>
      <c r="T37" s="10">
        <f t="shared" si="2"/>
        <v>200</v>
      </c>
      <c r="U37" s="11"/>
      <c r="V37" s="8">
        <v>-1.2423256700515746</v>
      </c>
      <c r="W37" s="8">
        <v>-8.2609691681861879</v>
      </c>
      <c r="X37" s="8">
        <f t="shared" si="1"/>
        <v>1.6776361922264087</v>
      </c>
    </row>
    <row r="38" spans="1:24" x14ac:dyDescent="0.35">
      <c r="A38" s="6" t="s">
        <v>25</v>
      </c>
      <c r="B38" s="6" t="s">
        <v>61</v>
      </c>
      <c r="C38" s="6">
        <v>510035</v>
      </c>
      <c r="D38" s="6" t="s">
        <v>62</v>
      </c>
      <c r="E38" s="6">
        <v>1</v>
      </c>
      <c r="F38" s="6">
        <v>2</v>
      </c>
      <c r="G38" s="6" t="s">
        <v>63</v>
      </c>
      <c r="I38" s="8">
        <v>84.770107638888902</v>
      </c>
      <c r="J38" s="8">
        <v>134.47681993055599</v>
      </c>
      <c r="K38" s="6" t="s">
        <v>29</v>
      </c>
      <c r="L38" s="9">
        <v>43752</v>
      </c>
      <c r="N38" s="6">
        <v>3</v>
      </c>
      <c r="O38" s="6" t="s">
        <v>4246</v>
      </c>
      <c r="Q38" s="6" t="s">
        <v>64</v>
      </c>
      <c r="R38" s="6">
        <v>0</v>
      </c>
      <c r="S38" s="6">
        <v>10</v>
      </c>
      <c r="T38" s="10">
        <f t="shared" si="2"/>
        <v>5</v>
      </c>
      <c r="U38" s="6">
        <v>6.2</v>
      </c>
      <c r="V38" s="8">
        <v>0.36466421204805399</v>
      </c>
      <c r="W38" s="8">
        <v>5.4302038135528568</v>
      </c>
      <c r="X38" s="8">
        <f t="shared" si="1"/>
        <v>2.5128901171684248</v>
      </c>
    </row>
    <row r="39" spans="1:24" x14ac:dyDescent="0.35">
      <c r="A39" s="6" t="s">
        <v>25</v>
      </c>
      <c r="B39" s="6" t="s">
        <v>65</v>
      </c>
      <c r="C39" s="6">
        <v>510036</v>
      </c>
      <c r="D39" s="6" t="s">
        <v>62</v>
      </c>
      <c r="E39" s="6">
        <v>1</v>
      </c>
      <c r="F39" s="6">
        <v>2</v>
      </c>
      <c r="G39" s="6" t="s">
        <v>63</v>
      </c>
      <c r="I39" s="8">
        <v>84.770107638888902</v>
      </c>
      <c r="J39" s="8">
        <v>134.47681993055599</v>
      </c>
      <c r="K39" s="6" t="s">
        <v>29</v>
      </c>
      <c r="L39" s="9">
        <v>43752</v>
      </c>
      <c r="N39" s="6">
        <v>3</v>
      </c>
      <c r="O39" s="6" t="s">
        <v>4246</v>
      </c>
      <c r="Q39" s="6" t="s">
        <v>66</v>
      </c>
      <c r="R39" s="6">
        <v>10</v>
      </c>
      <c r="S39" s="6">
        <v>20</v>
      </c>
      <c r="T39" s="10">
        <f t="shared" si="2"/>
        <v>15</v>
      </c>
      <c r="U39" s="6">
        <v>7.6</v>
      </c>
      <c r="V39" s="8">
        <v>0.15197142027318455</v>
      </c>
      <c r="W39" s="8">
        <v>2.0339510569572448</v>
      </c>
      <c r="X39" s="8">
        <f t="shared" si="1"/>
        <v>0.81817969477176833</v>
      </c>
    </row>
    <row r="40" spans="1:24" x14ac:dyDescent="0.35">
      <c r="A40" s="6" t="s">
        <v>25</v>
      </c>
      <c r="B40" s="6" t="s">
        <v>67</v>
      </c>
      <c r="C40" s="6">
        <v>510037</v>
      </c>
      <c r="D40" s="6" t="s">
        <v>62</v>
      </c>
      <c r="E40" s="6">
        <v>1</v>
      </c>
      <c r="F40" s="6">
        <v>2</v>
      </c>
      <c r="G40" s="6" t="s">
        <v>63</v>
      </c>
      <c r="I40" s="8">
        <v>84.770107638888902</v>
      </c>
      <c r="J40" s="8">
        <v>134.47681993055599</v>
      </c>
      <c r="K40" s="6" t="s">
        <v>29</v>
      </c>
      <c r="L40" s="9">
        <v>43752</v>
      </c>
      <c r="N40" s="6">
        <v>3</v>
      </c>
      <c r="O40" s="6" t="s">
        <v>4246</v>
      </c>
      <c r="Q40" s="6" t="s">
        <v>68</v>
      </c>
      <c r="R40" s="6">
        <v>20</v>
      </c>
      <c r="S40" s="6">
        <v>32</v>
      </c>
      <c r="T40" s="10">
        <f t="shared" si="2"/>
        <v>26</v>
      </c>
      <c r="U40" s="6">
        <v>6.5</v>
      </c>
      <c r="V40" s="8">
        <v>-0.58785051035881042</v>
      </c>
      <c r="W40" s="8">
        <v>-3.9343988332748414</v>
      </c>
      <c r="X40" s="8">
        <f t="shared" si="1"/>
        <v>0.76840524959564194</v>
      </c>
    </row>
    <row r="41" spans="1:24" x14ac:dyDescent="0.35">
      <c r="A41" s="6" t="s">
        <v>25</v>
      </c>
      <c r="B41" s="6" t="s">
        <v>69</v>
      </c>
      <c r="C41" s="6">
        <v>510038</v>
      </c>
      <c r="D41" s="6" t="s">
        <v>62</v>
      </c>
      <c r="E41" s="6">
        <v>1</v>
      </c>
      <c r="F41" s="6">
        <v>2</v>
      </c>
      <c r="G41" s="6" t="s">
        <v>63</v>
      </c>
      <c r="I41" s="8">
        <v>84.770107638888902</v>
      </c>
      <c r="J41" s="8">
        <v>134.47681993055599</v>
      </c>
      <c r="K41" s="6" t="s">
        <v>29</v>
      </c>
      <c r="L41" s="9">
        <v>43752</v>
      </c>
      <c r="N41" s="6">
        <v>3</v>
      </c>
      <c r="O41" s="6" t="s">
        <v>4246</v>
      </c>
      <c r="Q41" s="6" t="s">
        <v>70</v>
      </c>
      <c r="R41" s="6">
        <v>32</v>
      </c>
      <c r="S41" s="6">
        <v>43</v>
      </c>
      <c r="T41" s="10">
        <f t="shared" si="2"/>
        <v>37.5</v>
      </c>
      <c r="U41" s="6">
        <v>6.1</v>
      </c>
      <c r="V41" s="8">
        <v>-0.8322748823761944</v>
      </c>
      <c r="W41" s="8">
        <v>-5.6881000566482545</v>
      </c>
      <c r="X41" s="8">
        <f t="shared" si="1"/>
        <v>0.97009900236130076</v>
      </c>
    </row>
    <row r="42" spans="1:24" x14ac:dyDescent="0.35">
      <c r="A42" s="6" t="s">
        <v>25</v>
      </c>
      <c r="B42" s="6" t="s">
        <v>71</v>
      </c>
      <c r="C42" s="6">
        <v>510039</v>
      </c>
      <c r="D42" s="6" t="s">
        <v>72</v>
      </c>
      <c r="E42" s="6">
        <v>1</v>
      </c>
      <c r="F42" s="6">
        <v>2</v>
      </c>
      <c r="G42" s="6" t="s">
        <v>63</v>
      </c>
      <c r="I42" s="8">
        <v>84.770107638888902</v>
      </c>
      <c r="J42" s="8">
        <v>134.47681993055599</v>
      </c>
      <c r="K42" s="6" t="s">
        <v>29</v>
      </c>
      <c r="L42" s="9">
        <v>43752</v>
      </c>
      <c r="N42" s="6">
        <v>3</v>
      </c>
      <c r="O42" s="6" t="s">
        <v>4246</v>
      </c>
      <c r="Q42" s="6" t="s">
        <v>73</v>
      </c>
      <c r="R42" s="6">
        <v>0</v>
      </c>
      <c r="S42" s="6">
        <v>12</v>
      </c>
      <c r="T42" s="10">
        <f t="shared" si="2"/>
        <v>6</v>
      </c>
      <c r="U42" s="6">
        <v>6.8</v>
      </c>
      <c r="V42" s="8">
        <v>0.364278190255165</v>
      </c>
      <c r="W42" s="8">
        <v>3.0710392689704897</v>
      </c>
      <c r="X42" s="8">
        <f t="shared" si="1"/>
        <v>0.15681374692916972</v>
      </c>
    </row>
    <row r="43" spans="1:24" x14ac:dyDescent="0.35">
      <c r="A43" s="6" t="s">
        <v>25</v>
      </c>
      <c r="B43" s="6" t="s">
        <v>74</v>
      </c>
      <c r="C43" s="6">
        <v>510040</v>
      </c>
      <c r="D43" s="6" t="s">
        <v>72</v>
      </c>
      <c r="E43" s="6">
        <v>1</v>
      </c>
      <c r="F43" s="6">
        <v>2</v>
      </c>
      <c r="G43" s="6" t="s">
        <v>63</v>
      </c>
      <c r="I43" s="8">
        <v>84.770107638888902</v>
      </c>
      <c r="J43" s="8">
        <v>134.47681993055599</v>
      </c>
      <c r="K43" s="6" t="s">
        <v>29</v>
      </c>
      <c r="L43" s="9">
        <v>43752</v>
      </c>
      <c r="N43" s="6">
        <v>3</v>
      </c>
      <c r="O43" s="6" t="s">
        <v>4246</v>
      </c>
      <c r="Q43" s="6" t="s">
        <v>75</v>
      </c>
      <c r="R43" s="6">
        <v>12</v>
      </c>
      <c r="S43" s="6">
        <v>24</v>
      </c>
      <c r="T43" s="10">
        <f t="shared" si="2"/>
        <v>18</v>
      </c>
      <c r="U43" s="6">
        <v>7.7</v>
      </c>
      <c r="V43" s="8">
        <v>0.89336090308427851</v>
      </c>
      <c r="W43" s="8">
        <v>7.4504221601486202</v>
      </c>
      <c r="X43" s="8">
        <f t="shared" si="1"/>
        <v>0.30353493547439214</v>
      </c>
    </row>
    <row r="44" spans="1:24" x14ac:dyDescent="0.35">
      <c r="A44" s="6" t="s">
        <v>25</v>
      </c>
      <c r="B44" s="6" t="s">
        <v>76</v>
      </c>
      <c r="C44" s="6">
        <v>510041</v>
      </c>
      <c r="D44" s="6" t="s">
        <v>77</v>
      </c>
      <c r="E44" s="6">
        <v>1</v>
      </c>
      <c r="F44" s="6">
        <v>2</v>
      </c>
      <c r="G44" s="6" t="s">
        <v>63</v>
      </c>
      <c r="I44" s="8">
        <v>84.770107638888902</v>
      </c>
      <c r="J44" s="8">
        <v>134.47681993055599</v>
      </c>
      <c r="K44" s="6" t="s">
        <v>29</v>
      </c>
      <c r="L44" s="9">
        <v>43752</v>
      </c>
      <c r="N44" s="6">
        <v>3</v>
      </c>
      <c r="O44" s="6" t="s">
        <v>4246</v>
      </c>
      <c r="Q44" s="6" t="s">
        <v>78</v>
      </c>
      <c r="R44" s="6">
        <v>0</v>
      </c>
      <c r="S44" s="6">
        <v>13.5</v>
      </c>
      <c r="T44" s="10">
        <f t="shared" si="2"/>
        <v>6.75</v>
      </c>
      <c r="U44" s="6">
        <v>0.1</v>
      </c>
      <c r="V44" s="8">
        <v>-1.8585682516098019</v>
      </c>
      <c r="W44" s="8">
        <v>-15.266206773757935</v>
      </c>
      <c r="X44" s="8">
        <f t="shared" si="1"/>
        <v>-0.39766076087951951</v>
      </c>
    </row>
    <row r="45" spans="1:24" x14ac:dyDescent="0.35">
      <c r="A45" s="6" t="s">
        <v>25</v>
      </c>
      <c r="B45" s="6" t="s">
        <v>79</v>
      </c>
      <c r="C45" s="6">
        <v>510042</v>
      </c>
      <c r="D45" s="6" t="s">
        <v>77</v>
      </c>
      <c r="E45" s="6">
        <v>1</v>
      </c>
      <c r="F45" s="6">
        <v>2</v>
      </c>
      <c r="G45" s="6" t="s">
        <v>63</v>
      </c>
      <c r="I45" s="8">
        <v>84.770107638888902</v>
      </c>
      <c r="J45" s="8">
        <v>134.47681993055599</v>
      </c>
      <c r="K45" s="6" t="s">
        <v>29</v>
      </c>
      <c r="L45" s="9">
        <v>43752</v>
      </c>
      <c r="N45" s="6">
        <v>3</v>
      </c>
      <c r="O45" s="6" t="s">
        <v>4246</v>
      </c>
      <c r="Q45" s="6" t="s">
        <v>80</v>
      </c>
      <c r="R45" s="6">
        <v>13.5</v>
      </c>
      <c r="S45" s="6">
        <v>24</v>
      </c>
      <c r="T45" s="10">
        <f t="shared" si="2"/>
        <v>18.75</v>
      </c>
      <c r="U45" s="6">
        <v>0.1</v>
      </c>
      <c r="V45" s="8">
        <v>-2.2214837377071377</v>
      </c>
      <c r="W45" s="8">
        <v>-16.518616230010988</v>
      </c>
      <c r="X45" s="8">
        <f t="shared" si="1"/>
        <v>1.2532536716461138</v>
      </c>
    </row>
    <row r="46" spans="1:24" x14ac:dyDescent="0.35">
      <c r="A46" s="6" t="s">
        <v>25</v>
      </c>
      <c r="B46" s="6" t="s">
        <v>81</v>
      </c>
      <c r="C46" s="6">
        <v>510043</v>
      </c>
      <c r="D46" s="6" t="s">
        <v>77</v>
      </c>
      <c r="E46" s="6">
        <v>1</v>
      </c>
      <c r="F46" s="6">
        <v>2</v>
      </c>
      <c r="G46" s="6" t="s">
        <v>63</v>
      </c>
      <c r="I46" s="8">
        <v>84.770107638888902</v>
      </c>
      <c r="J46" s="8">
        <v>134.47681993055599</v>
      </c>
      <c r="K46" s="6" t="s">
        <v>29</v>
      </c>
      <c r="L46" s="9">
        <v>43752</v>
      </c>
      <c r="N46" s="6">
        <v>3</v>
      </c>
      <c r="O46" s="6" t="s">
        <v>4246</v>
      </c>
      <c r="Q46" s="6" t="s">
        <v>82</v>
      </c>
      <c r="R46" s="6">
        <v>24</v>
      </c>
      <c r="S46" s="6">
        <v>34</v>
      </c>
      <c r="T46" s="10">
        <f t="shared" si="2"/>
        <v>29</v>
      </c>
      <c r="U46" s="6">
        <v>0</v>
      </c>
      <c r="V46" s="8">
        <v>-1.8651960931777956</v>
      </c>
      <c r="W46" s="8">
        <v>-14.498363297939299</v>
      </c>
      <c r="X46" s="8">
        <f t="shared" si="1"/>
        <v>0.4232054474830651</v>
      </c>
    </row>
    <row r="47" spans="1:24" x14ac:dyDescent="0.35">
      <c r="A47" s="6" t="s">
        <v>25</v>
      </c>
      <c r="B47" s="6" t="s">
        <v>83</v>
      </c>
      <c r="C47" s="6">
        <v>510044</v>
      </c>
      <c r="D47" s="6" t="s">
        <v>77</v>
      </c>
      <c r="E47" s="6">
        <v>1</v>
      </c>
      <c r="F47" s="6">
        <v>2</v>
      </c>
      <c r="G47" s="6" t="s">
        <v>63</v>
      </c>
      <c r="I47" s="8">
        <v>84.770107638888902</v>
      </c>
      <c r="J47" s="8">
        <v>134.47681993055599</v>
      </c>
      <c r="K47" s="6" t="s">
        <v>29</v>
      </c>
      <c r="L47" s="9">
        <v>43752</v>
      </c>
      <c r="N47" s="6">
        <v>3</v>
      </c>
      <c r="O47" s="6" t="s">
        <v>4246</v>
      </c>
      <c r="Q47" s="6" t="s">
        <v>84</v>
      </c>
      <c r="R47" s="6">
        <v>34</v>
      </c>
      <c r="S47" s="6">
        <v>42</v>
      </c>
      <c r="T47" s="10">
        <f t="shared" si="2"/>
        <v>38</v>
      </c>
      <c r="U47" s="6">
        <v>0.9</v>
      </c>
      <c r="V47" s="8">
        <v>-1.5344789577484133</v>
      </c>
      <c r="W47" s="8">
        <v>-11.683573079586028</v>
      </c>
      <c r="X47" s="8">
        <f t="shared" si="1"/>
        <v>0.59225858240127849</v>
      </c>
    </row>
    <row r="48" spans="1:24" x14ac:dyDescent="0.35">
      <c r="A48" s="6" t="s">
        <v>25</v>
      </c>
      <c r="B48" s="6" t="s">
        <v>85</v>
      </c>
      <c r="C48" s="6">
        <v>510045</v>
      </c>
      <c r="D48" s="6" t="s">
        <v>77</v>
      </c>
      <c r="E48" s="6">
        <v>1</v>
      </c>
      <c r="F48" s="6">
        <v>2</v>
      </c>
      <c r="G48" s="6" t="s">
        <v>63</v>
      </c>
      <c r="I48" s="8">
        <v>84.770107638888902</v>
      </c>
      <c r="J48" s="8">
        <v>134.47681993055599</v>
      </c>
      <c r="K48" s="6" t="s">
        <v>29</v>
      </c>
      <c r="L48" s="9">
        <v>43752</v>
      </c>
      <c r="N48" s="6">
        <v>3</v>
      </c>
      <c r="O48" s="6" t="s">
        <v>4246</v>
      </c>
      <c r="Q48" s="6" t="s">
        <v>86</v>
      </c>
      <c r="R48" s="6">
        <v>42</v>
      </c>
      <c r="S48" s="6">
        <v>53</v>
      </c>
      <c r="T48" s="10">
        <f t="shared" si="2"/>
        <v>47.5</v>
      </c>
      <c r="U48" s="6">
        <v>2.1</v>
      </c>
      <c r="V48" s="8">
        <v>-1.1124152589797971</v>
      </c>
      <c r="W48" s="8">
        <v>-8.1175827500820148</v>
      </c>
      <c r="X48" s="8">
        <f t="shared" si="1"/>
        <v>0.78173932175636196</v>
      </c>
    </row>
    <row r="49" spans="1:24" x14ac:dyDescent="0.35">
      <c r="A49" s="6" t="s">
        <v>25</v>
      </c>
      <c r="B49" s="6" t="s">
        <v>87</v>
      </c>
      <c r="C49" s="6">
        <v>510046</v>
      </c>
      <c r="D49" s="6" t="s">
        <v>77</v>
      </c>
      <c r="E49" s="6">
        <v>1</v>
      </c>
      <c r="F49" s="6">
        <v>2</v>
      </c>
      <c r="G49" s="6" t="s">
        <v>63</v>
      </c>
      <c r="I49" s="8">
        <v>84.770107638888902</v>
      </c>
      <c r="J49" s="8">
        <v>134.47681993055599</v>
      </c>
      <c r="K49" s="6" t="s">
        <v>29</v>
      </c>
      <c r="L49" s="9">
        <v>43752</v>
      </c>
      <c r="N49" s="6">
        <v>3</v>
      </c>
      <c r="O49" s="6" t="s">
        <v>4246</v>
      </c>
      <c r="Q49" s="6" t="s">
        <v>88</v>
      </c>
      <c r="R49" s="6">
        <v>53</v>
      </c>
      <c r="S49" s="6">
        <v>63</v>
      </c>
      <c r="T49" s="10">
        <f t="shared" si="2"/>
        <v>58</v>
      </c>
      <c r="U49" s="6">
        <v>1.5</v>
      </c>
      <c r="V49" s="8">
        <v>0.3263284114837649</v>
      </c>
      <c r="W49" s="8">
        <v>3.0676955606937408</v>
      </c>
      <c r="X49" s="8">
        <f t="shared" si="1"/>
        <v>0.45706826882362162</v>
      </c>
    </row>
    <row r="50" spans="1:24" x14ac:dyDescent="0.35">
      <c r="A50" s="6" t="s">
        <v>25</v>
      </c>
      <c r="B50" s="6" t="s">
        <v>89</v>
      </c>
      <c r="C50" s="6">
        <v>510047</v>
      </c>
      <c r="D50" s="6" t="s">
        <v>77</v>
      </c>
      <c r="E50" s="6">
        <v>1</v>
      </c>
      <c r="F50" s="6">
        <v>2</v>
      </c>
      <c r="G50" s="6" t="s">
        <v>63</v>
      </c>
      <c r="I50" s="8">
        <v>84.770107638888902</v>
      </c>
      <c r="J50" s="8">
        <v>134.47681993055599</v>
      </c>
      <c r="K50" s="6" t="s">
        <v>29</v>
      </c>
      <c r="L50" s="9">
        <v>43752</v>
      </c>
      <c r="N50" s="6">
        <v>3</v>
      </c>
      <c r="O50" s="6" t="s">
        <v>4246</v>
      </c>
      <c r="Q50" s="6" t="s">
        <v>90</v>
      </c>
      <c r="R50" s="6">
        <v>63</v>
      </c>
      <c r="S50" s="6">
        <v>78</v>
      </c>
      <c r="T50" s="10">
        <f t="shared" si="2"/>
        <v>70.5</v>
      </c>
      <c r="U50" s="6">
        <v>3.6</v>
      </c>
      <c r="V50" s="8">
        <v>0.455266756439209</v>
      </c>
      <c r="W50" s="8">
        <v>3.5428511476516724</v>
      </c>
      <c r="X50" s="8">
        <f t="shared" si="1"/>
        <v>-9.9282903861999561E-2</v>
      </c>
    </row>
    <row r="51" spans="1:24" x14ac:dyDescent="0.35">
      <c r="A51" s="6" t="s">
        <v>25</v>
      </c>
      <c r="B51" s="6" t="s">
        <v>91</v>
      </c>
      <c r="C51" s="6">
        <v>510057</v>
      </c>
      <c r="D51" s="6" t="s">
        <v>92</v>
      </c>
      <c r="E51" s="6">
        <v>1</v>
      </c>
      <c r="F51" s="6">
        <v>2</v>
      </c>
      <c r="G51" s="6" t="s">
        <v>63</v>
      </c>
      <c r="I51" s="8">
        <v>84.770107638888902</v>
      </c>
      <c r="J51" s="8">
        <v>134.47681993055599</v>
      </c>
      <c r="K51" s="6" t="s">
        <v>29</v>
      </c>
      <c r="L51" s="9">
        <v>43752</v>
      </c>
      <c r="N51" s="6">
        <v>3</v>
      </c>
      <c r="O51" s="6" t="s">
        <v>4246</v>
      </c>
      <c r="Q51" s="6" t="s">
        <v>64</v>
      </c>
      <c r="R51" s="6">
        <v>0</v>
      </c>
      <c r="S51" s="6">
        <v>10</v>
      </c>
      <c r="T51" s="10">
        <f t="shared" si="2"/>
        <v>5</v>
      </c>
      <c r="U51" s="6">
        <v>7</v>
      </c>
      <c r="V51" s="8">
        <v>-3.1577192207336431</v>
      </c>
      <c r="W51" s="8">
        <v>-24.152954673767088</v>
      </c>
      <c r="X51" s="8">
        <f t="shared" si="1"/>
        <v>1.108799092102057</v>
      </c>
    </row>
    <row r="52" spans="1:24" x14ac:dyDescent="0.35">
      <c r="A52" s="6" t="s">
        <v>25</v>
      </c>
      <c r="B52" s="6" t="s">
        <v>93</v>
      </c>
      <c r="C52" s="6">
        <v>510058</v>
      </c>
      <c r="D52" s="6" t="s">
        <v>92</v>
      </c>
      <c r="E52" s="6">
        <v>1</v>
      </c>
      <c r="F52" s="6">
        <v>2</v>
      </c>
      <c r="G52" s="6" t="s">
        <v>63</v>
      </c>
      <c r="I52" s="8">
        <v>84.770107638888902</v>
      </c>
      <c r="J52" s="8">
        <v>134.47681993055599</v>
      </c>
      <c r="K52" s="6" t="s">
        <v>29</v>
      </c>
      <c r="L52" s="9">
        <v>43752</v>
      </c>
      <c r="N52" s="6">
        <v>3</v>
      </c>
      <c r="O52" s="6" t="s">
        <v>4246</v>
      </c>
      <c r="Q52" s="6" t="s">
        <v>94</v>
      </c>
      <c r="R52" s="6">
        <v>10</v>
      </c>
      <c r="S52" s="6">
        <v>23</v>
      </c>
      <c r="T52" s="10">
        <f t="shared" si="2"/>
        <v>16.5</v>
      </c>
      <c r="U52" s="6">
        <v>6.4</v>
      </c>
      <c r="V52" s="8">
        <v>-0.25590915355682381</v>
      </c>
      <c r="W52" s="8">
        <v>-1.3738763601779942</v>
      </c>
      <c r="X52" s="8">
        <f t="shared" si="1"/>
        <v>0.67339686827659628</v>
      </c>
    </row>
    <row r="53" spans="1:24" x14ac:dyDescent="0.35">
      <c r="A53" s="6" t="s">
        <v>25</v>
      </c>
      <c r="B53" s="6" t="s">
        <v>95</v>
      </c>
      <c r="C53" s="6">
        <v>510059</v>
      </c>
      <c r="D53" s="6" t="s">
        <v>92</v>
      </c>
      <c r="E53" s="6">
        <v>1</v>
      </c>
      <c r="F53" s="6">
        <v>2</v>
      </c>
      <c r="G53" s="6" t="s">
        <v>63</v>
      </c>
      <c r="I53" s="8">
        <v>84.770107638888902</v>
      </c>
      <c r="J53" s="8">
        <v>134.47681993055599</v>
      </c>
      <c r="K53" s="6" t="s">
        <v>29</v>
      </c>
      <c r="L53" s="9">
        <v>43752</v>
      </c>
      <c r="N53" s="6">
        <v>3</v>
      </c>
      <c r="O53" s="6" t="s">
        <v>4246</v>
      </c>
      <c r="Q53" s="6" t="s">
        <v>96</v>
      </c>
      <c r="R53" s="6">
        <v>23</v>
      </c>
      <c r="S53" s="6">
        <v>33</v>
      </c>
      <c r="T53" s="10">
        <f t="shared" si="2"/>
        <v>28</v>
      </c>
      <c r="U53" s="6">
        <v>5.5</v>
      </c>
      <c r="V53" s="8">
        <v>-6.2115492439270364E-2</v>
      </c>
      <c r="W53" s="8">
        <v>-0.30956320410966892</v>
      </c>
      <c r="X53" s="8">
        <f t="shared" si="1"/>
        <v>0.18736073540449399</v>
      </c>
    </row>
    <row r="54" spans="1:24" x14ac:dyDescent="0.35">
      <c r="A54" s="6" t="s">
        <v>25</v>
      </c>
      <c r="B54" s="6" t="s">
        <v>97</v>
      </c>
      <c r="C54" s="6">
        <v>510060</v>
      </c>
      <c r="D54" s="6" t="s">
        <v>92</v>
      </c>
      <c r="E54" s="6">
        <v>1</v>
      </c>
      <c r="F54" s="6">
        <v>2</v>
      </c>
      <c r="G54" s="6" t="s">
        <v>63</v>
      </c>
      <c r="I54" s="8">
        <v>84.770107638888902</v>
      </c>
      <c r="J54" s="8">
        <v>134.47681993055599</v>
      </c>
      <c r="K54" s="6" t="s">
        <v>29</v>
      </c>
      <c r="L54" s="9">
        <v>43752</v>
      </c>
      <c r="N54" s="6">
        <v>3</v>
      </c>
      <c r="O54" s="6" t="s">
        <v>4246</v>
      </c>
      <c r="Q54" s="6" t="s">
        <v>98</v>
      </c>
      <c r="R54" s="6">
        <v>33</v>
      </c>
      <c r="S54" s="6">
        <v>43</v>
      </c>
      <c r="T54" s="10">
        <f t="shared" si="2"/>
        <v>38</v>
      </c>
      <c r="U54" s="6">
        <v>3.5</v>
      </c>
      <c r="V54" s="8">
        <v>-0.14696355257034291</v>
      </c>
      <c r="W54" s="8">
        <v>-2.1757127945423123</v>
      </c>
      <c r="X54" s="8">
        <f t="shared" si="1"/>
        <v>-1.000004373979569</v>
      </c>
    </row>
    <row r="55" spans="1:24" x14ac:dyDescent="0.35">
      <c r="A55" s="6" t="s">
        <v>25</v>
      </c>
      <c r="B55" s="6" t="s">
        <v>99</v>
      </c>
      <c r="C55" s="6">
        <v>510061</v>
      </c>
      <c r="D55" s="6" t="s">
        <v>92</v>
      </c>
      <c r="E55" s="6">
        <v>1</v>
      </c>
      <c r="F55" s="6">
        <v>2</v>
      </c>
      <c r="G55" s="6" t="s">
        <v>63</v>
      </c>
      <c r="I55" s="8">
        <v>84.770107638888902</v>
      </c>
      <c r="J55" s="8">
        <v>134.47681993055599</v>
      </c>
      <c r="K55" s="6" t="s">
        <v>29</v>
      </c>
      <c r="L55" s="9">
        <v>43752</v>
      </c>
      <c r="N55" s="6">
        <v>3</v>
      </c>
      <c r="O55" s="6" t="s">
        <v>4246</v>
      </c>
      <c r="Q55" s="6" t="s">
        <v>100</v>
      </c>
      <c r="R55" s="6">
        <v>43</v>
      </c>
      <c r="S55" s="6">
        <v>53</v>
      </c>
      <c r="T55" s="10">
        <f t="shared" si="2"/>
        <v>48</v>
      </c>
      <c r="U55" s="6">
        <v>3</v>
      </c>
      <c r="V55" s="8">
        <v>-0.9357251134872433</v>
      </c>
      <c r="W55" s="8">
        <v>-7.564944044113159</v>
      </c>
      <c r="X55" s="8">
        <f t="shared" si="1"/>
        <v>-7.9143136215212628E-2</v>
      </c>
    </row>
    <row r="56" spans="1:24" x14ac:dyDescent="0.35">
      <c r="A56" s="6" t="s">
        <v>25</v>
      </c>
      <c r="B56" s="6" t="s">
        <v>101</v>
      </c>
      <c r="C56" s="6">
        <v>510062</v>
      </c>
      <c r="D56" s="6" t="s">
        <v>92</v>
      </c>
      <c r="E56" s="6">
        <v>1</v>
      </c>
      <c r="F56" s="6">
        <v>2</v>
      </c>
      <c r="G56" s="6" t="s">
        <v>63</v>
      </c>
      <c r="I56" s="8">
        <v>84.770107638888902</v>
      </c>
      <c r="J56" s="8">
        <v>134.47681993055599</v>
      </c>
      <c r="K56" s="6" t="s">
        <v>29</v>
      </c>
      <c r="L56" s="9">
        <v>43752</v>
      </c>
      <c r="N56" s="6">
        <v>3</v>
      </c>
      <c r="O56" s="6" t="s">
        <v>4246</v>
      </c>
      <c r="Q56" s="6" t="s">
        <v>102</v>
      </c>
      <c r="R56" s="6">
        <v>53</v>
      </c>
      <c r="S56" s="6">
        <v>60</v>
      </c>
      <c r="T56" s="10">
        <f t="shared" si="2"/>
        <v>56.5</v>
      </c>
      <c r="U56" s="6">
        <v>3.1</v>
      </c>
      <c r="V56" s="8">
        <v>-1.328217908477783</v>
      </c>
      <c r="W56" s="8">
        <v>-10.759495302200317</v>
      </c>
      <c r="X56" s="8">
        <f t="shared" si="1"/>
        <v>-0.13375203437805361</v>
      </c>
    </row>
    <row r="57" spans="1:24" x14ac:dyDescent="0.35">
      <c r="A57" s="6" t="s">
        <v>25</v>
      </c>
      <c r="B57" s="6" t="s">
        <v>103</v>
      </c>
      <c r="C57" s="6">
        <v>510063</v>
      </c>
      <c r="D57" s="6" t="s">
        <v>92</v>
      </c>
      <c r="E57" s="6">
        <v>1</v>
      </c>
      <c r="F57" s="6">
        <v>2</v>
      </c>
      <c r="G57" s="6" t="s">
        <v>63</v>
      </c>
      <c r="I57" s="8">
        <v>84.770107638888902</v>
      </c>
      <c r="J57" s="8">
        <v>134.47681993055599</v>
      </c>
      <c r="K57" s="6" t="s">
        <v>29</v>
      </c>
      <c r="L57" s="9">
        <v>43752</v>
      </c>
      <c r="N57" s="6">
        <v>3</v>
      </c>
      <c r="O57" s="6" t="s">
        <v>4246</v>
      </c>
      <c r="Q57" s="6" t="s">
        <v>104</v>
      </c>
      <c r="R57" s="6">
        <v>60</v>
      </c>
      <c r="S57" s="6">
        <v>69</v>
      </c>
      <c r="T57" s="10">
        <f t="shared" si="2"/>
        <v>64.5</v>
      </c>
      <c r="U57" s="6">
        <v>3.6</v>
      </c>
      <c r="V57" s="8">
        <v>-1.0762204319000246</v>
      </c>
      <c r="W57" s="8">
        <v>-8.4372869844436647</v>
      </c>
      <c r="X57" s="8">
        <f t="shared" si="1"/>
        <v>0.17247647075653205</v>
      </c>
    </row>
    <row r="58" spans="1:24" x14ac:dyDescent="0.35">
      <c r="A58" s="6" t="s">
        <v>25</v>
      </c>
      <c r="B58" s="6" t="s">
        <v>105</v>
      </c>
      <c r="C58" s="6">
        <v>510085</v>
      </c>
      <c r="D58" s="6" t="s">
        <v>106</v>
      </c>
      <c r="E58" s="6">
        <v>1</v>
      </c>
      <c r="F58" s="6">
        <v>2</v>
      </c>
      <c r="G58" s="6" t="s">
        <v>107</v>
      </c>
      <c r="I58" s="8">
        <v>84.8243581944444</v>
      </c>
      <c r="J58" s="8">
        <v>133.1380825</v>
      </c>
      <c r="K58" s="6" t="s">
        <v>29</v>
      </c>
      <c r="L58" s="9">
        <v>43756</v>
      </c>
      <c r="N58" s="6">
        <v>3</v>
      </c>
      <c r="O58" s="6" t="s">
        <v>4247</v>
      </c>
      <c r="Q58" s="6" t="s">
        <v>64</v>
      </c>
      <c r="R58" s="6">
        <v>0</v>
      </c>
      <c r="S58" s="6">
        <v>10</v>
      </c>
      <c r="T58" s="10">
        <f t="shared" si="2"/>
        <v>5</v>
      </c>
      <c r="U58" s="6">
        <v>8.6</v>
      </c>
      <c r="V58" s="8">
        <v>-2.7498560806274415</v>
      </c>
      <c r="W58" s="8">
        <v>-21.58897963142395</v>
      </c>
      <c r="X58" s="8">
        <f t="shared" si="1"/>
        <v>0.40986901359558203</v>
      </c>
    </row>
    <row r="59" spans="1:24" x14ac:dyDescent="0.35">
      <c r="A59" s="6" t="s">
        <v>25</v>
      </c>
      <c r="B59" s="6" t="s">
        <v>108</v>
      </c>
      <c r="C59" s="6">
        <v>510086</v>
      </c>
      <c r="D59" s="6" t="s">
        <v>106</v>
      </c>
      <c r="E59" s="6">
        <v>1</v>
      </c>
      <c r="F59" s="6">
        <v>2</v>
      </c>
      <c r="G59" s="6" t="s">
        <v>107</v>
      </c>
      <c r="I59" s="8">
        <v>84.8243581944444</v>
      </c>
      <c r="J59" s="8">
        <v>133.1380825</v>
      </c>
      <c r="K59" s="6" t="s">
        <v>29</v>
      </c>
      <c r="L59" s="9">
        <v>43756</v>
      </c>
      <c r="N59" s="6">
        <v>3</v>
      </c>
      <c r="O59" s="6" t="s">
        <v>4247</v>
      </c>
      <c r="Q59" s="6" t="s">
        <v>109</v>
      </c>
      <c r="R59" s="6">
        <v>10</v>
      </c>
      <c r="S59" s="6">
        <v>20</v>
      </c>
      <c r="T59" s="10">
        <f t="shared" si="2"/>
        <v>15</v>
      </c>
      <c r="U59" s="6">
        <v>6.3</v>
      </c>
      <c r="V59" s="8">
        <v>-2.6487737937927252</v>
      </c>
      <c r="W59" s="8">
        <v>-21.526246559143065</v>
      </c>
      <c r="X59" s="8">
        <f t="shared" si="1"/>
        <v>-0.33605620880126352</v>
      </c>
    </row>
    <row r="60" spans="1:24" x14ac:dyDescent="0.35">
      <c r="A60" s="6" t="s">
        <v>25</v>
      </c>
      <c r="B60" s="6" t="s">
        <v>110</v>
      </c>
      <c r="C60" s="6">
        <v>510087</v>
      </c>
      <c r="D60" s="6" t="s">
        <v>106</v>
      </c>
      <c r="E60" s="6">
        <v>1</v>
      </c>
      <c r="F60" s="6">
        <v>2</v>
      </c>
      <c r="G60" s="6" t="s">
        <v>107</v>
      </c>
      <c r="I60" s="8">
        <v>84.8243581944444</v>
      </c>
      <c r="J60" s="8">
        <v>133.1380825</v>
      </c>
      <c r="K60" s="6" t="s">
        <v>29</v>
      </c>
      <c r="L60" s="9">
        <v>43756</v>
      </c>
      <c r="N60" s="6">
        <v>3</v>
      </c>
      <c r="O60" s="6" t="s">
        <v>4247</v>
      </c>
      <c r="Q60" s="6" t="s">
        <v>111</v>
      </c>
      <c r="R60" s="6">
        <v>20</v>
      </c>
      <c r="S60" s="6">
        <v>30</v>
      </c>
      <c r="T60" s="10">
        <f t="shared" si="2"/>
        <v>25</v>
      </c>
      <c r="U60" s="6">
        <v>5.4</v>
      </c>
      <c r="V60" s="8">
        <v>-1.215491469955444</v>
      </c>
      <c r="W60" s="8">
        <v>-9.1255166225433353</v>
      </c>
      <c r="X60" s="8">
        <f t="shared" si="1"/>
        <v>0.59841513710021665</v>
      </c>
    </row>
    <row r="61" spans="1:24" x14ac:dyDescent="0.35">
      <c r="A61" s="6" t="s">
        <v>25</v>
      </c>
      <c r="B61" s="6" t="s">
        <v>112</v>
      </c>
      <c r="C61" s="6">
        <v>510088</v>
      </c>
      <c r="D61" s="6" t="s">
        <v>106</v>
      </c>
      <c r="E61" s="6">
        <v>1</v>
      </c>
      <c r="F61" s="6">
        <v>2</v>
      </c>
      <c r="G61" s="6" t="s">
        <v>107</v>
      </c>
      <c r="I61" s="8">
        <v>84.8243581944444</v>
      </c>
      <c r="J61" s="8">
        <v>133.1380825</v>
      </c>
      <c r="K61" s="6" t="s">
        <v>29</v>
      </c>
      <c r="L61" s="9">
        <v>43756</v>
      </c>
      <c r="N61" s="6">
        <v>3</v>
      </c>
      <c r="O61" s="6" t="s">
        <v>4247</v>
      </c>
      <c r="Q61" s="6" t="s">
        <v>113</v>
      </c>
      <c r="R61" s="6">
        <v>30</v>
      </c>
      <c r="S61" s="6">
        <v>39</v>
      </c>
      <c r="T61" s="10">
        <f t="shared" si="2"/>
        <v>34.5</v>
      </c>
      <c r="U61" s="6">
        <v>6.9</v>
      </c>
      <c r="V61" s="8">
        <v>1.096433981323242</v>
      </c>
      <c r="W61" s="8">
        <v>9.053515159606933</v>
      </c>
      <c r="X61" s="8">
        <f t="shared" si="1"/>
        <v>0.28204330902099706</v>
      </c>
    </row>
    <row r="62" spans="1:24" x14ac:dyDescent="0.35">
      <c r="A62" s="6" t="s">
        <v>25</v>
      </c>
      <c r="B62" s="6" t="s">
        <v>114</v>
      </c>
      <c r="C62" s="6">
        <v>510089</v>
      </c>
      <c r="D62" s="6" t="s">
        <v>115</v>
      </c>
      <c r="E62" s="6">
        <v>1</v>
      </c>
      <c r="F62" s="6">
        <v>2</v>
      </c>
      <c r="G62" s="6" t="s">
        <v>107</v>
      </c>
      <c r="I62" s="8">
        <v>84.8243581944444</v>
      </c>
      <c r="J62" s="8">
        <v>133.1380825</v>
      </c>
      <c r="K62" s="6" t="s">
        <v>29</v>
      </c>
      <c r="L62" s="9">
        <v>43756</v>
      </c>
      <c r="N62" s="6">
        <v>3</v>
      </c>
      <c r="O62" s="6" t="s">
        <v>4247</v>
      </c>
      <c r="Q62" s="6" t="s">
        <v>64</v>
      </c>
      <c r="R62" s="6">
        <v>0</v>
      </c>
      <c r="S62" s="6">
        <v>10</v>
      </c>
      <c r="T62" s="10">
        <f t="shared" si="2"/>
        <v>5</v>
      </c>
      <c r="U62" s="6">
        <v>8.6</v>
      </c>
      <c r="V62" s="8">
        <v>-11.181551385498047</v>
      </c>
      <c r="W62" s="8">
        <v>-84.252583648681636</v>
      </c>
      <c r="X62" s="8">
        <f t="shared" si="1"/>
        <v>5.1998274353027369</v>
      </c>
    </row>
    <row r="63" spans="1:24" x14ac:dyDescent="0.35">
      <c r="A63" s="6" t="s">
        <v>25</v>
      </c>
      <c r="B63" s="6" t="s">
        <v>116</v>
      </c>
      <c r="C63" s="6">
        <v>510090</v>
      </c>
      <c r="D63" s="6" t="s">
        <v>115</v>
      </c>
      <c r="E63" s="6">
        <v>1</v>
      </c>
      <c r="F63" s="6">
        <v>2</v>
      </c>
      <c r="G63" s="6" t="s">
        <v>107</v>
      </c>
      <c r="I63" s="8">
        <v>84.8243581944444</v>
      </c>
      <c r="J63" s="8">
        <v>133.1380825</v>
      </c>
      <c r="K63" s="6" t="s">
        <v>29</v>
      </c>
      <c r="L63" s="9">
        <v>43756</v>
      </c>
      <c r="N63" s="6">
        <v>3</v>
      </c>
      <c r="O63" s="6" t="s">
        <v>4247</v>
      </c>
      <c r="Q63" s="6" t="s">
        <v>109</v>
      </c>
      <c r="R63" s="6">
        <v>10</v>
      </c>
      <c r="S63" s="6">
        <v>20</v>
      </c>
      <c r="T63" s="10">
        <f t="shared" si="2"/>
        <v>15</v>
      </c>
      <c r="U63" s="6">
        <v>6.2</v>
      </c>
      <c r="V63" s="8">
        <v>-4.1604870849609377</v>
      </c>
      <c r="W63" s="8">
        <v>-31.131747138977051</v>
      </c>
      <c r="X63" s="8">
        <f t="shared" si="1"/>
        <v>2.1521495407104503</v>
      </c>
    </row>
    <row r="64" spans="1:24" x14ac:dyDescent="0.35">
      <c r="A64" s="6" t="s">
        <v>25</v>
      </c>
      <c r="B64" s="6" t="s">
        <v>117</v>
      </c>
      <c r="C64" s="6">
        <v>510091</v>
      </c>
      <c r="D64" s="6" t="s">
        <v>115</v>
      </c>
      <c r="E64" s="6">
        <v>1</v>
      </c>
      <c r="F64" s="6">
        <v>2</v>
      </c>
      <c r="G64" s="6" t="s">
        <v>107</v>
      </c>
      <c r="I64" s="8">
        <v>84.8243581944444</v>
      </c>
      <c r="J64" s="8">
        <v>133.1380825</v>
      </c>
      <c r="K64" s="6" t="s">
        <v>29</v>
      </c>
      <c r="L64" s="9">
        <v>43756</v>
      </c>
      <c r="N64" s="6">
        <v>3</v>
      </c>
      <c r="O64" s="6" t="s">
        <v>4247</v>
      </c>
      <c r="Q64" s="6" t="s">
        <v>111</v>
      </c>
      <c r="R64" s="6">
        <v>20</v>
      </c>
      <c r="S64" s="6">
        <v>30</v>
      </c>
      <c r="T64" s="10">
        <f t="shared" si="2"/>
        <v>25</v>
      </c>
      <c r="U64" s="6">
        <v>6.2</v>
      </c>
      <c r="V64" s="8">
        <v>-0.77248126373290993</v>
      </c>
      <c r="W64" s="8">
        <v>-5.492679805755615</v>
      </c>
      <c r="X64" s="8">
        <f t="shared" si="1"/>
        <v>0.68717030410766444</v>
      </c>
    </row>
    <row r="65" spans="1:24" x14ac:dyDescent="0.35">
      <c r="A65" s="6" t="s">
        <v>25</v>
      </c>
      <c r="B65" s="6" t="s">
        <v>118</v>
      </c>
      <c r="C65" s="6">
        <v>510092</v>
      </c>
      <c r="D65" s="6" t="s">
        <v>115</v>
      </c>
      <c r="E65" s="6">
        <v>1</v>
      </c>
      <c r="F65" s="6">
        <v>2</v>
      </c>
      <c r="G65" s="6" t="s">
        <v>107</v>
      </c>
      <c r="I65" s="8">
        <v>84.8243581944444</v>
      </c>
      <c r="J65" s="8">
        <v>133.1380825</v>
      </c>
      <c r="K65" s="6" t="s">
        <v>29</v>
      </c>
      <c r="L65" s="9">
        <v>43756</v>
      </c>
      <c r="N65" s="6">
        <v>3</v>
      </c>
      <c r="O65" s="6" t="s">
        <v>4247</v>
      </c>
      <c r="Q65" s="6" t="s">
        <v>119</v>
      </c>
      <c r="R65" s="6">
        <v>30</v>
      </c>
      <c r="S65" s="6">
        <v>38</v>
      </c>
      <c r="T65" s="10">
        <f t="shared" si="2"/>
        <v>34</v>
      </c>
      <c r="U65" s="6">
        <v>6.6</v>
      </c>
      <c r="V65" s="8">
        <v>-0.55139312610626223</v>
      </c>
      <c r="W65" s="8">
        <v>-3.5201894273757932</v>
      </c>
      <c r="X65" s="8">
        <f t="shared" si="1"/>
        <v>0.89095558147430465</v>
      </c>
    </row>
    <row r="66" spans="1:24" x14ac:dyDescent="0.35">
      <c r="A66" s="6" t="s">
        <v>25</v>
      </c>
      <c r="B66" s="6" t="s">
        <v>120</v>
      </c>
      <c r="C66" s="6">
        <v>510093</v>
      </c>
      <c r="D66" s="6" t="s">
        <v>115</v>
      </c>
      <c r="E66" s="6">
        <v>1</v>
      </c>
      <c r="F66" s="6">
        <v>2</v>
      </c>
      <c r="G66" s="6" t="s">
        <v>107</v>
      </c>
      <c r="I66" s="8">
        <v>84.8243581944444</v>
      </c>
      <c r="J66" s="8">
        <v>133.1380825</v>
      </c>
      <c r="K66" s="6" t="s">
        <v>29</v>
      </c>
      <c r="L66" s="9">
        <v>43756</v>
      </c>
      <c r="N66" s="6">
        <v>3</v>
      </c>
      <c r="O66" s="6" t="s">
        <v>4247</v>
      </c>
      <c r="Q66" s="6" t="s">
        <v>121</v>
      </c>
      <c r="R66" s="6">
        <v>38</v>
      </c>
      <c r="S66" s="6">
        <v>48</v>
      </c>
      <c r="T66" s="10">
        <f t="shared" ref="T66:T97" si="3">AVERAGE(R66:S66)</f>
        <v>43</v>
      </c>
      <c r="U66" s="6">
        <v>8</v>
      </c>
      <c r="V66" s="8">
        <v>0.61593647518157946</v>
      </c>
      <c r="W66" s="8">
        <v>4.9996384315490721</v>
      </c>
      <c r="X66" s="8">
        <f t="shared" ref="X66:X129" si="4">W66-(8*V66)</f>
        <v>7.2146630096436404E-2</v>
      </c>
    </row>
    <row r="67" spans="1:24" x14ac:dyDescent="0.35">
      <c r="A67" s="6" t="s">
        <v>25</v>
      </c>
      <c r="B67" s="6" t="s">
        <v>122</v>
      </c>
      <c r="C67" s="6">
        <v>510094</v>
      </c>
      <c r="D67" s="6" t="s">
        <v>115</v>
      </c>
      <c r="E67" s="6">
        <v>1</v>
      </c>
      <c r="F67" s="6">
        <v>2</v>
      </c>
      <c r="G67" s="6" t="s">
        <v>107</v>
      </c>
      <c r="I67" s="8">
        <v>84.8243581944444</v>
      </c>
      <c r="J67" s="8">
        <v>133.1380825</v>
      </c>
      <c r="K67" s="6" t="s">
        <v>29</v>
      </c>
      <c r="L67" s="9">
        <v>43756</v>
      </c>
      <c r="N67" s="6">
        <v>3</v>
      </c>
      <c r="O67" s="6" t="s">
        <v>4247</v>
      </c>
      <c r="Q67" s="6" t="s">
        <v>123</v>
      </c>
      <c r="R67" s="6">
        <v>48</v>
      </c>
      <c r="S67" s="6">
        <v>58</v>
      </c>
      <c r="T67" s="10">
        <f t="shared" si="3"/>
        <v>53</v>
      </c>
      <c r="U67" s="6">
        <v>5.5</v>
      </c>
      <c r="V67" s="8">
        <v>-1.7631202388763427</v>
      </c>
      <c r="W67" s="8">
        <v>-14.085186630249023</v>
      </c>
      <c r="X67" s="8">
        <f t="shared" si="4"/>
        <v>1.9775280761718861E-2</v>
      </c>
    </row>
    <row r="68" spans="1:24" x14ac:dyDescent="0.35">
      <c r="A68" s="6" t="s">
        <v>25</v>
      </c>
      <c r="B68" s="6" t="s">
        <v>124</v>
      </c>
      <c r="C68" s="6">
        <v>510095</v>
      </c>
      <c r="D68" s="6" t="s">
        <v>125</v>
      </c>
      <c r="E68" s="6">
        <v>1</v>
      </c>
      <c r="F68" s="6">
        <v>2</v>
      </c>
      <c r="G68" s="6" t="s">
        <v>107</v>
      </c>
      <c r="I68" s="8">
        <v>84.8243581944444</v>
      </c>
      <c r="J68" s="8">
        <v>133.1380825</v>
      </c>
      <c r="K68" s="6" t="s">
        <v>29</v>
      </c>
      <c r="L68" s="9">
        <v>43756</v>
      </c>
      <c r="N68" s="6">
        <v>3</v>
      </c>
      <c r="O68" s="6" t="s">
        <v>4247</v>
      </c>
      <c r="Q68" s="6" t="s">
        <v>64</v>
      </c>
      <c r="R68" s="6">
        <v>0</v>
      </c>
      <c r="S68" s="6">
        <v>10</v>
      </c>
      <c r="T68" s="10">
        <f t="shared" si="3"/>
        <v>5</v>
      </c>
      <c r="U68" s="6">
        <v>8</v>
      </c>
      <c r="V68" s="8">
        <v>-1.59002861366272</v>
      </c>
      <c r="W68" s="8">
        <v>-12.425722684860229</v>
      </c>
      <c r="X68" s="8">
        <f t="shared" si="4"/>
        <v>0.29450622444153041</v>
      </c>
    </row>
    <row r="69" spans="1:24" x14ac:dyDescent="0.35">
      <c r="A69" s="6" t="s">
        <v>25</v>
      </c>
      <c r="B69" s="6" t="s">
        <v>126</v>
      </c>
      <c r="C69" s="6">
        <v>510096</v>
      </c>
      <c r="D69" s="6" t="s">
        <v>125</v>
      </c>
      <c r="E69" s="6">
        <v>1</v>
      </c>
      <c r="F69" s="6">
        <v>2</v>
      </c>
      <c r="G69" s="6" t="s">
        <v>107</v>
      </c>
      <c r="I69" s="8">
        <v>84.8243581944444</v>
      </c>
      <c r="J69" s="8">
        <v>133.1380825</v>
      </c>
      <c r="K69" s="6" t="s">
        <v>29</v>
      </c>
      <c r="L69" s="9">
        <v>43756</v>
      </c>
      <c r="N69" s="6">
        <v>3</v>
      </c>
      <c r="O69" s="6" t="s">
        <v>4247</v>
      </c>
      <c r="Q69" s="6" t="s">
        <v>109</v>
      </c>
      <c r="R69" s="6">
        <v>10</v>
      </c>
      <c r="S69" s="6">
        <v>20</v>
      </c>
      <c r="T69" s="10">
        <f t="shared" si="3"/>
        <v>15</v>
      </c>
      <c r="U69" s="6">
        <v>4.0999999999999996</v>
      </c>
      <c r="V69" s="8">
        <v>-2.6127402854919439</v>
      </c>
      <c r="W69" s="8">
        <v>-20.507969882965089</v>
      </c>
      <c r="X69" s="8">
        <f t="shared" si="4"/>
        <v>0.39395240097046269</v>
      </c>
    </row>
    <row r="70" spans="1:24" x14ac:dyDescent="0.35">
      <c r="A70" s="6" t="s">
        <v>25</v>
      </c>
      <c r="B70" s="6" t="s">
        <v>127</v>
      </c>
      <c r="C70" s="6">
        <v>510097</v>
      </c>
      <c r="D70" s="6" t="s">
        <v>125</v>
      </c>
      <c r="E70" s="6">
        <v>1</v>
      </c>
      <c r="F70" s="6">
        <v>2</v>
      </c>
      <c r="G70" s="6" t="s">
        <v>107</v>
      </c>
      <c r="I70" s="8">
        <v>84.8243581944444</v>
      </c>
      <c r="J70" s="8">
        <v>133.1380825</v>
      </c>
      <c r="K70" s="6" t="s">
        <v>29</v>
      </c>
      <c r="L70" s="9">
        <v>43756</v>
      </c>
      <c r="N70" s="6">
        <v>3</v>
      </c>
      <c r="O70" s="6" t="s">
        <v>4247</v>
      </c>
      <c r="Q70" s="6" t="s">
        <v>128</v>
      </c>
      <c r="R70" s="6">
        <v>20</v>
      </c>
      <c r="S70" s="6">
        <v>34</v>
      </c>
      <c r="T70" s="10">
        <f t="shared" si="3"/>
        <v>27</v>
      </c>
      <c r="U70" s="6">
        <v>6.9</v>
      </c>
      <c r="V70" s="8">
        <v>1.0432004064559932</v>
      </c>
      <c r="W70" s="8">
        <v>8.5457408065795892</v>
      </c>
      <c r="X70" s="8">
        <f t="shared" si="4"/>
        <v>0.20013755493164354</v>
      </c>
    </row>
    <row r="71" spans="1:24" x14ac:dyDescent="0.35">
      <c r="A71" s="6" t="s">
        <v>25</v>
      </c>
      <c r="B71" s="6" t="s">
        <v>129</v>
      </c>
      <c r="C71" s="6">
        <v>510098</v>
      </c>
      <c r="D71" s="6" t="s">
        <v>130</v>
      </c>
      <c r="E71" s="6">
        <v>1</v>
      </c>
      <c r="F71" s="6">
        <v>2</v>
      </c>
      <c r="G71" s="6" t="s">
        <v>107</v>
      </c>
      <c r="I71" s="8">
        <v>84.8243581944444</v>
      </c>
      <c r="J71" s="8">
        <v>133.1380825</v>
      </c>
      <c r="K71" s="6" t="s">
        <v>29</v>
      </c>
      <c r="L71" s="9">
        <v>43756</v>
      </c>
      <c r="N71" s="6">
        <v>3</v>
      </c>
      <c r="O71" s="6" t="s">
        <v>4247</v>
      </c>
      <c r="Q71" s="6" t="s">
        <v>64</v>
      </c>
      <c r="R71" s="6">
        <v>0</v>
      </c>
      <c r="S71" s="6">
        <v>10</v>
      </c>
      <c r="T71" s="10">
        <f t="shared" si="3"/>
        <v>5</v>
      </c>
      <c r="U71" s="6">
        <v>5.4</v>
      </c>
      <c r="V71" s="8">
        <v>-12.870231317138671</v>
      </c>
      <c r="W71" s="8">
        <v>-96.674850646972658</v>
      </c>
      <c r="X71" s="8">
        <f t="shared" si="4"/>
        <v>6.2869998901367126</v>
      </c>
    </row>
    <row r="72" spans="1:24" x14ac:dyDescent="0.35">
      <c r="A72" s="6" t="s">
        <v>25</v>
      </c>
      <c r="B72" s="6" t="s">
        <v>131</v>
      </c>
      <c r="C72" s="6">
        <v>510099</v>
      </c>
      <c r="D72" s="6" t="s">
        <v>130</v>
      </c>
      <c r="E72" s="6">
        <v>1</v>
      </c>
      <c r="F72" s="6">
        <v>2</v>
      </c>
      <c r="G72" s="6" t="s">
        <v>107</v>
      </c>
      <c r="I72" s="8">
        <v>84.8243581944444</v>
      </c>
      <c r="J72" s="8">
        <v>133.1380825</v>
      </c>
      <c r="K72" s="6" t="s">
        <v>29</v>
      </c>
      <c r="L72" s="9">
        <v>43756</v>
      </c>
      <c r="N72" s="6">
        <v>3</v>
      </c>
      <c r="O72" s="6" t="s">
        <v>4247</v>
      </c>
      <c r="Q72" s="6" t="s">
        <v>109</v>
      </c>
      <c r="R72" s="6">
        <v>10</v>
      </c>
      <c r="S72" s="6">
        <v>20</v>
      </c>
      <c r="T72" s="10">
        <f t="shared" si="3"/>
        <v>15</v>
      </c>
      <c r="U72" s="6">
        <v>4.7</v>
      </c>
      <c r="V72" s="8">
        <v>-9.5982738192558266</v>
      </c>
      <c r="W72" s="8">
        <v>-72.932364829254141</v>
      </c>
      <c r="X72" s="8">
        <f t="shared" si="4"/>
        <v>3.8538257247924719</v>
      </c>
    </row>
    <row r="73" spans="1:24" x14ac:dyDescent="0.35">
      <c r="A73" s="6" t="s">
        <v>25</v>
      </c>
      <c r="B73" s="6" t="s">
        <v>132</v>
      </c>
      <c r="C73" s="6">
        <v>510100</v>
      </c>
      <c r="D73" s="6" t="s">
        <v>130</v>
      </c>
      <c r="E73" s="6">
        <v>1</v>
      </c>
      <c r="F73" s="6">
        <v>2</v>
      </c>
      <c r="G73" s="6" t="s">
        <v>107</v>
      </c>
      <c r="I73" s="8">
        <v>84.8243581944444</v>
      </c>
      <c r="J73" s="8">
        <v>133.1380825</v>
      </c>
      <c r="K73" s="6" t="s">
        <v>29</v>
      </c>
      <c r="L73" s="9">
        <v>43756</v>
      </c>
      <c r="N73" s="6">
        <v>3</v>
      </c>
      <c r="O73" s="6" t="s">
        <v>4247</v>
      </c>
      <c r="Q73" s="6" t="s">
        <v>133</v>
      </c>
      <c r="R73" s="6">
        <v>20</v>
      </c>
      <c r="S73" s="6">
        <v>32</v>
      </c>
      <c r="T73" s="10">
        <f t="shared" si="3"/>
        <v>26</v>
      </c>
      <c r="U73" s="6">
        <v>6.3</v>
      </c>
      <c r="V73" s="8">
        <v>-1.2040600635528567</v>
      </c>
      <c r="W73" s="8">
        <v>-8.4687438085556046</v>
      </c>
      <c r="X73" s="8">
        <f t="shared" si="4"/>
        <v>1.1637366998672487</v>
      </c>
    </row>
    <row r="74" spans="1:24" x14ac:dyDescent="0.35">
      <c r="A74" s="6" t="s">
        <v>25</v>
      </c>
      <c r="B74" s="6" t="s">
        <v>134</v>
      </c>
      <c r="C74" s="6">
        <v>510101</v>
      </c>
      <c r="D74" s="6" t="s">
        <v>130</v>
      </c>
      <c r="E74" s="6">
        <v>1</v>
      </c>
      <c r="F74" s="6">
        <v>2</v>
      </c>
      <c r="G74" s="6" t="s">
        <v>107</v>
      </c>
      <c r="I74" s="8">
        <v>84.8243581944444</v>
      </c>
      <c r="J74" s="8">
        <v>133.1380825</v>
      </c>
      <c r="K74" s="6" t="s">
        <v>29</v>
      </c>
      <c r="L74" s="9">
        <v>43756</v>
      </c>
      <c r="N74" s="6">
        <v>3</v>
      </c>
      <c r="O74" s="6" t="s">
        <v>4247</v>
      </c>
      <c r="Q74" s="6" t="s">
        <v>135</v>
      </c>
      <c r="R74" s="6">
        <v>32</v>
      </c>
      <c r="S74" s="6">
        <v>42</v>
      </c>
      <c r="T74" s="10">
        <f t="shared" si="3"/>
        <v>37</v>
      </c>
      <c r="U74" s="6">
        <v>6.6</v>
      </c>
      <c r="V74" s="8">
        <v>-1.2915276650760321</v>
      </c>
      <c r="W74" s="8">
        <v>-10.387319383811951</v>
      </c>
      <c r="X74" s="8">
        <f t="shared" si="4"/>
        <v>-5.5098063203693926E-2</v>
      </c>
    </row>
    <row r="75" spans="1:24" x14ac:dyDescent="0.35">
      <c r="A75" s="6" t="s">
        <v>25</v>
      </c>
      <c r="B75" s="6" t="s">
        <v>136</v>
      </c>
      <c r="C75" s="6">
        <v>510109</v>
      </c>
      <c r="D75" s="6" t="s">
        <v>130</v>
      </c>
      <c r="E75" s="6">
        <v>1</v>
      </c>
      <c r="F75" s="6">
        <v>2</v>
      </c>
      <c r="G75" s="6" t="s">
        <v>107</v>
      </c>
      <c r="I75" s="8">
        <v>84.8243581944444</v>
      </c>
      <c r="J75" s="8">
        <v>133.1380825</v>
      </c>
      <c r="K75" s="6" t="s">
        <v>29</v>
      </c>
      <c r="L75" s="9">
        <v>43756</v>
      </c>
      <c r="N75" s="6">
        <v>3</v>
      </c>
      <c r="O75" s="6" t="s">
        <v>4247</v>
      </c>
      <c r="Q75" s="6" t="s">
        <v>64</v>
      </c>
      <c r="R75" s="6">
        <v>0</v>
      </c>
      <c r="S75" s="6">
        <v>10</v>
      </c>
      <c r="T75" s="10">
        <f t="shared" si="3"/>
        <v>5</v>
      </c>
      <c r="U75" s="6">
        <v>3.7</v>
      </c>
      <c r="V75" s="8">
        <v>-10.1019612118721</v>
      </c>
      <c r="W75" s="8">
        <v>-77.16741384201049</v>
      </c>
      <c r="X75" s="8">
        <f t="shared" si="4"/>
        <v>3.6482758529663073</v>
      </c>
    </row>
    <row r="76" spans="1:24" x14ac:dyDescent="0.35">
      <c r="A76" s="6" t="s">
        <v>25</v>
      </c>
      <c r="B76" s="6" t="s">
        <v>137</v>
      </c>
      <c r="C76" s="6">
        <v>510110</v>
      </c>
      <c r="D76" s="6" t="s">
        <v>130</v>
      </c>
      <c r="E76" s="6">
        <v>1</v>
      </c>
      <c r="F76" s="6">
        <v>2</v>
      </c>
      <c r="G76" s="6" t="s">
        <v>107</v>
      </c>
      <c r="I76" s="8">
        <v>84.8243581944444</v>
      </c>
      <c r="J76" s="8">
        <v>133.1380825</v>
      </c>
      <c r="K76" s="6" t="s">
        <v>29</v>
      </c>
      <c r="L76" s="9">
        <v>43756</v>
      </c>
      <c r="N76" s="6">
        <v>3</v>
      </c>
      <c r="O76" s="6" t="s">
        <v>4247</v>
      </c>
      <c r="Q76" s="6" t="s">
        <v>138</v>
      </c>
      <c r="R76" s="6">
        <v>10</v>
      </c>
      <c r="S76" s="6">
        <v>20</v>
      </c>
      <c r="T76" s="10">
        <f t="shared" si="3"/>
        <v>15</v>
      </c>
      <c r="U76" s="6">
        <v>4.2</v>
      </c>
      <c r="V76" s="8">
        <v>-8.8945795643806473</v>
      </c>
      <c r="W76" s="8">
        <v>-66.444868512725833</v>
      </c>
      <c r="X76" s="8">
        <f t="shared" si="4"/>
        <v>4.7117680023193458</v>
      </c>
    </row>
    <row r="77" spans="1:24" x14ac:dyDescent="0.35">
      <c r="A77" s="6" t="s">
        <v>25</v>
      </c>
      <c r="B77" s="6" t="s">
        <v>139</v>
      </c>
      <c r="C77" s="6">
        <v>510111</v>
      </c>
      <c r="D77" s="6" t="s">
        <v>130</v>
      </c>
      <c r="E77" s="6">
        <v>1</v>
      </c>
      <c r="F77" s="6">
        <v>2</v>
      </c>
      <c r="G77" s="6" t="s">
        <v>107</v>
      </c>
      <c r="I77" s="8">
        <v>84.8243581944444</v>
      </c>
      <c r="J77" s="8">
        <v>133.1380825</v>
      </c>
      <c r="K77" s="6" t="s">
        <v>29</v>
      </c>
      <c r="L77" s="9">
        <v>43756</v>
      </c>
      <c r="N77" s="6">
        <v>3</v>
      </c>
      <c r="O77" s="6" t="s">
        <v>4247</v>
      </c>
      <c r="Q77" s="6" t="s">
        <v>140</v>
      </c>
      <c r="R77" s="6">
        <v>20</v>
      </c>
      <c r="S77" s="6">
        <v>31</v>
      </c>
      <c r="T77" s="10">
        <f t="shared" si="3"/>
        <v>25.5</v>
      </c>
      <c r="U77" s="6">
        <v>3.2</v>
      </c>
      <c r="V77" s="8">
        <v>-6.0336783111572272</v>
      </c>
      <c r="W77" s="8">
        <v>-47.787683221435543</v>
      </c>
      <c r="X77" s="8">
        <f t="shared" si="4"/>
        <v>0.48174326782227439</v>
      </c>
    </row>
    <row r="78" spans="1:24" x14ac:dyDescent="0.35">
      <c r="A78" s="6" t="s">
        <v>25</v>
      </c>
      <c r="B78" s="6" t="s">
        <v>141</v>
      </c>
      <c r="C78" s="6">
        <v>510112</v>
      </c>
      <c r="D78" s="6" t="s">
        <v>130</v>
      </c>
      <c r="E78" s="6">
        <v>1</v>
      </c>
      <c r="F78" s="6">
        <v>2</v>
      </c>
      <c r="G78" s="6" t="s">
        <v>107</v>
      </c>
      <c r="I78" s="8">
        <v>84.8243581944444</v>
      </c>
      <c r="J78" s="8">
        <v>133.1380825</v>
      </c>
      <c r="K78" s="6" t="s">
        <v>29</v>
      </c>
      <c r="L78" s="9">
        <v>43756</v>
      </c>
      <c r="N78" s="6">
        <v>3</v>
      </c>
      <c r="O78" s="6" t="s">
        <v>4247</v>
      </c>
      <c r="Q78" s="6" t="s">
        <v>142</v>
      </c>
      <c r="R78" s="6">
        <v>31</v>
      </c>
      <c r="S78" s="6">
        <v>44</v>
      </c>
      <c r="T78" s="10">
        <f t="shared" si="3"/>
        <v>37.5</v>
      </c>
      <c r="U78" s="6">
        <v>5.5</v>
      </c>
      <c r="V78" s="8">
        <v>0.37781292707920067</v>
      </c>
      <c r="W78" s="8">
        <v>1.3625032487154005</v>
      </c>
      <c r="X78" s="8">
        <f t="shared" si="4"/>
        <v>-1.6600001679182048</v>
      </c>
    </row>
    <row r="79" spans="1:24" x14ac:dyDescent="0.35">
      <c r="A79" s="6" t="s">
        <v>25</v>
      </c>
      <c r="B79" s="6" t="s">
        <v>143</v>
      </c>
      <c r="C79" s="6">
        <v>510113</v>
      </c>
      <c r="D79" s="6" t="s">
        <v>130</v>
      </c>
      <c r="E79" s="6">
        <v>1</v>
      </c>
      <c r="F79" s="6">
        <v>2</v>
      </c>
      <c r="G79" s="6" t="s">
        <v>107</v>
      </c>
      <c r="I79" s="8">
        <v>84.8243581944444</v>
      </c>
      <c r="J79" s="8">
        <v>133.1380825</v>
      </c>
      <c r="K79" s="6" t="s">
        <v>29</v>
      </c>
      <c r="L79" s="9">
        <v>43756</v>
      </c>
      <c r="N79" s="6">
        <v>3</v>
      </c>
      <c r="O79" s="6" t="s">
        <v>4247</v>
      </c>
      <c r="Q79" s="6" t="s">
        <v>64</v>
      </c>
      <c r="R79" s="6">
        <v>0</v>
      </c>
      <c r="S79" s="6">
        <v>10</v>
      </c>
      <c r="T79" s="10">
        <f t="shared" si="3"/>
        <v>5</v>
      </c>
      <c r="U79" s="6">
        <v>8.8000000000000007</v>
      </c>
      <c r="V79" s="8">
        <v>-0.12590021206736562</v>
      </c>
      <c r="W79" s="8">
        <v>-1.8282734068393709</v>
      </c>
      <c r="X79" s="8">
        <f t="shared" si="4"/>
        <v>-0.8210717103004459</v>
      </c>
    </row>
    <row r="80" spans="1:24" x14ac:dyDescent="0.35">
      <c r="A80" s="6" t="s">
        <v>25</v>
      </c>
      <c r="B80" s="6" t="s">
        <v>144</v>
      </c>
      <c r="C80" s="6">
        <v>510114</v>
      </c>
      <c r="D80" s="6" t="s">
        <v>130</v>
      </c>
      <c r="E80" s="6">
        <v>1</v>
      </c>
      <c r="F80" s="6">
        <v>2</v>
      </c>
      <c r="G80" s="6" t="s">
        <v>107</v>
      </c>
      <c r="I80" s="8">
        <v>84.8243581944444</v>
      </c>
      <c r="J80" s="8">
        <v>133.1380825</v>
      </c>
      <c r="K80" s="6" t="s">
        <v>29</v>
      </c>
      <c r="L80" s="9">
        <v>43756</v>
      </c>
      <c r="N80" s="6">
        <v>3</v>
      </c>
      <c r="O80" s="6" t="s">
        <v>4247</v>
      </c>
      <c r="Q80" s="6" t="s">
        <v>109</v>
      </c>
      <c r="R80" s="6">
        <v>10</v>
      </c>
      <c r="S80" s="6">
        <v>20</v>
      </c>
      <c r="T80" s="10">
        <f t="shared" si="3"/>
        <v>15</v>
      </c>
      <c r="U80" s="6">
        <v>7.1</v>
      </c>
      <c r="V80" s="8">
        <v>0.13860396296232946</v>
      </c>
      <c r="W80" s="8">
        <v>-1.559410331583023</v>
      </c>
      <c r="X80" s="8">
        <f t="shared" si="4"/>
        <v>-2.6682420352816587</v>
      </c>
    </row>
    <row r="81" spans="1:24" x14ac:dyDescent="0.35">
      <c r="A81" s="6" t="s">
        <v>25</v>
      </c>
      <c r="B81" s="6" t="s">
        <v>145</v>
      </c>
      <c r="C81" s="6">
        <v>510115</v>
      </c>
      <c r="D81" s="6" t="s">
        <v>130</v>
      </c>
      <c r="E81" s="6">
        <v>1</v>
      </c>
      <c r="F81" s="6">
        <v>2</v>
      </c>
      <c r="G81" s="6" t="s">
        <v>107</v>
      </c>
      <c r="I81" s="8">
        <v>84.8243581944444</v>
      </c>
      <c r="J81" s="8">
        <v>133.1380825</v>
      </c>
      <c r="K81" s="6" t="s">
        <v>29</v>
      </c>
      <c r="L81" s="9">
        <v>43756</v>
      </c>
      <c r="N81" s="6">
        <v>3</v>
      </c>
      <c r="O81" s="6" t="s">
        <v>4247</v>
      </c>
      <c r="Q81" s="6" t="s">
        <v>146</v>
      </c>
      <c r="R81" s="6">
        <v>20</v>
      </c>
      <c r="S81" s="6">
        <v>30</v>
      </c>
      <c r="T81" s="10">
        <f t="shared" si="3"/>
        <v>25</v>
      </c>
      <c r="U81" s="6">
        <v>6.4</v>
      </c>
      <c r="V81" s="8">
        <v>-0.83052235064208513</v>
      </c>
      <c r="W81" s="8">
        <v>-7.5035937858581541</v>
      </c>
      <c r="X81" s="8">
        <f t="shared" si="4"/>
        <v>-0.85941498072147304</v>
      </c>
    </row>
    <row r="82" spans="1:24" x14ac:dyDescent="0.35">
      <c r="A82" s="6" t="s">
        <v>25</v>
      </c>
      <c r="B82" s="6" t="s">
        <v>147</v>
      </c>
      <c r="C82" s="6">
        <v>510116</v>
      </c>
      <c r="D82" s="6" t="s">
        <v>130</v>
      </c>
      <c r="E82" s="6">
        <v>1</v>
      </c>
      <c r="F82" s="6">
        <v>2</v>
      </c>
      <c r="G82" s="6" t="s">
        <v>107</v>
      </c>
      <c r="I82" s="8">
        <v>84.8243581944444</v>
      </c>
      <c r="J82" s="8">
        <v>133.1380825</v>
      </c>
      <c r="K82" s="6" t="s">
        <v>29</v>
      </c>
      <c r="L82" s="9">
        <v>43756</v>
      </c>
      <c r="N82" s="6">
        <v>3</v>
      </c>
      <c r="O82" s="6" t="s">
        <v>4247</v>
      </c>
      <c r="Q82" s="6" t="s">
        <v>148</v>
      </c>
      <c r="R82" s="6">
        <v>30</v>
      </c>
      <c r="S82" s="6">
        <v>37.5</v>
      </c>
      <c r="T82" s="10">
        <f t="shared" si="3"/>
        <v>33.75</v>
      </c>
      <c r="U82" s="6">
        <v>5.3</v>
      </c>
      <c r="V82" s="8">
        <v>-0.79831197236776363</v>
      </c>
      <c r="W82" s="8">
        <v>-9.1890559893608099</v>
      </c>
      <c r="X82" s="8">
        <f t="shared" si="4"/>
        <v>-2.8025602104187008</v>
      </c>
    </row>
    <row r="83" spans="1:24" x14ac:dyDescent="0.35">
      <c r="A83" s="6" t="s">
        <v>25</v>
      </c>
      <c r="B83" s="6" t="s">
        <v>149</v>
      </c>
      <c r="C83" s="6">
        <v>510117</v>
      </c>
      <c r="D83" s="6" t="s">
        <v>130</v>
      </c>
      <c r="E83" s="6">
        <v>1</v>
      </c>
      <c r="F83" s="6">
        <v>2</v>
      </c>
      <c r="G83" s="6" t="s">
        <v>107</v>
      </c>
      <c r="I83" s="8">
        <v>84.8243581944444</v>
      </c>
      <c r="J83" s="8">
        <v>133.1380825</v>
      </c>
      <c r="K83" s="6" t="s">
        <v>29</v>
      </c>
      <c r="L83" s="9">
        <v>43756</v>
      </c>
      <c r="N83" s="6">
        <v>3</v>
      </c>
      <c r="O83" s="6" t="s">
        <v>4247</v>
      </c>
      <c r="Q83" s="6" t="s">
        <v>150</v>
      </c>
      <c r="R83" s="6">
        <v>37.5</v>
      </c>
      <c r="S83" s="6">
        <v>46.5</v>
      </c>
      <c r="T83" s="10">
        <f t="shared" si="3"/>
        <v>42</v>
      </c>
      <c r="U83" s="6">
        <v>7.1</v>
      </c>
      <c r="V83" s="8">
        <v>0.95479983444213845</v>
      </c>
      <c r="W83" s="8">
        <v>5.7017754568397994</v>
      </c>
      <c r="X83" s="8">
        <f t="shared" si="4"/>
        <v>-1.9366232186973082</v>
      </c>
    </row>
    <row r="84" spans="1:24" x14ac:dyDescent="0.35">
      <c r="A84" s="6" t="s">
        <v>25</v>
      </c>
      <c r="B84" s="6" t="s">
        <v>151</v>
      </c>
      <c r="C84" s="6">
        <v>510153</v>
      </c>
      <c r="D84" s="6" t="s">
        <v>152</v>
      </c>
      <c r="E84" s="6">
        <v>1</v>
      </c>
      <c r="F84" s="6">
        <v>3</v>
      </c>
      <c r="G84" s="6" t="s">
        <v>153</v>
      </c>
      <c r="I84" s="8">
        <v>85.348898888888897</v>
      </c>
      <c r="J84" s="8">
        <v>129.88336361111101</v>
      </c>
      <c r="K84" s="6" t="s">
        <v>29</v>
      </c>
      <c r="L84" s="9">
        <v>43761</v>
      </c>
      <c r="N84" s="6">
        <v>4</v>
      </c>
      <c r="O84" s="6" t="s">
        <v>4248</v>
      </c>
      <c r="Q84" s="6" t="s">
        <v>64</v>
      </c>
      <c r="R84" s="6">
        <v>0</v>
      </c>
      <c r="S84" s="6">
        <v>10</v>
      </c>
      <c r="T84" s="10">
        <f t="shared" si="3"/>
        <v>5</v>
      </c>
      <c r="U84" s="6">
        <v>5.6</v>
      </c>
      <c r="V84" s="8">
        <v>-5.1415718735933318</v>
      </c>
      <c r="W84" s="8">
        <v>-42.128601903533934</v>
      </c>
      <c r="X84" s="8">
        <f t="shared" si="4"/>
        <v>-0.99602691478727934</v>
      </c>
    </row>
    <row r="85" spans="1:24" x14ac:dyDescent="0.35">
      <c r="A85" s="6" t="s">
        <v>25</v>
      </c>
      <c r="B85" s="6" t="s">
        <v>154</v>
      </c>
      <c r="C85" s="6">
        <v>510154</v>
      </c>
      <c r="D85" s="6" t="s">
        <v>152</v>
      </c>
      <c r="E85" s="6">
        <v>1</v>
      </c>
      <c r="F85" s="6">
        <v>3</v>
      </c>
      <c r="G85" s="6" t="s">
        <v>153</v>
      </c>
      <c r="I85" s="8">
        <v>85.348898888888897</v>
      </c>
      <c r="J85" s="8">
        <v>129.88336361111101</v>
      </c>
      <c r="K85" s="6" t="s">
        <v>29</v>
      </c>
      <c r="L85" s="9">
        <v>43761</v>
      </c>
      <c r="N85" s="6">
        <v>4</v>
      </c>
      <c r="O85" s="6" t="s">
        <v>4248</v>
      </c>
      <c r="Q85" s="6" t="s">
        <v>138</v>
      </c>
      <c r="R85" s="6">
        <v>10</v>
      </c>
      <c r="S85" s="6">
        <v>20</v>
      </c>
      <c r="T85" s="10">
        <f t="shared" si="3"/>
        <v>15</v>
      </c>
      <c r="U85" s="6">
        <v>0.7</v>
      </c>
      <c r="V85" s="8">
        <v>-4.6903988467931752</v>
      </c>
      <c r="W85" s="8">
        <v>-37.674556609725947</v>
      </c>
      <c r="X85" s="8">
        <f t="shared" si="4"/>
        <v>-0.15136583538054538</v>
      </c>
    </row>
    <row r="86" spans="1:24" x14ac:dyDescent="0.35">
      <c r="A86" s="6" t="s">
        <v>25</v>
      </c>
      <c r="B86" s="6" t="s">
        <v>155</v>
      </c>
      <c r="C86" s="6">
        <v>510155</v>
      </c>
      <c r="D86" s="6" t="s">
        <v>152</v>
      </c>
      <c r="E86" s="6">
        <v>1</v>
      </c>
      <c r="F86" s="6">
        <v>3</v>
      </c>
      <c r="G86" s="6" t="s">
        <v>153</v>
      </c>
      <c r="I86" s="8">
        <v>85.348898888888897</v>
      </c>
      <c r="J86" s="8">
        <v>129.88336361111101</v>
      </c>
      <c r="K86" s="6" t="s">
        <v>29</v>
      </c>
      <c r="L86" s="9">
        <v>43761</v>
      </c>
      <c r="N86" s="6">
        <v>4</v>
      </c>
      <c r="O86" s="6" t="s">
        <v>4248</v>
      </c>
      <c r="Q86" s="6" t="s">
        <v>146</v>
      </c>
      <c r="R86" s="6">
        <v>20</v>
      </c>
      <c r="S86" s="6">
        <v>30</v>
      </c>
      <c r="T86" s="10">
        <f t="shared" si="3"/>
        <v>25</v>
      </c>
      <c r="U86" s="6">
        <v>2.2999999999999998</v>
      </c>
      <c r="V86" s="8">
        <v>-1.8384587564468386</v>
      </c>
      <c r="W86" s="8">
        <v>-13.702341223716736</v>
      </c>
      <c r="X86" s="8">
        <f t="shared" si="4"/>
        <v>1.0053288278579728</v>
      </c>
    </row>
    <row r="87" spans="1:24" x14ac:dyDescent="0.35">
      <c r="A87" s="6" t="s">
        <v>25</v>
      </c>
      <c r="B87" s="6" t="s">
        <v>156</v>
      </c>
      <c r="C87" s="6">
        <v>510156</v>
      </c>
      <c r="D87" s="6" t="s">
        <v>152</v>
      </c>
      <c r="E87" s="6">
        <v>1</v>
      </c>
      <c r="F87" s="6">
        <v>3</v>
      </c>
      <c r="G87" s="6" t="s">
        <v>153</v>
      </c>
      <c r="I87" s="8">
        <v>85.348898888888897</v>
      </c>
      <c r="J87" s="8">
        <v>129.88336361111101</v>
      </c>
      <c r="K87" s="6" t="s">
        <v>29</v>
      </c>
      <c r="L87" s="9">
        <v>43761</v>
      </c>
      <c r="N87" s="6">
        <v>4</v>
      </c>
      <c r="O87" s="6" t="s">
        <v>4248</v>
      </c>
      <c r="Q87" s="6" t="s">
        <v>157</v>
      </c>
      <c r="R87" s="6">
        <v>30</v>
      </c>
      <c r="S87" s="6">
        <v>40</v>
      </c>
      <c r="T87" s="10">
        <f t="shared" si="3"/>
        <v>35</v>
      </c>
      <c r="U87" s="6">
        <v>4.3</v>
      </c>
      <c r="V87" s="8">
        <v>-8.1380801916122125E-2</v>
      </c>
      <c r="W87" s="8">
        <v>-0.14442322815954658</v>
      </c>
      <c r="X87" s="8">
        <f t="shared" si="4"/>
        <v>0.50662318716943044</v>
      </c>
    </row>
    <row r="88" spans="1:24" x14ac:dyDescent="0.35">
      <c r="A88" s="6" t="s">
        <v>25</v>
      </c>
      <c r="B88" s="6" t="s">
        <v>158</v>
      </c>
      <c r="C88" s="6">
        <v>510157</v>
      </c>
      <c r="D88" s="6" t="s">
        <v>152</v>
      </c>
      <c r="E88" s="6">
        <v>1</v>
      </c>
      <c r="F88" s="6">
        <v>3</v>
      </c>
      <c r="G88" s="6" t="s">
        <v>153</v>
      </c>
      <c r="I88" s="8">
        <v>85.348898888888897</v>
      </c>
      <c r="J88" s="8">
        <v>129.88336361111101</v>
      </c>
      <c r="K88" s="6" t="s">
        <v>29</v>
      </c>
      <c r="L88" s="9">
        <v>43761</v>
      </c>
      <c r="N88" s="6">
        <v>4</v>
      </c>
      <c r="O88" s="6" t="s">
        <v>4248</v>
      </c>
      <c r="Q88" s="6" t="s">
        <v>159</v>
      </c>
      <c r="R88" s="6">
        <v>40</v>
      </c>
      <c r="S88" s="6">
        <v>50</v>
      </c>
      <c r="T88" s="10">
        <f t="shared" si="3"/>
        <v>45</v>
      </c>
      <c r="U88" s="6">
        <v>5.0999999999999996</v>
      </c>
      <c r="V88" s="8">
        <v>0.80143392676115022</v>
      </c>
      <c r="W88" s="8">
        <v>6.8504397459030155</v>
      </c>
      <c r="X88" s="8">
        <f t="shared" si="4"/>
        <v>0.43896833181381378</v>
      </c>
    </row>
    <row r="89" spans="1:24" x14ac:dyDescent="0.35">
      <c r="A89" s="6" t="s">
        <v>25</v>
      </c>
      <c r="B89" s="6" t="s">
        <v>160</v>
      </c>
      <c r="C89" s="6">
        <v>510158</v>
      </c>
      <c r="D89" s="6" t="s">
        <v>152</v>
      </c>
      <c r="E89" s="6">
        <v>1</v>
      </c>
      <c r="F89" s="6">
        <v>3</v>
      </c>
      <c r="G89" s="6" t="s">
        <v>153</v>
      </c>
      <c r="I89" s="8">
        <v>85.348898888888897</v>
      </c>
      <c r="J89" s="8">
        <v>129.88336361111101</v>
      </c>
      <c r="K89" s="6" t="s">
        <v>29</v>
      </c>
      <c r="L89" s="9">
        <v>43761</v>
      </c>
      <c r="N89" s="6">
        <v>4</v>
      </c>
      <c r="O89" s="6" t="s">
        <v>4248</v>
      </c>
      <c r="Q89" s="6" t="s">
        <v>161</v>
      </c>
      <c r="R89" s="6">
        <v>50</v>
      </c>
      <c r="S89" s="6">
        <v>60</v>
      </c>
      <c r="T89" s="10">
        <f t="shared" si="3"/>
        <v>55</v>
      </c>
      <c r="U89" s="6">
        <v>5.2</v>
      </c>
      <c r="V89" s="8">
        <v>-0.96435531420707743</v>
      </c>
      <c r="W89" s="8">
        <v>-7.6109197597503657</v>
      </c>
      <c r="X89" s="8">
        <f t="shared" si="4"/>
        <v>0.10392275390625372</v>
      </c>
    </row>
    <row r="90" spans="1:24" x14ac:dyDescent="0.35">
      <c r="A90" s="6" t="s">
        <v>25</v>
      </c>
      <c r="B90" s="6" t="s">
        <v>162</v>
      </c>
      <c r="C90" s="6">
        <v>510159</v>
      </c>
      <c r="D90" s="6" t="s">
        <v>152</v>
      </c>
      <c r="E90" s="6">
        <v>1</v>
      </c>
      <c r="F90" s="6">
        <v>3</v>
      </c>
      <c r="G90" s="6" t="s">
        <v>153</v>
      </c>
      <c r="I90" s="8">
        <v>85.348898888888897</v>
      </c>
      <c r="J90" s="8">
        <v>129.88336361111101</v>
      </c>
      <c r="K90" s="6" t="s">
        <v>29</v>
      </c>
      <c r="L90" s="9">
        <v>43761</v>
      </c>
      <c r="N90" s="6">
        <v>4</v>
      </c>
      <c r="O90" s="6" t="s">
        <v>4248</v>
      </c>
      <c r="Q90" s="6" t="s">
        <v>163</v>
      </c>
      <c r="R90" s="6">
        <v>60</v>
      </c>
      <c r="S90" s="6">
        <v>70</v>
      </c>
      <c r="T90" s="10">
        <f t="shared" si="3"/>
        <v>65</v>
      </c>
      <c r="U90" s="6">
        <v>5.5</v>
      </c>
      <c r="V90" s="8">
        <v>-0.81101499361991924</v>
      </c>
      <c r="W90" s="8">
        <v>-6.2816769914627075</v>
      </c>
      <c r="X90" s="8">
        <f t="shared" si="4"/>
        <v>0.20644295749664643</v>
      </c>
    </row>
    <row r="91" spans="1:24" x14ac:dyDescent="0.35">
      <c r="A91" s="6" t="s">
        <v>25</v>
      </c>
      <c r="B91" s="6" t="s">
        <v>164</v>
      </c>
      <c r="C91" s="6">
        <v>510160</v>
      </c>
      <c r="D91" s="6" t="s">
        <v>152</v>
      </c>
      <c r="E91" s="6">
        <v>1</v>
      </c>
      <c r="F91" s="6">
        <v>3</v>
      </c>
      <c r="G91" s="6" t="s">
        <v>153</v>
      </c>
      <c r="I91" s="8">
        <v>85.348898888888897</v>
      </c>
      <c r="J91" s="8">
        <v>129.88336361111101</v>
      </c>
      <c r="K91" s="6" t="s">
        <v>29</v>
      </c>
      <c r="L91" s="9">
        <v>43761</v>
      </c>
      <c r="N91" s="6">
        <v>4</v>
      </c>
      <c r="O91" s="6" t="s">
        <v>4248</v>
      </c>
      <c r="Q91" s="6" t="s">
        <v>165</v>
      </c>
      <c r="R91" s="6">
        <v>70</v>
      </c>
      <c r="S91" s="6">
        <v>80</v>
      </c>
      <c r="T91" s="10">
        <f t="shared" si="3"/>
        <v>75</v>
      </c>
      <c r="U91" s="6">
        <v>4.5999999999999996</v>
      </c>
      <c r="V91" s="8">
        <v>-0.89130975337028506</v>
      </c>
      <c r="W91" s="8">
        <v>-6.7000322809219366</v>
      </c>
      <c r="X91" s="8">
        <f t="shared" si="4"/>
        <v>0.43044574604034391</v>
      </c>
    </row>
    <row r="92" spans="1:24" x14ac:dyDescent="0.35">
      <c r="A92" s="6" t="s">
        <v>25</v>
      </c>
      <c r="B92" s="6" t="s">
        <v>166</v>
      </c>
      <c r="C92" s="6">
        <v>510161</v>
      </c>
      <c r="D92" s="6" t="s">
        <v>152</v>
      </c>
      <c r="E92" s="6">
        <v>1</v>
      </c>
      <c r="F92" s="6">
        <v>3</v>
      </c>
      <c r="G92" s="6" t="s">
        <v>153</v>
      </c>
      <c r="I92" s="8">
        <v>85.348898888888897</v>
      </c>
      <c r="J92" s="8">
        <v>129.88336361111101</v>
      </c>
      <c r="K92" s="6" t="s">
        <v>29</v>
      </c>
      <c r="L92" s="9">
        <v>43761</v>
      </c>
      <c r="N92" s="6">
        <v>4</v>
      </c>
      <c r="O92" s="6" t="s">
        <v>4248</v>
      </c>
      <c r="Q92" s="6" t="s">
        <v>167</v>
      </c>
      <c r="R92" s="6">
        <v>80</v>
      </c>
      <c r="S92" s="6">
        <v>90</v>
      </c>
      <c r="T92" s="10">
        <f t="shared" si="3"/>
        <v>85</v>
      </c>
      <c r="U92" s="6">
        <v>4</v>
      </c>
      <c r="V92" s="8">
        <v>-0.85771091325283055</v>
      </c>
      <c r="W92" s="8">
        <v>-6.3895367269515999</v>
      </c>
      <c r="X92" s="8">
        <f t="shared" si="4"/>
        <v>0.47215057907104452</v>
      </c>
    </row>
    <row r="93" spans="1:24" x14ac:dyDescent="0.35">
      <c r="A93" s="6" t="s">
        <v>25</v>
      </c>
      <c r="B93" s="6" t="s">
        <v>168</v>
      </c>
      <c r="C93" s="6">
        <v>510162</v>
      </c>
      <c r="D93" s="6" t="s">
        <v>152</v>
      </c>
      <c r="E93" s="6">
        <v>1</v>
      </c>
      <c r="F93" s="6">
        <v>3</v>
      </c>
      <c r="G93" s="6" t="s">
        <v>153</v>
      </c>
      <c r="I93" s="8">
        <v>85.348898888888897</v>
      </c>
      <c r="J93" s="8">
        <v>129.88336361111101</v>
      </c>
      <c r="K93" s="6" t="s">
        <v>29</v>
      </c>
      <c r="L93" s="9">
        <v>43761</v>
      </c>
      <c r="N93" s="6">
        <v>4</v>
      </c>
      <c r="O93" s="6" t="s">
        <v>4248</v>
      </c>
      <c r="Q93" s="6" t="s">
        <v>169</v>
      </c>
      <c r="R93" s="6">
        <v>90</v>
      </c>
      <c r="S93" s="6">
        <v>100</v>
      </c>
      <c r="T93" s="10">
        <f t="shared" si="3"/>
        <v>95</v>
      </c>
      <c r="U93" s="6">
        <v>3.5</v>
      </c>
      <c r="V93" s="8">
        <v>-1.044583995532989</v>
      </c>
      <c r="W93" s="8">
        <v>-8.1825255804061907</v>
      </c>
      <c r="X93" s="8">
        <f t="shared" si="4"/>
        <v>0.17414638385772108</v>
      </c>
    </row>
    <row r="94" spans="1:24" x14ac:dyDescent="0.35">
      <c r="A94" s="6" t="s">
        <v>25</v>
      </c>
      <c r="B94" s="6" t="s">
        <v>170</v>
      </c>
      <c r="C94" s="6">
        <v>510163</v>
      </c>
      <c r="D94" s="6" t="s">
        <v>152</v>
      </c>
      <c r="E94" s="6">
        <v>1</v>
      </c>
      <c r="F94" s="6">
        <v>3</v>
      </c>
      <c r="G94" s="6" t="s">
        <v>153</v>
      </c>
      <c r="I94" s="8">
        <v>85.348898888888897</v>
      </c>
      <c r="J94" s="8">
        <v>129.88336361111101</v>
      </c>
      <c r="K94" s="6" t="s">
        <v>29</v>
      </c>
      <c r="L94" s="9">
        <v>43761</v>
      </c>
      <c r="N94" s="6">
        <v>4</v>
      </c>
      <c r="O94" s="6" t="s">
        <v>4248</v>
      </c>
      <c r="Q94" s="6" t="s">
        <v>171</v>
      </c>
      <c r="R94" s="6">
        <v>100</v>
      </c>
      <c r="S94" s="6">
        <v>110</v>
      </c>
      <c r="T94" s="10">
        <f t="shared" si="3"/>
        <v>105</v>
      </c>
      <c r="U94" s="6">
        <v>3.4</v>
      </c>
      <c r="V94" s="8">
        <v>-1.2472095865726469</v>
      </c>
      <c r="W94" s="8">
        <v>-9.2739042739868172</v>
      </c>
      <c r="X94" s="8">
        <f t="shared" si="4"/>
        <v>0.70377241859435813</v>
      </c>
    </row>
    <row r="95" spans="1:24" x14ac:dyDescent="0.35">
      <c r="A95" s="6" t="s">
        <v>25</v>
      </c>
      <c r="B95" s="6" t="s">
        <v>172</v>
      </c>
      <c r="C95" s="6">
        <v>510164</v>
      </c>
      <c r="D95" s="6" t="s">
        <v>152</v>
      </c>
      <c r="E95" s="6">
        <v>1</v>
      </c>
      <c r="F95" s="6">
        <v>3</v>
      </c>
      <c r="G95" s="6" t="s">
        <v>153</v>
      </c>
      <c r="I95" s="8">
        <v>85.348898888888897</v>
      </c>
      <c r="J95" s="8">
        <v>129.88336361111101</v>
      </c>
      <c r="K95" s="6" t="s">
        <v>29</v>
      </c>
      <c r="L95" s="9">
        <v>43761</v>
      </c>
      <c r="N95" s="6">
        <v>4</v>
      </c>
      <c r="O95" s="6" t="s">
        <v>4248</v>
      </c>
      <c r="Q95" s="6" t="s">
        <v>173</v>
      </c>
      <c r="R95" s="6">
        <v>110</v>
      </c>
      <c r="S95" s="6">
        <v>120</v>
      </c>
      <c r="T95" s="10">
        <f t="shared" si="3"/>
        <v>115</v>
      </c>
      <c r="U95" s="6">
        <v>3</v>
      </c>
      <c r="V95" s="8">
        <v>-0.44667247242927538</v>
      </c>
      <c r="W95" s="8">
        <v>-3.4984359979629516</v>
      </c>
      <c r="X95" s="8">
        <f t="shared" si="4"/>
        <v>7.4943781471251469E-2</v>
      </c>
    </row>
    <row r="96" spans="1:24" x14ac:dyDescent="0.35">
      <c r="A96" s="6" t="s">
        <v>25</v>
      </c>
      <c r="B96" s="6" t="s">
        <v>174</v>
      </c>
      <c r="C96" s="6">
        <v>510165</v>
      </c>
      <c r="D96" s="6" t="s">
        <v>152</v>
      </c>
      <c r="E96" s="6">
        <v>1</v>
      </c>
      <c r="F96" s="6">
        <v>3</v>
      </c>
      <c r="G96" s="6" t="s">
        <v>153</v>
      </c>
      <c r="I96" s="8">
        <v>85.348898888888897</v>
      </c>
      <c r="J96" s="8">
        <v>129.88336361111101</v>
      </c>
      <c r="K96" s="6" t="s">
        <v>29</v>
      </c>
      <c r="L96" s="9">
        <v>43761</v>
      </c>
      <c r="N96" s="6">
        <v>4</v>
      </c>
      <c r="O96" s="6" t="s">
        <v>4248</v>
      </c>
      <c r="Q96" s="6" t="s">
        <v>175</v>
      </c>
      <c r="R96" s="6">
        <v>120</v>
      </c>
      <c r="S96" s="6">
        <v>130</v>
      </c>
      <c r="T96" s="10">
        <f t="shared" si="3"/>
        <v>125</v>
      </c>
      <c r="U96" s="6">
        <v>3.7</v>
      </c>
      <c r="V96" s="8">
        <v>5.3400847040768383E-2</v>
      </c>
      <c r="W96" s="8">
        <v>0.48741941881179807</v>
      </c>
      <c r="X96" s="8">
        <f t="shared" si="4"/>
        <v>6.0212642485651002E-2</v>
      </c>
    </row>
    <row r="97" spans="1:24" x14ac:dyDescent="0.35">
      <c r="A97" s="6" t="s">
        <v>25</v>
      </c>
      <c r="B97" s="6" t="s">
        <v>176</v>
      </c>
      <c r="C97" s="6">
        <v>510166</v>
      </c>
      <c r="D97" s="6" t="s">
        <v>152</v>
      </c>
      <c r="E97" s="6">
        <v>1</v>
      </c>
      <c r="F97" s="6">
        <v>3</v>
      </c>
      <c r="G97" s="6" t="s">
        <v>153</v>
      </c>
      <c r="I97" s="8">
        <v>85.348898888888897</v>
      </c>
      <c r="J97" s="8">
        <v>129.88336361111101</v>
      </c>
      <c r="K97" s="6" t="s">
        <v>29</v>
      </c>
      <c r="L97" s="9">
        <v>43761</v>
      </c>
      <c r="N97" s="6">
        <v>4</v>
      </c>
      <c r="O97" s="6" t="s">
        <v>4248</v>
      </c>
      <c r="Q97" s="6" t="s">
        <v>177</v>
      </c>
      <c r="R97" s="6">
        <v>130</v>
      </c>
      <c r="S97" s="6">
        <v>141</v>
      </c>
      <c r="T97" s="10">
        <f t="shared" si="3"/>
        <v>135.5</v>
      </c>
      <c r="U97" s="6">
        <v>3.9</v>
      </c>
      <c r="V97" s="8">
        <v>0.66707439486980469</v>
      </c>
      <c r="W97" s="8">
        <v>5.7219582624435423</v>
      </c>
      <c r="X97" s="8">
        <f t="shared" si="4"/>
        <v>0.38536310348510483</v>
      </c>
    </row>
    <row r="98" spans="1:24" x14ac:dyDescent="0.35">
      <c r="A98" s="6" t="s">
        <v>25</v>
      </c>
      <c r="B98" s="7" t="s">
        <v>180</v>
      </c>
      <c r="D98" s="6" t="s">
        <v>181</v>
      </c>
      <c r="E98" s="6">
        <v>1</v>
      </c>
      <c r="F98" s="6">
        <v>4</v>
      </c>
      <c r="G98" s="6" t="s">
        <v>60</v>
      </c>
      <c r="I98" s="8">
        <v>85.406511180555597</v>
      </c>
      <c r="J98" s="8">
        <v>128.89254722222199</v>
      </c>
      <c r="K98" s="7" t="s">
        <v>2610</v>
      </c>
      <c r="L98" s="9">
        <v>43762</v>
      </c>
      <c r="N98" s="6">
        <v>4</v>
      </c>
      <c r="O98" s="6" t="s">
        <v>4249</v>
      </c>
      <c r="Q98" s="10">
        <v>200</v>
      </c>
      <c r="R98" s="10"/>
      <c r="S98" s="10">
        <v>200</v>
      </c>
      <c r="T98" s="10">
        <f t="shared" ref="T98:T109" si="5">AVERAGE(R98:S98)</f>
        <v>200</v>
      </c>
      <c r="V98" s="8">
        <v>-1.2812316802024841</v>
      </c>
      <c r="W98" s="8">
        <v>-8.1987960615158073</v>
      </c>
      <c r="X98" s="8">
        <f t="shared" si="4"/>
        <v>2.0510573801040657</v>
      </c>
    </row>
    <row r="99" spans="1:24" x14ac:dyDescent="0.35">
      <c r="A99" s="6" t="s">
        <v>25</v>
      </c>
      <c r="B99" s="7" t="s">
        <v>182</v>
      </c>
      <c r="D99" s="6" t="s">
        <v>183</v>
      </c>
      <c r="E99" s="6">
        <v>1</v>
      </c>
      <c r="F99" s="6">
        <v>4</v>
      </c>
      <c r="G99" s="6" t="s">
        <v>60</v>
      </c>
      <c r="I99" s="8">
        <v>85.406511180555597</v>
      </c>
      <c r="J99" s="8">
        <v>128.89254722222199</v>
      </c>
      <c r="K99" s="7" t="s">
        <v>2610</v>
      </c>
      <c r="L99" s="9">
        <v>43762</v>
      </c>
      <c r="N99" s="6">
        <v>4</v>
      </c>
      <c r="O99" s="6" t="s">
        <v>4249</v>
      </c>
      <c r="Q99" s="10">
        <v>85</v>
      </c>
      <c r="R99" s="10"/>
      <c r="S99" s="10">
        <v>85</v>
      </c>
      <c r="T99" s="10">
        <f t="shared" si="5"/>
        <v>85</v>
      </c>
      <c r="V99" s="8">
        <v>-0.53611301164627023</v>
      </c>
      <c r="W99" s="8">
        <v>-2.7997755289077761</v>
      </c>
      <c r="X99" s="8">
        <f t="shared" si="4"/>
        <v>1.4891285642623857</v>
      </c>
    </row>
    <row r="100" spans="1:24" x14ac:dyDescent="0.35">
      <c r="A100" s="6" t="s">
        <v>25</v>
      </c>
      <c r="B100" s="7" t="s">
        <v>184</v>
      </c>
      <c r="D100" s="6" t="s">
        <v>185</v>
      </c>
      <c r="E100" s="6">
        <v>1</v>
      </c>
      <c r="F100" s="6">
        <v>4</v>
      </c>
      <c r="G100" s="6" t="s">
        <v>60</v>
      </c>
      <c r="I100" s="8">
        <v>85.406511180555597</v>
      </c>
      <c r="J100" s="8">
        <v>128.89254722222199</v>
      </c>
      <c r="K100" s="7" t="s">
        <v>2610</v>
      </c>
      <c r="L100" s="9">
        <v>43762</v>
      </c>
      <c r="N100" s="6">
        <v>4</v>
      </c>
      <c r="O100" s="6" t="s">
        <v>4249</v>
      </c>
      <c r="Q100" s="10">
        <v>10</v>
      </c>
      <c r="R100" s="10"/>
      <c r="S100" s="10">
        <v>10</v>
      </c>
      <c r="T100" s="10">
        <f t="shared" si="5"/>
        <v>10</v>
      </c>
      <c r="V100" s="8">
        <v>-1.2273738806724546</v>
      </c>
      <c r="W100" s="8">
        <v>-8.1072051811218255</v>
      </c>
      <c r="X100" s="8">
        <f t="shared" si="4"/>
        <v>1.711785864257811</v>
      </c>
    </row>
    <row r="101" spans="1:24" x14ac:dyDescent="0.35">
      <c r="A101" s="6" t="s">
        <v>25</v>
      </c>
      <c r="B101" s="7" t="s">
        <v>186</v>
      </c>
      <c r="D101" s="6" t="s">
        <v>187</v>
      </c>
      <c r="E101" s="6">
        <v>1</v>
      </c>
      <c r="F101" s="6">
        <v>4</v>
      </c>
      <c r="G101" s="6" t="s">
        <v>60</v>
      </c>
      <c r="I101" s="8">
        <v>85.406511180555597</v>
      </c>
      <c r="J101" s="8">
        <v>128.89254722222199</v>
      </c>
      <c r="K101" s="7" t="s">
        <v>2610</v>
      </c>
      <c r="L101" s="9">
        <v>43762</v>
      </c>
      <c r="N101" s="6">
        <v>4</v>
      </c>
      <c r="O101" s="6" t="s">
        <v>4249</v>
      </c>
      <c r="Q101" s="10">
        <v>45</v>
      </c>
      <c r="R101" s="10"/>
      <c r="S101" s="10">
        <v>45</v>
      </c>
      <c r="T101" s="10">
        <f t="shared" si="5"/>
        <v>45</v>
      </c>
      <c r="V101" s="8">
        <v>-0.56754689722061125</v>
      </c>
      <c r="W101" s="8">
        <v>-2.7684642982482917</v>
      </c>
      <c r="X101" s="8">
        <f t="shared" si="4"/>
        <v>1.7719108795165983</v>
      </c>
    </row>
    <row r="102" spans="1:24" x14ac:dyDescent="0.35">
      <c r="A102" s="6" t="s">
        <v>25</v>
      </c>
      <c r="B102" s="7" t="s">
        <v>188</v>
      </c>
      <c r="D102" s="6" t="s">
        <v>189</v>
      </c>
      <c r="E102" s="6">
        <v>1</v>
      </c>
      <c r="F102" s="6">
        <v>4</v>
      </c>
      <c r="G102" s="6" t="s">
        <v>60</v>
      </c>
      <c r="I102" s="8">
        <v>85.406511180555597</v>
      </c>
      <c r="J102" s="8">
        <v>128.89254722222199</v>
      </c>
      <c r="K102" s="7" t="s">
        <v>2610</v>
      </c>
      <c r="L102" s="9">
        <v>43762</v>
      </c>
      <c r="N102" s="6">
        <v>4</v>
      </c>
      <c r="O102" s="6" t="s">
        <v>4249</v>
      </c>
      <c r="Q102" s="10">
        <v>78</v>
      </c>
      <c r="R102" s="10"/>
      <c r="S102" s="10">
        <v>78</v>
      </c>
      <c r="T102" s="10">
        <f t="shared" si="5"/>
        <v>78</v>
      </c>
      <c r="V102" s="8">
        <v>-0.23636386482715568</v>
      </c>
      <c r="W102" s="8">
        <v>-0.75950383186340309</v>
      </c>
      <c r="X102" s="8">
        <f t="shared" si="4"/>
        <v>1.1314070867538424</v>
      </c>
    </row>
    <row r="103" spans="1:24" x14ac:dyDescent="0.35">
      <c r="A103" s="6" t="s">
        <v>25</v>
      </c>
      <c r="B103" s="7" t="s">
        <v>190</v>
      </c>
      <c r="D103" s="6" t="s">
        <v>191</v>
      </c>
      <c r="E103" s="6">
        <v>1</v>
      </c>
      <c r="F103" s="6">
        <v>4</v>
      </c>
      <c r="G103" s="6" t="s">
        <v>60</v>
      </c>
      <c r="I103" s="8">
        <v>85.406511180555597</v>
      </c>
      <c r="J103" s="8">
        <v>128.89254722222199</v>
      </c>
      <c r="K103" s="7" t="s">
        <v>2610</v>
      </c>
      <c r="L103" s="9">
        <v>43762</v>
      </c>
      <c r="N103" s="6">
        <v>4</v>
      </c>
      <c r="O103" s="6" t="s">
        <v>4249</v>
      </c>
      <c r="Q103" s="10">
        <v>3270</v>
      </c>
      <c r="R103" s="10"/>
      <c r="S103" s="10">
        <v>3270</v>
      </c>
      <c r="T103" s="10">
        <f t="shared" si="5"/>
        <v>3270</v>
      </c>
      <c r="V103" s="8">
        <v>-0.67490373711585971</v>
      </c>
      <c r="W103" s="8">
        <v>-3.657441186904907</v>
      </c>
      <c r="X103" s="8">
        <f t="shared" si="4"/>
        <v>1.7417887100219707</v>
      </c>
    </row>
    <row r="104" spans="1:24" x14ac:dyDescent="0.35">
      <c r="A104" s="6" t="s">
        <v>25</v>
      </c>
      <c r="B104" s="7" t="s">
        <v>192</v>
      </c>
      <c r="D104" s="6" t="s">
        <v>193</v>
      </c>
      <c r="E104" s="6">
        <v>1</v>
      </c>
      <c r="F104" s="6">
        <v>4</v>
      </c>
      <c r="G104" s="6" t="s">
        <v>60</v>
      </c>
      <c r="I104" s="8">
        <v>85.406511180555597</v>
      </c>
      <c r="J104" s="8">
        <v>128.89254722222199</v>
      </c>
      <c r="K104" s="7" t="s">
        <v>2610</v>
      </c>
      <c r="L104" s="9">
        <v>43762</v>
      </c>
      <c r="N104" s="6">
        <v>4</v>
      </c>
      <c r="O104" s="6" t="s">
        <v>4249</v>
      </c>
      <c r="Q104" s="10">
        <v>2000</v>
      </c>
      <c r="R104" s="10"/>
      <c r="S104" s="10">
        <v>2000</v>
      </c>
      <c r="T104" s="10">
        <f t="shared" si="5"/>
        <v>2000</v>
      </c>
      <c r="V104" s="8">
        <v>-1.1498346250534057</v>
      </c>
      <c r="W104" s="8">
        <v>-7.136850728988648</v>
      </c>
      <c r="X104" s="8">
        <f t="shared" si="4"/>
        <v>2.0618262714385978</v>
      </c>
    </row>
    <row r="105" spans="1:24" x14ac:dyDescent="0.35">
      <c r="A105" s="6" t="s">
        <v>25</v>
      </c>
      <c r="B105" s="7" t="s">
        <v>194</v>
      </c>
      <c r="D105" s="6" t="s">
        <v>195</v>
      </c>
      <c r="E105" s="6">
        <v>1</v>
      </c>
      <c r="F105" s="6">
        <v>4</v>
      </c>
      <c r="G105" s="6" t="s">
        <v>60</v>
      </c>
      <c r="I105" s="8">
        <v>85.406511180555597</v>
      </c>
      <c r="J105" s="8">
        <v>128.89254722222199</v>
      </c>
      <c r="K105" s="7" t="s">
        <v>2610</v>
      </c>
      <c r="L105" s="9">
        <v>43762</v>
      </c>
      <c r="N105" s="6">
        <v>4</v>
      </c>
      <c r="O105" s="6" t="s">
        <v>4249</v>
      </c>
      <c r="Q105" s="10">
        <v>9000</v>
      </c>
      <c r="R105" s="10"/>
      <c r="S105" s="10">
        <v>9000</v>
      </c>
      <c r="T105" s="10">
        <f t="shared" si="5"/>
        <v>9000</v>
      </c>
      <c r="V105" s="8">
        <v>-0.18428008298873869</v>
      </c>
      <c r="W105" s="8">
        <v>0.2868168147206302</v>
      </c>
      <c r="X105" s="8">
        <f t="shared" si="4"/>
        <v>1.7610574786305397</v>
      </c>
    </row>
    <row r="106" spans="1:24" x14ac:dyDescent="0.35">
      <c r="A106" s="6" t="s">
        <v>25</v>
      </c>
      <c r="B106" s="7"/>
      <c r="C106" s="6">
        <v>510167</v>
      </c>
      <c r="D106" s="6" t="s">
        <v>178</v>
      </c>
      <c r="E106" s="6">
        <v>1</v>
      </c>
      <c r="F106" s="6">
        <v>4</v>
      </c>
      <c r="G106" s="6" t="s">
        <v>179</v>
      </c>
      <c r="H106" s="6">
        <v>8</v>
      </c>
      <c r="I106" s="8">
        <v>85.406511180555597</v>
      </c>
      <c r="J106" s="8">
        <v>128.89254722222199</v>
      </c>
      <c r="K106" s="6" t="s">
        <v>29</v>
      </c>
      <c r="L106" s="9">
        <v>43762</v>
      </c>
      <c r="N106" s="6">
        <v>4</v>
      </c>
      <c r="O106" s="6" t="s">
        <v>4249</v>
      </c>
      <c r="R106" s="6">
        <v>0</v>
      </c>
      <c r="S106" s="6">
        <v>10</v>
      </c>
      <c r="T106" s="10">
        <f t="shared" si="5"/>
        <v>5</v>
      </c>
      <c r="U106" s="6">
        <v>7.6</v>
      </c>
      <c r="V106" s="8">
        <v>-2.6598197258710861</v>
      </c>
      <c r="W106" s="8">
        <v>-18.441027037525174</v>
      </c>
      <c r="X106" s="8">
        <f t="shared" si="4"/>
        <v>2.8375307694435143</v>
      </c>
    </row>
    <row r="107" spans="1:24" x14ac:dyDescent="0.35">
      <c r="A107" s="6" t="s">
        <v>25</v>
      </c>
      <c r="B107" s="7"/>
      <c r="C107" s="6">
        <v>510168</v>
      </c>
      <c r="D107" s="6" t="s">
        <v>178</v>
      </c>
      <c r="E107" s="6">
        <v>1</v>
      </c>
      <c r="F107" s="6">
        <v>4</v>
      </c>
      <c r="G107" s="6" t="s">
        <v>179</v>
      </c>
      <c r="H107" s="6">
        <v>8</v>
      </c>
      <c r="I107" s="8">
        <v>85.406511180555597</v>
      </c>
      <c r="J107" s="8">
        <v>128.89254722222199</v>
      </c>
      <c r="K107" s="6" t="s">
        <v>29</v>
      </c>
      <c r="L107" s="9">
        <v>43762</v>
      </c>
      <c r="N107" s="6">
        <v>4</v>
      </c>
      <c r="O107" s="6" t="s">
        <v>4249</v>
      </c>
      <c r="R107" s="6">
        <v>10</v>
      </c>
      <c r="S107" s="6">
        <v>20</v>
      </c>
      <c r="T107" s="10">
        <f t="shared" si="5"/>
        <v>15</v>
      </c>
      <c r="U107" s="6">
        <v>4.9000000000000004</v>
      </c>
      <c r="V107" s="8">
        <v>-2.2899503834247588</v>
      </c>
      <c r="W107" s="8">
        <v>-15.658707599544524</v>
      </c>
      <c r="X107" s="8">
        <f t="shared" si="4"/>
        <v>2.6608954678535461</v>
      </c>
    </row>
    <row r="108" spans="1:24" x14ac:dyDescent="0.35">
      <c r="A108" s="6" t="s">
        <v>25</v>
      </c>
      <c r="B108" s="7"/>
      <c r="C108" s="6">
        <v>510169</v>
      </c>
      <c r="D108" s="6" t="s">
        <v>178</v>
      </c>
      <c r="E108" s="6">
        <v>1</v>
      </c>
      <c r="F108" s="6">
        <v>4</v>
      </c>
      <c r="G108" s="6" t="s">
        <v>179</v>
      </c>
      <c r="H108" s="6">
        <v>8</v>
      </c>
      <c r="I108" s="8">
        <v>85.406511180555597</v>
      </c>
      <c r="J108" s="8">
        <v>128.89254722222199</v>
      </c>
      <c r="K108" s="6" t="s">
        <v>29</v>
      </c>
      <c r="L108" s="9">
        <v>43762</v>
      </c>
      <c r="N108" s="6">
        <v>4</v>
      </c>
      <c r="O108" s="6" t="s">
        <v>4249</v>
      </c>
      <c r="R108" s="6">
        <v>20</v>
      </c>
      <c r="S108" s="6">
        <v>30</v>
      </c>
      <c r="T108" s="10">
        <f t="shared" si="5"/>
        <v>25</v>
      </c>
      <c r="U108" s="6">
        <v>5.6</v>
      </c>
      <c r="V108" s="8">
        <v>0.98245832091569885</v>
      </c>
      <c r="W108" s="8">
        <v>8.7730179806709288</v>
      </c>
      <c r="X108" s="8">
        <f t="shared" si="4"/>
        <v>0.91335141334533798</v>
      </c>
    </row>
    <row r="109" spans="1:24" x14ac:dyDescent="0.35">
      <c r="A109" s="6" t="s">
        <v>25</v>
      </c>
      <c r="B109" s="7"/>
      <c r="C109" s="6">
        <v>510170</v>
      </c>
      <c r="D109" s="6" t="s">
        <v>178</v>
      </c>
      <c r="E109" s="6">
        <v>1</v>
      </c>
      <c r="F109" s="6">
        <v>4</v>
      </c>
      <c r="G109" s="6" t="s">
        <v>179</v>
      </c>
      <c r="H109" s="6">
        <v>8</v>
      </c>
      <c r="I109" s="8">
        <v>85.406511180555597</v>
      </c>
      <c r="J109" s="8">
        <v>128.89254722222199</v>
      </c>
      <c r="K109" s="6" t="s">
        <v>29</v>
      </c>
      <c r="L109" s="9">
        <v>43762</v>
      </c>
      <c r="N109" s="6">
        <v>4</v>
      </c>
      <c r="O109" s="6" t="s">
        <v>4249</v>
      </c>
      <c r="R109" s="6">
        <v>30</v>
      </c>
      <c r="S109" s="6">
        <v>40</v>
      </c>
      <c r="T109" s="10">
        <f t="shared" si="5"/>
        <v>35</v>
      </c>
      <c r="U109" s="6">
        <v>6</v>
      </c>
      <c r="V109" s="8">
        <v>1.0135080441713331</v>
      </c>
      <c r="W109" s="8">
        <v>9.0070739929199206</v>
      </c>
      <c r="X109" s="8">
        <f t="shared" si="4"/>
        <v>0.89900963954925572</v>
      </c>
    </row>
    <row r="110" spans="1:24" x14ac:dyDescent="0.35">
      <c r="A110" s="6" t="s">
        <v>25</v>
      </c>
      <c r="B110" s="6" t="s">
        <v>2731</v>
      </c>
      <c r="D110" s="6" t="s">
        <v>3087</v>
      </c>
      <c r="E110" s="6">
        <v>1</v>
      </c>
      <c r="F110" s="6">
        <v>4</v>
      </c>
      <c r="G110" s="6" t="s">
        <v>3212</v>
      </c>
      <c r="I110" s="8">
        <v>85.437310999999994</v>
      </c>
      <c r="J110" s="8">
        <v>128.19922500000001</v>
      </c>
      <c r="K110" s="6" t="s">
        <v>198</v>
      </c>
      <c r="L110" s="9">
        <v>43763</v>
      </c>
      <c r="M110" s="18">
        <v>5.2083333333333336E-2</v>
      </c>
      <c r="N110" s="6">
        <v>4</v>
      </c>
      <c r="O110" s="6" t="s">
        <v>4250</v>
      </c>
      <c r="R110" s="6">
        <v>0</v>
      </c>
      <c r="V110" s="8">
        <v>-3.573909158086777</v>
      </c>
      <c r="W110" s="8">
        <v>-29.957597808837889</v>
      </c>
      <c r="X110" s="8">
        <f t="shared" si="4"/>
        <v>-1.3663245441436729</v>
      </c>
    </row>
    <row r="111" spans="1:24" x14ac:dyDescent="0.35">
      <c r="A111" s="6" t="s">
        <v>25</v>
      </c>
      <c r="B111" s="7"/>
      <c r="D111" s="6" t="s">
        <v>196</v>
      </c>
      <c r="E111" s="6">
        <v>1</v>
      </c>
      <c r="F111" s="6">
        <v>4</v>
      </c>
      <c r="G111" s="6" t="s">
        <v>197</v>
      </c>
      <c r="I111" s="8">
        <v>85.446325069444399</v>
      </c>
      <c r="J111" s="8">
        <v>127.893246736111</v>
      </c>
      <c r="K111" s="6" t="s">
        <v>198</v>
      </c>
      <c r="L111" s="9">
        <v>43763</v>
      </c>
      <c r="N111" s="6">
        <v>4</v>
      </c>
      <c r="O111" s="6" t="s">
        <v>4250</v>
      </c>
      <c r="V111" s="8">
        <v>-21.999650120544437</v>
      </c>
      <c r="W111" s="8">
        <v>-174.26439459228516</v>
      </c>
      <c r="X111" s="8">
        <f t="shared" si="4"/>
        <v>1.7328063720703426</v>
      </c>
    </row>
    <row r="112" spans="1:24" x14ac:dyDescent="0.35">
      <c r="A112" s="6" t="s">
        <v>25</v>
      </c>
      <c r="B112" s="7"/>
      <c r="D112" s="6" t="s">
        <v>196</v>
      </c>
      <c r="E112" s="6">
        <v>1</v>
      </c>
      <c r="F112" s="6">
        <v>4</v>
      </c>
      <c r="G112" s="6" t="s">
        <v>199</v>
      </c>
      <c r="I112" s="8">
        <v>85.446325069444399</v>
      </c>
      <c r="J112" s="8">
        <v>127.893246736111</v>
      </c>
      <c r="K112" s="6" t="s">
        <v>198</v>
      </c>
      <c r="L112" s="9">
        <v>43763</v>
      </c>
      <c r="N112" s="6">
        <v>4</v>
      </c>
      <c r="O112" s="6" t="s">
        <v>4250</v>
      </c>
      <c r="V112" s="8">
        <v>-22.866831223297119</v>
      </c>
      <c r="W112" s="8">
        <v>-175.11962304687498</v>
      </c>
      <c r="X112" s="8">
        <f t="shared" si="4"/>
        <v>7.8150267395019739</v>
      </c>
    </row>
    <row r="113" spans="1:25" x14ac:dyDescent="0.35">
      <c r="A113" s="6" t="s">
        <v>25</v>
      </c>
      <c r="B113" s="7"/>
      <c r="D113" s="6" t="s">
        <v>196</v>
      </c>
      <c r="E113" s="6">
        <v>1</v>
      </c>
      <c r="F113" s="6">
        <v>4</v>
      </c>
      <c r="G113" s="6" t="s">
        <v>200</v>
      </c>
      <c r="I113" s="8">
        <v>85.446325069444399</v>
      </c>
      <c r="J113" s="8">
        <v>127.893246736111</v>
      </c>
      <c r="K113" s="6" t="s">
        <v>198</v>
      </c>
      <c r="L113" s="9">
        <v>43763</v>
      </c>
      <c r="N113" s="6">
        <v>4</v>
      </c>
      <c r="O113" s="6" t="s">
        <v>4250</v>
      </c>
      <c r="V113" s="8">
        <v>-20.691177746009824</v>
      </c>
      <c r="W113" s="8">
        <v>-148.63860919189455</v>
      </c>
      <c r="X113" s="8">
        <f t="shared" si="4"/>
        <v>16.890812776184049</v>
      </c>
    </row>
    <row r="114" spans="1:25" x14ac:dyDescent="0.35">
      <c r="A114" s="6" t="s">
        <v>25</v>
      </c>
      <c r="B114" s="6" t="s">
        <v>2732</v>
      </c>
      <c r="D114" s="6" t="s">
        <v>3088</v>
      </c>
      <c r="E114" s="6">
        <v>1</v>
      </c>
      <c r="F114" s="6">
        <v>5</v>
      </c>
      <c r="G114" s="6" t="s">
        <v>3213</v>
      </c>
      <c r="I114" s="8">
        <v>85.541078999999996</v>
      </c>
      <c r="J114" s="8">
        <v>126.483514</v>
      </c>
      <c r="K114" s="6" t="s">
        <v>198</v>
      </c>
      <c r="L114" s="9">
        <v>43766</v>
      </c>
      <c r="M114" s="18">
        <v>4.1666666666666664E-2</v>
      </c>
      <c r="N114" s="6">
        <v>5</v>
      </c>
      <c r="O114" s="6" t="s">
        <v>4251</v>
      </c>
      <c r="R114" s="6">
        <v>26</v>
      </c>
      <c r="V114" s="8">
        <v>-26.115560464477536</v>
      </c>
      <c r="W114" s="8">
        <v>-185.96585632324215</v>
      </c>
      <c r="X114" s="8">
        <f t="shared" si="4"/>
        <v>22.958627392578137</v>
      </c>
      <c r="Y114" s="6" t="s">
        <v>3217</v>
      </c>
    </row>
    <row r="115" spans="1:25" x14ac:dyDescent="0.35">
      <c r="A115" s="6" t="s">
        <v>25</v>
      </c>
      <c r="B115" s="6" t="s">
        <v>2733</v>
      </c>
      <c r="D115" s="6" t="s">
        <v>3088</v>
      </c>
      <c r="E115" s="6">
        <v>1</v>
      </c>
      <c r="F115" s="6">
        <v>5</v>
      </c>
      <c r="G115" s="6" t="s">
        <v>3213</v>
      </c>
      <c r="I115" s="8">
        <v>85.541078999999996</v>
      </c>
      <c r="J115" s="8">
        <v>126.483514</v>
      </c>
      <c r="K115" s="6" t="s">
        <v>198</v>
      </c>
      <c r="L115" s="9">
        <v>43766</v>
      </c>
      <c r="M115" s="18">
        <v>4.1666666666666664E-2</v>
      </c>
      <c r="N115" s="6">
        <v>5</v>
      </c>
      <c r="O115" s="6" t="s">
        <v>4251</v>
      </c>
      <c r="R115" s="6">
        <v>13</v>
      </c>
      <c r="V115" s="8">
        <v>-8.0637404085159279</v>
      </c>
      <c r="W115" s="8">
        <v>-64.54597076416016</v>
      </c>
      <c r="X115" s="8">
        <f t="shared" si="4"/>
        <v>-3.6047496032736603E-2</v>
      </c>
      <c r="Y115" s="6" t="s">
        <v>3217</v>
      </c>
    </row>
    <row r="116" spans="1:25" x14ac:dyDescent="0.35">
      <c r="A116" s="6" t="s">
        <v>25</v>
      </c>
      <c r="B116" s="6" t="s">
        <v>2734</v>
      </c>
      <c r="D116" s="6" t="s">
        <v>3088</v>
      </c>
      <c r="E116" s="6">
        <v>1</v>
      </c>
      <c r="F116" s="6">
        <v>5</v>
      </c>
      <c r="G116" s="6" t="s">
        <v>3213</v>
      </c>
      <c r="I116" s="8">
        <v>85.541078999999996</v>
      </c>
      <c r="J116" s="8">
        <v>126.483514</v>
      </c>
      <c r="K116" s="6" t="s">
        <v>198</v>
      </c>
      <c r="L116" s="9">
        <v>43766</v>
      </c>
      <c r="M116" s="18">
        <v>4.1666666666666664E-2</v>
      </c>
      <c r="N116" s="6">
        <v>5</v>
      </c>
      <c r="O116" s="6" t="s">
        <v>4251</v>
      </c>
      <c r="R116" s="6">
        <v>0</v>
      </c>
      <c r="V116" s="8">
        <v>-3.6654373942375185</v>
      </c>
      <c r="W116" s="8">
        <v>-29.699969482421878</v>
      </c>
      <c r="X116" s="8">
        <f t="shared" si="4"/>
        <v>-0.37647032852173012</v>
      </c>
      <c r="Y116" s="6" t="s">
        <v>3217</v>
      </c>
    </row>
    <row r="117" spans="1:25" x14ac:dyDescent="0.35">
      <c r="A117" s="6" t="s">
        <v>25</v>
      </c>
      <c r="B117" s="7"/>
      <c r="C117" s="6">
        <v>510211</v>
      </c>
      <c r="D117" s="6" t="s">
        <v>201</v>
      </c>
      <c r="E117" s="6">
        <v>1</v>
      </c>
      <c r="F117" s="6">
        <v>5</v>
      </c>
      <c r="G117" s="6" t="s">
        <v>202</v>
      </c>
      <c r="H117" s="6">
        <v>9</v>
      </c>
      <c r="I117" s="8">
        <v>85.587483888888897</v>
      </c>
      <c r="J117" s="8">
        <v>126.139427777778</v>
      </c>
      <c r="K117" s="6" t="s">
        <v>29</v>
      </c>
      <c r="L117" s="9">
        <v>43766</v>
      </c>
      <c r="N117" s="6">
        <v>5</v>
      </c>
      <c r="O117" s="6" t="s">
        <v>4251</v>
      </c>
      <c r="Q117" s="6" t="s">
        <v>203</v>
      </c>
      <c r="R117" s="6">
        <v>0</v>
      </c>
      <c r="S117" s="6">
        <v>5</v>
      </c>
      <c r="T117" s="10">
        <f t="shared" ref="T117:T150" si="6">AVERAGE(R117:S117)</f>
        <v>2.5</v>
      </c>
      <c r="U117" s="6">
        <v>10.6</v>
      </c>
      <c r="V117" s="8">
        <v>-2.4553351804733281</v>
      </c>
      <c r="W117" s="8">
        <v>-19.268064376640321</v>
      </c>
      <c r="X117" s="8">
        <f t="shared" si="4"/>
        <v>0.37461706714630338</v>
      </c>
    </row>
    <row r="118" spans="1:25" x14ac:dyDescent="0.35">
      <c r="A118" s="6" t="s">
        <v>25</v>
      </c>
      <c r="B118" s="7"/>
      <c r="C118" s="6">
        <v>510212</v>
      </c>
      <c r="D118" s="6" t="s">
        <v>201</v>
      </c>
      <c r="E118" s="6">
        <v>1</v>
      </c>
      <c r="F118" s="6">
        <v>5</v>
      </c>
      <c r="G118" s="6" t="s">
        <v>202</v>
      </c>
      <c r="H118" s="6">
        <v>9</v>
      </c>
      <c r="I118" s="8">
        <v>85.587483888888897</v>
      </c>
      <c r="J118" s="8">
        <v>126.139427777778</v>
      </c>
      <c r="K118" s="6" t="s">
        <v>29</v>
      </c>
      <c r="L118" s="9">
        <v>43766</v>
      </c>
      <c r="N118" s="6">
        <v>5</v>
      </c>
      <c r="O118" s="6" t="s">
        <v>4251</v>
      </c>
      <c r="Q118" s="6" t="s">
        <v>204</v>
      </c>
      <c r="R118" s="6">
        <v>5</v>
      </c>
      <c r="S118" s="6">
        <v>10</v>
      </c>
      <c r="T118" s="10">
        <f t="shared" si="6"/>
        <v>7.5</v>
      </c>
      <c r="U118" s="6">
        <v>8</v>
      </c>
      <c r="V118" s="8">
        <v>-0.88132902271747593</v>
      </c>
      <c r="W118" s="8">
        <v>-6.2668435342788689</v>
      </c>
      <c r="X118" s="8">
        <f t="shared" si="4"/>
        <v>0.78378864746093857</v>
      </c>
    </row>
    <row r="119" spans="1:25" x14ac:dyDescent="0.35">
      <c r="A119" s="6" t="s">
        <v>25</v>
      </c>
      <c r="B119" s="7"/>
      <c r="C119" s="6">
        <v>510213</v>
      </c>
      <c r="D119" s="6" t="s">
        <v>201</v>
      </c>
      <c r="E119" s="6">
        <v>1</v>
      </c>
      <c r="F119" s="6">
        <v>5</v>
      </c>
      <c r="G119" s="6" t="s">
        <v>202</v>
      </c>
      <c r="H119" s="6">
        <v>9</v>
      </c>
      <c r="I119" s="8">
        <v>85.587483888888897</v>
      </c>
      <c r="J119" s="8">
        <v>126.139427777778</v>
      </c>
      <c r="K119" s="6" t="s">
        <v>29</v>
      </c>
      <c r="L119" s="9">
        <v>43766</v>
      </c>
      <c r="N119" s="6">
        <v>5</v>
      </c>
      <c r="O119" s="6" t="s">
        <v>4251</v>
      </c>
      <c r="Q119" s="6" t="s">
        <v>205</v>
      </c>
      <c r="R119" s="6">
        <v>36.5</v>
      </c>
      <c r="S119" s="6">
        <v>41.5</v>
      </c>
      <c r="T119" s="10">
        <f t="shared" si="6"/>
        <v>39</v>
      </c>
      <c r="U119" s="6">
        <v>7.3</v>
      </c>
      <c r="V119" s="8">
        <v>0.95219366042614006</v>
      </c>
      <c r="W119" s="8">
        <v>7.7227568094253538</v>
      </c>
      <c r="X119" s="8">
        <f t="shared" si="4"/>
        <v>0.10520752601623329</v>
      </c>
    </row>
    <row r="120" spans="1:25" x14ac:dyDescent="0.35">
      <c r="A120" s="6" t="s">
        <v>25</v>
      </c>
      <c r="B120" s="7"/>
      <c r="C120" s="6">
        <v>510214</v>
      </c>
      <c r="D120" s="6" t="s">
        <v>201</v>
      </c>
      <c r="E120" s="6">
        <v>1</v>
      </c>
      <c r="F120" s="6">
        <v>5</v>
      </c>
      <c r="G120" s="6" t="s">
        <v>202</v>
      </c>
      <c r="H120" s="6">
        <v>9</v>
      </c>
      <c r="I120" s="8">
        <v>85.587483888888897</v>
      </c>
      <c r="J120" s="8">
        <v>126.139427777778</v>
      </c>
      <c r="K120" s="6" t="s">
        <v>29</v>
      </c>
      <c r="L120" s="9">
        <v>43766</v>
      </c>
      <c r="N120" s="6">
        <v>5</v>
      </c>
      <c r="O120" s="6" t="s">
        <v>4251</v>
      </c>
      <c r="Q120" s="6" t="s">
        <v>206</v>
      </c>
      <c r="R120" s="6">
        <v>31.5</v>
      </c>
      <c r="S120" s="6">
        <v>36.5</v>
      </c>
      <c r="T120" s="10">
        <f t="shared" si="6"/>
        <v>34</v>
      </c>
      <c r="U120" s="6">
        <v>5.4</v>
      </c>
      <c r="V120" s="8">
        <v>0.98120214204788259</v>
      </c>
      <c r="W120" s="8">
        <v>8.7251849262237542</v>
      </c>
      <c r="X120" s="8">
        <f t="shared" si="4"/>
        <v>0.8755677898406935</v>
      </c>
    </row>
    <row r="121" spans="1:25" x14ac:dyDescent="0.35">
      <c r="A121" s="6" t="s">
        <v>25</v>
      </c>
      <c r="B121" s="7"/>
      <c r="C121" s="6">
        <v>510215</v>
      </c>
      <c r="D121" s="6" t="s">
        <v>201</v>
      </c>
      <c r="E121" s="6">
        <v>1</v>
      </c>
      <c r="F121" s="6">
        <v>5</v>
      </c>
      <c r="G121" s="6" t="s">
        <v>202</v>
      </c>
      <c r="H121" s="6">
        <v>9</v>
      </c>
      <c r="I121" s="8">
        <v>85.587483888888897</v>
      </c>
      <c r="J121" s="8">
        <v>126.139427777778</v>
      </c>
      <c r="K121" s="6" t="s">
        <v>29</v>
      </c>
      <c r="L121" s="9">
        <v>43766</v>
      </c>
      <c r="N121" s="6">
        <v>5</v>
      </c>
      <c r="O121" s="6" t="s">
        <v>4251</v>
      </c>
      <c r="Q121" s="6" t="s">
        <v>207</v>
      </c>
      <c r="R121" s="6">
        <v>20.7</v>
      </c>
      <c r="S121" s="6">
        <v>31.5</v>
      </c>
      <c r="T121" s="10">
        <f t="shared" si="6"/>
        <v>26.1</v>
      </c>
      <c r="U121" s="6">
        <v>5.7</v>
      </c>
      <c r="V121" s="8">
        <v>0.11191538362503048</v>
      </c>
      <c r="W121" s="8">
        <v>2.021436303806305</v>
      </c>
      <c r="X121" s="8">
        <f t="shared" si="4"/>
        <v>1.1261132348060612</v>
      </c>
    </row>
    <row r="122" spans="1:25" x14ac:dyDescent="0.35">
      <c r="A122" s="6" t="s">
        <v>25</v>
      </c>
      <c r="B122" s="7"/>
      <c r="C122" s="6">
        <v>510216</v>
      </c>
      <c r="D122" s="6" t="s">
        <v>201</v>
      </c>
      <c r="E122" s="6">
        <v>1</v>
      </c>
      <c r="F122" s="6">
        <v>5</v>
      </c>
      <c r="G122" s="6" t="s">
        <v>202</v>
      </c>
      <c r="H122" s="6">
        <v>9</v>
      </c>
      <c r="I122" s="8">
        <v>85.587483888888897</v>
      </c>
      <c r="J122" s="8">
        <v>126.139427777778</v>
      </c>
      <c r="K122" s="6" t="s">
        <v>29</v>
      </c>
      <c r="L122" s="9">
        <v>43766</v>
      </c>
      <c r="N122" s="6">
        <v>5</v>
      </c>
      <c r="O122" s="6" t="s">
        <v>4251</v>
      </c>
      <c r="Q122" s="6" t="s">
        <v>208</v>
      </c>
      <c r="R122" s="6">
        <v>10</v>
      </c>
      <c r="S122" s="6">
        <v>20.7</v>
      </c>
      <c r="T122" s="10">
        <f t="shared" si="6"/>
        <v>15.35</v>
      </c>
      <c r="U122" s="6">
        <v>6.8</v>
      </c>
      <c r="V122" s="8">
        <v>-0.76919455982446683</v>
      </c>
      <c r="W122" s="8">
        <v>-5.3860452894002195</v>
      </c>
      <c r="X122" s="8">
        <f t="shared" si="4"/>
        <v>0.76751118919551509</v>
      </c>
    </row>
    <row r="123" spans="1:25" x14ac:dyDescent="0.35">
      <c r="A123" s="6" t="s">
        <v>25</v>
      </c>
      <c r="B123" s="7"/>
      <c r="C123" s="6">
        <v>510217</v>
      </c>
      <c r="D123" s="6" t="s">
        <v>209</v>
      </c>
      <c r="E123" s="6">
        <v>1</v>
      </c>
      <c r="F123" s="6">
        <v>5</v>
      </c>
      <c r="G123" s="6" t="s">
        <v>210</v>
      </c>
      <c r="H123" s="6">
        <v>16</v>
      </c>
      <c r="I123" s="8">
        <v>85.587483888888897</v>
      </c>
      <c r="J123" s="8">
        <v>126.139427777778</v>
      </c>
      <c r="K123" s="6" t="s">
        <v>29</v>
      </c>
      <c r="L123" s="9">
        <v>43766</v>
      </c>
      <c r="N123" s="6">
        <v>5</v>
      </c>
      <c r="O123" s="6" t="s">
        <v>4251</v>
      </c>
      <c r="Q123" s="6" t="s">
        <v>203</v>
      </c>
      <c r="R123" s="6">
        <v>0</v>
      </c>
      <c r="S123" s="6">
        <v>5</v>
      </c>
      <c r="T123" s="10">
        <f t="shared" si="6"/>
        <v>2.5</v>
      </c>
      <c r="U123" s="6">
        <v>5</v>
      </c>
      <c r="V123" s="8">
        <v>-5.9229873926162728</v>
      </c>
      <c r="W123" s="8">
        <v>-45.027758839416499</v>
      </c>
      <c r="X123" s="8">
        <f t="shared" si="4"/>
        <v>2.3561403015136833</v>
      </c>
    </row>
    <row r="124" spans="1:25" x14ac:dyDescent="0.35">
      <c r="A124" s="6" t="s">
        <v>25</v>
      </c>
      <c r="B124" s="7"/>
      <c r="C124" s="6">
        <v>510218</v>
      </c>
      <c r="D124" s="6" t="s">
        <v>209</v>
      </c>
      <c r="E124" s="6">
        <v>1</v>
      </c>
      <c r="F124" s="6">
        <v>5</v>
      </c>
      <c r="G124" s="6" t="s">
        <v>210</v>
      </c>
      <c r="H124" s="6">
        <v>16</v>
      </c>
      <c r="I124" s="8">
        <v>85.587483888888897</v>
      </c>
      <c r="J124" s="8">
        <v>126.139427777778</v>
      </c>
      <c r="K124" s="6" t="s">
        <v>29</v>
      </c>
      <c r="L124" s="9">
        <v>43766</v>
      </c>
      <c r="N124" s="6">
        <v>5</v>
      </c>
      <c r="O124" s="6" t="s">
        <v>4251</v>
      </c>
      <c r="Q124" s="6" t="s">
        <v>204</v>
      </c>
      <c r="R124" s="6">
        <v>5</v>
      </c>
      <c r="S124" s="6">
        <v>10</v>
      </c>
      <c r="T124" s="10">
        <f t="shared" si="6"/>
        <v>7.5</v>
      </c>
      <c r="U124" s="6">
        <v>1.1000000000000001</v>
      </c>
      <c r="V124" s="8">
        <v>-4.3661138207435606</v>
      </c>
      <c r="W124" s="8">
        <v>-33.876234398651121</v>
      </c>
      <c r="X124" s="8">
        <f t="shared" si="4"/>
        <v>1.0526761672973635</v>
      </c>
    </row>
    <row r="125" spans="1:25" x14ac:dyDescent="0.35">
      <c r="A125" s="6" t="s">
        <v>25</v>
      </c>
      <c r="B125" s="7"/>
      <c r="C125" s="6">
        <v>510219</v>
      </c>
      <c r="D125" s="6" t="s">
        <v>209</v>
      </c>
      <c r="E125" s="6">
        <v>1</v>
      </c>
      <c r="F125" s="6">
        <v>5</v>
      </c>
      <c r="G125" s="6" t="s">
        <v>210</v>
      </c>
      <c r="H125" s="6">
        <v>16</v>
      </c>
      <c r="I125" s="8">
        <v>85.587483888888897</v>
      </c>
      <c r="J125" s="8">
        <v>126.139427777778</v>
      </c>
      <c r="K125" s="6" t="s">
        <v>29</v>
      </c>
      <c r="L125" s="9">
        <v>43766</v>
      </c>
      <c r="N125" s="6">
        <v>5</v>
      </c>
      <c r="O125" s="6" t="s">
        <v>4251</v>
      </c>
      <c r="Q125" s="6" t="s">
        <v>138</v>
      </c>
      <c r="R125" s="6">
        <v>10</v>
      </c>
      <c r="S125" s="6">
        <v>20</v>
      </c>
      <c r="T125" s="10">
        <f t="shared" si="6"/>
        <v>15</v>
      </c>
      <c r="U125" s="6">
        <v>1.3</v>
      </c>
      <c r="V125" s="8">
        <v>-3.5823662671566012</v>
      </c>
      <c r="W125" s="8">
        <v>-27.383188616561888</v>
      </c>
      <c r="X125" s="8">
        <f t="shared" si="4"/>
        <v>1.2757415206909215</v>
      </c>
    </row>
    <row r="126" spans="1:25" x14ac:dyDescent="0.35">
      <c r="A126" s="6" t="s">
        <v>25</v>
      </c>
      <c r="B126" s="7"/>
      <c r="C126" s="6">
        <v>510220</v>
      </c>
      <c r="D126" s="6" t="s">
        <v>209</v>
      </c>
      <c r="E126" s="6">
        <v>1</v>
      </c>
      <c r="F126" s="6">
        <v>5</v>
      </c>
      <c r="G126" s="6" t="s">
        <v>210</v>
      </c>
      <c r="H126" s="6">
        <v>16</v>
      </c>
      <c r="I126" s="8">
        <v>85.587483888888897</v>
      </c>
      <c r="J126" s="8">
        <v>126.139427777778</v>
      </c>
      <c r="K126" s="6" t="s">
        <v>29</v>
      </c>
      <c r="L126" s="9">
        <v>43766</v>
      </c>
      <c r="N126" s="6">
        <v>5</v>
      </c>
      <c r="O126" s="6" t="s">
        <v>4251</v>
      </c>
      <c r="Q126" s="6" t="s">
        <v>211</v>
      </c>
      <c r="R126" s="6">
        <v>70</v>
      </c>
      <c r="S126" s="6">
        <v>75</v>
      </c>
      <c r="T126" s="10">
        <f t="shared" si="6"/>
        <v>72.5</v>
      </c>
      <c r="U126" s="6">
        <v>4.2</v>
      </c>
      <c r="V126" s="8">
        <v>-2.1944817402839663</v>
      </c>
      <c r="W126" s="8">
        <v>-16.356860151290892</v>
      </c>
      <c r="X126" s="8">
        <f t="shared" si="4"/>
        <v>1.198993770980838</v>
      </c>
    </row>
    <row r="127" spans="1:25" x14ac:dyDescent="0.35">
      <c r="A127" s="6" t="s">
        <v>25</v>
      </c>
      <c r="B127" s="7"/>
      <c r="C127" s="6">
        <v>510221</v>
      </c>
      <c r="D127" s="6" t="s">
        <v>209</v>
      </c>
      <c r="E127" s="6">
        <v>1</v>
      </c>
      <c r="F127" s="6">
        <v>5</v>
      </c>
      <c r="G127" s="6" t="s">
        <v>210</v>
      </c>
      <c r="H127" s="6">
        <v>16</v>
      </c>
      <c r="I127" s="8">
        <v>85.587483888888897</v>
      </c>
      <c r="J127" s="8">
        <v>126.139427777778</v>
      </c>
      <c r="K127" s="6" t="s">
        <v>29</v>
      </c>
      <c r="L127" s="9">
        <v>43766</v>
      </c>
      <c r="N127" s="6">
        <v>5</v>
      </c>
      <c r="O127" s="6" t="s">
        <v>4251</v>
      </c>
      <c r="Q127" s="6" t="s">
        <v>212</v>
      </c>
      <c r="R127" s="6">
        <v>65</v>
      </c>
      <c r="S127" s="6">
        <v>70</v>
      </c>
      <c r="T127" s="10">
        <f t="shared" si="6"/>
        <v>67.5</v>
      </c>
      <c r="U127" s="6">
        <v>0.6</v>
      </c>
      <c r="V127" s="8">
        <v>-3.9849858267784124</v>
      </c>
      <c r="W127" s="8">
        <v>-30.859429340362549</v>
      </c>
      <c r="X127" s="8">
        <f t="shared" si="4"/>
        <v>1.0204572738647499</v>
      </c>
    </row>
    <row r="128" spans="1:25" x14ac:dyDescent="0.35">
      <c r="A128" s="6" t="s">
        <v>25</v>
      </c>
      <c r="B128" s="7"/>
      <c r="C128" s="6">
        <v>510222</v>
      </c>
      <c r="D128" s="6" t="s">
        <v>209</v>
      </c>
      <c r="E128" s="6">
        <v>1</v>
      </c>
      <c r="F128" s="6">
        <v>5</v>
      </c>
      <c r="G128" s="6" t="s">
        <v>210</v>
      </c>
      <c r="H128" s="6">
        <v>16</v>
      </c>
      <c r="I128" s="8">
        <v>85.587483888888897</v>
      </c>
      <c r="J128" s="8">
        <v>126.139427777778</v>
      </c>
      <c r="K128" s="6" t="s">
        <v>29</v>
      </c>
      <c r="L128" s="9">
        <v>43766</v>
      </c>
      <c r="N128" s="6">
        <v>5</v>
      </c>
      <c r="O128" s="6" t="s">
        <v>4251</v>
      </c>
      <c r="Q128" s="6" t="s">
        <v>213</v>
      </c>
      <c r="R128" s="6">
        <v>55</v>
      </c>
      <c r="S128" s="6">
        <v>65</v>
      </c>
      <c r="T128" s="10">
        <f t="shared" si="6"/>
        <v>60</v>
      </c>
      <c r="U128" s="6">
        <v>0.4</v>
      </c>
      <c r="V128" s="8">
        <v>-2.7246331263065335</v>
      </c>
      <c r="W128" s="8">
        <v>-21.292458181381225</v>
      </c>
      <c r="X128" s="8">
        <f t="shared" si="4"/>
        <v>0.50460682907104371</v>
      </c>
    </row>
    <row r="129" spans="1:24" x14ac:dyDescent="0.35">
      <c r="A129" s="6" t="s">
        <v>25</v>
      </c>
      <c r="B129" s="7"/>
      <c r="C129" s="6">
        <v>510223</v>
      </c>
      <c r="D129" s="6" t="s">
        <v>209</v>
      </c>
      <c r="E129" s="6">
        <v>1</v>
      </c>
      <c r="F129" s="6">
        <v>5</v>
      </c>
      <c r="G129" s="6" t="s">
        <v>210</v>
      </c>
      <c r="H129" s="6">
        <v>16</v>
      </c>
      <c r="I129" s="8">
        <v>85.587483888888897</v>
      </c>
      <c r="J129" s="8">
        <v>126.139427777778</v>
      </c>
      <c r="K129" s="6" t="s">
        <v>29</v>
      </c>
      <c r="L129" s="9">
        <v>43766</v>
      </c>
      <c r="N129" s="6">
        <v>5</v>
      </c>
      <c r="O129" s="6" t="s">
        <v>4251</v>
      </c>
      <c r="Q129" s="6" t="s">
        <v>214</v>
      </c>
      <c r="R129" s="6">
        <v>45</v>
      </c>
      <c r="S129" s="6">
        <v>55</v>
      </c>
      <c r="T129" s="10">
        <f t="shared" si="6"/>
        <v>50</v>
      </c>
      <c r="U129" s="6">
        <v>0.3</v>
      </c>
      <c r="V129" s="8">
        <v>-2.4169040678024292</v>
      </c>
      <c r="W129" s="8">
        <v>-18.83899673461914</v>
      </c>
      <c r="X129" s="8">
        <f t="shared" si="4"/>
        <v>0.49623580780029286</v>
      </c>
    </row>
    <row r="130" spans="1:24" x14ac:dyDescent="0.35">
      <c r="A130" s="6" t="s">
        <v>25</v>
      </c>
      <c r="B130" s="7"/>
      <c r="C130" s="6">
        <v>510224</v>
      </c>
      <c r="D130" s="6" t="s">
        <v>209</v>
      </c>
      <c r="E130" s="6">
        <v>1</v>
      </c>
      <c r="F130" s="6">
        <v>5</v>
      </c>
      <c r="G130" s="6" t="s">
        <v>210</v>
      </c>
      <c r="H130" s="6">
        <v>16</v>
      </c>
      <c r="I130" s="8">
        <v>85.587483888888897</v>
      </c>
      <c r="J130" s="8">
        <v>126.139427777778</v>
      </c>
      <c r="K130" s="6" t="s">
        <v>29</v>
      </c>
      <c r="L130" s="9">
        <v>43766</v>
      </c>
      <c r="N130" s="6">
        <v>5</v>
      </c>
      <c r="O130" s="6" t="s">
        <v>4251</v>
      </c>
      <c r="Q130" s="6" t="s">
        <v>215</v>
      </c>
      <c r="R130" s="6">
        <v>20</v>
      </c>
      <c r="S130" s="6">
        <v>30</v>
      </c>
      <c r="T130" s="10">
        <f t="shared" si="6"/>
        <v>25</v>
      </c>
      <c r="U130" s="6">
        <v>0.5</v>
      </c>
      <c r="V130" s="8">
        <v>-4.0189310023307803</v>
      </c>
      <c r="W130" s="8">
        <v>-30.410672192382812</v>
      </c>
      <c r="X130" s="8">
        <f t="shared" ref="X130:X193" si="7">W130-(8*V130)</f>
        <v>1.7407758262634303</v>
      </c>
    </row>
    <row r="131" spans="1:24" x14ac:dyDescent="0.35">
      <c r="A131" s="6" t="s">
        <v>25</v>
      </c>
      <c r="B131" s="7"/>
      <c r="C131" s="6">
        <v>510225</v>
      </c>
      <c r="D131" s="6" t="s">
        <v>209</v>
      </c>
      <c r="E131" s="6">
        <v>1</v>
      </c>
      <c r="F131" s="6">
        <v>5</v>
      </c>
      <c r="G131" s="6" t="s">
        <v>210</v>
      </c>
      <c r="H131" s="6">
        <v>16</v>
      </c>
      <c r="I131" s="8">
        <v>85.587483888888897</v>
      </c>
      <c r="J131" s="8">
        <v>126.139427777778</v>
      </c>
      <c r="K131" s="6" t="s">
        <v>29</v>
      </c>
      <c r="L131" s="9">
        <v>43766</v>
      </c>
      <c r="N131" s="6">
        <v>5</v>
      </c>
      <c r="O131" s="6" t="s">
        <v>4251</v>
      </c>
      <c r="Q131" s="6" t="s">
        <v>216</v>
      </c>
      <c r="R131" s="6">
        <v>30</v>
      </c>
      <c r="S131" s="6">
        <v>45</v>
      </c>
      <c r="T131" s="10">
        <f t="shared" si="6"/>
        <v>37.5</v>
      </c>
      <c r="U131" s="6">
        <v>0.3</v>
      </c>
      <c r="V131" s="8">
        <v>-2.8732378277301791</v>
      </c>
      <c r="W131" s="8">
        <v>-21.700378742980956</v>
      </c>
      <c r="X131" s="8">
        <f t="shared" si="7"/>
        <v>1.2855238788604773</v>
      </c>
    </row>
    <row r="132" spans="1:24" x14ac:dyDescent="0.35">
      <c r="A132" s="6" t="s">
        <v>25</v>
      </c>
      <c r="B132" s="7"/>
      <c r="C132" s="6">
        <v>510230</v>
      </c>
      <c r="D132" s="6" t="s">
        <v>217</v>
      </c>
      <c r="E132" s="6">
        <v>1</v>
      </c>
      <c r="F132" s="6">
        <v>5</v>
      </c>
      <c r="G132" s="6" t="s">
        <v>210</v>
      </c>
      <c r="H132" s="6">
        <v>16</v>
      </c>
      <c r="I132" s="8">
        <v>85.587483888888897</v>
      </c>
      <c r="J132" s="8">
        <v>126.139427777778</v>
      </c>
      <c r="K132" s="6" t="s">
        <v>29</v>
      </c>
      <c r="L132" s="9">
        <v>43766</v>
      </c>
      <c r="N132" s="6">
        <v>5</v>
      </c>
      <c r="O132" s="6" t="s">
        <v>4251</v>
      </c>
      <c r="Q132" s="6" t="s">
        <v>64</v>
      </c>
      <c r="R132" s="6">
        <v>0</v>
      </c>
      <c r="S132" s="6">
        <v>10</v>
      </c>
      <c r="T132" s="10">
        <f t="shared" si="6"/>
        <v>5</v>
      </c>
      <c r="U132" s="6">
        <v>0</v>
      </c>
      <c r="V132" s="8">
        <v>-6.3742679126739512</v>
      </c>
      <c r="W132" s="8">
        <v>-49.221475982666014</v>
      </c>
      <c r="X132" s="8">
        <f t="shared" si="7"/>
        <v>1.7726673187255955</v>
      </c>
    </row>
    <row r="133" spans="1:24" x14ac:dyDescent="0.35">
      <c r="A133" s="6" t="s">
        <v>25</v>
      </c>
      <c r="B133" s="7"/>
      <c r="C133" s="6">
        <v>510231</v>
      </c>
      <c r="D133" s="6" t="s">
        <v>217</v>
      </c>
      <c r="E133" s="6">
        <v>1</v>
      </c>
      <c r="F133" s="6">
        <v>5</v>
      </c>
      <c r="G133" s="6" t="s">
        <v>210</v>
      </c>
      <c r="H133" s="6">
        <v>16</v>
      </c>
      <c r="I133" s="8">
        <v>85.587483888888897</v>
      </c>
      <c r="J133" s="8">
        <v>126.139427777778</v>
      </c>
      <c r="K133" s="6" t="s">
        <v>29</v>
      </c>
      <c r="L133" s="9">
        <v>43766</v>
      </c>
      <c r="N133" s="6">
        <v>5</v>
      </c>
      <c r="O133" s="6" t="s">
        <v>4251</v>
      </c>
      <c r="Q133" s="6" t="s">
        <v>218</v>
      </c>
      <c r="R133" s="6">
        <v>10</v>
      </c>
      <c r="S133" s="6">
        <v>20</v>
      </c>
      <c r="T133" s="10">
        <f t="shared" si="6"/>
        <v>15</v>
      </c>
      <c r="U133" s="6">
        <v>0</v>
      </c>
      <c r="V133" s="8">
        <v>-6.7339668742815659</v>
      </c>
      <c r="W133" s="8">
        <v>-51.164246877034508</v>
      </c>
      <c r="X133" s="8">
        <f t="shared" si="7"/>
        <v>2.7074881172180199</v>
      </c>
    </row>
    <row r="134" spans="1:24" x14ac:dyDescent="0.35">
      <c r="A134" s="6" t="s">
        <v>25</v>
      </c>
      <c r="B134" s="7"/>
      <c r="C134" s="6">
        <v>510232</v>
      </c>
      <c r="D134" s="6" t="s">
        <v>217</v>
      </c>
      <c r="E134" s="6">
        <v>1</v>
      </c>
      <c r="F134" s="6">
        <v>5</v>
      </c>
      <c r="G134" s="6" t="s">
        <v>210</v>
      </c>
      <c r="H134" s="6">
        <v>16</v>
      </c>
      <c r="I134" s="8">
        <v>85.587483888888897</v>
      </c>
      <c r="J134" s="8">
        <v>126.139427777778</v>
      </c>
      <c r="K134" s="6" t="s">
        <v>29</v>
      </c>
      <c r="L134" s="9">
        <v>43766</v>
      </c>
      <c r="N134" s="6">
        <v>5</v>
      </c>
      <c r="O134" s="6" t="s">
        <v>4251</v>
      </c>
      <c r="Q134" s="6" t="s">
        <v>215</v>
      </c>
      <c r="R134" s="6">
        <v>20</v>
      </c>
      <c r="S134" s="6">
        <v>30</v>
      </c>
      <c r="T134" s="10">
        <f t="shared" si="6"/>
        <v>25</v>
      </c>
      <c r="U134" s="6">
        <v>0</v>
      </c>
      <c r="V134" s="8">
        <v>-5.651340428670248</v>
      </c>
      <c r="W134" s="8">
        <v>-42.546320203145342</v>
      </c>
      <c r="X134" s="8">
        <f t="shared" si="7"/>
        <v>2.6644032262166419</v>
      </c>
    </row>
    <row r="135" spans="1:24" x14ac:dyDescent="0.35">
      <c r="A135" s="6" t="s">
        <v>25</v>
      </c>
      <c r="B135" s="7"/>
      <c r="C135" s="6">
        <v>510233</v>
      </c>
      <c r="D135" s="6" t="s">
        <v>217</v>
      </c>
      <c r="E135" s="6">
        <v>1</v>
      </c>
      <c r="F135" s="6">
        <v>5</v>
      </c>
      <c r="G135" s="6" t="s">
        <v>210</v>
      </c>
      <c r="H135" s="6">
        <v>16</v>
      </c>
      <c r="I135" s="8">
        <v>85.587483888888897</v>
      </c>
      <c r="J135" s="8">
        <v>126.139427777778</v>
      </c>
      <c r="K135" s="6" t="s">
        <v>29</v>
      </c>
      <c r="L135" s="9">
        <v>43766</v>
      </c>
      <c r="N135" s="6">
        <v>5</v>
      </c>
      <c r="O135" s="6" t="s">
        <v>4251</v>
      </c>
      <c r="Q135" s="6" t="s">
        <v>219</v>
      </c>
      <c r="R135" s="6">
        <v>30</v>
      </c>
      <c r="S135" s="6">
        <v>40</v>
      </c>
      <c r="T135" s="10">
        <f t="shared" si="6"/>
        <v>35</v>
      </c>
      <c r="U135" s="6">
        <v>0.4</v>
      </c>
      <c r="V135" s="8">
        <v>-4.7547472680409761</v>
      </c>
      <c r="W135" s="8">
        <v>-35.614885311126706</v>
      </c>
      <c r="X135" s="8">
        <f t="shared" si="7"/>
        <v>2.4230928332011032</v>
      </c>
    </row>
    <row r="136" spans="1:24" x14ac:dyDescent="0.35">
      <c r="A136" s="6" t="s">
        <v>25</v>
      </c>
      <c r="B136" s="7"/>
      <c r="C136" s="6">
        <v>510234</v>
      </c>
      <c r="D136" s="6" t="s">
        <v>217</v>
      </c>
      <c r="E136" s="6">
        <v>1</v>
      </c>
      <c r="F136" s="6">
        <v>5</v>
      </c>
      <c r="G136" s="6" t="s">
        <v>210</v>
      </c>
      <c r="H136" s="6">
        <v>16</v>
      </c>
      <c r="I136" s="8">
        <v>85.587483888888897</v>
      </c>
      <c r="J136" s="8">
        <v>126.139427777778</v>
      </c>
      <c r="K136" s="6" t="s">
        <v>29</v>
      </c>
      <c r="L136" s="9">
        <v>43766</v>
      </c>
      <c r="N136" s="6">
        <v>5</v>
      </c>
      <c r="O136" s="6" t="s">
        <v>4251</v>
      </c>
      <c r="Q136" s="6" t="s">
        <v>220</v>
      </c>
      <c r="R136" s="6">
        <v>40</v>
      </c>
      <c r="S136" s="6">
        <v>51</v>
      </c>
      <c r="T136" s="10">
        <f t="shared" si="6"/>
        <v>45.5</v>
      </c>
      <c r="U136" s="6">
        <v>0.9</v>
      </c>
      <c r="V136" s="8">
        <v>-4.7611390337467201</v>
      </c>
      <c r="W136" s="8">
        <v>-36.729997639656062</v>
      </c>
      <c r="X136" s="8">
        <f t="shared" si="7"/>
        <v>1.3591146303176984</v>
      </c>
    </row>
    <row r="137" spans="1:24" x14ac:dyDescent="0.35">
      <c r="A137" s="6" t="s">
        <v>25</v>
      </c>
      <c r="B137" s="7"/>
      <c r="C137" s="6">
        <v>510235</v>
      </c>
      <c r="D137" s="6" t="s">
        <v>217</v>
      </c>
      <c r="E137" s="6">
        <v>1</v>
      </c>
      <c r="F137" s="6">
        <v>5</v>
      </c>
      <c r="G137" s="6" t="s">
        <v>210</v>
      </c>
      <c r="H137" s="6">
        <v>16</v>
      </c>
      <c r="I137" s="8">
        <v>85.587483888888897</v>
      </c>
      <c r="J137" s="8">
        <v>126.139427777778</v>
      </c>
      <c r="K137" s="6" t="s">
        <v>29</v>
      </c>
      <c r="L137" s="9">
        <v>43766</v>
      </c>
      <c r="N137" s="6">
        <v>5</v>
      </c>
      <c r="O137" s="6" t="s">
        <v>4251</v>
      </c>
      <c r="Q137" s="6" t="s">
        <v>221</v>
      </c>
      <c r="R137" s="6">
        <v>51</v>
      </c>
      <c r="S137" s="6">
        <v>61</v>
      </c>
      <c r="T137" s="10">
        <f t="shared" si="6"/>
        <v>56</v>
      </c>
      <c r="U137" s="6">
        <v>1.1000000000000001</v>
      </c>
      <c r="V137" s="8">
        <v>-4.5568450691223141</v>
      </c>
      <c r="W137" s="8">
        <v>-35.182698736190794</v>
      </c>
      <c r="X137" s="8">
        <f t="shared" si="7"/>
        <v>1.2720618167877191</v>
      </c>
    </row>
    <row r="138" spans="1:24" x14ac:dyDescent="0.35">
      <c r="A138" s="6" t="s">
        <v>25</v>
      </c>
      <c r="B138" s="7"/>
      <c r="C138" s="6">
        <v>510236</v>
      </c>
      <c r="D138" s="6" t="s">
        <v>217</v>
      </c>
      <c r="E138" s="6">
        <v>1</v>
      </c>
      <c r="F138" s="6">
        <v>5</v>
      </c>
      <c r="G138" s="6" t="s">
        <v>210</v>
      </c>
      <c r="H138" s="6">
        <v>16</v>
      </c>
      <c r="I138" s="8">
        <v>85.587483888888897</v>
      </c>
      <c r="J138" s="8">
        <v>126.139427777778</v>
      </c>
      <c r="K138" s="6" t="s">
        <v>29</v>
      </c>
      <c r="L138" s="9">
        <v>43766</v>
      </c>
      <c r="N138" s="6">
        <v>5</v>
      </c>
      <c r="O138" s="6" t="s">
        <v>4251</v>
      </c>
      <c r="Q138" s="6" t="s">
        <v>222</v>
      </c>
      <c r="R138" s="6">
        <v>61</v>
      </c>
      <c r="S138" s="6">
        <v>71</v>
      </c>
      <c r="T138" s="10">
        <f t="shared" si="6"/>
        <v>66</v>
      </c>
      <c r="U138" s="6">
        <v>1.1000000000000001</v>
      </c>
      <c r="V138" s="8">
        <v>-4.3685796081542971</v>
      </c>
      <c r="W138" s="8">
        <v>-33.533265523910515</v>
      </c>
      <c r="X138" s="8">
        <f t="shared" si="7"/>
        <v>1.415371341323862</v>
      </c>
    </row>
    <row r="139" spans="1:24" x14ac:dyDescent="0.35">
      <c r="A139" s="6" t="s">
        <v>25</v>
      </c>
      <c r="B139" s="7"/>
      <c r="C139" s="6">
        <v>510237</v>
      </c>
      <c r="D139" s="6" t="s">
        <v>217</v>
      </c>
      <c r="E139" s="6">
        <v>1</v>
      </c>
      <c r="F139" s="6">
        <v>5</v>
      </c>
      <c r="G139" s="6" t="s">
        <v>210</v>
      </c>
      <c r="H139" s="6">
        <v>16</v>
      </c>
      <c r="I139" s="8">
        <v>85.587483888888897</v>
      </c>
      <c r="J139" s="8">
        <v>126.139427777778</v>
      </c>
      <c r="K139" s="6" t="s">
        <v>29</v>
      </c>
      <c r="L139" s="9">
        <v>43766</v>
      </c>
      <c r="N139" s="6">
        <v>5</v>
      </c>
      <c r="O139" s="6" t="s">
        <v>4251</v>
      </c>
      <c r="Q139" s="6" t="s">
        <v>223</v>
      </c>
      <c r="R139" s="6">
        <v>71</v>
      </c>
      <c r="S139" s="6">
        <v>82</v>
      </c>
      <c r="T139" s="10">
        <f t="shared" si="6"/>
        <v>76.5</v>
      </c>
      <c r="U139" s="6">
        <v>1.1000000000000001</v>
      </c>
      <c r="V139" s="8">
        <v>-4.1030365712165837</v>
      </c>
      <c r="W139" s="8">
        <v>-31.02927852153778</v>
      </c>
      <c r="X139" s="8">
        <f t="shared" si="7"/>
        <v>1.79501404819489</v>
      </c>
    </row>
    <row r="140" spans="1:24" x14ac:dyDescent="0.35">
      <c r="A140" s="6" t="s">
        <v>25</v>
      </c>
      <c r="B140" s="7"/>
      <c r="C140" s="6">
        <v>510238</v>
      </c>
      <c r="D140" s="6" t="s">
        <v>217</v>
      </c>
      <c r="E140" s="6">
        <v>1</v>
      </c>
      <c r="F140" s="6">
        <v>5</v>
      </c>
      <c r="G140" s="6" t="s">
        <v>210</v>
      </c>
      <c r="H140" s="6">
        <v>16</v>
      </c>
      <c r="I140" s="8">
        <v>85.587483888888897</v>
      </c>
      <c r="J140" s="8">
        <v>126.139427777778</v>
      </c>
      <c r="K140" s="6" t="s">
        <v>29</v>
      </c>
      <c r="L140" s="9">
        <v>43766</v>
      </c>
      <c r="N140" s="6">
        <v>5</v>
      </c>
      <c r="O140" s="6" t="s">
        <v>4251</v>
      </c>
      <c r="Q140" s="6" t="s">
        <v>224</v>
      </c>
      <c r="R140" s="6">
        <v>82</v>
      </c>
      <c r="S140" s="6">
        <v>92</v>
      </c>
      <c r="T140" s="10">
        <f t="shared" si="6"/>
        <v>87</v>
      </c>
      <c r="U140" s="6">
        <v>2.4</v>
      </c>
      <c r="V140" s="8">
        <v>-3.9179990149497992</v>
      </c>
      <c r="W140" s="8">
        <v>-29.164505958557129</v>
      </c>
      <c r="X140" s="8">
        <f t="shared" si="7"/>
        <v>2.1794861610412646</v>
      </c>
    </row>
    <row r="141" spans="1:24" x14ac:dyDescent="0.35">
      <c r="A141" s="6" t="s">
        <v>25</v>
      </c>
      <c r="B141" s="7"/>
      <c r="C141" s="6">
        <v>510239</v>
      </c>
      <c r="D141" s="6" t="s">
        <v>217</v>
      </c>
      <c r="E141" s="6">
        <v>1</v>
      </c>
      <c r="F141" s="6">
        <v>5</v>
      </c>
      <c r="G141" s="6" t="s">
        <v>210</v>
      </c>
      <c r="H141" s="6">
        <v>16</v>
      </c>
      <c r="I141" s="8">
        <v>85.587483888888897</v>
      </c>
      <c r="J141" s="8">
        <v>126.139427777778</v>
      </c>
      <c r="K141" s="6" t="s">
        <v>29</v>
      </c>
      <c r="L141" s="9">
        <v>43766</v>
      </c>
      <c r="N141" s="6">
        <v>5</v>
      </c>
      <c r="O141" s="6" t="s">
        <v>4251</v>
      </c>
      <c r="Q141" s="6" t="s">
        <v>225</v>
      </c>
      <c r="R141" s="6">
        <v>92</v>
      </c>
      <c r="S141" s="6">
        <v>102</v>
      </c>
      <c r="T141" s="10">
        <f t="shared" si="6"/>
        <v>97</v>
      </c>
      <c r="U141" s="6">
        <v>1.6</v>
      </c>
      <c r="V141" s="8">
        <v>-3.7564663866519932</v>
      </c>
      <c r="W141" s="8">
        <v>-27.011794157028199</v>
      </c>
      <c r="X141" s="8">
        <f t="shared" si="7"/>
        <v>3.0399369361877469</v>
      </c>
    </row>
    <row r="142" spans="1:24" x14ac:dyDescent="0.35">
      <c r="A142" s="6" t="s">
        <v>25</v>
      </c>
      <c r="B142" s="7"/>
      <c r="C142" s="6">
        <v>510240</v>
      </c>
      <c r="D142" s="6" t="s">
        <v>217</v>
      </c>
      <c r="E142" s="6">
        <v>1</v>
      </c>
      <c r="F142" s="6">
        <v>5</v>
      </c>
      <c r="G142" s="6" t="s">
        <v>210</v>
      </c>
      <c r="H142" s="6">
        <v>16</v>
      </c>
      <c r="I142" s="8">
        <v>85.587483888888897</v>
      </c>
      <c r="J142" s="8">
        <v>126.139427777778</v>
      </c>
      <c r="K142" s="6" t="s">
        <v>29</v>
      </c>
      <c r="L142" s="9">
        <v>43766</v>
      </c>
      <c r="N142" s="6">
        <v>5</v>
      </c>
      <c r="O142" s="6" t="s">
        <v>4251</v>
      </c>
      <c r="Q142" s="6" t="s">
        <v>226</v>
      </c>
      <c r="R142" s="6">
        <v>102</v>
      </c>
      <c r="S142" s="6">
        <v>112</v>
      </c>
      <c r="T142" s="10">
        <f t="shared" si="6"/>
        <v>107</v>
      </c>
      <c r="U142" s="6">
        <v>2.6</v>
      </c>
      <c r="V142" s="8">
        <v>-3.1195882864952091</v>
      </c>
      <c r="W142" s="8">
        <v>-26.248680143356321</v>
      </c>
      <c r="X142" s="8">
        <f t="shared" si="7"/>
        <v>-1.2919738513946477</v>
      </c>
    </row>
    <row r="143" spans="1:24" x14ac:dyDescent="0.35">
      <c r="A143" s="6" t="s">
        <v>25</v>
      </c>
      <c r="B143" s="7"/>
      <c r="C143" s="6">
        <v>510241</v>
      </c>
      <c r="D143" s="6" t="s">
        <v>217</v>
      </c>
      <c r="E143" s="6">
        <v>1</v>
      </c>
      <c r="F143" s="6">
        <v>5</v>
      </c>
      <c r="G143" s="6" t="s">
        <v>210</v>
      </c>
      <c r="H143" s="6">
        <v>16</v>
      </c>
      <c r="I143" s="8">
        <v>85.587483888888897</v>
      </c>
      <c r="J143" s="8">
        <v>126.139427777778</v>
      </c>
      <c r="K143" s="6" t="s">
        <v>29</v>
      </c>
      <c r="L143" s="9">
        <v>43766</v>
      </c>
      <c r="N143" s="6">
        <v>5</v>
      </c>
      <c r="O143" s="6" t="s">
        <v>4251</v>
      </c>
      <c r="Q143" s="6" t="s">
        <v>227</v>
      </c>
      <c r="R143" s="6">
        <v>112</v>
      </c>
      <c r="S143" s="6">
        <v>122</v>
      </c>
      <c r="T143" s="10">
        <f t="shared" si="6"/>
        <v>117</v>
      </c>
      <c r="U143" s="6">
        <v>3</v>
      </c>
      <c r="V143" s="8">
        <v>-2.9093261881828312</v>
      </c>
      <c r="W143" s="8">
        <v>-23.106046199798584</v>
      </c>
      <c r="X143" s="8">
        <f t="shared" si="7"/>
        <v>0.16856330566406541</v>
      </c>
    </row>
    <row r="144" spans="1:24" x14ac:dyDescent="0.35">
      <c r="A144" s="6" t="s">
        <v>25</v>
      </c>
      <c r="B144" s="7"/>
      <c r="C144" s="6">
        <v>510242</v>
      </c>
      <c r="D144" s="6" t="s">
        <v>217</v>
      </c>
      <c r="E144" s="6">
        <v>1</v>
      </c>
      <c r="F144" s="6">
        <v>5</v>
      </c>
      <c r="G144" s="6" t="s">
        <v>210</v>
      </c>
      <c r="H144" s="6">
        <v>16</v>
      </c>
      <c r="I144" s="8">
        <v>85.587483888888897</v>
      </c>
      <c r="J144" s="8">
        <v>126.139427777778</v>
      </c>
      <c r="K144" s="6" t="s">
        <v>29</v>
      </c>
      <c r="L144" s="9">
        <v>43766</v>
      </c>
      <c r="N144" s="6">
        <v>5</v>
      </c>
      <c r="O144" s="6" t="s">
        <v>4251</v>
      </c>
      <c r="Q144" s="6" t="s">
        <v>228</v>
      </c>
      <c r="R144" s="6">
        <v>122</v>
      </c>
      <c r="S144" s="6">
        <v>132</v>
      </c>
      <c r="T144" s="10">
        <f t="shared" si="6"/>
        <v>127</v>
      </c>
      <c r="U144" s="6">
        <v>3.2</v>
      </c>
      <c r="V144" s="8">
        <v>-2.6709770585060126</v>
      </c>
      <c r="W144" s="8">
        <v>-20.092313795089719</v>
      </c>
      <c r="X144" s="8">
        <f t="shared" si="7"/>
        <v>1.2755026729583818</v>
      </c>
    </row>
    <row r="145" spans="1:25" x14ac:dyDescent="0.35">
      <c r="A145" s="6" t="s">
        <v>25</v>
      </c>
      <c r="B145" s="7"/>
      <c r="C145" s="6">
        <v>510243</v>
      </c>
      <c r="D145" s="6" t="s">
        <v>217</v>
      </c>
      <c r="E145" s="6">
        <v>1</v>
      </c>
      <c r="F145" s="6">
        <v>5</v>
      </c>
      <c r="G145" s="6" t="s">
        <v>210</v>
      </c>
      <c r="H145" s="6">
        <v>16</v>
      </c>
      <c r="I145" s="8">
        <v>85.587483888888897</v>
      </c>
      <c r="J145" s="8">
        <v>126.139427777778</v>
      </c>
      <c r="K145" s="6" t="s">
        <v>29</v>
      </c>
      <c r="L145" s="9">
        <v>43766</v>
      </c>
      <c r="N145" s="6">
        <v>5</v>
      </c>
      <c r="O145" s="6" t="s">
        <v>4251</v>
      </c>
      <c r="Q145" s="6" t="s">
        <v>229</v>
      </c>
      <c r="R145" s="6">
        <v>132</v>
      </c>
      <c r="S145" s="6">
        <v>142</v>
      </c>
      <c r="T145" s="10">
        <f t="shared" si="6"/>
        <v>137</v>
      </c>
      <c r="U145" s="6">
        <v>3</v>
      </c>
      <c r="V145" s="8">
        <v>-2.6098021329402927</v>
      </c>
      <c r="W145" s="8">
        <v>-20.018659806251524</v>
      </c>
      <c r="X145" s="8">
        <f t="shared" si="7"/>
        <v>0.85975725727081809</v>
      </c>
    </row>
    <row r="146" spans="1:25" x14ac:dyDescent="0.35">
      <c r="A146" s="6" t="s">
        <v>25</v>
      </c>
      <c r="B146" s="7"/>
      <c r="C146" s="6">
        <v>510244</v>
      </c>
      <c r="D146" s="6" t="s">
        <v>217</v>
      </c>
      <c r="E146" s="6">
        <v>1</v>
      </c>
      <c r="F146" s="6">
        <v>5</v>
      </c>
      <c r="G146" s="6" t="s">
        <v>210</v>
      </c>
      <c r="H146" s="6">
        <v>16</v>
      </c>
      <c r="I146" s="8">
        <v>85.587483888888897</v>
      </c>
      <c r="J146" s="8">
        <v>126.139427777778</v>
      </c>
      <c r="K146" s="6" t="s">
        <v>29</v>
      </c>
      <c r="L146" s="9">
        <v>43766</v>
      </c>
      <c r="N146" s="6">
        <v>5</v>
      </c>
      <c r="O146" s="6" t="s">
        <v>4251</v>
      </c>
      <c r="Q146" s="6" t="s">
        <v>230</v>
      </c>
      <c r="R146" s="6">
        <v>142</v>
      </c>
      <c r="S146" s="6">
        <v>152</v>
      </c>
      <c r="T146" s="10">
        <f t="shared" si="6"/>
        <v>147</v>
      </c>
      <c r="U146" s="6">
        <v>3.7</v>
      </c>
      <c r="V146" s="8">
        <v>-2.9264521842956546</v>
      </c>
      <c r="W146" s="8">
        <v>-22.275317440032957</v>
      </c>
      <c r="X146" s="8">
        <f t="shared" si="7"/>
        <v>1.1363000343322796</v>
      </c>
    </row>
    <row r="147" spans="1:25" x14ac:dyDescent="0.35">
      <c r="A147" s="6" t="s">
        <v>25</v>
      </c>
      <c r="B147" s="7"/>
      <c r="C147" s="6">
        <v>510246</v>
      </c>
      <c r="D147" s="6" t="s">
        <v>217</v>
      </c>
      <c r="E147" s="6">
        <v>1</v>
      </c>
      <c r="F147" s="6">
        <v>5</v>
      </c>
      <c r="G147" s="6" t="s">
        <v>210</v>
      </c>
      <c r="H147" s="6">
        <v>16</v>
      </c>
      <c r="I147" s="8">
        <v>85.587483888888897</v>
      </c>
      <c r="J147" s="8">
        <v>126.139427777778</v>
      </c>
      <c r="K147" s="6" t="s">
        <v>29</v>
      </c>
      <c r="L147" s="9">
        <v>43766</v>
      </c>
      <c r="N147" s="6">
        <v>5</v>
      </c>
      <c r="O147" s="6" t="s">
        <v>4251</v>
      </c>
      <c r="Q147" s="6" t="s">
        <v>231</v>
      </c>
      <c r="R147" s="6">
        <v>152</v>
      </c>
      <c r="S147" s="6">
        <v>162</v>
      </c>
      <c r="T147" s="10">
        <f t="shared" si="6"/>
        <v>157</v>
      </c>
      <c r="U147" s="6">
        <v>3.5</v>
      </c>
      <c r="V147" s="8">
        <v>-2.3997384308338172</v>
      </c>
      <c r="W147" s="8">
        <v>-17.939797806739808</v>
      </c>
      <c r="X147" s="8">
        <f t="shared" si="7"/>
        <v>1.2581096399307299</v>
      </c>
    </row>
    <row r="148" spans="1:25" x14ac:dyDescent="0.35">
      <c r="A148" s="6" t="s">
        <v>25</v>
      </c>
      <c r="B148" s="7"/>
      <c r="C148" s="6">
        <v>510247</v>
      </c>
      <c r="D148" s="6" t="s">
        <v>217</v>
      </c>
      <c r="E148" s="6">
        <v>1</v>
      </c>
      <c r="F148" s="6">
        <v>5</v>
      </c>
      <c r="G148" s="6" t="s">
        <v>210</v>
      </c>
      <c r="H148" s="6">
        <v>16</v>
      </c>
      <c r="I148" s="8">
        <v>85.587483888888897</v>
      </c>
      <c r="J148" s="8">
        <v>126.139427777778</v>
      </c>
      <c r="K148" s="6" t="s">
        <v>29</v>
      </c>
      <c r="L148" s="9">
        <v>43766</v>
      </c>
      <c r="N148" s="6">
        <v>5</v>
      </c>
      <c r="O148" s="6" t="s">
        <v>4251</v>
      </c>
      <c r="Q148" s="6" t="s">
        <v>232</v>
      </c>
      <c r="R148" s="6">
        <v>162</v>
      </c>
      <c r="S148" s="6">
        <v>172</v>
      </c>
      <c r="T148" s="10">
        <f t="shared" si="6"/>
        <v>167</v>
      </c>
      <c r="U148" s="6">
        <v>3.5</v>
      </c>
      <c r="V148" s="8">
        <v>-1.5904186336755757</v>
      </c>
      <c r="W148" s="8">
        <v>-12.725431365966797</v>
      </c>
      <c r="X148" s="8">
        <f t="shared" si="7"/>
        <v>-2.082296562191388E-3</v>
      </c>
    </row>
    <row r="149" spans="1:25" x14ac:dyDescent="0.35">
      <c r="A149" s="6" t="s">
        <v>25</v>
      </c>
      <c r="B149" s="7"/>
      <c r="C149" s="6">
        <v>510248</v>
      </c>
      <c r="D149" s="6" t="s">
        <v>217</v>
      </c>
      <c r="E149" s="6">
        <v>1</v>
      </c>
      <c r="F149" s="6">
        <v>5</v>
      </c>
      <c r="G149" s="6" t="s">
        <v>210</v>
      </c>
      <c r="H149" s="6">
        <v>16</v>
      </c>
      <c r="I149" s="8">
        <v>85.587483888888897</v>
      </c>
      <c r="J149" s="8">
        <v>126.139427777778</v>
      </c>
      <c r="K149" s="6" t="s">
        <v>29</v>
      </c>
      <c r="L149" s="9">
        <v>43766</v>
      </c>
      <c r="N149" s="6">
        <v>5</v>
      </c>
      <c r="O149" s="6" t="s">
        <v>4251</v>
      </c>
      <c r="Q149" s="6" t="s">
        <v>233</v>
      </c>
      <c r="R149" s="6">
        <v>172</v>
      </c>
      <c r="S149" s="6">
        <v>183</v>
      </c>
      <c r="T149" s="10">
        <f t="shared" si="6"/>
        <v>177.5</v>
      </c>
      <c r="U149" s="6">
        <v>4.3</v>
      </c>
      <c r="V149" s="8">
        <v>-0.14224494586363415</v>
      </c>
      <c r="W149" s="8">
        <v>-2.0455201721191387</v>
      </c>
      <c r="X149" s="8">
        <f t="shared" si="7"/>
        <v>-0.90756060521006554</v>
      </c>
    </row>
    <row r="150" spans="1:25" x14ac:dyDescent="0.35">
      <c r="A150" s="6" t="s">
        <v>25</v>
      </c>
      <c r="B150" s="7"/>
      <c r="C150" s="6">
        <v>510249</v>
      </c>
      <c r="D150" s="6" t="s">
        <v>217</v>
      </c>
      <c r="E150" s="6">
        <v>1</v>
      </c>
      <c r="F150" s="6">
        <v>5</v>
      </c>
      <c r="G150" s="6" t="s">
        <v>210</v>
      </c>
      <c r="H150" s="6">
        <v>16</v>
      </c>
      <c r="I150" s="8">
        <v>85.587483888888897</v>
      </c>
      <c r="J150" s="8">
        <v>126.139427777778</v>
      </c>
      <c r="K150" s="6" t="s">
        <v>29</v>
      </c>
      <c r="L150" s="9">
        <v>43766</v>
      </c>
      <c r="N150" s="6">
        <v>5</v>
      </c>
      <c r="O150" s="6" t="s">
        <v>4251</v>
      </c>
      <c r="Q150" s="6" t="s">
        <v>234</v>
      </c>
      <c r="R150" s="6">
        <v>183</v>
      </c>
      <c r="S150" s="6">
        <v>195</v>
      </c>
      <c r="T150" s="10">
        <f t="shared" si="6"/>
        <v>189</v>
      </c>
      <c r="U150" s="6">
        <v>5.7</v>
      </c>
      <c r="V150" s="8">
        <v>0.45892639836072974</v>
      </c>
      <c r="W150" s="8">
        <v>4.1714492797851577</v>
      </c>
      <c r="X150" s="8">
        <f t="shared" si="7"/>
        <v>0.50003809289931977</v>
      </c>
    </row>
    <row r="151" spans="1:25" x14ac:dyDescent="0.35">
      <c r="A151" s="6" t="s">
        <v>25</v>
      </c>
      <c r="B151" s="7"/>
      <c r="C151" s="6">
        <v>510226</v>
      </c>
      <c r="D151" s="6" t="s">
        <v>238</v>
      </c>
      <c r="E151" s="6">
        <v>1</v>
      </c>
      <c r="F151" s="6">
        <v>5</v>
      </c>
      <c r="G151" s="6" t="s">
        <v>239</v>
      </c>
      <c r="H151" s="6">
        <v>9</v>
      </c>
      <c r="I151" s="8">
        <v>85.587483888888897</v>
      </c>
      <c r="J151" s="8">
        <v>126.139427777778</v>
      </c>
      <c r="K151" s="6" t="s">
        <v>198</v>
      </c>
      <c r="L151" s="9">
        <v>43766</v>
      </c>
      <c r="N151" s="6">
        <v>5</v>
      </c>
      <c r="O151" s="6" t="s">
        <v>4251</v>
      </c>
      <c r="U151" s="6">
        <v>10.5</v>
      </c>
      <c r="V151" s="8">
        <v>-22.709779957580565</v>
      </c>
      <c r="W151" s="8">
        <v>-170.2169805908203</v>
      </c>
      <c r="X151" s="8">
        <f t="shared" si="7"/>
        <v>11.461259069824223</v>
      </c>
    </row>
    <row r="152" spans="1:25" x14ac:dyDescent="0.35">
      <c r="A152" s="6" t="s">
        <v>25</v>
      </c>
      <c r="B152" s="7"/>
      <c r="C152" s="6">
        <v>510227</v>
      </c>
      <c r="D152" s="6" t="s">
        <v>238</v>
      </c>
      <c r="E152" s="6">
        <v>1</v>
      </c>
      <c r="F152" s="6">
        <v>5</v>
      </c>
      <c r="G152" s="6" t="s">
        <v>239</v>
      </c>
      <c r="H152" s="6">
        <v>9</v>
      </c>
      <c r="I152" s="8">
        <v>85.587483888888897</v>
      </c>
      <c r="J152" s="8">
        <v>126.139427777778</v>
      </c>
      <c r="K152" s="6" t="s">
        <v>198</v>
      </c>
      <c r="L152" s="9">
        <v>43766</v>
      </c>
      <c r="N152" s="6">
        <v>5</v>
      </c>
      <c r="O152" s="6" t="s">
        <v>4251</v>
      </c>
      <c r="U152" s="6">
        <v>0</v>
      </c>
      <c r="V152" s="8">
        <v>-16.83111167860185</v>
      </c>
      <c r="W152" s="8">
        <v>-121.3664778510408</v>
      </c>
      <c r="X152" s="8">
        <f t="shared" si="7"/>
        <v>13.282415577774003</v>
      </c>
    </row>
    <row r="153" spans="1:25" x14ac:dyDescent="0.35">
      <c r="A153" s="6" t="s">
        <v>25</v>
      </c>
      <c r="B153" s="7"/>
      <c r="C153" s="6">
        <v>510228</v>
      </c>
      <c r="D153" s="6" t="s">
        <v>240</v>
      </c>
      <c r="E153" s="6">
        <v>1</v>
      </c>
      <c r="F153" s="6">
        <v>5</v>
      </c>
      <c r="G153" s="6" t="s">
        <v>241</v>
      </c>
      <c r="H153" s="6">
        <v>16</v>
      </c>
      <c r="I153" s="8">
        <v>85.587483888888897</v>
      </c>
      <c r="J153" s="8">
        <v>126.139427777778</v>
      </c>
      <c r="K153" s="6" t="s">
        <v>198</v>
      </c>
      <c r="L153" s="9">
        <v>43766</v>
      </c>
      <c r="N153" s="6">
        <v>5</v>
      </c>
      <c r="O153" s="6" t="s">
        <v>4251</v>
      </c>
      <c r="U153" s="6">
        <v>0</v>
      </c>
      <c r="V153" s="8">
        <v>-16.156495983869455</v>
      </c>
      <c r="W153" s="8">
        <v>-117.23012058343947</v>
      </c>
      <c r="X153" s="8">
        <f t="shared" si="7"/>
        <v>12.021847287516167</v>
      </c>
    </row>
    <row r="154" spans="1:25" x14ac:dyDescent="0.35">
      <c r="A154" s="6" t="s">
        <v>25</v>
      </c>
      <c r="B154" s="7"/>
      <c r="C154" s="6">
        <v>510250</v>
      </c>
      <c r="D154" s="6" t="s">
        <v>235</v>
      </c>
      <c r="E154" s="6">
        <v>1</v>
      </c>
      <c r="F154" s="6">
        <v>5</v>
      </c>
      <c r="G154" s="6" t="s">
        <v>236</v>
      </c>
      <c r="I154" s="8">
        <v>85.587483888888897</v>
      </c>
      <c r="J154" s="8">
        <v>126.139427777778</v>
      </c>
      <c r="K154" s="6" t="s">
        <v>198</v>
      </c>
      <c r="L154" s="9">
        <v>43766</v>
      </c>
      <c r="N154" s="6">
        <v>5</v>
      </c>
      <c r="O154" s="6" t="s">
        <v>4251</v>
      </c>
      <c r="V154" s="8">
        <v>-21.988264004516601</v>
      </c>
      <c r="W154" s="8">
        <v>-165.64962133789064</v>
      </c>
      <c r="X154" s="8">
        <f t="shared" si="7"/>
        <v>10.256490698242175</v>
      </c>
      <c r="Y154" s="6" t="s">
        <v>237</v>
      </c>
    </row>
    <row r="155" spans="1:25" x14ac:dyDescent="0.35">
      <c r="A155" s="6" t="s">
        <v>25</v>
      </c>
      <c r="B155" s="7"/>
      <c r="C155" s="6">
        <v>510252</v>
      </c>
      <c r="D155" s="6" t="s">
        <v>235</v>
      </c>
      <c r="E155" s="6">
        <v>1</v>
      </c>
      <c r="F155" s="6">
        <v>5</v>
      </c>
      <c r="G155" s="6" t="s">
        <v>236</v>
      </c>
      <c r="I155" s="8">
        <v>85.587483888888897</v>
      </c>
      <c r="J155" s="8">
        <v>126.139427777778</v>
      </c>
      <c r="K155" s="6" t="s">
        <v>198</v>
      </c>
      <c r="L155" s="9">
        <v>43766</v>
      </c>
      <c r="N155" s="6">
        <v>5</v>
      </c>
      <c r="O155" s="6" t="s">
        <v>4251</v>
      </c>
      <c r="V155" s="8">
        <v>-21.795615296173096</v>
      </c>
      <c r="W155" s="8">
        <v>-164.31106646728514</v>
      </c>
      <c r="X155" s="8">
        <f t="shared" si="7"/>
        <v>10.053855902099627</v>
      </c>
    </row>
    <row r="156" spans="1:25" x14ac:dyDescent="0.35">
      <c r="A156" s="6" t="s">
        <v>25</v>
      </c>
      <c r="B156" s="7" t="s">
        <v>242</v>
      </c>
      <c r="C156" s="6">
        <v>510280</v>
      </c>
      <c r="D156" s="6" t="s">
        <v>243</v>
      </c>
      <c r="E156" s="6">
        <v>1</v>
      </c>
      <c r="F156" s="6">
        <v>5</v>
      </c>
      <c r="G156" s="6" t="s">
        <v>179</v>
      </c>
      <c r="I156" s="8">
        <v>85.726575763888903</v>
      </c>
      <c r="J156" s="8">
        <v>124.264683611111</v>
      </c>
      <c r="K156" s="6" t="s">
        <v>29</v>
      </c>
      <c r="L156" s="9">
        <v>43768</v>
      </c>
      <c r="N156" s="6">
        <v>5</v>
      </c>
      <c r="O156" s="6" t="s">
        <v>4252</v>
      </c>
      <c r="P156" s="6">
        <v>-6.13</v>
      </c>
      <c r="Q156" s="10"/>
      <c r="R156" s="10">
        <v>0</v>
      </c>
      <c r="S156" s="10">
        <v>5</v>
      </c>
      <c r="T156" s="10">
        <f t="shared" ref="T156:T198" si="8">AVERAGE(R156:S156)</f>
        <v>2.5</v>
      </c>
      <c r="U156" s="6">
        <v>7.4</v>
      </c>
      <c r="V156" s="8">
        <v>-0.24091682289242766</v>
      </c>
      <c r="W156" s="8">
        <v>-2.5154734134674075</v>
      </c>
      <c r="X156" s="8">
        <f t="shared" si="7"/>
        <v>-0.5881388303279862</v>
      </c>
    </row>
    <row r="157" spans="1:25" x14ac:dyDescent="0.35">
      <c r="A157" s="6" t="s">
        <v>25</v>
      </c>
      <c r="B157" s="7" t="s">
        <v>244</v>
      </c>
      <c r="C157" s="6">
        <v>510281</v>
      </c>
      <c r="D157" s="6" t="s">
        <v>245</v>
      </c>
      <c r="E157" s="6">
        <v>1</v>
      </c>
      <c r="F157" s="6">
        <v>5</v>
      </c>
      <c r="G157" s="6" t="s">
        <v>179</v>
      </c>
      <c r="I157" s="8">
        <v>85.726575763888903</v>
      </c>
      <c r="J157" s="8">
        <v>124.264683611111</v>
      </c>
      <c r="K157" s="6" t="s">
        <v>29</v>
      </c>
      <c r="L157" s="9">
        <v>43768</v>
      </c>
      <c r="N157" s="6">
        <v>5</v>
      </c>
      <c r="O157" s="6" t="s">
        <v>4252</v>
      </c>
      <c r="P157" s="6">
        <v>-5.5</v>
      </c>
      <c r="Q157" s="10"/>
      <c r="R157" s="10">
        <v>5</v>
      </c>
      <c r="S157" s="10">
        <v>10</v>
      </c>
      <c r="T157" s="10">
        <f t="shared" si="8"/>
        <v>7.5</v>
      </c>
      <c r="U157" s="6">
        <v>6.1</v>
      </c>
      <c r="V157" s="8">
        <v>-0.83127270923852936</v>
      </c>
      <c r="W157" s="8">
        <v>-5.726554048061371</v>
      </c>
      <c r="X157" s="8">
        <f t="shared" si="7"/>
        <v>0.92362762584686386</v>
      </c>
    </row>
    <row r="158" spans="1:25" x14ac:dyDescent="0.35">
      <c r="A158" s="6" t="s">
        <v>25</v>
      </c>
      <c r="B158" s="7" t="s">
        <v>246</v>
      </c>
      <c r="C158" s="6">
        <v>510283</v>
      </c>
      <c r="D158" s="6" t="s">
        <v>247</v>
      </c>
      <c r="E158" s="6">
        <v>1</v>
      </c>
      <c r="F158" s="6">
        <v>5</v>
      </c>
      <c r="G158" s="6" t="s">
        <v>179</v>
      </c>
      <c r="I158" s="8">
        <v>85.726575763888903</v>
      </c>
      <c r="J158" s="8">
        <v>124.264683611111</v>
      </c>
      <c r="K158" s="6" t="s">
        <v>29</v>
      </c>
      <c r="L158" s="9">
        <v>43768</v>
      </c>
      <c r="N158" s="6">
        <v>5</v>
      </c>
      <c r="O158" s="6" t="s">
        <v>4252</v>
      </c>
      <c r="P158" s="6">
        <v>-3.32</v>
      </c>
      <c r="Q158" s="10"/>
      <c r="R158" s="10">
        <v>20</v>
      </c>
      <c r="S158" s="10">
        <v>29</v>
      </c>
      <c r="T158" s="10">
        <f t="shared" si="8"/>
        <v>24.5</v>
      </c>
      <c r="U158" s="6">
        <v>5.6</v>
      </c>
      <c r="V158" s="8">
        <v>1.0664392119169235</v>
      </c>
      <c r="W158" s="8">
        <v>9.7478967189788825</v>
      </c>
      <c r="X158" s="8">
        <f t="shared" si="7"/>
        <v>1.2163830236434947</v>
      </c>
    </row>
    <row r="159" spans="1:25" x14ac:dyDescent="0.35">
      <c r="A159" s="6" t="s">
        <v>25</v>
      </c>
      <c r="B159" s="7" t="s">
        <v>248</v>
      </c>
      <c r="C159" s="6">
        <v>510284</v>
      </c>
      <c r="D159" s="6" t="s">
        <v>249</v>
      </c>
      <c r="E159" s="6">
        <v>1</v>
      </c>
      <c r="F159" s="6">
        <v>5</v>
      </c>
      <c r="G159" s="6" t="s">
        <v>179</v>
      </c>
      <c r="I159" s="8">
        <v>85.726575763888903</v>
      </c>
      <c r="J159" s="8">
        <v>124.264683611111</v>
      </c>
      <c r="K159" s="6" t="s">
        <v>29</v>
      </c>
      <c r="L159" s="9">
        <v>43768</v>
      </c>
      <c r="N159" s="6">
        <v>5</v>
      </c>
      <c r="O159" s="6" t="s">
        <v>4252</v>
      </c>
      <c r="P159" s="6">
        <v>-2.0099999999999998</v>
      </c>
      <c r="Q159" s="10"/>
      <c r="R159" s="10">
        <v>29</v>
      </c>
      <c r="S159" s="10">
        <v>38</v>
      </c>
      <c r="T159" s="10">
        <f t="shared" si="8"/>
        <v>33.5</v>
      </c>
      <c r="U159" s="6">
        <v>5.7</v>
      </c>
      <c r="V159" s="8">
        <v>1.1996086540222171</v>
      </c>
      <c r="W159" s="8">
        <v>9.7202150963544831</v>
      </c>
      <c r="X159" s="8">
        <f t="shared" si="7"/>
        <v>0.12334586417674664</v>
      </c>
    </row>
    <row r="160" spans="1:25" x14ac:dyDescent="0.35">
      <c r="A160" s="6" t="s">
        <v>25</v>
      </c>
      <c r="B160" s="7" t="s">
        <v>250</v>
      </c>
      <c r="C160" s="6">
        <v>510282</v>
      </c>
      <c r="D160" s="6" t="s">
        <v>251</v>
      </c>
      <c r="E160" s="6">
        <v>1</v>
      </c>
      <c r="F160" s="6">
        <v>5</v>
      </c>
      <c r="G160" s="6" t="s">
        <v>179</v>
      </c>
      <c r="I160" s="8">
        <v>85.726575763888903</v>
      </c>
      <c r="J160" s="8">
        <v>124.264683611111</v>
      </c>
      <c r="K160" s="6" t="s">
        <v>29</v>
      </c>
      <c r="L160" s="9">
        <v>43768</v>
      </c>
      <c r="N160" s="6">
        <v>5</v>
      </c>
      <c r="O160" s="6" t="s">
        <v>4252</v>
      </c>
      <c r="P160" s="6">
        <v>-4.51</v>
      </c>
      <c r="Q160" s="10"/>
      <c r="R160" s="10">
        <v>10</v>
      </c>
      <c r="S160" s="10">
        <v>20</v>
      </c>
      <c r="T160" s="10">
        <f t="shared" si="8"/>
        <v>15</v>
      </c>
      <c r="U160" s="6">
        <v>4.3</v>
      </c>
      <c r="V160" s="8">
        <v>-2.3643742787837985</v>
      </c>
      <c r="W160" s="8">
        <v>-17.135993766784665</v>
      </c>
      <c r="X160" s="8">
        <f t="shared" si="7"/>
        <v>1.7790004634857226</v>
      </c>
    </row>
    <row r="161" spans="1:24" x14ac:dyDescent="0.35">
      <c r="A161" s="6" t="s">
        <v>25</v>
      </c>
      <c r="B161" s="7"/>
      <c r="C161" s="6">
        <v>510285</v>
      </c>
      <c r="D161" s="6" t="s">
        <v>252</v>
      </c>
      <c r="E161" s="6">
        <v>1</v>
      </c>
      <c r="F161" s="6">
        <v>5</v>
      </c>
      <c r="G161" s="6" t="s">
        <v>179</v>
      </c>
      <c r="I161" s="8">
        <v>85.726575763888903</v>
      </c>
      <c r="J161" s="8">
        <v>124.264683611111</v>
      </c>
      <c r="K161" s="6" t="s">
        <v>198</v>
      </c>
      <c r="L161" s="9">
        <v>43768</v>
      </c>
      <c r="N161" s="6">
        <v>5</v>
      </c>
      <c r="O161" s="6" t="s">
        <v>4252</v>
      </c>
      <c r="Q161" s="6" t="s">
        <v>253</v>
      </c>
      <c r="R161" s="6">
        <v>4.5</v>
      </c>
      <c r="S161" s="6">
        <v>9</v>
      </c>
      <c r="T161" s="10">
        <f t="shared" si="8"/>
        <v>6.75</v>
      </c>
      <c r="V161" s="8">
        <v>-6.7758262826919555</v>
      </c>
      <c r="W161" s="8">
        <v>-52.340047852325441</v>
      </c>
      <c r="X161" s="8">
        <f t="shared" si="7"/>
        <v>1.8665624092102036</v>
      </c>
    </row>
    <row r="162" spans="1:24" x14ac:dyDescent="0.35">
      <c r="A162" s="6" t="s">
        <v>25</v>
      </c>
      <c r="B162" s="7"/>
      <c r="C162" s="6">
        <v>510286</v>
      </c>
      <c r="D162" s="6" t="s">
        <v>252</v>
      </c>
      <c r="E162" s="6">
        <v>1</v>
      </c>
      <c r="F162" s="6">
        <v>5</v>
      </c>
      <c r="G162" s="6" t="s">
        <v>179</v>
      </c>
      <c r="I162" s="8">
        <v>85.726575763888903</v>
      </c>
      <c r="J162" s="8">
        <v>124.264683611111</v>
      </c>
      <c r="K162" s="6" t="s">
        <v>198</v>
      </c>
      <c r="L162" s="9">
        <v>43768</v>
      </c>
      <c r="N162" s="6">
        <v>5</v>
      </c>
      <c r="O162" s="6" t="s">
        <v>4252</v>
      </c>
      <c r="Q162" s="6" t="s">
        <v>254</v>
      </c>
      <c r="R162" s="6">
        <v>0</v>
      </c>
      <c r="S162" s="6">
        <v>4.5</v>
      </c>
      <c r="T162" s="10">
        <f t="shared" si="8"/>
        <v>2.25</v>
      </c>
      <c r="V162" s="8">
        <v>-14.503572975349426</v>
      </c>
      <c r="W162" s="8">
        <v>-103.45194618682862</v>
      </c>
      <c r="X162" s="8">
        <f t="shared" si="7"/>
        <v>12.576637615966789</v>
      </c>
    </row>
    <row r="163" spans="1:24" x14ac:dyDescent="0.35">
      <c r="A163" s="6" t="s">
        <v>25</v>
      </c>
      <c r="B163" s="7" t="s">
        <v>255</v>
      </c>
      <c r="D163" s="6" t="s">
        <v>256</v>
      </c>
      <c r="E163" s="6">
        <v>1</v>
      </c>
      <c r="F163" s="6">
        <v>5</v>
      </c>
      <c r="G163" s="6" t="s">
        <v>60</v>
      </c>
      <c r="I163" s="8">
        <v>85.820734375000001</v>
      </c>
      <c r="J163" s="8">
        <v>122.84527</v>
      </c>
      <c r="K163" s="7" t="s">
        <v>2610</v>
      </c>
      <c r="L163" s="9">
        <v>43770</v>
      </c>
      <c r="N163" s="6">
        <v>5</v>
      </c>
      <c r="O163" s="6" t="s">
        <v>4253</v>
      </c>
      <c r="Q163" s="10">
        <v>200</v>
      </c>
      <c r="R163" s="10"/>
      <c r="S163" s="10">
        <v>200</v>
      </c>
      <c r="T163" s="10">
        <f t="shared" si="8"/>
        <v>200</v>
      </c>
      <c r="V163" s="8">
        <v>-1.577542633581162</v>
      </c>
      <c r="W163" s="8">
        <v>-10.895352566242217</v>
      </c>
      <c r="X163" s="8">
        <f t="shared" si="7"/>
        <v>1.7249885024070792</v>
      </c>
    </row>
    <row r="164" spans="1:24" x14ac:dyDescent="0.35">
      <c r="A164" s="6" t="s">
        <v>25</v>
      </c>
      <c r="B164" s="7" t="s">
        <v>257</v>
      </c>
      <c r="D164" s="6" t="s">
        <v>258</v>
      </c>
      <c r="E164" s="6">
        <v>1</v>
      </c>
      <c r="F164" s="6">
        <v>5</v>
      </c>
      <c r="G164" s="6" t="s">
        <v>179</v>
      </c>
      <c r="I164" s="8">
        <v>85.859204791666698</v>
      </c>
      <c r="J164" s="8">
        <v>122.400430694444</v>
      </c>
      <c r="K164" s="7" t="s">
        <v>29</v>
      </c>
      <c r="L164" s="9">
        <v>43771</v>
      </c>
      <c r="N164" s="6">
        <v>5</v>
      </c>
      <c r="O164" s="6" t="s">
        <v>4254</v>
      </c>
      <c r="Q164" s="10"/>
      <c r="R164" s="10">
        <v>11</v>
      </c>
      <c r="S164" s="10">
        <v>22</v>
      </c>
      <c r="T164" s="10">
        <f t="shared" si="8"/>
        <v>16.5</v>
      </c>
      <c r="V164" s="8">
        <v>-4.2497204811096188</v>
      </c>
      <c r="W164" s="8">
        <v>-33.233796691894533</v>
      </c>
      <c r="X164" s="8">
        <f t="shared" si="7"/>
        <v>0.76396715698241735</v>
      </c>
    </row>
    <row r="165" spans="1:24" x14ac:dyDescent="0.35">
      <c r="A165" s="6" t="s">
        <v>25</v>
      </c>
      <c r="B165" s="7" t="s">
        <v>259</v>
      </c>
      <c r="D165" s="6" t="s">
        <v>260</v>
      </c>
      <c r="E165" s="6">
        <v>1</v>
      </c>
      <c r="F165" s="6">
        <v>5</v>
      </c>
      <c r="G165" s="6" t="s">
        <v>179</v>
      </c>
      <c r="I165" s="8">
        <v>85.859204791666698</v>
      </c>
      <c r="J165" s="8">
        <v>122.400430694444</v>
      </c>
      <c r="K165" s="7" t="s">
        <v>29</v>
      </c>
      <c r="L165" s="9">
        <v>43771</v>
      </c>
      <c r="N165" s="6">
        <v>5</v>
      </c>
      <c r="O165" s="6" t="s">
        <v>4254</v>
      </c>
      <c r="Q165" s="10"/>
      <c r="R165" s="10">
        <v>30.5</v>
      </c>
      <c r="S165" s="10">
        <v>39</v>
      </c>
      <c r="T165" s="10">
        <f t="shared" si="8"/>
        <v>34.75</v>
      </c>
      <c r="V165" s="8">
        <v>-5.2677801606178285</v>
      </c>
      <c r="W165" s="8">
        <v>-40.138639427185062</v>
      </c>
      <c r="X165" s="8">
        <f t="shared" si="7"/>
        <v>2.0036018577575661</v>
      </c>
    </row>
    <row r="166" spans="1:24" x14ac:dyDescent="0.35">
      <c r="A166" s="6" t="s">
        <v>25</v>
      </c>
      <c r="B166" s="7" t="s">
        <v>261</v>
      </c>
      <c r="D166" s="6" t="s">
        <v>262</v>
      </c>
      <c r="E166" s="6">
        <v>1</v>
      </c>
      <c r="F166" s="6">
        <v>5</v>
      </c>
      <c r="G166" s="6" t="s">
        <v>179</v>
      </c>
      <c r="I166" s="8">
        <v>85.859204791666698</v>
      </c>
      <c r="J166" s="8">
        <v>122.400430694444</v>
      </c>
      <c r="K166" s="7" t="s">
        <v>29</v>
      </c>
      <c r="L166" s="9">
        <v>43771</v>
      </c>
      <c r="N166" s="6">
        <v>5</v>
      </c>
      <c r="O166" s="6" t="s">
        <v>4254</v>
      </c>
      <c r="Q166" s="10"/>
      <c r="R166" s="10">
        <v>94</v>
      </c>
      <c r="S166" s="10">
        <v>101</v>
      </c>
      <c r="T166" s="10">
        <f t="shared" si="8"/>
        <v>97.5</v>
      </c>
      <c r="V166" s="8">
        <v>-2.4521247105121615</v>
      </c>
      <c r="W166" s="8">
        <v>-18.345744258880615</v>
      </c>
      <c r="X166" s="8">
        <f t="shared" si="7"/>
        <v>1.2712534252166776</v>
      </c>
    </row>
    <row r="167" spans="1:24" x14ac:dyDescent="0.35">
      <c r="A167" s="6" t="s">
        <v>25</v>
      </c>
      <c r="B167" s="7" t="s">
        <v>263</v>
      </c>
      <c r="D167" s="6" t="s">
        <v>264</v>
      </c>
      <c r="E167" s="6">
        <v>1</v>
      </c>
      <c r="F167" s="6">
        <v>5</v>
      </c>
      <c r="G167" s="6" t="s">
        <v>179</v>
      </c>
      <c r="I167" s="8">
        <v>85.859204791666698</v>
      </c>
      <c r="J167" s="8">
        <v>122.400430694444</v>
      </c>
      <c r="K167" s="7" t="s">
        <v>29</v>
      </c>
      <c r="L167" s="9">
        <v>43771</v>
      </c>
      <c r="N167" s="6">
        <v>5</v>
      </c>
      <c r="O167" s="6" t="s">
        <v>4254</v>
      </c>
      <c r="Q167" s="10"/>
      <c r="R167" s="10">
        <v>84</v>
      </c>
      <c r="S167" s="10">
        <v>94</v>
      </c>
      <c r="T167" s="10">
        <f t="shared" si="8"/>
        <v>89</v>
      </c>
      <c r="V167" s="8">
        <v>-4.7499608222961429</v>
      </c>
      <c r="W167" s="8">
        <v>-37.128971847534181</v>
      </c>
      <c r="X167" s="8">
        <f t="shared" si="7"/>
        <v>0.87071473083496187</v>
      </c>
    </row>
    <row r="168" spans="1:24" x14ac:dyDescent="0.35">
      <c r="A168" s="6" t="s">
        <v>25</v>
      </c>
      <c r="B168" s="7" t="s">
        <v>265</v>
      </c>
      <c r="D168" s="6" t="s">
        <v>266</v>
      </c>
      <c r="E168" s="6">
        <v>1</v>
      </c>
      <c r="F168" s="6">
        <v>5</v>
      </c>
      <c r="G168" s="6" t="s">
        <v>179</v>
      </c>
      <c r="I168" s="8">
        <v>85.859204791666698</v>
      </c>
      <c r="J168" s="8">
        <v>122.400430694444</v>
      </c>
      <c r="K168" s="7" t="s">
        <v>29</v>
      </c>
      <c r="L168" s="9">
        <v>43771</v>
      </c>
      <c r="N168" s="6">
        <v>5</v>
      </c>
      <c r="O168" s="6" t="s">
        <v>4254</v>
      </c>
      <c r="Q168" s="10"/>
      <c r="R168" s="10">
        <v>0</v>
      </c>
      <c r="S168" s="10">
        <v>11</v>
      </c>
      <c r="T168" s="10">
        <f t="shared" si="8"/>
        <v>5.5</v>
      </c>
      <c r="V168" s="8">
        <v>-5.9478245307922375</v>
      </c>
      <c r="W168" s="8">
        <v>-45.413395599365238</v>
      </c>
      <c r="X168" s="8">
        <f t="shared" si="7"/>
        <v>2.1692006469726621</v>
      </c>
    </row>
    <row r="169" spans="1:24" x14ac:dyDescent="0.35">
      <c r="A169" s="6" t="s">
        <v>25</v>
      </c>
      <c r="B169" s="7" t="s">
        <v>267</v>
      </c>
      <c r="D169" s="6" t="s">
        <v>268</v>
      </c>
      <c r="E169" s="6">
        <v>1</v>
      </c>
      <c r="F169" s="6">
        <v>5</v>
      </c>
      <c r="G169" s="6" t="s">
        <v>179</v>
      </c>
      <c r="I169" s="8">
        <v>85.859204791666698</v>
      </c>
      <c r="J169" s="8">
        <v>122.400430694444</v>
      </c>
      <c r="K169" s="7" t="s">
        <v>29</v>
      </c>
      <c r="L169" s="9">
        <v>43771</v>
      </c>
      <c r="N169" s="6">
        <v>5</v>
      </c>
      <c r="O169" s="6" t="s">
        <v>4254</v>
      </c>
      <c r="Q169" s="10"/>
      <c r="R169" s="10">
        <v>22</v>
      </c>
      <c r="S169" s="10">
        <v>30.5</v>
      </c>
      <c r="T169" s="10">
        <f t="shared" si="8"/>
        <v>26.25</v>
      </c>
      <c r="V169" s="8">
        <v>-4.4263598244667053</v>
      </c>
      <c r="W169" s="8">
        <v>-34.651463699340816</v>
      </c>
      <c r="X169" s="8">
        <f t="shared" si="7"/>
        <v>0.75941489639282622</v>
      </c>
    </row>
    <row r="170" spans="1:24" x14ac:dyDescent="0.35">
      <c r="A170" s="6" t="s">
        <v>25</v>
      </c>
      <c r="B170" s="7" t="s">
        <v>269</v>
      </c>
      <c r="D170" s="6" t="s">
        <v>270</v>
      </c>
      <c r="E170" s="6">
        <v>1</v>
      </c>
      <c r="F170" s="6">
        <v>5</v>
      </c>
      <c r="G170" s="6" t="s">
        <v>179</v>
      </c>
      <c r="I170" s="8">
        <v>85.859204791666698</v>
      </c>
      <c r="J170" s="8">
        <v>122.400430694444</v>
      </c>
      <c r="K170" s="7" t="s">
        <v>29</v>
      </c>
      <c r="L170" s="9">
        <v>43771</v>
      </c>
      <c r="N170" s="6">
        <v>5</v>
      </c>
      <c r="O170" s="6" t="s">
        <v>4254</v>
      </c>
      <c r="Q170" s="10"/>
      <c r="R170" s="10">
        <v>74</v>
      </c>
      <c r="S170" s="10">
        <v>84</v>
      </c>
      <c r="T170" s="10">
        <f t="shared" si="8"/>
        <v>79</v>
      </c>
      <c r="V170" s="8">
        <v>-6.8189414637565626</v>
      </c>
      <c r="W170" s="8">
        <v>-51.58909091949463</v>
      </c>
      <c r="X170" s="8">
        <f t="shared" si="7"/>
        <v>2.9624407905578707</v>
      </c>
    </row>
    <row r="171" spans="1:24" x14ac:dyDescent="0.35">
      <c r="A171" s="6" t="s">
        <v>25</v>
      </c>
      <c r="B171" s="7"/>
      <c r="C171" s="6">
        <v>510315</v>
      </c>
      <c r="D171" s="6" t="s">
        <v>271</v>
      </c>
      <c r="E171" s="6">
        <v>1</v>
      </c>
      <c r="F171" s="6">
        <v>5</v>
      </c>
      <c r="G171" s="6" t="s">
        <v>272</v>
      </c>
      <c r="H171" s="6">
        <v>18</v>
      </c>
      <c r="I171" s="8">
        <v>85.859204791666698</v>
      </c>
      <c r="J171" s="8">
        <v>122.400430694444</v>
      </c>
      <c r="K171" s="6" t="s">
        <v>198</v>
      </c>
      <c r="L171" s="9">
        <v>43771</v>
      </c>
      <c r="N171" s="6">
        <v>5</v>
      </c>
      <c r="O171" s="6" t="s">
        <v>4254</v>
      </c>
      <c r="Q171" s="6" t="s">
        <v>273</v>
      </c>
      <c r="R171" s="6">
        <v>0</v>
      </c>
      <c r="S171" s="6">
        <v>6</v>
      </c>
      <c r="T171" s="10">
        <f t="shared" si="8"/>
        <v>3</v>
      </c>
      <c r="U171" s="6">
        <v>0</v>
      </c>
      <c r="V171" s="8">
        <v>-24.139957516479491</v>
      </c>
      <c r="W171" s="8">
        <v>-172.98726603393555</v>
      </c>
      <c r="X171" s="8">
        <f t="shared" si="7"/>
        <v>20.132394097900374</v>
      </c>
    </row>
    <row r="172" spans="1:24" x14ac:dyDescent="0.35">
      <c r="A172" s="6" t="s">
        <v>25</v>
      </c>
      <c r="B172" s="7"/>
      <c r="C172" s="6">
        <v>510316</v>
      </c>
      <c r="D172" s="6" t="s">
        <v>271</v>
      </c>
      <c r="E172" s="6">
        <v>1</v>
      </c>
      <c r="F172" s="6">
        <v>5</v>
      </c>
      <c r="G172" s="6" t="s">
        <v>272</v>
      </c>
      <c r="I172" s="8">
        <v>85.859204791666698</v>
      </c>
      <c r="J172" s="8">
        <v>122.400430694444</v>
      </c>
      <c r="K172" s="6" t="s">
        <v>198</v>
      </c>
      <c r="L172" s="9">
        <v>43771</v>
      </c>
      <c r="N172" s="6">
        <v>5</v>
      </c>
      <c r="O172" s="6" t="s">
        <v>4254</v>
      </c>
      <c r="Q172" s="6" t="s">
        <v>274</v>
      </c>
      <c r="R172" s="6">
        <v>6</v>
      </c>
      <c r="S172" s="6">
        <v>12</v>
      </c>
      <c r="T172" s="10">
        <f t="shared" si="8"/>
        <v>9</v>
      </c>
      <c r="U172" s="6">
        <v>0</v>
      </c>
      <c r="V172" s="8">
        <v>-15.103480030965139</v>
      </c>
      <c r="W172" s="8">
        <v>-109.35734162810682</v>
      </c>
      <c r="X172" s="8">
        <f t="shared" si="7"/>
        <v>11.47049861961429</v>
      </c>
    </row>
    <row r="173" spans="1:24" x14ac:dyDescent="0.35">
      <c r="A173" s="6" t="s">
        <v>25</v>
      </c>
      <c r="B173" s="7"/>
      <c r="C173" s="6">
        <v>510317</v>
      </c>
      <c r="D173" s="6" t="s">
        <v>271</v>
      </c>
      <c r="E173" s="6">
        <v>1</v>
      </c>
      <c r="F173" s="6">
        <v>5</v>
      </c>
      <c r="G173" s="6" t="s">
        <v>272</v>
      </c>
      <c r="I173" s="8">
        <v>85.859204791666698</v>
      </c>
      <c r="J173" s="8">
        <v>122.400430694444</v>
      </c>
      <c r="K173" s="6" t="s">
        <v>198</v>
      </c>
      <c r="L173" s="9">
        <v>43771</v>
      </c>
      <c r="N173" s="6">
        <v>5</v>
      </c>
      <c r="O173" s="6" t="s">
        <v>4254</v>
      </c>
      <c r="Q173" s="6" t="s">
        <v>275</v>
      </c>
      <c r="R173" s="6">
        <v>12</v>
      </c>
      <c r="S173" s="6">
        <v>18</v>
      </c>
      <c r="T173" s="10">
        <f t="shared" si="8"/>
        <v>15</v>
      </c>
      <c r="U173" s="6">
        <v>0.1</v>
      </c>
      <c r="V173" s="8">
        <v>-10.450429097366333</v>
      </c>
      <c r="W173" s="8">
        <v>-83.379729237365723</v>
      </c>
      <c r="X173" s="8">
        <f t="shared" si="7"/>
        <v>0.22370354156494443</v>
      </c>
    </row>
    <row r="174" spans="1:24" x14ac:dyDescent="0.35">
      <c r="A174" s="6" t="s">
        <v>25</v>
      </c>
      <c r="B174" s="7" t="s">
        <v>276</v>
      </c>
      <c r="C174" s="6">
        <v>510336</v>
      </c>
      <c r="D174" s="6" t="s">
        <v>277</v>
      </c>
      <c r="E174" s="6">
        <v>1</v>
      </c>
      <c r="F174" s="6">
        <v>6</v>
      </c>
      <c r="G174" s="6" t="s">
        <v>210</v>
      </c>
      <c r="I174" s="8">
        <v>85.946550833333305</v>
      </c>
      <c r="J174" s="8">
        <v>119.754510833333</v>
      </c>
      <c r="K174" s="6" t="s">
        <v>29</v>
      </c>
      <c r="L174" s="9">
        <v>43773</v>
      </c>
      <c r="N174" s="6">
        <v>6</v>
      </c>
      <c r="O174" s="6" t="s">
        <v>4255</v>
      </c>
      <c r="P174" s="8">
        <v>-4.166666666666667</v>
      </c>
      <c r="Q174" s="10" t="s">
        <v>278</v>
      </c>
      <c r="R174" s="10">
        <v>46</v>
      </c>
      <c r="S174" s="10">
        <v>58</v>
      </c>
      <c r="T174" s="10">
        <f t="shared" si="8"/>
        <v>52</v>
      </c>
      <c r="U174" s="6">
        <v>0.4</v>
      </c>
      <c r="V174" s="8">
        <v>-2.7985884950637825</v>
      </c>
      <c r="W174" s="8">
        <v>-21.788494348526001</v>
      </c>
      <c r="X174" s="8">
        <f t="shared" si="7"/>
        <v>0.60021361198425893</v>
      </c>
    </row>
    <row r="175" spans="1:24" x14ac:dyDescent="0.35">
      <c r="A175" s="6" t="s">
        <v>25</v>
      </c>
      <c r="B175" s="7" t="s">
        <v>279</v>
      </c>
      <c r="C175" s="6">
        <v>510337</v>
      </c>
      <c r="D175" s="6" t="s">
        <v>280</v>
      </c>
      <c r="E175" s="6">
        <v>1</v>
      </c>
      <c r="F175" s="6">
        <v>6</v>
      </c>
      <c r="G175" s="6" t="s">
        <v>210</v>
      </c>
      <c r="I175" s="8">
        <v>85.946550833333305</v>
      </c>
      <c r="J175" s="8">
        <v>119.754510833333</v>
      </c>
      <c r="K175" s="6" t="s">
        <v>29</v>
      </c>
      <c r="L175" s="9">
        <v>43773</v>
      </c>
      <c r="N175" s="6">
        <v>6</v>
      </c>
      <c r="O175" s="6" t="s">
        <v>4255</v>
      </c>
      <c r="P175" s="8">
        <v>-4.45</v>
      </c>
      <c r="Q175" s="10" t="s">
        <v>281</v>
      </c>
      <c r="R175" s="10">
        <v>34</v>
      </c>
      <c r="S175" s="10">
        <v>46</v>
      </c>
      <c r="T175" s="10">
        <f t="shared" si="8"/>
        <v>40</v>
      </c>
      <c r="U175" s="6">
        <v>0.5</v>
      </c>
      <c r="V175" s="8">
        <v>-3.1799442282199868</v>
      </c>
      <c r="W175" s="8">
        <v>-23.351466464996339</v>
      </c>
      <c r="X175" s="8">
        <f t="shared" si="7"/>
        <v>2.0880873607635557</v>
      </c>
    </row>
    <row r="176" spans="1:24" x14ac:dyDescent="0.35">
      <c r="A176" s="6" t="s">
        <v>25</v>
      </c>
      <c r="B176" s="7" t="s">
        <v>282</v>
      </c>
      <c r="C176" s="6">
        <v>510333</v>
      </c>
      <c r="D176" s="6" t="s">
        <v>283</v>
      </c>
      <c r="E176" s="6">
        <v>1</v>
      </c>
      <c r="F176" s="6">
        <v>6</v>
      </c>
      <c r="G176" s="6" t="s">
        <v>210</v>
      </c>
      <c r="I176" s="8">
        <v>85.946550833333305</v>
      </c>
      <c r="J176" s="8">
        <v>119.754510833333</v>
      </c>
      <c r="K176" s="6" t="s">
        <v>29</v>
      </c>
      <c r="L176" s="9">
        <v>43773</v>
      </c>
      <c r="N176" s="6">
        <v>6</v>
      </c>
      <c r="O176" s="6" t="s">
        <v>4255</v>
      </c>
      <c r="P176" s="8">
        <v>-1.7</v>
      </c>
      <c r="Q176" s="10" t="s">
        <v>284</v>
      </c>
      <c r="R176" s="10">
        <v>73</v>
      </c>
      <c r="S176" s="10">
        <v>78</v>
      </c>
      <c r="T176" s="10">
        <f t="shared" si="8"/>
        <v>75.5</v>
      </c>
      <c r="U176" s="6">
        <v>6.5</v>
      </c>
      <c r="V176" s="8">
        <v>0.50078047440648044</v>
      </c>
      <c r="W176" s="8">
        <v>3.9671292543411263</v>
      </c>
      <c r="X176" s="8">
        <f t="shared" si="7"/>
        <v>-3.9114540910717199E-2</v>
      </c>
    </row>
    <row r="177" spans="1:24" x14ac:dyDescent="0.35">
      <c r="A177" s="6" t="s">
        <v>25</v>
      </c>
      <c r="B177" s="7" t="s">
        <v>285</v>
      </c>
      <c r="C177" s="6">
        <v>510334</v>
      </c>
      <c r="D177" s="6" t="s">
        <v>286</v>
      </c>
      <c r="E177" s="6">
        <v>1</v>
      </c>
      <c r="F177" s="6">
        <v>6</v>
      </c>
      <c r="G177" s="6" t="s">
        <v>210</v>
      </c>
      <c r="I177" s="8">
        <v>85.946550833333305</v>
      </c>
      <c r="J177" s="8">
        <v>119.754510833333</v>
      </c>
      <c r="K177" s="6" t="s">
        <v>29</v>
      </c>
      <c r="L177" s="9">
        <v>43773</v>
      </c>
      <c r="N177" s="6">
        <v>6</v>
      </c>
      <c r="O177" s="6" t="s">
        <v>4255</v>
      </c>
      <c r="P177" s="8">
        <v>-2.9</v>
      </c>
      <c r="Q177" s="10" t="s">
        <v>287</v>
      </c>
      <c r="R177" s="10">
        <v>68</v>
      </c>
      <c r="S177" s="10">
        <v>73</v>
      </c>
      <c r="T177" s="10">
        <f t="shared" si="8"/>
        <v>70.5</v>
      </c>
      <c r="U177" s="6">
        <v>1</v>
      </c>
      <c r="V177" s="8">
        <v>-4.6322437079429628</v>
      </c>
      <c r="W177" s="8">
        <v>-36.569987010955806</v>
      </c>
      <c r="X177" s="8">
        <f t="shared" si="7"/>
        <v>0.48796265258789617</v>
      </c>
    </row>
    <row r="178" spans="1:24" x14ac:dyDescent="0.35">
      <c r="A178" s="6" t="s">
        <v>25</v>
      </c>
      <c r="B178" s="7" t="s">
        <v>288</v>
      </c>
      <c r="C178" s="6">
        <v>510331</v>
      </c>
      <c r="D178" s="6" t="s">
        <v>289</v>
      </c>
      <c r="E178" s="6">
        <v>1</v>
      </c>
      <c r="F178" s="6">
        <v>6</v>
      </c>
      <c r="G178" s="6" t="s">
        <v>210</v>
      </c>
      <c r="I178" s="8">
        <v>85.946550833333305</v>
      </c>
      <c r="J178" s="8">
        <v>119.754510833333</v>
      </c>
      <c r="K178" s="6" t="s">
        <v>29</v>
      </c>
      <c r="L178" s="9">
        <v>43773</v>
      </c>
      <c r="N178" s="6">
        <v>6</v>
      </c>
      <c r="O178" s="6" t="s">
        <v>4255</v>
      </c>
      <c r="P178" s="8">
        <v>-6.35</v>
      </c>
      <c r="Q178" s="10" t="s">
        <v>66</v>
      </c>
      <c r="R178" s="10">
        <v>10</v>
      </c>
      <c r="S178" s="10">
        <v>20</v>
      </c>
      <c r="T178" s="10">
        <f t="shared" si="8"/>
        <v>15</v>
      </c>
      <c r="U178" s="6">
        <v>0.6</v>
      </c>
      <c r="V178" s="8">
        <v>-3.5058863943099983</v>
      </c>
      <c r="W178" s="8">
        <v>-26.506464242935181</v>
      </c>
      <c r="X178" s="8">
        <f t="shared" si="7"/>
        <v>1.5406269115448055</v>
      </c>
    </row>
    <row r="179" spans="1:24" x14ac:dyDescent="0.35">
      <c r="A179" s="6" t="s">
        <v>25</v>
      </c>
      <c r="B179" s="7" t="s">
        <v>290</v>
      </c>
      <c r="C179" s="6">
        <v>510330</v>
      </c>
      <c r="D179" s="6" t="s">
        <v>291</v>
      </c>
      <c r="E179" s="6">
        <v>1</v>
      </c>
      <c r="F179" s="6">
        <v>6</v>
      </c>
      <c r="G179" s="6" t="s">
        <v>210</v>
      </c>
      <c r="I179" s="8">
        <v>85.946550833333305</v>
      </c>
      <c r="J179" s="8">
        <v>119.754510833333</v>
      </c>
      <c r="K179" s="6" t="s">
        <v>29</v>
      </c>
      <c r="L179" s="9">
        <v>43773</v>
      </c>
      <c r="N179" s="6">
        <v>6</v>
      </c>
      <c r="O179" s="6" t="s">
        <v>4255</v>
      </c>
      <c r="P179" s="8">
        <v>-7.5</v>
      </c>
      <c r="Q179" s="10" t="s">
        <v>292</v>
      </c>
      <c r="R179" s="10">
        <v>5</v>
      </c>
      <c r="S179" s="10">
        <v>10</v>
      </c>
      <c r="T179" s="10">
        <f t="shared" si="8"/>
        <v>7.5</v>
      </c>
      <c r="U179" s="6">
        <v>0.3</v>
      </c>
      <c r="V179" s="8">
        <v>-4.2156116390228275</v>
      </c>
      <c r="W179" s="8">
        <v>-32.717088870620728</v>
      </c>
      <c r="X179" s="8">
        <f t="shared" si="7"/>
        <v>1.0078042415618924</v>
      </c>
    </row>
    <row r="180" spans="1:24" x14ac:dyDescent="0.35">
      <c r="A180" s="6" t="s">
        <v>25</v>
      </c>
      <c r="B180" s="7" t="s">
        <v>293</v>
      </c>
      <c r="C180" s="6">
        <v>510335</v>
      </c>
      <c r="D180" s="6" t="s">
        <v>294</v>
      </c>
      <c r="E180" s="6">
        <v>1</v>
      </c>
      <c r="F180" s="6">
        <v>6</v>
      </c>
      <c r="G180" s="6" t="s">
        <v>210</v>
      </c>
      <c r="I180" s="8">
        <v>85.946550833333305</v>
      </c>
      <c r="J180" s="8">
        <v>119.754510833333</v>
      </c>
      <c r="K180" s="6" t="s">
        <v>29</v>
      </c>
      <c r="L180" s="9">
        <v>43773</v>
      </c>
      <c r="N180" s="6">
        <v>6</v>
      </c>
      <c r="O180" s="6" t="s">
        <v>4255</v>
      </c>
      <c r="P180" s="8">
        <v>-3.4</v>
      </c>
      <c r="Q180" s="10" t="s">
        <v>295</v>
      </c>
      <c r="R180" s="10">
        <v>58</v>
      </c>
      <c r="S180" s="10">
        <v>68</v>
      </c>
      <c r="T180" s="10">
        <f t="shared" si="8"/>
        <v>63</v>
      </c>
      <c r="U180" s="6">
        <v>0.4</v>
      </c>
      <c r="V180" s="8">
        <v>-3.5069515768289561</v>
      </c>
      <c r="W180" s="8">
        <v>-26.477782238578797</v>
      </c>
      <c r="X180" s="8">
        <f t="shared" si="7"/>
        <v>1.5778303760528516</v>
      </c>
    </row>
    <row r="181" spans="1:24" x14ac:dyDescent="0.35">
      <c r="A181" s="6" t="s">
        <v>25</v>
      </c>
      <c r="B181" s="7" t="s">
        <v>296</v>
      </c>
      <c r="C181" s="6">
        <v>510332</v>
      </c>
      <c r="D181" s="6" t="s">
        <v>297</v>
      </c>
      <c r="E181" s="6">
        <v>1</v>
      </c>
      <c r="F181" s="6">
        <v>6</v>
      </c>
      <c r="G181" s="6" t="s">
        <v>210</v>
      </c>
      <c r="I181" s="8">
        <v>85.946550833333305</v>
      </c>
      <c r="J181" s="8">
        <v>119.754510833333</v>
      </c>
      <c r="K181" s="6" t="s">
        <v>29</v>
      </c>
      <c r="L181" s="9">
        <v>43773</v>
      </c>
      <c r="N181" s="6">
        <v>6</v>
      </c>
      <c r="O181" s="6" t="s">
        <v>4255</v>
      </c>
      <c r="P181" s="8">
        <v>-5.1000000000000005</v>
      </c>
      <c r="Q181" s="10" t="s">
        <v>298</v>
      </c>
      <c r="R181" s="10">
        <v>20</v>
      </c>
      <c r="S181" s="10">
        <v>34</v>
      </c>
      <c r="T181" s="10">
        <f t="shared" si="8"/>
        <v>27</v>
      </c>
      <c r="U181" s="6">
        <v>0.6</v>
      </c>
      <c r="V181" s="8">
        <v>-3.4447655582427972</v>
      </c>
      <c r="W181" s="8">
        <v>-26.166269157981873</v>
      </c>
      <c r="X181" s="8">
        <f t="shared" si="7"/>
        <v>1.3918553079605047</v>
      </c>
    </row>
    <row r="182" spans="1:24" x14ac:dyDescent="0.35">
      <c r="A182" s="6" t="s">
        <v>25</v>
      </c>
      <c r="B182" s="7" t="s">
        <v>299</v>
      </c>
      <c r="C182" s="6">
        <v>510329</v>
      </c>
      <c r="D182" s="6" t="s">
        <v>300</v>
      </c>
      <c r="E182" s="6">
        <v>1</v>
      </c>
      <c r="F182" s="6">
        <v>6</v>
      </c>
      <c r="G182" s="6" t="s">
        <v>210</v>
      </c>
      <c r="I182" s="8">
        <v>85.946550833333305</v>
      </c>
      <c r="J182" s="8">
        <v>119.754510833333</v>
      </c>
      <c r="K182" s="6" t="s">
        <v>29</v>
      </c>
      <c r="L182" s="9">
        <v>43773</v>
      </c>
      <c r="N182" s="6">
        <v>6</v>
      </c>
      <c r="O182" s="6" t="s">
        <v>4255</v>
      </c>
      <c r="P182" s="8">
        <v>-10.4</v>
      </c>
      <c r="Q182" s="10" t="s">
        <v>203</v>
      </c>
      <c r="R182" s="10">
        <v>0</v>
      </c>
      <c r="S182" s="10">
        <v>5</v>
      </c>
      <c r="T182" s="10">
        <f t="shared" si="8"/>
        <v>2.5</v>
      </c>
      <c r="U182" s="6">
        <v>0</v>
      </c>
      <c r="V182" s="8">
        <v>-4.889712680101395</v>
      </c>
      <c r="W182" s="8">
        <v>-39.777869926071162</v>
      </c>
      <c r="X182" s="8">
        <f t="shared" si="7"/>
        <v>-0.6601684852600016</v>
      </c>
    </row>
    <row r="183" spans="1:24" x14ac:dyDescent="0.35">
      <c r="A183" s="6" t="s">
        <v>25</v>
      </c>
      <c r="B183" s="7" t="s">
        <v>301</v>
      </c>
      <c r="C183" s="6">
        <v>510322</v>
      </c>
      <c r="D183" s="6" t="s">
        <v>302</v>
      </c>
      <c r="E183" s="6">
        <v>1</v>
      </c>
      <c r="F183" s="6">
        <v>6</v>
      </c>
      <c r="G183" s="6" t="s">
        <v>210</v>
      </c>
      <c r="I183" s="8">
        <v>85.946550833333305</v>
      </c>
      <c r="J183" s="8">
        <v>119.754510833333</v>
      </c>
      <c r="K183" s="6" t="s">
        <v>29</v>
      </c>
      <c r="L183" s="9">
        <v>43773</v>
      </c>
      <c r="N183" s="6">
        <v>6</v>
      </c>
      <c r="O183" s="6" t="s">
        <v>4255</v>
      </c>
      <c r="P183" s="8">
        <v>-8.6999999999999993</v>
      </c>
      <c r="Q183" s="10" t="s">
        <v>203</v>
      </c>
      <c r="R183" s="10">
        <v>0</v>
      </c>
      <c r="S183" s="10">
        <v>5</v>
      </c>
      <c r="T183" s="10">
        <f t="shared" si="8"/>
        <v>2.5</v>
      </c>
      <c r="U183" s="6">
        <v>6.3</v>
      </c>
      <c r="V183" s="8">
        <v>-1.6827929244041444</v>
      </c>
      <c r="W183" s="8">
        <v>-16.135029471969602</v>
      </c>
      <c r="X183" s="8">
        <f t="shared" si="7"/>
        <v>-2.6726860767364471</v>
      </c>
    </row>
    <row r="184" spans="1:24" x14ac:dyDescent="0.35">
      <c r="A184" s="6" t="s">
        <v>25</v>
      </c>
      <c r="B184" s="7" t="s">
        <v>303</v>
      </c>
      <c r="C184" s="6">
        <v>510324</v>
      </c>
      <c r="D184" s="6" t="s">
        <v>304</v>
      </c>
      <c r="E184" s="6">
        <v>1</v>
      </c>
      <c r="F184" s="6">
        <v>6</v>
      </c>
      <c r="G184" s="6" t="s">
        <v>210</v>
      </c>
      <c r="I184" s="8">
        <v>85.946550833333305</v>
      </c>
      <c r="J184" s="8">
        <v>119.754510833333</v>
      </c>
      <c r="K184" s="6" t="s">
        <v>29</v>
      </c>
      <c r="L184" s="9">
        <v>43773</v>
      </c>
      <c r="N184" s="6">
        <v>6</v>
      </c>
      <c r="O184" s="6" t="s">
        <v>4255</v>
      </c>
      <c r="P184" s="8">
        <v>-1.99</v>
      </c>
      <c r="Q184" s="10" t="s">
        <v>305</v>
      </c>
      <c r="R184" s="10">
        <v>44.5</v>
      </c>
      <c r="S184" s="10">
        <v>49.5</v>
      </c>
      <c r="T184" s="10">
        <f t="shared" si="8"/>
        <v>47</v>
      </c>
      <c r="U184" s="6">
        <v>6.9</v>
      </c>
      <c r="V184" s="8">
        <v>0.5719859746396545</v>
      </c>
      <c r="W184" s="8">
        <v>3.975163489127159</v>
      </c>
      <c r="X184" s="8">
        <f t="shared" si="7"/>
        <v>-0.60072430799007703</v>
      </c>
    </row>
    <row r="185" spans="1:24" x14ac:dyDescent="0.35">
      <c r="A185" s="6" t="s">
        <v>25</v>
      </c>
      <c r="B185" s="7" t="s">
        <v>306</v>
      </c>
      <c r="C185" s="6">
        <v>510326</v>
      </c>
      <c r="D185" s="6" t="s">
        <v>307</v>
      </c>
      <c r="E185" s="6">
        <v>1</v>
      </c>
      <c r="F185" s="6">
        <v>6</v>
      </c>
      <c r="G185" s="6" t="s">
        <v>210</v>
      </c>
      <c r="I185" s="8">
        <v>85.946550833333305</v>
      </c>
      <c r="J185" s="8">
        <v>119.754510833333</v>
      </c>
      <c r="K185" s="6" t="s">
        <v>29</v>
      </c>
      <c r="L185" s="9">
        <v>43773</v>
      </c>
      <c r="N185" s="6">
        <v>6</v>
      </c>
      <c r="O185" s="6" t="s">
        <v>4255</v>
      </c>
      <c r="P185" s="8">
        <v>-2.855</v>
      </c>
      <c r="Q185" s="10" t="s">
        <v>308</v>
      </c>
      <c r="R185" s="10">
        <v>29.5</v>
      </c>
      <c r="S185" s="10">
        <v>39.5</v>
      </c>
      <c r="T185" s="10">
        <f t="shared" si="8"/>
        <v>34.5</v>
      </c>
      <c r="U185" s="6">
        <v>5.5</v>
      </c>
      <c r="V185" s="8">
        <v>0.90709664541482926</v>
      </c>
      <c r="W185" s="8">
        <v>5.9026842371314761</v>
      </c>
      <c r="X185" s="8">
        <f t="shared" si="7"/>
        <v>-1.354088926187158</v>
      </c>
    </row>
    <row r="186" spans="1:24" x14ac:dyDescent="0.35">
      <c r="A186" s="6" t="s">
        <v>25</v>
      </c>
      <c r="B186" s="7" t="s">
        <v>309</v>
      </c>
      <c r="C186" s="6">
        <v>510325</v>
      </c>
      <c r="D186" s="6" t="s">
        <v>310</v>
      </c>
      <c r="E186" s="6">
        <v>1</v>
      </c>
      <c r="F186" s="6">
        <v>6</v>
      </c>
      <c r="G186" s="6" t="s">
        <v>210</v>
      </c>
      <c r="I186" s="8">
        <v>85.946550833333305</v>
      </c>
      <c r="J186" s="8">
        <v>119.754510833333</v>
      </c>
      <c r="K186" s="6" t="s">
        <v>29</v>
      </c>
      <c r="L186" s="9">
        <v>43773</v>
      </c>
      <c r="N186" s="6">
        <v>6</v>
      </c>
      <c r="O186" s="6" t="s">
        <v>4255</v>
      </c>
      <c r="P186" s="8">
        <v>-1.99</v>
      </c>
      <c r="Q186" s="10" t="s">
        <v>311</v>
      </c>
      <c r="R186" s="10">
        <v>39.5</v>
      </c>
      <c r="S186" s="10">
        <v>44.5</v>
      </c>
      <c r="T186" s="10">
        <f t="shared" si="8"/>
        <v>42</v>
      </c>
      <c r="U186" s="6">
        <v>5.5</v>
      </c>
      <c r="V186" s="8">
        <v>0.35651671186089551</v>
      </c>
      <c r="W186" s="8">
        <v>1.283579244339466</v>
      </c>
      <c r="X186" s="8">
        <f t="shared" si="7"/>
        <v>-1.568554450547698</v>
      </c>
    </row>
    <row r="187" spans="1:24" x14ac:dyDescent="0.35">
      <c r="A187" s="6" t="s">
        <v>25</v>
      </c>
      <c r="B187" s="7" t="s">
        <v>312</v>
      </c>
      <c r="C187" s="6">
        <v>510328</v>
      </c>
      <c r="D187" s="6" t="s">
        <v>313</v>
      </c>
      <c r="E187" s="6">
        <v>1</v>
      </c>
      <c r="F187" s="6">
        <v>6</v>
      </c>
      <c r="G187" s="6" t="s">
        <v>210</v>
      </c>
      <c r="I187" s="8">
        <v>85.946550833333305</v>
      </c>
      <c r="J187" s="8">
        <v>119.754510833333</v>
      </c>
      <c r="K187" s="6" t="s">
        <v>29</v>
      </c>
      <c r="L187" s="9">
        <v>43773</v>
      </c>
      <c r="N187" s="6">
        <v>6</v>
      </c>
      <c r="O187" s="6" t="s">
        <v>4255</v>
      </c>
      <c r="P187" s="8">
        <v>-4.2549999999999999</v>
      </c>
      <c r="Q187" s="10" t="s">
        <v>314</v>
      </c>
      <c r="R187" s="10">
        <v>20</v>
      </c>
      <c r="S187" s="10">
        <v>29.5</v>
      </c>
      <c r="T187" s="10">
        <f t="shared" si="8"/>
        <v>24.75</v>
      </c>
      <c r="U187" s="6">
        <v>5.2</v>
      </c>
      <c r="V187" s="8">
        <v>0.93731891465187067</v>
      </c>
      <c r="W187" s="8">
        <v>6.2193669940918674</v>
      </c>
      <c r="X187" s="8">
        <f t="shared" si="7"/>
        <v>-1.2791843231230979</v>
      </c>
    </row>
    <row r="188" spans="1:24" x14ac:dyDescent="0.35">
      <c r="A188" s="6" t="s">
        <v>25</v>
      </c>
      <c r="B188" s="7" t="s">
        <v>315</v>
      </c>
      <c r="C188" s="6">
        <v>510327</v>
      </c>
      <c r="D188" s="6" t="s">
        <v>316</v>
      </c>
      <c r="E188" s="6">
        <v>1</v>
      </c>
      <c r="F188" s="6">
        <v>6</v>
      </c>
      <c r="G188" s="6" t="s">
        <v>210</v>
      </c>
      <c r="I188" s="8">
        <v>85.946550833333305</v>
      </c>
      <c r="J188" s="8">
        <v>119.754510833333</v>
      </c>
      <c r="K188" s="6" t="s">
        <v>29</v>
      </c>
      <c r="L188" s="9">
        <v>43773</v>
      </c>
      <c r="N188" s="6">
        <v>6</v>
      </c>
      <c r="O188" s="6" t="s">
        <v>4255</v>
      </c>
      <c r="P188" s="8">
        <v>-5.5</v>
      </c>
      <c r="Q188" s="10" t="s">
        <v>66</v>
      </c>
      <c r="R188" s="10">
        <v>10</v>
      </c>
      <c r="S188" s="10">
        <v>20</v>
      </c>
      <c r="T188" s="10">
        <f t="shared" si="8"/>
        <v>15</v>
      </c>
      <c r="U188" s="6">
        <v>4.3</v>
      </c>
      <c r="V188" s="8">
        <v>-1.8905318483710287</v>
      </c>
      <c r="W188" s="8">
        <v>-16.196991018867493</v>
      </c>
      <c r="X188" s="8">
        <f t="shared" si="7"/>
        <v>-1.0727362318992633</v>
      </c>
    </row>
    <row r="189" spans="1:24" x14ac:dyDescent="0.35">
      <c r="A189" s="6" t="s">
        <v>25</v>
      </c>
      <c r="B189" s="7" t="s">
        <v>317</v>
      </c>
      <c r="C189" s="6">
        <v>510323</v>
      </c>
      <c r="D189" s="6" t="s">
        <v>318</v>
      </c>
      <c r="E189" s="6">
        <v>1</v>
      </c>
      <c r="F189" s="6">
        <v>6</v>
      </c>
      <c r="G189" s="6" t="s">
        <v>210</v>
      </c>
      <c r="I189" s="8">
        <v>85.946550833333305</v>
      </c>
      <c r="J189" s="8">
        <v>119.754510833333</v>
      </c>
      <c r="K189" s="6" t="s">
        <v>29</v>
      </c>
      <c r="L189" s="9">
        <v>43773</v>
      </c>
      <c r="N189" s="6">
        <v>6</v>
      </c>
      <c r="O189" s="6" t="s">
        <v>4255</v>
      </c>
      <c r="P189" s="8">
        <v>-7.05</v>
      </c>
      <c r="Q189" s="10" t="s">
        <v>292</v>
      </c>
      <c r="R189" s="10">
        <v>5</v>
      </c>
      <c r="S189" s="10">
        <v>10</v>
      </c>
      <c r="T189" s="10">
        <f t="shared" si="8"/>
        <v>7.5</v>
      </c>
      <c r="U189" s="6">
        <v>4.5999999999999996</v>
      </c>
      <c r="V189" s="8">
        <v>-0.66034109100699434</v>
      </c>
      <c r="W189" s="8">
        <v>-6.4800299774169918</v>
      </c>
      <c r="X189" s="8">
        <f t="shared" si="7"/>
        <v>-1.1973012493610371</v>
      </c>
    </row>
    <row r="190" spans="1:24" x14ac:dyDescent="0.35">
      <c r="A190" s="6" t="s">
        <v>25</v>
      </c>
      <c r="B190" s="6" t="s">
        <v>319</v>
      </c>
      <c r="C190" s="6">
        <v>510338</v>
      </c>
      <c r="D190" s="6" t="s">
        <v>320</v>
      </c>
      <c r="E190" s="6">
        <v>1</v>
      </c>
      <c r="F190" s="6">
        <v>6</v>
      </c>
      <c r="G190" s="6" t="s">
        <v>210</v>
      </c>
      <c r="I190" s="8">
        <v>85.946550833333305</v>
      </c>
      <c r="J190" s="8">
        <v>119.754510833333</v>
      </c>
      <c r="K190" s="6" t="s">
        <v>29</v>
      </c>
      <c r="L190" s="9">
        <v>43773</v>
      </c>
      <c r="N190" s="6">
        <v>6</v>
      </c>
      <c r="O190" s="6" t="s">
        <v>4255</v>
      </c>
      <c r="Q190" s="6" t="s">
        <v>64</v>
      </c>
      <c r="R190" s="6">
        <v>0</v>
      </c>
      <c r="S190" s="6">
        <v>10</v>
      </c>
      <c r="T190" s="10">
        <f t="shared" si="8"/>
        <v>5</v>
      </c>
      <c r="V190" s="8">
        <v>-6.9853986846923828</v>
      </c>
      <c r="W190" s="8">
        <v>-54.263505584716796</v>
      </c>
      <c r="X190" s="8">
        <f t="shared" si="7"/>
        <v>1.6196838928222661</v>
      </c>
    </row>
    <row r="191" spans="1:24" x14ac:dyDescent="0.35">
      <c r="A191" s="6" t="s">
        <v>25</v>
      </c>
      <c r="B191" s="6" t="s">
        <v>321</v>
      </c>
      <c r="C191" s="6">
        <v>510339</v>
      </c>
      <c r="D191" s="6" t="s">
        <v>320</v>
      </c>
      <c r="E191" s="6">
        <v>1</v>
      </c>
      <c r="F191" s="6">
        <v>6</v>
      </c>
      <c r="G191" s="6" t="s">
        <v>210</v>
      </c>
      <c r="I191" s="8">
        <v>85.946550833333305</v>
      </c>
      <c r="J191" s="8">
        <v>119.754510833333</v>
      </c>
      <c r="K191" s="6" t="s">
        <v>29</v>
      </c>
      <c r="L191" s="9">
        <v>43773</v>
      </c>
      <c r="N191" s="6">
        <v>6</v>
      </c>
      <c r="O191" s="6" t="s">
        <v>4255</v>
      </c>
      <c r="Q191" s="6" t="s">
        <v>66</v>
      </c>
      <c r="R191" s="6">
        <v>10</v>
      </c>
      <c r="S191" s="6">
        <v>20</v>
      </c>
      <c r="T191" s="10">
        <f t="shared" si="8"/>
        <v>15</v>
      </c>
      <c r="V191" s="8">
        <v>-4.9324842674255382</v>
      </c>
      <c r="W191" s="8">
        <v>-38.703971672058096</v>
      </c>
      <c r="X191" s="8">
        <f t="shared" si="7"/>
        <v>0.75590246734621047</v>
      </c>
    </row>
    <row r="192" spans="1:24" x14ac:dyDescent="0.35">
      <c r="A192" s="6" t="s">
        <v>25</v>
      </c>
      <c r="B192" s="6" t="s">
        <v>322</v>
      </c>
      <c r="C192" s="6">
        <v>510340</v>
      </c>
      <c r="D192" s="6" t="s">
        <v>320</v>
      </c>
      <c r="E192" s="6">
        <v>1</v>
      </c>
      <c r="F192" s="6">
        <v>6</v>
      </c>
      <c r="G192" s="6" t="s">
        <v>210</v>
      </c>
      <c r="I192" s="8">
        <v>85.946550833333305</v>
      </c>
      <c r="J192" s="8">
        <v>119.754510833333</v>
      </c>
      <c r="K192" s="6" t="s">
        <v>29</v>
      </c>
      <c r="L192" s="9">
        <v>43773</v>
      </c>
      <c r="N192" s="6">
        <v>6</v>
      </c>
      <c r="O192" s="6" t="s">
        <v>4255</v>
      </c>
      <c r="Q192" s="6" t="s">
        <v>215</v>
      </c>
      <c r="R192" s="6">
        <v>20</v>
      </c>
      <c r="S192" s="6">
        <v>30</v>
      </c>
      <c r="T192" s="10">
        <f t="shared" si="8"/>
        <v>25</v>
      </c>
      <c r="V192" s="8">
        <v>-6.4398940679550183</v>
      </c>
      <c r="W192" s="8">
        <v>-48.782972869873049</v>
      </c>
      <c r="X192" s="8">
        <f t="shared" si="7"/>
        <v>2.7361796737670971</v>
      </c>
    </row>
    <row r="193" spans="1:25" x14ac:dyDescent="0.35">
      <c r="A193" s="6" t="s">
        <v>25</v>
      </c>
      <c r="B193" s="6" t="s">
        <v>323</v>
      </c>
      <c r="C193" s="6">
        <v>510341</v>
      </c>
      <c r="D193" s="6" t="s">
        <v>320</v>
      </c>
      <c r="E193" s="6">
        <v>1</v>
      </c>
      <c r="F193" s="6">
        <v>6</v>
      </c>
      <c r="G193" s="6" t="s">
        <v>210</v>
      </c>
      <c r="I193" s="8">
        <v>85.946550833333305</v>
      </c>
      <c r="J193" s="8">
        <v>119.754510833333</v>
      </c>
      <c r="K193" s="6" t="s">
        <v>29</v>
      </c>
      <c r="L193" s="9">
        <v>43773</v>
      </c>
      <c r="N193" s="6">
        <v>6</v>
      </c>
      <c r="O193" s="6" t="s">
        <v>4255</v>
      </c>
      <c r="Q193" s="6" t="s">
        <v>324</v>
      </c>
      <c r="R193" s="6">
        <v>30</v>
      </c>
      <c r="S193" s="6">
        <v>42</v>
      </c>
      <c r="T193" s="10">
        <f t="shared" si="8"/>
        <v>36</v>
      </c>
      <c r="V193" s="8">
        <v>-5.9732858283996588</v>
      </c>
      <c r="W193" s="8">
        <v>-45.735156990051266</v>
      </c>
      <c r="X193" s="8">
        <f t="shared" si="7"/>
        <v>2.0511296371460048</v>
      </c>
    </row>
    <row r="194" spans="1:25" x14ac:dyDescent="0.35">
      <c r="A194" s="6" t="s">
        <v>25</v>
      </c>
      <c r="B194" s="6" t="s">
        <v>325</v>
      </c>
      <c r="C194" s="6">
        <v>510342</v>
      </c>
      <c r="D194" s="6" t="s">
        <v>320</v>
      </c>
      <c r="E194" s="6">
        <v>1</v>
      </c>
      <c r="F194" s="6">
        <v>6</v>
      </c>
      <c r="G194" s="6" t="s">
        <v>210</v>
      </c>
      <c r="I194" s="8">
        <v>85.946550833333305</v>
      </c>
      <c r="J194" s="8">
        <v>119.754510833333</v>
      </c>
      <c r="K194" s="6" t="s">
        <v>29</v>
      </c>
      <c r="L194" s="9">
        <v>43773</v>
      </c>
      <c r="N194" s="6">
        <v>6</v>
      </c>
      <c r="O194" s="6" t="s">
        <v>4255</v>
      </c>
      <c r="Q194" s="6" t="s">
        <v>326</v>
      </c>
      <c r="R194" s="6">
        <v>42</v>
      </c>
      <c r="S194" s="6">
        <v>50</v>
      </c>
      <c r="T194" s="10">
        <f t="shared" si="8"/>
        <v>46</v>
      </c>
      <c r="V194" s="8">
        <v>-4.7754862220764167</v>
      </c>
      <c r="W194" s="8">
        <v>-36.649697181701661</v>
      </c>
      <c r="X194" s="8">
        <f t="shared" ref="X194:X257" si="9">W194-(8*V194)</f>
        <v>1.5541925949096722</v>
      </c>
    </row>
    <row r="195" spans="1:25" x14ac:dyDescent="0.35">
      <c r="A195" s="6" t="s">
        <v>25</v>
      </c>
      <c r="B195" s="6" t="s">
        <v>327</v>
      </c>
      <c r="C195" s="6">
        <v>510343</v>
      </c>
      <c r="D195" s="6" t="s">
        <v>320</v>
      </c>
      <c r="E195" s="6">
        <v>1</v>
      </c>
      <c r="F195" s="6">
        <v>6</v>
      </c>
      <c r="G195" s="6" t="s">
        <v>210</v>
      </c>
      <c r="I195" s="8">
        <v>85.946550833333305</v>
      </c>
      <c r="J195" s="8">
        <v>119.754510833333</v>
      </c>
      <c r="K195" s="6" t="s">
        <v>29</v>
      </c>
      <c r="L195" s="9">
        <v>43773</v>
      </c>
      <c r="N195" s="6">
        <v>6</v>
      </c>
      <c r="O195" s="6" t="s">
        <v>4255</v>
      </c>
      <c r="Q195" s="6" t="s">
        <v>328</v>
      </c>
      <c r="R195" s="6">
        <v>50</v>
      </c>
      <c r="S195" s="6">
        <v>58</v>
      </c>
      <c r="T195" s="10">
        <f t="shared" si="8"/>
        <v>54</v>
      </c>
      <c r="V195" s="8">
        <v>-4.4754091651916497</v>
      </c>
      <c r="W195" s="8">
        <v>-34.715039283752439</v>
      </c>
      <c r="X195" s="8">
        <f t="shared" si="9"/>
        <v>1.088234037780758</v>
      </c>
    </row>
    <row r="196" spans="1:25" x14ac:dyDescent="0.35">
      <c r="A196" s="6" t="s">
        <v>25</v>
      </c>
      <c r="B196" s="6" t="s">
        <v>329</v>
      </c>
      <c r="C196" s="6">
        <v>510344</v>
      </c>
      <c r="D196" s="6" t="s">
        <v>320</v>
      </c>
      <c r="E196" s="6">
        <v>1</v>
      </c>
      <c r="F196" s="6">
        <v>6</v>
      </c>
      <c r="G196" s="6" t="s">
        <v>210</v>
      </c>
      <c r="I196" s="8">
        <v>85.946550833333305</v>
      </c>
      <c r="J196" s="8">
        <v>119.754510833333</v>
      </c>
      <c r="K196" s="6" t="s">
        <v>29</v>
      </c>
      <c r="L196" s="9">
        <v>43773</v>
      </c>
      <c r="N196" s="6">
        <v>6</v>
      </c>
      <c r="O196" s="6" t="s">
        <v>4255</v>
      </c>
      <c r="Q196" s="6" t="s">
        <v>295</v>
      </c>
      <c r="R196" s="6">
        <v>58</v>
      </c>
      <c r="S196" s="6">
        <v>68</v>
      </c>
      <c r="T196" s="10">
        <f t="shared" si="8"/>
        <v>63</v>
      </c>
      <c r="V196" s="8">
        <v>-4.7303832233428977</v>
      </c>
      <c r="W196" s="8">
        <v>-36.10707070159912</v>
      </c>
      <c r="X196" s="8">
        <f t="shared" si="9"/>
        <v>1.7359950851440615</v>
      </c>
    </row>
    <row r="197" spans="1:25" x14ac:dyDescent="0.35">
      <c r="A197" s="6" t="s">
        <v>25</v>
      </c>
      <c r="B197" s="6" t="s">
        <v>330</v>
      </c>
      <c r="C197" s="6">
        <v>510345</v>
      </c>
      <c r="D197" s="6" t="s">
        <v>320</v>
      </c>
      <c r="E197" s="6">
        <v>1</v>
      </c>
      <c r="F197" s="6">
        <v>6</v>
      </c>
      <c r="G197" s="6" t="s">
        <v>210</v>
      </c>
      <c r="I197" s="8">
        <v>85.946550833333305</v>
      </c>
      <c r="J197" s="8">
        <v>119.754510833333</v>
      </c>
      <c r="K197" s="6" t="s">
        <v>29</v>
      </c>
      <c r="L197" s="9">
        <v>43773</v>
      </c>
      <c r="N197" s="6">
        <v>6</v>
      </c>
      <c r="O197" s="6" t="s">
        <v>4255</v>
      </c>
      <c r="Q197" s="6" t="s">
        <v>331</v>
      </c>
      <c r="R197" s="6">
        <v>68</v>
      </c>
      <c r="S197" s="6">
        <v>78</v>
      </c>
      <c r="T197" s="10">
        <f t="shared" si="8"/>
        <v>73</v>
      </c>
      <c r="V197" s="8">
        <v>-5.0023024433135985</v>
      </c>
      <c r="W197" s="8">
        <v>-38.61040202331543</v>
      </c>
      <c r="X197" s="8">
        <f t="shared" si="9"/>
        <v>1.408017523193358</v>
      </c>
    </row>
    <row r="198" spans="1:25" x14ac:dyDescent="0.35">
      <c r="A198" s="6" t="s">
        <v>25</v>
      </c>
      <c r="B198" s="6" t="s">
        <v>332</v>
      </c>
      <c r="C198" s="6">
        <v>510346</v>
      </c>
      <c r="D198" s="6" t="s">
        <v>320</v>
      </c>
      <c r="E198" s="6">
        <v>1</v>
      </c>
      <c r="F198" s="6">
        <v>6</v>
      </c>
      <c r="G198" s="6" t="s">
        <v>210</v>
      </c>
      <c r="I198" s="8">
        <v>85.946550833333305</v>
      </c>
      <c r="J198" s="8">
        <v>119.754510833333</v>
      </c>
      <c r="K198" s="6" t="s">
        <v>29</v>
      </c>
      <c r="L198" s="9">
        <v>43773</v>
      </c>
      <c r="N198" s="6">
        <v>6</v>
      </c>
      <c r="O198" s="6" t="s">
        <v>4255</v>
      </c>
      <c r="Q198" s="6" t="s">
        <v>333</v>
      </c>
      <c r="R198" s="6">
        <v>78</v>
      </c>
      <c r="S198" s="6">
        <v>90</v>
      </c>
      <c r="T198" s="10">
        <f t="shared" si="8"/>
        <v>84</v>
      </c>
      <c r="V198" s="8">
        <v>-4.2030892360687258</v>
      </c>
      <c r="W198" s="8">
        <v>-32.107350929260257</v>
      </c>
      <c r="X198" s="8">
        <f t="shared" si="9"/>
        <v>1.5173629592895495</v>
      </c>
    </row>
    <row r="199" spans="1:25" x14ac:dyDescent="0.35">
      <c r="A199" s="6" t="s">
        <v>25</v>
      </c>
      <c r="B199" s="6" t="s">
        <v>2735</v>
      </c>
      <c r="D199" s="6" t="s">
        <v>3089</v>
      </c>
      <c r="E199" s="6">
        <v>1</v>
      </c>
      <c r="F199" s="6">
        <v>6</v>
      </c>
      <c r="G199" s="6" t="s">
        <v>3214</v>
      </c>
      <c r="I199" s="8">
        <v>85.941255999999996</v>
      </c>
      <c r="J199" s="8">
        <v>120.121719</v>
      </c>
      <c r="K199" s="6" t="s">
        <v>198</v>
      </c>
      <c r="L199" s="9">
        <v>43773</v>
      </c>
      <c r="M199" s="18">
        <v>0.25972222222222224</v>
      </c>
      <c r="N199" s="6">
        <v>6</v>
      </c>
      <c r="O199" s="6" t="s">
        <v>4255</v>
      </c>
      <c r="R199" s="6">
        <v>8</v>
      </c>
      <c r="S199" s="6">
        <v>5</v>
      </c>
      <c r="V199" s="8">
        <v>-16.545141259765622</v>
      </c>
      <c r="W199" s="8">
        <v>-114.80057144165039</v>
      </c>
      <c r="X199" s="8">
        <f t="shared" si="9"/>
        <v>17.560558636474582</v>
      </c>
    </row>
    <row r="200" spans="1:25" x14ac:dyDescent="0.35">
      <c r="A200" s="6" t="s">
        <v>25</v>
      </c>
      <c r="B200" s="6" t="s">
        <v>2736</v>
      </c>
      <c r="D200" s="6" t="s">
        <v>3089</v>
      </c>
      <c r="E200" s="6">
        <v>1</v>
      </c>
      <c r="F200" s="6">
        <v>6</v>
      </c>
      <c r="G200" s="6" t="s">
        <v>3214</v>
      </c>
      <c r="I200" s="8">
        <v>85.941255999999996</v>
      </c>
      <c r="J200" s="8">
        <v>120.121719</v>
      </c>
      <c r="K200" s="6" t="s">
        <v>198</v>
      </c>
      <c r="L200" s="9">
        <v>43773</v>
      </c>
      <c r="M200" s="18">
        <v>0.25972222222222224</v>
      </c>
      <c r="N200" s="6">
        <v>6</v>
      </c>
      <c r="O200" s="6" t="s">
        <v>4255</v>
      </c>
      <c r="R200" s="6">
        <v>3</v>
      </c>
      <c r="S200" s="6">
        <v>0</v>
      </c>
      <c r="V200" s="8">
        <v>-10.958814179992673</v>
      </c>
      <c r="W200" s="8">
        <v>-82.290047912597657</v>
      </c>
      <c r="X200" s="8">
        <f t="shared" si="9"/>
        <v>5.3804655273437305</v>
      </c>
    </row>
    <row r="201" spans="1:25" x14ac:dyDescent="0.35">
      <c r="A201" s="6" t="s">
        <v>25</v>
      </c>
      <c r="B201" s="6" t="s">
        <v>2737</v>
      </c>
      <c r="D201" s="6" t="s">
        <v>3089</v>
      </c>
      <c r="E201" s="6">
        <v>1</v>
      </c>
      <c r="F201" s="6">
        <v>6</v>
      </c>
      <c r="G201" s="6" t="s">
        <v>3214</v>
      </c>
      <c r="I201" s="8">
        <v>85.941255999999996</v>
      </c>
      <c r="J201" s="8">
        <v>120.121719</v>
      </c>
      <c r="K201" s="6" t="s">
        <v>198</v>
      </c>
      <c r="L201" s="9">
        <v>43773</v>
      </c>
      <c r="M201" s="18">
        <v>0.25972222222222224</v>
      </c>
      <c r="N201" s="6">
        <v>6</v>
      </c>
      <c r="O201" s="6" t="s">
        <v>4255</v>
      </c>
      <c r="R201" s="6">
        <v>5</v>
      </c>
      <c r="S201" s="6">
        <v>3</v>
      </c>
      <c r="V201" s="8">
        <v>-7.0805320812225343</v>
      </c>
      <c r="W201" s="8">
        <v>-57.080304565429685</v>
      </c>
      <c r="X201" s="8">
        <f t="shared" si="9"/>
        <v>-0.43604791564941081</v>
      </c>
    </row>
    <row r="202" spans="1:25" x14ac:dyDescent="0.35">
      <c r="A202" s="6" t="s">
        <v>25</v>
      </c>
      <c r="B202" s="7"/>
      <c r="C202" s="6">
        <v>510373</v>
      </c>
      <c r="D202" s="6" t="s">
        <v>340</v>
      </c>
      <c r="E202" s="6">
        <v>1</v>
      </c>
      <c r="F202" s="6">
        <v>6</v>
      </c>
      <c r="G202" s="6" t="s">
        <v>239</v>
      </c>
      <c r="H202" s="6">
        <v>8</v>
      </c>
      <c r="I202" s="8">
        <v>85.946550833333305</v>
      </c>
      <c r="J202" s="8">
        <v>119.754510833333</v>
      </c>
      <c r="K202" s="6" t="s">
        <v>198</v>
      </c>
      <c r="L202" s="9">
        <v>43773</v>
      </c>
      <c r="N202" s="6">
        <v>6</v>
      </c>
      <c r="O202" s="6" t="s">
        <v>4255</v>
      </c>
      <c r="Q202" s="6" t="s">
        <v>341</v>
      </c>
      <c r="R202" s="6">
        <v>0</v>
      </c>
      <c r="S202" s="6">
        <v>4.5</v>
      </c>
      <c r="T202" s="10">
        <f t="shared" ref="T202:T234" si="10">AVERAGE(R202:S202)</f>
        <v>2.25</v>
      </c>
      <c r="U202" s="6">
        <v>1</v>
      </c>
      <c r="V202" s="8">
        <v>-15.096636150741578</v>
      </c>
      <c r="W202" s="8">
        <v>-106.18907187194824</v>
      </c>
      <c r="X202" s="8">
        <f t="shared" si="9"/>
        <v>14.584017333984377</v>
      </c>
      <c r="Y202" s="6" t="s">
        <v>342</v>
      </c>
    </row>
    <row r="203" spans="1:25" x14ac:dyDescent="0.35">
      <c r="A203" s="6" t="s">
        <v>25</v>
      </c>
      <c r="B203" s="7"/>
      <c r="C203" s="6">
        <v>510374</v>
      </c>
      <c r="E203" s="6">
        <v>1</v>
      </c>
      <c r="F203" s="6">
        <v>6</v>
      </c>
      <c r="G203" s="6" t="s">
        <v>239</v>
      </c>
      <c r="I203" s="8">
        <v>85.946550833333305</v>
      </c>
      <c r="J203" s="8">
        <v>119.754510833333</v>
      </c>
      <c r="K203" s="6" t="s">
        <v>198</v>
      </c>
      <c r="L203" s="9">
        <v>43773</v>
      </c>
      <c r="N203" s="6">
        <v>6</v>
      </c>
      <c r="O203" s="6" t="s">
        <v>4255</v>
      </c>
      <c r="Q203" s="6" t="s">
        <v>343</v>
      </c>
      <c r="R203" s="6">
        <v>4.5</v>
      </c>
      <c r="S203" s="6">
        <v>9</v>
      </c>
      <c r="T203" s="10">
        <f t="shared" si="10"/>
        <v>6.75</v>
      </c>
      <c r="U203" s="6">
        <v>14.1</v>
      </c>
      <c r="V203" s="8">
        <v>-10.448785442733765</v>
      </c>
      <c r="W203" s="8">
        <v>-81.416758456420894</v>
      </c>
      <c r="X203" s="8">
        <f t="shared" si="9"/>
        <v>2.1735250854492278</v>
      </c>
    </row>
    <row r="204" spans="1:25" x14ac:dyDescent="0.35">
      <c r="A204" s="6" t="s">
        <v>25</v>
      </c>
      <c r="B204" s="7"/>
      <c r="C204" s="6">
        <v>510375</v>
      </c>
      <c r="D204" s="6" t="s">
        <v>334</v>
      </c>
      <c r="E204" s="6">
        <v>1</v>
      </c>
      <c r="F204" s="6">
        <v>6</v>
      </c>
      <c r="G204" s="6" t="s">
        <v>335</v>
      </c>
      <c r="H204" s="6">
        <v>17</v>
      </c>
      <c r="I204" s="8">
        <v>85.946550833333305</v>
      </c>
      <c r="J204" s="8">
        <v>119.754510833333</v>
      </c>
      <c r="K204" s="6" t="s">
        <v>198</v>
      </c>
      <c r="L204" s="9">
        <v>43773</v>
      </c>
      <c r="N204" s="6">
        <v>6</v>
      </c>
      <c r="O204" s="6" t="s">
        <v>4255</v>
      </c>
      <c r="Q204" s="6" t="s">
        <v>336</v>
      </c>
      <c r="R204" s="6">
        <v>0</v>
      </c>
      <c r="S204" s="6">
        <v>4</v>
      </c>
      <c r="T204" s="10">
        <f t="shared" si="10"/>
        <v>2</v>
      </c>
      <c r="U204" s="6">
        <v>0</v>
      </c>
      <c r="V204" s="8">
        <v>-14.774702609901244</v>
      </c>
      <c r="W204" s="8">
        <v>-107.22897096921592</v>
      </c>
      <c r="X204" s="8">
        <f t="shared" si="9"/>
        <v>10.968649909994028</v>
      </c>
    </row>
    <row r="205" spans="1:25" x14ac:dyDescent="0.35">
      <c r="A205" s="6" t="s">
        <v>25</v>
      </c>
      <c r="B205" s="7"/>
      <c r="C205" s="6">
        <v>510376</v>
      </c>
      <c r="D205" s="6" t="s">
        <v>337</v>
      </c>
      <c r="E205" s="6">
        <v>1</v>
      </c>
      <c r="F205" s="6">
        <v>6</v>
      </c>
      <c r="G205" s="6" t="s">
        <v>335</v>
      </c>
      <c r="I205" s="8">
        <v>85.946550833333305</v>
      </c>
      <c r="J205" s="8">
        <v>119.754510833333</v>
      </c>
      <c r="K205" s="6" t="s">
        <v>198</v>
      </c>
      <c r="L205" s="9">
        <v>43773</v>
      </c>
      <c r="N205" s="6">
        <v>6</v>
      </c>
      <c r="O205" s="6" t="s">
        <v>4255</v>
      </c>
      <c r="Q205" s="6" t="s">
        <v>338</v>
      </c>
      <c r="R205" s="6">
        <v>4</v>
      </c>
      <c r="S205" s="6">
        <v>8</v>
      </c>
      <c r="T205" s="10">
        <f t="shared" si="10"/>
        <v>6</v>
      </c>
      <c r="U205" s="6">
        <v>0</v>
      </c>
      <c r="V205" s="8">
        <v>-14.485492414371821</v>
      </c>
      <c r="W205" s="8">
        <v>-107.80519935150198</v>
      </c>
      <c r="X205" s="8">
        <f t="shared" si="9"/>
        <v>8.0787399634725858</v>
      </c>
    </row>
    <row r="206" spans="1:25" x14ac:dyDescent="0.35">
      <c r="A206" s="6" t="s">
        <v>25</v>
      </c>
      <c r="B206" s="7"/>
      <c r="C206" s="6">
        <v>510377</v>
      </c>
      <c r="D206" s="6" t="s">
        <v>337</v>
      </c>
      <c r="E206" s="6">
        <v>1</v>
      </c>
      <c r="F206" s="6">
        <v>6</v>
      </c>
      <c r="G206" s="6" t="s">
        <v>335</v>
      </c>
      <c r="I206" s="8">
        <v>85.946550833333305</v>
      </c>
      <c r="J206" s="8">
        <v>119.754510833333</v>
      </c>
      <c r="K206" s="6" t="s">
        <v>198</v>
      </c>
      <c r="L206" s="9">
        <v>43773</v>
      </c>
      <c r="N206" s="6">
        <v>6</v>
      </c>
      <c r="O206" s="6" t="s">
        <v>4255</v>
      </c>
      <c r="Q206" s="6" t="s">
        <v>339</v>
      </c>
      <c r="R206" s="6">
        <v>8</v>
      </c>
      <c r="S206" s="6">
        <v>12</v>
      </c>
      <c r="T206" s="10">
        <f t="shared" si="10"/>
        <v>10</v>
      </c>
      <c r="U206" s="6">
        <v>0</v>
      </c>
      <c r="V206" s="8">
        <v>-7.9692008292198198</v>
      </c>
      <c r="W206" s="8">
        <v>-65.734679224721447</v>
      </c>
      <c r="X206" s="8">
        <f t="shared" si="9"/>
        <v>-1.9810725909628886</v>
      </c>
    </row>
    <row r="207" spans="1:25" x14ac:dyDescent="0.35">
      <c r="A207" s="6" t="s">
        <v>25</v>
      </c>
      <c r="B207" s="7"/>
      <c r="C207" s="6">
        <v>510411</v>
      </c>
      <c r="D207" s="6" t="s">
        <v>344</v>
      </c>
      <c r="E207" s="6">
        <v>1</v>
      </c>
      <c r="F207" s="6">
        <v>6</v>
      </c>
      <c r="G207" s="6" t="s">
        <v>345</v>
      </c>
      <c r="H207" s="6">
        <v>18</v>
      </c>
      <c r="I207" s="8">
        <v>85.9187781944444</v>
      </c>
      <c r="J207" s="8">
        <v>117.45457173611101</v>
      </c>
      <c r="K207" s="6" t="s">
        <v>29</v>
      </c>
      <c r="L207" s="9">
        <v>43775</v>
      </c>
      <c r="N207" s="6">
        <v>6</v>
      </c>
      <c r="O207" s="6" t="s">
        <v>4256</v>
      </c>
      <c r="Q207" s="6" t="s">
        <v>64</v>
      </c>
      <c r="R207" s="6">
        <v>0</v>
      </c>
      <c r="S207" s="6">
        <v>10</v>
      </c>
      <c r="T207" s="10">
        <f t="shared" si="10"/>
        <v>5</v>
      </c>
      <c r="U207" s="6">
        <v>6.3</v>
      </c>
      <c r="V207" s="8">
        <v>-2.3824332152366638</v>
      </c>
      <c r="W207" s="8">
        <v>-18.529459533691405</v>
      </c>
      <c r="X207" s="8">
        <f t="shared" si="9"/>
        <v>0.53000618820190581</v>
      </c>
    </row>
    <row r="208" spans="1:25" x14ac:dyDescent="0.35">
      <c r="A208" s="6" t="s">
        <v>25</v>
      </c>
      <c r="B208" s="7"/>
      <c r="C208" s="6">
        <v>510412</v>
      </c>
      <c r="D208" s="6" t="s">
        <v>344</v>
      </c>
      <c r="E208" s="6">
        <v>1</v>
      </c>
      <c r="F208" s="6">
        <v>6</v>
      </c>
      <c r="G208" s="6" t="s">
        <v>345</v>
      </c>
      <c r="H208" s="6">
        <v>18</v>
      </c>
      <c r="I208" s="8">
        <v>85.9187781944444</v>
      </c>
      <c r="J208" s="8">
        <v>117.45457173611101</v>
      </c>
      <c r="K208" s="6" t="s">
        <v>29</v>
      </c>
      <c r="L208" s="9">
        <v>43775</v>
      </c>
      <c r="N208" s="6">
        <v>6</v>
      </c>
      <c r="O208" s="6" t="s">
        <v>4256</v>
      </c>
      <c r="Q208" s="6" t="s">
        <v>66</v>
      </c>
      <c r="R208" s="6">
        <v>10</v>
      </c>
      <c r="S208" s="6">
        <v>20</v>
      </c>
      <c r="T208" s="10">
        <f t="shared" si="10"/>
        <v>15</v>
      </c>
      <c r="U208" s="6">
        <v>5.5</v>
      </c>
      <c r="V208" s="8">
        <v>-0.70530308125019137</v>
      </c>
      <c r="W208" s="8">
        <v>-5.4305435943603513</v>
      </c>
      <c r="X208" s="8">
        <f t="shared" si="9"/>
        <v>0.21188105564117965</v>
      </c>
    </row>
    <row r="209" spans="1:25" x14ac:dyDescent="0.35">
      <c r="A209" s="6" t="s">
        <v>25</v>
      </c>
      <c r="B209" s="7"/>
      <c r="C209" s="6">
        <v>510413</v>
      </c>
      <c r="D209" s="6" t="s">
        <v>344</v>
      </c>
      <c r="E209" s="6">
        <v>1</v>
      </c>
      <c r="F209" s="6">
        <v>6</v>
      </c>
      <c r="G209" s="6" t="s">
        <v>345</v>
      </c>
      <c r="H209" s="6">
        <v>18</v>
      </c>
      <c r="I209" s="8">
        <v>85.9187781944444</v>
      </c>
      <c r="J209" s="8">
        <v>117.45457173611101</v>
      </c>
      <c r="K209" s="6" t="s">
        <v>29</v>
      </c>
      <c r="L209" s="9">
        <v>43775</v>
      </c>
      <c r="N209" s="6">
        <v>6</v>
      </c>
      <c r="O209" s="6" t="s">
        <v>4256</v>
      </c>
      <c r="Q209" s="6" t="s">
        <v>215</v>
      </c>
      <c r="R209" s="6">
        <v>20</v>
      </c>
      <c r="S209" s="6">
        <v>30</v>
      </c>
      <c r="T209" s="10">
        <f t="shared" si="10"/>
        <v>25</v>
      </c>
      <c r="U209" s="6">
        <v>5.2</v>
      </c>
      <c r="V209" s="8">
        <v>0.20417146500349048</v>
      </c>
      <c r="W209" s="8">
        <v>2.0477893066406248</v>
      </c>
      <c r="X209" s="8">
        <f t="shared" si="9"/>
        <v>0.41441758661270089</v>
      </c>
    </row>
    <row r="210" spans="1:25" x14ac:dyDescent="0.35">
      <c r="A210" s="6" t="s">
        <v>25</v>
      </c>
      <c r="B210" s="7"/>
      <c r="C210" s="6">
        <v>510414</v>
      </c>
      <c r="D210" s="6" t="s">
        <v>344</v>
      </c>
      <c r="E210" s="6">
        <v>1</v>
      </c>
      <c r="F210" s="6">
        <v>6</v>
      </c>
      <c r="G210" s="6" t="s">
        <v>345</v>
      </c>
      <c r="H210" s="6">
        <v>18</v>
      </c>
      <c r="I210" s="8">
        <v>85.9187781944444</v>
      </c>
      <c r="J210" s="8">
        <v>117.45457173611101</v>
      </c>
      <c r="K210" s="6" t="s">
        <v>29</v>
      </c>
      <c r="L210" s="9">
        <v>43775</v>
      </c>
      <c r="N210" s="6">
        <v>6</v>
      </c>
      <c r="O210" s="6" t="s">
        <v>4256</v>
      </c>
      <c r="Q210" s="6" t="s">
        <v>324</v>
      </c>
      <c r="R210" s="6">
        <v>30</v>
      </c>
      <c r="S210" s="6">
        <v>42</v>
      </c>
      <c r="T210" s="10">
        <f t="shared" si="10"/>
        <v>36</v>
      </c>
      <c r="U210" s="6">
        <v>5.3</v>
      </c>
      <c r="V210" s="8">
        <v>0.44455604978799795</v>
      </c>
      <c r="W210" s="8">
        <v>1.7875396728515607</v>
      </c>
      <c r="X210" s="8">
        <f t="shared" si="9"/>
        <v>-1.7689087254524229</v>
      </c>
    </row>
    <row r="211" spans="1:25" x14ac:dyDescent="0.35">
      <c r="A211" s="6" t="s">
        <v>25</v>
      </c>
      <c r="B211" s="7"/>
      <c r="C211" s="6">
        <v>510415</v>
      </c>
      <c r="D211" s="6" t="s">
        <v>344</v>
      </c>
      <c r="E211" s="6">
        <v>1</v>
      </c>
      <c r="F211" s="6">
        <v>6</v>
      </c>
      <c r="G211" s="6" t="s">
        <v>345</v>
      </c>
      <c r="H211" s="6">
        <v>18</v>
      </c>
      <c r="I211" s="8">
        <v>85.9187781944444</v>
      </c>
      <c r="J211" s="8">
        <v>117.45457173611101</v>
      </c>
      <c r="K211" s="6" t="s">
        <v>29</v>
      </c>
      <c r="L211" s="9">
        <v>43775</v>
      </c>
      <c r="N211" s="6">
        <v>6</v>
      </c>
      <c r="O211" s="6" t="s">
        <v>4256</v>
      </c>
      <c r="Q211" s="6" t="s">
        <v>346</v>
      </c>
      <c r="R211" s="6">
        <v>65</v>
      </c>
      <c r="S211" s="6">
        <v>75</v>
      </c>
      <c r="T211" s="10">
        <f t="shared" si="10"/>
        <v>70</v>
      </c>
      <c r="U211" s="6">
        <v>4.9000000000000004</v>
      </c>
      <c r="V211" s="8">
        <v>-1.2337172890663148</v>
      </c>
      <c r="W211" s="8">
        <v>-9.3097730255126958</v>
      </c>
      <c r="X211" s="8">
        <f t="shared" si="9"/>
        <v>0.55996528701782289</v>
      </c>
    </row>
    <row r="212" spans="1:25" x14ac:dyDescent="0.35">
      <c r="A212" s="6" t="s">
        <v>25</v>
      </c>
      <c r="B212" s="7"/>
      <c r="C212" s="6">
        <v>510416</v>
      </c>
      <c r="D212" s="6" t="s">
        <v>344</v>
      </c>
      <c r="E212" s="6">
        <v>1</v>
      </c>
      <c r="F212" s="6">
        <v>6</v>
      </c>
      <c r="G212" s="6" t="s">
        <v>345</v>
      </c>
      <c r="H212" s="6">
        <v>18</v>
      </c>
      <c r="I212" s="8">
        <v>85.9187781944444</v>
      </c>
      <c r="J212" s="8">
        <v>117.45457173611101</v>
      </c>
      <c r="K212" s="6" t="s">
        <v>29</v>
      </c>
      <c r="L212" s="9">
        <v>43775</v>
      </c>
      <c r="N212" s="6">
        <v>6</v>
      </c>
      <c r="O212" s="6" t="s">
        <v>4256</v>
      </c>
      <c r="Q212" s="6" t="s">
        <v>347</v>
      </c>
      <c r="R212" s="6">
        <v>75</v>
      </c>
      <c r="S212" s="6">
        <v>85</v>
      </c>
      <c r="T212" s="10">
        <f t="shared" si="10"/>
        <v>80</v>
      </c>
      <c r="U212" s="6">
        <v>4.7</v>
      </c>
      <c r="V212" s="8">
        <v>-1.1915248319864271</v>
      </c>
      <c r="W212" s="8">
        <v>-9.2696645736694325</v>
      </c>
      <c r="X212" s="8">
        <f t="shared" si="9"/>
        <v>0.26253408222198438</v>
      </c>
    </row>
    <row r="213" spans="1:25" x14ac:dyDescent="0.35">
      <c r="A213" s="6" t="s">
        <v>25</v>
      </c>
      <c r="B213" s="7"/>
      <c r="C213" s="6">
        <v>510417</v>
      </c>
      <c r="D213" s="6" t="s">
        <v>344</v>
      </c>
      <c r="E213" s="6">
        <v>1</v>
      </c>
      <c r="F213" s="6">
        <v>6</v>
      </c>
      <c r="G213" s="6" t="s">
        <v>345</v>
      </c>
      <c r="H213" s="6">
        <v>18</v>
      </c>
      <c r="I213" s="8">
        <v>85.9187781944444</v>
      </c>
      <c r="J213" s="8">
        <v>117.45457173611101</v>
      </c>
      <c r="K213" s="6" t="s">
        <v>29</v>
      </c>
      <c r="L213" s="9">
        <v>43775</v>
      </c>
      <c r="N213" s="6">
        <v>6</v>
      </c>
      <c r="O213" s="6" t="s">
        <v>4256</v>
      </c>
      <c r="Q213" s="6" t="s">
        <v>348</v>
      </c>
      <c r="R213" s="6">
        <v>85</v>
      </c>
      <c r="S213" s="6">
        <v>97</v>
      </c>
      <c r="T213" s="10">
        <f t="shared" si="10"/>
        <v>91</v>
      </c>
      <c r="U213" s="6">
        <v>4.0999999999999996</v>
      </c>
      <c r="V213" s="8">
        <v>-0.95799639866352115</v>
      </c>
      <c r="W213" s="8">
        <v>-9.2019908523559568</v>
      </c>
      <c r="X213" s="8">
        <f t="shared" si="9"/>
        <v>-1.5380196630477876</v>
      </c>
    </row>
    <row r="214" spans="1:25" x14ac:dyDescent="0.35">
      <c r="A214" s="6" t="s">
        <v>25</v>
      </c>
      <c r="B214" s="7"/>
      <c r="C214" s="6">
        <v>510418</v>
      </c>
      <c r="D214" s="6" t="s">
        <v>344</v>
      </c>
      <c r="E214" s="6">
        <v>1</v>
      </c>
      <c r="F214" s="6">
        <v>6</v>
      </c>
      <c r="G214" s="6" t="s">
        <v>345</v>
      </c>
      <c r="H214" s="6">
        <v>18</v>
      </c>
      <c r="I214" s="8">
        <v>85.9187781944444</v>
      </c>
      <c r="J214" s="8">
        <v>117.45457173611101</v>
      </c>
      <c r="K214" s="6" t="s">
        <v>29</v>
      </c>
      <c r="L214" s="9">
        <v>43775</v>
      </c>
      <c r="N214" s="6">
        <v>6</v>
      </c>
      <c r="O214" s="6" t="s">
        <v>4256</v>
      </c>
      <c r="Q214" s="6" t="s">
        <v>349</v>
      </c>
      <c r="R214" s="6">
        <v>97</v>
      </c>
      <c r="S214" s="6">
        <v>107</v>
      </c>
      <c r="T214" s="10">
        <f t="shared" si="10"/>
        <v>102</v>
      </c>
      <c r="U214" s="6">
        <v>4.2</v>
      </c>
      <c r="V214" s="8">
        <v>-1.2195166899919505</v>
      </c>
      <c r="W214" s="8">
        <v>-9.5242559051513673</v>
      </c>
      <c r="X214" s="8">
        <f t="shared" si="9"/>
        <v>0.23187761478423674</v>
      </c>
    </row>
    <row r="215" spans="1:25" x14ac:dyDescent="0.35">
      <c r="A215" s="6" t="s">
        <v>25</v>
      </c>
      <c r="B215" s="7"/>
      <c r="C215" s="6">
        <v>510419</v>
      </c>
      <c r="D215" s="6" t="s">
        <v>344</v>
      </c>
      <c r="E215" s="6">
        <v>1</v>
      </c>
      <c r="F215" s="6">
        <v>6</v>
      </c>
      <c r="G215" s="6" t="s">
        <v>345</v>
      </c>
      <c r="H215" s="6">
        <v>18</v>
      </c>
      <c r="I215" s="8">
        <v>85.9187781944444</v>
      </c>
      <c r="J215" s="8">
        <v>117.45457173611101</v>
      </c>
      <c r="K215" s="6" t="s">
        <v>29</v>
      </c>
      <c r="L215" s="9">
        <v>43775</v>
      </c>
      <c r="N215" s="6">
        <v>6</v>
      </c>
      <c r="O215" s="6" t="s">
        <v>4256</v>
      </c>
      <c r="Q215" s="6" t="s">
        <v>350</v>
      </c>
      <c r="R215" s="6">
        <v>107</v>
      </c>
      <c r="S215" s="6">
        <v>117</v>
      </c>
      <c r="T215" s="10">
        <f t="shared" si="10"/>
        <v>112</v>
      </c>
      <c r="U215" s="6">
        <v>2.7</v>
      </c>
      <c r="V215" s="8">
        <v>-1.1697381230950352</v>
      </c>
      <c r="W215" s="8">
        <v>-11.817052688598633</v>
      </c>
      <c r="X215" s="8">
        <f t="shared" si="9"/>
        <v>-2.4591477038383509</v>
      </c>
    </row>
    <row r="216" spans="1:25" x14ac:dyDescent="0.35">
      <c r="A216" s="6" t="s">
        <v>25</v>
      </c>
      <c r="B216" s="7"/>
      <c r="C216" s="6">
        <v>510400</v>
      </c>
      <c r="D216" s="6" t="s">
        <v>351</v>
      </c>
      <c r="E216" s="6">
        <v>1</v>
      </c>
      <c r="F216" s="6">
        <v>6</v>
      </c>
      <c r="G216" s="6" t="s">
        <v>345</v>
      </c>
      <c r="H216" s="6">
        <v>18</v>
      </c>
      <c r="I216" s="8">
        <v>85.9187781944444</v>
      </c>
      <c r="J216" s="8">
        <v>117.45457173611101</v>
      </c>
      <c r="K216" s="6" t="s">
        <v>198</v>
      </c>
      <c r="L216" s="9">
        <v>43775</v>
      </c>
      <c r="N216" s="6">
        <v>6</v>
      </c>
      <c r="O216" s="6" t="s">
        <v>4256</v>
      </c>
      <c r="Q216" s="6" t="s">
        <v>352</v>
      </c>
      <c r="R216" s="6">
        <v>6</v>
      </c>
      <c r="S216" s="6">
        <v>12</v>
      </c>
      <c r="T216" s="10">
        <f t="shared" si="10"/>
        <v>9</v>
      </c>
      <c r="V216" s="8">
        <v>-12.101239056015014</v>
      </c>
      <c r="W216" s="8">
        <v>-96.377371524047845</v>
      </c>
      <c r="X216" s="8">
        <f t="shared" si="9"/>
        <v>0.43254092407227063</v>
      </c>
    </row>
    <row r="217" spans="1:25" x14ac:dyDescent="0.35">
      <c r="A217" s="6" t="s">
        <v>25</v>
      </c>
      <c r="B217" s="7"/>
      <c r="C217" s="6">
        <v>510401</v>
      </c>
      <c r="D217" s="6" t="s">
        <v>351</v>
      </c>
      <c r="E217" s="6">
        <v>1</v>
      </c>
      <c r="F217" s="6">
        <v>6</v>
      </c>
      <c r="G217" s="6" t="s">
        <v>345</v>
      </c>
      <c r="H217" s="6">
        <v>18</v>
      </c>
      <c r="I217" s="8">
        <v>85.9187781944444</v>
      </c>
      <c r="J217" s="8">
        <v>117.45457173611101</v>
      </c>
      <c r="K217" s="6" t="s">
        <v>198</v>
      </c>
      <c r="L217" s="9">
        <v>43775</v>
      </c>
      <c r="N217" s="6">
        <v>6</v>
      </c>
      <c r="O217" s="6" t="s">
        <v>4256</v>
      </c>
      <c r="Q217" s="6" t="s">
        <v>275</v>
      </c>
      <c r="R217" s="6">
        <v>12</v>
      </c>
      <c r="S217" s="6">
        <v>18</v>
      </c>
      <c r="T217" s="10">
        <f t="shared" si="10"/>
        <v>15</v>
      </c>
      <c r="V217" s="8">
        <v>-14.896953068161011</v>
      </c>
      <c r="W217" s="8">
        <v>-106.52775625915527</v>
      </c>
      <c r="X217" s="8">
        <f t="shared" si="9"/>
        <v>12.64786828613282</v>
      </c>
      <c r="Y217" s="6" t="s">
        <v>353</v>
      </c>
    </row>
    <row r="218" spans="1:25" x14ac:dyDescent="0.35">
      <c r="A218" s="6" t="s">
        <v>25</v>
      </c>
      <c r="B218" s="7" t="s">
        <v>358</v>
      </c>
      <c r="D218" s="6" t="s">
        <v>359</v>
      </c>
      <c r="E218" s="6">
        <v>1</v>
      </c>
      <c r="F218" s="6">
        <v>6</v>
      </c>
      <c r="G218" s="6" t="s">
        <v>272</v>
      </c>
      <c r="I218" s="8">
        <v>85.917653888888907</v>
      </c>
      <c r="J218" s="8">
        <v>116.64332493055601</v>
      </c>
      <c r="K218" s="7" t="s">
        <v>2610</v>
      </c>
      <c r="L218" s="9">
        <v>43776</v>
      </c>
      <c r="N218" s="6">
        <v>6</v>
      </c>
      <c r="O218" s="6" t="s">
        <v>4257</v>
      </c>
      <c r="Q218" s="10">
        <v>200</v>
      </c>
      <c r="R218" s="10"/>
      <c r="S218" s="10">
        <v>200</v>
      </c>
      <c r="T218" s="10">
        <f t="shared" si="10"/>
        <v>200</v>
      </c>
      <c r="V218" s="8">
        <v>-1.2690839481353759</v>
      </c>
      <c r="W218" s="8">
        <v>-8.46963387298584</v>
      </c>
      <c r="X218" s="8">
        <f t="shared" si="9"/>
        <v>1.6830377120971676</v>
      </c>
    </row>
    <row r="219" spans="1:25" x14ac:dyDescent="0.35">
      <c r="A219" s="6" t="s">
        <v>25</v>
      </c>
      <c r="B219" s="7"/>
      <c r="C219" s="6">
        <v>510420</v>
      </c>
      <c r="D219" s="6" t="s">
        <v>354</v>
      </c>
      <c r="E219" s="6">
        <v>1</v>
      </c>
      <c r="F219" s="6">
        <v>6</v>
      </c>
      <c r="G219" s="6" t="s">
        <v>179</v>
      </c>
      <c r="H219" s="6">
        <v>7</v>
      </c>
      <c r="I219" s="8">
        <v>85.917653888888907</v>
      </c>
      <c r="J219" s="8">
        <v>116.64332493055601</v>
      </c>
      <c r="K219" s="6" t="s">
        <v>29</v>
      </c>
      <c r="L219" s="9">
        <v>43776</v>
      </c>
      <c r="N219" s="6">
        <v>6</v>
      </c>
      <c r="O219" s="6" t="s">
        <v>4257</v>
      </c>
      <c r="Q219" s="6" t="s">
        <v>64</v>
      </c>
      <c r="R219" s="6">
        <v>0</v>
      </c>
      <c r="S219" s="6">
        <v>10</v>
      </c>
      <c r="T219" s="10">
        <f t="shared" si="10"/>
        <v>5</v>
      </c>
      <c r="U219" s="6">
        <v>5.5</v>
      </c>
      <c r="V219" s="8">
        <v>-1.0643846802234647</v>
      </c>
      <c r="W219" s="8">
        <v>-6.7328532966613768</v>
      </c>
      <c r="X219" s="8">
        <f t="shared" si="9"/>
        <v>1.7822241451263405</v>
      </c>
    </row>
    <row r="220" spans="1:25" x14ac:dyDescent="0.35">
      <c r="A220" s="6" t="s">
        <v>25</v>
      </c>
      <c r="B220" s="7"/>
      <c r="C220" s="6">
        <v>510421</v>
      </c>
      <c r="D220" s="6" t="s">
        <v>354</v>
      </c>
      <c r="E220" s="6">
        <v>1</v>
      </c>
      <c r="F220" s="6">
        <v>6</v>
      </c>
      <c r="G220" s="6" t="s">
        <v>179</v>
      </c>
      <c r="H220" s="6">
        <v>7</v>
      </c>
      <c r="I220" s="8">
        <v>85.917653888888907</v>
      </c>
      <c r="J220" s="8">
        <v>116.64332493055601</v>
      </c>
      <c r="K220" s="6" t="s">
        <v>29</v>
      </c>
      <c r="L220" s="9">
        <v>43776</v>
      </c>
      <c r="N220" s="6">
        <v>6</v>
      </c>
      <c r="O220" s="6" t="s">
        <v>4257</v>
      </c>
      <c r="Q220" s="6" t="s">
        <v>66</v>
      </c>
      <c r="R220" s="6">
        <v>10</v>
      </c>
      <c r="S220" s="6">
        <v>20</v>
      </c>
      <c r="T220" s="10">
        <f t="shared" si="10"/>
        <v>15</v>
      </c>
      <c r="U220" s="6">
        <v>4.3</v>
      </c>
      <c r="V220" s="8">
        <v>-2.5771507598876955</v>
      </c>
      <c r="W220" s="8">
        <v>-18.693501305007935</v>
      </c>
      <c r="X220" s="8">
        <f t="shared" si="9"/>
        <v>1.9237047740936291</v>
      </c>
    </row>
    <row r="221" spans="1:25" x14ac:dyDescent="0.35">
      <c r="A221" s="6" t="s">
        <v>25</v>
      </c>
      <c r="B221" s="7"/>
      <c r="C221" s="6">
        <v>510422</v>
      </c>
      <c r="D221" s="6" t="s">
        <v>354</v>
      </c>
      <c r="E221" s="6">
        <v>1</v>
      </c>
      <c r="F221" s="6">
        <v>6</v>
      </c>
      <c r="G221" s="6" t="s">
        <v>179</v>
      </c>
      <c r="H221" s="6">
        <v>7</v>
      </c>
      <c r="I221" s="8">
        <v>85.917653888888907</v>
      </c>
      <c r="J221" s="8">
        <v>116.64332493055601</v>
      </c>
      <c r="K221" s="6" t="s">
        <v>29</v>
      </c>
      <c r="L221" s="9">
        <v>43776</v>
      </c>
      <c r="N221" s="6">
        <v>6</v>
      </c>
      <c r="O221" s="6" t="s">
        <v>4257</v>
      </c>
      <c r="Q221" s="6" t="s">
        <v>215</v>
      </c>
      <c r="R221" s="6">
        <v>20</v>
      </c>
      <c r="S221" s="6">
        <v>30</v>
      </c>
      <c r="T221" s="10">
        <f t="shared" si="10"/>
        <v>25</v>
      </c>
      <c r="U221" s="6">
        <v>4.8</v>
      </c>
      <c r="V221" s="8">
        <v>0.8475094679991404</v>
      </c>
      <c r="W221" s="8">
        <v>8.060726840082804</v>
      </c>
      <c r="X221" s="8">
        <f t="shared" si="9"/>
        <v>1.2806510960896809</v>
      </c>
    </row>
    <row r="222" spans="1:25" x14ac:dyDescent="0.35">
      <c r="A222" s="6" t="s">
        <v>25</v>
      </c>
      <c r="B222" s="7"/>
      <c r="C222" s="6">
        <v>510423</v>
      </c>
      <c r="D222" s="6" t="s">
        <v>354</v>
      </c>
      <c r="E222" s="6">
        <v>1</v>
      </c>
      <c r="F222" s="6">
        <v>6</v>
      </c>
      <c r="G222" s="6" t="s">
        <v>179</v>
      </c>
      <c r="H222" s="6">
        <v>7</v>
      </c>
      <c r="I222" s="8">
        <v>85.917653888888907</v>
      </c>
      <c r="J222" s="8">
        <v>116.64332493055601</v>
      </c>
      <c r="K222" s="6" t="s">
        <v>29</v>
      </c>
      <c r="L222" s="9">
        <v>43776</v>
      </c>
      <c r="N222" s="6">
        <v>6</v>
      </c>
      <c r="O222" s="6" t="s">
        <v>4257</v>
      </c>
      <c r="Q222" s="6" t="s">
        <v>157</v>
      </c>
      <c r="R222" s="6">
        <v>30</v>
      </c>
      <c r="S222" s="6">
        <v>40</v>
      </c>
      <c r="T222" s="10">
        <f t="shared" si="10"/>
        <v>35</v>
      </c>
      <c r="U222" s="6">
        <v>4.4000000000000004</v>
      </c>
      <c r="V222" s="8">
        <v>1.0332192993164067</v>
      </c>
      <c r="W222" s="8">
        <v>9.0996565341949456</v>
      </c>
      <c r="X222" s="8">
        <f t="shared" si="9"/>
        <v>0.83390213966369231</v>
      </c>
    </row>
    <row r="223" spans="1:25" x14ac:dyDescent="0.35">
      <c r="A223" s="6" t="s">
        <v>25</v>
      </c>
      <c r="B223" s="7"/>
      <c r="C223" s="6">
        <v>510433</v>
      </c>
      <c r="D223" s="6" t="s">
        <v>354</v>
      </c>
      <c r="E223" s="6">
        <v>1</v>
      </c>
      <c r="F223" s="6">
        <v>6</v>
      </c>
      <c r="G223" s="6" t="s">
        <v>179</v>
      </c>
      <c r="H223" s="6">
        <v>7</v>
      </c>
      <c r="I223" s="8">
        <v>85.917653888888907</v>
      </c>
      <c r="J223" s="8">
        <v>116.64332493055601</v>
      </c>
      <c r="K223" s="6" t="s">
        <v>29</v>
      </c>
      <c r="L223" s="9">
        <v>43776</v>
      </c>
      <c r="N223" s="6">
        <v>6</v>
      </c>
      <c r="O223" s="6" t="s">
        <v>4257</v>
      </c>
      <c r="Q223" s="6" t="s">
        <v>355</v>
      </c>
      <c r="R223" s="6">
        <v>40</v>
      </c>
      <c r="S223" s="6">
        <v>52</v>
      </c>
      <c r="T223" s="10">
        <f t="shared" si="10"/>
        <v>46</v>
      </c>
      <c r="U223" s="6">
        <v>6.6</v>
      </c>
      <c r="V223" s="8">
        <v>0.70982344436645528</v>
      </c>
      <c r="W223" s="8">
        <v>6.2529753208160379</v>
      </c>
      <c r="X223" s="8">
        <f t="shared" si="9"/>
        <v>0.57438776588439566</v>
      </c>
    </row>
    <row r="224" spans="1:25" x14ac:dyDescent="0.35">
      <c r="A224" s="6" t="s">
        <v>25</v>
      </c>
      <c r="B224" s="7"/>
      <c r="C224" s="6">
        <v>510434</v>
      </c>
      <c r="D224" s="6" t="s">
        <v>354</v>
      </c>
      <c r="E224" s="6">
        <v>1</v>
      </c>
      <c r="F224" s="6">
        <v>6</v>
      </c>
      <c r="G224" s="6" t="s">
        <v>179</v>
      </c>
      <c r="H224" s="6">
        <v>7</v>
      </c>
      <c r="I224" s="8">
        <v>85.917653888888907</v>
      </c>
      <c r="J224" s="8">
        <v>116.64332493055601</v>
      </c>
      <c r="K224" s="6" t="s">
        <v>198</v>
      </c>
      <c r="L224" s="9">
        <v>43776</v>
      </c>
      <c r="N224" s="6">
        <v>6</v>
      </c>
      <c r="O224" s="6" t="s">
        <v>4257</v>
      </c>
      <c r="Q224" s="6" t="s">
        <v>356</v>
      </c>
      <c r="R224" s="6">
        <v>4</v>
      </c>
      <c r="S224" s="6">
        <v>7</v>
      </c>
      <c r="T224" s="10">
        <f t="shared" si="10"/>
        <v>5.5</v>
      </c>
      <c r="U224" s="6">
        <v>21.1</v>
      </c>
      <c r="V224" s="8">
        <v>-7.9267851699829102</v>
      </c>
      <c r="W224" s="8">
        <v>-63.14540691680908</v>
      </c>
      <c r="X224" s="8">
        <f t="shared" si="9"/>
        <v>0.26887444305420161</v>
      </c>
      <c r="Y224" s="6" t="s">
        <v>353</v>
      </c>
    </row>
    <row r="225" spans="1:25" x14ac:dyDescent="0.35">
      <c r="A225" s="6" t="s">
        <v>25</v>
      </c>
      <c r="B225" s="7"/>
      <c r="C225" s="6">
        <v>510435</v>
      </c>
      <c r="D225" s="6" t="s">
        <v>354</v>
      </c>
      <c r="E225" s="6">
        <v>1</v>
      </c>
      <c r="F225" s="6">
        <v>6</v>
      </c>
      <c r="G225" s="6" t="s">
        <v>179</v>
      </c>
      <c r="H225" s="6">
        <v>7</v>
      </c>
      <c r="I225" s="8">
        <v>85.917653888888907</v>
      </c>
      <c r="J225" s="8">
        <v>116.64332493055601</v>
      </c>
      <c r="K225" s="6" t="s">
        <v>198</v>
      </c>
      <c r="L225" s="9">
        <v>43776</v>
      </c>
      <c r="N225" s="6">
        <v>6</v>
      </c>
      <c r="O225" s="6" t="s">
        <v>4257</v>
      </c>
      <c r="Q225" s="6" t="s">
        <v>336</v>
      </c>
      <c r="R225" s="6">
        <v>0</v>
      </c>
      <c r="S225" s="6">
        <v>4</v>
      </c>
      <c r="T225" s="10">
        <f t="shared" si="10"/>
        <v>2</v>
      </c>
      <c r="U225" s="6">
        <v>13.4</v>
      </c>
      <c r="V225" s="8">
        <v>-14.977854919433595</v>
      </c>
      <c r="W225" s="8">
        <v>-113.46132749023438</v>
      </c>
      <c r="X225" s="8">
        <f t="shared" si="9"/>
        <v>6.3615118652343767</v>
      </c>
      <c r="Y225" s="6" t="s">
        <v>357</v>
      </c>
    </row>
    <row r="226" spans="1:25" x14ac:dyDescent="0.35">
      <c r="A226" s="6" t="s">
        <v>25</v>
      </c>
      <c r="B226" s="7" t="s">
        <v>360</v>
      </c>
      <c r="C226" s="6">
        <v>510455</v>
      </c>
      <c r="D226" s="6" t="s">
        <v>361</v>
      </c>
      <c r="E226" s="6">
        <v>1</v>
      </c>
      <c r="F226" s="6">
        <v>6</v>
      </c>
      <c r="G226" s="6" t="s">
        <v>272</v>
      </c>
      <c r="I226" s="8">
        <v>85.829839027777794</v>
      </c>
      <c r="J226" s="8">
        <v>116.152829027778</v>
      </c>
      <c r="K226" s="6" t="s">
        <v>29</v>
      </c>
      <c r="L226" s="9">
        <v>43779</v>
      </c>
      <c r="N226" s="6">
        <v>6</v>
      </c>
      <c r="O226" s="6" t="s">
        <v>4258</v>
      </c>
      <c r="P226" s="6">
        <v>-3.7</v>
      </c>
      <c r="Q226" s="10" t="s">
        <v>362</v>
      </c>
      <c r="R226" s="10">
        <v>48</v>
      </c>
      <c r="S226" s="10">
        <v>62</v>
      </c>
      <c r="T226" s="10">
        <f t="shared" si="10"/>
        <v>55</v>
      </c>
      <c r="U226" s="6">
        <v>4.8</v>
      </c>
      <c r="V226" s="8">
        <v>0.82114367139339417</v>
      </c>
      <c r="W226" s="8">
        <v>5.7406171865515407</v>
      </c>
      <c r="X226" s="8">
        <f t="shared" si="9"/>
        <v>-0.82853218459561262</v>
      </c>
    </row>
    <row r="227" spans="1:25" x14ac:dyDescent="0.35">
      <c r="A227" s="6" t="s">
        <v>25</v>
      </c>
      <c r="B227" s="7" t="s">
        <v>363</v>
      </c>
      <c r="C227" s="6">
        <v>510450</v>
      </c>
      <c r="D227" s="6" t="s">
        <v>364</v>
      </c>
      <c r="E227" s="6">
        <v>1</v>
      </c>
      <c r="F227" s="6">
        <v>6</v>
      </c>
      <c r="G227" s="6" t="s">
        <v>272</v>
      </c>
      <c r="I227" s="8">
        <v>85.829839027777794</v>
      </c>
      <c r="J227" s="8">
        <v>116.152829027778</v>
      </c>
      <c r="K227" s="6" t="s">
        <v>29</v>
      </c>
      <c r="L227" s="9">
        <v>43779</v>
      </c>
      <c r="N227" s="6">
        <v>6</v>
      </c>
      <c r="O227" s="6" t="s">
        <v>4258</v>
      </c>
      <c r="P227" s="6">
        <v>-10.35</v>
      </c>
      <c r="Q227" s="10" t="s">
        <v>64</v>
      </c>
      <c r="R227" s="10">
        <v>0</v>
      </c>
      <c r="S227" s="10">
        <v>10</v>
      </c>
      <c r="T227" s="10">
        <f t="shared" si="10"/>
        <v>5</v>
      </c>
      <c r="U227" s="6">
        <v>0.5</v>
      </c>
      <c r="V227" s="8">
        <v>-7.8467096345424645</v>
      </c>
      <c r="W227" s="8">
        <v>-61.276709058380121</v>
      </c>
      <c r="X227" s="8">
        <f t="shared" si="9"/>
        <v>1.4969680179595954</v>
      </c>
    </row>
    <row r="228" spans="1:25" x14ac:dyDescent="0.35">
      <c r="A228" s="6" t="s">
        <v>25</v>
      </c>
      <c r="B228" s="7" t="s">
        <v>365</v>
      </c>
      <c r="C228" s="6">
        <v>510452</v>
      </c>
      <c r="D228" s="6" t="s">
        <v>366</v>
      </c>
      <c r="E228" s="6">
        <v>1</v>
      </c>
      <c r="F228" s="6">
        <v>6</v>
      </c>
      <c r="G228" s="6" t="s">
        <v>272</v>
      </c>
      <c r="I228" s="8">
        <v>85.829839027777794</v>
      </c>
      <c r="J228" s="8">
        <v>116.152829027778</v>
      </c>
      <c r="K228" s="6" t="s">
        <v>29</v>
      </c>
      <c r="L228" s="9">
        <v>43779</v>
      </c>
      <c r="N228" s="6">
        <v>6</v>
      </c>
      <c r="O228" s="6" t="s">
        <v>4258</v>
      </c>
      <c r="P228" s="6">
        <v>-5.8</v>
      </c>
      <c r="Q228" s="10" t="s">
        <v>367</v>
      </c>
      <c r="R228" s="10">
        <v>20</v>
      </c>
      <c r="S228" s="10">
        <v>29</v>
      </c>
      <c r="T228" s="10">
        <f t="shared" si="10"/>
        <v>24.5</v>
      </c>
      <c r="U228" s="6">
        <v>2.1</v>
      </c>
      <c r="V228" s="8">
        <v>-6.2547456981658938</v>
      </c>
      <c r="W228" s="8">
        <v>-45.933073534011839</v>
      </c>
      <c r="X228" s="8">
        <f t="shared" si="9"/>
        <v>4.1048920513153107</v>
      </c>
    </row>
    <row r="229" spans="1:25" x14ac:dyDescent="0.35">
      <c r="A229" s="6" t="s">
        <v>25</v>
      </c>
      <c r="B229" s="7" t="s">
        <v>368</v>
      </c>
      <c r="C229" s="6">
        <v>510451</v>
      </c>
      <c r="D229" s="6" t="s">
        <v>369</v>
      </c>
      <c r="E229" s="6">
        <v>1</v>
      </c>
      <c r="F229" s="6">
        <v>6</v>
      </c>
      <c r="G229" s="6" t="s">
        <v>272</v>
      </c>
      <c r="I229" s="8">
        <v>85.829839027777794</v>
      </c>
      <c r="J229" s="8">
        <v>116.152829027778</v>
      </c>
      <c r="K229" s="6" t="s">
        <v>29</v>
      </c>
      <c r="L229" s="9">
        <v>43779</v>
      </c>
      <c r="N229" s="6">
        <v>6</v>
      </c>
      <c r="O229" s="6" t="s">
        <v>4258</v>
      </c>
      <c r="P229" s="6">
        <v>-7.8</v>
      </c>
      <c r="Q229" s="10" t="s">
        <v>66</v>
      </c>
      <c r="R229" s="10">
        <v>10</v>
      </c>
      <c r="S229" s="10">
        <v>20</v>
      </c>
      <c r="T229" s="10">
        <f t="shared" si="10"/>
        <v>15</v>
      </c>
      <c r="U229" s="6">
        <v>0.4</v>
      </c>
      <c r="V229" s="8">
        <v>-4.8191917993545541</v>
      </c>
      <c r="W229" s="8">
        <v>-36.867779441833491</v>
      </c>
      <c r="X229" s="8">
        <f t="shared" si="9"/>
        <v>1.6857549530029416</v>
      </c>
    </row>
    <row r="230" spans="1:25" x14ac:dyDescent="0.35">
      <c r="A230" s="6" t="s">
        <v>25</v>
      </c>
      <c r="B230" s="7" t="s">
        <v>370</v>
      </c>
      <c r="C230" s="6">
        <v>510454</v>
      </c>
      <c r="D230" s="6" t="s">
        <v>371</v>
      </c>
      <c r="E230" s="6">
        <v>1</v>
      </c>
      <c r="F230" s="6">
        <v>6</v>
      </c>
      <c r="G230" s="6" t="s">
        <v>272</v>
      </c>
      <c r="I230" s="8">
        <v>85.829839027777794</v>
      </c>
      <c r="J230" s="8">
        <v>116.152829027778</v>
      </c>
      <c r="K230" s="6" t="s">
        <v>29</v>
      </c>
      <c r="L230" s="9">
        <v>43779</v>
      </c>
      <c r="N230" s="6">
        <v>6</v>
      </c>
      <c r="O230" s="6" t="s">
        <v>4258</v>
      </c>
      <c r="P230" s="6">
        <v>-4.75</v>
      </c>
      <c r="Q230" s="10" t="s">
        <v>121</v>
      </c>
      <c r="R230" s="10">
        <v>38</v>
      </c>
      <c r="S230" s="10">
        <v>48</v>
      </c>
      <c r="T230" s="10">
        <f t="shared" si="10"/>
        <v>43</v>
      </c>
      <c r="U230" s="6">
        <v>2.2999999999999998</v>
      </c>
      <c r="V230" s="8">
        <v>-5.824529635429383</v>
      </c>
      <c r="W230" s="8">
        <v>-43.747547641754153</v>
      </c>
      <c r="X230" s="8">
        <f t="shared" si="9"/>
        <v>2.8486894416809108</v>
      </c>
    </row>
    <row r="231" spans="1:25" x14ac:dyDescent="0.35">
      <c r="A231" s="6" t="s">
        <v>25</v>
      </c>
      <c r="B231" s="7" t="s">
        <v>372</v>
      </c>
      <c r="C231" s="6">
        <v>510453</v>
      </c>
      <c r="D231" s="6" t="s">
        <v>373</v>
      </c>
      <c r="E231" s="6">
        <v>1</v>
      </c>
      <c r="F231" s="6">
        <v>6</v>
      </c>
      <c r="G231" s="6" t="s">
        <v>272</v>
      </c>
      <c r="I231" s="8">
        <v>85.829839027777794</v>
      </c>
      <c r="J231" s="8">
        <v>116.152829027778</v>
      </c>
      <c r="K231" s="6" t="s">
        <v>29</v>
      </c>
      <c r="L231" s="9">
        <v>43779</v>
      </c>
      <c r="N231" s="6">
        <v>6</v>
      </c>
      <c r="O231" s="6" t="s">
        <v>4258</v>
      </c>
      <c r="P231" s="6">
        <v>-5.0500000000000007</v>
      </c>
      <c r="Q231" s="10" t="s">
        <v>374</v>
      </c>
      <c r="R231" s="10">
        <v>29</v>
      </c>
      <c r="S231" s="10">
        <v>38</v>
      </c>
      <c r="T231" s="10">
        <f t="shared" si="10"/>
        <v>33.5</v>
      </c>
      <c r="U231" s="6">
        <v>3.9</v>
      </c>
      <c r="V231" s="8">
        <v>-7.5700963770866396</v>
      </c>
      <c r="W231" s="8">
        <v>-55.866168888092034</v>
      </c>
      <c r="X231" s="8">
        <f t="shared" si="9"/>
        <v>4.6946021286010833</v>
      </c>
    </row>
    <row r="232" spans="1:25" x14ac:dyDescent="0.35">
      <c r="A232" s="6" t="s">
        <v>25</v>
      </c>
      <c r="B232" s="7"/>
      <c r="C232" s="6">
        <v>510519</v>
      </c>
      <c r="D232" s="6" t="s">
        <v>375</v>
      </c>
      <c r="E232" s="6">
        <v>1</v>
      </c>
      <c r="F232" s="6">
        <v>6</v>
      </c>
      <c r="G232" s="6" t="s">
        <v>272</v>
      </c>
      <c r="H232" s="6">
        <v>15</v>
      </c>
      <c r="I232" s="8">
        <v>85.829839027777794</v>
      </c>
      <c r="J232" s="8">
        <v>116.152829027778</v>
      </c>
      <c r="K232" s="6" t="s">
        <v>198</v>
      </c>
      <c r="L232" s="9">
        <v>43779</v>
      </c>
      <c r="N232" s="6">
        <v>6</v>
      </c>
      <c r="O232" s="6" t="s">
        <v>4258</v>
      </c>
      <c r="Q232" s="6" t="s">
        <v>203</v>
      </c>
      <c r="R232" s="6">
        <v>0</v>
      </c>
      <c r="S232" s="6">
        <v>5</v>
      </c>
      <c r="T232" s="10">
        <f t="shared" si="10"/>
        <v>2.5</v>
      </c>
      <c r="U232" s="6">
        <v>0</v>
      </c>
      <c r="V232" s="8">
        <v>-19.100758199590828</v>
      </c>
      <c r="W232" s="8">
        <v>-135.48613664277485</v>
      </c>
      <c r="X232" s="8">
        <f t="shared" si="9"/>
        <v>17.319928953951774</v>
      </c>
    </row>
    <row r="233" spans="1:25" x14ac:dyDescent="0.35">
      <c r="A233" s="6" t="s">
        <v>25</v>
      </c>
      <c r="B233" s="7"/>
      <c r="C233" s="6">
        <v>510520</v>
      </c>
      <c r="D233" s="6" t="s">
        <v>375</v>
      </c>
      <c r="E233" s="6">
        <v>1</v>
      </c>
      <c r="F233" s="6">
        <v>6</v>
      </c>
      <c r="G233" s="6" t="s">
        <v>272</v>
      </c>
      <c r="H233" s="6">
        <v>15</v>
      </c>
      <c r="I233" s="8">
        <v>85.829839027777794</v>
      </c>
      <c r="J233" s="8">
        <v>116.152829027778</v>
      </c>
      <c r="K233" s="6" t="s">
        <v>198</v>
      </c>
      <c r="L233" s="9">
        <v>43779</v>
      </c>
      <c r="N233" s="6">
        <v>6</v>
      </c>
      <c r="O233" s="6" t="s">
        <v>4258</v>
      </c>
      <c r="Q233" s="6" t="s">
        <v>292</v>
      </c>
      <c r="R233" s="6">
        <v>5</v>
      </c>
      <c r="S233" s="6">
        <v>10</v>
      </c>
      <c r="T233" s="10">
        <f t="shared" si="10"/>
        <v>7.5</v>
      </c>
      <c r="U233" s="6">
        <v>0</v>
      </c>
      <c r="V233" s="8">
        <v>-13.573902990551396</v>
      </c>
      <c r="W233" s="8">
        <v>-103.13905965028221</v>
      </c>
      <c r="X233" s="8">
        <f t="shared" si="9"/>
        <v>5.4521642741289611</v>
      </c>
    </row>
    <row r="234" spans="1:25" x14ac:dyDescent="0.35">
      <c r="A234" s="6" t="s">
        <v>25</v>
      </c>
      <c r="B234" s="7"/>
      <c r="C234" s="6">
        <v>510521</v>
      </c>
      <c r="D234" s="6" t="s">
        <v>375</v>
      </c>
      <c r="E234" s="6">
        <v>1</v>
      </c>
      <c r="F234" s="6">
        <v>6</v>
      </c>
      <c r="G234" s="6" t="s">
        <v>272</v>
      </c>
      <c r="H234" s="6">
        <v>15</v>
      </c>
      <c r="I234" s="8">
        <v>85.829839027777794</v>
      </c>
      <c r="J234" s="8">
        <v>116.152829027778</v>
      </c>
      <c r="K234" s="6" t="s">
        <v>198</v>
      </c>
      <c r="L234" s="9">
        <v>43779</v>
      </c>
      <c r="N234" s="6">
        <v>6</v>
      </c>
      <c r="O234" s="6" t="s">
        <v>4258</v>
      </c>
      <c r="Q234" s="6" t="s">
        <v>376</v>
      </c>
      <c r="R234" s="6">
        <v>10</v>
      </c>
      <c r="S234" s="6">
        <v>15</v>
      </c>
      <c r="T234" s="10">
        <f t="shared" si="10"/>
        <v>12.5</v>
      </c>
      <c r="U234" s="6">
        <v>0.4</v>
      </c>
      <c r="V234" s="8">
        <v>-12.065324686431884</v>
      </c>
      <c r="W234" s="8">
        <v>-96.806740817260746</v>
      </c>
      <c r="X234" s="8">
        <f t="shared" si="9"/>
        <v>-0.28414332580567248</v>
      </c>
    </row>
    <row r="235" spans="1:25" x14ac:dyDescent="0.35">
      <c r="A235" s="6" t="s">
        <v>25</v>
      </c>
      <c r="B235" s="7" t="s">
        <v>398</v>
      </c>
      <c r="D235" s="6" t="s">
        <v>399</v>
      </c>
      <c r="E235" s="6">
        <v>1</v>
      </c>
      <c r="F235" s="6">
        <v>7</v>
      </c>
      <c r="G235" s="6" t="s">
        <v>400</v>
      </c>
      <c r="I235" s="8">
        <v>85.915187361111094</v>
      </c>
      <c r="J235" s="8">
        <v>116.660135</v>
      </c>
      <c r="K235" s="6" t="s">
        <v>4450</v>
      </c>
      <c r="L235" s="9">
        <v>43780</v>
      </c>
      <c r="N235" s="6">
        <v>7</v>
      </c>
      <c r="O235" s="6" t="s">
        <v>4259</v>
      </c>
      <c r="Q235" s="10" t="s">
        <v>401</v>
      </c>
      <c r="R235" s="10"/>
      <c r="S235" s="10"/>
      <c r="T235" s="10"/>
      <c r="U235" s="11"/>
      <c r="V235" s="8">
        <v>-6.5391321358680718</v>
      </c>
      <c r="W235" s="8">
        <v>-49.155474998474119</v>
      </c>
      <c r="X235" s="8">
        <f t="shared" si="9"/>
        <v>3.1575820884704555</v>
      </c>
    </row>
    <row r="236" spans="1:25" x14ac:dyDescent="0.35">
      <c r="A236" s="6" t="s">
        <v>25</v>
      </c>
      <c r="B236" s="7" t="s">
        <v>387</v>
      </c>
      <c r="D236" s="6" t="s">
        <v>388</v>
      </c>
      <c r="E236" s="6">
        <v>1</v>
      </c>
      <c r="F236" s="6">
        <v>7</v>
      </c>
      <c r="G236" s="6" t="s">
        <v>389</v>
      </c>
      <c r="I236" s="8">
        <v>85.915187361111094</v>
      </c>
      <c r="J236" s="8">
        <v>116.660135</v>
      </c>
      <c r="K236" s="6" t="s">
        <v>390</v>
      </c>
      <c r="L236" s="9">
        <v>43780</v>
      </c>
      <c r="N236" s="6">
        <v>7</v>
      </c>
      <c r="O236" s="6" t="s">
        <v>4259</v>
      </c>
      <c r="Q236" s="10">
        <v>0.1</v>
      </c>
      <c r="R236" s="10"/>
      <c r="S236" s="10">
        <v>10</v>
      </c>
      <c r="T236" s="10">
        <f>AVERAGE(R236:S236)</f>
        <v>10</v>
      </c>
      <c r="U236" s="11"/>
      <c r="V236" s="8">
        <v>-2.9937548718452454</v>
      </c>
      <c r="W236" s="8">
        <v>-21.407846488952639</v>
      </c>
      <c r="X236" s="8">
        <f t="shared" si="9"/>
        <v>2.5421924858093234</v>
      </c>
    </row>
    <row r="237" spans="1:25" x14ac:dyDescent="0.35">
      <c r="A237" s="6" t="s">
        <v>25</v>
      </c>
      <c r="B237" s="7" t="s">
        <v>391</v>
      </c>
      <c r="D237" s="6" t="s">
        <v>392</v>
      </c>
      <c r="E237" s="6">
        <v>1</v>
      </c>
      <c r="F237" s="6">
        <v>7</v>
      </c>
      <c r="G237" s="6" t="s">
        <v>393</v>
      </c>
      <c r="I237" s="8">
        <v>85.915187361111094</v>
      </c>
      <c r="J237" s="8">
        <v>116.660135</v>
      </c>
      <c r="K237" s="6" t="s">
        <v>390</v>
      </c>
      <c r="L237" s="9">
        <v>43780</v>
      </c>
      <c r="N237" s="6">
        <v>7</v>
      </c>
      <c r="O237" s="6" t="s">
        <v>4259</v>
      </c>
      <c r="Q237" s="10"/>
      <c r="R237" s="10"/>
      <c r="S237" s="10">
        <v>100</v>
      </c>
      <c r="T237" s="10">
        <f>AVERAGE(R237:S237)</f>
        <v>100</v>
      </c>
      <c r="U237" s="11"/>
      <c r="V237" s="8">
        <v>-1.9997978088855741</v>
      </c>
      <c r="W237" s="8">
        <v>-13.555145807266236</v>
      </c>
      <c r="X237" s="8">
        <f t="shared" si="9"/>
        <v>2.4432366638183574</v>
      </c>
    </row>
    <row r="238" spans="1:25" x14ac:dyDescent="0.35">
      <c r="A238" s="6" t="s">
        <v>25</v>
      </c>
      <c r="B238" s="7" t="s">
        <v>394</v>
      </c>
      <c r="D238" s="6" t="s">
        <v>395</v>
      </c>
      <c r="E238" s="6">
        <v>1</v>
      </c>
      <c r="F238" s="6">
        <v>7</v>
      </c>
      <c r="G238" s="6" t="s">
        <v>393</v>
      </c>
      <c r="I238" s="8">
        <v>85.915187361111094</v>
      </c>
      <c r="J238" s="8">
        <v>116.660135</v>
      </c>
      <c r="K238" s="6" t="s">
        <v>390</v>
      </c>
      <c r="L238" s="9">
        <v>43780</v>
      </c>
      <c r="N238" s="6">
        <v>7</v>
      </c>
      <c r="O238" s="6" t="s">
        <v>4259</v>
      </c>
      <c r="Q238" s="10"/>
      <c r="R238" s="10"/>
      <c r="S238" s="10">
        <v>5</v>
      </c>
      <c r="T238" s="10">
        <f>AVERAGE(R238:S238)</f>
        <v>5</v>
      </c>
      <c r="U238" s="11"/>
      <c r="V238" s="8">
        <v>-3.8243853936195373</v>
      </c>
      <c r="W238" s="8">
        <v>-27.529077468872071</v>
      </c>
      <c r="X238" s="8">
        <f t="shared" si="9"/>
        <v>3.0660056800842277</v>
      </c>
    </row>
    <row r="239" spans="1:25" x14ac:dyDescent="0.35">
      <c r="A239" s="6" t="s">
        <v>25</v>
      </c>
      <c r="B239" s="7" t="s">
        <v>396</v>
      </c>
      <c r="D239" s="6" t="s">
        <v>397</v>
      </c>
      <c r="E239" s="6">
        <v>1</v>
      </c>
      <c r="F239" s="6">
        <v>7</v>
      </c>
      <c r="G239" s="6" t="s">
        <v>393</v>
      </c>
      <c r="I239" s="8">
        <v>85.915187361111094</v>
      </c>
      <c r="J239" s="8">
        <v>116.660135</v>
      </c>
      <c r="K239" s="6" t="s">
        <v>390</v>
      </c>
      <c r="L239" s="9">
        <v>43780</v>
      </c>
      <c r="N239" s="6">
        <v>7</v>
      </c>
      <c r="O239" s="6" t="s">
        <v>4259</v>
      </c>
      <c r="Q239" s="10"/>
      <c r="R239" s="10"/>
      <c r="S239" s="10">
        <v>55</v>
      </c>
      <c r="T239" s="10">
        <f>AVERAGE(R239:S239)</f>
        <v>55</v>
      </c>
      <c r="U239" s="11"/>
      <c r="V239" s="8">
        <v>-3.1343555388450621</v>
      </c>
      <c r="W239" s="8">
        <v>-22.607129497528071</v>
      </c>
      <c r="X239" s="8">
        <f t="shared" si="9"/>
        <v>2.4677148132324263</v>
      </c>
    </row>
    <row r="240" spans="1:25" x14ac:dyDescent="0.35">
      <c r="A240" s="6" t="s">
        <v>25</v>
      </c>
      <c r="B240" s="6" t="s">
        <v>2738</v>
      </c>
      <c r="D240" s="6" t="s">
        <v>3090</v>
      </c>
      <c r="E240" s="6">
        <v>1</v>
      </c>
      <c r="F240" s="6">
        <v>7</v>
      </c>
      <c r="G240" s="6" t="s">
        <v>3215</v>
      </c>
      <c r="I240" s="8">
        <v>85.878378999999995</v>
      </c>
      <c r="J240" s="8">
        <v>116.469979</v>
      </c>
      <c r="K240" s="6" t="s">
        <v>198</v>
      </c>
      <c r="L240" s="9">
        <v>43780</v>
      </c>
      <c r="M240" s="18">
        <v>0.26944444444444443</v>
      </c>
      <c r="N240" s="6">
        <v>7</v>
      </c>
      <c r="O240" s="6" t="s">
        <v>4259</v>
      </c>
      <c r="V240" s="8">
        <v>-26.336585172271725</v>
      </c>
      <c r="W240" s="8">
        <v>-198.60013427734376</v>
      </c>
      <c r="X240" s="8">
        <f t="shared" si="9"/>
        <v>12.092547100830046</v>
      </c>
      <c r="Y240" s="6" t="s">
        <v>3218</v>
      </c>
    </row>
    <row r="241" spans="1:25" x14ac:dyDescent="0.35">
      <c r="A241" s="6" t="s">
        <v>25</v>
      </c>
      <c r="B241" s="6" t="s">
        <v>2739</v>
      </c>
      <c r="D241" s="6" t="s">
        <v>3090</v>
      </c>
      <c r="E241" s="6">
        <v>1</v>
      </c>
      <c r="F241" s="6">
        <v>7</v>
      </c>
      <c r="G241" s="6" t="s">
        <v>3215</v>
      </c>
      <c r="I241" s="8">
        <v>85.878378999999995</v>
      </c>
      <c r="J241" s="8">
        <v>116.469979</v>
      </c>
      <c r="K241" s="6" t="s">
        <v>198</v>
      </c>
      <c r="L241" s="9">
        <v>43780</v>
      </c>
      <c r="M241" s="18">
        <v>0.26944444444444443</v>
      </c>
      <c r="N241" s="6">
        <v>7</v>
      </c>
      <c r="O241" s="6" t="s">
        <v>4259</v>
      </c>
      <c r="V241" s="8">
        <v>-17.152877900695799</v>
      </c>
      <c r="W241" s="8">
        <v>-125.74927062988282</v>
      </c>
      <c r="X241" s="8">
        <f t="shared" si="9"/>
        <v>11.473752575683577</v>
      </c>
      <c r="Y241" s="6" t="s">
        <v>3218</v>
      </c>
    </row>
    <row r="242" spans="1:25" ht="13.5" customHeight="1" x14ac:dyDescent="0.35">
      <c r="A242" s="6" t="s">
        <v>25</v>
      </c>
      <c r="B242" s="6" t="s">
        <v>2740</v>
      </c>
      <c r="D242" s="6" t="s">
        <v>3090</v>
      </c>
      <c r="E242" s="6">
        <v>1</v>
      </c>
      <c r="F242" s="6">
        <v>7</v>
      </c>
      <c r="G242" s="6" t="s">
        <v>3215</v>
      </c>
      <c r="I242" s="8">
        <v>85.878378999999995</v>
      </c>
      <c r="J242" s="8">
        <v>116.469979</v>
      </c>
      <c r="K242" s="6" t="s">
        <v>198</v>
      </c>
      <c r="L242" s="9">
        <v>43780</v>
      </c>
      <c r="M242" s="18">
        <v>0.26944444444444443</v>
      </c>
      <c r="N242" s="6">
        <v>7</v>
      </c>
      <c r="O242" s="6" t="s">
        <v>4259</v>
      </c>
      <c r="V242" s="8">
        <v>-10.24604326305389</v>
      </c>
      <c r="W242" s="8">
        <v>-73.691166992187519</v>
      </c>
      <c r="X242" s="8">
        <f t="shared" si="9"/>
        <v>8.2771791122436014</v>
      </c>
      <c r="Y242" s="6" t="s">
        <v>3218</v>
      </c>
    </row>
    <row r="243" spans="1:25" x14ac:dyDescent="0.35">
      <c r="A243" s="6" t="s">
        <v>25</v>
      </c>
      <c r="B243" s="7"/>
      <c r="C243" s="6">
        <v>510489</v>
      </c>
      <c r="D243" s="6" t="s">
        <v>380</v>
      </c>
      <c r="E243" s="6">
        <v>1</v>
      </c>
      <c r="F243" s="6">
        <v>7</v>
      </c>
      <c r="G243" s="6" t="s">
        <v>210</v>
      </c>
      <c r="H243" s="6">
        <v>10</v>
      </c>
      <c r="I243" s="8">
        <v>85.915187361111094</v>
      </c>
      <c r="J243" s="8">
        <v>116.660135</v>
      </c>
      <c r="K243" s="6" t="s">
        <v>29</v>
      </c>
      <c r="L243" s="9">
        <v>43780</v>
      </c>
      <c r="N243" s="6">
        <v>7</v>
      </c>
      <c r="O243" s="6" t="s">
        <v>4259</v>
      </c>
      <c r="Q243" s="6" t="s">
        <v>64</v>
      </c>
      <c r="R243" s="6">
        <v>0</v>
      </c>
      <c r="S243" s="6">
        <v>10</v>
      </c>
      <c r="T243" s="10">
        <f t="shared" ref="T243:T274" si="11">AVERAGE(R243:S243)</f>
        <v>5</v>
      </c>
      <c r="U243" s="6">
        <v>0</v>
      </c>
      <c r="V243" s="8">
        <v>-4.1303396472930904</v>
      </c>
      <c r="W243" s="8">
        <v>-31.478965110778809</v>
      </c>
      <c r="X243" s="8">
        <f t="shared" si="9"/>
        <v>1.5637520675659147</v>
      </c>
    </row>
    <row r="244" spans="1:25" x14ac:dyDescent="0.35">
      <c r="A244" s="6" t="s">
        <v>25</v>
      </c>
      <c r="B244" s="7"/>
      <c r="C244" s="6">
        <v>510490</v>
      </c>
      <c r="D244" s="6" t="s">
        <v>380</v>
      </c>
      <c r="E244" s="6">
        <v>1</v>
      </c>
      <c r="F244" s="6">
        <v>7</v>
      </c>
      <c r="G244" s="6" t="s">
        <v>210</v>
      </c>
      <c r="H244" s="6">
        <v>10</v>
      </c>
      <c r="I244" s="8">
        <v>85.915187361111094</v>
      </c>
      <c r="J244" s="8">
        <v>116.660135</v>
      </c>
      <c r="K244" s="6" t="s">
        <v>29</v>
      </c>
      <c r="L244" s="9">
        <v>43780</v>
      </c>
      <c r="N244" s="6">
        <v>7</v>
      </c>
      <c r="O244" s="6" t="s">
        <v>4259</v>
      </c>
      <c r="Q244" s="6" t="s">
        <v>109</v>
      </c>
      <c r="R244" s="6">
        <v>10</v>
      </c>
      <c r="S244" s="6">
        <v>20</v>
      </c>
      <c r="T244" s="10">
        <f t="shared" si="11"/>
        <v>15</v>
      </c>
      <c r="U244" s="6">
        <v>0.6</v>
      </c>
      <c r="V244" s="8">
        <v>-3.3139920587539673</v>
      </c>
      <c r="W244" s="8">
        <v>-25.366929779052732</v>
      </c>
      <c r="X244" s="8">
        <f t="shared" si="9"/>
        <v>1.145006690979006</v>
      </c>
    </row>
    <row r="245" spans="1:25" x14ac:dyDescent="0.35">
      <c r="A245" s="6" t="s">
        <v>25</v>
      </c>
      <c r="B245" s="7"/>
      <c r="C245" s="6">
        <v>510491</v>
      </c>
      <c r="D245" s="6" t="s">
        <v>380</v>
      </c>
      <c r="E245" s="6">
        <v>1</v>
      </c>
      <c r="F245" s="6">
        <v>7</v>
      </c>
      <c r="G245" s="6" t="s">
        <v>210</v>
      </c>
      <c r="H245" s="6">
        <v>10</v>
      </c>
      <c r="I245" s="8">
        <v>85.915187361111094</v>
      </c>
      <c r="J245" s="8">
        <v>116.660135</v>
      </c>
      <c r="K245" s="6" t="s">
        <v>29</v>
      </c>
      <c r="L245" s="9">
        <v>43780</v>
      </c>
      <c r="N245" s="6">
        <v>7</v>
      </c>
      <c r="O245" s="6" t="s">
        <v>4259</v>
      </c>
      <c r="Q245" s="6" t="s">
        <v>381</v>
      </c>
      <c r="R245" s="6">
        <v>20</v>
      </c>
      <c r="S245" s="6">
        <v>32.5</v>
      </c>
      <c r="T245" s="10">
        <f t="shared" si="11"/>
        <v>26.25</v>
      </c>
      <c r="U245" s="6">
        <v>1.4</v>
      </c>
      <c r="V245" s="8">
        <v>-3.4253467140197755</v>
      </c>
      <c r="W245" s="8">
        <v>-26.034110050201416</v>
      </c>
      <c r="X245" s="8">
        <f t="shared" si="9"/>
        <v>1.3686636619567878</v>
      </c>
    </row>
    <row r="246" spans="1:25" x14ac:dyDescent="0.35">
      <c r="A246" s="6" t="s">
        <v>25</v>
      </c>
      <c r="B246" s="7"/>
      <c r="C246" s="6">
        <v>510492</v>
      </c>
      <c r="D246" s="6" t="s">
        <v>380</v>
      </c>
      <c r="E246" s="6">
        <v>1</v>
      </c>
      <c r="F246" s="6">
        <v>7</v>
      </c>
      <c r="G246" s="6" t="s">
        <v>210</v>
      </c>
      <c r="H246" s="6">
        <v>10</v>
      </c>
      <c r="I246" s="8">
        <v>85.915187361111094</v>
      </c>
      <c r="J246" s="8">
        <v>116.660135</v>
      </c>
      <c r="K246" s="6" t="s">
        <v>29</v>
      </c>
      <c r="L246" s="9">
        <v>43780</v>
      </c>
      <c r="N246" s="6">
        <v>7</v>
      </c>
      <c r="O246" s="6" t="s">
        <v>4259</v>
      </c>
      <c r="Q246" s="6" t="s">
        <v>382</v>
      </c>
      <c r="R246" s="6">
        <v>32.5</v>
      </c>
      <c r="S246" s="6">
        <v>45.5</v>
      </c>
      <c r="T246" s="10">
        <f t="shared" si="11"/>
        <v>39</v>
      </c>
      <c r="U246" s="6">
        <v>2.1</v>
      </c>
      <c r="V246" s="8">
        <v>-3.1219416046142578</v>
      </c>
      <c r="W246" s="8">
        <v>-23.755642051696778</v>
      </c>
      <c r="X246" s="8">
        <f t="shared" si="9"/>
        <v>1.2198907852172844</v>
      </c>
    </row>
    <row r="247" spans="1:25" x14ac:dyDescent="0.35">
      <c r="A247" s="6" t="s">
        <v>25</v>
      </c>
      <c r="B247" s="7"/>
      <c r="C247" s="6">
        <v>510493</v>
      </c>
      <c r="D247" s="6" t="s">
        <v>380</v>
      </c>
      <c r="E247" s="6">
        <v>1</v>
      </c>
      <c r="F247" s="6">
        <v>7</v>
      </c>
      <c r="G247" s="6" t="s">
        <v>210</v>
      </c>
      <c r="H247" s="6">
        <v>10</v>
      </c>
      <c r="I247" s="8">
        <v>85.915187361111094</v>
      </c>
      <c r="J247" s="8">
        <v>116.660135</v>
      </c>
      <c r="K247" s="6" t="s">
        <v>29</v>
      </c>
      <c r="L247" s="9">
        <v>43780</v>
      </c>
      <c r="N247" s="6">
        <v>7</v>
      </c>
      <c r="O247" s="6" t="s">
        <v>4259</v>
      </c>
      <c r="Q247" s="6" t="s">
        <v>383</v>
      </c>
      <c r="R247" s="6">
        <v>45.5</v>
      </c>
      <c r="S247" s="6">
        <v>55.5</v>
      </c>
      <c r="T247" s="10">
        <f t="shared" si="11"/>
        <v>50.5</v>
      </c>
      <c r="U247" s="6">
        <v>1.3</v>
      </c>
      <c r="V247" s="8">
        <v>-2.9770132112503052</v>
      </c>
      <c r="W247" s="8">
        <v>-22.603611640930179</v>
      </c>
      <c r="X247" s="8">
        <f t="shared" si="9"/>
        <v>1.2124940490722622</v>
      </c>
    </row>
    <row r="248" spans="1:25" x14ac:dyDescent="0.35">
      <c r="A248" s="6" t="s">
        <v>25</v>
      </c>
      <c r="B248" s="7"/>
      <c r="C248" s="6">
        <v>510494</v>
      </c>
      <c r="D248" s="6" t="s">
        <v>380</v>
      </c>
      <c r="E248" s="6">
        <v>1</v>
      </c>
      <c r="F248" s="6">
        <v>7</v>
      </c>
      <c r="G248" s="6" t="s">
        <v>210</v>
      </c>
      <c r="H248" s="6">
        <v>10</v>
      </c>
      <c r="I248" s="8">
        <v>85.915187361111094</v>
      </c>
      <c r="J248" s="8">
        <v>116.660135</v>
      </c>
      <c r="K248" s="6" t="s">
        <v>29</v>
      </c>
      <c r="L248" s="9">
        <v>43780</v>
      </c>
      <c r="N248" s="6">
        <v>7</v>
      </c>
      <c r="O248" s="6" t="s">
        <v>4259</v>
      </c>
      <c r="Q248" s="6" t="s">
        <v>384</v>
      </c>
      <c r="R248" s="6">
        <v>55.5</v>
      </c>
      <c r="S248" s="6">
        <v>65.5</v>
      </c>
      <c r="T248" s="10">
        <f t="shared" si="11"/>
        <v>60.5</v>
      </c>
      <c r="U248" s="6">
        <v>1.9</v>
      </c>
      <c r="V248" s="8">
        <v>-4.2042965235710152</v>
      </c>
      <c r="W248" s="8">
        <v>-32.152200041198732</v>
      </c>
      <c r="X248" s="8">
        <f t="shared" si="9"/>
        <v>1.4821721473693898</v>
      </c>
    </row>
    <row r="249" spans="1:25" x14ac:dyDescent="0.35">
      <c r="A249" s="6" t="s">
        <v>25</v>
      </c>
      <c r="B249" s="7"/>
      <c r="C249" s="6">
        <v>510495</v>
      </c>
      <c r="D249" s="6" t="s">
        <v>380</v>
      </c>
      <c r="E249" s="6">
        <v>1</v>
      </c>
      <c r="F249" s="6">
        <v>7</v>
      </c>
      <c r="G249" s="6" t="s">
        <v>210</v>
      </c>
      <c r="H249" s="6">
        <v>10</v>
      </c>
      <c r="I249" s="8">
        <v>85.915187361111094</v>
      </c>
      <c r="J249" s="8">
        <v>116.660135</v>
      </c>
      <c r="K249" s="6" t="s">
        <v>29</v>
      </c>
      <c r="L249" s="9">
        <v>43780</v>
      </c>
      <c r="N249" s="6">
        <v>7</v>
      </c>
      <c r="O249" s="6" t="s">
        <v>4259</v>
      </c>
      <c r="Q249" s="6" t="s">
        <v>385</v>
      </c>
      <c r="R249" s="6">
        <v>65.5</v>
      </c>
      <c r="S249" s="6">
        <v>74.5</v>
      </c>
      <c r="T249" s="10">
        <f t="shared" si="11"/>
        <v>70</v>
      </c>
      <c r="U249" s="6">
        <v>4.7</v>
      </c>
      <c r="V249" s="8">
        <v>-0.83882532777786245</v>
      </c>
      <c r="W249" s="8">
        <v>-5.0943775018930433</v>
      </c>
      <c r="X249" s="8">
        <f t="shared" si="9"/>
        <v>1.6162251203298563</v>
      </c>
    </row>
    <row r="250" spans="1:25" x14ac:dyDescent="0.35">
      <c r="A250" s="6" t="s">
        <v>25</v>
      </c>
      <c r="B250" s="7"/>
      <c r="C250" s="6">
        <v>510496</v>
      </c>
      <c r="D250" s="6" t="s">
        <v>380</v>
      </c>
      <c r="E250" s="6">
        <v>1</v>
      </c>
      <c r="F250" s="6">
        <v>7</v>
      </c>
      <c r="G250" s="6" t="s">
        <v>210</v>
      </c>
      <c r="H250" s="6">
        <v>10</v>
      </c>
      <c r="I250" s="8">
        <v>85.915187361111094</v>
      </c>
      <c r="J250" s="8">
        <v>116.660135</v>
      </c>
      <c r="K250" s="6" t="s">
        <v>29</v>
      </c>
      <c r="L250" s="9">
        <v>43780</v>
      </c>
      <c r="N250" s="6">
        <v>7</v>
      </c>
      <c r="O250" s="6" t="s">
        <v>4259</v>
      </c>
      <c r="Q250" s="6" t="s">
        <v>386</v>
      </c>
      <c r="R250" s="6">
        <v>74.5</v>
      </c>
      <c r="S250" s="6">
        <v>83.5</v>
      </c>
      <c r="T250" s="10">
        <f t="shared" si="11"/>
        <v>79</v>
      </c>
      <c r="U250" s="6">
        <v>6.6</v>
      </c>
      <c r="V250" s="8">
        <v>0.74339151892662092</v>
      </c>
      <c r="W250" s="8">
        <v>6.7826061441421501</v>
      </c>
      <c r="X250" s="8">
        <f t="shared" si="9"/>
        <v>0.83547399272918277</v>
      </c>
    </row>
    <row r="251" spans="1:25" x14ac:dyDescent="0.35">
      <c r="A251" s="6" t="s">
        <v>25</v>
      </c>
      <c r="B251" s="7"/>
      <c r="C251" s="6">
        <v>510509</v>
      </c>
      <c r="D251" s="6" t="s">
        <v>377</v>
      </c>
      <c r="E251" s="6">
        <v>1</v>
      </c>
      <c r="F251" s="6">
        <v>7</v>
      </c>
      <c r="G251" s="6" t="s">
        <v>202</v>
      </c>
      <c r="H251" s="6">
        <v>9</v>
      </c>
      <c r="I251" s="8">
        <v>85.915187361111094</v>
      </c>
      <c r="J251" s="8">
        <v>116.660135</v>
      </c>
      <c r="K251" s="6" t="s">
        <v>29</v>
      </c>
      <c r="L251" s="9">
        <v>43780</v>
      </c>
      <c r="N251" s="6">
        <v>7</v>
      </c>
      <c r="O251" s="6" t="s">
        <v>4259</v>
      </c>
      <c r="Q251" s="6" t="s">
        <v>64</v>
      </c>
      <c r="R251" s="6">
        <v>0</v>
      </c>
      <c r="S251" s="6">
        <v>10</v>
      </c>
      <c r="T251" s="10">
        <f t="shared" si="11"/>
        <v>5</v>
      </c>
      <c r="U251" s="6">
        <v>7.5</v>
      </c>
      <c r="V251" s="8">
        <v>-4.0145954532623298</v>
      </c>
      <c r="W251" s="8">
        <v>-32.282085399627682</v>
      </c>
      <c r="X251" s="8">
        <f t="shared" si="9"/>
        <v>-0.16532177352904398</v>
      </c>
    </row>
    <row r="252" spans="1:25" x14ac:dyDescent="0.35">
      <c r="A252" s="6" t="s">
        <v>25</v>
      </c>
      <c r="B252" s="7"/>
      <c r="C252" s="6">
        <v>510510</v>
      </c>
      <c r="D252" s="6" t="s">
        <v>377</v>
      </c>
      <c r="E252" s="6">
        <v>1</v>
      </c>
      <c r="F252" s="6">
        <v>7</v>
      </c>
      <c r="G252" s="6" t="s">
        <v>202</v>
      </c>
      <c r="H252" s="6">
        <v>9</v>
      </c>
      <c r="I252" s="8">
        <v>85.915187361111094</v>
      </c>
      <c r="J252" s="8">
        <v>116.660135</v>
      </c>
      <c r="K252" s="6" t="s">
        <v>29</v>
      </c>
      <c r="L252" s="9">
        <v>43780</v>
      </c>
      <c r="N252" s="6">
        <v>7</v>
      </c>
      <c r="O252" s="6" t="s">
        <v>4259</v>
      </c>
      <c r="Q252" s="6" t="s">
        <v>109</v>
      </c>
      <c r="R252" s="6">
        <v>10</v>
      </c>
      <c r="S252" s="6">
        <v>20</v>
      </c>
      <c r="T252" s="10">
        <f t="shared" si="11"/>
        <v>15</v>
      </c>
      <c r="U252" s="6">
        <v>5.4</v>
      </c>
      <c r="V252" s="8">
        <v>-1.3527526688575746</v>
      </c>
      <c r="W252" s="8">
        <v>-10.334767413139343</v>
      </c>
      <c r="X252" s="8">
        <f t="shared" si="9"/>
        <v>0.48725393772125436</v>
      </c>
    </row>
    <row r="253" spans="1:25" x14ac:dyDescent="0.35">
      <c r="A253" s="6" t="s">
        <v>25</v>
      </c>
      <c r="B253" s="7"/>
      <c r="C253" s="6">
        <v>510511</v>
      </c>
      <c r="D253" s="6" t="s">
        <v>377</v>
      </c>
      <c r="E253" s="6">
        <v>1</v>
      </c>
      <c r="F253" s="6">
        <v>7</v>
      </c>
      <c r="G253" s="6" t="s">
        <v>202</v>
      </c>
      <c r="H253" s="6">
        <v>9</v>
      </c>
      <c r="I253" s="8">
        <v>85.915187361111094</v>
      </c>
      <c r="J253" s="8">
        <v>116.660135</v>
      </c>
      <c r="K253" s="6" t="s">
        <v>29</v>
      </c>
      <c r="L253" s="9">
        <v>43780</v>
      </c>
      <c r="N253" s="6">
        <v>7</v>
      </c>
      <c r="O253" s="6" t="s">
        <v>4259</v>
      </c>
      <c r="Q253" s="6" t="s">
        <v>215</v>
      </c>
      <c r="R253" s="6">
        <v>20</v>
      </c>
      <c r="S253" s="6">
        <v>30</v>
      </c>
      <c r="T253" s="10">
        <f t="shared" si="11"/>
        <v>25</v>
      </c>
      <c r="U253" s="6">
        <v>5.3</v>
      </c>
      <c r="V253" s="8">
        <v>0.62388703250884991</v>
      </c>
      <c r="W253" s="8">
        <v>5.5862853336334224</v>
      </c>
      <c r="X253" s="8">
        <f t="shared" si="9"/>
        <v>0.59518907356262307</v>
      </c>
    </row>
    <row r="254" spans="1:25" x14ac:dyDescent="0.35">
      <c r="A254" s="6" t="s">
        <v>25</v>
      </c>
      <c r="B254" s="7"/>
      <c r="C254" s="6">
        <v>510512</v>
      </c>
      <c r="D254" s="6" t="s">
        <v>377</v>
      </c>
      <c r="E254" s="6">
        <v>1</v>
      </c>
      <c r="F254" s="6">
        <v>7</v>
      </c>
      <c r="G254" s="6" t="s">
        <v>202</v>
      </c>
      <c r="H254" s="6">
        <v>9</v>
      </c>
      <c r="I254" s="8">
        <v>85.915187361111094</v>
      </c>
      <c r="J254" s="8">
        <v>116.660135</v>
      </c>
      <c r="K254" s="6" t="s">
        <v>29</v>
      </c>
      <c r="L254" s="9">
        <v>43780</v>
      </c>
      <c r="N254" s="6">
        <v>7</v>
      </c>
      <c r="O254" s="6" t="s">
        <v>4259</v>
      </c>
      <c r="Q254" s="6" t="s">
        <v>378</v>
      </c>
      <c r="R254" s="6">
        <v>30</v>
      </c>
      <c r="S254" s="6">
        <v>39</v>
      </c>
      <c r="T254" s="10">
        <f t="shared" si="11"/>
        <v>34.5</v>
      </c>
      <c r="U254" s="6">
        <v>5.6</v>
      </c>
      <c r="V254" s="8">
        <v>0.72356797242164617</v>
      </c>
      <c r="W254" s="8">
        <v>7.6969411563873287</v>
      </c>
      <c r="X254" s="8">
        <f t="shared" si="9"/>
        <v>1.9083973770141593</v>
      </c>
    </row>
    <row r="255" spans="1:25" x14ac:dyDescent="0.35">
      <c r="A255" s="6" t="s">
        <v>25</v>
      </c>
      <c r="B255" s="7"/>
      <c r="C255" s="6">
        <v>510513</v>
      </c>
      <c r="D255" s="6" t="s">
        <v>377</v>
      </c>
      <c r="E255" s="6">
        <v>1</v>
      </c>
      <c r="F255" s="6">
        <v>7</v>
      </c>
      <c r="G255" s="6" t="s">
        <v>202</v>
      </c>
      <c r="H255" s="6">
        <v>9</v>
      </c>
      <c r="I255" s="8">
        <v>85.915187361111094</v>
      </c>
      <c r="J255" s="8">
        <v>116.660135</v>
      </c>
      <c r="K255" s="6" t="s">
        <v>29</v>
      </c>
      <c r="L255" s="9">
        <v>43780</v>
      </c>
      <c r="N255" s="6">
        <v>7</v>
      </c>
      <c r="O255" s="6" t="s">
        <v>4259</v>
      </c>
      <c r="Q255" s="6" t="s">
        <v>379</v>
      </c>
      <c r="R255" s="6">
        <v>39</v>
      </c>
      <c r="S255" s="6">
        <v>47</v>
      </c>
      <c r="T255" s="10">
        <f t="shared" si="11"/>
        <v>43</v>
      </c>
      <c r="U255" s="6">
        <v>6.9</v>
      </c>
      <c r="V255" s="8">
        <v>0.71591637825965937</v>
      </c>
      <c r="W255" s="8">
        <v>6.6381229782104487</v>
      </c>
      <c r="X255" s="8">
        <f t="shared" si="9"/>
        <v>0.91079195213317377</v>
      </c>
    </row>
    <row r="256" spans="1:25" x14ac:dyDescent="0.35">
      <c r="A256" s="6" t="s">
        <v>25</v>
      </c>
      <c r="B256" s="7"/>
      <c r="C256" s="6">
        <v>510591</v>
      </c>
      <c r="D256" s="6" t="s">
        <v>402</v>
      </c>
      <c r="E256" s="6">
        <v>1</v>
      </c>
      <c r="F256" s="6">
        <v>7</v>
      </c>
      <c r="G256" s="6" t="s">
        <v>239</v>
      </c>
      <c r="H256" s="6">
        <v>9</v>
      </c>
      <c r="I256" s="8">
        <v>85.915187361111094</v>
      </c>
      <c r="J256" s="8">
        <v>116.660135</v>
      </c>
      <c r="K256" s="6" t="s">
        <v>198</v>
      </c>
      <c r="L256" s="9">
        <v>43780</v>
      </c>
      <c r="N256" s="6">
        <v>7</v>
      </c>
      <c r="O256" s="6" t="s">
        <v>4259</v>
      </c>
      <c r="Q256" s="6" t="s">
        <v>203</v>
      </c>
      <c r="R256" s="6">
        <v>0</v>
      </c>
      <c r="S256" s="6">
        <v>5</v>
      </c>
      <c r="T256" s="10">
        <f t="shared" si="11"/>
        <v>2.5</v>
      </c>
      <c r="U256" s="6">
        <v>10</v>
      </c>
      <c r="V256" s="8">
        <v>-9.2144179725646982</v>
      </c>
      <c r="W256" s="8">
        <v>-73.055423437499982</v>
      </c>
      <c r="X256" s="8">
        <f t="shared" si="9"/>
        <v>0.65992034301760327</v>
      </c>
    </row>
    <row r="257" spans="1:25" x14ac:dyDescent="0.35">
      <c r="A257" s="6" t="s">
        <v>25</v>
      </c>
      <c r="B257" s="7"/>
      <c r="C257" s="6">
        <v>510592</v>
      </c>
      <c r="D257" s="6" t="s">
        <v>402</v>
      </c>
      <c r="E257" s="6">
        <v>1</v>
      </c>
      <c r="F257" s="6">
        <v>7</v>
      </c>
      <c r="G257" s="6" t="s">
        <v>239</v>
      </c>
      <c r="H257" s="6">
        <v>9</v>
      </c>
      <c r="I257" s="8">
        <v>85.915187361111094</v>
      </c>
      <c r="J257" s="8">
        <v>116.660135</v>
      </c>
      <c r="K257" s="6" t="s">
        <v>198</v>
      </c>
      <c r="L257" s="9">
        <v>43780</v>
      </c>
      <c r="N257" s="6">
        <v>7</v>
      </c>
      <c r="O257" s="6" t="s">
        <v>4259</v>
      </c>
      <c r="Q257" s="6" t="s">
        <v>403</v>
      </c>
      <c r="R257" s="6">
        <v>5</v>
      </c>
      <c r="S257" s="6">
        <v>10</v>
      </c>
      <c r="T257" s="10">
        <f t="shared" si="11"/>
        <v>7.5</v>
      </c>
      <c r="U257" s="6">
        <v>0</v>
      </c>
      <c r="V257" s="8">
        <v>-15.076133572136257</v>
      </c>
      <c r="W257" s="8">
        <v>-109.72050272291875</v>
      </c>
      <c r="X257" s="8">
        <f t="shared" si="9"/>
        <v>10.888565854171304</v>
      </c>
    </row>
    <row r="258" spans="1:25" x14ac:dyDescent="0.35">
      <c r="A258" s="6" t="s">
        <v>25</v>
      </c>
      <c r="B258" s="7"/>
      <c r="C258" s="6">
        <v>510593</v>
      </c>
      <c r="D258" s="6" t="s">
        <v>402</v>
      </c>
      <c r="E258" s="6">
        <v>1</v>
      </c>
      <c r="F258" s="6">
        <v>7</v>
      </c>
      <c r="G258" s="6" t="s">
        <v>239</v>
      </c>
      <c r="H258" s="6">
        <v>9</v>
      </c>
      <c r="I258" s="8">
        <v>85.915187361111094</v>
      </c>
      <c r="J258" s="8">
        <v>116.660135</v>
      </c>
      <c r="K258" s="6" t="s">
        <v>198</v>
      </c>
      <c r="L258" s="9">
        <v>43780</v>
      </c>
      <c r="N258" s="6">
        <v>7</v>
      </c>
      <c r="O258" s="6" t="s">
        <v>4259</v>
      </c>
      <c r="Q258" s="6" t="s">
        <v>404</v>
      </c>
      <c r="R258" s="6">
        <v>10</v>
      </c>
      <c r="S258" s="6">
        <v>13</v>
      </c>
      <c r="T258" s="10">
        <f t="shared" si="11"/>
        <v>11.5</v>
      </c>
      <c r="U258" s="6">
        <v>0</v>
      </c>
      <c r="V258" s="8">
        <v>-20.164060614988717</v>
      </c>
      <c r="W258" s="8">
        <v>-148.72317942313225</v>
      </c>
      <c r="X258" s="8">
        <f t="shared" ref="X258:X321" si="12">W258-(8*V258)</f>
        <v>12.589305496777484</v>
      </c>
      <c r="Y258" s="6" t="s">
        <v>405</v>
      </c>
    </row>
    <row r="259" spans="1:25" x14ac:dyDescent="0.35">
      <c r="A259" s="6" t="s">
        <v>25</v>
      </c>
      <c r="B259" s="7"/>
      <c r="C259" s="6">
        <v>510594</v>
      </c>
      <c r="D259" s="6" t="s">
        <v>406</v>
      </c>
      <c r="E259" s="6">
        <v>1</v>
      </c>
      <c r="F259" s="6">
        <v>7</v>
      </c>
      <c r="G259" s="6" t="s">
        <v>241</v>
      </c>
      <c r="H259" s="6">
        <v>10</v>
      </c>
      <c r="I259" s="8">
        <v>85.915187361111094</v>
      </c>
      <c r="J259" s="8">
        <v>116.660135</v>
      </c>
      <c r="K259" s="6" t="s">
        <v>198</v>
      </c>
      <c r="L259" s="9">
        <v>43780</v>
      </c>
      <c r="N259" s="6">
        <v>7</v>
      </c>
      <c r="O259" s="6" t="s">
        <v>4259</v>
      </c>
      <c r="Q259" s="6" t="s">
        <v>336</v>
      </c>
      <c r="R259" s="6">
        <v>0</v>
      </c>
      <c r="S259" s="6">
        <v>4</v>
      </c>
      <c r="T259" s="10">
        <f t="shared" si="11"/>
        <v>2</v>
      </c>
      <c r="U259" s="6">
        <v>0</v>
      </c>
      <c r="V259" s="8">
        <v>-20.731297422760186</v>
      </c>
      <c r="W259" s="8">
        <v>-147.95225033315407</v>
      </c>
      <c r="X259" s="8">
        <f t="shared" si="12"/>
        <v>17.898129048927416</v>
      </c>
      <c r="Y259" s="6" t="s">
        <v>405</v>
      </c>
    </row>
    <row r="260" spans="1:25" x14ac:dyDescent="0.35">
      <c r="A260" s="6" t="s">
        <v>25</v>
      </c>
      <c r="B260" s="7"/>
      <c r="C260" s="6">
        <v>510595</v>
      </c>
      <c r="D260" s="6" t="s">
        <v>406</v>
      </c>
      <c r="E260" s="6">
        <v>1</v>
      </c>
      <c r="F260" s="6">
        <v>7</v>
      </c>
      <c r="G260" s="6" t="s">
        <v>241</v>
      </c>
      <c r="H260" s="6">
        <v>10</v>
      </c>
      <c r="I260" s="8">
        <v>85.915187361111094</v>
      </c>
      <c r="J260" s="8">
        <v>116.660135</v>
      </c>
      <c r="K260" s="6" t="s">
        <v>198</v>
      </c>
      <c r="L260" s="9">
        <v>43780</v>
      </c>
      <c r="N260" s="6">
        <v>7</v>
      </c>
      <c r="O260" s="6" t="s">
        <v>4259</v>
      </c>
      <c r="Q260" s="6" t="s">
        <v>407</v>
      </c>
      <c r="R260" s="6">
        <v>8</v>
      </c>
      <c r="S260" s="6">
        <v>12</v>
      </c>
      <c r="T260" s="10">
        <f t="shared" si="11"/>
        <v>10</v>
      </c>
      <c r="U260" s="6">
        <v>0</v>
      </c>
      <c r="V260" s="8">
        <v>-6.1032513710614085</v>
      </c>
      <c r="W260" s="8">
        <v>-52.679360046411404</v>
      </c>
      <c r="X260" s="8">
        <f t="shared" si="12"/>
        <v>-3.8533490779201358</v>
      </c>
      <c r="Y260" s="6" t="s">
        <v>405</v>
      </c>
    </row>
    <row r="261" spans="1:25" x14ac:dyDescent="0.35">
      <c r="A261" s="6" t="s">
        <v>25</v>
      </c>
      <c r="B261" s="7"/>
      <c r="C261" s="6">
        <v>510595</v>
      </c>
      <c r="D261" s="6" t="s">
        <v>406</v>
      </c>
      <c r="E261" s="6">
        <v>1</v>
      </c>
      <c r="F261" s="6">
        <v>7</v>
      </c>
      <c r="G261" s="6" t="s">
        <v>241</v>
      </c>
      <c r="H261" s="6">
        <v>10</v>
      </c>
      <c r="I261" s="8">
        <v>85.915187361111094</v>
      </c>
      <c r="J261" s="8">
        <v>116.660135</v>
      </c>
      <c r="K261" s="6" t="s">
        <v>198</v>
      </c>
      <c r="L261" s="9">
        <v>43780</v>
      </c>
      <c r="N261" s="6">
        <v>7</v>
      </c>
      <c r="O261" s="6" t="s">
        <v>4259</v>
      </c>
      <c r="Q261" s="6" t="s">
        <v>408</v>
      </c>
      <c r="R261" s="6">
        <v>4</v>
      </c>
      <c r="S261" s="6">
        <v>8</v>
      </c>
      <c r="T261" s="10">
        <f t="shared" si="11"/>
        <v>6</v>
      </c>
      <c r="U261" s="6">
        <v>0</v>
      </c>
      <c r="V261" s="8">
        <v>-9.7150676367509732</v>
      </c>
      <c r="W261" s="8">
        <v>-73.977313458717958</v>
      </c>
      <c r="X261" s="8">
        <f t="shared" si="12"/>
        <v>3.743227635289827</v>
      </c>
    </row>
    <row r="262" spans="1:25" x14ac:dyDescent="0.35">
      <c r="A262" s="6" t="s">
        <v>25</v>
      </c>
      <c r="B262" s="7" t="s">
        <v>418</v>
      </c>
      <c r="D262" s="6" t="s">
        <v>419</v>
      </c>
      <c r="E262" s="6">
        <v>1</v>
      </c>
      <c r="F262" s="6">
        <v>7</v>
      </c>
      <c r="I262" s="8">
        <v>86.116053611111099</v>
      </c>
      <c r="J262" s="8">
        <v>117.978438125</v>
      </c>
      <c r="K262" s="7" t="s">
        <v>2610</v>
      </c>
      <c r="L262" s="9">
        <v>43782</v>
      </c>
      <c r="N262" s="6">
        <v>7</v>
      </c>
      <c r="O262" s="6" t="s">
        <v>4254</v>
      </c>
      <c r="Q262" s="10">
        <v>200</v>
      </c>
      <c r="R262" s="10"/>
      <c r="S262" s="10">
        <v>200</v>
      </c>
      <c r="T262" s="10">
        <f t="shared" si="11"/>
        <v>200</v>
      </c>
      <c r="V262" s="8">
        <v>-1.3706381034851081</v>
      </c>
      <c r="W262" s="8">
        <v>-9.7833806571960444</v>
      </c>
      <c r="X262" s="8">
        <f t="shared" si="12"/>
        <v>1.1817241706848201</v>
      </c>
    </row>
    <row r="263" spans="1:25" x14ac:dyDescent="0.35">
      <c r="A263" s="6" t="s">
        <v>25</v>
      </c>
      <c r="B263" s="7"/>
      <c r="C263" s="6">
        <v>510531</v>
      </c>
      <c r="D263" s="6" t="s">
        <v>409</v>
      </c>
      <c r="E263" s="6">
        <v>1</v>
      </c>
      <c r="F263" s="6">
        <v>7</v>
      </c>
      <c r="G263" s="6" t="s">
        <v>345</v>
      </c>
      <c r="H263" s="6">
        <v>10</v>
      </c>
      <c r="I263" s="8">
        <v>86.116053611111099</v>
      </c>
      <c r="J263" s="8">
        <v>117.978438125</v>
      </c>
      <c r="K263" s="6" t="s">
        <v>29</v>
      </c>
      <c r="L263" s="9">
        <v>43782</v>
      </c>
      <c r="N263" s="6">
        <v>7</v>
      </c>
      <c r="O263" s="6" t="s">
        <v>4254</v>
      </c>
      <c r="Q263" s="6" t="s">
        <v>410</v>
      </c>
      <c r="R263" s="6">
        <v>0</v>
      </c>
      <c r="S263" s="6">
        <v>15</v>
      </c>
      <c r="T263" s="10">
        <f t="shared" si="11"/>
        <v>7.5</v>
      </c>
      <c r="U263" s="6">
        <v>2.7</v>
      </c>
      <c r="V263" s="8">
        <v>-3.9272911485672006</v>
      </c>
      <c r="W263" s="8">
        <v>-30.441711792755125</v>
      </c>
      <c r="X263" s="8">
        <f t="shared" si="12"/>
        <v>0.97661739578247975</v>
      </c>
    </row>
    <row r="264" spans="1:25" x14ac:dyDescent="0.35">
      <c r="A264" s="6" t="s">
        <v>25</v>
      </c>
      <c r="B264" s="7"/>
      <c r="C264" s="6">
        <v>510532</v>
      </c>
      <c r="D264" s="6" t="s">
        <v>409</v>
      </c>
      <c r="E264" s="6">
        <v>1</v>
      </c>
      <c r="F264" s="6">
        <v>7</v>
      </c>
      <c r="G264" s="6" t="s">
        <v>345</v>
      </c>
      <c r="H264" s="6">
        <v>10</v>
      </c>
      <c r="I264" s="8">
        <v>86.116053611111099</v>
      </c>
      <c r="J264" s="8">
        <v>117.978438125</v>
      </c>
      <c r="K264" s="6" t="s">
        <v>29</v>
      </c>
      <c r="L264" s="9">
        <v>43782</v>
      </c>
      <c r="N264" s="6">
        <v>7</v>
      </c>
      <c r="O264" s="6" t="s">
        <v>4254</v>
      </c>
      <c r="Q264" s="6" t="s">
        <v>411</v>
      </c>
      <c r="R264" s="6">
        <v>15</v>
      </c>
      <c r="S264" s="6">
        <v>30</v>
      </c>
      <c r="T264" s="10">
        <f t="shared" si="11"/>
        <v>22.5</v>
      </c>
      <c r="U264" s="6">
        <v>1.8</v>
      </c>
      <c r="V264" s="8">
        <v>-2.742843749427796</v>
      </c>
      <c r="W264" s="8">
        <v>-20.65143934421539</v>
      </c>
      <c r="X264" s="8">
        <f t="shared" si="12"/>
        <v>1.2913106512069774</v>
      </c>
    </row>
    <row r="265" spans="1:25" x14ac:dyDescent="0.35">
      <c r="A265" s="6" t="s">
        <v>25</v>
      </c>
      <c r="B265" s="7"/>
      <c r="C265" s="6">
        <v>510533</v>
      </c>
      <c r="D265" s="6" t="s">
        <v>409</v>
      </c>
      <c r="E265" s="6">
        <v>1</v>
      </c>
      <c r="F265" s="6">
        <v>7</v>
      </c>
      <c r="G265" s="6" t="s">
        <v>345</v>
      </c>
      <c r="H265" s="6">
        <v>10</v>
      </c>
      <c r="I265" s="8">
        <v>86.116053611111099</v>
      </c>
      <c r="J265" s="8">
        <v>117.978438125</v>
      </c>
      <c r="K265" s="6" t="s">
        <v>29</v>
      </c>
      <c r="L265" s="9">
        <v>43782</v>
      </c>
      <c r="N265" s="6">
        <v>7</v>
      </c>
      <c r="O265" s="6" t="s">
        <v>4254</v>
      </c>
      <c r="Q265" s="6" t="s">
        <v>216</v>
      </c>
      <c r="R265" s="6">
        <v>30</v>
      </c>
      <c r="S265" s="6">
        <v>45</v>
      </c>
      <c r="T265" s="10">
        <f t="shared" si="11"/>
        <v>37.5</v>
      </c>
      <c r="U265" s="6">
        <v>4.7</v>
      </c>
      <c r="V265" s="8">
        <v>-6.1067047798633679E-2</v>
      </c>
      <c r="W265" s="8">
        <v>1.1539277083396917</v>
      </c>
      <c r="X265" s="8">
        <f t="shared" si="12"/>
        <v>1.6424640907287611</v>
      </c>
    </row>
    <row r="266" spans="1:25" x14ac:dyDescent="0.35">
      <c r="A266" s="6" t="s">
        <v>25</v>
      </c>
      <c r="B266" s="7"/>
      <c r="C266" s="6">
        <v>510534</v>
      </c>
      <c r="D266" s="6" t="s">
        <v>409</v>
      </c>
      <c r="E266" s="6">
        <v>1</v>
      </c>
      <c r="F266" s="6">
        <v>7</v>
      </c>
      <c r="G266" s="6" t="s">
        <v>345</v>
      </c>
      <c r="H266" s="6">
        <v>10</v>
      </c>
      <c r="I266" s="8">
        <v>86.116053611111099</v>
      </c>
      <c r="J266" s="8">
        <v>117.978438125</v>
      </c>
      <c r="K266" s="6" t="s">
        <v>29</v>
      </c>
      <c r="L266" s="9">
        <v>43782</v>
      </c>
      <c r="N266" s="6">
        <v>7</v>
      </c>
      <c r="O266" s="6" t="s">
        <v>4254</v>
      </c>
      <c r="Q266" s="6" t="s">
        <v>412</v>
      </c>
      <c r="R266" s="6">
        <v>45</v>
      </c>
      <c r="S266" s="6">
        <v>59.5</v>
      </c>
      <c r="T266" s="10">
        <f t="shared" si="11"/>
        <v>52.25</v>
      </c>
      <c r="U266" s="6">
        <v>5.3</v>
      </c>
      <c r="V266" s="8">
        <v>0.25954267594814323</v>
      </c>
      <c r="W266" s="8">
        <v>1.9250031263351446</v>
      </c>
      <c r="X266" s="8">
        <f t="shared" si="12"/>
        <v>-0.15133828125000126</v>
      </c>
    </row>
    <row r="267" spans="1:25" x14ac:dyDescent="0.35">
      <c r="A267" s="6" t="s">
        <v>25</v>
      </c>
      <c r="B267" s="7"/>
      <c r="C267" s="6">
        <v>510535</v>
      </c>
      <c r="D267" s="6" t="s">
        <v>409</v>
      </c>
      <c r="E267" s="6">
        <v>1</v>
      </c>
      <c r="F267" s="6">
        <v>7</v>
      </c>
      <c r="G267" s="6" t="s">
        <v>345</v>
      </c>
      <c r="H267" s="6">
        <v>10</v>
      </c>
      <c r="I267" s="8">
        <v>86.116053611111099</v>
      </c>
      <c r="J267" s="8">
        <v>117.978438125</v>
      </c>
      <c r="K267" s="6" t="s">
        <v>29</v>
      </c>
      <c r="L267" s="9">
        <v>43782</v>
      </c>
      <c r="N267" s="6">
        <v>7</v>
      </c>
      <c r="O267" s="6" t="s">
        <v>4254</v>
      </c>
      <c r="Q267" s="6" t="s">
        <v>413</v>
      </c>
      <c r="R267" s="6">
        <v>59.5</v>
      </c>
      <c r="S267" s="6">
        <v>75</v>
      </c>
      <c r="T267" s="10">
        <f t="shared" si="11"/>
        <v>67.25</v>
      </c>
      <c r="U267" s="6">
        <v>5.5</v>
      </c>
      <c r="V267" s="8">
        <v>-0.69739645471572898</v>
      </c>
      <c r="W267" s="8">
        <v>-5.7964950211822988</v>
      </c>
      <c r="X267" s="8">
        <f t="shared" si="12"/>
        <v>-0.21732338345646696</v>
      </c>
    </row>
    <row r="268" spans="1:25" x14ac:dyDescent="0.35">
      <c r="A268" s="6" t="s">
        <v>25</v>
      </c>
      <c r="B268" s="7"/>
      <c r="C268" s="6">
        <v>510536</v>
      </c>
      <c r="D268" s="6" t="s">
        <v>409</v>
      </c>
      <c r="E268" s="6">
        <v>1</v>
      </c>
      <c r="F268" s="6">
        <v>7</v>
      </c>
      <c r="G268" s="6" t="s">
        <v>345</v>
      </c>
      <c r="H268" s="6">
        <v>10</v>
      </c>
      <c r="I268" s="8">
        <v>86.116053611111099</v>
      </c>
      <c r="J268" s="8">
        <v>117.978438125</v>
      </c>
      <c r="K268" s="6" t="s">
        <v>29</v>
      </c>
      <c r="L268" s="9">
        <v>43782</v>
      </c>
      <c r="N268" s="6">
        <v>7</v>
      </c>
      <c r="O268" s="6" t="s">
        <v>4254</v>
      </c>
      <c r="Q268" s="6" t="s">
        <v>414</v>
      </c>
      <c r="R268" s="6">
        <v>75</v>
      </c>
      <c r="S268" s="6">
        <v>90</v>
      </c>
      <c r="T268" s="10">
        <f t="shared" si="11"/>
        <v>82.5</v>
      </c>
      <c r="U268" s="6">
        <v>4.7</v>
      </c>
      <c r="V268" s="8">
        <v>-0.87209107389450113</v>
      </c>
      <c r="W268" s="8">
        <v>-6.5918688539743426</v>
      </c>
      <c r="X268" s="8">
        <f t="shared" si="12"/>
        <v>0.38485973718166644</v>
      </c>
    </row>
    <row r="269" spans="1:25" x14ac:dyDescent="0.35">
      <c r="A269" s="6" t="s">
        <v>25</v>
      </c>
      <c r="B269" s="7"/>
      <c r="C269" s="6">
        <v>510537</v>
      </c>
      <c r="D269" s="6" t="s">
        <v>409</v>
      </c>
      <c r="E269" s="6">
        <v>1</v>
      </c>
      <c r="F269" s="6">
        <v>7</v>
      </c>
      <c r="G269" s="6" t="s">
        <v>345</v>
      </c>
      <c r="H269" s="6">
        <v>10</v>
      </c>
      <c r="I269" s="8">
        <v>86.116053611111099</v>
      </c>
      <c r="J269" s="8">
        <v>117.978438125</v>
      </c>
      <c r="K269" s="6" t="s">
        <v>29</v>
      </c>
      <c r="L269" s="9">
        <v>43782</v>
      </c>
      <c r="N269" s="6">
        <v>7</v>
      </c>
      <c r="O269" s="6" t="s">
        <v>4254</v>
      </c>
      <c r="Q269" s="6" t="s">
        <v>415</v>
      </c>
      <c r="R269" s="6">
        <v>90</v>
      </c>
      <c r="S269" s="6">
        <v>103.5</v>
      </c>
      <c r="T269" s="10">
        <f t="shared" si="11"/>
        <v>96.75</v>
      </c>
      <c r="U269" s="6">
        <v>5.4</v>
      </c>
      <c r="V269" s="8">
        <v>-0.39115417760610549</v>
      </c>
      <c r="W269" s="8">
        <v>-2.5230861119270322</v>
      </c>
      <c r="X269" s="8">
        <f t="shared" si="12"/>
        <v>0.60614730892181168</v>
      </c>
    </row>
    <row r="270" spans="1:25" x14ac:dyDescent="0.35">
      <c r="A270" s="6" t="s">
        <v>25</v>
      </c>
      <c r="B270" s="7"/>
      <c r="C270" s="6">
        <v>510547</v>
      </c>
      <c r="D270" s="6" t="s">
        <v>416</v>
      </c>
      <c r="E270" s="6">
        <v>1</v>
      </c>
      <c r="F270" s="6">
        <v>7</v>
      </c>
      <c r="I270" s="8">
        <v>86.116053611111099</v>
      </c>
      <c r="J270" s="8">
        <v>117.978438125</v>
      </c>
      <c r="K270" s="6" t="s">
        <v>198</v>
      </c>
      <c r="L270" s="9">
        <v>43782</v>
      </c>
      <c r="N270" s="6">
        <v>7</v>
      </c>
      <c r="O270" s="6" t="s">
        <v>4254</v>
      </c>
      <c r="Q270" s="6" t="s">
        <v>417</v>
      </c>
      <c r="R270" s="6">
        <v>12</v>
      </c>
      <c r="S270" s="6">
        <v>18</v>
      </c>
      <c r="T270" s="10">
        <f t="shared" si="11"/>
        <v>15</v>
      </c>
      <c r="V270" s="8">
        <v>-3.1095219449043281</v>
      </c>
      <c r="W270" s="8">
        <v>-25.078150119018556</v>
      </c>
      <c r="X270" s="8">
        <f t="shared" si="12"/>
        <v>-0.20197455978393108</v>
      </c>
    </row>
    <row r="271" spans="1:25" x14ac:dyDescent="0.35">
      <c r="A271" s="6" t="s">
        <v>25</v>
      </c>
      <c r="B271" s="7" t="s">
        <v>420</v>
      </c>
      <c r="C271" s="6">
        <v>510586</v>
      </c>
      <c r="D271" s="6" t="s">
        <v>421</v>
      </c>
      <c r="E271" s="6">
        <v>1</v>
      </c>
      <c r="F271" s="6">
        <v>7</v>
      </c>
      <c r="G271" s="6" t="s">
        <v>179</v>
      </c>
      <c r="I271" s="8">
        <v>86.1718883333333</v>
      </c>
      <c r="J271" s="8">
        <v>118.24158284722201</v>
      </c>
      <c r="K271" s="6" t="s">
        <v>29</v>
      </c>
      <c r="L271" s="9">
        <v>43783</v>
      </c>
      <c r="N271" s="6">
        <v>7</v>
      </c>
      <c r="O271" s="6" t="s">
        <v>4248</v>
      </c>
      <c r="P271" s="8">
        <v>-6.35</v>
      </c>
      <c r="Q271" s="10" t="s">
        <v>422</v>
      </c>
      <c r="R271" s="10">
        <v>0</v>
      </c>
      <c r="S271" s="10">
        <v>10</v>
      </c>
      <c r="T271" s="10">
        <f t="shared" si="11"/>
        <v>5</v>
      </c>
      <c r="U271" s="6">
        <v>6.1</v>
      </c>
      <c r="V271" s="8">
        <v>-1.1872953195169567</v>
      </c>
      <c r="W271" s="8">
        <v>-8.7001789560318006</v>
      </c>
      <c r="X271" s="8">
        <f t="shared" si="12"/>
        <v>0.7981836001038527</v>
      </c>
    </row>
    <row r="272" spans="1:25" x14ac:dyDescent="0.35">
      <c r="A272" s="6" t="s">
        <v>25</v>
      </c>
      <c r="B272" s="7" t="s">
        <v>423</v>
      </c>
      <c r="C272" s="6">
        <v>510590</v>
      </c>
      <c r="D272" s="6" t="s">
        <v>424</v>
      </c>
      <c r="E272" s="6">
        <v>1</v>
      </c>
      <c r="F272" s="6">
        <v>7</v>
      </c>
      <c r="G272" s="6" t="s">
        <v>179</v>
      </c>
      <c r="I272" s="8">
        <v>86.1718883333333</v>
      </c>
      <c r="J272" s="8">
        <v>118.24158284722201</v>
      </c>
      <c r="K272" s="6" t="s">
        <v>29</v>
      </c>
      <c r="L272" s="9">
        <v>43783</v>
      </c>
      <c r="N272" s="6">
        <v>7</v>
      </c>
      <c r="O272" s="6" t="s">
        <v>4248</v>
      </c>
      <c r="P272" s="8">
        <v>-2.5333333333333332</v>
      </c>
      <c r="Q272" s="10" t="s">
        <v>159</v>
      </c>
      <c r="R272" s="10">
        <v>40</v>
      </c>
      <c r="S272" s="10">
        <v>50</v>
      </c>
      <c r="T272" s="10">
        <f t="shared" si="11"/>
        <v>45</v>
      </c>
      <c r="U272" s="6">
        <v>6</v>
      </c>
      <c r="V272" s="8">
        <v>0.88480188924074166</v>
      </c>
      <c r="W272" s="8">
        <v>6.9215391101837156</v>
      </c>
      <c r="X272" s="8">
        <f t="shared" si="12"/>
        <v>-0.15687600374221766</v>
      </c>
    </row>
    <row r="273" spans="1:25" s="12" customFormat="1" x14ac:dyDescent="0.35">
      <c r="A273" s="6" t="s">
        <v>25</v>
      </c>
      <c r="B273" s="7" t="s">
        <v>425</v>
      </c>
      <c r="C273" s="6">
        <v>510589</v>
      </c>
      <c r="D273" s="6" t="s">
        <v>426</v>
      </c>
      <c r="E273" s="6">
        <v>1</v>
      </c>
      <c r="F273" s="6">
        <v>7</v>
      </c>
      <c r="G273" s="6" t="s">
        <v>179</v>
      </c>
      <c r="H273" s="6"/>
      <c r="I273" s="8">
        <v>86.1718883333333</v>
      </c>
      <c r="J273" s="8">
        <v>118.24158284722201</v>
      </c>
      <c r="K273" s="6" t="s">
        <v>29</v>
      </c>
      <c r="L273" s="9">
        <v>43783</v>
      </c>
      <c r="M273" s="6"/>
      <c r="N273" s="6">
        <v>7</v>
      </c>
      <c r="O273" s="6" t="s">
        <v>4248</v>
      </c>
      <c r="P273" s="8">
        <v>-3.5333333333333332</v>
      </c>
      <c r="Q273" s="10" t="s">
        <v>157</v>
      </c>
      <c r="R273" s="10">
        <v>30</v>
      </c>
      <c r="S273" s="10">
        <v>40</v>
      </c>
      <c r="T273" s="10">
        <f t="shared" si="11"/>
        <v>35</v>
      </c>
      <c r="U273" s="6">
        <v>4.7</v>
      </c>
      <c r="V273" s="8">
        <v>0.9935412322759628</v>
      </c>
      <c r="W273" s="8">
        <v>9.109675403654574</v>
      </c>
      <c r="X273" s="8">
        <f t="shared" si="12"/>
        <v>1.1613455454468715</v>
      </c>
      <c r="Y273" s="6"/>
    </row>
    <row r="274" spans="1:25" s="12" customFormat="1" x14ac:dyDescent="0.35">
      <c r="A274" s="6" t="s">
        <v>25</v>
      </c>
      <c r="B274" s="7" t="s">
        <v>427</v>
      </c>
      <c r="C274" s="6">
        <v>510588</v>
      </c>
      <c r="D274" s="6" t="s">
        <v>428</v>
      </c>
      <c r="E274" s="6">
        <v>1</v>
      </c>
      <c r="F274" s="6">
        <v>7</v>
      </c>
      <c r="G274" s="6" t="s">
        <v>179</v>
      </c>
      <c r="H274" s="6"/>
      <c r="I274" s="8">
        <v>86.1718883333333</v>
      </c>
      <c r="J274" s="8">
        <v>118.24158284722201</v>
      </c>
      <c r="K274" s="6" t="s">
        <v>29</v>
      </c>
      <c r="L274" s="9">
        <v>43783</v>
      </c>
      <c r="M274" s="6"/>
      <c r="N274" s="6">
        <v>7</v>
      </c>
      <c r="O274" s="6" t="s">
        <v>4248</v>
      </c>
      <c r="P274" s="8">
        <v>-4.7333333333333334</v>
      </c>
      <c r="Q274" s="10" t="s">
        <v>215</v>
      </c>
      <c r="R274" s="10">
        <v>20</v>
      </c>
      <c r="S274" s="10">
        <v>30</v>
      </c>
      <c r="T274" s="10">
        <f t="shared" si="11"/>
        <v>25</v>
      </c>
      <c r="U274" s="6">
        <v>3.6</v>
      </c>
      <c r="V274" s="8">
        <v>-0.43585673393011126</v>
      </c>
      <c r="W274" s="8">
        <v>-1.9956918797492982</v>
      </c>
      <c r="X274" s="8">
        <f t="shared" si="12"/>
        <v>1.4911619916915919</v>
      </c>
      <c r="Y274" s="6"/>
    </row>
    <row r="275" spans="1:25" s="12" customFormat="1" x14ac:dyDescent="0.35">
      <c r="A275" s="6" t="s">
        <v>25</v>
      </c>
      <c r="B275" s="7" t="s">
        <v>429</v>
      </c>
      <c r="C275" s="6">
        <v>510587</v>
      </c>
      <c r="D275" s="6" t="s">
        <v>430</v>
      </c>
      <c r="E275" s="6">
        <v>1</v>
      </c>
      <c r="F275" s="6">
        <v>7</v>
      </c>
      <c r="G275" s="6" t="s">
        <v>179</v>
      </c>
      <c r="H275" s="6"/>
      <c r="I275" s="8">
        <v>86.1718883333333</v>
      </c>
      <c r="J275" s="8">
        <v>118.24158284722201</v>
      </c>
      <c r="K275" s="6" t="s">
        <v>29</v>
      </c>
      <c r="L275" s="9">
        <v>43783</v>
      </c>
      <c r="M275" s="6"/>
      <c r="N275" s="6">
        <v>7</v>
      </c>
      <c r="O275" s="6" t="s">
        <v>4248</v>
      </c>
      <c r="P275" s="8">
        <v>-5.5333333333333341</v>
      </c>
      <c r="Q275" s="10" t="s">
        <v>109</v>
      </c>
      <c r="R275" s="10">
        <v>10</v>
      </c>
      <c r="S275" s="10">
        <v>20</v>
      </c>
      <c r="T275" s="10">
        <f t="shared" ref="T275:T299" si="13">AVERAGE(R275:S275)</f>
        <v>15</v>
      </c>
      <c r="U275" s="6">
        <v>3.3</v>
      </c>
      <c r="V275" s="8">
        <v>-3.0089028963565827</v>
      </c>
      <c r="W275" s="8">
        <v>-21.844005692481993</v>
      </c>
      <c r="X275" s="8">
        <f t="shared" si="12"/>
        <v>2.2272174783706689</v>
      </c>
      <c r="Y275" s="6"/>
    </row>
    <row r="276" spans="1:25" s="12" customFormat="1" x14ac:dyDescent="0.35">
      <c r="A276" s="6" t="s">
        <v>25</v>
      </c>
      <c r="B276" s="7"/>
      <c r="C276" s="6">
        <v>510576</v>
      </c>
      <c r="D276" s="6" t="s">
        <v>416</v>
      </c>
      <c r="E276" s="6">
        <v>1</v>
      </c>
      <c r="F276" s="6">
        <v>7</v>
      </c>
      <c r="G276" s="6"/>
      <c r="H276" s="6"/>
      <c r="I276" s="8">
        <v>86.1718883333333</v>
      </c>
      <c r="J276" s="8">
        <v>118.24158284722201</v>
      </c>
      <c r="K276" s="6" t="s">
        <v>198</v>
      </c>
      <c r="L276" s="9">
        <v>43783</v>
      </c>
      <c r="M276" s="6"/>
      <c r="N276" s="6">
        <v>7</v>
      </c>
      <c r="O276" s="6" t="s">
        <v>4248</v>
      </c>
      <c r="P276" s="6"/>
      <c r="Q276" s="6" t="s">
        <v>431</v>
      </c>
      <c r="R276" s="6">
        <v>0</v>
      </c>
      <c r="S276" s="6">
        <v>6</v>
      </c>
      <c r="T276" s="10">
        <f t="shared" si="13"/>
        <v>3</v>
      </c>
      <c r="U276" s="6"/>
      <c r="V276" s="8">
        <v>-11.44655488243103</v>
      </c>
      <c r="W276" s="8">
        <v>-88.204946078491218</v>
      </c>
      <c r="X276" s="8">
        <f t="shared" si="12"/>
        <v>3.3674929809570244</v>
      </c>
      <c r="Y276" s="6"/>
    </row>
    <row r="277" spans="1:25" s="12" customFormat="1" x14ac:dyDescent="0.35">
      <c r="A277" s="6" t="s">
        <v>25</v>
      </c>
      <c r="B277" s="7"/>
      <c r="C277" s="6">
        <v>510581</v>
      </c>
      <c r="D277" s="6" t="s">
        <v>416</v>
      </c>
      <c r="E277" s="6">
        <v>1</v>
      </c>
      <c r="F277" s="6">
        <v>7</v>
      </c>
      <c r="G277" s="6"/>
      <c r="H277" s="6"/>
      <c r="I277" s="8">
        <v>86.1718883333333</v>
      </c>
      <c r="J277" s="8">
        <v>118.24158284722201</v>
      </c>
      <c r="K277" s="6" t="s">
        <v>198</v>
      </c>
      <c r="L277" s="9">
        <v>43783</v>
      </c>
      <c r="M277" s="6"/>
      <c r="N277" s="6">
        <v>7</v>
      </c>
      <c r="O277" s="6" t="s">
        <v>4248</v>
      </c>
      <c r="P277" s="6"/>
      <c r="Q277" s="6" t="s">
        <v>432</v>
      </c>
      <c r="R277" s="6">
        <v>6</v>
      </c>
      <c r="S277" s="6">
        <v>12</v>
      </c>
      <c r="T277" s="10">
        <f t="shared" si="13"/>
        <v>9</v>
      </c>
      <c r="U277" s="6"/>
      <c r="V277" s="8">
        <v>-5.2958890937805174</v>
      </c>
      <c r="W277" s="8">
        <v>-46.175252581787106</v>
      </c>
      <c r="X277" s="8">
        <f t="shared" si="12"/>
        <v>-3.8081398315429666</v>
      </c>
      <c r="Y277" s="6"/>
    </row>
    <row r="278" spans="1:25" s="12" customFormat="1" x14ac:dyDescent="0.35">
      <c r="A278" s="6" t="s">
        <v>25</v>
      </c>
      <c r="B278" s="7"/>
      <c r="C278" s="6">
        <v>510582</v>
      </c>
      <c r="D278" s="6" t="s">
        <v>416</v>
      </c>
      <c r="E278" s="6">
        <v>1</v>
      </c>
      <c r="F278" s="6">
        <v>7</v>
      </c>
      <c r="G278" s="6"/>
      <c r="H278" s="6"/>
      <c r="I278" s="8">
        <v>86.1718883333333</v>
      </c>
      <c r="J278" s="8">
        <v>118.24158284722201</v>
      </c>
      <c r="K278" s="6" t="s">
        <v>198</v>
      </c>
      <c r="L278" s="9">
        <v>43783</v>
      </c>
      <c r="M278" s="6"/>
      <c r="N278" s="6">
        <v>7</v>
      </c>
      <c r="O278" s="6" t="s">
        <v>4248</v>
      </c>
      <c r="P278" s="6"/>
      <c r="Q278" s="6" t="s">
        <v>433</v>
      </c>
      <c r="R278" s="6">
        <v>12</v>
      </c>
      <c r="S278" s="6">
        <v>18</v>
      </c>
      <c r="T278" s="10">
        <f t="shared" si="13"/>
        <v>15</v>
      </c>
      <c r="U278" s="6"/>
      <c r="V278" s="8">
        <v>-3.4374739831924437</v>
      </c>
      <c r="W278" s="8">
        <v>-28.50252152557373</v>
      </c>
      <c r="X278" s="8">
        <f t="shared" si="12"/>
        <v>-1.0027296600341806</v>
      </c>
      <c r="Y278" s="6"/>
    </row>
    <row r="279" spans="1:25" x14ac:dyDescent="0.35">
      <c r="A279" s="6" t="s">
        <v>25</v>
      </c>
      <c r="B279" s="7" t="s">
        <v>434</v>
      </c>
      <c r="C279" s="6">
        <v>510632</v>
      </c>
      <c r="D279" s="6" t="s">
        <v>435</v>
      </c>
      <c r="E279" s="6">
        <v>1</v>
      </c>
      <c r="F279" s="6">
        <v>7</v>
      </c>
      <c r="G279" s="6" t="s">
        <v>179</v>
      </c>
      <c r="I279" s="8">
        <v>86.191348333333295</v>
      </c>
      <c r="J279" s="8">
        <v>118.623774583333</v>
      </c>
      <c r="K279" s="6" t="s">
        <v>29</v>
      </c>
      <c r="L279" s="9">
        <v>43784</v>
      </c>
      <c r="N279" s="6">
        <v>7</v>
      </c>
      <c r="O279" s="6" t="s">
        <v>4260</v>
      </c>
      <c r="P279" s="8">
        <v>-4.3333333333333339</v>
      </c>
      <c r="Q279" s="10" t="s">
        <v>436</v>
      </c>
      <c r="R279" s="10">
        <v>71</v>
      </c>
      <c r="S279" s="10">
        <v>81</v>
      </c>
      <c r="T279" s="10">
        <f t="shared" si="13"/>
        <v>76</v>
      </c>
      <c r="U279" s="6">
        <v>4.4000000000000004</v>
      </c>
      <c r="V279" s="8">
        <v>-1.5416475386142734</v>
      </c>
      <c r="W279" s="8">
        <v>-10.599506978034974</v>
      </c>
      <c r="X279" s="8">
        <f t="shared" si="12"/>
        <v>1.7336733308792134</v>
      </c>
    </row>
    <row r="280" spans="1:25" x14ac:dyDescent="0.35">
      <c r="A280" s="6" t="s">
        <v>25</v>
      </c>
      <c r="B280" s="7" t="s">
        <v>437</v>
      </c>
      <c r="C280" s="6">
        <v>510633</v>
      </c>
      <c r="D280" s="6" t="s">
        <v>438</v>
      </c>
      <c r="E280" s="6">
        <v>1</v>
      </c>
      <c r="F280" s="6">
        <v>7</v>
      </c>
      <c r="G280" s="6" t="s">
        <v>179</v>
      </c>
      <c r="I280" s="8">
        <v>86.191348333333295</v>
      </c>
      <c r="J280" s="8">
        <v>118.623774583333</v>
      </c>
      <c r="K280" s="6" t="s">
        <v>29</v>
      </c>
      <c r="L280" s="9">
        <v>43784</v>
      </c>
      <c r="N280" s="6">
        <v>7</v>
      </c>
      <c r="O280" s="6" t="s">
        <v>4260</v>
      </c>
      <c r="P280" s="8">
        <v>-3.9333333333333336</v>
      </c>
      <c r="Q280" s="10" t="s">
        <v>439</v>
      </c>
      <c r="R280" s="10">
        <v>81</v>
      </c>
      <c r="S280" s="10">
        <v>90</v>
      </c>
      <c r="T280" s="10">
        <f t="shared" si="13"/>
        <v>85.5</v>
      </c>
      <c r="U280" s="6">
        <v>4.4000000000000004</v>
      </c>
      <c r="V280" s="8">
        <v>-1.2154237134575847</v>
      </c>
      <c r="W280" s="8">
        <v>-6.9502818198204039</v>
      </c>
      <c r="X280" s="8">
        <f t="shared" si="12"/>
        <v>2.7731078878402737</v>
      </c>
    </row>
    <row r="281" spans="1:25" x14ac:dyDescent="0.35">
      <c r="A281" s="6" t="s">
        <v>25</v>
      </c>
      <c r="B281" s="7" t="s">
        <v>440</v>
      </c>
      <c r="C281" s="6">
        <v>510631</v>
      </c>
      <c r="D281" s="6" t="s">
        <v>441</v>
      </c>
      <c r="E281" s="6">
        <v>1</v>
      </c>
      <c r="F281" s="6">
        <v>7</v>
      </c>
      <c r="G281" s="6" t="s">
        <v>179</v>
      </c>
      <c r="I281" s="8">
        <v>86.191348333333295</v>
      </c>
      <c r="J281" s="8">
        <v>118.623774583333</v>
      </c>
      <c r="K281" s="6" t="s">
        <v>29</v>
      </c>
      <c r="L281" s="9">
        <v>43784</v>
      </c>
      <c r="N281" s="6">
        <v>7</v>
      </c>
      <c r="O281" s="6" t="s">
        <v>4260</v>
      </c>
      <c r="P281" s="8">
        <v>-4.9333333333333336</v>
      </c>
      <c r="Q281" s="10" t="s">
        <v>222</v>
      </c>
      <c r="R281" s="10">
        <v>61</v>
      </c>
      <c r="S281" s="10">
        <v>71</v>
      </c>
      <c r="T281" s="10">
        <f t="shared" si="13"/>
        <v>66</v>
      </c>
      <c r="U281" s="6">
        <v>4.8</v>
      </c>
      <c r="V281" s="8">
        <v>-1.9387942031979564</v>
      </c>
      <c r="W281" s="8">
        <v>-13.504592364788056</v>
      </c>
      <c r="X281" s="8">
        <f t="shared" si="12"/>
        <v>2.0057612607955946</v>
      </c>
    </row>
    <row r="282" spans="1:25" x14ac:dyDescent="0.35">
      <c r="A282" s="6" t="s">
        <v>25</v>
      </c>
      <c r="B282" s="7" t="s">
        <v>442</v>
      </c>
      <c r="C282" s="6">
        <v>510629</v>
      </c>
      <c r="D282" s="6" t="s">
        <v>443</v>
      </c>
      <c r="E282" s="6">
        <v>1</v>
      </c>
      <c r="F282" s="6">
        <v>7</v>
      </c>
      <c r="G282" s="6" t="s">
        <v>179</v>
      </c>
      <c r="I282" s="8">
        <v>86.191348333333295</v>
      </c>
      <c r="J282" s="8">
        <v>118.623774583333</v>
      </c>
      <c r="K282" s="6" t="s">
        <v>29</v>
      </c>
      <c r="L282" s="9">
        <v>43784</v>
      </c>
      <c r="N282" s="6">
        <v>7</v>
      </c>
      <c r="O282" s="6" t="s">
        <v>4260</v>
      </c>
      <c r="P282" s="8">
        <v>-5.5333333333333341</v>
      </c>
      <c r="Q282" s="10" t="s">
        <v>221</v>
      </c>
      <c r="R282" s="10">
        <v>51</v>
      </c>
      <c r="S282" s="10">
        <v>61</v>
      </c>
      <c r="T282" s="10">
        <f t="shared" si="13"/>
        <v>56</v>
      </c>
      <c r="U282" s="6">
        <v>3.5</v>
      </c>
      <c r="V282" s="8">
        <v>-2.2790679079055787</v>
      </c>
      <c r="W282" s="8">
        <v>-17.146720239639279</v>
      </c>
      <c r="X282" s="8">
        <f t="shared" si="12"/>
        <v>1.0858230236053501</v>
      </c>
    </row>
    <row r="283" spans="1:25" x14ac:dyDescent="0.35">
      <c r="A283" s="6" t="s">
        <v>25</v>
      </c>
      <c r="B283" s="7" t="s">
        <v>444</v>
      </c>
      <c r="C283" s="6">
        <v>510630</v>
      </c>
      <c r="D283" s="6" t="s">
        <v>445</v>
      </c>
      <c r="E283" s="6">
        <v>1</v>
      </c>
      <c r="F283" s="6">
        <v>7</v>
      </c>
      <c r="G283" s="6" t="s">
        <v>179</v>
      </c>
      <c r="I283" s="8">
        <v>86.191348333333295</v>
      </c>
      <c r="J283" s="8">
        <v>118.623774583333</v>
      </c>
      <c r="K283" s="6" t="s">
        <v>29</v>
      </c>
      <c r="L283" s="9">
        <v>43784</v>
      </c>
      <c r="N283" s="6">
        <v>7</v>
      </c>
      <c r="O283" s="6" t="s">
        <v>4260</v>
      </c>
      <c r="P283" s="8">
        <v>-5.7333333333333343</v>
      </c>
      <c r="Q283" s="10" t="s">
        <v>446</v>
      </c>
      <c r="R283" s="10">
        <v>41</v>
      </c>
      <c r="S283" s="10">
        <v>51</v>
      </c>
      <c r="T283" s="10">
        <f t="shared" si="13"/>
        <v>46</v>
      </c>
      <c r="U283" s="6">
        <v>2.1</v>
      </c>
      <c r="V283" s="8">
        <v>-3.1219651090860365</v>
      </c>
      <c r="W283" s="8">
        <v>-23.351678671836851</v>
      </c>
      <c r="X283" s="8">
        <f t="shared" si="12"/>
        <v>1.6240422008514415</v>
      </c>
    </row>
    <row r="284" spans="1:25" x14ac:dyDescent="0.35">
      <c r="A284" s="6" t="s">
        <v>25</v>
      </c>
      <c r="B284" s="7" t="s">
        <v>447</v>
      </c>
      <c r="C284" s="6">
        <v>510628</v>
      </c>
      <c r="D284" s="6" t="s">
        <v>448</v>
      </c>
      <c r="E284" s="6">
        <v>1</v>
      </c>
      <c r="F284" s="6">
        <v>7</v>
      </c>
      <c r="G284" s="6" t="s">
        <v>179</v>
      </c>
      <c r="I284" s="8">
        <v>86.191348333333295</v>
      </c>
      <c r="J284" s="8">
        <v>118.623774583333</v>
      </c>
      <c r="K284" s="6" t="s">
        <v>29</v>
      </c>
      <c r="L284" s="9">
        <v>43784</v>
      </c>
      <c r="N284" s="6">
        <v>7</v>
      </c>
      <c r="O284" s="6" t="s">
        <v>4260</v>
      </c>
      <c r="P284" s="8">
        <v>-6.0666666666666673</v>
      </c>
      <c r="Q284" s="10" t="s">
        <v>449</v>
      </c>
      <c r="R284" s="10">
        <v>30.5</v>
      </c>
      <c r="S284" s="10">
        <v>41</v>
      </c>
      <c r="T284" s="10">
        <f t="shared" si="13"/>
        <v>35.75</v>
      </c>
      <c r="U284" s="6">
        <v>0.1</v>
      </c>
      <c r="V284" s="8">
        <v>-4.4579405972480783</v>
      </c>
      <c r="W284" s="8">
        <v>-33.982097534179687</v>
      </c>
      <c r="X284" s="8">
        <f t="shared" si="12"/>
        <v>1.68142724380494</v>
      </c>
    </row>
    <row r="285" spans="1:25" x14ac:dyDescent="0.35">
      <c r="A285" s="6" t="s">
        <v>25</v>
      </c>
      <c r="B285" s="7" t="s">
        <v>450</v>
      </c>
      <c r="C285" s="6">
        <v>510627</v>
      </c>
      <c r="D285" s="6" t="s">
        <v>451</v>
      </c>
      <c r="E285" s="6">
        <v>1</v>
      </c>
      <c r="F285" s="6">
        <v>7</v>
      </c>
      <c r="G285" s="6" t="s">
        <v>179</v>
      </c>
      <c r="I285" s="8">
        <v>86.191348333333295</v>
      </c>
      <c r="J285" s="8">
        <v>118.623774583333</v>
      </c>
      <c r="K285" s="6" t="s">
        <v>29</v>
      </c>
      <c r="L285" s="9">
        <v>43784</v>
      </c>
      <c r="N285" s="6">
        <v>7</v>
      </c>
      <c r="O285" s="6" t="s">
        <v>4260</v>
      </c>
      <c r="P285" s="8">
        <v>-7.0333333333333341</v>
      </c>
      <c r="Q285" s="10" t="s">
        <v>452</v>
      </c>
      <c r="R285" s="10">
        <v>20</v>
      </c>
      <c r="S285" s="10">
        <v>30.5</v>
      </c>
      <c r="T285" s="10">
        <f t="shared" si="13"/>
        <v>25.25</v>
      </c>
      <c r="U285" s="6">
        <v>0</v>
      </c>
      <c r="V285" s="8">
        <v>-4.9634786464691167</v>
      </c>
      <c r="W285" s="8">
        <v>-37.982069183349608</v>
      </c>
      <c r="X285" s="8">
        <f t="shared" si="12"/>
        <v>1.7257599884033255</v>
      </c>
    </row>
    <row r="286" spans="1:25" x14ac:dyDescent="0.35">
      <c r="A286" s="6" t="s">
        <v>25</v>
      </c>
      <c r="B286" s="7" t="s">
        <v>453</v>
      </c>
      <c r="C286" s="6">
        <v>510626</v>
      </c>
      <c r="D286" s="6" t="s">
        <v>454</v>
      </c>
      <c r="E286" s="6">
        <v>1</v>
      </c>
      <c r="F286" s="6">
        <v>7</v>
      </c>
      <c r="G286" s="6" t="s">
        <v>179</v>
      </c>
      <c r="I286" s="8">
        <v>86.191348333333295</v>
      </c>
      <c r="J286" s="8">
        <v>118.623774583333</v>
      </c>
      <c r="K286" s="6" t="s">
        <v>29</v>
      </c>
      <c r="L286" s="9">
        <v>43784</v>
      </c>
      <c r="N286" s="6">
        <v>7</v>
      </c>
      <c r="O286" s="6" t="s">
        <v>4260</v>
      </c>
      <c r="P286" s="8">
        <v>-7.7666666666666657</v>
      </c>
      <c r="Q286" s="10" t="s">
        <v>109</v>
      </c>
      <c r="R286" s="10">
        <v>10</v>
      </c>
      <c r="S286" s="10">
        <v>20</v>
      </c>
      <c r="T286" s="10">
        <f t="shared" si="13"/>
        <v>15</v>
      </c>
      <c r="U286" s="6">
        <v>0.1</v>
      </c>
      <c r="V286" s="8">
        <v>-5.7262965762138371</v>
      </c>
      <c r="W286" s="8">
        <v>-43.416944984436036</v>
      </c>
      <c r="X286" s="8">
        <f t="shared" si="12"/>
        <v>2.3934276252746614</v>
      </c>
    </row>
    <row r="287" spans="1:25" x14ac:dyDescent="0.35">
      <c r="A287" s="6" t="s">
        <v>25</v>
      </c>
      <c r="B287" s="7" t="s">
        <v>455</v>
      </c>
      <c r="C287" s="6">
        <v>510643</v>
      </c>
      <c r="D287" s="6" t="s">
        <v>456</v>
      </c>
      <c r="E287" s="6">
        <v>1</v>
      </c>
      <c r="F287" s="6">
        <v>7</v>
      </c>
      <c r="G287" s="6" t="s">
        <v>179</v>
      </c>
      <c r="I287" s="8">
        <v>86.191348333333295</v>
      </c>
      <c r="J287" s="8">
        <v>118.623774583333</v>
      </c>
      <c r="K287" s="6" t="s">
        <v>29</v>
      </c>
      <c r="L287" s="9">
        <v>43784</v>
      </c>
      <c r="N287" s="6">
        <v>7</v>
      </c>
      <c r="O287" s="6" t="s">
        <v>4260</v>
      </c>
      <c r="P287" s="8">
        <v>-8.9</v>
      </c>
      <c r="Q287" s="10" t="s">
        <v>422</v>
      </c>
      <c r="R287" s="10">
        <v>0</v>
      </c>
      <c r="S287" s="10">
        <v>10</v>
      </c>
      <c r="T287" s="10">
        <f t="shared" si="13"/>
        <v>5</v>
      </c>
      <c r="U287" s="6">
        <v>0.1</v>
      </c>
      <c r="V287" s="8">
        <v>-6.0917515594482428</v>
      </c>
      <c r="W287" s="8">
        <v>-46.377056671142576</v>
      </c>
      <c r="X287" s="8">
        <f t="shared" si="12"/>
        <v>2.3569558044433663</v>
      </c>
    </row>
    <row r="288" spans="1:25" x14ac:dyDescent="0.35">
      <c r="A288" s="6" t="s">
        <v>25</v>
      </c>
      <c r="B288" s="7" t="s">
        <v>457</v>
      </c>
      <c r="C288" s="6">
        <v>510635</v>
      </c>
      <c r="D288" s="6" t="s">
        <v>458</v>
      </c>
      <c r="E288" s="6">
        <v>1</v>
      </c>
      <c r="F288" s="6">
        <v>7</v>
      </c>
      <c r="G288" s="6" t="s">
        <v>179</v>
      </c>
      <c r="I288" s="8">
        <v>86.191348333333295</v>
      </c>
      <c r="J288" s="8">
        <v>118.623774583333</v>
      </c>
      <c r="K288" s="6" t="s">
        <v>29</v>
      </c>
      <c r="L288" s="9">
        <v>43784</v>
      </c>
      <c r="N288" s="6">
        <v>7</v>
      </c>
      <c r="O288" s="6" t="s">
        <v>4260</v>
      </c>
      <c r="P288" s="8">
        <v>-2.9666666666666668</v>
      </c>
      <c r="Q288" s="10" t="s">
        <v>459</v>
      </c>
      <c r="R288" s="10">
        <v>99</v>
      </c>
      <c r="S288" s="10">
        <v>110</v>
      </c>
      <c r="T288" s="10">
        <f t="shared" si="13"/>
        <v>104.5</v>
      </c>
      <c r="U288" s="6">
        <v>5.3</v>
      </c>
      <c r="V288" s="8">
        <v>-0.36465785096287745</v>
      </c>
      <c r="W288" s="8">
        <v>-1.5780080122947688</v>
      </c>
      <c r="X288" s="8">
        <f t="shared" si="12"/>
        <v>1.3392547954082508</v>
      </c>
    </row>
    <row r="289" spans="1:25" x14ac:dyDescent="0.35">
      <c r="A289" s="6" t="s">
        <v>25</v>
      </c>
      <c r="B289" s="7" t="s">
        <v>460</v>
      </c>
      <c r="C289" s="6">
        <v>510634</v>
      </c>
      <c r="D289" s="6" t="s">
        <v>461</v>
      </c>
      <c r="E289" s="6">
        <v>1</v>
      </c>
      <c r="F289" s="6">
        <v>7</v>
      </c>
      <c r="G289" s="6" t="s">
        <v>179</v>
      </c>
      <c r="I289" s="8">
        <v>86.191348333333295</v>
      </c>
      <c r="J289" s="8">
        <v>118.623774583333</v>
      </c>
      <c r="K289" s="6" t="s">
        <v>29</v>
      </c>
      <c r="L289" s="9">
        <v>43784</v>
      </c>
      <c r="N289" s="6">
        <v>7</v>
      </c>
      <c r="O289" s="6" t="s">
        <v>4260</v>
      </c>
      <c r="P289" s="8">
        <v>-3.2666666666666671</v>
      </c>
      <c r="Q289" s="10" t="s">
        <v>462</v>
      </c>
      <c r="R289" s="10">
        <v>90</v>
      </c>
      <c r="S289" s="10">
        <v>99</v>
      </c>
      <c r="T289" s="10">
        <f t="shared" si="13"/>
        <v>94.5</v>
      </c>
      <c r="U289" s="6">
        <v>3.3</v>
      </c>
      <c r="V289" s="8">
        <v>-0.5425894407153129</v>
      </c>
      <c r="W289" s="8">
        <v>-4.3496512598991393</v>
      </c>
      <c r="X289" s="8">
        <f t="shared" si="12"/>
        <v>-8.9357341766360676E-3</v>
      </c>
    </row>
    <row r="290" spans="1:25" x14ac:dyDescent="0.35">
      <c r="A290" s="6" t="s">
        <v>25</v>
      </c>
      <c r="B290" s="7" t="s">
        <v>463</v>
      </c>
      <c r="C290" s="6">
        <v>510642</v>
      </c>
      <c r="D290" s="6" t="s">
        <v>464</v>
      </c>
      <c r="E290" s="6">
        <v>1</v>
      </c>
      <c r="F290" s="6">
        <v>7</v>
      </c>
      <c r="G290" s="6" t="s">
        <v>179</v>
      </c>
      <c r="I290" s="8">
        <v>86.191348333333295</v>
      </c>
      <c r="J290" s="8">
        <v>118.623774583333</v>
      </c>
      <c r="K290" s="6" t="s">
        <v>29</v>
      </c>
      <c r="L290" s="9">
        <v>43784</v>
      </c>
      <c r="N290" s="6">
        <v>7</v>
      </c>
      <c r="O290" s="6" t="s">
        <v>4260</v>
      </c>
      <c r="P290" s="8">
        <v>-1.95</v>
      </c>
      <c r="Q290" s="10" t="s">
        <v>465</v>
      </c>
      <c r="R290" s="10">
        <v>169</v>
      </c>
      <c r="S290" s="10">
        <v>178</v>
      </c>
      <c r="T290" s="10">
        <f t="shared" si="13"/>
        <v>173.5</v>
      </c>
      <c r="U290" s="6">
        <v>4.4000000000000004</v>
      </c>
      <c r="V290" s="8">
        <v>-1.1758525982618333</v>
      </c>
      <c r="W290" s="8">
        <v>-7.9394926357269284</v>
      </c>
      <c r="X290" s="8">
        <f t="shared" si="12"/>
        <v>1.467328150367738</v>
      </c>
    </row>
    <row r="291" spans="1:25" x14ac:dyDescent="0.35">
      <c r="A291" s="6" t="s">
        <v>25</v>
      </c>
      <c r="B291" s="7" t="s">
        <v>466</v>
      </c>
      <c r="C291" s="6">
        <v>510641</v>
      </c>
      <c r="D291" s="6" t="s">
        <v>467</v>
      </c>
      <c r="E291" s="6">
        <v>1</v>
      </c>
      <c r="F291" s="6">
        <v>7</v>
      </c>
      <c r="G291" s="6" t="s">
        <v>179</v>
      </c>
      <c r="I291" s="8">
        <v>86.191348333333295</v>
      </c>
      <c r="J291" s="8">
        <v>118.623774583333</v>
      </c>
      <c r="K291" s="6" t="s">
        <v>29</v>
      </c>
      <c r="L291" s="9">
        <v>43784</v>
      </c>
      <c r="N291" s="6">
        <v>7</v>
      </c>
      <c r="O291" s="6" t="s">
        <v>4260</v>
      </c>
      <c r="P291" s="8">
        <v>-1.9</v>
      </c>
      <c r="Q291" s="10" t="s">
        <v>468</v>
      </c>
      <c r="R291" s="10">
        <v>160</v>
      </c>
      <c r="S291" s="10">
        <v>169</v>
      </c>
      <c r="T291" s="10">
        <f t="shared" si="13"/>
        <v>164.5</v>
      </c>
      <c r="U291" s="6">
        <v>4</v>
      </c>
      <c r="V291" s="8">
        <v>-2.13909932847023</v>
      </c>
      <c r="W291" s="8">
        <v>-16.4258458442688</v>
      </c>
      <c r="X291" s="8">
        <f t="shared" si="12"/>
        <v>0.68694878349304034</v>
      </c>
    </row>
    <row r="292" spans="1:25" x14ac:dyDescent="0.35">
      <c r="A292" s="6" t="s">
        <v>25</v>
      </c>
      <c r="B292" s="7" t="s">
        <v>469</v>
      </c>
      <c r="C292" s="6">
        <v>510636</v>
      </c>
      <c r="D292" s="6" t="s">
        <v>470</v>
      </c>
      <c r="E292" s="6">
        <v>1</v>
      </c>
      <c r="F292" s="6">
        <v>7</v>
      </c>
      <c r="G292" s="6" t="s">
        <v>179</v>
      </c>
      <c r="I292" s="8">
        <v>86.191348333333295</v>
      </c>
      <c r="J292" s="8">
        <v>118.623774583333</v>
      </c>
      <c r="K292" s="6" t="s">
        <v>29</v>
      </c>
      <c r="L292" s="9">
        <v>43784</v>
      </c>
      <c r="N292" s="6">
        <v>7</v>
      </c>
      <c r="O292" s="6" t="s">
        <v>4260</v>
      </c>
      <c r="P292" s="8">
        <v>-2.2000000000000002</v>
      </c>
      <c r="Q292" s="10" t="s">
        <v>173</v>
      </c>
      <c r="R292" s="10">
        <v>110</v>
      </c>
      <c r="S292" s="10">
        <v>120</v>
      </c>
      <c r="T292" s="10">
        <f t="shared" si="13"/>
        <v>115</v>
      </c>
      <c r="U292" s="6">
        <v>4.7</v>
      </c>
      <c r="V292" s="8">
        <v>-1.0169011907100676</v>
      </c>
      <c r="W292" s="8">
        <v>-6.6864777030944831</v>
      </c>
      <c r="X292" s="8">
        <f t="shared" si="12"/>
        <v>1.4487318225860575</v>
      </c>
    </row>
    <row r="293" spans="1:25" x14ac:dyDescent="0.35">
      <c r="A293" s="6" t="s">
        <v>25</v>
      </c>
      <c r="B293" s="7" t="s">
        <v>471</v>
      </c>
      <c r="C293" s="6">
        <v>510640</v>
      </c>
      <c r="D293" s="6" t="s">
        <v>472</v>
      </c>
      <c r="E293" s="6">
        <v>1</v>
      </c>
      <c r="F293" s="6">
        <v>7</v>
      </c>
      <c r="G293" s="6" t="s">
        <v>179</v>
      </c>
      <c r="I293" s="8">
        <v>86.191348333333295</v>
      </c>
      <c r="J293" s="8">
        <v>118.623774583333</v>
      </c>
      <c r="K293" s="6" t="s">
        <v>29</v>
      </c>
      <c r="L293" s="9">
        <v>43784</v>
      </c>
      <c r="N293" s="6">
        <v>7</v>
      </c>
      <c r="O293" s="6" t="s">
        <v>4260</v>
      </c>
      <c r="P293" s="8">
        <v>-2.2000000000000002</v>
      </c>
      <c r="Q293" s="10" t="s">
        <v>473</v>
      </c>
      <c r="R293" s="10">
        <v>150</v>
      </c>
      <c r="S293" s="10">
        <v>160</v>
      </c>
      <c r="T293" s="10">
        <f t="shared" si="13"/>
        <v>155</v>
      </c>
      <c r="U293" s="6">
        <v>4.0999999999999996</v>
      </c>
      <c r="V293" s="8">
        <v>-3.0540419417648317</v>
      </c>
      <c r="W293" s="8">
        <v>-23.534182119140624</v>
      </c>
      <c r="X293" s="8">
        <f t="shared" si="12"/>
        <v>0.89815341497802947</v>
      </c>
    </row>
    <row r="294" spans="1:25" x14ac:dyDescent="0.35">
      <c r="A294" s="6" t="s">
        <v>25</v>
      </c>
      <c r="B294" s="7" t="s">
        <v>474</v>
      </c>
      <c r="C294" s="6">
        <v>510639</v>
      </c>
      <c r="D294" s="6" t="s">
        <v>475</v>
      </c>
      <c r="E294" s="6">
        <v>1</v>
      </c>
      <c r="F294" s="6">
        <v>7</v>
      </c>
      <c r="G294" s="6" t="s">
        <v>179</v>
      </c>
      <c r="I294" s="8">
        <v>86.191348333333295</v>
      </c>
      <c r="J294" s="8">
        <v>118.623774583333</v>
      </c>
      <c r="K294" s="6" t="s">
        <v>29</v>
      </c>
      <c r="L294" s="9">
        <v>43784</v>
      </c>
      <c r="N294" s="6">
        <v>7</v>
      </c>
      <c r="O294" s="6" t="s">
        <v>4260</v>
      </c>
      <c r="P294" s="8">
        <v>-1.95</v>
      </c>
      <c r="Q294" s="10" t="s">
        <v>476</v>
      </c>
      <c r="R294" s="10">
        <v>140</v>
      </c>
      <c r="S294" s="10">
        <v>150</v>
      </c>
      <c r="T294" s="10">
        <f t="shared" si="13"/>
        <v>145</v>
      </c>
      <c r="U294" s="6">
        <v>4.0999999999999996</v>
      </c>
      <c r="V294" s="8">
        <v>-3.3308886101226811</v>
      </c>
      <c r="W294" s="8">
        <v>-25.864500485519407</v>
      </c>
      <c r="X294" s="8">
        <f t="shared" si="12"/>
        <v>0.78260839546204153</v>
      </c>
    </row>
    <row r="295" spans="1:25" x14ac:dyDescent="0.35">
      <c r="A295" s="6" t="s">
        <v>25</v>
      </c>
      <c r="B295" s="7" t="s">
        <v>477</v>
      </c>
      <c r="C295" s="6">
        <v>510638</v>
      </c>
      <c r="D295" s="6" t="s">
        <v>478</v>
      </c>
      <c r="E295" s="6">
        <v>1</v>
      </c>
      <c r="F295" s="6">
        <v>7</v>
      </c>
      <c r="G295" s="6" t="s">
        <v>179</v>
      </c>
      <c r="I295" s="8">
        <v>86.191348333333295</v>
      </c>
      <c r="J295" s="8">
        <v>118.623774583333</v>
      </c>
      <c r="K295" s="6" t="s">
        <v>29</v>
      </c>
      <c r="L295" s="9">
        <v>43784</v>
      </c>
      <c r="N295" s="6">
        <v>7</v>
      </c>
      <c r="O295" s="6" t="s">
        <v>4260</v>
      </c>
      <c r="P295" s="8">
        <v>-2</v>
      </c>
      <c r="Q295" s="10" t="s">
        <v>479</v>
      </c>
      <c r="R295" s="10">
        <v>130</v>
      </c>
      <c r="S295" s="10">
        <v>140</v>
      </c>
      <c r="T295" s="10">
        <f t="shared" si="13"/>
        <v>135</v>
      </c>
      <c r="U295" s="6">
        <v>3.3</v>
      </c>
      <c r="V295" s="8">
        <v>-3.0584567440261843</v>
      </c>
      <c r="W295" s="8">
        <v>-23.245142125579832</v>
      </c>
      <c r="X295" s="8">
        <f t="shared" si="12"/>
        <v>1.222511826629642</v>
      </c>
    </row>
    <row r="296" spans="1:25" x14ac:dyDescent="0.35">
      <c r="A296" s="6" t="s">
        <v>25</v>
      </c>
      <c r="B296" s="7" t="s">
        <v>480</v>
      </c>
      <c r="C296" s="6">
        <v>510637</v>
      </c>
      <c r="D296" s="6" t="s">
        <v>481</v>
      </c>
      <c r="E296" s="6">
        <v>1</v>
      </c>
      <c r="F296" s="6">
        <v>7</v>
      </c>
      <c r="G296" s="6" t="s">
        <v>179</v>
      </c>
      <c r="I296" s="8">
        <v>86.191348333333295</v>
      </c>
      <c r="J296" s="8">
        <v>118.623774583333</v>
      </c>
      <c r="K296" s="6" t="s">
        <v>29</v>
      </c>
      <c r="L296" s="9">
        <v>43784</v>
      </c>
      <c r="N296" s="6">
        <v>7</v>
      </c>
      <c r="O296" s="6" t="s">
        <v>4260</v>
      </c>
      <c r="P296" s="8">
        <v>-2.2000000000000002</v>
      </c>
      <c r="Q296" s="10" t="s">
        <v>175</v>
      </c>
      <c r="R296" s="10">
        <v>120</v>
      </c>
      <c r="S296" s="10">
        <v>130</v>
      </c>
      <c r="T296" s="10">
        <f t="shared" si="13"/>
        <v>125</v>
      </c>
      <c r="U296" s="6">
        <v>3.7</v>
      </c>
      <c r="V296" s="8">
        <v>-2.3137565000000002</v>
      </c>
      <c r="W296" s="8">
        <v>-17.36439</v>
      </c>
      <c r="X296" s="8">
        <f t="shared" si="12"/>
        <v>1.1456620000000015</v>
      </c>
    </row>
    <row r="297" spans="1:25" x14ac:dyDescent="0.35">
      <c r="A297" s="6" t="s">
        <v>25</v>
      </c>
      <c r="B297" s="7"/>
      <c r="C297" s="6">
        <v>510644</v>
      </c>
      <c r="D297" s="6" t="s">
        <v>482</v>
      </c>
      <c r="E297" s="6">
        <v>1</v>
      </c>
      <c r="F297" s="6">
        <v>7</v>
      </c>
      <c r="G297" s="6" t="s">
        <v>272</v>
      </c>
      <c r="H297" s="6">
        <v>27</v>
      </c>
      <c r="I297" s="8">
        <v>86.191348333333295</v>
      </c>
      <c r="J297" s="8">
        <v>118.623774583333</v>
      </c>
      <c r="K297" s="6" t="s">
        <v>198</v>
      </c>
      <c r="L297" s="9">
        <v>43784</v>
      </c>
      <c r="N297" s="6">
        <v>7</v>
      </c>
      <c r="O297" s="6" t="s">
        <v>4260</v>
      </c>
      <c r="Q297" s="6" t="s">
        <v>483</v>
      </c>
      <c r="R297" s="6">
        <v>0</v>
      </c>
      <c r="S297" s="6">
        <v>9</v>
      </c>
      <c r="T297" s="10">
        <f t="shared" si="13"/>
        <v>4.5</v>
      </c>
      <c r="U297" s="6">
        <v>0</v>
      </c>
      <c r="V297" s="8">
        <v>-16.599562031054027</v>
      </c>
      <c r="W297" s="8">
        <v>-118.72718333948259</v>
      </c>
      <c r="X297" s="8">
        <f t="shared" si="12"/>
        <v>14.069312908949627</v>
      </c>
    </row>
    <row r="298" spans="1:25" x14ac:dyDescent="0.35">
      <c r="A298" s="6" t="s">
        <v>25</v>
      </c>
      <c r="B298" s="7"/>
      <c r="C298" s="6">
        <v>510645</v>
      </c>
      <c r="D298" s="6" t="s">
        <v>482</v>
      </c>
      <c r="E298" s="6">
        <v>1</v>
      </c>
      <c r="F298" s="6">
        <v>7</v>
      </c>
      <c r="G298" s="6" t="s">
        <v>272</v>
      </c>
      <c r="H298" s="6">
        <v>27</v>
      </c>
      <c r="I298" s="8">
        <v>86.191348333333295</v>
      </c>
      <c r="J298" s="8">
        <v>118.623774583333</v>
      </c>
      <c r="K298" s="6" t="s">
        <v>198</v>
      </c>
      <c r="L298" s="9">
        <v>43784</v>
      </c>
      <c r="N298" s="6">
        <v>7</v>
      </c>
      <c r="O298" s="6" t="s">
        <v>4260</v>
      </c>
      <c r="Q298" s="6" t="s">
        <v>484</v>
      </c>
      <c r="R298" s="6">
        <v>9</v>
      </c>
      <c r="S298" s="6">
        <v>18</v>
      </c>
      <c r="T298" s="10">
        <f t="shared" si="13"/>
        <v>13.5</v>
      </c>
      <c r="U298" s="6">
        <v>0</v>
      </c>
      <c r="V298" s="8">
        <v>-19.138908993911748</v>
      </c>
      <c r="W298" s="8">
        <v>-143.85988320159913</v>
      </c>
      <c r="X298" s="8">
        <f t="shared" si="12"/>
        <v>9.2513887496948541</v>
      </c>
    </row>
    <row r="299" spans="1:25" x14ac:dyDescent="0.35">
      <c r="A299" s="6" t="s">
        <v>25</v>
      </c>
      <c r="B299" s="7"/>
      <c r="C299" s="6">
        <v>510646</v>
      </c>
      <c r="D299" s="6" t="s">
        <v>482</v>
      </c>
      <c r="E299" s="6">
        <v>1</v>
      </c>
      <c r="F299" s="6">
        <v>7</v>
      </c>
      <c r="G299" s="6" t="s">
        <v>272</v>
      </c>
      <c r="H299" s="6">
        <v>27</v>
      </c>
      <c r="I299" s="8">
        <v>86.191348333333295</v>
      </c>
      <c r="J299" s="8">
        <v>118.623774583333</v>
      </c>
      <c r="K299" s="6" t="s">
        <v>198</v>
      </c>
      <c r="L299" s="9">
        <v>43784</v>
      </c>
      <c r="N299" s="6">
        <v>7</v>
      </c>
      <c r="O299" s="6" t="s">
        <v>4260</v>
      </c>
      <c r="Q299" s="6" t="s">
        <v>485</v>
      </c>
      <c r="R299" s="6">
        <v>18</v>
      </c>
      <c r="S299" s="6">
        <v>27</v>
      </c>
      <c r="T299" s="10">
        <f t="shared" si="13"/>
        <v>22.5</v>
      </c>
      <c r="U299" s="6">
        <v>0</v>
      </c>
      <c r="V299" s="8">
        <v>-19.408089699293235</v>
      </c>
      <c r="W299" s="8">
        <v>-149.18799713407122</v>
      </c>
      <c r="X299" s="8">
        <f t="shared" si="12"/>
        <v>6.0767204602746574</v>
      </c>
    </row>
    <row r="300" spans="1:25" x14ac:dyDescent="0.35">
      <c r="A300" s="6" t="s">
        <v>25</v>
      </c>
      <c r="B300" s="24" t="s">
        <v>3335</v>
      </c>
      <c r="C300" s="17"/>
      <c r="D300" s="24" t="s">
        <v>3637</v>
      </c>
      <c r="E300" s="24">
        <v>1</v>
      </c>
      <c r="F300" s="24">
        <v>7</v>
      </c>
      <c r="G300" s="24" t="s">
        <v>3939</v>
      </c>
      <c r="H300" s="17"/>
      <c r="I300" s="26">
        <v>86.156905694444433</v>
      </c>
      <c r="J300" s="26">
        <v>120.97146201388884</v>
      </c>
      <c r="K300" s="7" t="s">
        <v>2610</v>
      </c>
      <c r="L300" s="25">
        <v>43785</v>
      </c>
      <c r="M300" s="17"/>
      <c r="N300" s="6">
        <v>7</v>
      </c>
      <c r="O300" s="24" t="s">
        <v>4261</v>
      </c>
      <c r="P300" s="17"/>
      <c r="Q300" s="17"/>
      <c r="R300" s="17"/>
      <c r="S300" s="17"/>
      <c r="T300" s="17"/>
      <c r="U300" s="17"/>
      <c r="V300" s="26">
        <v>-1.5489186494159703</v>
      </c>
      <c r="W300" s="26">
        <v>-11.370618839836119</v>
      </c>
      <c r="X300" s="27">
        <f t="shared" si="12"/>
        <v>1.0207303554916436</v>
      </c>
      <c r="Y300" s="17"/>
    </row>
    <row r="301" spans="1:25" x14ac:dyDescent="0.35">
      <c r="A301" s="6" t="s">
        <v>25</v>
      </c>
      <c r="B301" s="6" t="s">
        <v>3336</v>
      </c>
      <c r="D301" s="6" t="s">
        <v>3638</v>
      </c>
      <c r="E301" s="6">
        <v>1</v>
      </c>
      <c r="F301" s="6">
        <v>7</v>
      </c>
      <c r="G301" s="6" t="s">
        <v>3940</v>
      </c>
      <c r="I301" s="8">
        <v>85.997472777777773</v>
      </c>
      <c r="J301" s="8">
        <v>122.26440229166666</v>
      </c>
      <c r="K301" s="7" t="s">
        <v>2610</v>
      </c>
      <c r="L301" s="9">
        <v>43786</v>
      </c>
      <c r="N301" s="6">
        <v>7</v>
      </c>
      <c r="O301" s="6" t="s">
        <v>4262</v>
      </c>
      <c r="V301" s="8">
        <v>-1.6481019908595089</v>
      </c>
      <c r="W301" s="8">
        <v>-11.859810813999175</v>
      </c>
      <c r="X301" s="27">
        <f t="shared" si="12"/>
        <v>1.3250051128768963</v>
      </c>
    </row>
    <row r="302" spans="1:25" x14ac:dyDescent="0.35">
      <c r="A302" s="6" t="s">
        <v>25</v>
      </c>
      <c r="B302" s="7" t="s">
        <v>486</v>
      </c>
      <c r="C302" s="6">
        <v>510672</v>
      </c>
      <c r="D302" s="6" t="s">
        <v>487</v>
      </c>
      <c r="E302" s="6">
        <v>1</v>
      </c>
      <c r="F302" s="6">
        <v>8</v>
      </c>
      <c r="G302" s="6" t="s">
        <v>202</v>
      </c>
      <c r="I302" s="8">
        <v>85.829729583333304</v>
      </c>
      <c r="J302" s="8">
        <v>120.62869888888901</v>
      </c>
      <c r="K302" s="6" t="s">
        <v>29</v>
      </c>
      <c r="L302" s="9">
        <v>43787</v>
      </c>
      <c r="N302" s="6">
        <v>8</v>
      </c>
      <c r="O302" s="6" t="s">
        <v>4263</v>
      </c>
      <c r="P302" s="8">
        <v>-5.8</v>
      </c>
      <c r="Q302" s="10" t="s">
        <v>422</v>
      </c>
      <c r="R302" s="10">
        <v>0</v>
      </c>
      <c r="S302" s="10">
        <v>10</v>
      </c>
      <c r="T302" s="10">
        <f>AVERAGE(R302:S302)</f>
        <v>5</v>
      </c>
      <c r="U302" s="6">
        <v>6</v>
      </c>
      <c r="V302" s="8">
        <v>-6.0056913136138919</v>
      </c>
      <c r="W302" s="8">
        <v>-46.932632494903558</v>
      </c>
      <c r="X302" s="8">
        <f t="shared" si="12"/>
        <v>1.1128980140075768</v>
      </c>
    </row>
    <row r="303" spans="1:25" x14ac:dyDescent="0.35">
      <c r="A303" s="6" t="s">
        <v>25</v>
      </c>
      <c r="B303" s="7" t="s">
        <v>488</v>
      </c>
      <c r="C303" s="6">
        <v>510676</v>
      </c>
      <c r="D303" s="6" t="s">
        <v>489</v>
      </c>
      <c r="E303" s="6">
        <v>1</v>
      </c>
      <c r="F303" s="6">
        <v>8</v>
      </c>
      <c r="G303" s="6" t="s">
        <v>202</v>
      </c>
      <c r="I303" s="8">
        <v>85.829729583333304</v>
      </c>
      <c r="J303" s="8">
        <v>120.62869888888901</v>
      </c>
      <c r="K303" s="6" t="s">
        <v>29</v>
      </c>
      <c r="L303" s="9">
        <v>43787</v>
      </c>
      <c r="N303" s="6">
        <v>8</v>
      </c>
      <c r="O303" s="6" t="s">
        <v>4263</v>
      </c>
      <c r="P303" s="8">
        <v>-2</v>
      </c>
      <c r="Q303" s="10" t="s">
        <v>159</v>
      </c>
      <c r="R303" s="10">
        <v>40</v>
      </c>
      <c r="S303" s="10">
        <v>50</v>
      </c>
      <c r="T303" s="10">
        <f>AVERAGE(R303:S303)</f>
        <v>45</v>
      </c>
      <c r="U303" s="6">
        <v>5.9</v>
      </c>
      <c r="V303" s="8">
        <v>0.75441726304054257</v>
      </c>
      <c r="W303" s="8">
        <v>6.2584710131149297</v>
      </c>
      <c r="X303" s="8">
        <f t="shared" si="12"/>
        <v>0.22313290879058911</v>
      </c>
    </row>
    <row r="304" spans="1:25" x14ac:dyDescent="0.35">
      <c r="A304" s="6" t="s">
        <v>25</v>
      </c>
      <c r="B304" s="7" t="s">
        <v>490</v>
      </c>
      <c r="C304" s="6">
        <v>510675</v>
      </c>
      <c r="D304" s="6" t="s">
        <v>491</v>
      </c>
      <c r="E304" s="6">
        <v>1</v>
      </c>
      <c r="F304" s="6">
        <v>8</v>
      </c>
      <c r="G304" s="6" t="s">
        <v>202</v>
      </c>
      <c r="I304" s="8">
        <v>85.829729583333304</v>
      </c>
      <c r="J304" s="8">
        <v>120.62869888888901</v>
      </c>
      <c r="K304" s="6" t="s">
        <v>29</v>
      </c>
      <c r="L304" s="9">
        <v>43787</v>
      </c>
      <c r="N304" s="6">
        <v>8</v>
      </c>
      <c r="O304" s="6" t="s">
        <v>4263</v>
      </c>
      <c r="P304" s="8">
        <v>-2.95</v>
      </c>
      <c r="Q304" s="10" t="s">
        <v>492</v>
      </c>
      <c r="R304" s="10">
        <v>30</v>
      </c>
      <c r="S304" s="10">
        <v>40</v>
      </c>
      <c r="T304" s="10">
        <f>AVERAGE(R304:S304)</f>
        <v>35</v>
      </c>
      <c r="U304" s="6">
        <v>4.8</v>
      </c>
      <c r="V304" s="8">
        <v>0.90774568188095106</v>
      </c>
      <c r="W304" s="8">
        <v>7.5538018973503114</v>
      </c>
      <c r="X304" s="8">
        <f t="shared" si="12"/>
        <v>0.29183644230270289</v>
      </c>
    </row>
    <row r="305" spans="1:24" x14ac:dyDescent="0.35">
      <c r="A305" s="6" t="s">
        <v>25</v>
      </c>
      <c r="B305" s="7" t="s">
        <v>493</v>
      </c>
      <c r="C305" s="6">
        <v>510674</v>
      </c>
      <c r="D305" s="6" t="s">
        <v>494</v>
      </c>
      <c r="E305" s="6">
        <v>1</v>
      </c>
      <c r="F305" s="6">
        <v>8</v>
      </c>
      <c r="G305" s="6" t="s">
        <v>202</v>
      </c>
      <c r="I305" s="8">
        <v>85.829729583333304</v>
      </c>
      <c r="J305" s="8">
        <v>120.62869888888901</v>
      </c>
      <c r="K305" s="6" t="s">
        <v>29</v>
      </c>
      <c r="L305" s="9">
        <v>43787</v>
      </c>
      <c r="N305" s="6">
        <v>8</v>
      </c>
      <c r="O305" s="6" t="s">
        <v>4263</v>
      </c>
      <c r="P305" s="8">
        <v>-3.75</v>
      </c>
      <c r="Q305" s="10" t="s">
        <v>111</v>
      </c>
      <c r="R305" s="10">
        <v>20</v>
      </c>
      <c r="S305" s="10">
        <v>30</v>
      </c>
      <c r="T305" s="10">
        <f>AVERAGE(R305:S305)</f>
        <v>25</v>
      </c>
      <c r="U305" s="6">
        <v>5.0999999999999996</v>
      </c>
      <c r="V305" s="8">
        <v>1.0932815381355285</v>
      </c>
      <c r="W305" s="8">
        <v>8.5169217619705204</v>
      </c>
      <c r="X305" s="8">
        <f t="shared" si="12"/>
        <v>-0.22933054311370782</v>
      </c>
    </row>
    <row r="306" spans="1:24" x14ac:dyDescent="0.35">
      <c r="A306" s="6" t="s">
        <v>25</v>
      </c>
      <c r="B306" s="7" t="s">
        <v>495</v>
      </c>
      <c r="C306" s="6">
        <v>510673</v>
      </c>
      <c r="D306" s="6" t="s">
        <v>496</v>
      </c>
      <c r="E306" s="6">
        <v>1</v>
      </c>
      <c r="F306" s="6">
        <v>8</v>
      </c>
      <c r="G306" s="6" t="s">
        <v>202</v>
      </c>
      <c r="I306" s="8">
        <v>85.829729583333304</v>
      </c>
      <c r="J306" s="8">
        <v>120.62869888888901</v>
      </c>
      <c r="K306" s="6" t="s">
        <v>29</v>
      </c>
      <c r="L306" s="9">
        <v>43787</v>
      </c>
      <c r="N306" s="6">
        <v>8</v>
      </c>
      <c r="O306" s="6" t="s">
        <v>4263</v>
      </c>
      <c r="P306" s="8">
        <v>-4.8</v>
      </c>
      <c r="Q306" s="10" t="s">
        <v>109</v>
      </c>
      <c r="R306" s="10">
        <v>10</v>
      </c>
      <c r="S306" s="10">
        <v>20</v>
      </c>
      <c r="T306" s="10">
        <f>AVERAGE(R306:S306)</f>
        <v>15</v>
      </c>
      <c r="U306" s="6">
        <v>4.8</v>
      </c>
      <c r="V306" s="8">
        <v>-1.7685017141494748</v>
      </c>
      <c r="W306" s="8">
        <v>-13.617832814369201</v>
      </c>
      <c r="X306" s="8">
        <f t="shared" si="12"/>
        <v>0.5301808988265968</v>
      </c>
    </row>
    <row r="307" spans="1:24" x14ac:dyDescent="0.35">
      <c r="A307" s="6" t="s">
        <v>25</v>
      </c>
      <c r="B307" s="6" t="s">
        <v>3337</v>
      </c>
      <c r="D307" s="6" t="s">
        <v>3639</v>
      </c>
      <c r="E307" s="6">
        <v>1</v>
      </c>
      <c r="F307" s="6">
        <v>8</v>
      </c>
      <c r="G307" s="6" t="s">
        <v>3941</v>
      </c>
      <c r="I307" s="8">
        <v>85.829729583333304</v>
      </c>
      <c r="J307" s="8">
        <v>120.62869888888901</v>
      </c>
      <c r="K307" s="7" t="s">
        <v>2610</v>
      </c>
      <c r="L307" s="9">
        <v>43787</v>
      </c>
      <c r="N307" s="6">
        <v>8</v>
      </c>
      <c r="O307" s="6" t="s">
        <v>4263</v>
      </c>
      <c r="V307" s="8">
        <v>-1.2811546465563775</v>
      </c>
      <c r="W307" s="8">
        <v>-9.1420539792537685</v>
      </c>
      <c r="X307" s="27">
        <f t="shared" si="12"/>
        <v>1.1071831931972511</v>
      </c>
    </row>
    <row r="308" spans="1:24" x14ac:dyDescent="0.35">
      <c r="A308" s="6" t="s">
        <v>25</v>
      </c>
      <c r="B308" s="7" t="s">
        <v>497</v>
      </c>
      <c r="C308" s="6">
        <v>510677</v>
      </c>
      <c r="D308" s="6" t="s">
        <v>498</v>
      </c>
      <c r="E308" s="6">
        <v>1</v>
      </c>
      <c r="F308" s="6">
        <v>8</v>
      </c>
      <c r="G308" s="6" t="s">
        <v>179</v>
      </c>
      <c r="I308" s="8">
        <v>85.788680208333304</v>
      </c>
      <c r="J308" s="8">
        <v>120.807478194444</v>
      </c>
      <c r="K308" s="6" t="s">
        <v>29</v>
      </c>
      <c r="L308" s="9">
        <v>43788</v>
      </c>
      <c r="N308" s="6">
        <v>8</v>
      </c>
      <c r="O308" s="6" t="s">
        <v>4264</v>
      </c>
      <c r="P308" s="8">
        <v>-6.2666666666666666</v>
      </c>
      <c r="Q308" s="10" t="s">
        <v>422</v>
      </c>
      <c r="R308" s="10">
        <v>0</v>
      </c>
      <c r="S308" s="10">
        <v>10</v>
      </c>
      <c r="T308" s="10">
        <f t="shared" ref="T308:T314" si="14">AVERAGE(R308:S308)</f>
        <v>5</v>
      </c>
      <c r="U308" s="6">
        <v>6.1</v>
      </c>
      <c r="V308" s="8">
        <v>-1.1915258343658448</v>
      </c>
      <c r="W308" s="8">
        <v>-9.525246726760864</v>
      </c>
      <c r="X308" s="8">
        <f t="shared" si="12"/>
        <v>6.9599481658944029E-3</v>
      </c>
    </row>
    <row r="309" spans="1:24" x14ac:dyDescent="0.35">
      <c r="A309" s="6" t="s">
        <v>25</v>
      </c>
      <c r="B309" s="7" t="s">
        <v>499</v>
      </c>
      <c r="C309" s="6">
        <v>510679</v>
      </c>
      <c r="D309" s="6" t="s">
        <v>500</v>
      </c>
      <c r="E309" s="6">
        <v>1</v>
      </c>
      <c r="F309" s="6">
        <v>8</v>
      </c>
      <c r="G309" s="6" t="s">
        <v>179</v>
      </c>
      <c r="I309" s="8">
        <v>85.788680208333304</v>
      </c>
      <c r="J309" s="8">
        <v>120.807478194444</v>
      </c>
      <c r="K309" s="6" t="s">
        <v>29</v>
      </c>
      <c r="L309" s="9">
        <v>43788</v>
      </c>
      <c r="N309" s="6">
        <v>8</v>
      </c>
      <c r="O309" s="6" t="s">
        <v>4264</v>
      </c>
      <c r="P309" s="8">
        <v>-4.833333333333333</v>
      </c>
      <c r="Q309" s="10" t="s">
        <v>501</v>
      </c>
      <c r="R309" s="10">
        <v>17.5</v>
      </c>
      <c r="S309" s="10">
        <v>27.5</v>
      </c>
      <c r="T309" s="10">
        <f t="shared" si="14"/>
        <v>22.5</v>
      </c>
      <c r="U309" s="6">
        <v>5.0999999999999996</v>
      </c>
      <c r="V309" s="8">
        <v>0.32871546478652947</v>
      </c>
      <c r="W309" s="8">
        <v>2.9548660347251889</v>
      </c>
      <c r="X309" s="8">
        <f t="shared" si="12"/>
        <v>0.32514231643295322</v>
      </c>
    </row>
    <row r="310" spans="1:24" x14ac:dyDescent="0.35">
      <c r="A310" s="6" t="s">
        <v>25</v>
      </c>
      <c r="B310" s="7" t="s">
        <v>502</v>
      </c>
      <c r="C310" s="6">
        <v>510678</v>
      </c>
      <c r="D310" s="6" t="s">
        <v>503</v>
      </c>
      <c r="E310" s="6">
        <v>1</v>
      </c>
      <c r="F310" s="6">
        <v>8</v>
      </c>
      <c r="G310" s="6" t="s">
        <v>179</v>
      </c>
      <c r="I310" s="8">
        <v>85.788680208333304</v>
      </c>
      <c r="J310" s="8">
        <v>120.807478194444</v>
      </c>
      <c r="K310" s="6" t="s">
        <v>29</v>
      </c>
      <c r="L310" s="9">
        <v>43788</v>
      </c>
      <c r="N310" s="6">
        <v>8</v>
      </c>
      <c r="O310" s="6" t="s">
        <v>4264</v>
      </c>
      <c r="P310" s="8">
        <v>-5.4499999999999993</v>
      </c>
      <c r="Q310" s="10" t="s">
        <v>504</v>
      </c>
      <c r="R310" s="10">
        <v>10</v>
      </c>
      <c r="S310" s="10">
        <v>17.5</v>
      </c>
      <c r="T310" s="10">
        <f t="shared" si="14"/>
        <v>13.75</v>
      </c>
      <c r="U310" s="6">
        <v>4</v>
      </c>
      <c r="V310" s="8">
        <v>-2.3961139773864746</v>
      </c>
      <c r="W310" s="8">
        <v>-17.684685740447996</v>
      </c>
      <c r="X310" s="8">
        <f t="shared" si="12"/>
        <v>1.4842260786438004</v>
      </c>
    </row>
    <row r="311" spans="1:24" x14ac:dyDescent="0.35">
      <c r="A311" s="6" t="s">
        <v>25</v>
      </c>
      <c r="B311" s="7" t="s">
        <v>505</v>
      </c>
      <c r="C311" s="6">
        <v>510682</v>
      </c>
      <c r="D311" s="6" t="s">
        <v>506</v>
      </c>
      <c r="E311" s="6">
        <v>1</v>
      </c>
      <c r="F311" s="6">
        <v>8</v>
      </c>
      <c r="G311" s="6" t="s">
        <v>179</v>
      </c>
      <c r="I311" s="8">
        <v>85.788680208333304</v>
      </c>
      <c r="J311" s="8">
        <v>120.807478194444</v>
      </c>
      <c r="K311" s="6" t="s">
        <v>29</v>
      </c>
      <c r="L311" s="9">
        <v>43788</v>
      </c>
      <c r="N311" s="6">
        <v>8</v>
      </c>
      <c r="O311" s="6" t="s">
        <v>4264</v>
      </c>
      <c r="P311" s="8">
        <v>-2.3000000000000003</v>
      </c>
      <c r="Q311" s="10" t="s">
        <v>507</v>
      </c>
      <c r="R311" s="10">
        <v>47.5</v>
      </c>
      <c r="S311" s="10">
        <v>57</v>
      </c>
      <c r="T311" s="10">
        <f t="shared" si="14"/>
        <v>52.25</v>
      </c>
      <c r="U311" s="6">
        <v>5.2</v>
      </c>
      <c r="V311" s="8">
        <v>0.84002982193756104</v>
      </c>
      <c r="W311" s="8">
        <v>7.0100583707199089</v>
      </c>
      <c r="X311" s="8">
        <f t="shared" si="12"/>
        <v>0.28981979521942058</v>
      </c>
    </row>
    <row r="312" spans="1:24" x14ac:dyDescent="0.35">
      <c r="A312" s="6" t="s">
        <v>25</v>
      </c>
      <c r="B312" s="7" t="s">
        <v>508</v>
      </c>
      <c r="C312" s="6">
        <v>510681</v>
      </c>
      <c r="D312" s="6" t="s">
        <v>509</v>
      </c>
      <c r="E312" s="6">
        <v>1</v>
      </c>
      <c r="F312" s="6">
        <v>8</v>
      </c>
      <c r="G312" s="6" t="s">
        <v>179</v>
      </c>
      <c r="I312" s="8">
        <v>85.788680208333304</v>
      </c>
      <c r="J312" s="8">
        <v>120.807478194444</v>
      </c>
      <c r="K312" s="6" t="s">
        <v>29</v>
      </c>
      <c r="L312" s="9">
        <v>43788</v>
      </c>
      <c r="N312" s="6">
        <v>8</v>
      </c>
      <c r="O312" s="6" t="s">
        <v>4264</v>
      </c>
      <c r="P312" s="8">
        <v>-3.35</v>
      </c>
      <c r="Q312" s="10" t="s">
        <v>510</v>
      </c>
      <c r="R312" s="10">
        <v>37.5</v>
      </c>
      <c r="S312" s="10">
        <v>47.5</v>
      </c>
      <c r="T312" s="10">
        <f t="shared" si="14"/>
        <v>42.5</v>
      </c>
      <c r="U312" s="6">
        <v>4.8</v>
      </c>
      <c r="V312" s="8">
        <v>0.78531542216936756</v>
      </c>
      <c r="W312" s="8">
        <v>6.8051776831944792</v>
      </c>
      <c r="X312" s="8">
        <f t="shared" si="12"/>
        <v>0.52265430583953876</v>
      </c>
    </row>
    <row r="313" spans="1:24" x14ac:dyDescent="0.35">
      <c r="A313" s="6" t="s">
        <v>25</v>
      </c>
      <c r="B313" s="7" t="s">
        <v>511</v>
      </c>
      <c r="C313" s="6">
        <v>510680</v>
      </c>
      <c r="D313" s="6" t="s">
        <v>512</v>
      </c>
      <c r="E313" s="6">
        <v>1</v>
      </c>
      <c r="F313" s="6">
        <v>8</v>
      </c>
      <c r="G313" s="6" t="s">
        <v>179</v>
      </c>
      <c r="I313" s="8">
        <v>85.788680208333304</v>
      </c>
      <c r="J313" s="8">
        <v>120.807478194444</v>
      </c>
      <c r="K313" s="6" t="s">
        <v>29</v>
      </c>
      <c r="L313" s="9">
        <v>43788</v>
      </c>
      <c r="N313" s="6">
        <v>8</v>
      </c>
      <c r="O313" s="6" t="s">
        <v>4264</v>
      </c>
      <c r="P313" s="8">
        <v>-3.7</v>
      </c>
      <c r="Q313" s="10" t="s">
        <v>513</v>
      </c>
      <c r="R313" s="10">
        <v>27.5</v>
      </c>
      <c r="S313" s="10">
        <v>37.5</v>
      </c>
      <c r="T313" s="10">
        <f t="shared" si="14"/>
        <v>32.5</v>
      </c>
      <c r="U313" s="6">
        <v>4.7</v>
      </c>
      <c r="V313" s="8">
        <v>1.0681391934633253</v>
      </c>
      <c r="W313" s="8">
        <v>9.0338456811904919</v>
      </c>
      <c r="X313" s="8">
        <f t="shared" si="12"/>
        <v>0.48873213348388944</v>
      </c>
    </row>
    <row r="314" spans="1:24" x14ac:dyDescent="0.35">
      <c r="A314" s="6" t="s">
        <v>25</v>
      </c>
      <c r="B314" s="7" t="s">
        <v>519</v>
      </c>
      <c r="C314" s="6">
        <v>510658</v>
      </c>
      <c r="D314" s="6" t="s">
        <v>520</v>
      </c>
      <c r="E314" s="6">
        <v>1</v>
      </c>
      <c r="F314" s="6">
        <v>8</v>
      </c>
      <c r="I314" s="8">
        <v>85.788680208333304</v>
      </c>
      <c r="J314" s="8">
        <v>120.807478194444</v>
      </c>
      <c r="K314" s="7" t="s">
        <v>2610</v>
      </c>
      <c r="L314" s="9">
        <v>43788</v>
      </c>
      <c r="N314" s="6">
        <v>8</v>
      </c>
      <c r="O314" s="6" t="s">
        <v>4264</v>
      </c>
      <c r="Q314" s="10">
        <v>200</v>
      </c>
      <c r="R314" s="10"/>
      <c r="S314" s="10">
        <v>200</v>
      </c>
      <c r="T314" s="10">
        <f t="shared" si="14"/>
        <v>200</v>
      </c>
      <c r="V314" s="8">
        <v>-1.4054230320930479</v>
      </c>
      <c r="W314" s="8">
        <v>-9.2816918754577653</v>
      </c>
      <c r="X314" s="8">
        <f t="shared" si="12"/>
        <v>1.9616923812866176</v>
      </c>
    </row>
    <row r="315" spans="1:24" x14ac:dyDescent="0.35">
      <c r="A315" s="6" t="s">
        <v>25</v>
      </c>
      <c r="B315" s="6" t="s">
        <v>3338</v>
      </c>
      <c r="D315" s="6" t="s">
        <v>3640</v>
      </c>
      <c r="E315" s="6">
        <v>1</v>
      </c>
      <c r="F315" s="6">
        <v>8</v>
      </c>
      <c r="G315" s="6" t="s">
        <v>3942</v>
      </c>
      <c r="I315" s="8">
        <v>85.788680208333304</v>
      </c>
      <c r="J315" s="8">
        <v>120.807478194444</v>
      </c>
      <c r="K315" s="7" t="s">
        <v>2610</v>
      </c>
      <c r="L315" s="9">
        <v>43788</v>
      </c>
      <c r="N315" s="6">
        <v>8</v>
      </c>
      <c r="O315" s="6" t="s">
        <v>4264</v>
      </c>
      <c r="V315" s="8">
        <v>-1.3020302852821355</v>
      </c>
      <c r="W315" s="8">
        <v>-10.071752795410156</v>
      </c>
      <c r="X315" s="27">
        <f t="shared" si="12"/>
        <v>0.34448948684692837</v>
      </c>
    </row>
    <row r="316" spans="1:24" x14ac:dyDescent="0.35">
      <c r="A316" s="6" t="s">
        <v>25</v>
      </c>
      <c r="B316" s="7"/>
      <c r="C316" s="6">
        <v>510683</v>
      </c>
      <c r="D316" s="6" t="s">
        <v>514</v>
      </c>
      <c r="E316" s="6">
        <v>1</v>
      </c>
      <c r="F316" s="6">
        <v>8</v>
      </c>
      <c r="G316" s="6" t="s">
        <v>179</v>
      </c>
      <c r="H316" s="6">
        <v>8</v>
      </c>
      <c r="I316" s="8">
        <v>85.788680208333304</v>
      </c>
      <c r="J316" s="8">
        <v>120.807478194444</v>
      </c>
      <c r="K316" s="6" t="s">
        <v>198</v>
      </c>
      <c r="L316" s="9">
        <v>43788</v>
      </c>
      <c r="N316" s="6">
        <v>8</v>
      </c>
      <c r="O316" s="6" t="s">
        <v>4264</v>
      </c>
      <c r="Q316" s="6" t="s">
        <v>515</v>
      </c>
      <c r="R316" s="6">
        <v>0</v>
      </c>
      <c r="S316" s="6">
        <v>4</v>
      </c>
      <c r="T316" s="10">
        <f t="shared" ref="T316:T326" si="15">AVERAGE(R316:S316)</f>
        <v>2</v>
      </c>
      <c r="U316" s="6">
        <v>14.9</v>
      </c>
      <c r="V316" s="8">
        <v>-14.234494802665708</v>
      </c>
      <c r="W316" s="8">
        <v>-104.04004573059083</v>
      </c>
      <c r="X316" s="8">
        <f t="shared" si="12"/>
        <v>9.8359126907348298</v>
      </c>
    </row>
    <row r="317" spans="1:24" x14ac:dyDescent="0.35">
      <c r="A317" s="6" t="s">
        <v>25</v>
      </c>
      <c r="B317" s="7"/>
      <c r="C317" s="6">
        <v>510684</v>
      </c>
      <c r="D317" s="6" t="s">
        <v>514</v>
      </c>
      <c r="E317" s="6">
        <v>1</v>
      </c>
      <c r="F317" s="6">
        <v>8</v>
      </c>
      <c r="G317" s="6" t="s">
        <v>179</v>
      </c>
      <c r="H317" s="6">
        <v>8</v>
      </c>
      <c r="I317" s="8">
        <v>85.788680208333304</v>
      </c>
      <c r="J317" s="8">
        <v>120.807478194444</v>
      </c>
      <c r="K317" s="6" t="s">
        <v>198</v>
      </c>
      <c r="L317" s="9">
        <v>43788</v>
      </c>
      <c r="N317" s="6">
        <v>8</v>
      </c>
      <c r="O317" s="6" t="s">
        <v>4264</v>
      </c>
      <c r="Q317" s="6" t="s">
        <v>516</v>
      </c>
      <c r="R317" s="6">
        <v>4</v>
      </c>
      <c r="S317" s="6">
        <v>8</v>
      </c>
      <c r="T317" s="10">
        <f t="shared" si="15"/>
        <v>6</v>
      </c>
      <c r="U317" s="6">
        <v>7.1</v>
      </c>
      <c r="V317" s="8">
        <v>-8.8874079520225511</v>
      </c>
      <c r="W317" s="8">
        <v>-69.237250408172599</v>
      </c>
      <c r="X317" s="8">
        <f t="shared" si="12"/>
        <v>1.8620132080078093</v>
      </c>
    </row>
    <row r="318" spans="1:24" x14ac:dyDescent="0.35">
      <c r="A318" s="6" t="s">
        <v>25</v>
      </c>
      <c r="B318" s="7"/>
      <c r="C318" s="6">
        <v>510690</v>
      </c>
      <c r="D318" s="6" t="s">
        <v>517</v>
      </c>
      <c r="E318" s="6">
        <v>1</v>
      </c>
      <c r="F318" s="6">
        <v>8</v>
      </c>
      <c r="G318" s="6" t="s">
        <v>179</v>
      </c>
      <c r="I318" s="8">
        <v>85.788680208333304</v>
      </c>
      <c r="J318" s="8">
        <v>120.807478194444</v>
      </c>
      <c r="K318" s="6" t="s">
        <v>198</v>
      </c>
      <c r="L318" s="9">
        <v>43788</v>
      </c>
      <c r="N318" s="6">
        <v>8</v>
      </c>
      <c r="O318" s="6" t="s">
        <v>4264</v>
      </c>
      <c r="Q318" s="6" t="s">
        <v>516</v>
      </c>
      <c r="R318" s="6">
        <v>4</v>
      </c>
      <c r="S318" s="6">
        <v>8</v>
      </c>
      <c r="T318" s="10">
        <f t="shared" si="15"/>
        <v>6</v>
      </c>
      <c r="V318" s="8">
        <v>-10.042081699180601</v>
      </c>
      <c r="W318" s="8">
        <v>-75.870291137695318</v>
      </c>
      <c r="X318" s="8">
        <f t="shared" si="12"/>
        <v>4.4663624557494899</v>
      </c>
    </row>
    <row r="319" spans="1:24" x14ac:dyDescent="0.35">
      <c r="A319" s="6" t="s">
        <v>25</v>
      </c>
      <c r="B319" s="7"/>
      <c r="C319" s="6">
        <v>510691</v>
      </c>
      <c r="D319" s="6" t="s">
        <v>517</v>
      </c>
      <c r="E319" s="6">
        <v>1</v>
      </c>
      <c r="F319" s="6">
        <v>8</v>
      </c>
      <c r="G319" s="6" t="s">
        <v>179</v>
      </c>
      <c r="I319" s="8">
        <v>85.788680208333304</v>
      </c>
      <c r="J319" s="8">
        <v>120.807478194444</v>
      </c>
      <c r="K319" s="6" t="s">
        <v>198</v>
      </c>
      <c r="L319" s="9">
        <v>43788</v>
      </c>
      <c r="N319" s="6">
        <v>8</v>
      </c>
      <c r="O319" s="6" t="s">
        <v>4264</v>
      </c>
      <c r="Q319" s="6" t="s">
        <v>518</v>
      </c>
      <c r="R319" s="6">
        <v>0</v>
      </c>
      <c r="S319" s="6">
        <v>4</v>
      </c>
      <c r="T319" s="10">
        <f t="shared" si="15"/>
        <v>2</v>
      </c>
      <c r="V319" s="8">
        <v>-14.927699159431455</v>
      </c>
      <c r="W319" s="8">
        <v>-110.49248062133788</v>
      </c>
      <c r="X319" s="8">
        <f t="shared" si="12"/>
        <v>8.9291126541137658</v>
      </c>
    </row>
    <row r="320" spans="1:24" x14ac:dyDescent="0.35">
      <c r="A320" s="6" t="s">
        <v>25</v>
      </c>
      <c r="B320" s="7" t="s">
        <v>521</v>
      </c>
      <c r="C320" s="6">
        <v>511742</v>
      </c>
      <c r="D320" s="6" t="s">
        <v>522</v>
      </c>
      <c r="E320" s="6">
        <v>1</v>
      </c>
      <c r="F320" s="6">
        <v>8</v>
      </c>
      <c r="G320" s="6" t="s">
        <v>272</v>
      </c>
      <c r="I320" s="8">
        <v>85.759181597222195</v>
      </c>
      <c r="J320" s="8">
        <v>121.429430833333</v>
      </c>
      <c r="K320" s="6" t="s">
        <v>29</v>
      </c>
      <c r="L320" s="9">
        <v>43789</v>
      </c>
      <c r="N320" s="6">
        <v>8</v>
      </c>
      <c r="O320" s="6" t="s">
        <v>4265</v>
      </c>
      <c r="P320" s="8">
        <v>-2.65</v>
      </c>
      <c r="Q320" s="10" t="s">
        <v>523</v>
      </c>
      <c r="R320" s="10">
        <v>32</v>
      </c>
      <c r="S320" s="10">
        <v>42</v>
      </c>
      <c r="T320" s="10">
        <f t="shared" si="15"/>
        <v>37</v>
      </c>
      <c r="U320" s="6">
        <v>0.1</v>
      </c>
      <c r="V320" s="8">
        <v>-7.7442740628242497</v>
      </c>
      <c r="W320" s="8">
        <v>-59.422231876373289</v>
      </c>
      <c r="X320" s="8">
        <f t="shared" si="12"/>
        <v>2.5319606262207088</v>
      </c>
    </row>
    <row r="321" spans="1:24" x14ac:dyDescent="0.35">
      <c r="A321" s="6" t="s">
        <v>25</v>
      </c>
      <c r="B321" s="7" t="s">
        <v>524</v>
      </c>
      <c r="C321" s="6">
        <v>511741</v>
      </c>
      <c r="D321" s="6" t="s">
        <v>525</v>
      </c>
      <c r="E321" s="6">
        <v>1</v>
      </c>
      <c r="F321" s="6">
        <v>8</v>
      </c>
      <c r="G321" s="6" t="s">
        <v>272</v>
      </c>
      <c r="I321" s="8">
        <v>85.759181597222195</v>
      </c>
      <c r="J321" s="8">
        <v>121.429430833333</v>
      </c>
      <c r="K321" s="6" t="s">
        <v>29</v>
      </c>
      <c r="L321" s="9">
        <v>43789</v>
      </c>
      <c r="N321" s="6">
        <v>8</v>
      </c>
      <c r="O321" s="6" t="s">
        <v>4265</v>
      </c>
      <c r="P321" s="8">
        <v>-3.5</v>
      </c>
      <c r="Q321" s="10" t="s">
        <v>526</v>
      </c>
      <c r="R321" s="10">
        <v>22</v>
      </c>
      <c r="S321" s="10">
        <v>32</v>
      </c>
      <c r="T321" s="10">
        <f t="shared" si="15"/>
        <v>27</v>
      </c>
      <c r="U321" s="6">
        <v>0.1</v>
      </c>
      <c r="V321" s="8">
        <v>-7.5617114118576048</v>
      </c>
      <c r="W321" s="8">
        <v>-58.084247634887696</v>
      </c>
      <c r="X321" s="8">
        <f t="shared" si="12"/>
        <v>2.4094436599731424</v>
      </c>
    </row>
    <row r="322" spans="1:24" x14ac:dyDescent="0.35">
      <c r="A322" s="6" t="s">
        <v>25</v>
      </c>
      <c r="B322" s="7" t="s">
        <v>527</v>
      </c>
      <c r="C322" s="6">
        <v>511744</v>
      </c>
      <c r="D322" s="6" t="s">
        <v>528</v>
      </c>
      <c r="E322" s="6">
        <v>1</v>
      </c>
      <c r="F322" s="6">
        <v>8</v>
      </c>
      <c r="G322" s="6" t="s">
        <v>272</v>
      </c>
      <c r="I322" s="8">
        <v>85.759181597222195</v>
      </c>
      <c r="J322" s="8">
        <v>121.429430833333</v>
      </c>
      <c r="K322" s="6" t="s">
        <v>29</v>
      </c>
      <c r="L322" s="9">
        <v>43789</v>
      </c>
      <c r="N322" s="6">
        <v>8</v>
      </c>
      <c r="O322" s="6" t="s">
        <v>4265</v>
      </c>
      <c r="P322" s="8">
        <v>-2.3499999999999996</v>
      </c>
      <c r="Q322" s="10" t="s">
        <v>529</v>
      </c>
      <c r="R322" s="10">
        <v>52</v>
      </c>
      <c r="S322" s="10">
        <v>62</v>
      </c>
      <c r="T322" s="10">
        <f t="shared" si="15"/>
        <v>57</v>
      </c>
      <c r="U322" s="6">
        <v>0</v>
      </c>
      <c r="V322" s="8">
        <v>-5.4646301130294805</v>
      </c>
      <c r="W322" s="8">
        <v>-42.125679359436035</v>
      </c>
      <c r="X322" s="8">
        <f t="shared" ref="X322:X385" si="16">W322-(8*V322)</f>
        <v>1.5913615447998097</v>
      </c>
    </row>
    <row r="323" spans="1:24" x14ac:dyDescent="0.35">
      <c r="A323" s="6" t="s">
        <v>25</v>
      </c>
      <c r="B323" s="7" t="s">
        <v>530</v>
      </c>
      <c r="C323" s="6">
        <v>511740</v>
      </c>
      <c r="D323" s="6" t="s">
        <v>531</v>
      </c>
      <c r="E323" s="6">
        <v>1</v>
      </c>
      <c r="F323" s="6">
        <v>8</v>
      </c>
      <c r="G323" s="6" t="s">
        <v>272</v>
      </c>
      <c r="I323" s="8">
        <v>85.759181597222195</v>
      </c>
      <c r="J323" s="8">
        <v>121.429430833333</v>
      </c>
      <c r="K323" s="6" t="s">
        <v>29</v>
      </c>
      <c r="L323" s="9">
        <v>43789</v>
      </c>
      <c r="N323" s="6">
        <v>8</v>
      </c>
      <c r="O323" s="6" t="s">
        <v>4265</v>
      </c>
      <c r="P323" s="8">
        <v>-4.5999999999999996</v>
      </c>
      <c r="Q323" s="10" t="s">
        <v>532</v>
      </c>
      <c r="R323" s="10">
        <v>12</v>
      </c>
      <c r="S323" s="10">
        <v>22</v>
      </c>
      <c r="T323" s="10">
        <f t="shared" si="15"/>
        <v>17</v>
      </c>
      <c r="U323" s="6">
        <v>0.2</v>
      </c>
      <c r="V323" s="8">
        <v>-8.5169632654190064</v>
      </c>
      <c r="W323" s="8">
        <v>-63.312075901031491</v>
      </c>
      <c r="X323" s="8">
        <f t="shared" si="16"/>
        <v>4.8236302223205598</v>
      </c>
    </row>
    <row r="324" spans="1:24" x14ac:dyDescent="0.35">
      <c r="A324" s="6" t="s">
        <v>25</v>
      </c>
      <c r="B324" s="7" t="s">
        <v>533</v>
      </c>
      <c r="C324" s="6">
        <v>511739</v>
      </c>
      <c r="D324" s="6" t="s">
        <v>534</v>
      </c>
      <c r="E324" s="6">
        <v>1</v>
      </c>
      <c r="F324" s="6">
        <v>8</v>
      </c>
      <c r="G324" s="6" t="s">
        <v>272</v>
      </c>
      <c r="I324" s="8">
        <v>85.759181597222195</v>
      </c>
      <c r="J324" s="8">
        <v>121.429430833333</v>
      </c>
      <c r="K324" s="6" t="s">
        <v>29</v>
      </c>
      <c r="L324" s="9">
        <v>43789</v>
      </c>
      <c r="N324" s="6">
        <v>8</v>
      </c>
      <c r="O324" s="6" t="s">
        <v>4265</v>
      </c>
      <c r="P324" s="8">
        <v>-4.1333333333333337</v>
      </c>
      <c r="Q324" s="10" t="s">
        <v>73</v>
      </c>
      <c r="R324" s="10">
        <v>0</v>
      </c>
      <c r="S324" s="10">
        <v>12</v>
      </c>
      <c r="T324" s="10">
        <f t="shared" si="15"/>
        <v>6</v>
      </c>
      <c r="U324" s="6">
        <v>0.9</v>
      </c>
      <c r="V324" s="8">
        <v>-10.294303627014161</v>
      </c>
      <c r="W324" s="8">
        <v>-79.547774456024172</v>
      </c>
      <c r="X324" s="8">
        <f t="shared" si="16"/>
        <v>2.8066545600891146</v>
      </c>
    </row>
    <row r="325" spans="1:24" x14ac:dyDescent="0.35">
      <c r="A325" s="6" t="s">
        <v>25</v>
      </c>
      <c r="B325" s="7" t="s">
        <v>535</v>
      </c>
      <c r="C325" s="6">
        <v>511745</v>
      </c>
      <c r="D325" s="6" t="s">
        <v>536</v>
      </c>
      <c r="E325" s="6">
        <v>1</v>
      </c>
      <c r="F325" s="6">
        <v>8</v>
      </c>
      <c r="G325" s="6" t="s">
        <v>272</v>
      </c>
      <c r="I325" s="8">
        <v>85.759181597222195</v>
      </c>
      <c r="J325" s="8">
        <v>121.429430833333</v>
      </c>
      <c r="K325" s="6" t="s">
        <v>29</v>
      </c>
      <c r="L325" s="9">
        <v>43789</v>
      </c>
      <c r="N325" s="6">
        <v>8</v>
      </c>
      <c r="O325" s="6" t="s">
        <v>4265</v>
      </c>
      <c r="P325" s="8">
        <v>-1.6333333333333335</v>
      </c>
      <c r="Q325" s="10" t="s">
        <v>537</v>
      </c>
      <c r="R325" s="10">
        <v>62</v>
      </c>
      <c r="S325" s="10">
        <v>74</v>
      </c>
      <c r="T325" s="10">
        <f t="shared" si="15"/>
        <v>68</v>
      </c>
      <c r="U325" s="6">
        <v>0.1</v>
      </c>
      <c r="V325" s="8">
        <v>-7.4539993848800652</v>
      </c>
      <c r="W325" s="8">
        <v>-54.851127269744865</v>
      </c>
      <c r="X325" s="8">
        <f t="shared" si="16"/>
        <v>4.7808678092956569</v>
      </c>
    </row>
    <row r="326" spans="1:24" x14ac:dyDescent="0.35">
      <c r="A326" s="6" t="s">
        <v>25</v>
      </c>
      <c r="B326" s="7" t="s">
        <v>538</v>
      </c>
      <c r="C326" s="6">
        <v>511743</v>
      </c>
      <c r="D326" s="6" t="s">
        <v>539</v>
      </c>
      <c r="E326" s="6">
        <v>1</v>
      </c>
      <c r="F326" s="6">
        <v>8</v>
      </c>
      <c r="G326" s="6" t="s">
        <v>272</v>
      </c>
      <c r="I326" s="8">
        <v>85.759181597222195</v>
      </c>
      <c r="J326" s="8">
        <v>121.429430833333</v>
      </c>
      <c r="K326" s="6" t="s">
        <v>29</v>
      </c>
      <c r="L326" s="9">
        <v>43789</v>
      </c>
      <c r="N326" s="6">
        <v>8</v>
      </c>
      <c r="O326" s="6" t="s">
        <v>4265</v>
      </c>
      <c r="P326" s="8">
        <v>-2.2000000000000002</v>
      </c>
      <c r="Q326" s="10" t="s">
        <v>540</v>
      </c>
      <c r="R326" s="10">
        <v>42</v>
      </c>
      <c r="S326" s="10">
        <v>52</v>
      </c>
      <c r="T326" s="10">
        <f t="shared" si="15"/>
        <v>47</v>
      </c>
      <c r="U326" s="6">
        <v>0</v>
      </c>
      <c r="V326" s="8">
        <v>-4.4310695865154273</v>
      </c>
      <c r="W326" s="8">
        <v>-35.388180980682371</v>
      </c>
      <c r="X326" s="8">
        <f t="shared" si="16"/>
        <v>6.0375711441047031E-2</v>
      </c>
    </row>
    <row r="327" spans="1:24" x14ac:dyDescent="0.35">
      <c r="A327" s="6" t="s">
        <v>25</v>
      </c>
      <c r="B327" s="6" t="s">
        <v>3339</v>
      </c>
      <c r="D327" s="6" t="s">
        <v>3641</v>
      </c>
      <c r="E327" s="6">
        <v>1</v>
      </c>
      <c r="F327" s="6">
        <v>8</v>
      </c>
      <c r="G327" s="6" t="s">
        <v>3943</v>
      </c>
      <c r="I327" s="8">
        <v>85.759181597222195</v>
      </c>
      <c r="J327" s="8">
        <v>121.429430833333</v>
      </c>
      <c r="K327" s="7" t="s">
        <v>2610</v>
      </c>
      <c r="L327" s="9">
        <v>43789</v>
      </c>
      <c r="N327" s="6">
        <v>8</v>
      </c>
      <c r="O327" s="6" t="s">
        <v>4265</v>
      </c>
      <c r="V327" s="8">
        <v>-1.248730757701993</v>
      </c>
      <c r="W327" s="8">
        <v>-9.4420318046569811</v>
      </c>
      <c r="X327" s="27">
        <f t="shared" si="16"/>
        <v>0.54781425695896324</v>
      </c>
    </row>
    <row r="328" spans="1:24" x14ac:dyDescent="0.35">
      <c r="A328" s="6" t="s">
        <v>25</v>
      </c>
      <c r="B328" s="7"/>
      <c r="C328" s="6">
        <v>511731</v>
      </c>
      <c r="D328" s="6" t="s">
        <v>541</v>
      </c>
      <c r="E328" s="6">
        <v>1</v>
      </c>
      <c r="F328" s="6">
        <v>8</v>
      </c>
      <c r="G328" s="6" t="s">
        <v>272</v>
      </c>
      <c r="H328" s="6">
        <v>7</v>
      </c>
      <c r="I328" s="8">
        <v>85.759181597222195</v>
      </c>
      <c r="J328" s="8">
        <v>121.429430833333</v>
      </c>
      <c r="K328" s="6" t="s">
        <v>29</v>
      </c>
      <c r="L328" s="9">
        <v>43789</v>
      </c>
      <c r="N328" s="6">
        <v>8</v>
      </c>
      <c r="O328" s="6" t="s">
        <v>4265</v>
      </c>
      <c r="Q328" s="6" t="s">
        <v>64</v>
      </c>
      <c r="R328" s="6">
        <v>0</v>
      </c>
      <c r="S328" s="6">
        <v>10</v>
      </c>
      <c r="T328" s="10">
        <f t="shared" ref="T328:T337" si="17">AVERAGE(R328:S328)</f>
        <v>5</v>
      </c>
      <c r="U328" s="6">
        <v>0.6</v>
      </c>
      <c r="V328" s="8">
        <v>-8.5044886917114262</v>
      </c>
      <c r="W328" s="8">
        <v>-65.976621899414056</v>
      </c>
      <c r="X328" s="8">
        <f t="shared" si="16"/>
        <v>2.0592876342773536</v>
      </c>
    </row>
    <row r="329" spans="1:24" x14ac:dyDescent="0.35">
      <c r="A329" s="6" t="s">
        <v>25</v>
      </c>
      <c r="B329" s="7"/>
      <c r="C329" s="6">
        <v>511732</v>
      </c>
      <c r="D329" s="6" t="s">
        <v>541</v>
      </c>
      <c r="E329" s="6">
        <v>1</v>
      </c>
      <c r="F329" s="6">
        <v>8</v>
      </c>
      <c r="G329" s="6" t="s">
        <v>272</v>
      </c>
      <c r="H329" s="6">
        <v>7</v>
      </c>
      <c r="I329" s="8">
        <v>85.759181597222195</v>
      </c>
      <c r="J329" s="8">
        <v>121.429430833333</v>
      </c>
      <c r="K329" s="6" t="s">
        <v>29</v>
      </c>
      <c r="L329" s="9">
        <v>43789</v>
      </c>
      <c r="N329" s="6">
        <v>8</v>
      </c>
      <c r="O329" s="6" t="s">
        <v>4265</v>
      </c>
      <c r="Q329" s="6" t="s">
        <v>109</v>
      </c>
      <c r="R329" s="6">
        <v>10</v>
      </c>
      <c r="S329" s="6">
        <v>20</v>
      </c>
      <c r="T329" s="10">
        <f t="shared" si="17"/>
        <v>15</v>
      </c>
      <c r="U329" s="6">
        <v>0.2</v>
      </c>
      <c r="V329" s="8">
        <v>-3.716192922019959</v>
      </c>
      <c r="W329" s="8">
        <v>-29.22277873878479</v>
      </c>
      <c r="X329" s="8">
        <f t="shared" si="16"/>
        <v>0.5067646373748822</v>
      </c>
    </row>
    <row r="330" spans="1:24" x14ac:dyDescent="0.35">
      <c r="A330" s="6" t="s">
        <v>25</v>
      </c>
      <c r="B330" s="7"/>
      <c r="C330" s="6">
        <v>511733</v>
      </c>
      <c r="D330" s="6" t="s">
        <v>541</v>
      </c>
      <c r="E330" s="6">
        <v>1</v>
      </c>
      <c r="F330" s="6">
        <v>8</v>
      </c>
      <c r="G330" s="6" t="s">
        <v>272</v>
      </c>
      <c r="H330" s="6">
        <v>7</v>
      </c>
      <c r="I330" s="8">
        <v>85.759181597222195</v>
      </c>
      <c r="J330" s="8">
        <v>121.429430833333</v>
      </c>
      <c r="K330" s="6" t="s">
        <v>29</v>
      </c>
      <c r="L330" s="9">
        <v>43789</v>
      </c>
      <c r="N330" s="6">
        <v>8</v>
      </c>
      <c r="O330" s="6" t="s">
        <v>4265</v>
      </c>
      <c r="Q330" s="6" t="s">
        <v>542</v>
      </c>
      <c r="R330" s="6">
        <v>20</v>
      </c>
      <c r="S330" s="6">
        <v>29</v>
      </c>
      <c r="T330" s="10">
        <f t="shared" si="17"/>
        <v>24.5</v>
      </c>
      <c r="U330" s="6">
        <v>0.5</v>
      </c>
      <c r="V330" s="8">
        <v>-5.0834542774677285</v>
      </c>
      <c r="W330" s="8">
        <v>-38.44756481552124</v>
      </c>
      <c r="X330" s="8">
        <f t="shared" si="16"/>
        <v>2.2200694042205882</v>
      </c>
    </row>
    <row r="331" spans="1:24" x14ac:dyDescent="0.35">
      <c r="A331" s="6" t="s">
        <v>25</v>
      </c>
      <c r="B331" s="7"/>
      <c r="C331" s="6">
        <v>511734</v>
      </c>
      <c r="D331" s="6" t="s">
        <v>541</v>
      </c>
      <c r="E331" s="6">
        <v>1</v>
      </c>
      <c r="F331" s="6">
        <v>8</v>
      </c>
      <c r="G331" s="6" t="s">
        <v>272</v>
      </c>
      <c r="H331" s="6">
        <v>7</v>
      </c>
      <c r="I331" s="8">
        <v>85.759181597222195</v>
      </c>
      <c r="J331" s="8">
        <v>121.429430833333</v>
      </c>
      <c r="K331" s="6" t="s">
        <v>29</v>
      </c>
      <c r="L331" s="9">
        <v>43789</v>
      </c>
      <c r="N331" s="6">
        <v>8</v>
      </c>
      <c r="O331" s="6" t="s">
        <v>4265</v>
      </c>
      <c r="Q331" s="6" t="s">
        <v>543</v>
      </c>
      <c r="R331" s="6">
        <v>29</v>
      </c>
      <c r="S331" s="6">
        <v>40</v>
      </c>
      <c r="T331" s="10">
        <f t="shared" si="17"/>
        <v>34.5</v>
      </c>
      <c r="U331" s="6">
        <v>1.1000000000000001</v>
      </c>
      <c r="V331" s="8">
        <v>-5.3702387423038491</v>
      </c>
      <c r="W331" s="8">
        <v>-39.748929430007934</v>
      </c>
      <c r="X331" s="8">
        <f t="shared" si="16"/>
        <v>3.2129805084228593</v>
      </c>
    </row>
    <row r="332" spans="1:24" x14ac:dyDescent="0.35">
      <c r="A332" s="6" t="s">
        <v>25</v>
      </c>
      <c r="B332" s="7"/>
      <c r="C332" s="6">
        <v>511735</v>
      </c>
      <c r="D332" s="6" t="s">
        <v>541</v>
      </c>
      <c r="E332" s="6">
        <v>1</v>
      </c>
      <c r="F332" s="6">
        <v>8</v>
      </c>
      <c r="G332" s="6" t="s">
        <v>272</v>
      </c>
      <c r="H332" s="6">
        <v>7</v>
      </c>
      <c r="I332" s="8">
        <v>85.759181597222195</v>
      </c>
      <c r="J332" s="8">
        <v>121.429430833333</v>
      </c>
      <c r="K332" s="6" t="s">
        <v>29</v>
      </c>
      <c r="L332" s="9">
        <v>43789</v>
      </c>
      <c r="N332" s="6">
        <v>8</v>
      </c>
      <c r="O332" s="6" t="s">
        <v>4265</v>
      </c>
      <c r="Q332" s="6" t="s">
        <v>159</v>
      </c>
      <c r="R332" s="6">
        <v>40</v>
      </c>
      <c r="S332" s="6">
        <v>50</v>
      </c>
      <c r="T332" s="10">
        <f t="shared" si="17"/>
        <v>45</v>
      </c>
      <c r="U332" s="6">
        <v>1.9</v>
      </c>
      <c r="V332" s="8">
        <v>-3.80087574095726</v>
      </c>
      <c r="W332" s="8">
        <v>-28.41981415081024</v>
      </c>
      <c r="X332" s="8">
        <f t="shared" si="16"/>
        <v>1.9871917768478404</v>
      </c>
    </row>
    <row r="333" spans="1:24" x14ac:dyDescent="0.35">
      <c r="A333" s="6" t="s">
        <v>25</v>
      </c>
      <c r="B333" s="7"/>
      <c r="C333" s="6">
        <v>511736</v>
      </c>
      <c r="D333" s="6" t="s">
        <v>541</v>
      </c>
      <c r="E333" s="6">
        <v>1</v>
      </c>
      <c r="F333" s="6">
        <v>8</v>
      </c>
      <c r="G333" s="6" t="s">
        <v>272</v>
      </c>
      <c r="H333" s="6">
        <v>7</v>
      </c>
      <c r="I333" s="8">
        <v>85.759181597222195</v>
      </c>
      <c r="J333" s="8">
        <v>121.429430833333</v>
      </c>
      <c r="K333" s="6" t="s">
        <v>29</v>
      </c>
      <c r="L333" s="9">
        <v>43789</v>
      </c>
      <c r="N333" s="6">
        <v>8</v>
      </c>
      <c r="O333" s="6" t="s">
        <v>4265</v>
      </c>
      <c r="Q333" s="6" t="s">
        <v>161</v>
      </c>
      <c r="R333" s="6">
        <v>50</v>
      </c>
      <c r="S333" s="6">
        <v>60</v>
      </c>
      <c r="T333" s="10">
        <f t="shared" si="17"/>
        <v>55</v>
      </c>
      <c r="U333" s="6">
        <v>5.0999999999999996</v>
      </c>
      <c r="V333" s="8">
        <v>0.60958277349472079</v>
      </c>
      <c r="W333" s="8">
        <v>5.3585159301757832</v>
      </c>
      <c r="X333" s="8">
        <f t="shared" si="16"/>
        <v>0.48185374221801691</v>
      </c>
    </row>
    <row r="334" spans="1:24" x14ac:dyDescent="0.35">
      <c r="A334" s="6" t="s">
        <v>25</v>
      </c>
      <c r="B334" s="7"/>
      <c r="C334" s="6">
        <v>511737</v>
      </c>
      <c r="D334" s="6" t="s">
        <v>541</v>
      </c>
      <c r="E334" s="6">
        <v>1</v>
      </c>
      <c r="F334" s="6">
        <v>8</v>
      </c>
      <c r="G334" s="6" t="s">
        <v>272</v>
      </c>
      <c r="H334" s="6">
        <v>7</v>
      </c>
      <c r="I334" s="8">
        <v>85.759181597222195</v>
      </c>
      <c r="J334" s="8">
        <v>121.429430833333</v>
      </c>
      <c r="K334" s="6" t="s">
        <v>29</v>
      </c>
      <c r="L334" s="9">
        <v>43789</v>
      </c>
      <c r="N334" s="6">
        <v>8</v>
      </c>
      <c r="O334" s="6" t="s">
        <v>4265</v>
      </c>
      <c r="Q334" s="6" t="s">
        <v>163</v>
      </c>
      <c r="R334" s="6">
        <v>60</v>
      </c>
      <c r="S334" s="6">
        <v>70</v>
      </c>
      <c r="T334" s="10">
        <f t="shared" si="17"/>
        <v>65</v>
      </c>
      <c r="U334" s="6">
        <v>4.5</v>
      </c>
      <c r="V334" s="8">
        <v>-0.65098000974655212</v>
      </c>
      <c r="W334" s="8">
        <v>-4.4572639168500903</v>
      </c>
      <c r="X334" s="8">
        <f t="shared" si="16"/>
        <v>0.75057616112232672</v>
      </c>
    </row>
    <row r="335" spans="1:24" x14ac:dyDescent="0.35">
      <c r="A335" s="6" t="s">
        <v>25</v>
      </c>
      <c r="B335" s="7"/>
      <c r="C335" s="6">
        <v>511738</v>
      </c>
      <c r="D335" s="6" t="s">
        <v>541</v>
      </c>
      <c r="E335" s="6">
        <v>1</v>
      </c>
      <c r="F335" s="6">
        <v>8</v>
      </c>
      <c r="G335" s="6" t="s">
        <v>272</v>
      </c>
      <c r="H335" s="6">
        <v>7</v>
      </c>
      <c r="I335" s="8">
        <v>85.759181597222195</v>
      </c>
      <c r="J335" s="8">
        <v>121.429430833333</v>
      </c>
      <c r="K335" s="6" t="s">
        <v>29</v>
      </c>
      <c r="L335" s="9">
        <v>43789</v>
      </c>
      <c r="N335" s="6">
        <v>8</v>
      </c>
      <c r="O335" s="6" t="s">
        <v>4265</v>
      </c>
      <c r="Q335" s="6" t="s">
        <v>544</v>
      </c>
      <c r="R335" s="6">
        <v>70</v>
      </c>
      <c r="S335" s="6">
        <v>82</v>
      </c>
      <c r="T335" s="10">
        <f t="shared" si="17"/>
        <v>76</v>
      </c>
      <c r="U335" s="6">
        <v>5.7</v>
      </c>
      <c r="V335" s="8">
        <v>0.66162847309112605</v>
      </c>
      <c r="W335" s="8">
        <v>5.5158791427612304</v>
      </c>
      <c r="X335" s="8">
        <f t="shared" si="16"/>
        <v>0.222851358032222</v>
      </c>
    </row>
    <row r="336" spans="1:24" x14ac:dyDescent="0.35">
      <c r="A336" s="6" t="s">
        <v>25</v>
      </c>
      <c r="B336" s="7"/>
      <c r="C336" s="6">
        <v>511746</v>
      </c>
      <c r="D336" s="6" t="s">
        <v>545</v>
      </c>
      <c r="E336" s="6">
        <v>1</v>
      </c>
      <c r="F336" s="6">
        <v>8</v>
      </c>
      <c r="G336" s="6" t="s">
        <v>546</v>
      </c>
      <c r="H336" s="6">
        <v>7</v>
      </c>
      <c r="I336" s="8">
        <v>85.759181597222195</v>
      </c>
      <c r="J336" s="8">
        <v>121.429430833333</v>
      </c>
      <c r="K336" s="6" t="s">
        <v>198</v>
      </c>
      <c r="L336" s="9">
        <v>43789</v>
      </c>
      <c r="N336" s="6">
        <v>8</v>
      </c>
      <c r="O336" s="6" t="s">
        <v>4265</v>
      </c>
      <c r="Q336" s="6" t="s">
        <v>547</v>
      </c>
      <c r="R336" s="6">
        <v>0</v>
      </c>
      <c r="S336" s="6">
        <v>3.5</v>
      </c>
      <c r="T336" s="10">
        <f t="shared" si="17"/>
        <v>1.75</v>
      </c>
      <c r="U336" s="6">
        <v>0</v>
      </c>
      <c r="V336" s="8">
        <v>-15.872598239160912</v>
      </c>
      <c r="W336" s="8">
        <v>-114.94268074965031</v>
      </c>
      <c r="X336" s="8">
        <f t="shared" si="16"/>
        <v>12.038105163636985</v>
      </c>
    </row>
    <row r="337" spans="1:25" x14ac:dyDescent="0.35">
      <c r="A337" s="6" t="s">
        <v>25</v>
      </c>
      <c r="B337" s="7"/>
      <c r="C337" s="6">
        <v>511747</v>
      </c>
      <c r="D337" s="6" t="s">
        <v>545</v>
      </c>
      <c r="E337" s="6">
        <v>1</v>
      </c>
      <c r="F337" s="6">
        <v>8</v>
      </c>
      <c r="G337" s="6" t="s">
        <v>546</v>
      </c>
      <c r="H337" s="6">
        <v>7</v>
      </c>
      <c r="I337" s="8">
        <v>85.759181597222195</v>
      </c>
      <c r="J337" s="8">
        <v>121.429430833333</v>
      </c>
      <c r="K337" s="6" t="s">
        <v>198</v>
      </c>
      <c r="L337" s="9">
        <v>43789</v>
      </c>
      <c r="N337" s="6">
        <v>8</v>
      </c>
      <c r="O337" s="6" t="s">
        <v>4265</v>
      </c>
      <c r="Q337" s="6" t="s">
        <v>548</v>
      </c>
      <c r="R337" s="6">
        <v>3.5</v>
      </c>
      <c r="S337" s="6">
        <v>7</v>
      </c>
      <c r="T337" s="10">
        <f t="shared" si="17"/>
        <v>5.25</v>
      </c>
      <c r="U337" s="6">
        <v>1.2</v>
      </c>
      <c r="V337" s="8">
        <v>-10.61315936088562</v>
      </c>
      <c r="W337" s="8">
        <v>-90.43111264648438</v>
      </c>
      <c r="X337" s="8">
        <f t="shared" si="16"/>
        <v>-5.5258377593994226</v>
      </c>
      <c r="Y337" s="6" t="s">
        <v>549</v>
      </c>
    </row>
    <row r="338" spans="1:25" x14ac:dyDescent="0.35">
      <c r="A338" s="6" t="s">
        <v>25</v>
      </c>
      <c r="B338" s="6" t="s">
        <v>3340</v>
      </c>
      <c r="D338" s="6" t="s">
        <v>3642</v>
      </c>
      <c r="E338" s="6">
        <v>1</v>
      </c>
      <c r="F338" s="6">
        <v>8</v>
      </c>
      <c r="G338" s="6" t="s">
        <v>3944</v>
      </c>
      <c r="I338" s="8">
        <v>85.740794999999991</v>
      </c>
      <c r="J338" s="8">
        <v>120.91379986111116</v>
      </c>
      <c r="K338" s="7" t="s">
        <v>2610</v>
      </c>
      <c r="L338" s="9">
        <v>43790</v>
      </c>
      <c r="N338" s="6">
        <v>8</v>
      </c>
      <c r="O338" s="6" t="s">
        <v>4266</v>
      </c>
      <c r="V338" s="8"/>
      <c r="W338" s="8"/>
      <c r="X338" s="27">
        <f t="shared" si="16"/>
        <v>0</v>
      </c>
    </row>
    <row r="339" spans="1:25" x14ac:dyDescent="0.35">
      <c r="A339" s="6" t="s">
        <v>25</v>
      </c>
      <c r="B339" s="6" t="s">
        <v>3341</v>
      </c>
      <c r="D339" s="6" t="s">
        <v>3643</v>
      </c>
      <c r="E339" s="6">
        <v>1</v>
      </c>
      <c r="F339" s="6">
        <v>8</v>
      </c>
      <c r="G339" s="6" t="s">
        <v>3945</v>
      </c>
      <c r="I339" s="8">
        <v>85.731380000000001</v>
      </c>
      <c r="J339" s="8">
        <v>120.78237</v>
      </c>
      <c r="K339" s="7" t="s">
        <v>2610</v>
      </c>
      <c r="L339" s="9">
        <v>43791</v>
      </c>
      <c r="N339" s="6">
        <v>8</v>
      </c>
      <c r="O339" s="6" t="s">
        <v>4267</v>
      </c>
      <c r="V339" s="8">
        <v>-1.2488014128661158</v>
      </c>
      <c r="W339" s="8">
        <v>-8.7252318902969357</v>
      </c>
      <c r="X339" s="27">
        <f t="shared" si="16"/>
        <v>1.2651794126319906</v>
      </c>
    </row>
    <row r="340" spans="1:25" x14ac:dyDescent="0.35">
      <c r="A340" s="6" t="s">
        <v>25</v>
      </c>
      <c r="B340" s="6" t="s">
        <v>2741</v>
      </c>
      <c r="D340" s="6" t="s">
        <v>3091</v>
      </c>
      <c r="E340" s="6">
        <v>1</v>
      </c>
      <c r="F340" s="6">
        <v>8</v>
      </c>
      <c r="G340" s="6" t="s">
        <v>3216</v>
      </c>
      <c r="I340" s="8">
        <v>85.731380000000001</v>
      </c>
      <c r="J340" s="8">
        <v>120.78237</v>
      </c>
      <c r="K340" s="6" t="s">
        <v>198</v>
      </c>
      <c r="L340" s="9">
        <v>43791</v>
      </c>
      <c r="M340" s="18">
        <v>0.33194444444444443</v>
      </c>
      <c r="N340" s="6">
        <v>8</v>
      </c>
      <c r="O340" s="6" t="s">
        <v>4267</v>
      </c>
      <c r="R340" s="6">
        <v>9</v>
      </c>
      <c r="V340" s="8">
        <v>-16.560545526123047</v>
      </c>
      <c r="W340" s="8">
        <v>-116.45962294769288</v>
      </c>
      <c r="X340" s="8">
        <f t="shared" si="16"/>
        <v>16.024741261291496</v>
      </c>
      <c r="Y340" s="6" t="s">
        <v>3219</v>
      </c>
    </row>
    <row r="341" spans="1:25" x14ac:dyDescent="0.35">
      <c r="A341" s="6" t="s">
        <v>25</v>
      </c>
      <c r="B341" s="6" t="s">
        <v>2742</v>
      </c>
      <c r="D341" s="6" t="s">
        <v>3091</v>
      </c>
      <c r="E341" s="6">
        <v>1</v>
      </c>
      <c r="F341" s="6">
        <v>8</v>
      </c>
      <c r="G341" s="6" t="s">
        <v>3216</v>
      </c>
      <c r="I341" s="8">
        <v>85.731380000000001</v>
      </c>
      <c r="J341" s="8">
        <v>120.78237</v>
      </c>
      <c r="K341" s="6" t="s">
        <v>198</v>
      </c>
      <c r="L341" s="9">
        <v>43791</v>
      </c>
      <c r="M341" s="18">
        <v>0.33194444444444443</v>
      </c>
      <c r="N341" s="6">
        <v>8</v>
      </c>
      <c r="O341" s="6" t="s">
        <v>4267</v>
      </c>
      <c r="R341" s="6">
        <v>4.5</v>
      </c>
      <c r="V341" s="8">
        <v>-14.350323724365234</v>
      </c>
      <c r="W341" s="8">
        <v>-100.89968111419677</v>
      </c>
      <c r="X341" s="8">
        <f t="shared" si="16"/>
        <v>13.902908680725105</v>
      </c>
      <c r="Y341" s="6" t="s">
        <v>3219</v>
      </c>
    </row>
    <row r="342" spans="1:25" x14ac:dyDescent="0.35">
      <c r="A342" s="6" t="s">
        <v>25</v>
      </c>
      <c r="B342" s="6" t="s">
        <v>2743</v>
      </c>
      <c r="D342" s="6" t="s">
        <v>3091</v>
      </c>
      <c r="E342" s="6">
        <v>1</v>
      </c>
      <c r="F342" s="6">
        <v>8</v>
      </c>
      <c r="G342" s="6" t="s">
        <v>3216</v>
      </c>
      <c r="I342" s="8">
        <v>85.731380000000001</v>
      </c>
      <c r="J342" s="8">
        <v>120.78237</v>
      </c>
      <c r="K342" s="6" t="s">
        <v>198</v>
      </c>
      <c r="L342" s="9">
        <v>43791</v>
      </c>
      <c r="M342" s="18">
        <v>0.33194444444444443</v>
      </c>
      <c r="N342" s="6">
        <v>8</v>
      </c>
      <c r="O342" s="6" t="s">
        <v>4267</v>
      </c>
      <c r="R342" s="6">
        <v>0</v>
      </c>
      <c r="V342" s="8">
        <v>-6.5301651397705083</v>
      </c>
      <c r="W342" s="8">
        <v>-54.087630765914916</v>
      </c>
      <c r="X342" s="8">
        <f t="shared" si="16"/>
        <v>-1.84630964775085</v>
      </c>
      <c r="Y342" s="6" t="s">
        <v>3219</v>
      </c>
    </row>
    <row r="343" spans="1:25" x14ac:dyDescent="0.35">
      <c r="A343" s="6" t="s">
        <v>25</v>
      </c>
      <c r="B343" s="7" t="s">
        <v>550</v>
      </c>
      <c r="C343" s="6">
        <v>511781</v>
      </c>
      <c r="D343" s="6" t="s">
        <v>551</v>
      </c>
      <c r="E343" s="6">
        <v>1</v>
      </c>
      <c r="F343" s="6">
        <v>8</v>
      </c>
      <c r="G343" s="6" t="s">
        <v>272</v>
      </c>
      <c r="I343" s="8">
        <v>85.754208888888897</v>
      </c>
      <c r="J343" s="8">
        <v>120.59057125</v>
      </c>
      <c r="K343" s="6" t="s">
        <v>29</v>
      </c>
      <c r="L343" s="9">
        <v>43792</v>
      </c>
      <c r="N343" s="6">
        <v>8</v>
      </c>
      <c r="O343" s="6" t="s">
        <v>4268</v>
      </c>
      <c r="P343" s="8">
        <v>-0.5</v>
      </c>
      <c r="Q343" s="10" t="s">
        <v>552</v>
      </c>
      <c r="R343" s="10">
        <v>60</v>
      </c>
      <c r="S343" s="10">
        <v>68.5</v>
      </c>
      <c r="T343" s="10">
        <f t="shared" ref="T343:T349" si="18">AVERAGE(R343:S343)</f>
        <v>64.25</v>
      </c>
      <c r="U343" s="6">
        <v>0.1</v>
      </c>
      <c r="V343" s="8">
        <v>-7.469007682800294</v>
      </c>
      <c r="W343" s="8">
        <v>-55.94306320953369</v>
      </c>
      <c r="X343" s="8">
        <f t="shared" si="16"/>
        <v>3.8089982528686619</v>
      </c>
    </row>
    <row r="344" spans="1:25" x14ac:dyDescent="0.35">
      <c r="A344" s="6" t="s">
        <v>25</v>
      </c>
      <c r="B344" s="7" t="s">
        <v>553</v>
      </c>
      <c r="C344" s="6">
        <v>511777</v>
      </c>
      <c r="D344" s="6" t="s">
        <v>554</v>
      </c>
      <c r="E344" s="6">
        <v>1</v>
      </c>
      <c r="F344" s="6">
        <v>8</v>
      </c>
      <c r="G344" s="6" t="s">
        <v>272</v>
      </c>
      <c r="I344" s="8">
        <v>85.754208888888897</v>
      </c>
      <c r="J344" s="8">
        <v>120.59057125</v>
      </c>
      <c r="K344" s="6" t="s">
        <v>29</v>
      </c>
      <c r="L344" s="9">
        <v>43792</v>
      </c>
      <c r="N344" s="6">
        <v>8</v>
      </c>
      <c r="O344" s="6" t="s">
        <v>4268</v>
      </c>
      <c r="P344" s="8">
        <v>-2.8333333333333335</v>
      </c>
      <c r="Q344" s="10" t="s">
        <v>111</v>
      </c>
      <c r="R344" s="10">
        <v>20</v>
      </c>
      <c r="S344" s="10">
        <v>30</v>
      </c>
      <c r="T344" s="10">
        <f t="shared" si="18"/>
        <v>25</v>
      </c>
      <c r="U344" s="6" t="s">
        <v>555</v>
      </c>
      <c r="V344" s="8">
        <v>-6.8318292617797862</v>
      </c>
      <c r="W344" s="8">
        <v>-52.75497512054443</v>
      </c>
      <c r="X344" s="8">
        <f t="shared" si="16"/>
        <v>1.8996589736938603</v>
      </c>
    </row>
    <row r="345" spans="1:25" x14ac:dyDescent="0.35">
      <c r="A345" s="6" t="s">
        <v>25</v>
      </c>
      <c r="B345" s="7" t="s">
        <v>556</v>
      </c>
      <c r="C345" s="6">
        <v>511778</v>
      </c>
      <c r="D345" s="6" t="s">
        <v>557</v>
      </c>
      <c r="E345" s="6">
        <v>1</v>
      </c>
      <c r="F345" s="6">
        <v>8</v>
      </c>
      <c r="G345" s="6" t="s">
        <v>272</v>
      </c>
      <c r="I345" s="8">
        <v>85.754208888888897</v>
      </c>
      <c r="J345" s="8">
        <v>120.59057125</v>
      </c>
      <c r="K345" s="6" t="s">
        <v>29</v>
      </c>
      <c r="L345" s="9">
        <v>43792</v>
      </c>
      <c r="N345" s="6">
        <v>8</v>
      </c>
      <c r="O345" s="6" t="s">
        <v>4268</v>
      </c>
      <c r="P345" s="8">
        <v>-2.1666666666666665</v>
      </c>
      <c r="Q345" s="10" t="s">
        <v>558</v>
      </c>
      <c r="R345" s="10">
        <v>30</v>
      </c>
      <c r="S345" s="10">
        <v>41.5</v>
      </c>
      <c r="T345" s="10">
        <f t="shared" si="18"/>
        <v>35.75</v>
      </c>
      <c r="U345" s="6">
        <v>0</v>
      </c>
      <c r="V345" s="8">
        <v>-7.1323143959045421</v>
      </c>
      <c r="W345" s="8">
        <v>-54.771659889221191</v>
      </c>
      <c r="X345" s="8">
        <f t="shared" si="16"/>
        <v>2.2868552780151461</v>
      </c>
    </row>
    <row r="346" spans="1:25" x14ac:dyDescent="0.35">
      <c r="A346" s="6" t="s">
        <v>25</v>
      </c>
      <c r="B346" s="7" t="s">
        <v>559</v>
      </c>
      <c r="C346" s="6">
        <v>511779</v>
      </c>
      <c r="D346" s="6" t="s">
        <v>560</v>
      </c>
      <c r="E346" s="6">
        <v>1</v>
      </c>
      <c r="F346" s="6">
        <v>8</v>
      </c>
      <c r="G346" s="6" t="s">
        <v>272</v>
      </c>
      <c r="I346" s="8">
        <v>85.754208888888897</v>
      </c>
      <c r="J346" s="8">
        <v>120.59057125</v>
      </c>
      <c r="K346" s="6" t="s">
        <v>29</v>
      </c>
      <c r="L346" s="9">
        <v>43792</v>
      </c>
      <c r="N346" s="6">
        <v>8</v>
      </c>
      <c r="O346" s="6" t="s">
        <v>4268</v>
      </c>
      <c r="P346" s="8">
        <v>-1.3666666666666665</v>
      </c>
      <c r="Q346" s="10" t="s">
        <v>561</v>
      </c>
      <c r="R346" s="10">
        <v>41.5</v>
      </c>
      <c r="S346" s="10">
        <v>51.5</v>
      </c>
      <c r="T346" s="10">
        <f t="shared" si="18"/>
        <v>46.5</v>
      </c>
      <c r="U346" s="6">
        <v>0</v>
      </c>
      <c r="V346" s="8">
        <v>-5.2751872062683125</v>
      </c>
      <c r="W346" s="8">
        <v>-40.872490013122558</v>
      </c>
      <c r="X346" s="8">
        <f t="shared" si="16"/>
        <v>1.3290076370239419</v>
      </c>
    </row>
    <row r="347" spans="1:25" x14ac:dyDescent="0.35">
      <c r="A347" s="6" t="s">
        <v>25</v>
      </c>
      <c r="B347" s="7" t="s">
        <v>562</v>
      </c>
      <c r="C347" s="6">
        <v>511780</v>
      </c>
      <c r="D347" s="6" t="s">
        <v>563</v>
      </c>
      <c r="E347" s="6">
        <v>1</v>
      </c>
      <c r="F347" s="6">
        <v>8</v>
      </c>
      <c r="G347" s="6" t="s">
        <v>272</v>
      </c>
      <c r="I347" s="8">
        <v>85.754208888888897</v>
      </c>
      <c r="J347" s="8">
        <v>120.59057125</v>
      </c>
      <c r="K347" s="6" t="s">
        <v>29</v>
      </c>
      <c r="L347" s="9">
        <v>43792</v>
      </c>
      <c r="N347" s="6">
        <v>8</v>
      </c>
      <c r="O347" s="6" t="s">
        <v>4268</v>
      </c>
      <c r="P347" s="8">
        <v>-0.5</v>
      </c>
      <c r="Q347" s="10" t="s">
        <v>564</v>
      </c>
      <c r="R347" s="10">
        <v>51.5</v>
      </c>
      <c r="S347" s="10">
        <v>60</v>
      </c>
      <c r="T347" s="10">
        <f t="shared" si="18"/>
        <v>55.75</v>
      </c>
      <c r="U347" s="6">
        <v>0</v>
      </c>
      <c r="V347" s="8">
        <v>-5.4678871154785158</v>
      </c>
      <c r="W347" s="8">
        <v>-42.221549057006833</v>
      </c>
      <c r="X347" s="8">
        <f t="shared" si="16"/>
        <v>1.5215478668212938</v>
      </c>
    </row>
    <row r="348" spans="1:25" x14ac:dyDescent="0.35">
      <c r="A348" s="6" t="s">
        <v>25</v>
      </c>
      <c r="B348" s="7" t="s">
        <v>565</v>
      </c>
      <c r="C348" s="6">
        <v>511775</v>
      </c>
      <c r="D348" s="6" t="s">
        <v>566</v>
      </c>
      <c r="E348" s="6">
        <v>1</v>
      </c>
      <c r="F348" s="6">
        <v>8</v>
      </c>
      <c r="G348" s="6" t="s">
        <v>272</v>
      </c>
      <c r="I348" s="8">
        <v>85.754208888888897</v>
      </c>
      <c r="J348" s="8">
        <v>120.59057125</v>
      </c>
      <c r="K348" s="6" t="s">
        <v>29</v>
      </c>
      <c r="L348" s="9">
        <v>43792</v>
      </c>
      <c r="N348" s="6">
        <v>8</v>
      </c>
      <c r="O348" s="6" t="s">
        <v>4268</v>
      </c>
      <c r="P348" s="8">
        <v>-4.8250000000000002</v>
      </c>
      <c r="Q348" s="10" t="s">
        <v>422</v>
      </c>
      <c r="R348" s="10">
        <v>0</v>
      </c>
      <c r="S348" s="10">
        <v>10</v>
      </c>
      <c r="T348" s="10">
        <f t="shared" si="18"/>
        <v>5</v>
      </c>
      <c r="U348" s="6">
        <v>0</v>
      </c>
      <c r="V348" s="8">
        <v>-8.487798881530761</v>
      </c>
      <c r="W348" s="8">
        <v>-64.646313354492193</v>
      </c>
      <c r="X348" s="8">
        <f t="shared" si="16"/>
        <v>3.256077697753895</v>
      </c>
    </row>
    <row r="349" spans="1:25" x14ac:dyDescent="0.35">
      <c r="A349" s="6" t="s">
        <v>25</v>
      </c>
      <c r="B349" s="7" t="s">
        <v>567</v>
      </c>
      <c r="C349" s="6">
        <v>511776</v>
      </c>
      <c r="D349" s="6" t="s">
        <v>568</v>
      </c>
      <c r="E349" s="6">
        <v>1</v>
      </c>
      <c r="F349" s="6">
        <v>8</v>
      </c>
      <c r="G349" s="6" t="s">
        <v>272</v>
      </c>
      <c r="I349" s="8">
        <v>85.754208888888897</v>
      </c>
      <c r="J349" s="8">
        <v>120.59057125</v>
      </c>
      <c r="K349" s="6" t="s">
        <v>29</v>
      </c>
      <c r="L349" s="9">
        <v>43792</v>
      </c>
      <c r="N349" s="6">
        <v>8</v>
      </c>
      <c r="O349" s="6" t="s">
        <v>4268</v>
      </c>
      <c r="P349" s="8">
        <v>-3.3333333333333335</v>
      </c>
      <c r="Q349" s="10" t="s">
        <v>109</v>
      </c>
      <c r="R349" s="10">
        <v>10</v>
      </c>
      <c r="S349" s="10">
        <v>20</v>
      </c>
      <c r="T349" s="10">
        <f t="shared" si="18"/>
        <v>15</v>
      </c>
      <c r="U349" s="6">
        <v>0</v>
      </c>
      <c r="V349" s="8">
        <v>-7.7250368118286143</v>
      </c>
      <c r="W349" s="8">
        <v>-58.843904090881345</v>
      </c>
      <c r="X349" s="8">
        <f t="shared" si="16"/>
        <v>2.9563904037475695</v>
      </c>
    </row>
    <row r="350" spans="1:25" x14ac:dyDescent="0.35">
      <c r="A350" s="6" t="s">
        <v>25</v>
      </c>
      <c r="B350" s="7" t="s">
        <v>572</v>
      </c>
      <c r="C350" s="6">
        <v>511761</v>
      </c>
      <c r="D350" s="6" t="s">
        <v>573</v>
      </c>
      <c r="E350" s="6">
        <v>1</v>
      </c>
      <c r="F350" s="6">
        <v>8</v>
      </c>
      <c r="G350" s="6" t="s">
        <v>574</v>
      </c>
      <c r="I350" s="8">
        <v>85.754208888888897</v>
      </c>
      <c r="J350" s="8">
        <v>120.59057125</v>
      </c>
      <c r="K350" s="7" t="s">
        <v>2610</v>
      </c>
      <c r="L350" s="9">
        <v>43792</v>
      </c>
      <c r="N350" s="6">
        <v>8</v>
      </c>
      <c r="O350" s="6" t="s">
        <v>4268</v>
      </c>
      <c r="Q350" s="10"/>
      <c r="R350" s="10"/>
      <c r="S350" s="10"/>
      <c r="T350" s="10"/>
      <c r="V350" s="8">
        <v>-10.97862456703186</v>
      </c>
      <c r="W350" s="8">
        <v>-80.377474742889405</v>
      </c>
      <c r="X350" s="8">
        <f t="shared" si="16"/>
        <v>7.4515217933654725</v>
      </c>
    </row>
    <row r="351" spans="1:25" x14ac:dyDescent="0.35">
      <c r="A351" s="6" t="s">
        <v>25</v>
      </c>
      <c r="B351" s="7" t="s">
        <v>575</v>
      </c>
      <c r="C351" s="6">
        <v>511761</v>
      </c>
      <c r="D351" s="6" t="s">
        <v>576</v>
      </c>
      <c r="E351" s="6">
        <v>1</v>
      </c>
      <c r="F351" s="6">
        <v>8</v>
      </c>
      <c r="G351" s="6" t="s">
        <v>574</v>
      </c>
      <c r="I351" s="8">
        <v>85.754208888888897</v>
      </c>
      <c r="J351" s="8">
        <v>120.59057125</v>
      </c>
      <c r="K351" s="7" t="s">
        <v>2610</v>
      </c>
      <c r="L351" s="9">
        <v>43792</v>
      </c>
      <c r="N351" s="6">
        <v>8</v>
      </c>
      <c r="O351" s="6" t="s">
        <v>4268</v>
      </c>
      <c r="Q351" s="10"/>
      <c r="R351" s="10"/>
      <c r="S351" s="10"/>
      <c r="T351" s="10"/>
      <c r="V351" s="8">
        <v>-11.013116666793824</v>
      </c>
      <c r="W351" s="8">
        <v>-79.679014411926261</v>
      </c>
      <c r="X351" s="8">
        <f t="shared" si="16"/>
        <v>8.42591892242433</v>
      </c>
    </row>
    <row r="352" spans="1:25" x14ac:dyDescent="0.35">
      <c r="A352" s="6" t="s">
        <v>25</v>
      </c>
      <c r="B352" s="6" t="s">
        <v>3342</v>
      </c>
      <c r="D352" s="6" t="s">
        <v>3644</v>
      </c>
      <c r="E352" s="6">
        <v>1</v>
      </c>
      <c r="F352" s="6">
        <v>8</v>
      </c>
      <c r="G352" s="6" t="s">
        <v>3946</v>
      </c>
      <c r="I352" s="8">
        <v>85.754208888888897</v>
      </c>
      <c r="J352" s="8">
        <v>120.59057125</v>
      </c>
      <c r="K352" s="7" t="s">
        <v>2610</v>
      </c>
      <c r="L352" s="9">
        <v>43792</v>
      </c>
      <c r="N352" s="6">
        <v>8</v>
      </c>
      <c r="O352" s="6" t="s">
        <v>4268</v>
      </c>
      <c r="V352" s="8">
        <v>-1.2301902436447141</v>
      </c>
      <c r="W352" s="8">
        <v>-9.1685826293945301</v>
      </c>
      <c r="X352" s="27">
        <f t="shared" si="16"/>
        <v>0.67293931976318255</v>
      </c>
    </row>
    <row r="353" spans="1:25" x14ac:dyDescent="0.35">
      <c r="A353" s="6" t="s">
        <v>25</v>
      </c>
      <c r="B353" s="7"/>
      <c r="C353" s="6">
        <v>511782</v>
      </c>
      <c r="D353" s="6" t="s">
        <v>569</v>
      </c>
      <c r="E353" s="6">
        <v>1</v>
      </c>
      <c r="F353" s="6">
        <v>8</v>
      </c>
      <c r="G353" s="6" t="s">
        <v>272</v>
      </c>
      <c r="H353" s="6">
        <v>10</v>
      </c>
      <c r="I353" s="8">
        <v>85.754208888888897</v>
      </c>
      <c r="J353" s="8">
        <v>120.59057125</v>
      </c>
      <c r="K353" s="6" t="s">
        <v>198</v>
      </c>
      <c r="L353" s="9">
        <v>43792</v>
      </c>
      <c r="N353" s="6">
        <v>8</v>
      </c>
      <c r="O353" s="6" t="s">
        <v>4268</v>
      </c>
      <c r="Q353" s="6" t="s">
        <v>570</v>
      </c>
      <c r="R353" s="6">
        <v>0</v>
      </c>
      <c r="S353" s="6">
        <v>5</v>
      </c>
      <c r="T353" s="10">
        <f>AVERAGE(R353:S353)</f>
        <v>2.5</v>
      </c>
      <c r="U353" s="6">
        <v>0</v>
      </c>
      <c r="V353" s="8">
        <v>-19.553775727081298</v>
      </c>
      <c r="W353" s="8">
        <v>-143.95989837837811</v>
      </c>
      <c r="X353" s="8">
        <f t="shared" si="16"/>
        <v>12.470307438272272</v>
      </c>
      <c r="Y353" s="6" t="s">
        <v>571</v>
      </c>
    </row>
    <row r="354" spans="1:25" x14ac:dyDescent="0.35">
      <c r="A354" s="6" t="s">
        <v>25</v>
      </c>
      <c r="B354" s="7"/>
      <c r="C354" s="6">
        <v>511783</v>
      </c>
      <c r="D354" s="6" t="s">
        <v>569</v>
      </c>
      <c r="E354" s="6">
        <v>1</v>
      </c>
      <c r="F354" s="6">
        <v>8</v>
      </c>
      <c r="G354" s="6" t="s">
        <v>272</v>
      </c>
      <c r="H354" s="6">
        <v>10</v>
      </c>
      <c r="I354" s="8">
        <v>85.754208888888897</v>
      </c>
      <c r="J354" s="8">
        <v>120.59057125</v>
      </c>
      <c r="K354" s="6" t="s">
        <v>198</v>
      </c>
      <c r="L354" s="9">
        <v>43792</v>
      </c>
      <c r="N354" s="6">
        <v>8</v>
      </c>
      <c r="O354" s="6" t="s">
        <v>4268</v>
      </c>
      <c r="Q354" s="6" t="s">
        <v>403</v>
      </c>
      <c r="R354" s="6">
        <v>5</v>
      </c>
      <c r="S354" s="6">
        <v>10</v>
      </c>
      <c r="T354" s="10">
        <f>AVERAGE(R354:S354)</f>
        <v>7.5</v>
      </c>
      <c r="U354" s="6">
        <v>0.5</v>
      </c>
      <c r="V354" s="8">
        <v>-13.933237113952638</v>
      </c>
      <c r="W354" s="8">
        <v>-103.55809897460938</v>
      </c>
      <c r="X354" s="8">
        <f t="shared" si="16"/>
        <v>7.907797937011722</v>
      </c>
    </row>
    <row r="355" spans="1:25" x14ac:dyDescent="0.35">
      <c r="A355" s="6" t="s">
        <v>25</v>
      </c>
      <c r="B355" s="6" t="s">
        <v>3343</v>
      </c>
      <c r="D355" s="6" t="s">
        <v>3645</v>
      </c>
      <c r="E355" s="6">
        <v>1</v>
      </c>
      <c r="F355" s="6">
        <v>8</v>
      </c>
      <c r="G355" s="6" t="s">
        <v>3947</v>
      </c>
      <c r="I355" s="8">
        <v>85.896104861111041</v>
      </c>
      <c r="J355" s="8">
        <v>121.26787951388889</v>
      </c>
      <c r="K355" s="7" t="s">
        <v>2610</v>
      </c>
      <c r="L355" s="9">
        <v>43793</v>
      </c>
      <c r="N355" s="6">
        <v>9</v>
      </c>
      <c r="O355" s="6" t="s">
        <v>4269</v>
      </c>
      <c r="V355" s="8">
        <v>-1.3981121923780444</v>
      </c>
      <c r="W355" s="8">
        <v>-10.074676688766479</v>
      </c>
      <c r="X355" s="27">
        <f t="shared" si="16"/>
        <v>1.1102208502578765</v>
      </c>
    </row>
    <row r="356" spans="1:25" x14ac:dyDescent="0.35">
      <c r="A356" s="6" t="s">
        <v>25</v>
      </c>
      <c r="B356" s="7" t="s">
        <v>577</v>
      </c>
      <c r="C356" s="6">
        <v>510991</v>
      </c>
      <c r="D356" s="6" t="s">
        <v>578</v>
      </c>
      <c r="E356" s="6">
        <v>1</v>
      </c>
      <c r="F356" s="6">
        <v>9</v>
      </c>
      <c r="G356" s="6" t="s">
        <v>546</v>
      </c>
      <c r="I356" s="8">
        <v>86.047909722222201</v>
      </c>
      <c r="J356" s="8">
        <v>120.497726180556</v>
      </c>
      <c r="K356" s="6" t="s">
        <v>29</v>
      </c>
      <c r="L356" s="9">
        <v>43794</v>
      </c>
      <c r="N356" s="6">
        <v>9</v>
      </c>
      <c r="O356" s="6" t="s">
        <v>4270</v>
      </c>
      <c r="Q356" s="10"/>
      <c r="R356" s="10">
        <v>0</v>
      </c>
      <c r="S356" s="10">
        <v>13</v>
      </c>
      <c r="T356" s="10">
        <f t="shared" ref="T356:T384" si="19">AVERAGE(R356:S356)</f>
        <v>6.5</v>
      </c>
      <c r="U356" s="11">
        <v>0</v>
      </c>
      <c r="V356" s="8">
        <v>-6.1924520928859721</v>
      </c>
      <c r="W356" s="8">
        <v>-48.593491779327394</v>
      </c>
      <c r="X356" s="8">
        <f t="shared" si="16"/>
        <v>0.9461249637603828</v>
      </c>
    </row>
    <row r="357" spans="1:25" x14ac:dyDescent="0.35">
      <c r="A357" s="6" t="s">
        <v>25</v>
      </c>
      <c r="B357" s="7" t="s">
        <v>579</v>
      </c>
      <c r="C357" s="6">
        <v>510992</v>
      </c>
      <c r="D357" s="6" t="s">
        <v>580</v>
      </c>
      <c r="E357" s="6">
        <v>1</v>
      </c>
      <c r="F357" s="6">
        <v>9</v>
      </c>
      <c r="G357" s="6" t="s">
        <v>546</v>
      </c>
      <c r="I357" s="8">
        <v>86.047909722222201</v>
      </c>
      <c r="J357" s="8">
        <v>120.497726180556</v>
      </c>
      <c r="K357" s="6" t="s">
        <v>29</v>
      </c>
      <c r="L357" s="9">
        <v>43794</v>
      </c>
      <c r="N357" s="6">
        <v>9</v>
      </c>
      <c r="O357" s="6" t="s">
        <v>4270</v>
      </c>
      <c r="Q357" s="10"/>
      <c r="R357" s="10">
        <v>13</v>
      </c>
      <c r="S357" s="10">
        <v>23</v>
      </c>
      <c r="T357" s="10">
        <f t="shared" si="19"/>
        <v>18</v>
      </c>
      <c r="U357" s="11">
        <v>0</v>
      </c>
      <c r="V357" s="8">
        <v>-6.5645071506500248</v>
      </c>
      <c r="W357" s="8">
        <v>-51.025356479644771</v>
      </c>
      <c r="X357" s="8">
        <f t="shared" si="16"/>
        <v>1.4907007255554277</v>
      </c>
    </row>
    <row r="358" spans="1:25" x14ac:dyDescent="0.35">
      <c r="A358" s="6" t="s">
        <v>25</v>
      </c>
      <c r="B358" s="7" t="s">
        <v>581</v>
      </c>
      <c r="C358" s="6">
        <v>510994</v>
      </c>
      <c r="D358" s="6" t="s">
        <v>582</v>
      </c>
      <c r="E358" s="6">
        <v>1</v>
      </c>
      <c r="F358" s="6">
        <v>9</v>
      </c>
      <c r="G358" s="6" t="s">
        <v>546</v>
      </c>
      <c r="I358" s="8">
        <v>86.047909722222201</v>
      </c>
      <c r="J358" s="8">
        <v>120.497726180556</v>
      </c>
      <c r="K358" s="6" t="s">
        <v>29</v>
      </c>
      <c r="L358" s="9">
        <v>43794</v>
      </c>
      <c r="N358" s="6">
        <v>9</v>
      </c>
      <c r="O358" s="6" t="s">
        <v>4270</v>
      </c>
      <c r="Q358" s="10"/>
      <c r="R358" s="10">
        <v>23</v>
      </c>
      <c r="S358" s="10">
        <v>32</v>
      </c>
      <c r="T358" s="10">
        <f t="shared" si="19"/>
        <v>27.5</v>
      </c>
      <c r="U358" s="11">
        <v>0</v>
      </c>
      <c r="V358" s="8">
        <v>-5.80350133895874</v>
      </c>
      <c r="W358" s="8">
        <v>-45.005876619338991</v>
      </c>
      <c r="X358" s="8">
        <f t="shared" si="16"/>
        <v>1.4221340923309285</v>
      </c>
    </row>
    <row r="359" spans="1:25" x14ac:dyDescent="0.35">
      <c r="A359" s="6" t="s">
        <v>25</v>
      </c>
      <c r="B359" s="7" t="s">
        <v>583</v>
      </c>
      <c r="C359" s="6">
        <v>510993</v>
      </c>
      <c r="D359" s="6" t="s">
        <v>584</v>
      </c>
      <c r="E359" s="6">
        <v>1</v>
      </c>
      <c r="F359" s="6">
        <v>9</v>
      </c>
      <c r="G359" s="6" t="s">
        <v>546</v>
      </c>
      <c r="I359" s="8">
        <v>86.047909722222201</v>
      </c>
      <c r="J359" s="8">
        <v>120.497726180556</v>
      </c>
      <c r="K359" s="6" t="s">
        <v>29</v>
      </c>
      <c r="L359" s="9">
        <v>43794</v>
      </c>
      <c r="N359" s="6">
        <v>9</v>
      </c>
      <c r="O359" s="6" t="s">
        <v>4270</v>
      </c>
      <c r="Q359" s="10"/>
      <c r="R359" s="10">
        <v>32</v>
      </c>
      <c r="S359" s="10">
        <v>43</v>
      </c>
      <c r="T359" s="10">
        <f t="shared" si="19"/>
        <v>37.5</v>
      </c>
      <c r="U359" s="11">
        <v>0</v>
      </c>
      <c r="V359" s="8">
        <v>-5.9832395856380467</v>
      </c>
      <c r="W359" s="8">
        <v>-45.374108484268191</v>
      </c>
      <c r="X359" s="8">
        <f t="shared" si="16"/>
        <v>2.4918082008361822</v>
      </c>
    </row>
    <row r="360" spans="1:25" x14ac:dyDescent="0.35">
      <c r="A360" s="6" t="s">
        <v>25</v>
      </c>
      <c r="B360" s="7" t="s">
        <v>585</v>
      </c>
      <c r="C360" s="6">
        <v>510995</v>
      </c>
      <c r="D360" s="6" t="s">
        <v>586</v>
      </c>
      <c r="E360" s="6">
        <v>1</v>
      </c>
      <c r="F360" s="6">
        <v>9</v>
      </c>
      <c r="G360" s="6" t="s">
        <v>546</v>
      </c>
      <c r="I360" s="8">
        <v>86.047909722222201</v>
      </c>
      <c r="J360" s="8">
        <v>120.497726180556</v>
      </c>
      <c r="K360" s="6" t="s">
        <v>29</v>
      </c>
      <c r="L360" s="9">
        <v>43794</v>
      </c>
      <c r="N360" s="6">
        <v>9</v>
      </c>
      <c r="O360" s="6" t="s">
        <v>4270</v>
      </c>
      <c r="Q360" s="10"/>
      <c r="R360" s="10">
        <v>43</v>
      </c>
      <c r="S360" s="10">
        <v>53</v>
      </c>
      <c r="T360" s="10">
        <f t="shared" si="19"/>
        <v>48</v>
      </c>
      <c r="U360" s="11">
        <v>0</v>
      </c>
      <c r="V360" s="8">
        <v>-5.1794139232635503</v>
      </c>
      <c r="W360" s="8">
        <v>-38.965010154724119</v>
      </c>
      <c r="X360" s="8">
        <f t="shared" si="16"/>
        <v>2.4703012313842834</v>
      </c>
    </row>
    <row r="361" spans="1:25" x14ac:dyDescent="0.35">
      <c r="A361" s="6" t="s">
        <v>25</v>
      </c>
      <c r="B361" s="7" t="s">
        <v>587</v>
      </c>
      <c r="C361" s="6">
        <v>510996</v>
      </c>
      <c r="D361" s="6" t="s">
        <v>588</v>
      </c>
      <c r="E361" s="6">
        <v>1</v>
      </c>
      <c r="F361" s="6">
        <v>9</v>
      </c>
      <c r="G361" s="6" t="s">
        <v>546</v>
      </c>
      <c r="I361" s="8">
        <v>86.047909722222201</v>
      </c>
      <c r="J361" s="8">
        <v>120.497726180556</v>
      </c>
      <c r="K361" s="6" t="s">
        <v>29</v>
      </c>
      <c r="L361" s="9">
        <v>43794</v>
      </c>
      <c r="N361" s="6">
        <v>9</v>
      </c>
      <c r="O361" s="6" t="s">
        <v>4270</v>
      </c>
      <c r="Q361" s="10"/>
      <c r="R361" s="10">
        <v>53</v>
      </c>
      <c r="S361" s="10">
        <v>63</v>
      </c>
      <c r="T361" s="10">
        <f t="shared" si="19"/>
        <v>58</v>
      </c>
      <c r="U361" s="11">
        <v>0.4</v>
      </c>
      <c r="V361" s="8">
        <v>-4.2969443085193637</v>
      </c>
      <c r="W361" s="8">
        <v>-32.084927045822148</v>
      </c>
      <c r="X361" s="8">
        <f t="shared" si="16"/>
        <v>2.2906274223327614</v>
      </c>
    </row>
    <row r="362" spans="1:25" x14ac:dyDescent="0.35">
      <c r="A362" s="6" t="s">
        <v>25</v>
      </c>
      <c r="B362" s="7" t="s">
        <v>589</v>
      </c>
      <c r="C362" s="6">
        <v>510997</v>
      </c>
      <c r="D362" s="6" t="s">
        <v>590</v>
      </c>
      <c r="E362" s="6">
        <v>1</v>
      </c>
      <c r="F362" s="6">
        <v>9</v>
      </c>
      <c r="G362" s="6" t="s">
        <v>546</v>
      </c>
      <c r="I362" s="8">
        <v>86.047909722222201</v>
      </c>
      <c r="J362" s="8">
        <v>120.497726180556</v>
      </c>
      <c r="K362" s="6" t="s">
        <v>29</v>
      </c>
      <c r="L362" s="9">
        <v>43794</v>
      </c>
      <c r="N362" s="6">
        <v>9</v>
      </c>
      <c r="O362" s="6" t="s">
        <v>4270</v>
      </c>
      <c r="Q362" s="10"/>
      <c r="R362" s="10">
        <v>63</v>
      </c>
      <c r="S362" s="10">
        <v>73</v>
      </c>
      <c r="T362" s="10">
        <f t="shared" si="19"/>
        <v>68</v>
      </c>
      <c r="U362" s="11">
        <v>1.9</v>
      </c>
      <c r="V362" s="8">
        <v>-3.979136388540268</v>
      </c>
      <c r="W362" s="8">
        <v>-31.399914548873902</v>
      </c>
      <c r="X362" s="8">
        <f t="shared" si="16"/>
        <v>0.43317655944824196</v>
      </c>
    </row>
    <row r="363" spans="1:25" x14ac:dyDescent="0.35">
      <c r="A363" s="6" t="s">
        <v>25</v>
      </c>
      <c r="B363" s="7" t="s">
        <v>591</v>
      </c>
      <c r="C363" s="6">
        <v>510998</v>
      </c>
      <c r="D363" s="6" t="s">
        <v>592</v>
      </c>
      <c r="E363" s="6">
        <v>1</v>
      </c>
      <c r="F363" s="6">
        <v>9</v>
      </c>
      <c r="G363" s="6" t="s">
        <v>546</v>
      </c>
      <c r="I363" s="8">
        <v>86.047909722222201</v>
      </c>
      <c r="J363" s="8">
        <v>120.497726180556</v>
      </c>
      <c r="K363" s="6" t="s">
        <v>29</v>
      </c>
      <c r="L363" s="9">
        <v>43794</v>
      </c>
      <c r="N363" s="6">
        <v>9</v>
      </c>
      <c r="O363" s="6" t="s">
        <v>4270</v>
      </c>
      <c r="Q363" s="10"/>
      <c r="R363" s="10">
        <v>73</v>
      </c>
      <c r="S363" s="10">
        <v>83</v>
      </c>
      <c r="T363" s="10">
        <f t="shared" si="19"/>
        <v>78</v>
      </c>
      <c r="U363" s="11">
        <v>1.5</v>
      </c>
      <c r="V363" s="8">
        <v>-3.4536190527677535</v>
      </c>
      <c r="W363" s="8">
        <v>-26.088811264038085</v>
      </c>
      <c r="X363" s="8">
        <f t="shared" si="16"/>
        <v>1.5401411581039426</v>
      </c>
    </row>
    <row r="364" spans="1:25" x14ac:dyDescent="0.35">
      <c r="A364" s="6" t="s">
        <v>25</v>
      </c>
      <c r="B364" s="7" t="s">
        <v>593</v>
      </c>
      <c r="C364" s="6">
        <v>510999</v>
      </c>
      <c r="D364" s="6" t="s">
        <v>594</v>
      </c>
      <c r="E364" s="6">
        <v>1</v>
      </c>
      <c r="F364" s="6">
        <v>9</v>
      </c>
      <c r="G364" s="6" t="s">
        <v>546</v>
      </c>
      <c r="I364" s="8">
        <v>86.047909722222201</v>
      </c>
      <c r="J364" s="8">
        <v>120.497726180556</v>
      </c>
      <c r="K364" s="6" t="s">
        <v>29</v>
      </c>
      <c r="L364" s="9">
        <v>43794</v>
      </c>
      <c r="N364" s="6">
        <v>9</v>
      </c>
      <c r="O364" s="6" t="s">
        <v>4270</v>
      </c>
      <c r="Q364" s="10"/>
      <c r="R364" s="10">
        <v>83</v>
      </c>
      <c r="S364" s="10">
        <v>93</v>
      </c>
      <c r="T364" s="10">
        <f t="shared" si="19"/>
        <v>88</v>
      </c>
      <c r="U364" s="11">
        <v>1</v>
      </c>
      <c r="V364" s="8">
        <v>-3.7847295897006989</v>
      </c>
      <c r="W364" s="8">
        <v>-28.09827088165283</v>
      </c>
      <c r="X364" s="8">
        <f t="shared" si="16"/>
        <v>2.1795658359527614</v>
      </c>
    </row>
    <row r="365" spans="1:25" x14ac:dyDescent="0.35">
      <c r="A365" s="6" t="s">
        <v>25</v>
      </c>
      <c r="B365" s="7" t="s">
        <v>595</v>
      </c>
      <c r="C365" s="6">
        <v>511000</v>
      </c>
      <c r="D365" s="6" t="s">
        <v>596</v>
      </c>
      <c r="E365" s="6">
        <v>1</v>
      </c>
      <c r="F365" s="6">
        <v>9</v>
      </c>
      <c r="G365" s="6" t="s">
        <v>546</v>
      </c>
      <c r="I365" s="8">
        <v>86.047909722222201</v>
      </c>
      <c r="J365" s="8">
        <v>120.497726180556</v>
      </c>
      <c r="K365" s="6" t="s">
        <v>29</v>
      </c>
      <c r="L365" s="9">
        <v>43794</v>
      </c>
      <c r="N365" s="6">
        <v>9</v>
      </c>
      <c r="O365" s="6" t="s">
        <v>4270</v>
      </c>
      <c r="Q365" s="10"/>
      <c r="R365" s="10">
        <v>93</v>
      </c>
      <c r="S365" s="10">
        <v>103</v>
      </c>
      <c r="T365" s="10">
        <f t="shared" si="19"/>
        <v>98</v>
      </c>
      <c r="U365" s="11">
        <v>1.6</v>
      </c>
      <c r="V365" s="8">
        <v>-3.7971380108594897</v>
      </c>
      <c r="W365" s="8">
        <v>-28.659025354385378</v>
      </c>
      <c r="X365" s="8">
        <f t="shared" si="16"/>
        <v>1.7180787324905396</v>
      </c>
    </row>
    <row r="366" spans="1:25" x14ac:dyDescent="0.35">
      <c r="A366" s="6" t="s">
        <v>25</v>
      </c>
      <c r="B366" s="7" t="s">
        <v>597</v>
      </c>
      <c r="C366" s="6">
        <v>511001</v>
      </c>
      <c r="D366" s="6" t="s">
        <v>598</v>
      </c>
      <c r="E366" s="6">
        <v>1</v>
      </c>
      <c r="F366" s="6">
        <v>9</v>
      </c>
      <c r="G366" s="6" t="s">
        <v>546</v>
      </c>
      <c r="I366" s="8">
        <v>86.047909722222201</v>
      </c>
      <c r="J366" s="8">
        <v>120.497726180556</v>
      </c>
      <c r="K366" s="6" t="s">
        <v>29</v>
      </c>
      <c r="L366" s="9">
        <v>43794</v>
      </c>
      <c r="N366" s="6">
        <v>9</v>
      </c>
      <c r="O366" s="6" t="s">
        <v>4270</v>
      </c>
      <c r="Q366" s="10"/>
      <c r="R366" s="10">
        <v>103</v>
      </c>
      <c r="S366" s="10">
        <v>113</v>
      </c>
      <c r="T366" s="10">
        <f t="shared" si="19"/>
        <v>108</v>
      </c>
      <c r="U366" s="11">
        <v>1.1000000000000001</v>
      </c>
      <c r="V366" s="8">
        <v>-4.2360823557376861</v>
      </c>
      <c r="W366" s="8">
        <v>-31.75932439994812</v>
      </c>
      <c r="X366" s="8">
        <f t="shared" si="16"/>
        <v>2.1293344459533685</v>
      </c>
    </row>
    <row r="367" spans="1:25" x14ac:dyDescent="0.35">
      <c r="A367" s="6" t="s">
        <v>25</v>
      </c>
      <c r="B367" s="7" t="s">
        <v>599</v>
      </c>
      <c r="C367" s="6">
        <v>511003</v>
      </c>
      <c r="D367" s="6" t="s">
        <v>600</v>
      </c>
      <c r="E367" s="6">
        <v>1</v>
      </c>
      <c r="F367" s="6">
        <v>9</v>
      </c>
      <c r="G367" s="6" t="s">
        <v>546</v>
      </c>
      <c r="I367" s="8">
        <v>86.047909722222201</v>
      </c>
      <c r="J367" s="8">
        <v>120.497726180556</v>
      </c>
      <c r="K367" s="6" t="s">
        <v>29</v>
      </c>
      <c r="L367" s="9">
        <v>43794</v>
      </c>
      <c r="N367" s="6">
        <v>9</v>
      </c>
      <c r="O367" s="6" t="s">
        <v>4270</v>
      </c>
      <c r="Q367" s="10"/>
      <c r="R367" s="10">
        <v>123</v>
      </c>
      <c r="S367" s="10">
        <v>133</v>
      </c>
      <c r="T367" s="10">
        <f t="shared" si="19"/>
        <v>128</v>
      </c>
      <c r="U367" s="11">
        <v>1.8</v>
      </c>
      <c r="V367" s="8">
        <v>-2.679935659790039</v>
      </c>
      <c r="W367" s="8">
        <v>-20.844055904388426</v>
      </c>
      <c r="X367" s="8">
        <f t="shared" si="16"/>
        <v>0.59542937393188566</v>
      </c>
    </row>
    <row r="368" spans="1:25" x14ac:dyDescent="0.35">
      <c r="A368" s="6" t="s">
        <v>25</v>
      </c>
      <c r="B368" s="7" t="s">
        <v>601</v>
      </c>
      <c r="C368" s="6">
        <v>511004</v>
      </c>
      <c r="D368" s="6" t="s">
        <v>602</v>
      </c>
      <c r="E368" s="6">
        <v>1</v>
      </c>
      <c r="F368" s="6">
        <v>9</v>
      </c>
      <c r="G368" s="6" t="s">
        <v>546</v>
      </c>
      <c r="I368" s="8">
        <v>86.047909722222201</v>
      </c>
      <c r="J368" s="8">
        <v>120.497726180556</v>
      </c>
      <c r="K368" s="6" t="s">
        <v>29</v>
      </c>
      <c r="L368" s="9">
        <v>43794</v>
      </c>
      <c r="N368" s="6">
        <v>9</v>
      </c>
      <c r="O368" s="6" t="s">
        <v>4270</v>
      </c>
      <c r="Q368" s="10"/>
      <c r="R368" s="10">
        <v>133</v>
      </c>
      <c r="S368" s="10">
        <v>146.5</v>
      </c>
      <c r="T368" s="10">
        <f t="shared" si="19"/>
        <v>139.75</v>
      </c>
      <c r="U368" s="11">
        <v>3.9</v>
      </c>
      <c r="V368" s="8">
        <v>0.14679047851860499</v>
      </c>
      <c r="W368" s="8">
        <v>1.6475284194946289</v>
      </c>
      <c r="X368" s="8">
        <f t="shared" si="16"/>
        <v>0.47320459134578896</v>
      </c>
    </row>
    <row r="369" spans="1:24" x14ac:dyDescent="0.35">
      <c r="A369" s="6" t="s">
        <v>25</v>
      </c>
      <c r="B369" s="7" t="s">
        <v>603</v>
      </c>
      <c r="C369" s="6">
        <v>511002</v>
      </c>
      <c r="D369" s="6" t="s">
        <v>604</v>
      </c>
      <c r="E369" s="6">
        <v>1</v>
      </c>
      <c r="F369" s="6">
        <v>9</v>
      </c>
      <c r="G369" s="6" t="s">
        <v>546</v>
      </c>
      <c r="I369" s="8">
        <v>86.047909722222201</v>
      </c>
      <c r="J369" s="8">
        <v>120.497726180556</v>
      </c>
      <c r="K369" s="6" t="s">
        <v>29</v>
      </c>
      <c r="L369" s="9">
        <v>43794</v>
      </c>
      <c r="N369" s="6">
        <v>9</v>
      </c>
      <c r="O369" s="6" t="s">
        <v>4270</v>
      </c>
      <c r="Q369" s="10"/>
      <c r="R369" s="10">
        <v>113</v>
      </c>
      <c r="S369" s="10">
        <v>123</v>
      </c>
      <c r="T369" s="10">
        <f t="shared" si="19"/>
        <v>118</v>
      </c>
      <c r="U369" s="11">
        <v>2.2000000000000002</v>
      </c>
      <c r="V369" s="8">
        <v>-3.9163591927528389</v>
      </c>
      <c r="W369" s="8">
        <v>-29.640991378784179</v>
      </c>
      <c r="X369" s="8">
        <f t="shared" si="16"/>
        <v>1.6898821632385328</v>
      </c>
    </row>
    <row r="370" spans="1:24" x14ac:dyDescent="0.35">
      <c r="A370" s="6" t="s">
        <v>25</v>
      </c>
      <c r="B370" s="7" t="s">
        <v>605</v>
      </c>
      <c r="C370" s="6">
        <v>510734</v>
      </c>
      <c r="D370" s="6" t="s">
        <v>606</v>
      </c>
      <c r="E370" s="6">
        <v>1</v>
      </c>
      <c r="F370" s="6">
        <v>9</v>
      </c>
      <c r="G370" s="6" t="s">
        <v>202</v>
      </c>
      <c r="I370" s="8">
        <v>86.047909722222201</v>
      </c>
      <c r="J370" s="8">
        <v>120.497726180556</v>
      </c>
      <c r="K370" s="6" t="s">
        <v>29</v>
      </c>
      <c r="L370" s="9">
        <v>43794</v>
      </c>
      <c r="N370" s="6">
        <v>9</v>
      </c>
      <c r="O370" s="6" t="s">
        <v>4270</v>
      </c>
      <c r="P370" s="8">
        <v>-8.9</v>
      </c>
      <c r="Q370" s="10" t="s">
        <v>64</v>
      </c>
      <c r="R370" s="10">
        <v>0</v>
      </c>
      <c r="S370" s="10">
        <v>10</v>
      </c>
      <c r="T370" s="10">
        <f t="shared" si="19"/>
        <v>5</v>
      </c>
      <c r="U370" s="11">
        <v>5.6</v>
      </c>
      <c r="V370" s="8">
        <v>-2.9458334699630742</v>
      </c>
      <c r="W370" s="8">
        <v>-24.637205187034606</v>
      </c>
      <c r="X370" s="8">
        <f t="shared" si="16"/>
        <v>-1.070537427330013</v>
      </c>
    </row>
    <row r="371" spans="1:24" x14ac:dyDescent="0.35">
      <c r="A371" s="6" t="s">
        <v>25</v>
      </c>
      <c r="B371" s="7" t="s">
        <v>607</v>
      </c>
      <c r="C371" s="6">
        <v>510736</v>
      </c>
      <c r="D371" s="6" t="s">
        <v>608</v>
      </c>
      <c r="E371" s="6">
        <v>1</v>
      </c>
      <c r="F371" s="6">
        <v>9</v>
      </c>
      <c r="G371" s="6" t="s">
        <v>202</v>
      </c>
      <c r="I371" s="8">
        <v>86.047909722222201</v>
      </c>
      <c r="J371" s="8">
        <v>120.497726180556</v>
      </c>
      <c r="K371" s="6" t="s">
        <v>29</v>
      </c>
      <c r="L371" s="9">
        <v>43794</v>
      </c>
      <c r="N371" s="6">
        <v>9</v>
      </c>
      <c r="O371" s="6" t="s">
        <v>4270</v>
      </c>
      <c r="P371" s="8">
        <v>-4.75</v>
      </c>
      <c r="Q371" s="10" t="s">
        <v>215</v>
      </c>
      <c r="R371" s="10">
        <v>20</v>
      </c>
      <c r="S371" s="10">
        <v>30</v>
      </c>
      <c r="T371" s="10">
        <f t="shared" si="19"/>
        <v>25</v>
      </c>
      <c r="U371" s="11">
        <v>4.4000000000000004</v>
      </c>
      <c r="V371" s="8">
        <v>0.95690118815898906</v>
      </c>
      <c r="W371" s="8">
        <v>8.6374443071365352</v>
      </c>
      <c r="X371" s="8">
        <f t="shared" si="16"/>
        <v>0.98223480186462275</v>
      </c>
    </row>
    <row r="372" spans="1:24" x14ac:dyDescent="0.35">
      <c r="A372" s="6" t="s">
        <v>25</v>
      </c>
      <c r="B372" s="7" t="s">
        <v>609</v>
      </c>
      <c r="C372" s="6">
        <v>510735</v>
      </c>
      <c r="D372" s="6" t="s">
        <v>610</v>
      </c>
      <c r="E372" s="6">
        <v>1</v>
      </c>
      <c r="F372" s="6">
        <v>9</v>
      </c>
      <c r="G372" s="6" t="s">
        <v>202</v>
      </c>
      <c r="I372" s="8">
        <v>86.047909722222201</v>
      </c>
      <c r="J372" s="8">
        <v>120.497726180556</v>
      </c>
      <c r="K372" s="6" t="s">
        <v>29</v>
      </c>
      <c r="L372" s="9">
        <v>43794</v>
      </c>
      <c r="N372" s="6">
        <v>9</v>
      </c>
      <c r="O372" s="6" t="s">
        <v>4270</v>
      </c>
      <c r="P372" s="8">
        <v>-7.0333333333333341</v>
      </c>
      <c r="Q372" s="10" t="s">
        <v>66</v>
      </c>
      <c r="R372" s="10">
        <v>10</v>
      </c>
      <c r="S372" s="10">
        <v>20</v>
      </c>
      <c r="T372" s="10">
        <f t="shared" si="19"/>
        <v>15</v>
      </c>
      <c r="U372" s="11">
        <v>4.2</v>
      </c>
      <c r="V372" s="8">
        <v>0.11816988470018835</v>
      </c>
      <c r="W372" s="8">
        <v>-0.31090283961296089</v>
      </c>
      <c r="X372" s="8">
        <f t="shared" si="16"/>
        <v>-1.2562619172144678</v>
      </c>
    </row>
    <row r="373" spans="1:24" x14ac:dyDescent="0.35">
      <c r="A373" s="6" t="s">
        <v>25</v>
      </c>
      <c r="B373" s="7" t="s">
        <v>611</v>
      </c>
      <c r="C373" s="6">
        <v>510739</v>
      </c>
      <c r="D373" s="6" t="s">
        <v>612</v>
      </c>
      <c r="E373" s="6">
        <v>1</v>
      </c>
      <c r="F373" s="6">
        <v>9</v>
      </c>
      <c r="G373" s="6" t="s">
        <v>202</v>
      </c>
      <c r="I373" s="8">
        <v>86.047909722222201</v>
      </c>
      <c r="J373" s="8">
        <v>120.497726180556</v>
      </c>
      <c r="K373" s="6" t="s">
        <v>29</v>
      </c>
      <c r="L373" s="9">
        <v>43794</v>
      </c>
      <c r="N373" s="6">
        <v>9</v>
      </c>
      <c r="O373" s="6" t="s">
        <v>4270</v>
      </c>
      <c r="P373" s="8">
        <v>-1.9</v>
      </c>
      <c r="Q373" s="10" t="s">
        <v>613</v>
      </c>
      <c r="R373" s="10">
        <v>48</v>
      </c>
      <c r="S373" s="10">
        <v>56</v>
      </c>
      <c r="T373" s="10">
        <f t="shared" si="19"/>
        <v>52</v>
      </c>
      <c r="U373" s="11">
        <v>6.3</v>
      </c>
      <c r="V373" s="8">
        <v>-8.0227537861466372E-2</v>
      </c>
      <c r="W373" s="8">
        <v>0.10265798549652072</v>
      </c>
      <c r="X373" s="8">
        <f t="shared" si="16"/>
        <v>0.7444782883882517</v>
      </c>
    </row>
    <row r="374" spans="1:24" x14ac:dyDescent="0.35">
      <c r="A374" s="6" t="s">
        <v>25</v>
      </c>
      <c r="B374" s="7" t="s">
        <v>614</v>
      </c>
      <c r="C374" s="6">
        <v>510738</v>
      </c>
      <c r="D374" s="6" t="s">
        <v>615</v>
      </c>
      <c r="E374" s="6">
        <v>1</v>
      </c>
      <c r="F374" s="6">
        <v>9</v>
      </c>
      <c r="G374" s="6" t="s">
        <v>202</v>
      </c>
      <c r="I374" s="8">
        <v>86.047909722222201</v>
      </c>
      <c r="J374" s="8">
        <v>120.497726180556</v>
      </c>
      <c r="K374" s="6" t="s">
        <v>29</v>
      </c>
      <c r="L374" s="9">
        <v>43794</v>
      </c>
      <c r="N374" s="6">
        <v>9</v>
      </c>
      <c r="O374" s="6" t="s">
        <v>4270</v>
      </c>
      <c r="P374" s="8">
        <v>-2.2000000000000002</v>
      </c>
      <c r="Q374" s="10" t="s">
        <v>616</v>
      </c>
      <c r="R374" s="10">
        <v>40</v>
      </c>
      <c r="S374" s="10">
        <v>48</v>
      </c>
      <c r="T374" s="10">
        <f t="shared" si="19"/>
        <v>44</v>
      </c>
      <c r="U374" s="11">
        <v>4.3</v>
      </c>
      <c r="V374" s="8">
        <v>0.86157641443014166</v>
      </c>
      <c r="W374" s="8">
        <v>5.6964585723459722</v>
      </c>
      <c r="X374" s="8">
        <f t="shared" si="16"/>
        <v>-1.1961527430951611</v>
      </c>
    </row>
    <row r="375" spans="1:24" x14ac:dyDescent="0.35">
      <c r="A375" s="6" t="s">
        <v>25</v>
      </c>
      <c r="B375" s="7" t="s">
        <v>617</v>
      </c>
      <c r="C375" s="6">
        <v>510737</v>
      </c>
      <c r="D375" s="6" t="s">
        <v>618</v>
      </c>
      <c r="E375" s="6">
        <v>1</v>
      </c>
      <c r="F375" s="6">
        <v>9</v>
      </c>
      <c r="G375" s="6" t="s">
        <v>202</v>
      </c>
      <c r="I375" s="8">
        <v>86.047909722222201</v>
      </c>
      <c r="J375" s="8">
        <v>120.497726180556</v>
      </c>
      <c r="K375" s="6" t="s">
        <v>29</v>
      </c>
      <c r="L375" s="9">
        <v>43794</v>
      </c>
      <c r="N375" s="6">
        <v>9</v>
      </c>
      <c r="O375" s="6" t="s">
        <v>4270</v>
      </c>
      <c r="P375" s="8">
        <v>-3.2</v>
      </c>
      <c r="Q375" s="10" t="s">
        <v>157</v>
      </c>
      <c r="R375" s="10">
        <v>30</v>
      </c>
      <c r="S375" s="10">
        <v>40</v>
      </c>
      <c r="T375" s="10">
        <f t="shared" si="19"/>
        <v>35</v>
      </c>
      <c r="U375" s="11">
        <v>4.7</v>
      </c>
      <c r="V375" s="8">
        <v>0.87469836559295655</v>
      </c>
      <c r="W375" s="8">
        <v>6.1195877483814956</v>
      </c>
      <c r="X375" s="8">
        <f t="shared" si="16"/>
        <v>-0.87799917636215685</v>
      </c>
    </row>
    <row r="376" spans="1:24" x14ac:dyDescent="0.35">
      <c r="A376" s="6" t="s">
        <v>25</v>
      </c>
      <c r="B376" s="7" t="s">
        <v>619</v>
      </c>
      <c r="C376" s="6">
        <v>510725</v>
      </c>
      <c r="D376" s="6" t="s">
        <v>620</v>
      </c>
      <c r="E376" s="6">
        <v>1</v>
      </c>
      <c r="F376" s="6">
        <v>9</v>
      </c>
      <c r="G376" s="6" t="s">
        <v>210</v>
      </c>
      <c r="I376" s="8">
        <v>86.047909722222201</v>
      </c>
      <c r="J376" s="8">
        <v>120.497726180556</v>
      </c>
      <c r="K376" s="6" t="s">
        <v>29</v>
      </c>
      <c r="L376" s="9">
        <v>43794</v>
      </c>
      <c r="N376" s="6">
        <v>9</v>
      </c>
      <c r="O376" s="6" t="s">
        <v>4270</v>
      </c>
      <c r="P376" s="8">
        <v>-8.9</v>
      </c>
      <c r="Q376" s="10" t="s">
        <v>64</v>
      </c>
      <c r="R376" s="10">
        <v>0</v>
      </c>
      <c r="S376" s="10">
        <v>10</v>
      </c>
      <c r="T376" s="10">
        <f t="shared" si="19"/>
        <v>5</v>
      </c>
      <c r="U376" s="11">
        <v>0</v>
      </c>
      <c r="V376" s="8">
        <v>-3.8551429930686956</v>
      </c>
      <c r="W376" s="8">
        <v>-31.370535130691529</v>
      </c>
      <c r="X376" s="8">
        <f t="shared" si="16"/>
        <v>-0.52939118614196445</v>
      </c>
    </row>
    <row r="377" spans="1:24" x14ac:dyDescent="0.35">
      <c r="A377" s="6" t="s">
        <v>25</v>
      </c>
      <c r="B377" s="7" t="s">
        <v>621</v>
      </c>
      <c r="C377" s="6">
        <v>510726</v>
      </c>
      <c r="D377" s="6" t="s">
        <v>622</v>
      </c>
      <c r="E377" s="6">
        <v>1</v>
      </c>
      <c r="F377" s="6">
        <v>9</v>
      </c>
      <c r="G377" s="6" t="s">
        <v>210</v>
      </c>
      <c r="I377" s="8">
        <v>86.047909722222201</v>
      </c>
      <c r="J377" s="8">
        <v>120.497726180556</v>
      </c>
      <c r="K377" s="6" t="s">
        <v>29</v>
      </c>
      <c r="L377" s="9">
        <v>43794</v>
      </c>
      <c r="N377" s="6">
        <v>9</v>
      </c>
      <c r="O377" s="6" t="s">
        <v>4270</v>
      </c>
      <c r="P377" s="8">
        <v>-7.6</v>
      </c>
      <c r="Q377" s="10" t="s">
        <v>138</v>
      </c>
      <c r="R377" s="10">
        <v>10</v>
      </c>
      <c r="S377" s="10">
        <v>20</v>
      </c>
      <c r="T377" s="10">
        <f t="shared" si="19"/>
        <v>15</v>
      </c>
      <c r="U377" s="11">
        <v>0</v>
      </c>
      <c r="V377" s="8">
        <v>-3.6429505804538733</v>
      </c>
      <c r="W377" s="8">
        <v>-28.895716279220579</v>
      </c>
      <c r="X377" s="8">
        <f t="shared" si="16"/>
        <v>0.24788836441040729</v>
      </c>
    </row>
    <row r="378" spans="1:24" x14ac:dyDescent="0.35">
      <c r="A378" s="6" t="s">
        <v>25</v>
      </c>
      <c r="B378" s="7" t="s">
        <v>623</v>
      </c>
      <c r="C378" s="6">
        <v>510727</v>
      </c>
      <c r="D378" s="6" t="s">
        <v>624</v>
      </c>
      <c r="E378" s="6">
        <v>1</v>
      </c>
      <c r="F378" s="6">
        <v>9</v>
      </c>
      <c r="G378" s="6" t="s">
        <v>210</v>
      </c>
      <c r="I378" s="8">
        <v>86.047909722222201</v>
      </c>
      <c r="J378" s="8">
        <v>120.497726180556</v>
      </c>
      <c r="K378" s="6" t="s">
        <v>29</v>
      </c>
      <c r="L378" s="9">
        <v>43794</v>
      </c>
      <c r="N378" s="6">
        <v>9</v>
      </c>
      <c r="O378" s="6" t="s">
        <v>4270</v>
      </c>
      <c r="P378" s="8">
        <v>-6.25</v>
      </c>
      <c r="Q378" s="10" t="s">
        <v>215</v>
      </c>
      <c r="R378" s="10">
        <v>20</v>
      </c>
      <c r="S378" s="10">
        <v>30</v>
      </c>
      <c r="T378" s="10">
        <f t="shared" si="19"/>
        <v>25</v>
      </c>
      <c r="U378" s="11">
        <v>0</v>
      </c>
      <c r="V378" s="8">
        <v>-3.9175674210548399</v>
      </c>
      <c r="W378" s="8">
        <v>-30.923781315994262</v>
      </c>
      <c r="X378" s="8">
        <f t="shared" si="16"/>
        <v>0.41675805244445741</v>
      </c>
    </row>
    <row r="379" spans="1:24" x14ac:dyDescent="0.35">
      <c r="A379" s="6" t="s">
        <v>25</v>
      </c>
      <c r="B379" s="7" t="s">
        <v>625</v>
      </c>
      <c r="C379" s="6">
        <v>510732</v>
      </c>
      <c r="D379" s="6" t="s">
        <v>626</v>
      </c>
      <c r="E379" s="6">
        <v>1</v>
      </c>
      <c r="F379" s="6">
        <v>9</v>
      </c>
      <c r="G379" s="6" t="s">
        <v>210</v>
      </c>
      <c r="I379" s="8">
        <v>86.047909722222201</v>
      </c>
      <c r="J379" s="8">
        <v>120.497726180556</v>
      </c>
      <c r="K379" s="6" t="s">
        <v>29</v>
      </c>
      <c r="L379" s="9">
        <v>43794</v>
      </c>
      <c r="N379" s="6">
        <v>9</v>
      </c>
      <c r="O379" s="6" t="s">
        <v>4270</v>
      </c>
      <c r="P379" s="8">
        <v>-2.4</v>
      </c>
      <c r="Q379" s="10" t="s">
        <v>627</v>
      </c>
      <c r="R379" s="10">
        <v>69.5</v>
      </c>
      <c r="S379" s="10">
        <v>78</v>
      </c>
      <c r="T379" s="10">
        <f t="shared" si="19"/>
        <v>73.75</v>
      </c>
      <c r="U379" s="11">
        <v>5</v>
      </c>
      <c r="V379" s="8">
        <v>0.88827423580487608</v>
      </c>
      <c r="W379" s="8">
        <v>7.1373027065813544</v>
      </c>
      <c r="X379" s="8">
        <f t="shared" si="16"/>
        <v>3.1108820142345728E-2</v>
      </c>
    </row>
    <row r="380" spans="1:24" x14ac:dyDescent="0.35">
      <c r="A380" s="6" t="s">
        <v>25</v>
      </c>
      <c r="B380" s="7" t="s">
        <v>628</v>
      </c>
      <c r="C380" s="6">
        <v>510731</v>
      </c>
      <c r="D380" s="6" t="s">
        <v>629</v>
      </c>
      <c r="E380" s="6">
        <v>1</v>
      </c>
      <c r="F380" s="6">
        <v>9</v>
      </c>
      <c r="G380" s="6" t="s">
        <v>210</v>
      </c>
      <c r="I380" s="8">
        <v>86.047909722222201</v>
      </c>
      <c r="J380" s="8">
        <v>120.497726180556</v>
      </c>
      <c r="K380" s="6" t="s">
        <v>29</v>
      </c>
      <c r="L380" s="9">
        <v>43794</v>
      </c>
      <c r="N380" s="6">
        <v>9</v>
      </c>
      <c r="O380" s="6" t="s">
        <v>4270</v>
      </c>
      <c r="P380" s="8">
        <v>-3.4</v>
      </c>
      <c r="Q380" s="10" t="s">
        <v>630</v>
      </c>
      <c r="R380" s="10">
        <v>60</v>
      </c>
      <c r="S380" s="10">
        <v>69.5</v>
      </c>
      <c r="T380" s="10">
        <f t="shared" si="19"/>
        <v>64.75</v>
      </c>
      <c r="U380" s="11">
        <v>1.1000000000000001</v>
      </c>
      <c r="V380" s="8">
        <v>-3.751620147562027</v>
      </c>
      <c r="W380" s="8">
        <v>-30.150318513107301</v>
      </c>
      <c r="X380" s="8">
        <f t="shared" si="16"/>
        <v>-0.13735733261108507</v>
      </c>
    </row>
    <row r="381" spans="1:24" x14ac:dyDescent="0.35">
      <c r="A381" s="6" t="s">
        <v>25</v>
      </c>
      <c r="B381" s="7" t="s">
        <v>631</v>
      </c>
      <c r="C381" s="6">
        <v>510730</v>
      </c>
      <c r="D381" s="6" t="s">
        <v>632</v>
      </c>
      <c r="E381" s="6">
        <v>1</v>
      </c>
      <c r="F381" s="6">
        <v>9</v>
      </c>
      <c r="G381" s="6" t="s">
        <v>210</v>
      </c>
      <c r="I381" s="8">
        <v>86.047909722222201</v>
      </c>
      <c r="J381" s="8">
        <v>120.497726180556</v>
      </c>
      <c r="K381" s="6" t="s">
        <v>29</v>
      </c>
      <c r="L381" s="9">
        <v>43794</v>
      </c>
      <c r="N381" s="6">
        <v>9</v>
      </c>
      <c r="O381" s="6" t="s">
        <v>4270</v>
      </c>
      <c r="P381" s="8">
        <v>-3.9</v>
      </c>
      <c r="Q381" s="10" t="s">
        <v>161</v>
      </c>
      <c r="R381" s="10">
        <v>50</v>
      </c>
      <c r="S381" s="10">
        <v>60</v>
      </c>
      <c r="T381" s="10">
        <f t="shared" si="19"/>
        <v>55</v>
      </c>
      <c r="U381" s="11">
        <v>0.4</v>
      </c>
      <c r="V381" s="8">
        <v>-3.2244848608016974</v>
      </c>
      <c r="W381" s="8">
        <v>-24.491736167907714</v>
      </c>
      <c r="X381" s="8">
        <f t="shared" si="16"/>
        <v>1.3041427185058652</v>
      </c>
    </row>
    <row r="382" spans="1:24" x14ac:dyDescent="0.35">
      <c r="A382" s="6" t="s">
        <v>25</v>
      </c>
      <c r="B382" s="7" t="s">
        <v>633</v>
      </c>
      <c r="C382" s="6">
        <v>510733</v>
      </c>
      <c r="D382" s="6" t="s">
        <v>634</v>
      </c>
      <c r="E382" s="6">
        <v>1</v>
      </c>
      <c r="F382" s="6">
        <v>9</v>
      </c>
      <c r="G382" s="6" t="s">
        <v>210</v>
      </c>
      <c r="I382" s="8">
        <v>86.047909722222201</v>
      </c>
      <c r="J382" s="8">
        <v>120.497726180556</v>
      </c>
      <c r="K382" s="6" t="s">
        <v>29</v>
      </c>
      <c r="L382" s="9">
        <v>43794</v>
      </c>
      <c r="N382" s="6">
        <v>9</v>
      </c>
      <c r="O382" s="6" t="s">
        <v>4270</v>
      </c>
      <c r="P382" s="8">
        <v>-1.8</v>
      </c>
      <c r="Q382" s="10" t="s">
        <v>635</v>
      </c>
      <c r="R382" s="10">
        <v>78</v>
      </c>
      <c r="S382" s="10">
        <v>86.5</v>
      </c>
      <c r="T382" s="10">
        <f t="shared" si="19"/>
        <v>82.25</v>
      </c>
      <c r="U382" s="11">
        <v>5.7</v>
      </c>
      <c r="V382" s="8">
        <v>0.75496243834495558</v>
      </c>
      <c r="W382" s="8">
        <v>6.8994224557876596</v>
      </c>
      <c r="X382" s="8">
        <f t="shared" si="16"/>
        <v>0.85972294902801494</v>
      </c>
    </row>
    <row r="383" spans="1:24" x14ac:dyDescent="0.35">
      <c r="A383" s="6" t="s">
        <v>25</v>
      </c>
      <c r="B383" s="7" t="s">
        <v>636</v>
      </c>
      <c r="C383" s="6">
        <v>510728</v>
      </c>
      <c r="D383" s="6" t="s">
        <v>637</v>
      </c>
      <c r="E383" s="6">
        <v>1</v>
      </c>
      <c r="F383" s="6">
        <v>9</v>
      </c>
      <c r="G383" s="6" t="s">
        <v>210</v>
      </c>
      <c r="I383" s="8">
        <v>86.047909722222201</v>
      </c>
      <c r="J383" s="8">
        <v>120.497726180556</v>
      </c>
      <c r="K383" s="6" t="s">
        <v>29</v>
      </c>
      <c r="L383" s="9">
        <v>43794</v>
      </c>
      <c r="N383" s="6">
        <v>9</v>
      </c>
      <c r="O383" s="6" t="s">
        <v>4270</v>
      </c>
      <c r="P383" s="8">
        <v>-5.3</v>
      </c>
      <c r="Q383" s="10" t="s">
        <v>157</v>
      </c>
      <c r="R383" s="10">
        <v>30</v>
      </c>
      <c r="S383" s="10">
        <v>40</v>
      </c>
      <c r="T383" s="10">
        <f t="shared" si="19"/>
        <v>35</v>
      </c>
      <c r="U383" s="11">
        <v>0.4</v>
      </c>
      <c r="V383" s="8">
        <v>-4.0112327098846441</v>
      </c>
      <c r="W383" s="8">
        <v>-30.31946295070648</v>
      </c>
      <c r="X383" s="8">
        <f t="shared" si="16"/>
        <v>1.7703987283706724</v>
      </c>
    </row>
    <row r="384" spans="1:24" x14ac:dyDescent="0.35">
      <c r="A384" s="6" t="s">
        <v>25</v>
      </c>
      <c r="B384" s="7" t="s">
        <v>638</v>
      </c>
      <c r="C384" s="6">
        <v>510729</v>
      </c>
      <c r="D384" s="6" t="s">
        <v>639</v>
      </c>
      <c r="E384" s="6">
        <v>1</v>
      </c>
      <c r="F384" s="6">
        <v>9</v>
      </c>
      <c r="G384" s="6" t="s">
        <v>210</v>
      </c>
      <c r="I384" s="8">
        <v>86.047909722222201</v>
      </c>
      <c r="J384" s="8">
        <v>120.497726180556</v>
      </c>
      <c r="K384" s="6" t="s">
        <v>29</v>
      </c>
      <c r="L384" s="9">
        <v>43794</v>
      </c>
      <c r="N384" s="6">
        <v>9</v>
      </c>
      <c r="O384" s="6" t="s">
        <v>4270</v>
      </c>
      <c r="P384" s="8">
        <v>-4.5</v>
      </c>
      <c r="Q384" s="10" t="s">
        <v>159</v>
      </c>
      <c r="R384" s="10">
        <v>40</v>
      </c>
      <c r="S384" s="10">
        <v>50</v>
      </c>
      <c r="T384" s="10">
        <f t="shared" si="19"/>
        <v>45</v>
      </c>
      <c r="U384" s="11">
        <v>0.2</v>
      </c>
      <c r="V384" s="8">
        <v>-3.1835229158401495</v>
      </c>
      <c r="W384" s="8">
        <v>-24.051939007759096</v>
      </c>
      <c r="X384" s="8">
        <f t="shared" si="16"/>
        <v>1.4162443189621001</v>
      </c>
    </row>
    <row r="385" spans="1:25" x14ac:dyDescent="0.35">
      <c r="A385" s="6" t="s">
        <v>25</v>
      </c>
      <c r="B385" s="6" t="s">
        <v>3344</v>
      </c>
      <c r="D385" s="6" t="s">
        <v>3646</v>
      </c>
      <c r="E385" s="6">
        <v>1</v>
      </c>
      <c r="F385" s="6">
        <v>9</v>
      </c>
      <c r="G385" s="6" t="s">
        <v>3948</v>
      </c>
      <c r="I385" s="8">
        <v>86.047909722222201</v>
      </c>
      <c r="J385" s="8">
        <v>120.497726180556</v>
      </c>
      <c r="K385" s="7" t="s">
        <v>2610</v>
      </c>
      <c r="L385" s="9">
        <v>43794</v>
      </c>
      <c r="N385" s="6">
        <v>9</v>
      </c>
      <c r="O385" s="6" t="s">
        <v>4270</v>
      </c>
      <c r="V385" s="8">
        <v>-1.5432169477796558</v>
      </c>
      <c r="W385" s="8">
        <v>-11.105917348480224</v>
      </c>
      <c r="X385" s="27">
        <f t="shared" si="16"/>
        <v>1.2398182337570223</v>
      </c>
    </row>
    <row r="386" spans="1:25" x14ac:dyDescent="0.35">
      <c r="A386" s="6" t="s">
        <v>25</v>
      </c>
      <c r="B386" s="7"/>
      <c r="C386" s="6">
        <v>510747</v>
      </c>
      <c r="D386" s="6" t="s">
        <v>643</v>
      </c>
      <c r="E386" s="6">
        <v>1</v>
      </c>
      <c r="F386" s="6">
        <v>9</v>
      </c>
      <c r="G386" s="6" t="s">
        <v>241</v>
      </c>
      <c r="I386" s="8">
        <v>86.047909722222201</v>
      </c>
      <c r="J386" s="8">
        <v>120.497726180556</v>
      </c>
      <c r="K386" s="6" t="s">
        <v>198</v>
      </c>
      <c r="L386" s="9">
        <v>43794</v>
      </c>
      <c r="N386" s="6">
        <v>9</v>
      </c>
      <c r="O386" s="6" t="s">
        <v>4270</v>
      </c>
      <c r="Q386" s="6" t="s">
        <v>644</v>
      </c>
      <c r="R386" s="6">
        <v>10</v>
      </c>
      <c r="S386" s="6">
        <v>14</v>
      </c>
      <c r="T386" s="10">
        <f>AVERAGE(R386:S386)</f>
        <v>12</v>
      </c>
      <c r="U386" s="6">
        <v>0</v>
      </c>
      <c r="V386" s="8">
        <v>-6.1968447411537158</v>
      </c>
      <c r="W386" s="8">
        <v>-54.995724049377436</v>
      </c>
      <c r="X386" s="8">
        <f t="shared" ref="X386:X449" si="20">W386-(8*V386)</f>
        <v>-5.4209661201477104</v>
      </c>
    </row>
    <row r="387" spans="1:25" x14ac:dyDescent="0.35">
      <c r="A387" s="6" t="s">
        <v>25</v>
      </c>
      <c r="B387" s="7"/>
      <c r="C387" s="6">
        <v>510748</v>
      </c>
      <c r="D387" s="6" t="s">
        <v>643</v>
      </c>
      <c r="E387" s="6">
        <v>1</v>
      </c>
      <c r="F387" s="6">
        <v>9</v>
      </c>
      <c r="G387" s="6" t="s">
        <v>241</v>
      </c>
      <c r="I387" s="8">
        <v>86.047909722222201</v>
      </c>
      <c r="J387" s="8">
        <v>120.497726180556</v>
      </c>
      <c r="K387" s="6" t="s">
        <v>198</v>
      </c>
      <c r="L387" s="9">
        <v>43794</v>
      </c>
      <c r="N387" s="6">
        <v>9</v>
      </c>
      <c r="O387" s="6" t="s">
        <v>4270</v>
      </c>
      <c r="Q387" s="6" t="s">
        <v>403</v>
      </c>
      <c r="R387" s="6">
        <v>5</v>
      </c>
      <c r="S387" s="6">
        <v>10</v>
      </c>
      <c r="T387" s="10">
        <f>AVERAGE(R387:S387)</f>
        <v>7.5</v>
      </c>
      <c r="U387" s="6">
        <v>0</v>
      </c>
      <c r="V387" s="8">
        <v>-10.091604836654662</v>
      </c>
      <c r="W387" s="8">
        <v>-78.370653026526</v>
      </c>
      <c r="X387" s="8">
        <f t="shared" si="20"/>
        <v>2.3621856667112979</v>
      </c>
    </row>
    <row r="388" spans="1:25" x14ac:dyDescent="0.35">
      <c r="A388" s="6" t="s">
        <v>25</v>
      </c>
      <c r="B388" s="7"/>
      <c r="C388" s="6">
        <v>510749</v>
      </c>
      <c r="D388" s="6" t="s">
        <v>640</v>
      </c>
      <c r="E388" s="6">
        <v>1</v>
      </c>
      <c r="F388" s="6">
        <v>9</v>
      </c>
      <c r="G388" s="6" t="s">
        <v>641</v>
      </c>
      <c r="I388" s="8">
        <v>86.047909722222201</v>
      </c>
      <c r="J388" s="8">
        <v>120.497726180556</v>
      </c>
      <c r="K388" s="6" t="s">
        <v>198</v>
      </c>
      <c r="L388" s="9">
        <v>43794</v>
      </c>
      <c r="N388" s="6">
        <v>9</v>
      </c>
      <c r="O388" s="6" t="s">
        <v>4270</v>
      </c>
      <c r="Q388" s="6" t="s">
        <v>642</v>
      </c>
      <c r="R388" s="6">
        <v>0</v>
      </c>
      <c r="S388" s="6">
        <v>5</v>
      </c>
      <c r="T388" s="10">
        <f>AVERAGE(R388:S388)</f>
        <v>2.5</v>
      </c>
      <c r="V388" s="8">
        <v>-13.597144842147827</v>
      </c>
      <c r="W388" s="8">
        <v>-94.973808447265625</v>
      </c>
      <c r="X388" s="8">
        <f t="shared" si="20"/>
        <v>13.803350289916992</v>
      </c>
    </row>
    <row r="389" spans="1:25" x14ac:dyDescent="0.35">
      <c r="A389" s="6" t="s">
        <v>25</v>
      </c>
      <c r="B389" s="7"/>
      <c r="C389" s="6">
        <v>510750</v>
      </c>
      <c r="D389" s="6" t="s">
        <v>643</v>
      </c>
      <c r="E389" s="6">
        <v>1</v>
      </c>
      <c r="F389" s="6">
        <v>9</v>
      </c>
      <c r="G389" s="6" t="s">
        <v>241</v>
      </c>
      <c r="I389" s="8">
        <v>86.047909722222201</v>
      </c>
      <c r="J389" s="8">
        <v>120.497726180556</v>
      </c>
      <c r="K389" s="6" t="s">
        <v>198</v>
      </c>
      <c r="L389" s="9">
        <v>43794</v>
      </c>
      <c r="N389" s="6">
        <v>9</v>
      </c>
      <c r="O389" s="6" t="s">
        <v>4270</v>
      </c>
      <c r="Q389" s="6" t="s">
        <v>203</v>
      </c>
      <c r="R389" s="6">
        <v>0</v>
      </c>
      <c r="S389" s="6">
        <v>5</v>
      </c>
      <c r="T389" s="10">
        <f>AVERAGE(R389:S389)</f>
        <v>2.5</v>
      </c>
      <c r="U389" s="6">
        <v>0</v>
      </c>
      <c r="V389" s="8">
        <v>-16.653558613586426</v>
      </c>
      <c r="W389" s="8">
        <v>-118.07164851074218</v>
      </c>
      <c r="X389" s="8">
        <f t="shared" si="20"/>
        <v>15.156820397949232</v>
      </c>
    </row>
    <row r="390" spans="1:25" x14ac:dyDescent="0.35">
      <c r="A390" s="6" t="s">
        <v>25</v>
      </c>
      <c r="B390" s="7" t="s">
        <v>652</v>
      </c>
      <c r="C390" s="6">
        <v>510711</v>
      </c>
      <c r="D390" s="6" t="s">
        <v>653</v>
      </c>
      <c r="E390" s="6">
        <v>1</v>
      </c>
      <c r="F390" s="6">
        <v>9</v>
      </c>
      <c r="I390" s="8">
        <v>86.127193125000005</v>
      </c>
      <c r="J390" s="8">
        <v>119.116526111111</v>
      </c>
      <c r="K390" s="7" t="s">
        <v>2610</v>
      </c>
      <c r="L390" s="9">
        <v>43795</v>
      </c>
      <c r="N390" s="6">
        <v>9</v>
      </c>
      <c r="O390" s="6" t="s">
        <v>4271</v>
      </c>
      <c r="P390" s="8"/>
      <c r="Q390" s="10">
        <v>200</v>
      </c>
      <c r="R390" s="10"/>
      <c r="S390" s="10">
        <v>200</v>
      </c>
      <c r="T390" s="10">
        <f>AVERAGE(R390:S390)</f>
        <v>200</v>
      </c>
      <c r="U390" s="11"/>
      <c r="V390" s="8">
        <v>-1.6785204124450679</v>
      </c>
      <c r="W390" s="8">
        <v>-11.728925827026368</v>
      </c>
      <c r="X390" s="8">
        <f t="shared" si="20"/>
        <v>1.6992374725341755</v>
      </c>
    </row>
    <row r="391" spans="1:25" x14ac:dyDescent="0.35">
      <c r="A391" s="6" t="s">
        <v>25</v>
      </c>
      <c r="B391" s="6" t="s">
        <v>3345</v>
      </c>
      <c r="D391" s="6" t="s">
        <v>3647</v>
      </c>
      <c r="E391" s="6">
        <v>1</v>
      </c>
      <c r="F391" s="6">
        <v>9</v>
      </c>
      <c r="G391" s="6" t="s">
        <v>3949</v>
      </c>
      <c r="I391" s="8">
        <v>86.127193125000005</v>
      </c>
      <c r="J391" s="8">
        <v>119.116526111111</v>
      </c>
      <c r="K391" s="7" t="s">
        <v>2610</v>
      </c>
      <c r="L391" s="9">
        <v>43795</v>
      </c>
      <c r="N391" s="6">
        <v>9</v>
      </c>
      <c r="O391" s="6" t="s">
        <v>4271</v>
      </c>
      <c r="V391" s="8">
        <v>-1.501522094414234</v>
      </c>
      <c r="W391" s="8">
        <v>-11.244607045745848</v>
      </c>
      <c r="X391" s="27">
        <f t="shared" si="20"/>
        <v>0.76756970956802384</v>
      </c>
    </row>
    <row r="392" spans="1:25" x14ac:dyDescent="0.35">
      <c r="A392" s="6" t="s">
        <v>25</v>
      </c>
      <c r="B392" s="7"/>
      <c r="C392" s="6">
        <v>510771</v>
      </c>
      <c r="D392" s="6" t="s">
        <v>645</v>
      </c>
      <c r="E392" s="6">
        <v>1</v>
      </c>
      <c r="F392" s="6">
        <v>9</v>
      </c>
      <c r="G392" s="6" t="s">
        <v>646</v>
      </c>
      <c r="I392" s="8">
        <v>86.127193125000005</v>
      </c>
      <c r="J392" s="8">
        <v>119.116526111111</v>
      </c>
      <c r="K392" s="6" t="s">
        <v>198</v>
      </c>
      <c r="L392" s="9">
        <v>43795</v>
      </c>
      <c r="N392" s="6">
        <v>9</v>
      </c>
      <c r="O392" s="6" t="s">
        <v>4271</v>
      </c>
      <c r="Q392" s="6" t="s">
        <v>203</v>
      </c>
      <c r="R392" s="6">
        <v>0</v>
      </c>
      <c r="S392" s="6">
        <v>5</v>
      </c>
      <c r="T392" s="10">
        <f t="shared" ref="T392:T403" si="21">AVERAGE(R392:S392)</f>
        <v>2.5</v>
      </c>
      <c r="U392" s="6">
        <v>0.1</v>
      </c>
      <c r="V392" s="8">
        <v>-19.813309288024904</v>
      </c>
      <c r="W392" s="8">
        <v>-144.46062363281249</v>
      </c>
      <c r="X392" s="8">
        <f t="shared" si="20"/>
        <v>14.045850671386745</v>
      </c>
    </row>
    <row r="393" spans="1:25" x14ac:dyDescent="0.35">
      <c r="A393" s="6" t="s">
        <v>25</v>
      </c>
      <c r="B393" s="7"/>
      <c r="C393" s="6">
        <v>510772</v>
      </c>
      <c r="D393" s="6" t="s">
        <v>640</v>
      </c>
      <c r="E393" s="6">
        <v>1</v>
      </c>
      <c r="F393" s="6">
        <v>9</v>
      </c>
      <c r="I393" s="8">
        <v>86.127193125000005</v>
      </c>
      <c r="J393" s="8">
        <v>119.116526111111</v>
      </c>
      <c r="K393" s="6" t="s">
        <v>198</v>
      </c>
      <c r="L393" s="9">
        <v>43795</v>
      </c>
      <c r="N393" s="6">
        <v>9</v>
      </c>
      <c r="O393" s="6" t="s">
        <v>4271</v>
      </c>
      <c r="Q393" s="6" t="s">
        <v>204</v>
      </c>
      <c r="R393" s="6">
        <v>5</v>
      </c>
      <c r="S393" s="6">
        <v>10</v>
      </c>
      <c r="T393" s="10">
        <f t="shared" si="21"/>
        <v>7.5</v>
      </c>
      <c r="U393" s="6">
        <v>0</v>
      </c>
      <c r="V393" s="8">
        <v>-16.219294154357911</v>
      </c>
      <c r="W393" s="8">
        <v>-120.93864815925883</v>
      </c>
      <c r="X393" s="8">
        <f t="shared" si="20"/>
        <v>8.8157050756044555</v>
      </c>
      <c r="Y393" s="6" t="s">
        <v>647</v>
      </c>
    </row>
    <row r="394" spans="1:25" x14ac:dyDescent="0.35">
      <c r="A394" s="6" t="s">
        <v>25</v>
      </c>
      <c r="B394" s="7"/>
      <c r="C394" s="6">
        <v>510773</v>
      </c>
      <c r="D394" s="6" t="s">
        <v>640</v>
      </c>
      <c r="E394" s="6">
        <v>1</v>
      </c>
      <c r="F394" s="6">
        <v>9</v>
      </c>
      <c r="I394" s="8">
        <v>86.127193125000005</v>
      </c>
      <c r="J394" s="8">
        <v>119.116526111111</v>
      </c>
      <c r="K394" s="6" t="s">
        <v>198</v>
      </c>
      <c r="L394" s="9">
        <v>43795</v>
      </c>
      <c r="N394" s="6">
        <v>9</v>
      </c>
      <c r="O394" s="6" t="s">
        <v>4271</v>
      </c>
      <c r="Q394" s="6" t="s">
        <v>648</v>
      </c>
      <c r="R394" s="6">
        <v>8</v>
      </c>
      <c r="S394" s="6">
        <v>13</v>
      </c>
      <c r="T394" s="10">
        <f t="shared" si="21"/>
        <v>10.5</v>
      </c>
      <c r="U394" s="6">
        <v>0</v>
      </c>
      <c r="V394" s="8">
        <v>-9.0758976268768308</v>
      </c>
      <c r="W394" s="8">
        <v>-73.904680394229445</v>
      </c>
      <c r="X394" s="8">
        <f t="shared" si="20"/>
        <v>-1.2974993792147984</v>
      </c>
    </row>
    <row r="395" spans="1:25" x14ac:dyDescent="0.35">
      <c r="A395" s="6" t="s">
        <v>25</v>
      </c>
      <c r="B395" s="7"/>
      <c r="C395" s="6">
        <v>510774</v>
      </c>
      <c r="D395" s="6" t="s">
        <v>640</v>
      </c>
      <c r="E395" s="6">
        <v>1</v>
      </c>
      <c r="F395" s="6">
        <v>9</v>
      </c>
      <c r="I395" s="8">
        <v>86.127193125000005</v>
      </c>
      <c r="J395" s="8">
        <v>119.116526111111</v>
      </c>
      <c r="K395" s="6" t="s">
        <v>198</v>
      </c>
      <c r="L395" s="9">
        <v>43795</v>
      </c>
      <c r="N395" s="6">
        <v>9</v>
      </c>
      <c r="O395" s="6" t="s">
        <v>4271</v>
      </c>
      <c r="Q395" s="6" t="s">
        <v>649</v>
      </c>
      <c r="R395" s="6">
        <v>13</v>
      </c>
      <c r="S395" s="6">
        <v>18</v>
      </c>
      <c r="T395" s="10">
        <f t="shared" si="21"/>
        <v>15.5</v>
      </c>
      <c r="U395" s="6">
        <v>0</v>
      </c>
      <c r="V395" s="8">
        <v>-3.9441085209439191</v>
      </c>
      <c r="W395" s="8">
        <v>-33.238965482633702</v>
      </c>
      <c r="X395" s="8">
        <f t="shared" si="20"/>
        <v>-1.6860973150823497</v>
      </c>
    </row>
    <row r="396" spans="1:25" x14ac:dyDescent="0.35">
      <c r="A396" s="6" t="s">
        <v>25</v>
      </c>
      <c r="B396" s="7"/>
      <c r="C396" s="6">
        <v>510775</v>
      </c>
      <c r="D396" s="6" t="s">
        <v>640</v>
      </c>
      <c r="E396" s="6">
        <v>1</v>
      </c>
      <c r="F396" s="6">
        <v>9</v>
      </c>
      <c r="I396" s="8">
        <v>86.127193125000005</v>
      </c>
      <c r="J396" s="8">
        <v>119.116526111111</v>
      </c>
      <c r="K396" s="6" t="s">
        <v>198</v>
      </c>
      <c r="L396" s="9">
        <v>43795</v>
      </c>
      <c r="N396" s="6">
        <v>9</v>
      </c>
      <c r="O396" s="6" t="s">
        <v>4271</v>
      </c>
      <c r="Q396" s="6" t="s">
        <v>650</v>
      </c>
      <c r="R396" s="6">
        <v>10</v>
      </c>
      <c r="S396" s="6">
        <v>17</v>
      </c>
      <c r="T396" s="10">
        <f t="shared" si="21"/>
        <v>13.5</v>
      </c>
      <c r="U396" s="6">
        <v>0</v>
      </c>
      <c r="V396" s="8">
        <v>-9.7379080065124519</v>
      </c>
      <c r="W396" s="8">
        <v>-75.039556496774253</v>
      </c>
      <c r="X396" s="8">
        <f t="shared" si="20"/>
        <v>2.8637075553253624</v>
      </c>
      <c r="Y396" s="6" t="s">
        <v>647</v>
      </c>
    </row>
    <row r="397" spans="1:25" x14ac:dyDescent="0.35">
      <c r="A397" s="6" t="s">
        <v>25</v>
      </c>
      <c r="B397" s="7"/>
      <c r="C397" s="6">
        <v>510776</v>
      </c>
      <c r="D397" s="6" t="s">
        <v>640</v>
      </c>
      <c r="E397" s="6">
        <v>1</v>
      </c>
      <c r="F397" s="6">
        <v>9</v>
      </c>
      <c r="I397" s="8">
        <v>86.127193125000005</v>
      </c>
      <c r="J397" s="8">
        <v>119.116526111111</v>
      </c>
      <c r="K397" s="6" t="s">
        <v>198</v>
      </c>
      <c r="L397" s="9">
        <v>43795</v>
      </c>
      <c r="N397" s="6">
        <v>9</v>
      </c>
      <c r="O397" s="6" t="s">
        <v>4271</v>
      </c>
      <c r="Q397" s="6" t="s">
        <v>651</v>
      </c>
      <c r="R397" s="6">
        <v>0</v>
      </c>
      <c r="S397" s="6">
        <v>8</v>
      </c>
      <c r="T397" s="10">
        <f t="shared" si="21"/>
        <v>4</v>
      </c>
      <c r="U397" s="6">
        <v>0</v>
      </c>
      <c r="V397" s="8">
        <v>-15.622546616744994</v>
      </c>
      <c r="W397" s="8">
        <v>-112.07070165102154</v>
      </c>
      <c r="X397" s="8">
        <f t="shared" si="20"/>
        <v>12.909671282938419</v>
      </c>
    </row>
    <row r="398" spans="1:25" x14ac:dyDescent="0.35">
      <c r="A398" s="6" t="s">
        <v>25</v>
      </c>
      <c r="B398" s="7" t="s">
        <v>654</v>
      </c>
      <c r="C398" s="6">
        <v>510777</v>
      </c>
      <c r="D398" s="6" t="s">
        <v>655</v>
      </c>
      <c r="E398" s="6">
        <v>1</v>
      </c>
      <c r="F398" s="6">
        <v>9</v>
      </c>
      <c r="G398" s="6" t="s">
        <v>179</v>
      </c>
      <c r="I398" s="8">
        <v>86.158515138888902</v>
      </c>
      <c r="J398" s="8">
        <v>117.89724090277799</v>
      </c>
      <c r="K398" s="6" t="s">
        <v>29</v>
      </c>
      <c r="L398" s="9">
        <v>43796</v>
      </c>
      <c r="N398" s="6">
        <v>9</v>
      </c>
      <c r="O398" s="6" t="s">
        <v>4272</v>
      </c>
      <c r="P398" s="8">
        <v>-11.700000000000001</v>
      </c>
      <c r="Q398" s="10" t="s">
        <v>64</v>
      </c>
      <c r="R398" s="10">
        <v>0</v>
      </c>
      <c r="S398" s="10">
        <v>10</v>
      </c>
      <c r="T398" s="10">
        <f t="shared" si="21"/>
        <v>5</v>
      </c>
      <c r="U398" s="11">
        <v>5.3</v>
      </c>
      <c r="V398" s="8">
        <v>-0.763541579246521</v>
      </c>
      <c r="W398" s="8">
        <v>-5.5080523290634158</v>
      </c>
      <c r="X398" s="8">
        <f t="shared" si="20"/>
        <v>0.60028030490875217</v>
      </c>
    </row>
    <row r="399" spans="1:25" x14ac:dyDescent="0.35">
      <c r="A399" s="6" t="s">
        <v>25</v>
      </c>
      <c r="B399" s="7" t="s">
        <v>656</v>
      </c>
      <c r="C399" s="6">
        <v>510782</v>
      </c>
      <c r="D399" s="6" t="s">
        <v>657</v>
      </c>
      <c r="E399" s="6">
        <v>1</v>
      </c>
      <c r="F399" s="6">
        <v>9</v>
      </c>
      <c r="G399" s="6" t="s">
        <v>179</v>
      </c>
      <c r="I399" s="8">
        <v>86.158515138888902</v>
      </c>
      <c r="J399" s="8">
        <v>117.89724090277799</v>
      </c>
      <c r="K399" s="6" t="s">
        <v>29</v>
      </c>
      <c r="L399" s="9">
        <v>43796</v>
      </c>
      <c r="N399" s="6">
        <v>9</v>
      </c>
      <c r="O399" s="6" t="s">
        <v>4272</v>
      </c>
      <c r="P399" s="8">
        <v>-2.75</v>
      </c>
      <c r="Q399" s="10" t="s">
        <v>658</v>
      </c>
      <c r="R399" s="10">
        <v>49</v>
      </c>
      <c r="S399" s="10">
        <v>58</v>
      </c>
      <c r="T399" s="10">
        <f t="shared" si="21"/>
        <v>53.5</v>
      </c>
      <c r="U399" s="11">
        <v>5.2</v>
      </c>
      <c r="V399" s="8">
        <v>0.70111793279647805</v>
      </c>
      <c r="W399" s="8">
        <v>6.2307087655067441</v>
      </c>
      <c r="X399" s="8">
        <f t="shared" si="20"/>
        <v>0.62176530313491973</v>
      </c>
    </row>
    <row r="400" spans="1:25" x14ac:dyDescent="0.35">
      <c r="A400" s="6" t="s">
        <v>25</v>
      </c>
      <c r="B400" s="7" t="s">
        <v>659</v>
      </c>
      <c r="C400" s="6">
        <v>510781</v>
      </c>
      <c r="D400" s="6" t="s">
        <v>660</v>
      </c>
      <c r="E400" s="6">
        <v>1</v>
      </c>
      <c r="F400" s="6">
        <v>9</v>
      </c>
      <c r="G400" s="6" t="s">
        <v>179</v>
      </c>
      <c r="I400" s="8">
        <v>86.158515138888902</v>
      </c>
      <c r="J400" s="8">
        <v>117.89724090277799</v>
      </c>
      <c r="K400" s="6" t="s">
        <v>29</v>
      </c>
      <c r="L400" s="9">
        <v>43796</v>
      </c>
      <c r="N400" s="6">
        <v>9</v>
      </c>
      <c r="O400" s="6" t="s">
        <v>4272</v>
      </c>
      <c r="P400" s="8">
        <v>-5.15</v>
      </c>
      <c r="Q400" s="10" t="s">
        <v>661</v>
      </c>
      <c r="R400" s="10">
        <v>40</v>
      </c>
      <c r="S400" s="10">
        <v>49</v>
      </c>
      <c r="T400" s="10">
        <f t="shared" si="21"/>
        <v>44.5</v>
      </c>
      <c r="U400" s="11">
        <v>5.3</v>
      </c>
      <c r="V400" s="8">
        <v>0.60116082429885898</v>
      </c>
      <c r="W400" s="8">
        <v>5.4287404036521911</v>
      </c>
      <c r="X400" s="8">
        <f t="shared" si="20"/>
        <v>0.61945380926131932</v>
      </c>
    </row>
    <row r="401" spans="1:25" x14ac:dyDescent="0.35">
      <c r="A401" s="6" t="s">
        <v>25</v>
      </c>
      <c r="B401" s="7" t="s">
        <v>662</v>
      </c>
      <c r="C401" s="6">
        <v>510780</v>
      </c>
      <c r="D401" s="6" t="s">
        <v>663</v>
      </c>
      <c r="E401" s="6">
        <v>1</v>
      </c>
      <c r="F401" s="6">
        <v>9</v>
      </c>
      <c r="G401" s="6" t="s">
        <v>179</v>
      </c>
      <c r="I401" s="8">
        <v>86.158515138888902</v>
      </c>
      <c r="J401" s="8">
        <v>117.89724090277799</v>
      </c>
      <c r="K401" s="6" t="s">
        <v>29</v>
      </c>
      <c r="L401" s="9">
        <v>43796</v>
      </c>
      <c r="N401" s="6">
        <v>9</v>
      </c>
      <c r="O401" s="6" t="s">
        <v>4272</v>
      </c>
      <c r="P401" s="8">
        <v>-8.0500000000000007</v>
      </c>
      <c r="Q401" s="10" t="s">
        <v>492</v>
      </c>
      <c r="R401" s="10">
        <v>30</v>
      </c>
      <c r="S401" s="10">
        <v>40</v>
      </c>
      <c r="T401" s="10">
        <f t="shared" si="21"/>
        <v>35</v>
      </c>
      <c r="U401" s="11">
        <v>5.7</v>
      </c>
      <c r="V401" s="8">
        <v>0.66463780403137196</v>
      </c>
      <c r="W401" s="8">
        <v>6.1755526261329647</v>
      </c>
      <c r="X401" s="8">
        <f t="shared" si="20"/>
        <v>0.85845019388198907</v>
      </c>
    </row>
    <row r="402" spans="1:25" x14ac:dyDescent="0.35">
      <c r="A402" s="6" t="s">
        <v>25</v>
      </c>
      <c r="B402" s="7" t="s">
        <v>664</v>
      </c>
      <c r="C402" s="6">
        <v>510779</v>
      </c>
      <c r="D402" s="6" t="s">
        <v>665</v>
      </c>
      <c r="E402" s="6">
        <v>1</v>
      </c>
      <c r="F402" s="6">
        <v>9</v>
      </c>
      <c r="G402" s="6" t="s">
        <v>179</v>
      </c>
      <c r="I402" s="8">
        <v>86.158515138888902</v>
      </c>
      <c r="J402" s="8">
        <v>117.89724090277799</v>
      </c>
      <c r="K402" s="6" t="s">
        <v>29</v>
      </c>
      <c r="L402" s="9">
        <v>43796</v>
      </c>
      <c r="N402" s="6">
        <v>9</v>
      </c>
      <c r="O402" s="6" t="s">
        <v>4272</v>
      </c>
      <c r="P402" s="8">
        <v>-9.9499999999999993</v>
      </c>
      <c r="Q402" s="10" t="s">
        <v>146</v>
      </c>
      <c r="R402" s="10">
        <v>20</v>
      </c>
      <c r="S402" s="10">
        <v>30</v>
      </c>
      <c r="T402" s="10">
        <f t="shared" si="21"/>
        <v>25</v>
      </c>
      <c r="U402" s="11">
        <v>5.9</v>
      </c>
      <c r="V402" s="8">
        <v>0.582566797733307</v>
      </c>
      <c r="W402" s="8">
        <v>5.7263306312561033</v>
      </c>
      <c r="X402" s="8">
        <f t="shared" si="20"/>
        <v>1.0657962493896473</v>
      </c>
    </row>
    <row r="403" spans="1:25" x14ac:dyDescent="0.35">
      <c r="A403" s="6" t="s">
        <v>25</v>
      </c>
      <c r="B403" s="7" t="s">
        <v>666</v>
      </c>
      <c r="C403" s="6">
        <v>510778</v>
      </c>
      <c r="D403" s="6" t="s">
        <v>667</v>
      </c>
      <c r="E403" s="6">
        <v>1</v>
      </c>
      <c r="F403" s="6">
        <v>9</v>
      </c>
      <c r="G403" s="6" t="s">
        <v>179</v>
      </c>
      <c r="I403" s="8">
        <v>86.158515138888902</v>
      </c>
      <c r="J403" s="8">
        <v>117.89724090277799</v>
      </c>
      <c r="K403" s="6" t="s">
        <v>29</v>
      </c>
      <c r="L403" s="9">
        <v>43796</v>
      </c>
      <c r="N403" s="6">
        <v>9</v>
      </c>
      <c r="O403" s="6" t="s">
        <v>4272</v>
      </c>
      <c r="P403" s="8">
        <v>-10.6</v>
      </c>
      <c r="Q403" s="10" t="s">
        <v>138</v>
      </c>
      <c r="R403" s="10">
        <v>10</v>
      </c>
      <c r="S403" s="10">
        <v>20</v>
      </c>
      <c r="T403" s="10">
        <f t="shared" si="21"/>
        <v>15</v>
      </c>
      <c r="U403" s="11">
        <v>5.5</v>
      </c>
      <c r="V403" s="8">
        <v>-2.163780689239502</v>
      </c>
      <c r="W403" s="8">
        <v>-16.426574987411499</v>
      </c>
      <c r="X403" s="8">
        <f t="shared" si="20"/>
        <v>0.88367052650451683</v>
      </c>
    </row>
    <row r="404" spans="1:25" x14ac:dyDescent="0.35">
      <c r="A404" s="6" t="s">
        <v>25</v>
      </c>
      <c r="B404" s="6" t="s">
        <v>3346</v>
      </c>
      <c r="D404" s="6" t="s">
        <v>3648</v>
      </c>
      <c r="E404" s="6">
        <v>1</v>
      </c>
      <c r="F404" s="6">
        <v>9</v>
      </c>
      <c r="G404" s="6" t="s">
        <v>3950</v>
      </c>
      <c r="I404" s="8">
        <v>86.158515138888902</v>
      </c>
      <c r="J404" s="8">
        <v>117.89724090277799</v>
      </c>
      <c r="K404" s="7" t="s">
        <v>2610</v>
      </c>
      <c r="L404" s="9">
        <v>43796</v>
      </c>
      <c r="N404" s="6">
        <v>9</v>
      </c>
      <c r="O404" s="6" t="s">
        <v>4272</v>
      </c>
      <c r="V404" s="8">
        <v>-1.4313492302131654</v>
      </c>
      <c r="W404" s="8">
        <v>-10.843477587890625</v>
      </c>
      <c r="X404" s="27">
        <f t="shared" si="20"/>
        <v>0.60731625381469811</v>
      </c>
    </row>
    <row r="405" spans="1:25" x14ac:dyDescent="0.35">
      <c r="A405" s="6" t="s">
        <v>25</v>
      </c>
      <c r="B405" s="7"/>
      <c r="C405" s="6">
        <v>510783</v>
      </c>
      <c r="D405" s="6" t="s">
        <v>668</v>
      </c>
      <c r="E405" s="6">
        <v>1</v>
      </c>
      <c r="F405" s="6">
        <v>9</v>
      </c>
      <c r="G405" s="6" t="s">
        <v>179</v>
      </c>
      <c r="H405" s="6">
        <v>10</v>
      </c>
      <c r="I405" s="8">
        <v>86.158515138888902</v>
      </c>
      <c r="J405" s="8">
        <v>117.89724090277799</v>
      </c>
      <c r="K405" s="6" t="s">
        <v>198</v>
      </c>
      <c r="L405" s="9">
        <v>43796</v>
      </c>
      <c r="N405" s="6">
        <v>9</v>
      </c>
      <c r="O405" s="6" t="s">
        <v>4272</v>
      </c>
      <c r="Q405" s="6" t="s">
        <v>203</v>
      </c>
      <c r="R405" s="6">
        <v>0</v>
      </c>
      <c r="S405" s="6">
        <v>5</v>
      </c>
      <c r="T405" s="10">
        <f>AVERAGE(R405:S405)</f>
        <v>2.5</v>
      </c>
      <c r="U405" s="6">
        <v>0.6</v>
      </c>
      <c r="V405" s="8">
        <v>-15.028184623718262</v>
      </c>
      <c r="W405" s="8">
        <v>-105.47764682617188</v>
      </c>
      <c r="X405" s="8">
        <f t="shared" si="20"/>
        <v>14.747830163574221</v>
      </c>
    </row>
    <row r="406" spans="1:25" x14ac:dyDescent="0.35">
      <c r="A406" s="6" t="s">
        <v>25</v>
      </c>
      <c r="B406" s="7"/>
      <c r="C406" s="6">
        <v>510784</v>
      </c>
      <c r="D406" s="6" t="s">
        <v>668</v>
      </c>
      <c r="E406" s="6">
        <v>1</v>
      </c>
      <c r="F406" s="6">
        <v>9</v>
      </c>
      <c r="G406" s="6" t="s">
        <v>179</v>
      </c>
      <c r="H406" s="6">
        <v>10</v>
      </c>
      <c r="I406" s="8">
        <v>86.158515138888902</v>
      </c>
      <c r="J406" s="8">
        <v>117.89724090277799</v>
      </c>
      <c r="K406" s="6" t="s">
        <v>198</v>
      </c>
      <c r="L406" s="9">
        <v>43796</v>
      </c>
      <c r="N406" s="6">
        <v>9</v>
      </c>
      <c r="O406" s="6" t="s">
        <v>4272</v>
      </c>
      <c r="Q406" s="6" t="s">
        <v>669</v>
      </c>
      <c r="R406" s="6">
        <v>5</v>
      </c>
      <c r="S406" s="6">
        <v>10</v>
      </c>
      <c r="T406" s="10">
        <f>AVERAGE(R406:S406)</f>
        <v>7.5</v>
      </c>
      <c r="U406" s="6">
        <v>10.4</v>
      </c>
      <c r="V406" s="8">
        <v>-4.5490189981460585</v>
      </c>
      <c r="W406" s="8">
        <v>-42.083865332031252</v>
      </c>
      <c r="X406" s="8">
        <f t="shared" si="20"/>
        <v>-5.6917133468627839</v>
      </c>
    </row>
    <row r="407" spans="1:25" x14ac:dyDescent="0.35">
      <c r="A407" s="6" t="s">
        <v>25</v>
      </c>
      <c r="B407" s="13" t="s">
        <v>713</v>
      </c>
      <c r="C407" s="6">
        <v>510865</v>
      </c>
      <c r="D407" s="6" t="s">
        <v>714</v>
      </c>
      <c r="E407" s="6">
        <v>1</v>
      </c>
      <c r="F407" s="6">
        <v>9</v>
      </c>
      <c r="G407" s="6" t="s">
        <v>272</v>
      </c>
      <c r="I407" s="8">
        <v>86.154772777777794</v>
      </c>
      <c r="J407" s="8">
        <v>116.51710749999999</v>
      </c>
      <c r="K407" s="7" t="s">
        <v>2610</v>
      </c>
      <c r="L407" s="9">
        <v>43797</v>
      </c>
      <c r="N407" s="6">
        <v>9</v>
      </c>
      <c r="O407" s="6" t="s">
        <v>4273</v>
      </c>
      <c r="Q407" s="10"/>
      <c r="R407" s="10"/>
      <c r="S407" s="10"/>
      <c r="T407" s="10"/>
      <c r="U407" s="11">
        <v>7.2</v>
      </c>
      <c r="V407" s="8">
        <v>-11.964522722434996</v>
      </c>
      <c r="W407" s="8">
        <v>-86.774875122070313</v>
      </c>
      <c r="X407" s="8">
        <f t="shared" si="20"/>
        <v>8.9413066574096547</v>
      </c>
      <c r="Y407" s="13" t="s">
        <v>3290</v>
      </c>
    </row>
    <row r="408" spans="1:25" x14ac:dyDescent="0.35">
      <c r="A408" s="6" t="s">
        <v>25</v>
      </c>
      <c r="B408" s="13" t="s">
        <v>715</v>
      </c>
      <c r="C408" s="6">
        <v>510865</v>
      </c>
      <c r="D408" s="6" t="s">
        <v>716</v>
      </c>
      <c r="E408" s="6">
        <v>1</v>
      </c>
      <c r="F408" s="6">
        <v>9</v>
      </c>
      <c r="G408" s="6" t="s">
        <v>272</v>
      </c>
      <c r="I408" s="8">
        <v>86.154772777777794</v>
      </c>
      <c r="J408" s="8">
        <v>116.51710749999999</v>
      </c>
      <c r="K408" s="7" t="s">
        <v>2610</v>
      </c>
      <c r="L408" s="9">
        <v>43797</v>
      </c>
      <c r="N408" s="6">
        <v>9</v>
      </c>
      <c r="O408" s="6" t="s">
        <v>4273</v>
      </c>
      <c r="Q408" s="10"/>
      <c r="R408" s="10"/>
      <c r="S408" s="10"/>
      <c r="T408" s="10"/>
      <c r="U408" s="11">
        <v>7.2</v>
      </c>
      <c r="V408" s="8">
        <v>-12.03798770904541</v>
      </c>
      <c r="W408" s="8">
        <v>-86.595213508605951</v>
      </c>
      <c r="X408" s="8">
        <f t="shared" si="20"/>
        <v>9.7086881637573299</v>
      </c>
      <c r="Y408" s="13" t="s">
        <v>3290</v>
      </c>
    </row>
    <row r="409" spans="1:25" x14ac:dyDescent="0.35">
      <c r="A409" s="6" t="s">
        <v>25</v>
      </c>
      <c r="B409" s="7" t="s">
        <v>670</v>
      </c>
      <c r="C409" s="6">
        <v>510838</v>
      </c>
      <c r="D409" s="6" t="s">
        <v>671</v>
      </c>
      <c r="E409" s="6">
        <v>1</v>
      </c>
      <c r="F409" s="6">
        <v>9</v>
      </c>
      <c r="G409" s="6" t="s">
        <v>272</v>
      </c>
      <c r="I409" s="8">
        <v>86.154772777777794</v>
      </c>
      <c r="J409" s="8">
        <v>116.51710749999999</v>
      </c>
      <c r="K409" s="6" t="s">
        <v>29</v>
      </c>
      <c r="L409" s="9">
        <v>43797</v>
      </c>
      <c r="N409" s="6">
        <v>9</v>
      </c>
      <c r="O409" s="6" t="s">
        <v>4273</v>
      </c>
      <c r="P409" s="8">
        <v>-13.65</v>
      </c>
      <c r="Q409" s="10" t="s">
        <v>159</v>
      </c>
      <c r="R409" s="10">
        <v>40</v>
      </c>
      <c r="S409" s="10">
        <v>50</v>
      </c>
      <c r="T409" s="10">
        <f t="shared" ref="T409:T426" si="22">AVERAGE(R409:S409)</f>
        <v>45</v>
      </c>
      <c r="U409" s="11">
        <v>0</v>
      </c>
      <c r="V409" s="8">
        <v>-4.0977993011474609</v>
      </c>
      <c r="W409" s="8">
        <v>-31.60804933166504</v>
      </c>
      <c r="X409" s="8">
        <f t="shared" si="20"/>
        <v>1.1743450775146478</v>
      </c>
    </row>
    <row r="410" spans="1:25" x14ac:dyDescent="0.35">
      <c r="A410" s="6" t="s">
        <v>25</v>
      </c>
      <c r="B410" s="7" t="s">
        <v>672</v>
      </c>
      <c r="C410" s="6">
        <v>510836</v>
      </c>
      <c r="D410" s="6" t="s">
        <v>673</v>
      </c>
      <c r="E410" s="6">
        <v>1</v>
      </c>
      <c r="F410" s="6">
        <v>9</v>
      </c>
      <c r="G410" s="6" t="s">
        <v>272</v>
      </c>
      <c r="I410" s="8">
        <v>86.154772777777794</v>
      </c>
      <c r="J410" s="8">
        <v>116.51710749999999</v>
      </c>
      <c r="K410" s="6" t="s">
        <v>29</v>
      </c>
      <c r="L410" s="9">
        <v>43797</v>
      </c>
      <c r="N410" s="6">
        <v>9</v>
      </c>
      <c r="O410" s="6" t="s">
        <v>4273</v>
      </c>
      <c r="P410" s="8">
        <v>-15.9</v>
      </c>
      <c r="Q410" s="10" t="s">
        <v>146</v>
      </c>
      <c r="R410" s="10">
        <v>20</v>
      </c>
      <c r="S410" s="10">
        <v>30</v>
      </c>
      <c r="T410" s="10">
        <f t="shared" si="22"/>
        <v>25</v>
      </c>
      <c r="U410" s="11">
        <v>0</v>
      </c>
      <c r="V410" s="8">
        <v>-8.3745422363281268</v>
      </c>
      <c r="W410" s="8">
        <v>-63.300843948364253</v>
      </c>
      <c r="X410" s="8">
        <f t="shared" si="20"/>
        <v>3.6954939422607609</v>
      </c>
    </row>
    <row r="411" spans="1:25" x14ac:dyDescent="0.35">
      <c r="A411" s="6" t="s">
        <v>25</v>
      </c>
      <c r="B411" s="7" t="s">
        <v>674</v>
      </c>
      <c r="C411" s="6">
        <v>510837</v>
      </c>
      <c r="D411" s="6" t="s">
        <v>675</v>
      </c>
      <c r="E411" s="6">
        <v>1</v>
      </c>
      <c r="F411" s="6">
        <v>9</v>
      </c>
      <c r="G411" s="6" t="s">
        <v>272</v>
      </c>
      <c r="I411" s="8">
        <v>86.154772777777794</v>
      </c>
      <c r="J411" s="8">
        <v>116.51710749999999</v>
      </c>
      <c r="K411" s="6" t="s">
        <v>29</v>
      </c>
      <c r="L411" s="9">
        <v>43797</v>
      </c>
      <c r="N411" s="6">
        <v>9</v>
      </c>
      <c r="O411" s="6" t="s">
        <v>4273</v>
      </c>
      <c r="P411" s="8">
        <v>-14.85</v>
      </c>
      <c r="Q411" s="10" t="s">
        <v>157</v>
      </c>
      <c r="R411" s="10">
        <v>30</v>
      </c>
      <c r="S411" s="10">
        <v>40</v>
      </c>
      <c r="T411" s="10">
        <f t="shared" si="22"/>
        <v>35</v>
      </c>
      <c r="U411" s="11">
        <v>0</v>
      </c>
      <c r="V411" s="8">
        <v>-7.5786032676696777</v>
      </c>
      <c r="W411" s="8">
        <v>-58.790032283782956</v>
      </c>
      <c r="X411" s="8">
        <f t="shared" si="20"/>
        <v>1.8387938575744656</v>
      </c>
    </row>
    <row r="412" spans="1:25" x14ac:dyDescent="0.35">
      <c r="A412" s="6" t="s">
        <v>25</v>
      </c>
      <c r="B412" s="7" t="s">
        <v>676</v>
      </c>
      <c r="C412" s="6">
        <v>510840</v>
      </c>
      <c r="D412" s="6" t="s">
        <v>677</v>
      </c>
      <c r="E412" s="6">
        <v>1</v>
      </c>
      <c r="F412" s="6">
        <v>9</v>
      </c>
      <c r="G412" s="6" t="s">
        <v>272</v>
      </c>
      <c r="I412" s="8">
        <v>86.154772777777794</v>
      </c>
      <c r="J412" s="8">
        <v>116.51710749999999</v>
      </c>
      <c r="K412" s="6" t="s">
        <v>29</v>
      </c>
      <c r="L412" s="9">
        <v>43797</v>
      </c>
      <c r="N412" s="6">
        <v>9</v>
      </c>
      <c r="O412" s="6" t="s">
        <v>4273</v>
      </c>
      <c r="P412" s="8">
        <v>-8.6333333333333346</v>
      </c>
      <c r="Q412" s="10" t="s">
        <v>163</v>
      </c>
      <c r="R412" s="10">
        <v>60</v>
      </c>
      <c r="S412" s="10">
        <v>70</v>
      </c>
      <c r="T412" s="10">
        <f t="shared" si="22"/>
        <v>65</v>
      </c>
      <c r="U412" s="11">
        <v>0</v>
      </c>
      <c r="V412" s="8">
        <v>-6.7291829109191905</v>
      </c>
      <c r="W412" s="8">
        <v>-50.793325630187987</v>
      </c>
      <c r="X412" s="8">
        <f t="shared" si="20"/>
        <v>3.0401376571655376</v>
      </c>
    </row>
    <row r="413" spans="1:25" x14ac:dyDescent="0.35">
      <c r="A413" s="6" t="s">
        <v>25</v>
      </c>
      <c r="B413" s="7" t="s">
        <v>678</v>
      </c>
      <c r="C413" s="6">
        <v>510852</v>
      </c>
      <c r="D413" s="6" t="s">
        <v>679</v>
      </c>
      <c r="E413" s="6">
        <v>1</v>
      </c>
      <c r="F413" s="6">
        <v>9</v>
      </c>
      <c r="G413" s="6" t="s">
        <v>272</v>
      </c>
      <c r="I413" s="8">
        <v>86.154772777777794</v>
      </c>
      <c r="J413" s="8">
        <v>116.51710749999999</v>
      </c>
      <c r="K413" s="6" t="s">
        <v>29</v>
      </c>
      <c r="L413" s="9">
        <v>43797</v>
      </c>
      <c r="N413" s="6">
        <v>9</v>
      </c>
      <c r="O413" s="6" t="s">
        <v>4273</v>
      </c>
      <c r="P413" s="8">
        <v>-4.7</v>
      </c>
      <c r="Q413" s="10" t="s">
        <v>544</v>
      </c>
      <c r="R413" s="10">
        <v>70</v>
      </c>
      <c r="S413" s="10">
        <v>82</v>
      </c>
      <c r="T413" s="10">
        <f t="shared" si="22"/>
        <v>76</v>
      </c>
      <c r="U413" s="11">
        <v>0.7</v>
      </c>
      <c r="V413" s="8">
        <v>-9.0278388977050774</v>
      </c>
      <c r="W413" s="8">
        <v>-66.617486717224125</v>
      </c>
      <c r="X413" s="8">
        <f t="shared" si="20"/>
        <v>5.6052244644164944</v>
      </c>
    </row>
    <row r="414" spans="1:25" x14ac:dyDescent="0.35">
      <c r="A414" s="6" t="s">
        <v>25</v>
      </c>
      <c r="B414" s="7" t="s">
        <v>680</v>
      </c>
      <c r="C414" s="6">
        <v>510834</v>
      </c>
      <c r="D414" s="6" t="s">
        <v>681</v>
      </c>
      <c r="E414" s="6">
        <v>1</v>
      </c>
      <c r="F414" s="6">
        <v>9</v>
      </c>
      <c r="G414" s="6" t="s">
        <v>272</v>
      </c>
      <c r="I414" s="8">
        <v>86.154772777777794</v>
      </c>
      <c r="J414" s="8">
        <v>116.51710749999999</v>
      </c>
      <c r="K414" s="6" t="s">
        <v>29</v>
      </c>
      <c r="L414" s="9">
        <v>43797</v>
      </c>
      <c r="N414" s="6">
        <v>9</v>
      </c>
      <c r="O414" s="6" t="s">
        <v>4273</v>
      </c>
      <c r="P414" s="8">
        <v>-18.3</v>
      </c>
      <c r="Q414" s="10" t="s">
        <v>64</v>
      </c>
      <c r="R414" s="10">
        <v>0</v>
      </c>
      <c r="S414" s="10">
        <v>10</v>
      </c>
      <c r="T414" s="10">
        <f t="shared" si="22"/>
        <v>5</v>
      </c>
      <c r="U414" s="11">
        <v>1.3</v>
      </c>
      <c r="V414" s="8">
        <v>-10.595552635192872</v>
      </c>
      <c r="W414" s="8">
        <v>-79.949064231872555</v>
      </c>
      <c r="X414" s="8">
        <f t="shared" si="20"/>
        <v>4.8153568496704224</v>
      </c>
    </row>
    <row r="415" spans="1:25" x14ac:dyDescent="0.35">
      <c r="A415" s="6" t="s">
        <v>25</v>
      </c>
      <c r="B415" s="7" t="s">
        <v>682</v>
      </c>
      <c r="C415" s="6">
        <v>510835</v>
      </c>
      <c r="D415" s="6" t="s">
        <v>683</v>
      </c>
      <c r="E415" s="6">
        <v>1</v>
      </c>
      <c r="F415" s="6">
        <v>9</v>
      </c>
      <c r="G415" s="6" t="s">
        <v>272</v>
      </c>
      <c r="I415" s="8">
        <v>86.154772777777794</v>
      </c>
      <c r="J415" s="8">
        <v>116.51710749999999</v>
      </c>
      <c r="K415" s="6" t="s">
        <v>29</v>
      </c>
      <c r="L415" s="9">
        <v>43797</v>
      </c>
      <c r="N415" s="6">
        <v>9</v>
      </c>
      <c r="O415" s="6" t="s">
        <v>4273</v>
      </c>
      <c r="P415" s="8">
        <v>-17.533333333333331</v>
      </c>
      <c r="Q415" s="10" t="s">
        <v>138</v>
      </c>
      <c r="R415" s="10">
        <v>10</v>
      </c>
      <c r="S415" s="10">
        <v>20</v>
      </c>
      <c r="T415" s="10">
        <f t="shared" si="22"/>
        <v>15</v>
      </c>
      <c r="U415" s="11">
        <v>0</v>
      </c>
      <c r="V415" s="8">
        <v>-9.2938529968261712</v>
      </c>
      <c r="W415" s="8">
        <v>-70.179736763000491</v>
      </c>
      <c r="X415" s="8">
        <f t="shared" si="20"/>
        <v>4.171087211608878</v>
      </c>
    </row>
    <row r="416" spans="1:25" x14ac:dyDescent="0.35">
      <c r="A416" s="6" t="s">
        <v>25</v>
      </c>
      <c r="B416" s="7" t="s">
        <v>684</v>
      </c>
      <c r="C416" s="6">
        <v>510839</v>
      </c>
      <c r="D416" s="6" t="s">
        <v>685</v>
      </c>
      <c r="E416" s="6">
        <v>1</v>
      </c>
      <c r="F416" s="6">
        <v>9</v>
      </c>
      <c r="G416" s="6" t="s">
        <v>272</v>
      </c>
      <c r="I416" s="8">
        <v>86.154772777777794</v>
      </c>
      <c r="J416" s="8">
        <v>116.51710749999999</v>
      </c>
      <c r="K416" s="6" t="s">
        <v>29</v>
      </c>
      <c r="L416" s="9">
        <v>43797</v>
      </c>
      <c r="N416" s="6">
        <v>9</v>
      </c>
      <c r="O416" s="6" t="s">
        <v>4273</v>
      </c>
      <c r="P416" s="8">
        <v>-11</v>
      </c>
      <c r="Q416" s="10" t="s">
        <v>161</v>
      </c>
      <c r="R416" s="10">
        <v>50</v>
      </c>
      <c r="S416" s="10">
        <v>60</v>
      </c>
      <c r="T416" s="10">
        <f t="shared" si="22"/>
        <v>55</v>
      </c>
      <c r="U416" s="11">
        <v>0</v>
      </c>
      <c r="V416" s="8">
        <v>-5.1306511878967305</v>
      </c>
      <c r="W416" s="8">
        <v>-39.316722633361806</v>
      </c>
      <c r="X416" s="8">
        <f t="shared" si="20"/>
        <v>1.7284868698120377</v>
      </c>
    </row>
    <row r="417" spans="1:24" x14ac:dyDescent="0.35">
      <c r="A417" s="6" t="s">
        <v>25</v>
      </c>
      <c r="B417" s="7" t="s">
        <v>686</v>
      </c>
      <c r="C417" s="6">
        <v>510824</v>
      </c>
      <c r="D417" s="6" t="s">
        <v>687</v>
      </c>
      <c r="E417" s="6">
        <v>1</v>
      </c>
      <c r="F417" s="6">
        <v>9</v>
      </c>
      <c r="G417" s="6" t="s">
        <v>272</v>
      </c>
      <c r="I417" s="8">
        <v>86.154772777777794</v>
      </c>
      <c r="J417" s="8">
        <v>116.51710749999999</v>
      </c>
      <c r="K417" s="6" t="s">
        <v>29</v>
      </c>
      <c r="L417" s="9">
        <v>43797</v>
      </c>
      <c r="N417" s="6">
        <v>9</v>
      </c>
      <c r="O417" s="6" t="s">
        <v>4273</v>
      </c>
      <c r="P417" s="8">
        <v>-18.3</v>
      </c>
      <c r="Q417" s="10" t="s">
        <v>688</v>
      </c>
      <c r="R417" s="10">
        <v>0</v>
      </c>
      <c r="S417" s="10">
        <v>10.5</v>
      </c>
      <c r="T417" s="10">
        <f t="shared" si="22"/>
        <v>5.25</v>
      </c>
      <c r="U417" s="11">
        <v>0.1</v>
      </c>
      <c r="V417" s="8">
        <v>-10.213447761535644</v>
      </c>
      <c r="W417" s="8">
        <v>-77.42768933105468</v>
      </c>
      <c r="X417" s="8">
        <f t="shared" si="20"/>
        <v>4.2798927612304709</v>
      </c>
    </row>
    <row r="418" spans="1:24" x14ac:dyDescent="0.35">
      <c r="A418" s="6" t="s">
        <v>25</v>
      </c>
      <c r="B418" s="7" t="s">
        <v>689</v>
      </c>
      <c r="C418" s="6">
        <v>510831</v>
      </c>
      <c r="D418" s="6" t="s">
        <v>690</v>
      </c>
      <c r="E418" s="6">
        <v>1</v>
      </c>
      <c r="F418" s="6">
        <v>9</v>
      </c>
      <c r="G418" s="6" t="s">
        <v>272</v>
      </c>
      <c r="I418" s="8">
        <v>86.154772777777794</v>
      </c>
      <c r="J418" s="8">
        <v>116.51710749999999</v>
      </c>
      <c r="K418" s="6" t="s">
        <v>29</v>
      </c>
      <c r="L418" s="9">
        <v>43797</v>
      </c>
      <c r="N418" s="6">
        <v>9</v>
      </c>
      <c r="O418" s="6" t="s">
        <v>4273</v>
      </c>
      <c r="P418" s="8">
        <v>-4.7</v>
      </c>
      <c r="Q418" s="10" t="s">
        <v>165</v>
      </c>
      <c r="R418" s="10">
        <v>70</v>
      </c>
      <c r="S418" s="10">
        <v>80</v>
      </c>
      <c r="T418" s="10">
        <f t="shared" si="22"/>
        <v>75</v>
      </c>
      <c r="U418" s="11">
        <v>0.2</v>
      </c>
      <c r="V418" s="8">
        <v>-7.0378629684448244</v>
      </c>
      <c r="W418" s="8">
        <v>-52.557332599639892</v>
      </c>
      <c r="X418" s="8">
        <f t="shared" si="20"/>
        <v>3.745571147918703</v>
      </c>
    </row>
    <row r="419" spans="1:24" x14ac:dyDescent="0.35">
      <c r="A419" s="6" t="s">
        <v>25</v>
      </c>
      <c r="B419" s="7" t="s">
        <v>691</v>
      </c>
      <c r="C419" s="6">
        <v>510832</v>
      </c>
      <c r="D419" s="6" t="s">
        <v>692</v>
      </c>
      <c r="E419" s="6">
        <v>1</v>
      </c>
      <c r="F419" s="6">
        <v>9</v>
      </c>
      <c r="G419" s="6" t="s">
        <v>272</v>
      </c>
      <c r="I419" s="8">
        <v>86.154772777777794</v>
      </c>
      <c r="J419" s="8">
        <v>116.51710749999999</v>
      </c>
      <c r="K419" s="6" t="s">
        <v>29</v>
      </c>
      <c r="L419" s="9">
        <v>43797</v>
      </c>
      <c r="N419" s="6">
        <v>9</v>
      </c>
      <c r="O419" s="6" t="s">
        <v>4273</v>
      </c>
      <c r="P419" s="8">
        <v>-2.1</v>
      </c>
      <c r="Q419" s="10" t="s">
        <v>167</v>
      </c>
      <c r="R419" s="10">
        <v>80</v>
      </c>
      <c r="S419" s="10">
        <v>90</v>
      </c>
      <c r="T419" s="10">
        <f t="shared" si="22"/>
        <v>85</v>
      </c>
      <c r="U419" s="11">
        <v>0</v>
      </c>
      <c r="V419" s="8">
        <v>-5.6694361686706545</v>
      </c>
      <c r="W419" s="8">
        <v>-43.136583446502684</v>
      </c>
      <c r="X419" s="8">
        <f t="shared" si="20"/>
        <v>2.2189059028625522</v>
      </c>
    </row>
    <row r="420" spans="1:24" x14ac:dyDescent="0.35">
      <c r="A420" s="6" t="s">
        <v>25</v>
      </c>
      <c r="B420" s="7" t="s">
        <v>693</v>
      </c>
      <c r="C420" s="6">
        <v>510833</v>
      </c>
      <c r="D420" s="6" t="s">
        <v>694</v>
      </c>
      <c r="E420" s="6">
        <v>1</v>
      </c>
      <c r="F420" s="6">
        <v>9</v>
      </c>
      <c r="G420" s="6" t="s">
        <v>272</v>
      </c>
      <c r="I420" s="8">
        <v>86.154772777777794</v>
      </c>
      <c r="J420" s="8">
        <v>116.51710749999999</v>
      </c>
      <c r="K420" s="6" t="s">
        <v>29</v>
      </c>
      <c r="L420" s="9">
        <v>43797</v>
      </c>
      <c r="N420" s="6">
        <v>9</v>
      </c>
      <c r="O420" s="6" t="s">
        <v>4273</v>
      </c>
      <c r="P420" s="8">
        <v>-1.8</v>
      </c>
      <c r="Q420" s="10" t="s">
        <v>695</v>
      </c>
      <c r="R420" s="10">
        <v>90</v>
      </c>
      <c r="S420" s="10">
        <v>98.5</v>
      </c>
      <c r="T420" s="10">
        <f t="shared" si="22"/>
        <v>94.25</v>
      </c>
      <c r="U420" s="11">
        <v>0.4</v>
      </c>
      <c r="V420" s="8">
        <v>-5.2159769058227541</v>
      </c>
      <c r="W420" s="8">
        <v>-40.017617862701414</v>
      </c>
      <c r="X420" s="8">
        <f t="shared" si="20"/>
        <v>1.7101973838806188</v>
      </c>
    </row>
    <row r="421" spans="1:24" x14ac:dyDescent="0.35">
      <c r="A421" s="6" t="s">
        <v>25</v>
      </c>
      <c r="B421" s="7" t="s">
        <v>696</v>
      </c>
      <c r="C421" s="6">
        <v>510825</v>
      </c>
      <c r="D421" s="6" t="s">
        <v>697</v>
      </c>
      <c r="E421" s="6">
        <v>1</v>
      </c>
      <c r="F421" s="6">
        <v>9</v>
      </c>
      <c r="G421" s="6" t="s">
        <v>272</v>
      </c>
      <c r="I421" s="8">
        <v>86.154772777777794</v>
      </c>
      <c r="J421" s="8">
        <v>116.51710749999999</v>
      </c>
      <c r="K421" s="6" t="s">
        <v>29</v>
      </c>
      <c r="L421" s="9">
        <v>43797</v>
      </c>
      <c r="N421" s="6">
        <v>9</v>
      </c>
      <c r="O421" s="6" t="s">
        <v>4273</v>
      </c>
      <c r="P421" s="8">
        <v>-17.533333333333331</v>
      </c>
      <c r="Q421" s="10" t="s">
        <v>698</v>
      </c>
      <c r="R421" s="10">
        <v>10.5</v>
      </c>
      <c r="S421" s="10">
        <v>20.5</v>
      </c>
      <c r="T421" s="10">
        <f t="shared" si="22"/>
        <v>15.5</v>
      </c>
      <c r="U421" s="11">
        <v>0</v>
      </c>
      <c r="V421" s="8">
        <v>-8.3274051666259776</v>
      </c>
      <c r="W421" s="8">
        <v>-63.702220344543456</v>
      </c>
      <c r="X421" s="8">
        <f t="shared" si="20"/>
        <v>2.9170209884643654</v>
      </c>
    </row>
    <row r="422" spans="1:24" x14ac:dyDescent="0.35">
      <c r="A422" s="6" t="s">
        <v>25</v>
      </c>
      <c r="B422" s="7" t="s">
        <v>699</v>
      </c>
      <c r="C422" s="6">
        <v>510827</v>
      </c>
      <c r="D422" s="6" t="s">
        <v>700</v>
      </c>
      <c r="E422" s="6">
        <v>1</v>
      </c>
      <c r="F422" s="6">
        <v>9</v>
      </c>
      <c r="G422" s="6" t="s">
        <v>272</v>
      </c>
      <c r="I422" s="8">
        <v>86.154772777777794</v>
      </c>
      <c r="J422" s="8">
        <v>116.51710749999999</v>
      </c>
      <c r="K422" s="6" t="s">
        <v>29</v>
      </c>
      <c r="L422" s="9">
        <v>43797</v>
      </c>
      <c r="N422" s="6">
        <v>9</v>
      </c>
      <c r="O422" s="6" t="s">
        <v>4273</v>
      </c>
      <c r="P422" s="8">
        <v>-14.85</v>
      </c>
      <c r="Q422" s="10" t="s">
        <v>701</v>
      </c>
      <c r="R422" s="10">
        <v>30.5</v>
      </c>
      <c r="S422" s="10">
        <v>40</v>
      </c>
      <c r="T422" s="10">
        <f t="shared" si="22"/>
        <v>35.25</v>
      </c>
      <c r="U422" s="11">
        <v>0</v>
      </c>
      <c r="V422" s="8">
        <v>-8.2914907455444329</v>
      </c>
      <c r="W422" s="8">
        <v>-63.329500511169435</v>
      </c>
      <c r="X422" s="8">
        <f t="shared" si="20"/>
        <v>3.0024254531860279</v>
      </c>
    </row>
    <row r="423" spans="1:24" x14ac:dyDescent="0.35">
      <c r="A423" s="6" t="s">
        <v>25</v>
      </c>
      <c r="B423" s="7" t="s">
        <v>702</v>
      </c>
      <c r="C423" s="6">
        <v>510828</v>
      </c>
      <c r="D423" s="6" t="s">
        <v>703</v>
      </c>
      <c r="E423" s="6">
        <v>1</v>
      </c>
      <c r="F423" s="6">
        <v>9</v>
      </c>
      <c r="G423" s="6" t="s">
        <v>272</v>
      </c>
      <c r="I423" s="8">
        <v>86.154772777777794</v>
      </c>
      <c r="J423" s="8">
        <v>116.51710749999999</v>
      </c>
      <c r="K423" s="6" t="s">
        <v>29</v>
      </c>
      <c r="L423" s="9">
        <v>43797</v>
      </c>
      <c r="N423" s="6">
        <v>9</v>
      </c>
      <c r="O423" s="6" t="s">
        <v>4273</v>
      </c>
      <c r="P423" s="8">
        <v>-13.65</v>
      </c>
      <c r="Q423" s="10" t="s">
        <v>704</v>
      </c>
      <c r="R423" s="10">
        <v>40</v>
      </c>
      <c r="S423" s="10">
        <v>50</v>
      </c>
      <c r="T423" s="10">
        <f t="shared" si="22"/>
        <v>45</v>
      </c>
      <c r="U423" s="11">
        <v>0</v>
      </c>
      <c r="V423" s="8">
        <v>-4.5763923645019542</v>
      </c>
      <c r="W423" s="8">
        <v>-35.642104660034178</v>
      </c>
      <c r="X423" s="8">
        <f t="shared" si="20"/>
        <v>0.96903425598145532</v>
      </c>
    </row>
    <row r="424" spans="1:24" x14ac:dyDescent="0.35">
      <c r="A424" s="6" t="s">
        <v>25</v>
      </c>
      <c r="B424" s="7" t="s">
        <v>705</v>
      </c>
      <c r="C424" s="6">
        <v>510829</v>
      </c>
      <c r="D424" s="6" t="s">
        <v>706</v>
      </c>
      <c r="E424" s="6">
        <v>1</v>
      </c>
      <c r="F424" s="6">
        <v>9</v>
      </c>
      <c r="G424" s="6" t="s">
        <v>272</v>
      </c>
      <c r="I424" s="8">
        <v>86.154772777777794</v>
      </c>
      <c r="J424" s="8">
        <v>116.51710749999999</v>
      </c>
      <c r="K424" s="6" t="s">
        <v>29</v>
      </c>
      <c r="L424" s="9">
        <v>43797</v>
      </c>
      <c r="N424" s="6">
        <v>9</v>
      </c>
      <c r="O424" s="6" t="s">
        <v>4273</v>
      </c>
      <c r="P424" s="8">
        <v>-11</v>
      </c>
      <c r="Q424" s="10" t="s">
        <v>161</v>
      </c>
      <c r="R424" s="10">
        <v>50</v>
      </c>
      <c r="S424" s="10">
        <v>60</v>
      </c>
      <c r="T424" s="10">
        <f t="shared" si="22"/>
        <v>55</v>
      </c>
      <c r="U424" s="11">
        <v>0</v>
      </c>
      <c r="V424" s="8">
        <v>-6.0672330570220954</v>
      </c>
      <c r="W424" s="8">
        <v>-46.185987373352049</v>
      </c>
      <c r="X424" s="8">
        <f t="shared" si="20"/>
        <v>2.3518770828247142</v>
      </c>
    </row>
    <row r="425" spans="1:24" x14ac:dyDescent="0.35">
      <c r="A425" s="6" t="s">
        <v>25</v>
      </c>
      <c r="B425" s="7" t="s">
        <v>707</v>
      </c>
      <c r="C425" s="6">
        <v>510826</v>
      </c>
      <c r="D425" s="6" t="s">
        <v>708</v>
      </c>
      <c r="E425" s="6">
        <v>1</v>
      </c>
      <c r="F425" s="6">
        <v>9</v>
      </c>
      <c r="G425" s="6" t="s">
        <v>272</v>
      </c>
      <c r="I425" s="8">
        <v>86.154772777777794</v>
      </c>
      <c r="J425" s="8">
        <v>116.51710749999999</v>
      </c>
      <c r="K425" s="6" t="s">
        <v>29</v>
      </c>
      <c r="L425" s="9">
        <v>43797</v>
      </c>
      <c r="N425" s="6">
        <v>9</v>
      </c>
      <c r="O425" s="6" t="s">
        <v>4273</v>
      </c>
      <c r="P425" s="8">
        <v>-15.9</v>
      </c>
      <c r="Q425" s="10" t="s">
        <v>709</v>
      </c>
      <c r="R425" s="10">
        <v>20.5</v>
      </c>
      <c r="S425" s="10">
        <v>30.5</v>
      </c>
      <c r="T425" s="10">
        <f t="shared" si="22"/>
        <v>25.5</v>
      </c>
      <c r="U425" s="11">
        <v>0</v>
      </c>
      <c r="V425" s="8">
        <v>-6.8677606296539304</v>
      </c>
      <c r="W425" s="8">
        <v>-52.347490077972409</v>
      </c>
      <c r="X425" s="8">
        <f t="shared" si="20"/>
        <v>2.5945949592590338</v>
      </c>
    </row>
    <row r="426" spans="1:24" x14ac:dyDescent="0.35">
      <c r="A426" s="6" t="s">
        <v>25</v>
      </c>
      <c r="B426" s="7" t="s">
        <v>710</v>
      </c>
      <c r="C426" s="6">
        <v>510830</v>
      </c>
      <c r="D426" s="6" t="s">
        <v>711</v>
      </c>
      <c r="E426" s="6">
        <v>1</v>
      </c>
      <c r="F426" s="6">
        <v>9</v>
      </c>
      <c r="G426" s="6" t="s">
        <v>272</v>
      </c>
      <c r="I426" s="8">
        <v>86.154772777777794</v>
      </c>
      <c r="J426" s="8">
        <v>116.51710749999999</v>
      </c>
      <c r="K426" s="6" t="s">
        <v>29</v>
      </c>
      <c r="L426" s="9">
        <v>43797</v>
      </c>
      <c r="N426" s="6">
        <v>9</v>
      </c>
      <c r="O426" s="6" t="s">
        <v>4273</v>
      </c>
      <c r="P426" s="8">
        <v>-8.6333333333333346</v>
      </c>
      <c r="Q426" s="10" t="s">
        <v>163</v>
      </c>
      <c r="R426" s="10">
        <v>60</v>
      </c>
      <c r="S426" s="10">
        <v>70</v>
      </c>
      <c r="T426" s="10">
        <f t="shared" si="22"/>
        <v>65</v>
      </c>
      <c r="U426" s="11">
        <v>0.2</v>
      </c>
      <c r="V426" s="8">
        <v>-7.9346642208099372</v>
      </c>
      <c r="W426" s="8">
        <v>-59.06503889465332</v>
      </c>
      <c r="X426" s="8">
        <f t="shared" si="20"/>
        <v>4.4122748718261775</v>
      </c>
    </row>
    <row r="427" spans="1:24" x14ac:dyDescent="0.35">
      <c r="A427" s="6" t="s">
        <v>25</v>
      </c>
      <c r="B427" s="6" t="s">
        <v>3347</v>
      </c>
      <c r="D427" s="6" t="s">
        <v>3649</v>
      </c>
      <c r="E427" s="6">
        <v>1</v>
      </c>
      <c r="F427" s="6">
        <v>9</v>
      </c>
      <c r="G427" s="6" t="s">
        <v>3951</v>
      </c>
      <c r="I427" s="8">
        <v>86.154772777777794</v>
      </c>
      <c r="J427" s="8">
        <v>116.51710749999999</v>
      </c>
      <c r="K427" s="7" t="s">
        <v>2610</v>
      </c>
      <c r="L427" s="9">
        <v>43797</v>
      </c>
      <c r="N427" s="6">
        <v>9</v>
      </c>
      <c r="O427" s="6" t="s">
        <v>4273</v>
      </c>
      <c r="V427" s="8">
        <v>-1.4244044427108766</v>
      </c>
      <c r="W427" s="8">
        <v>-11.368584552001952</v>
      </c>
      <c r="X427" s="27">
        <f t="shared" si="20"/>
        <v>2.6650989685061077E-2</v>
      </c>
    </row>
    <row r="428" spans="1:24" x14ac:dyDescent="0.35">
      <c r="A428" s="6" t="s">
        <v>25</v>
      </c>
      <c r="B428" s="7"/>
      <c r="C428" s="6">
        <v>510853</v>
      </c>
      <c r="D428" s="6" t="s">
        <v>712</v>
      </c>
      <c r="E428" s="6">
        <v>1</v>
      </c>
      <c r="F428" s="6">
        <v>9</v>
      </c>
      <c r="G428" s="6" t="s">
        <v>272</v>
      </c>
      <c r="H428" s="6">
        <v>8</v>
      </c>
      <c r="I428" s="8">
        <v>86.154772777777794</v>
      </c>
      <c r="J428" s="8">
        <v>116.51710749999999</v>
      </c>
      <c r="K428" s="6" t="s">
        <v>198</v>
      </c>
      <c r="L428" s="9">
        <v>43797</v>
      </c>
      <c r="N428" s="6">
        <v>9</v>
      </c>
      <c r="O428" s="6" t="s">
        <v>4273</v>
      </c>
      <c r="Q428" s="6" t="s">
        <v>336</v>
      </c>
      <c r="R428" s="6">
        <v>0</v>
      </c>
      <c r="S428" s="6">
        <v>4</v>
      </c>
      <c r="T428" s="10">
        <f>AVERAGE(R428:S428)</f>
        <v>2</v>
      </c>
      <c r="U428" s="6">
        <v>0.5</v>
      </c>
      <c r="V428" s="8">
        <v>-19.712796287536619</v>
      </c>
      <c r="W428" s="8">
        <v>-142.54959775390623</v>
      </c>
      <c r="X428" s="8">
        <f t="shared" si="20"/>
        <v>15.152772546386728</v>
      </c>
    </row>
    <row r="429" spans="1:24" x14ac:dyDescent="0.35">
      <c r="A429" s="6" t="s">
        <v>25</v>
      </c>
      <c r="B429" s="6" t="s">
        <v>3348</v>
      </c>
      <c r="D429" s="6" t="s">
        <v>3650</v>
      </c>
      <c r="E429" s="6">
        <v>1</v>
      </c>
      <c r="F429" s="6">
        <v>9</v>
      </c>
      <c r="G429" s="6" t="s">
        <v>3952</v>
      </c>
      <c r="I429" s="8">
        <v>86.106844791666688</v>
      </c>
      <c r="J429" s="8">
        <v>114.28449326388893</v>
      </c>
      <c r="K429" s="7" t="s">
        <v>2610</v>
      </c>
      <c r="L429" s="9">
        <v>43798</v>
      </c>
      <c r="N429" s="6">
        <v>9</v>
      </c>
      <c r="O429" s="6" t="s">
        <v>4274</v>
      </c>
      <c r="V429" s="8">
        <v>-1.121946354174614</v>
      </c>
      <c r="W429" s="8">
        <v>-8.235421772003173</v>
      </c>
      <c r="X429" s="27">
        <f t="shared" si="20"/>
        <v>0.74014906139373871</v>
      </c>
    </row>
    <row r="430" spans="1:24" x14ac:dyDescent="0.35">
      <c r="A430" s="6" t="s">
        <v>25</v>
      </c>
      <c r="B430" s="6" t="s">
        <v>717</v>
      </c>
      <c r="C430" s="6">
        <v>510911</v>
      </c>
      <c r="D430" s="6" t="s">
        <v>718</v>
      </c>
      <c r="E430" s="6">
        <v>1</v>
      </c>
      <c r="F430" s="6">
        <v>9</v>
      </c>
      <c r="G430" s="6" t="s">
        <v>272</v>
      </c>
      <c r="I430" s="8">
        <v>86.038676874999993</v>
      </c>
      <c r="J430" s="8">
        <v>112.924474722222</v>
      </c>
      <c r="K430" s="6" t="s">
        <v>719</v>
      </c>
      <c r="L430" s="9">
        <v>43799</v>
      </c>
      <c r="N430" s="6">
        <v>9</v>
      </c>
      <c r="O430" s="6" t="s">
        <v>4275</v>
      </c>
      <c r="Q430" s="6" t="s">
        <v>64</v>
      </c>
      <c r="R430" s="6">
        <v>0</v>
      </c>
      <c r="S430" s="6">
        <v>10</v>
      </c>
      <c r="T430" s="10">
        <f t="shared" ref="T430:T445" si="23">AVERAGE(R430:S430)</f>
        <v>5</v>
      </c>
      <c r="U430" s="6">
        <v>0.1</v>
      </c>
      <c r="V430" s="8">
        <v>-10.212704399871825</v>
      </c>
      <c r="W430" s="8">
        <v>-78.516433563232425</v>
      </c>
      <c r="X430" s="8">
        <f t="shared" si="20"/>
        <v>3.1852016357421746</v>
      </c>
    </row>
    <row r="431" spans="1:24" x14ac:dyDescent="0.35">
      <c r="A431" s="6" t="s">
        <v>25</v>
      </c>
      <c r="B431" s="6" t="s">
        <v>720</v>
      </c>
      <c r="C431" s="6">
        <v>510912</v>
      </c>
      <c r="D431" s="6" t="s">
        <v>718</v>
      </c>
      <c r="E431" s="6">
        <v>1</v>
      </c>
      <c r="F431" s="6">
        <v>9</v>
      </c>
      <c r="G431" s="6" t="s">
        <v>272</v>
      </c>
      <c r="I431" s="8">
        <v>86.038676874999993</v>
      </c>
      <c r="J431" s="8">
        <v>112.924474722222</v>
      </c>
      <c r="K431" s="6" t="s">
        <v>719</v>
      </c>
      <c r="L431" s="9">
        <v>43799</v>
      </c>
      <c r="N431" s="6">
        <v>9</v>
      </c>
      <c r="O431" s="6" t="s">
        <v>4275</v>
      </c>
      <c r="Q431" s="6" t="s">
        <v>138</v>
      </c>
      <c r="R431" s="6">
        <v>10</v>
      </c>
      <c r="S431" s="6">
        <v>20</v>
      </c>
      <c r="T431" s="10">
        <f t="shared" si="23"/>
        <v>15</v>
      </c>
      <c r="U431" s="6">
        <v>0</v>
      </c>
      <c r="V431" s="8">
        <v>-6.2702534397125254</v>
      </c>
      <c r="W431" s="8">
        <v>-48.812510292053219</v>
      </c>
      <c r="X431" s="8">
        <f t="shared" si="20"/>
        <v>1.3495172256469843</v>
      </c>
    </row>
    <row r="432" spans="1:24" x14ac:dyDescent="0.35">
      <c r="A432" s="6" t="s">
        <v>25</v>
      </c>
      <c r="B432" s="6" t="s">
        <v>721</v>
      </c>
      <c r="C432" s="6">
        <v>510913</v>
      </c>
      <c r="D432" s="6" t="s">
        <v>718</v>
      </c>
      <c r="E432" s="6">
        <v>1</v>
      </c>
      <c r="F432" s="6">
        <v>9</v>
      </c>
      <c r="G432" s="6" t="s">
        <v>272</v>
      </c>
      <c r="I432" s="8">
        <v>86.038676874999993</v>
      </c>
      <c r="J432" s="8">
        <v>112.924474722222</v>
      </c>
      <c r="K432" s="6" t="s">
        <v>719</v>
      </c>
      <c r="L432" s="9">
        <v>43799</v>
      </c>
      <c r="N432" s="6">
        <v>9</v>
      </c>
      <c r="O432" s="6" t="s">
        <v>4275</v>
      </c>
      <c r="Q432" s="6" t="s">
        <v>452</v>
      </c>
      <c r="R432" s="6">
        <v>20</v>
      </c>
      <c r="S432" s="6">
        <v>30.5</v>
      </c>
      <c r="T432" s="10">
        <f t="shared" si="23"/>
        <v>25.25</v>
      </c>
      <c r="U432" s="6">
        <v>0</v>
      </c>
      <c r="V432" s="8">
        <v>-5.1255710151672362</v>
      </c>
      <c r="W432" s="8">
        <v>-39.552428764343261</v>
      </c>
      <c r="X432" s="8">
        <f t="shared" si="20"/>
        <v>1.4521393569946284</v>
      </c>
    </row>
    <row r="433" spans="1:24" x14ac:dyDescent="0.35">
      <c r="A433" s="6" t="s">
        <v>25</v>
      </c>
      <c r="B433" s="6" t="s">
        <v>722</v>
      </c>
      <c r="C433" s="6">
        <v>510914</v>
      </c>
      <c r="D433" s="6" t="s">
        <v>718</v>
      </c>
      <c r="E433" s="6">
        <v>1</v>
      </c>
      <c r="F433" s="6">
        <v>9</v>
      </c>
      <c r="G433" s="6" t="s">
        <v>272</v>
      </c>
      <c r="I433" s="8">
        <v>86.038676874999993</v>
      </c>
      <c r="J433" s="8">
        <v>112.924474722222</v>
      </c>
      <c r="K433" s="6" t="s">
        <v>719</v>
      </c>
      <c r="L433" s="9">
        <v>43799</v>
      </c>
      <c r="N433" s="6">
        <v>9</v>
      </c>
      <c r="O433" s="6" t="s">
        <v>4275</v>
      </c>
      <c r="Q433" s="6" t="s">
        <v>723</v>
      </c>
      <c r="R433" s="6">
        <v>30.5</v>
      </c>
      <c r="S433" s="6">
        <v>40.5</v>
      </c>
      <c r="T433" s="10">
        <f t="shared" si="23"/>
        <v>35.5</v>
      </c>
      <c r="U433" s="6">
        <v>0.1</v>
      </c>
      <c r="V433" s="8">
        <v>-5.1048868587493894</v>
      </c>
      <c r="W433" s="8">
        <v>-39.097666053771974</v>
      </c>
      <c r="X433" s="8">
        <f t="shared" si="20"/>
        <v>1.7414288162231415</v>
      </c>
    </row>
    <row r="434" spans="1:24" x14ac:dyDescent="0.35">
      <c r="A434" s="6" t="s">
        <v>25</v>
      </c>
      <c r="B434" s="6" t="s">
        <v>724</v>
      </c>
      <c r="C434" s="6">
        <v>510915</v>
      </c>
      <c r="D434" s="6" t="s">
        <v>718</v>
      </c>
      <c r="E434" s="6">
        <v>1</v>
      </c>
      <c r="F434" s="6">
        <v>9</v>
      </c>
      <c r="G434" s="6" t="s">
        <v>272</v>
      </c>
      <c r="I434" s="8">
        <v>86.038676874999993</v>
      </c>
      <c r="J434" s="8">
        <v>112.924474722222</v>
      </c>
      <c r="K434" s="6" t="s">
        <v>719</v>
      </c>
      <c r="L434" s="9">
        <v>43799</v>
      </c>
      <c r="N434" s="6">
        <v>9</v>
      </c>
      <c r="O434" s="6" t="s">
        <v>4275</v>
      </c>
      <c r="Q434" s="6" t="s">
        <v>725</v>
      </c>
      <c r="R434" s="6">
        <v>40.5</v>
      </c>
      <c r="S434" s="6">
        <v>50.5</v>
      </c>
      <c r="T434" s="10">
        <f t="shared" si="23"/>
        <v>45.5</v>
      </c>
      <c r="U434" s="6">
        <v>2</v>
      </c>
      <c r="V434" s="8">
        <v>-3.4745537984848029</v>
      </c>
      <c r="W434" s="8">
        <v>-26.402368785858155</v>
      </c>
      <c r="X434" s="8">
        <f t="shared" si="20"/>
        <v>1.394061602020269</v>
      </c>
    </row>
    <row r="435" spans="1:24" x14ac:dyDescent="0.35">
      <c r="A435" s="6" t="s">
        <v>25</v>
      </c>
      <c r="B435" s="6" t="s">
        <v>726</v>
      </c>
      <c r="C435" s="6">
        <v>510916</v>
      </c>
      <c r="D435" s="6" t="s">
        <v>718</v>
      </c>
      <c r="E435" s="6">
        <v>1</v>
      </c>
      <c r="F435" s="6">
        <v>9</v>
      </c>
      <c r="G435" s="6" t="s">
        <v>272</v>
      </c>
      <c r="I435" s="8">
        <v>86.038676874999993</v>
      </c>
      <c r="J435" s="8">
        <v>112.924474722222</v>
      </c>
      <c r="K435" s="6" t="s">
        <v>719</v>
      </c>
      <c r="L435" s="9">
        <v>43799</v>
      </c>
      <c r="N435" s="6">
        <v>9</v>
      </c>
      <c r="O435" s="6" t="s">
        <v>4275</v>
      </c>
      <c r="Q435" s="6" t="s">
        <v>727</v>
      </c>
      <c r="R435" s="6">
        <v>50.5</v>
      </c>
      <c r="S435" s="6">
        <v>60.5</v>
      </c>
      <c r="T435" s="10">
        <f t="shared" si="23"/>
        <v>55.5</v>
      </c>
      <c r="U435" s="6">
        <v>1.8</v>
      </c>
      <c r="V435" s="8">
        <v>-2.5404390066146854</v>
      </c>
      <c r="W435" s="8">
        <v>-18.926591289520264</v>
      </c>
      <c r="X435" s="8">
        <f t="shared" si="20"/>
        <v>1.3969207633972189</v>
      </c>
    </row>
    <row r="436" spans="1:24" x14ac:dyDescent="0.35">
      <c r="A436" s="6" t="s">
        <v>25</v>
      </c>
      <c r="B436" s="6" t="s">
        <v>728</v>
      </c>
      <c r="C436" s="6">
        <v>510917</v>
      </c>
      <c r="D436" s="6" t="s">
        <v>718</v>
      </c>
      <c r="E436" s="6">
        <v>1</v>
      </c>
      <c r="F436" s="6">
        <v>9</v>
      </c>
      <c r="G436" s="6" t="s">
        <v>272</v>
      </c>
      <c r="I436" s="8">
        <v>86.038676874999993</v>
      </c>
      <c r="J436" s="8">
        <v>112.924474722222</v>
      </c>
      <c r="K436" s="6" t="s">
        <v>719</v>
      </c>
      <c r="L436" s="9">
        <v>43799</v>
      </c>
      <c r="N436" s="6">
        <v>9</v>
      </c>
      <c r="O436" s="6" t="s">
        <v>4275</v>
      </c>
      <c r="Q436" s="6" t="s">
        <v>729</v>
      </c>
      <c r="R436" s="6">
        <v>60.5</v>
      </c>
      <c r="S436" s="6">
        <v>70.5</v>
      </c>
      <c r="T436" s="10">
        <f t="shared" si="23"/>
        <v>65.5</v>
      </c>
      <c r="U436" s="6">
        <v>1.5</v>
      </c>
      <c r="V436" s="8">
        <v>-1.9465349521636965</v>
      </c>
      <c r="W436" s="8">
        <v>-14.119267061519622</v>
      </c>
      <c r="X436" s="8">
        <f t="shared" si="20"/>
        <v>1.4530125557899503</v>
      </c>
    </row>
    <row r="437" spans="1:24" x14ac:dyDescent="0.35">
      <c r="A437" s="6" t="s">
        <v>25</v>
      </c>
      <c r="B437" s="6" t="s">
        <v>730</v>
      </c>
      <c r="C437" s="6">
        <v>510918</v>
      </c>
      <c r="D437" s="6" t="s">
        <v>718</v>
      </c>
      <c r="E437" s="6">
        <v>1</v>
      </c>
      <c r="F437" s="6">
        <v>9</v>
      </c>
      <c r="G437" s="6" t="s">
        <v>272</v>
      </c>
      <c r="I437" s="8">
        <v>86.038676874999993</v>
      </c>
      <c r="J437" s="8">
        <v>112.924474722222</v>
      </c>
      <c r="K437" s="6" t="s">
        <v>719</v>
      </c>
      <c r="L437" s="9">
        <v>43799</v>
      </c>
      <c r="N437" s="6">
        <v>9</v>
      </c>
      <c r="O437" s="6" t="s">
        <v>4275</v>
      </c>
      <c r="Q437" s="6" t="s">
        <v>731</v>
      </c>
      <c r="R437" s="6">
        <v>70.5</v>
      </c>
      <c r="S437" s="6">
        <v>80.5</v>
      </c>
      <c r="T437" s="10">
        <f t="shared" si="23"/>
        <v>75.5</v>
      </c>
      <c r="U437" s="6">
        <v>2</v>
      </c>
      <c r="V437" s="8">
        <v>-1.642694298043847</v>
      </c>
      <c r="W437" s="8">
        <v>-11.252418446063995</v>
      </c>
      <c r="X437" s="8">
        <f t="shared" si="20"/>
        <v>1.8891359382867812</v>
      </c>
    </row>
    <row r="438" spans="1:24" x14ac:dyDescent="0.35">
      <c r="A438" s="6" t="s">
        <v>25</v>
      </c>
      <c r="B438" s="6" t="s">
        <v>732</v>
      </c>
      <c r="C438" s="6">
        <v>510919</v>
      </c>
      <c r="D438" s="6" t="s">
        <v>718</v>
      </c>
      <c r="E438" s="6">
        <v>1</v>
      </c>
      <c r="F438" s="6">
        <v>9</v>
      </c>
      <c r="G438" s="6" t="s">
        <v>272</v>
      </c>
      <c r="I438" s="8">
        <v>86.038676874999993</v>
      </c>
      <c r="J438" s="8">
        <v>112.924474722222</v>
      </c>
      <c r="K438" s="6" t="s">
        <v>719</v>
      </c>
      <c r="L438" s="9">
        <v>43799</v>
      </c>
      <c r="N438" s="6">
        <v>9</v>
      </c>
      <c r="O438" s="6" t="s">
        <v>4275</v>
      </c>
      <c r="Q438" s="6" t="s">
        <v>733</v>
      </c>
      <c r="R438" s="6">
        <v>80.5</v>
      </c>
      <c r="S438" s="6">
        <v>90.5</v>
      </c>
      <c r="T438" s="10">
        <f t="shared" si="23"/>
        <v>85.5</v>
      </c>
      <c r="U438" s="6">
        <v>2.2999999999999998</v>
      </c>
      <c r="V438" s="8">
        <v>-1.0508081239908935</v>
      </c>
      <c r="W438" s="8">
        <v>-7.5335260973453515</v>
      </c>
      <c r="X438" s="8">
        <f t="shared" si="20"/>
        <v>0.87293889458179663</v>
      </c>
    </row>
    <row r="439" spans="1:24" x14ac:dyDescent="0.35">
      <c r="A439" s="6" t="s">
        <v>25</v>
      </c>
      <c r="B439" s="6" t="s">
        <v>734</v>
      </c>
      <c r="C439" s="6">
        <v>510920</v>
      </c>
      <c r="D439" s="6" t="s">
        <v>718</v>
      </c>
      <c r="E439" s="6">
        <v>1</v>
      </c>
      <c r="F439" s="6">
        <v>9</v>
      </c>
      <c r="G439" s="6" t="s">
        <v>272</v>
      </c>
      <c r="I439" s="8">
        <v>86.038676874999993</v>
      </c>
      <c r="J439" s="8">
        <v>112.924474722222</v>
      </c>
      <c r="K439" s="6" t="s">
        <v>719</v>
      </c>
      <c r="L439" s="9">
        <v>43799</v>
      </c>
      <c r="N439" s="6">
        <v>9</v>
      </c>
      <c r="O439" s="6" t="s">
        <v>4275</v>
      </c>
      <c r="Q439" s="6" t="s">
        <v>735</v>
      </c>
      <c r="R439" s="6">
        <v>90.5</v>
      </c>
      <c r="S439" s="6">
        <v>100.5</v>
      </c>
      <c r="T439" s="10">
        <f t="shared" si="23"/>
        <v>95.5</v>
      </c>
      <c r="U439" s="6">
        <v>2.5</v>
      </c>
      <c r="V439" s="8">
        <v>-0.3076630433499814</v>
      </c>
      <c r="W439" s="8">
        <v>-2.1182241737842564</v>
      </c>
      <c r="X439" s="8">
        <f t="shared" si="20"/>
        <v>0.34308017301559479</v>
      </c>
    </row>
    <row r="440" spans="1:24" x14ac:dyDescent="0.35">
      <c r="A440" s="6" t="s">
        <v>25</v>
      </c>
      <c r="B440" s="6" t="s">
        <v>736</v>
      </c>
      <c r="C440" s="6">
        <v>510921</v>
      </c>
      <c r="D440" s="6" t="s">
        <v>718</v>
      </c>
      <c r="E440" s="6">
        <v>1</v>
      </c>
      <c r="F440" s="6">
        <v>9</v>
      </c>
      <c r="G440" s="6" t="s">
        <v>272</v>
      </c>
      <c r="I440" s="8">
        <v>86.038676874999993</v>
      </c>
      <c r="J440" s="8">
        <v>112.924474722222</v>
      </c>
      <c r="K440" s="6" t="s">
        <v>719</v>
      </c>
      <c r="L440" s="9">
        <v>43799</v>
      </c>
      <c r="N440" s="6">
        <v>9</v>
      </c>
      <c r="O440" s="6" t="s">
        <v>4275</v>
      </c>
      <c r="Q440" s="6" t="s">
        <v>737</v>
      </c>
      <c r="R440" s="6">
        <v>100.5</v>
      </c>
      <c r="S440" s="6">
        <v>110.5</v>
      </c>
      <c r="T440" s="10">
        <f t="shared" si="23"/>
        <v>105.5</v>
      </c>
      <c r="U440" s="6">
        <v>5.5</v>
      </c>
      <c r="V440" s="8">
        <v>8.1198934942483453E-2</v>
      </c>
      <c r="W440" s="8">
        <v>-0.34839341533184071</v>
      </c>
      <c r="X440" s="8">
        <f t="shared" si="20"/>
        <v>-0.99798489487170827</v>
      </c>
    </row>
    <row r="441" spans="1:24" x14ac:dyDescent="0.35">
      <c r="A441" s="6" t="s">
        <v>25</v>
      </c>
      <c r="B441" s="6" t="s">
        <v>738</v>
      </c>
      <c r="C441" s="6">
        <v>510922</v>
      </c>
      <c r="D441" s="6" t="s">
        <v>718</v>
      </c>
      <c r="E441" s="6">
        <v>1</v>
      </c>
      <c r="F441" s="6">
        <v>9</v>
      </c>
      <c r="G441" s="6" t="s">
        <v>272</v>
      </c>
      <c r="I441" s="8">
        <v>86.038676874999993</v>
      </c>
      <c r="J441" s="8">
        <v>112.924474722222</v>
      </c>
      <c r="K441" s="6" t="s">
        <v>719</v>
      </c>
      <c r="L441" s="9">
        <v>43799</v>
      </c>
      <c r="N441" s="6">
        <v>9</v>
      </c>
      <c r="O441" s="6" t="s">
        <v>4275</v>
      </c>
      <c r="Q441" s="6" t="s">
        <v>739</v>
      </c>
      <c r="R441" s="6">
        <v>110.5</v>
      </c>
      <c r="S441" s="6">
        <v>120.5</v>
      </c>
      <c r="T441" s="10">
        <f t="shared" si="23"/>
        <v>115.5</v>
      </c>
      <c r="U441" s="6">
        <v>4.4000000000000004</v>
      </c>
      <c r="V441" s="8">
        <v>0.46495772843062871</v>
      </c>
      <c r="W441" s="8">
        <v>4.6844618048191062</v>
      </c>
      <c r="X441" s="8">
        <f t="shared" si="20"/>
        <v>0.96479997737407652</v>
      </c>
    </row>
    <row r="442" spans="1:24" x14ac:dyDescent="0.35">
      <c r="A442" s="6" t="s">
        <v>25</v>
      </c>
      <c r="B442" s="6" t="s">
        <v>740</v>
      </c>
      <c r="C442" s="6">
        <v>510923</v>
      </c>
      <c r="D442" s="6" t="s">
        <v>718</v>
      </c>
      <c r="E442" s="6">
        <v>1</v>
      </c>
      <c r="F442" s="6">
        <v>9</v>
      </c>
      <c r="G442" s="6" t="s">
        <v>272</v>
      </c>
      <c r="I442" s="8">
        <v>86.038676874999993</v>
      </c>
      <c r="J442" s="8">
        <v>112.924474722222</v>
      </c>
      <c r="K442" s="6" t="s">
        <v>719</v>
      </c>
      <c r="L442" s="9">
        <v>43799</v>
      </c>
      <c r="N442" s="6">
        <v>9</v>
      </c>
      <c r="O442" s="6" t="s">
        <v>4275</v>
      </c>
      <c r="Q442" s="6" t="s">
        <v>741</v>
      </c>
      <c r="R442" s="6">
        <v>120.5</v>
      </c>
      <c r="S442" s="6">
        <v>130.5</v>
      </c>
      <c r="T442" s="10">
        <f t="shared" si="23"/>
        <v>125.5</v>
      </c>
      <c r="U442" s="6">
        <v>3.3</v>
      </c>
      <c r="V442" s="8">
        <v>0.6630171893239023</v>
      </c>
      <c r="W442" s="8">
        <v>4.9911237259626393</v>
      </c>
      <c r="X442" s="8">
        <f t="shared" si="20"/>
        <v>-0.31301378862857909</v>
      </c>
    </row>
    <row r="443" spans="1:24" x14ac:dyDescent="0.35">
      <c r="A443" s="6" t="s">
        <v>25</v>
      </c>
      <c r="B443" s="6" t="s">
        <v>742</v>
      </c>
      <c r="C443" s="6">
        <v>510924</v>
      </c>
      <c r="D443" s="6" t="s">
        <v>718</v>
      </c>
      <c r="E443" s="6">
        <v>1</v>
      </c>
      <c r="F443" s="6">
        <v>9</v>
      </c>
      <c r="G443" s="6" t="s">
        <v>272</v>
      </c>
      <c r="I443" s="8">
        <v>86.038676874999993</v>
      </c>
      <c r="J443" s="8">
        <v>112.924474722222</v>
      </c>
      <c r="K443" s="6" t="s">
        <v>719</v>
      </c>
      <c r="L443" s="9">
        <v>43799</v>
      </c>
      <c r="N443" s="6">
        <v>9</v>
      </c>
      <c r="O443" s="6" t="s">
        <v>4275</v>
      </c>
      <c r="Q443" s="6" t="s">
        <v>743</v>
      </c>
      <c r="R443" s="6">
        <v>130.5</v>
      </c>
      <c r="S443" s="6">
        <v>140.5</v>
      </c>
      <c r="T443" s="10">
        <f t="shared" si="23"/>
        <v>135.5</v>
      </c>
      <c r="U443" s="6">
        <v>4.8</v>
      </c>
      <c r="V443" s="8">
        <v>0.64797364228963827</v>
      </c>
      <c r="W443" s="8">
        <v>4.5090578703403477</v>
      </c>
      <c r="X443" s="8">
        <f t="shared" si="20"/>
        <v>-0.67473126797675853</v>
      </c>
    </row>
    <row r="444" spans="1:24" x14ac:dyDescent="0.35">
      <c r="A444" s="6" t="s">
        <v>25</v>
      </c>
      <c r="B444" s="6" t="s">
        <v>744</v>
      </c>
      <c r="C444" s="6">
        <v>510928</v>
      </c>
      <c r="D444" s="6" t="s">
        <v>718</v>
      </c>
      <c r="E444" s="6">
        <v>1</v>
      </c>
      <c r="F444" s="6">
        <v>9</v>
      </c>
      <c r="G444" s="6" t="s">
        <v>272</v>
      </c>
      <c r="I444" s="8">
        <v>86.038676874999993</v>
      </c>
      <c r="J444" s="8">
        <v>112.924474722222</v>
      </c>
      <c r="K444" s="6" t="s">
        <v>719</v>
      </c>
      <c r="L444" s="9">
        <v>43799</v>
      </c>
      <c r="N444" s="6">
        <v>9</v>
      </c>
      <c r="O444" s="6" t="s">
        <v>4275</v>
      </c>
      <c r="Q444" s="6" t="s">
        <v>745</v>
      </c>
      <c r="R444" s="6">
        <v>140.5</v>
      </c>
      <c r="S444" s="6">
        <v>148.5</v>
      </c>
      <c r="T444" s="10">
        <f t="shared" si="23"/>
        <v>144.5</v>
      </c>
      <c r="U444" s="6">
        <v>4.8</v>
      </c>
      <c r="V444" s="8">
        <v>0.5296225489228964</v>
      </c>
      <c r="W444" s="8">
        <v>3.4271233739972118</v>
      </c>
      <c r="X444" s="8">
        <f t="shared" si="20"/>
        <v>-0.80985701738595939</v>
      </c>
    </row>
    <row r="445" spans="1:24" x14ac:dyDescent="0.35">
      <c r="A445" s="6" t="s">
        <v>25</v>
      </c>
      <c r="B445" s="7"/>
      <c r="C445" s="6">
        <v>510856</v>
      </c>
      <c r="D445" s="6" t="s">
        <v>640</v>
      </c>
      <c r="E445" s="6">
        <v>1</v>
      </c>
      <c r="F445" s="6">
        <v>9</v>
      </c>
      <c r="G445" s="6" t="s">
        <v>272</v>
      </c>
      <c r="I445" s="8">
        <v>86.038676874999993</v>
      </c>
      <c r="J445" s="8">
        <v>112.924474722222</v>
      </c>
      <c r="K445" s="6" t="s">
        <v>198</v>
      </c>
      <c r="L445" s="9">
        <v>43799</v>
      </c>
      <c r="N445" s="6">
        <v>9</v>
      </c>
      <c r="O445" s="6" t="s">
        <v>4275</v>
      </c>
      <c r="Q445" s="6" t="s">
        <v>746</v>
      </c>
      <c r="R445" s="6">
        <v>14</v>
      </c>
      <c r="S445" s="6">
        <v>28</v>
      </c>
      <c r="T445" s="10">
        <f t="shared" si="23"/>
        <v>21</v>
      </c>
      <c r="V445" s="8">
        <v>-16.680605945587157</v>
      </c>
      <c r="W445" s="8">
        <v>-129.85364462890624</v>
      </c>
      <c r="X445" s="8">
        <f t="shared" si="20"/>
        <v>3.5912029357910171</v>
      </c>
    </row>
    <row r="446" spans="1:24" x14ac:dyDescent="0.35">
      <c r="A446" s="6" t="s">
        <v>25</v>
      </c>
      <c r="B446" s="6" t="s">
        <v>3349</v>
      </c>
      <c r="D446" s="6" t="s">
        <v>3651</v>
      </c>
      <c r="E446" s="6">
        <v>1</v>
      </c>
      <c r="F446" s="6">
        <v>9</v>
      </c>
      <c r="G446" s="6" t="s">
        <v>3953</v>
      </c>
      <c r="I446" s="8">
        <v>85.953295208333344</v>
      </c>
      <c r="J446" s="8">
        <v>113.1649602083333</v>
      </c>
      <c r="K446" s="7" t="s">
        <v>2610</v>
      </c>
      <c r="L446" s="9">
        <v>43800</v>
      </c>
      <c r="N446" s="6">
        <v>10</v>
      </c>
      <c r="O446" s="6" t="s">
        <v>4276</v>
      </c>
      <c r="V446" s="8">
        <v>-1.2200910088205335</v>
      </c>
      <c r="W446" s="8">
        <v>-9.7998098793029804</v>
      </c>
      <c r="X446" s="27">
        <f t="shared" si="20"/>
        <v>-3.9081808738712809E-2</v>
      </c>
    </row>
    <row r="447" spans="1:24" x14ac:dyDescent="0.35">
      <c r="A447" s="6" t="s">
        <v>25</v>
      </c>
      <c r="B447" s="7" t="s">
        <v>752</v>
      </c>
      <c r="C447" s="6">
        <v>510868</v>
      </c>
      <c r="D447" s="6" t="s">
        <v>753</v>
      </c>
      <c r="E447" s="6">
        <v>1</v>
      </c>
      <c r="F447" s="6">
        <v>10</v>
      </c>
      <c r="G447" s="6" t="s">
        <v>754</v>
      </c>
      <c r="I447" s="8">
        <v>85.933882569444407</v>
      </c>
      <c r="J447" s="8">
        <v>114.06437159722201</v>
      </c>
      <c r="K447" s="7" t="s">
        <v>198</v>
      </c>
      <c r="L447" s="9">
        <v>43801</v>
      </c>
      <c r="N447" s="6">
        <v>10</v>
      </c>
      <c r="O447" s="6" t="s">
        <v>4277</v>
      </c>
      <c r="Q447" s="10"/>
      <c r="R447" s="10">
        <v>8</v>
      </c>
      <c r="S447" s="10">
        <v>13.5</v>
      </c>
      <c r="T447" s="10">
        <f>AVERAGE(R447:S447)</f>
        <v>10.75</v>
      </c>
      <c r="U447" s="11"/>
      <c r="V447" s="8">
        <v>-8.4274411663055435</v>
      </c>
      <c r="W447" s="8">
        <v>-62.957791191101073</v>
      </c>
      <c r="X447" s="8">
        <f t="shared" si="20"/>
        <v>4.4617381393432751</v>
      </c>
    </row>
    <row r="448" spans="1:24" x14ac:dyDescent="0.35">
      <c r="A448" s="6" t="s">
        <v>25</v>
      </c>
      <c r="B448" s="6" t="s">
        <v>3350</v>
      </c>
      <c r="D448" s="6" t="s">
        <v>3652</v>
      </c>
      <c r="E448" s="6">
        <v>1</v>
      </c>
      <c r="F448" s="6">
        <v>10</v>
      </c>
      <c r="G448" s="6" t="s">
        <v>3954</v>
      </c>
      <c r="I448" s="8">
        <v>85.933882569444407</v>
      </c>
      <c r="J448" s="8">
        <v>114.06437159722201</v>
      </c>
      <c r="K448" s="7" t="s">
        <v>2610</v>
      </c>
      <c r="L448" s="9">
        <v>43801</v>
      </c>
      <c r="N448" s="6">
        <v>10</v>
      </c>
      <c r="O448" s="6" t="s">
        <v>4277</v>
      </c>
      <c r="V448" s="8">
        <v>-1.3238452014112474</v>
      </c>
      <c r="W448" s="8">
        <v>-11.171021193504334</v>
      </c>
      <c r="X448" s="27">
        <f t="shared" si="20"/>
        <v>-0.58025958221435481</v>
      </c>
    </row>
    <row r="449" spans="1:25" x14ac:dyDescent="0.35">
      <c r="A449" s="6" t="s">
        <v>25</v>
      </c>
      <c r="B449" s="6" t="s">
        <v>2744</v>
      </c>
      <c r="D449" s="6" t="s">
        <v>3092</v>
      </c>
      <c r="E449" s="6">
        <v>1</v>
      </c>
      <c r="F449" s="6">
        <v>10</v>
      </c>
      <c r="G449" s="6" t="s">
        <v>3327</v>
      </c>
      <c r="I449" s="8">
        <v>85.924426999999994</v>
      </c>
      <c r="J449" s="8">
        <v>113.89622300000001</v>
      </c>
      <c r="K449" s="6" t="s">
        <v>198</v>
      </c>
      <c r="L449" s="9">
        <v>43801</v>
      </c>
      <c r="M449" s="18">
        <v>0.41944444444444445</v>
      </c>
      <c r="N449" s="6">
        <v>10</v>
      </c>
      <c r="O449" s="6" t="s">
        <v>4277</v>
      </c>
      <c r="R449" s="6">
        <v>7.5</v>
      </c>
      <c r="S449" s="6">
        <v>5</v>
      </c>
      <c r="V449" s="8">
        <v>-21.101015588378907</v>
      </c>
      <c r="W449" s="8">
        <v>-152.88591915893554</v>
      </c>
      <c r="X449" s="8">
        <f t="shared" si="20"/>
        <v>15.922205548095718</v>
      </c>
      <c r="Y449" s="6" t="s">
        <v>3329</v>
      </c>
    </row>
    <row r="450" spans="1:25" x14ac:dyDescent="0.35">
      <c r="A450" s="6" t="s">
        <v>25</v>
      </c>
      <c r="B450" s="6" t="s">
        <v>2745</v>
      </c>
      <c r="D450" s="6" t="s">
        <v>3092</v>
      </c>
      <c r="E450" s="6">
        <v>1</v>
      </c>
      <c r="F450" s="6">
        <v>10</v>
      </c>
      <c r="G450" s="6" t="s">
        <v>3327</v>
      </c>
      <c r="I450" s="8">
        <v>85.924426999999994</v>
      </c>
      <c r="J450" s="8">
        <v>113.89622300000001</v>
      </c>
      <c r="K450" s="6" t="s">
        <v>198</v>
      </c>
      <c r="L450" s="9">
        <v>43801</v>
      </c>
      <c r="M450" s="18">
        <v>0.41944444444444445</v>
      </c>
      <c r="N450" s="6">
        <v>10</v>
      </c>
      <c r="O450" s="6" t="s">
        <v>4277</v>
      </c>
      <c r="R450" s="6">
        <v>5</v>
      </c>
      <c r="S450" s="6">
        <v>2.5</v>
      </c>
      <c r="V450" s="8">
        <v>-10.596501947021483</v>
      </c>
      <c r="W450" s="8">
        <v>-75.212837356567377</v>
      </c>
      <c r="X450" s="8">
        <f t="shared" ref="X450:X513" si="24">W450-(8*V450)</f>
        <v>9.5591782196044903</v>
      </c>
      <c r="Y450" s="6" t="s">
        <v>3329</v>
      </c>
    </row>
    <row r="451" spans="1:25" x14ac:dyDescent="0.35">
      <c r="A451" s="6" t="s">
        <v>25</v>
      </c>
      <c r="B451" s="6" t="s">
        <v>2746</v>
      </c>
      <c r="D451" s="6" t="s">
        <v>3092</v>
      </c>
      <c r="E451" s="6">
        <v>1</v>
      </c>
      <c r="F451" s="6">
        <v>10</v>
      </c>
      <c r="G451" s="6" t="s">
        <v>3327</v>
      </c>
      <c r="I451" s="8">
        <v>85.924426999999994</v>
      </c>
      <c r="J451" s="8">
        <v>113.89622300000001</v>
      </c>
      <c r="K451" s="6" t="s">
        <v>198</v>
      </c>
      <c r="L451" s="9">
        <v>43801</v>
      </c>
      <c r="M451" s="18">
        <v>0.41944444444444445</v>
      </c>
      <c r="N451" s="6">
        <v>10</v>
      </c>
      <c r="O451" s="6" t="s">
        <v>4277</v>
      </c>
      <c r="R451" s="6">
        <v>2.5</v>
      </c>
      <c r="S451" s="6">
        <v>0</v>
      </c>
      <c r="V451" s="8">
        <v>-4.0097532211303717</v>
      </c>
      <c r="W451" s="8">
        <v>-36.811739044189451</v>
      </c>
      <c r="X451" s="8">
        <f t="shared" si="24"/>
        <v>-4.7337132751464779</v>
      </c>
      <c r="Y451" s="6" t="s">
        <v>3329</v>
      </c>
    </row>
    <row r="452" spans="1:25" x14ac:dyDescent="0.35">
      <c r="A452" s="6" t="s">
        <v>25</v>
      </c>
      <c r="B452" s="7"/>
      <c r="C452" s="6">
        <v>510937</v>
      </c>
      <c r="D452" s="6" t="s">
        <v>749</v>
      </c>
      <c r="E452" s="6">
        <v>1</v>
      </c>
      <c r="F452" s="6">
        <v>10</v>
      </c>
      <c r="G452" s="6" t="s">
        <v>210</v>
      </c>
      <c r="H452" s="6">
        <v>12</v>
      </c>
      <c r="I452" s="8">
        <v>85.933882569444407</v>
      </c>
      <c r="J452" s="8">
        <v>114.06437159722201</v>
      </c>
      <c r="K452" s="6" t="s">
        <v>29</v>
      </c>
      <c r="L452" s="9">
        <v>43801</v>
      </c>
      <c r="N452" s="6">
        <v>10</v>
      </c>
      <c r="O452" s="6" t="s">
        <v>4277</v>
      </c>
      <c r="Q452" s="6" t="s">
        <v>138</v>
      </c>
      <c r="R452" s="6">
        <v>10</v>
      </c>
      <c r="S452" s="6">
        <v>20</v>
      </c>
      <c r="T452" s="10">
        <f t="shared" ref="T452:T467" si="25">AVERAGE(R452:S452)</f>
        <v>15</v>
      </c>
      <c r="U452" s="6">
        <v>0.6</v>
      </c>
      <c r="V452" s="8">
        <v>-4.4399233271598826</v>
      </c>
      <c r="W452" s="8">
        <v>-35.353708003997802</v>
      </c>
      <c r="X452" s="8">
        <f t="shared" si="24"/>
        <v>0.16567861328125844</v>
      </c>
    </row>
    <row r="453" spans="1:25" x14ac:dyDescent="0.35">
      <c r="A453" s="6" t="s">
        <v>25</v>
      </c>
      <c r="B453" s="7"/>
      <c r="C453" s="6">
        <v>510938</v>
      </c>
      <c r="D453" s="6" t="s">
        <v>749</v>
      </c>
      <c r="E453" s="6">
        <v>1</v>
      </c>
      <c r="F453" s="6">
        <v>10</v>
      </c>
      <c r="G453" s="6" t="s">
        <v>210</v>
      </c>
      <c r="H453" s="6">
        <v>12</v>
      </c>
      <c r="I453" s="8">
        <v>85.933882569444407</v>
      </c>
      <c r="J453" s="8">
        <v>114.06437159722201</v>
      </c>
      <c r="K453" s="6" t="s">
        <v>29</v>
      </c>
      <c r="L453" s="9">
        <v>43801</v>
      </c>
      <c r="N453" s="6">
        <v>10</v>
      </c>
      <c r="O453" s="6" t="s">
        <v>4277</v>
      </c>
      <c r="Q453" s="6" t="s">
        <v>64</v>
      </c>
      <c r="R453" s="6">
        <v>0</v>
      </c>
      <c r="S453" s="6">
        <v>10</v>
      </c>
      <c r="T453" s="10">
        <f t="shared" si="25"/>
        <v>5</v>
      </c>
      <c r="U453" s="6">
        <v>0.9</v>
      </c>
      <c r="V453" s="8">
        <v>-6.715717029476167</v>
      </c>
      <c r="W453" s="8">
        <v>-52.168557056427005</v>
      </c>
      <c r="X453" s="8">
        <f t="shared" si="24"/>
        <v>1.5571791793823309</v>
      </c>
    </row>
    <row r="454" spans="1:25" x14ac:dyDescent="0.35">
      <c r="A454" s="6" t="s">
        <v>25</v>
      </c>
      <c r="B454" s="7"/>
      <c r="C454" s="6">
        <v>510939</v>
      </c>
      <c r="D454" s="6" t="s">
        <v>749</v>
      </c>
      <c r="E454" s="6">
        <v>1</v>
      </c>
      <c r="F454" s="6">
        <v>10</v>
      </c>
      <c r="G454" s="6" t="s">
        <v>210</v>
      </c>
      <c r="H454" s="6">
        <v>12</v>
      </c>
      <c r="I454" s="8">
        <v>85.933882569444407</v>
      </c>
      <c r="J454" s="8">
        <v>114.06437159722201</v>
      </c>
      <c r="K454" s="6" t="s">
        <v>29</v>
      </c>
      <c r="L454" s="9">
        <v>43801</v>
      </c>
      <c r="N454" s="6">
        <v>10</v>
      </c>
      <c r="O454" s="6" t="s">
        <v>4277</v>
      </c>
      <c r="Q454" s="6" t="s">
        <v>146</v>
      </c>
      <c r="R454" s="6">
        <v>20</v>
      </c>
      <c r="S454" s="6">
        <v>30</v>
      </c>
      <c r="T454" s="10">
        <f t="shared" si="25"/>
        <v>25</v>
      </c>
      <c r="U454" s="6">
        <v>1</v>
      </c>
      <c r="V454" s="8">
        <v>-6.5670164978027348</v>
      </c>
      <c r="W454" s="8">
        <v>-50.652841316223146</v>
      </c>
      <c r="X454" s="8">
        <f t="shared" si="24"/>
        <v>1.8832906661987323</v>
      </c>
    </row>
    <row r="455" spans="1:25" x14ac:dyDescent="0.35">
      <c r="A455" s="6" t="s">
        <v>25</v>
      </c>
      <c r="B455" s="7"/>
      <c r="C455" s="6">
        <v>510940</v>
      </c>
      <c r="D455" s="6" t="s">
        <v>749</v>
      </c>
      <c r="E455" s="6">
        <v>1</v>
      </c>
      <c r="F455" s="6">
        <v>10</v>
      </c>
      <c r="G455" s="6" t="s">
        <v>210</v>
      </c>
      <c r="H455" s="6">
        <v>12</v>
      </c>
      <c r="I455" s="8">
        <v>85.933882569444407</v>
      </c>
      <c r="J455" s="8">
        <v>114.06437159722201</v>
      </c>
      <c r="K455" s="6" t="s">
        <v>29</v>
      </c>
      <c r="L455" s="9">
        <v>43801</v>
      </c>
      <c r="N455" s="6">
        <v>10</v>
      </c>
      <c r="O455" s="6" t="s">
        <v>4277</v>
      </c>
      <c r="Q455" s="6" t="s">
        <v>324</v>
      </c>
      <c r="R455" s="6">
        <v>30</v>
      </c>
      <c r="S455" s="6">
        <v>42</v>
      </c>
      <c r="T455" s="10">
        <f t="shared" si="25"/>
        <v>36</v>
      </c>
      <c r="U455" s="6">
        <v>2</v>
      </c>
      <c r="V455" s="8">
        <v>-8.0284166032791138</v>
      </c>
      <c r="W455" s="8">
        <v>-59.665636978149415</v>
      </c>
      <c r="X455" s="8">
        <f t="shared" si="24"/>
        <v>4.5616958480834953</v>
      </c>
    </row>
    <row r="456" spans="1:25" x14ac:dyDescent="0.35">
      <c r="A456" s="6" t="s">
        <v>25</v>
      </c>
      <c r="B456" s="7"/>
      <c r="C456" s="6">
        <v>510941</v>
      </c>
      <c r="D456" s="6" t="s">
        <v>749</v>
      </c>
      <c r="E456" s="6">
        <v>1</v>
      </c>
      <c r="F456" s="6">
        <v>10</v>
      </c>
      <c r="G456" s="6" t="s">
        <v>210</v>
      </c>
      <c r="H456" s="6">
        <v>12</v>
      </c>
      <c r="I456" s="8">
        <v>85.933882569444407</v>
      </c>
      <c r="J456" s="8">
        <v>114.06437159722201</v>
      </c>
      <c r="K456" s="6" t="s">
        <v>29</v>
      </c>
      <c r="L456" s="9">
        <v>43801</v>
      </c>
      <c r="N456" s="6">
        <v>10</v>
      </c>
      <c r="O456" s="6" t="s">
        <v>4277</v>
      </c>
      <c r="Q456" s="6" t="s">
        <v>540</v>
      </c>
      <c r="R456" s="6">
        <v>42</v>
      </c>
      <c r="S456" s="6">
        <v>52</v>
      </c>
      <c r="T456" s="10">
        <f t="shared" si="25"/>
        <v>47</v>
      </c>
      <c r="U456" s="6">
        <v>1.5</v>
      </c>
      <c r="V456" s="8">
        <v>-4.6836083075523378</v>
      </c>
      <c r="W456" s="8">
        <v>-35.93631749725342</v>
      </c>
      <c r="X456" s="8">
        <f t="shared" si="24"/>
        <v>1.5325489631652829</v>
      </c>
    </row>
    <row r="457" spans="1:25" x14ac:dyDescent="0.35">
      <c r="A457" s="6" t="s">
        <v>25</v>
      </c>
      <c r="B457" s="7"/>
      <c r="C457" s="6">
        <v>510942</v>
      </c>
      <c r="D457" s="6" t="s">
        <v>749</v>
      </c>
      <c r="E457" s="6">
        <v>1</v>
      </c>
      <c r="F457" s="6">
        <v>10</v>
      </c>
      <c r="G457" s="6" t="s">
        <v>210</v>
      </c>
      <c r="H457" s="6">
        <v>12</v>
      </c>
      <c r="I457" s="8">
        <v>85.933882569444407</v>
      </c>
      <c r="J457" s="8">
        <v>114.06437159722201</v>
      </c>
      <c r="K457" s="6" t="s">
        <v>29</v>
      </c>
      <c r="L457" s="9">
        <v>43801</v>
      </c>
      <c r="N457" s="6">
        <v>10</v>
      </c>
      <c r="O457" s="6" t="s">
        <v>4277</v>
      </c>
      <c r="Q457" s="6" t="s">
        <v>529</v>
      </c>
      <c r="R457" s="6">
        <v>52</v>
      </c>
      <c r="S457" s="6">
        <v>62</v>
      </c>
      <c r="T457" s="10">
        <f t="shared" si="25"/>
        <v>57</v>
      </c>
      <c r="U457" s="6">
        <v>1.2</v>
      </c>
      <c r="V457" s="8">
        <v>-4.1984877202033992</v>
      </c>
      <c r="W457" s="8">
        <v>-32.518442989349367</v>
      </c>
      <c r="X457" s="8">
        <f t="shared" si="24"/>
        <v>1.0694587722778266</v>
      </c>
    </row>
    <row r="458" spans="1:25" x14ac:dyDescent="0.35">
      <c r="A458" s="6" t="s">
        <v>25</v>
      </c>
      <c r="B458" s="7"/>
      <c r="C458" s="6">
        <v>510943</v>
      </c>
      <c r="D458" s="6" t="s">
        <v>749</v>
      </c>
      <c r="E458" s="6">
        <v>1</v>
      </c>
      <c r="F458" s="6">
        <v>10</v>
      </c>
      <c r="G458" s="6" t="s">
        <v>210</v>
      </c>
      <c r="H458" s="6">
        <v>12</v>
      </c>
      <c r="I458" s="8">
        <v>85.933882569444407</v>
      </c>
      <c r="J458" s="8">
        <v>114.06437159722201</v>
      </c>
      <c r="K458" s="6" t="s">
        <v>29</v>
      </c>
      <c r="L458" s="9">
        <v>43801</v>
      </c>
      <c r="N458" s="6">
        <v>10</v>
      </c>
      <c r="O458" s="6" t="s">
        <v>4277</v>
      </c>
      <c r="Q458" s="6" t="s">
        <v>750</v>
      </c>
      <c r="R458" s="6">
        <v>62</v>
      </c>
      <c r="S458" s="6">
        <v>73.5</v>
      </c>
      <c r="T458" s="10">
        <f t="shared" si="25"/>
        <v>67.75</v>
      </c>
      <c r="U458" s="6">
        <v>5.5</v>
      </c>
      <c r="V458" s="8">
        <v>0.84544609605073984</v>
      </c>
      <c r="W458" s="8">
        <v>5.9924041767120357</v>
      </c>
      <c r="X458" s="8">
        <f t="shared" si="24"/>
        <v>-0.77116459169388296</v>
      </c>
    </row>
    <row r="459" spans="1:25" x14ac:dyDescent="0.35">
      <c r="A459" s="6" t="s">
        <v>25</v>
      </c>
      <c r="B459" s="7"/>
      <c r="C459" s="6">
        <v>510944</v>
      </c>
      <c r="D459" s="6" t="s">
        <v>749</v>
      </c>
      <c r="E459" s="6">
        <v>1</v>
      </c>
      <c r="F459" s="6">
        <v>10</v>
      </c>
      <c r="G459" s="6" t="s">
        <v>210</v>
      </c>
      <c r="H459" s="6">
        <v>12</v>
      </c>
      <c r="I459" s="8">
        <v>85.933882569444407</v>
      </c>
      <c r="J459" s="8">
        <v>114.06437159722201</v>
      </c>
      <c r="K459" s="6" t="s">
        <v>29</v>
      </c>
      <c r="L459" s="9">
        <v>43801</v>
      </c>
      <c r="N459" s="6">
        <v>10</v>
      </c>
      <c r="O459" s="6" t="s">
        <v>4277</v>
      </c>
      <c r="Q459" s="6" t="s">
        <v>751</v>
      </c>
      <c r="R459" s="6">
        <v>73.5</v>
      </c>
      <c r="S459" s="6">
        <v>85</v>
      </c>
      <c r="T459" s="10">
        <f t="shared" si="25"/>
        <v>79.25</v>
      </c>
      <c r="U459" s="6">
        <v>5.8</v>
      </c>
      <c r="V459" s="8">
        <v>0.77186977999210415</v>
      </c>
      <c r="W459" s="8">
        <v>5.7184765548706054</v>
      </c>
      <c r="X459" s="8">
        <f t="shared" si="24"/>
        <v>-0.45648168506622788</v>
      </c>
    </row>
    <row r="460" spans="1:25" x14ac:dyDescent="0.35">
      <c r="A460" s="6" t="s">
        <v>25</v>
      </c>
      <c r="B460" s="7"/>
      <c r="C460" s="6">
        <v>510945</v>
      </c>
      <c r="D460" s="6" t="s">
        <v>747</v>
      </c>
      <c r="E460" s="6">
        <v>1</v>
      </c>
      <c r="F460" s="6">
        <v>10</v>
      </c>
      <c r="G460" s="6" t="s">
        <v>202</v>
      </c>
      <c r="H460" s="6">
        <v>7.6</v>
      </c>
      <c r="I460" s="8">
        <v>85.933882569444407</v>
      </c>
      <c r="J460" s="8">
        <v>114.06437159722201</v>
      </c>
      <c r="K460" s="6" t="s">
        <v>29</v>
      </c>
      <c r="L460" s="9">
        <v>43801</v>
      </c>
      <c r="N460" s="6">
        <v>10</v>
      </c>
      <c r="O460" s="6" t="s">
        <v>4277</v>
      </c>
      <c r="Q460" s="6" t="s">
        <v>64</v>
      </c>
      <c r="R460" s="6">
        <v>0</v>
      </c>
      <c r="S460" s="6">
        <v>10</v>
      </c>
      <c r="T460" s="10">
        <f t="shared" si="25"/>
        <v>5</v>
      </c>
      <c r="U460" s="6">
        <v>5.3</v>
      </c>
      <c r="V460" s="8">
        <v>-1.4482838597893665E-2</v>
      </c>
      <c r="W460" s="8">
        <v>-1.6035538144111625</v>
      </c>
      <c r="X460" s="8">
        <f t="shared" si="24"/>
        <v>-1.4876911056280131</v>
      </c>
    </row>
    <row r="461" spans="1:25" x14ac:dyDescent="0.35">
      <c r="A461" s="6" t="s">
        <v>25</v>
      </c>
      <c r="B461" s="7"/>
      <c r="C461" s="6">
        <v>510946</v>
      </c>
      <c r="D461" s="6" t="s">
        <v>747</v>
      </c>
      <c r="E461" s="6">
        <v>1</v>
      </c>
      <c r="F461" s="6">
        <v>10</v>
      </c>
      <c r="G461" s="6" t="s">
        <v>202</v>
      </c>
      <c r="H461" s="6">
        <v>7.6</v>
      </c>
      <c r="I461" s="8">
        <v>85.933882569444407</v>
      </c>
      <c r="J461" s="8">
        <v>114.06437159722201</v>
      </c>
      <c r="K461" s="6" t="s">
        <v>29</v>
      </c>
      <c r="L461" s="9">
        <v>43801</v>
      </c>
      <c r="N461" s="6">
        <v>10</v>
      </c>
      <c r="O461" s="6" t="s">
        <v>4277</v>
      </c>
      <c r="Q461" s="6" t="s">
        <v>138</v>
      </c>
      <c r="R461" s="6">
        <v>10</v>
      </c>
      <c r="S461" s="6">
        <v>20</v>
      </c>
      <c r="T461" s="10">
        <f t="shared" si="25"/>
        <v>15</v>
      </c>
      <c r="U461" s="6">
        <v>4.9000000000000004</v>
      </c>
      <c r="V461" s="8">
        <v>-1.7017200886726387</v>
      </c>
      <c r="W461" s="8">
        <v>-13.1204226064682</v>
      </c>
      <c r="X461" s="8">
        <f t="shared" si="24"/>
        <v>0.4933381029129098</v>
      </c>
    </row>
    <row r="462" spans="1:25" x14ac:dyDescent="0.35">
      <c r="A462" s="6" t="s">
        <v>25</v>
      </c>
      <c r="B462" s="7"/>
      <c r="C462" s="6">
        <v>510947</v>
      </c>
      <c r="D462" s="6" t="s">
        <v>747</v>
      </c>
      <c r="E462" s="6">
        <v>1</v>
      </c>
      <c r="F462" s="6">
        <v>10</v>
      </c>
      <c r="G462" s="6" t="s">
        <v>202</v>
      </c>
      <c r="H462" s="6">
        <v>7.6</v>
      </c>
      <c r="I462" s="8">
        <v>85.933882569444407</v>
      </c>
      <c r="J462" s="8">
        <v>114.06437159722201</v>
      </c>
      <c r="K462" s="6" t="s">
        <v>29</v>
      </c>
      <c r="L462" s="9">
        <v>43801</v>
      </c>
      <c r="N462" s="6">
        <v>10</v>
      </c>
      <c r="O462" s="6" t="s">
        <v>4277</v>
      </c>
      <c r="Q462" s="6" t="s">
        <v>146</v>
      </c>
      <c r="R462" s="6">
        <v>20</v>
      </c>
      <c r="S462" s="6">
        <v>30</v>
      </c>
      <c r="T462" s="10">
        <f t="shared" si="25"/>
        <v>25</v>
      </c>
      <c r="U462" s="6">
        <v>4.8</v>
      </c>
      <c r="V462" s="8">
        <v>0.27010248838663126</v>
      </c>
      <c r="W462" s="8">
        <v>0.79528664875030597</v>
      </c>
      <c r="X462" s="8">
        <f t="shared" si="24"/>
        <v>-1.3655332583427442</v>
      </c>
    </row>
    <row r="463" spans="1:25" x14ac:dyDescent="0.35">
      <c r="A463" s="6" t="s">
        <v>25</v>
      </c>
      <c r="B463" s="7"/>
      <c r="C463" s="6">
        <v>510949</v>
      </c>
      <c r="D463" s="6" t="s">
        <v>747</v>
      </c>
      <c r="E463" s="6">
        <v>1</v>
      </c>
      <c r="F463" s="6">
        <v>10</v>
      </c>
      <c r="G463" s="6" t="s">
        <v>202</v>
      </c>
      <c r="H463" s="6">
        <v>7.6</v>
      </c>
      <c r="I463" s="8">
        <v>85.933882569444407</v>
      </c>
      <c r="J463" s="8">
        <v>114.06437159722201</v>
      </c>
      <c r="K463" s="6" t="s">
        <v>29</v>
      </c>
      <c r="L463" s="9">
        <v>43801</v>
      </c>
      <c r="N463" s="6">
        <v>10</v>
      </c>
      <c r="O463" s="6" t="s">
        <v>4277</v>
      </c>
      <c r="Q463" s="6" t="s">
        <v>157</v>
      </c>
      <c r="R463" s="6">
        <v>30</v>
      </c>
      <c r="S463" s="6">
        <v>40</v>
      </c>
      <c r="T463" s="10">
        <f t="shared" si="25"/>
        <v>35</v>
      </c>
      <c r="U463" s="6">
        <v>5.3</v>
      </c>
      <c r="V463" s="8">
        <v>1.0935855397462848</v>
      </c>
      <c r="W463" s="8">
        <v>9.0776650342941281</v>
      </c>
      <c r="X463" s="8">
        <f t="shared" si="24"/>
        <v>0.32898071632384962</v>
      </c>
    </row>
    <row r="464" spans="1:25" x14ac:dyDescent="0.35">
      <c r="A464" s="6" t="s">
        <v>25</v>
      </c>
      <c r="B464" s="7"/>
      <c r="C464" s="6">
        <v>510950</v>
      </c>
      <c r="D464" s="6" t="s">
        <v>747</v>
      </c>
      <c r="E464" s="6">
        <v>1</v>
      </c>
      <c r="F464" s="6">
        <v>10</v>
      </c>
      <c r="G464" s="6" t="s">
        <v>202</v>
      </c>
      <c r="H464" s="6">
        <v>7.6</v>
      </c>
      <c r="I464" s="8">
        <v>85.933882569444407</v>
      </c>
      <c r="J464" s="8">
        <v>114.06437159722201</v>
      </c>
      <c r="K464" s="6" t="s">
        <v>29</v>
      </c>
      <c r="L464" s="9">
        <v>43801</v>
      </c>
      <c r="N464" s="6">
        <v>10</v>
      </c>
      <c r="O464" s="6" t="s">
        <v>4277</v>
      </c>
      <c r="Q464" s="6" t="s">
        <v>159</v>
      </c>
      <c r="R464" s="6">
        <v>40</v>
      </c>
      <c r="S464" s="6">
        <v>50</v>
      </c>
      <c r="T464" s="10">
        <f t="shared" si="25"/>
        <v>45</v>
      </c>
      <c r="U464" s="6">
        <v>3.4</v>
      </c>
      <c r="V464" s="8">
        <v>-1.2305602495193482</v>
      </c>
      <c r="W464" s="8">
        <v>-9.4396129767894745</v>
      </c>
      <c r="X464" s="8">
        <f t="shared" si="24"/>
        <v>0.40486901936531083</v>
      </c>
    </row>
    <row r="465" spans="1:24" x14ac:dyDescent="0.35">
      <c r="A465" s="6" t="s">
        <v>25</v>
      </c>
      <c r="B465" s="7"/>
      <c r="C465" s="6">
        <v>510951</v>
      </c>
      <c r="D465" s="6" t="s">
        <v>747</v>
      </c>
      <c r="E465" s="6">
        <v>1</v>
      </c>
      <c r="F465" s="6">
        <v>10</v>
      </c>
      <c r="G465" s="6" t="s">
        <v>202</v>
      </c>
      <c r="H465" s="6">
        <v>7.6</v>
      </c>
      <c r="I465" s="8">
        <v>85.933882569444407</v>
      </c>
      <c r="J465" s="8">
        <v>114.06437159722201</v>
      </c>
      <c r="K465" s="6" t="s">
        <v>29</v>
      </c>
      <c r="L465" s="9">
        <v>43801</v>
      </c>
      <c r="N465" s="6">
        <v>10</v>
      </c>
      <c r="O465" s="6" t="s">
        <v>4277</v>
      </c>
      <c r="Q465" s="6" t="s">
        <v>161</v>
      </c>
      <c r="R465" s="6">
        <v>50</v>
      </c>
      <c r="S465" s="6">
        <v>60</v>
      </c>
      <c r="T465" s="10">
        <f t="shared" si="25"/>
        <v>55</v>
      </c>
      <c r="U465" s="6">
        <v>5.0999999999999996</v>
      </c>
      <c r="V465" s="8">
        <v>0.61010084270238885</v>
      </c>
      <c r="W465" s="8">
        <v>5.6499824151992799</v>
      </c>
      <c r="X465" s="8">
        <f t="shared" si="24"/>
        <v>0.76917567358016914</v>
      </c>
    </row>
    <row r="466" spans="1:24" x14ac:dyDescent="0.35">
      <c r="A466" s="6" t="s">
        <v>25</v>
      </c>
      <c r="B466" s="7"/>
      <c r="C466" s="6">
        <v>510952</v>
      </c>
      <c r="D466" s="6" t="s">
        <v>747</v>
      </c>
      <c r="E466" s="6">
        <v>1</v>
      </c>
      <c r="F466" s="6">
        <v>10</v>
      </c>
      <c r="G466" s="6" t="s">
        <v>202</v>
      </c>
      <c r="H466" s="6">
        <v>7.6</v>
      </c>
      <c r="I466" s="8">
        <v>85.933882569444407</v>
      </c>
      <c r="J466" s="8">
        <v>114.06437159722201</v>
      </c>
      <c r="K466" s="6" t="s">
        <v>29</v>
      </c>
      <c r="L466" s="9">
        <v>43801</v>
      </c>
      <c r="N466" s="6">
        <v>10</v>
      </c>
      <c r="O466" s="6" t="s">
        <v>4277</v>
      </c>
      <c r="Q466" s="6" t="s">
        <v>748</v>
      </c>
      <c r="R466" s="6">
        <v>60</v>
      </c>
      <c r="S466" s="6">
        <v>68</v>
      </c>
      <c r="T466" s="10">
        <f t="shared" si="25"/>
        <v>64</v>
      </c>
      <c r="U466" s="6">
        <v>6.9</v>
      </c>
      <c r="V466" s="8">
        <v>0.77120979671478274</v>
      </c>
      <c r="W466" s="8">
        <v>6.1018363666534423</v>
      </c>
      <c r="X466" s="8">
        <f t="shared" si="24"/>
        <v>-6.7842007064819576E-2</v>
      </c>
    </row>
    <row r="467" spans="1:24" x14ac:dyDescent="0.35">
      <c r="A467" s="6" t="s">
        <v>25</v>
      </c>
      <c r="B467" s="7"/>
      <c r="C467" s="6">
        <v>510867</v>
      </c>
      <c r="D467" s="6" t="s">
        <v>756</v>
      </c>
      <c r="E467" s="6">
        <v>1</v>
      </c>
      <c r="F467" s="6">
        <v>10</v>
      </c>
      <c r="G467" s="6" t="s">
        <v>754</v>
      </c>
      <c r="H467" s="6">
        <v>12</v>
      </c>
      <c r="I467" s="8">
        <v>85.933882569444407</v>
      </c>
      <c r="J467" s="8">
        <v>114.06437159722201</v>
      </c>
      <c r="K467" s="6" t="s">
        <v>198</v>
      </c>
      <c r="L467" s="9">
        <v>43801</v>
      </c>
      <c r="N467" s="6">
        <v>10</v>
      </c>
      <c r="O467" s="6" t="s">
        <v>4277</v>
      </c>
      <c r="Q467" s="6" t="s">
        <v>336</v>
      </c>
      <c r="R467" s="6">
        <v>0</v>
      </c>
      <c r="S467" s="6">
        <v>4</v>
      </c>
      <c r="T467" s="10">
        <f t="shared" si="25"/>
        <v>2</v>
      </c>
      <c r="U467" s="6">
        <v>0</v>
      </c>
      <c r="V467" s="8">
        <v>-21.344400296401975</v>
      </c>
      <c r="W467" s="8">
        <v>-152.69834647836359</v>
      </c>
      <c r="X467" s="8">
        <f t="shared" si="24"/>
        <v>18.056855892852212</v>
      </c>
    </row>
    <row r="468" spans="1:24" x14ac:dyDescent="0.35">
      <c r="A468" s="6" t="s">
        <v>25</v>
      </c>
      <c r="B468" s="7"/>
      <c r="C468" s="6">
        <v>511006</v>
      </c>
      <c r="D468" s="6" t="s">
        <v>640</v>
      </c>
      <c r="E468" s="6">
        <v>1</v>
      </c>
      <c r="F468" s="6">
        <v>10</v>
      </c>
      <c r="G468" s="6" t="s">
        <v>755</v>
      </c>
      <c r="I468" s="8">
        <v>85.933882569444407</v>
      </c>
      <c r="J468" s="8">
        <v>114.06437159722201</v>
      </c>
      <c r="K468" s="6" t="s">
        <v>198</v>
      </c>
      <c r="L468" s="9">
        <v>43801</v>
      </c>
      <c r="N468" s="6">
        <v>10</v>
      </c>
      <c r="O468" s="6" t="s">
        <v>4277</v>
      </c>
      <c r="T468" s="10"/>
      <c r="V468" s="8">
        <v>-3.1542293828010561</v>
      </c>
      <c r="W468" s="8">
        <v>-31.191503219604492</v>
      </c>
      <c r="X468" s="8">
        <f t="shared" si="24"/>
        <v>-5.9576681571960428</v>
      </c>
    </row>
    <row r="469" spans="1:24" x14ac:dyDescent="0.35">
      <c r="A469" s="6" t="s">
        <v>25</v>
      </c>
      <c r="B469" s="7"/>
      <c r="C469" s="6">
        <v>511007</v>
      </c>
      <c r="D469" s="6" t="s">
        <v>640</v>
      </c>
      <c r="E469" s="6">
        <v>1</v>
      </c>
      <c r="F469" s="6">
        <v>10</v>
      </c>
      <c r="G469" s="6" t="s">
        <v>755</v>
      </c>
      <c r="I469" s="8">
        <v>85.933882569444407</v>
      </c>
      <c r="J469" s="8">
        <v>114.06437159722201</v>
      </c>
      <c r="K469" s="6" t="s">
        <v>198</v>
      </c>
      <c r="L469" s="9">
        <v>43801</v>
      </c>
      <c r="N469" s="6">
        <v>10</v>
      </c>
      <c r="O469" s="6" t="s">
        <v>4277</v>
      </c>
      <c r="T469" s="10"/>
      <c r="V469" s="8">
        <v>-10.82192683868408</v>
      </c>
      <c r="W469" s="8">
        <v>-75.848311614990237</v>
      </c>
      <c r="X469" s="8">
        <f t="shared" si="24"/>
        <v>10.727103094482402</v>
      </c>
    </row>
    <row r="470" spans="1:24" x14ac:dyDescent="0.35">
      <c r="A470" s="6" t="s">
        <v>25</v>
      </c>
      <c r="B470" s="6" t="s">
        <v>3351</v>
      </c>
      <c r="D470" s="6" t="s">
        <v>3653</v>
      </c>
      <c r="E470" s="6">
        <v>1</v>
      </c>
      <c r="F470" s="6">
        <v>10</v>
      </c>
      <c r="G470" s="6" t="s">
        <v>3955</v>
      </c>
      <c r="I470" s="8">
        <v>86.025192430555592</v>
      </c>
      <c r="J470" s="8">
        <v>116.24960937499999</v>
      </c>
      <c r="K470" s="7" t="s">
        <v>2610</v>
      </c>
      <c r="L470" s="9">
        <v>43802</v>
      </c>
      <c r="N470" s="6">
        <v>10</v>
      </c>
      <c r="O470" s="6" t="s">
        <v>4247</v>
      </c>
      <c r="V470" s="8">
        <v>-1.3354800190114973</v>
      </c>
      <c r="W470" s="8">
        <v>-10.140279549598693</v>
      </c>
      <c r="X470" s="27">
        <f t="shared" si="24"/>
        <v>0.54356060249328486</v>
      </c>
    </row>
    <row r="471" spans="1:24" x14ac:dyDescent="0.35">
      <c r="A471" s="6" t="s">
        <v>25</v>
      </c>
      <c r="B471" s="6" t="s">
        <v>757</v>
      </c>
      <c r="C471" s="6">
        <v>511029</v>
      </c>
      <c r="D471" s="6" t="s">
        <v>758</v>
      </c>
      <c r="E471" s="6">
        <v>1</v>
      </c>
      <c r="F471" s="6">
        <v>10</v>
      </c>
      <c r="G471" s="6" t="s">
        <v>179</v>
      </c>
      <c r="I471" s="8">
        <v>86.106434930555594</v>
      </c>
      <c r="J471" s="8">
        <v>118.771893680556</v>
      </c>
      <c r="K471" s="6" t="s">
        <v>29</v>
      </c>
      <c r="L471" s="9">
        <v>43803</v>
      </c>
      <c r="N471" s="6">
        <v>10</v>
      </c>
      <c r="O471" s="6" t="s">
        <v>4278</v>
      </c>
      <c r="Q471" s="6" t="s">
        <v>759</v>
      </c>
      <c r="R471" s="6">
        <v>0</v>
      </c>
      <c r="S471" s="6">
        <v>10</v>
      </c>
      <c r="T471" s="10">
        <f t="shared" ref="T471:T476" si="26">AVERAGE(R471:S471)</f>
        <v>5</v>
      </c>
      <c r="U471" s="6">
        <v>2.4</v>
      </c>
      <c r="V471" s="8">
        <v>-1.0174513670873639</v>
      </c>
      <c r="W471" s="8">
        <v>-9.0294616050720222</v>
      </c>
      <c r="X471" s="8">
        <f t="shared" si="24"/>
        <v>-0.88985066837311066</v>
      </c>
    </row>
    <row r="472" spans="1:24" x14ac:dyDescent="0.35">
      <c r="A472" s="6" t="s">
        <v>25</v>
      </c>
      <c r="B472" s="6" t="s">
        <v>760</v>
      </c>
      <c r="C472" s="6">
        <v>511030</v>
      </c>
      <c r="D472" s="6" t="s">
        <v>758</v>
      </c>
      <c r="E472" s="6">
        <v>1</v>
      </c>
      <c r="F472" s="6">
        <v>10</v>
      </c>
      <c r="G472" s="6" t="s">
        <v>179</v>
      </c>
      <c r="I472" s="8">
        <v>86.106434930555594</v>
      </c>
      <c r="J472" s="8">
        <v>118.771893680556</v>
      </c>
      <c r="K472" s="6" t="s">
        <v>29</v>
      </c>
      <c r="L472" s="9">
        <v>43803</v>
      </c>
      <c r="N472" s="6">
        <v>10</v>
      </c>
      <c r="O472" s="6" t="s">
        <v>4278</v>
      </c>
      <c r="Q472" s="6" t="s">
        <v>138</v>
      </c>
      <c r="R472" s="6">
        <v>10</v>
      </c>
      <c r="S472" s="6">
        <v>20</v>
      </c>
      <c r="T472" s="10">
        <f t="shared" si="26"/>
        <v>15</v>
      </c>
      <c r="U472" s="6">
        <v>5.6</v>
      </c>
      <c r="V472" s="8">
        <v>-3.4602572537422174</v>
      </c>
      <c r="W472" s="8">
        <v>-26.932680797195435</v>
      </c>
      <c r="X472" s="8">
        <f t="shared" si="24"/>
        <v>0.7493772327423045</v>
      </c>
    </row>
    <row r="473" spans="1:24" x14ac:dyDescent="0.35">
      <c r="A473" s="6" t="s">
        <v>25</v>
      </c>
      <c r="B473" s="6" t="s">
        <v>761</v>
      </c>
      <c r="C473" s="6">
        <v>511031</v>
      </c>
      <c r="D473" s="6" t="s">
        <v>758</v>
      </c>
      <c r="E473" s="6">
        <v>1</v>
      </c>
      <c r="F473" s="6">
        <v>10</v>
      </c>
      <c r="G473" s="6" t="s">
        <v>179</v>
      </c>
      <c r="I473" s="8">
        <v>86.106434930555594</v>
      </c>
      <c r="J473" s="8">
        <v>118.771893680556</v>
      </c>
      <c r="K473" s="6" t="s">
        <v>29</v>
      </c>
      <c r="L473" s="9">
        <v>43803</v>
      </c>
      <c r="N473" s="6">
        <v>10</v>
      </c>
      <c r="O473" s="6" t="s">
        <v>4278</v>
      </c>
      <c r="Q473" s="6" t="s">
        <v>146</v>
      </c>
      <c r="R473" s="6">
        <v>20</v>
      </c>
      <c r="S473" s="6">
        <v>30</v>
      </c>
      <c r="T473" s="10">
        <f t="shared" si="26"/>
        <v>25</v>
      </c>
      <c r="U473" s="6">
        <v>4.9000000000000004</v>
      </c>
      <c r="V473" s="8">
        <v>1.0506085866928099</v>
      </c>
      <c r="W473" s="8">
        <v>8.3306553434371935</v>
      </c>
      <c r="X473" s="8">
        <f t="shared" si="24"/>
        <v>-7.4213350105285514E-2</v>
      </c>
    </row>
    <row r="474" spans="1:24" x14ac:dyDescent="0.35">
      <c r="A474" s="6" t="s">
        <v>25</v>
      </c>
      <c r="B474" s="6" t="s">
        <v>762</v>
      </c>
      <c r="C474" s="6">
        <v>511032</v>
      </c>
      <c r="D474" s="6" t="s">
        <v>758</v>
      </c>
      <c r="E474" s="6">
        <v>1</v>
      </c>
      <c r="F474" s="6">
        <v>10</v>
      </c>
      <c r="G474" s="6" t="s">
        <v>179</v>
      </c>
      <c r="I474" s="8">
        <v>86.106434930555594</v>
      </c>
      <c r="J474" s="8">
        <v>118.771893680556</v>
      </c>
      <c r="K474" s="6" t="s">
        <v>29</v>
      </c>
      <c r="L474" s="9">
        <v>43803</v>
      </c>
      <c r="N474" s="6">
        <v>10</v>
      </c>
      <c r="O474" s="6" t="s">
        <v>4278</v>
      </c>
      <c r="Q474" s="6" t="s">
        <v>157</v>
      </c>
      <c r="R474" s="6">
        <v>30</v>
      </c>
      <c r="S474" s="6">
        <v>40</v>
      </c>
      <c r="T474" s="10">
        <f t="shared" si="26"/>
        <v>35</v>
      </c>
      <c r="U474" s="6">
        <v>4.5</v>
      </c>
      <c r="V474" s="8">
        <v>0.89443824251890203</v>
      </c>
      <c r="W474" s="8">
        <v>6.8919579056739808</v>
      </c>
      <c r="X474" s="8">
        <f t="shared" si="24"/>
        <v>-0.2635480344772354</v>
      </c>
    </row>
    <row r="475" spans="1:24" x14ac:dyDescent="0.35">
      <c r="A475" s="6" t="s">
        <v>25</v>
      </c>
      <c r="B475" s="6" t="s">
        <v>763</v>
      </c>
      <c r="C475" s="6">
        <v>511028</v>
      </c>
      <c r="D475" s="6" t="s">
        <v>758</v>
      </c>
      <c r="E475" s="6">
        <v>1</v>
      </c>
      <c r="F475" s="6">
        <v>10</v>
      </c>
      <c r="G475" s="6" t="s">
        <v>179</v>
      </c>
      <c r="I475" s="8">
        <v>86.106434930555594</v>
      </c>
      <c r="J475" s="8">
        <v>118.771893680556</v>
      </c>
      <c r="K475" s="6" t="s">
        <v>29</v>
      </c>
      <c r="L475" s="9">
        <v>43803</v>
      </c>
      <c r="N475" s="6">
        <v>10</v>
      </c>
      <c r="O475" s="6" t="s">
        <v>4278</v>
      </c>
      <c r="Q475" s="6" t="s">
        <v>159</v>
      </c>
      <c r="R475" s="6">
        <v>40</v>
      </c>
      <c r="S475" s="6">
        <v>50</v>
      </c>
      <c r="T475" s="10">
        <f t="shared" si="26"/>
        <v>45</v>
      </c>
      <c r="U475" s="6">
        <v>5.3</v>
      </c>
      <c r="V475" s="8">
        <v>0.9016941443324088</v>
      </c>
      <c r="W475" s="8">
        <v>7.3343075260162358</v>
      </c>
      <c r="X475" s="8">
        <f t="shared" si="24"/>
        <v>0.12075437135696543</v>
      </c>
    </row>
    <row r="476" spans="1:24" x14ac:dyDescent="0.35">
      <c r="A476" s="6" t="s">
        <v>25</v>
      </c>
      <c r="B476" s="6" t="s">
        <v>764</v>
      </c>
      <c r="C476" s="6">
        <v>511033</v>
      </c>
      <c r="D476" s="6" t="s">
        <v>758</v>
      </c>
      <c r="E476" s="6">
        <v>1</v>
      </c>
      <c r="F476" s="6">
        <v>10</v>
      </c>
      <c r="G476" s="6" t="s">
        <v>179</v>
      </c>
      <c r="I476" s="8">
        <v>86.106434930555594</v>
      </c>
      <c r="J476" s="8">
        <v>118.771893680556</v>
      </c>
      <c r="K476" s="6" t="s">
        <v>29</v>
      </c>
      <c r="L476" s="9">
        <v>43803</v>
      </c>
      <c r="N476" s="6">
        <v>10</v>
      </c>
      <c r="O476" s="6" t="s">
        <v>4278</v>
      </c>
      <c r="Q476" s="6" t="s">
        <v>765</v>
      </c>
      <c r="R476" s="6">
        <v>50</v>
      </c>
      <c r="S476" s="6">
        <v>62</v>
      </c>
      <c r="T476" s="10">
        <f t="shared" si="26"/>
        <v>56</v>
      </c>
      <c r="U476" s="6">
        <v>5.2</v>
      </c>
      <c r="V476" s="8">
        <v>0.67595794376134899</v>
      </c>
      <c r="W476" s="8">
        <v>5.8258021954536447</v>
      </c>
      <c r="X476" s="8">
        <f t="shared" si="24"/>
        <v>0.41813864536285283</v>
      </c>
    </row>
    <row r="477" spans="1:24" x14ac:dyDescent="0.35">
      <c r="A477" s="6" t="s">
        <v>25</v>
      </c>
      <c r="B477" s="6" t="s">
        <v>3352</v>
      </c>
      <c r="D477" s="6" t="s">
        <v>3654</v>
      </c>
      <c r="E477" s="6">
        <v>1</v>
      </c>
      <c r="F477" s="6">
        <v>10</v>
      </c>
      <c r="G477" s="6" t="s">
        <v>3956</v>
      </c>
      <c r="I477" s="8">
        <v>86.106434930555594</v>
      </c>
      <c r="J477" s="8">
        <v>118.771893680556</v>
      </c>
      <c r="K477" s="7" t="s">
        <v>2610</v>
      </c>
      <c r="L477" s="9">
        <v>43803</v>
      </c>
      <c r="N477" s="6">
        <v>10</v>
      </c>
      <c r="O477" s="6" t="s">
        <v>4278</v>
      </c>
      <c r="V477" s="8">
        <v>-1.3905880155801775</v>
      </c>
      <c r="W477" s="8">
        <v>-10.061902699470521</v>
      </c>
      <c r="X477" s="27">
        <f t="shared" si="24"/>
        <v>1.0628014251708997</v>
      </c>
    </row>
    <row r="478" spans="1:24" x14ac:dyDescent="0.35">
      <c r="A478" s="6" t="s">
        <v>25</v>
      </c>
      <c r="B478" s="7"/>
      <c r="C478" s="6">
        <v>511005</v>
      </c>
      <c r="D478" s="6" t="s">
        <v>766</v>
      </c>
      <c r="E478" s="6">
        <v>1</v>
      </c>
      <c r="F478" s="6">
        <v>10</v>
      </c>
      <c r="G478" s="6" t="s">
        <v>179</v>
      </c>
      <c r="I478" s="8">
        <v>86.106434930555594</v>
      </c>
      <c r="J478" s="8">
        <v>118.771893680556</v>
      </c>
      <c r="K478" s="6" t="s">
        <v>198</v>
      </c>
      <c r="L478" s="9">
        <v>43803</v>
      </c>
      <c r="N478" s="6">
        <v>10</v>
      </c>
      <c r="O478" s="6" t="s">
        <v>4278</v>
      </c>
      <c r="Q478" s="6" t="s">
        <v>515</v>
      </c>
      <c r="R478" s="6">
        <v>0</v>
      </c>
      <c r="S478" s="6">
        <v>4</v>
      </c>
      <c r="T478" s="10">
        <f>AVERAGE(R478:S478)</f>
        <v>2</v>
      </c>
      <c r="V478" s="8">
        <v>-15.314863418388365</v>
      </c>
      <c r="W478" s="8">
        <v>-111.26058563232422</v>
      </c>
      <c r="X478" s="8">
        <f t="shared" si="24"/>
        <v>11.258321714782696</v>
      </c>
    </row>
    <row r="479" spans="1:24" x14ac:dyDescent="0.35">
      <c r="A479" s="6" t="s">
        <v>25</v>
      </c>
      <c r="B479" s="7"/>
      <c r="C479" s="6">
        <v>511026</v>
      </c>
      <c r="D479" s="6" t="s">
        <v>766</v>
      </c>
      <c r="E479" s="6">
        <v>1</v>
      </c>
      <c r="F479" s="6">
        <v>10</v>
      </c>
      <c r="G479" s="6" t="s">
        <v>179</v>
      </c>
      <c r="I479" s="8">
        <v>86.106434930555594</v>
      </c>
      <c r="J479" s="8">
        <v>118.771893680556</v>
      </c>
      <c r="K479" s="6" t="s">
        <v>198</v>
      </c>
      <c r="L479" s="9">
        <v>43803</v>
      </c>
      <c r="N479" s="6">
        <v>10</v>
      </c>
      <c r="O479" s="6" t="s">
        <v>4278</v>
      </c>
      <c r="Q479" s="6" t="s">
        <v>516</v>
      </c>
      <c r="R479" s="6">
        <v>4</v>
      </c>
      <c r="S479" s="6">
        <v>8</v>
      </c>
      <c r="T479" s="10">
        <f>AVERAGE(R479:S479)</f>
        <v>6</v>
      </c>
      <c r="V479" s="8">
        <v>-7.4425967782020575</v>
      </c>
      <c r="W479" s="8">
        <v>-63.904869346618653</v>
      </c>
      <c r="X479" s="8">
        <f t="shared" si="24"/>
        <v>-4.3640951210021939</v>
      </c>
    </row>
    <row r="480" spans="1:24" x14ac:dyDescent="0.35">
      <c r="A480" s="6" t="s">
        <v>25</v>
      </c>
      <c r="B480" s="7"/>
      <c r="C480" s="6">
        <v>511027</v>
      </c>
      <c r="D480" s="6" t="s">
        <v>766</v>
      </c>
      <c r="E480" s="6">
        <v>1</v>
      </c>
      <c r="F480" s="6">
        <v>10</v>
      </c>
      <c r="G480" s="6" t="s">
        <v>179</v>
      </c>
      <c r="I480" s="8">
        <v>86.106434930555594</v>
      </c>
      <c r="J480" s="8">
        <v>118.771893680556</v>
      </c>
      <c r="K480" s="6" t="s">
        <v>198</v>
      </c>
      <c r="L480" s="9">
        <v>43803</v>
      </c>
      <c r="N480" s="6">
        <v>10</v>
      </c>
      <c r="O480" s="6" t="s">
        <v>4278</v>
      </c>
      <c r="Q480" s="6" t="s">
        <v>767</v>
      </c>
      <c r="R480" s="6">
        <v>8</v>
      </c>
      <c r="S480" s="6">
        <v>12</v>
      </c>
      <c r="T480" s="10">
        <f>AVERAGE(R480:S480)</f>
        <v>10</v>
      </c>
      <c r="V480" s="8">
        <v>-4.8146915853500385</v>
      </c>
      <c r="W480" s="8">
        <v>-45.304936180114744</v>
      </c>
      <c r="X480" s="8">
        <f t="shared" si="24"/>
        <v>-6.7874034973144362</v>
      </c>
    </row>
    <row r="481" spans="1:24" x14ac:dyDescent="0.35">
      <c r="A481" s="6" t="s">
        <v>25</v>
      </c>
      <c r="B481" s="7" t="s">
        <v>768</v>
      </c>
      <c r="C481" s="6">
        <v>510961</v>
      </c>
      <c r="D481" s="6" t="s">
        <v>769</v>
      </c>
      <c r="E481" s="6">
        <v>1</v>
      </c>
      <c r="F481" s="6">
        <v>10</v>
      </c>
      <c r="I481" s="8">
        <v>86.141017361111096</v>
      </c>
      <c r="J481" s="8">
        <v>121.109937222222</v>
      </c>
      <c r="K481" s="7" t="s">
        <v>2610</v>
      </c>
      <c r="L481" s="9">
        <v>43804</v>
      </c>
      <c r="N481" s="6">
        <v>10</v>
      </c>
      <c r="O481" s="6" t="s">
        <v>4279</v>
      </c>
      <c r="Q481" s="10">
        <v>8000</v>
      </c>
      <c r="R481" s="10"/>
      <c r="S481" s="10">
        <v>8000</v>
      </c>
      <c r="T481" s="10">
        <f>AVERAGE(R481:S481)</f>
        <v>8000</v>
      </c>
      <c r="U481" s="11"/>
      <c r="V481" s="8">
        <v>-0.20202804239988351</v>
      </c>
      <c r="W481" s="8">
        <v>-0.47052039831876746</v>
      </c>
      <c r="X481" s="8">
        <f t="shared" si="24"/>
        <v>1.1457039408803005</v>
      </c>
    </row>
    <row r="482" spans="1:24" x14ac:dyDescent="0.35">
      <c r="A482" s="6" t="s">
        <v>25</v>
      </c>
      <c r="B482" s="7" t="s">
        <v>770</v>
      </c>
      <c r="C482" s="6">
        <v>510882</v>
      </c>
      <c r="D482" s="6" t="s">
        <v>771</v>
      </c>
      <c r="E482" s="6">
        <v>1</v>
      </c>
      <c r="F482" s="6">
        <v>10</v>
      </c>
      <c r="I482" s="8">
        <v>86.141017361111096</v>
      </c>
      <c r="J482" s="8">
        <v>121.109937222222</v>
      </c>
      <c r="K482" s="7" t="s">
        <v>2610</v>
      </c>
      <c r="L482" s="9">
        <v>43804</v>
      </c>
      <c r="N482" s="6">
        <v>10</v>
      </c>
      <c r="O482" s="6" t="s">
        <v>4279</v>
      </c>
      <c r="Q482" s="10">
        <v>200</v>
      </c>
      <c r="R482" s="10"/>
      <c r="S482" s="10">
        <v>200</v>
      </c>
      <c r="T482" s="10">
        <f>AVERAGE(R482:S482)</f>
        <v>200</v>
      </c>
      <c r="U482" s="11"/>
      <c r="V482" s="8">
        <v>-1.6074396894454959</v>
      </c>
      <c r="W482" s="8">
        <v>-10.968270664215089</v>
      </c>
      <c r="X482" s="8">
        <f t="shared" si="24"/>
        <v>1.8912468513488783</v>
      </c>
    </row>
    <row r="483" spans="1:24" x14ac:dyDescent="0.35">
      <c r="A483" s="6" t="s">
        <v>25</v>
      </c>
      <c r="B483" s="6" t="s">
        <v>3353</v>
      </c>
      <c r="D483" s="6" t="s">
        <v>3655</v>
      </c>
      <c r="E483" s="6">
        <v>1</v>
      </c>
      <c r="F483" s="6">
        <v>10</v>
      </c>
      <c r="G483" s="6" t="s">
        <v>3957</v>
      </c>
      <c r="I483" s="8">
        <v>86.141017361111096</v>
      </c>
      <c r="J483" s="8">
        <v>121.109937222222</v>
      </c>
      <c r="K483" s="7" t="s">
        <v>2610</v>
      </c>
      <c r="L483" s="9">
        <v>43804</v>
      </c>
      <c r="N483" s="6">
        <v>10</v>
      </c>
      <c r="O483" s="6" t="s">
        <v>4279</v>
      </c>
      <c r="V483" s="8">
        <v>-1.5567515129232401</v>
      </c>
      <c r="W483" s="8">
        <v>-10.705705598831177</v>
      </c>
      <c r="X483" s="27">
        <f t="shared" si="24"/>
        <v>1.7483065045547441</v>
      </c>
    </row>
    <row r="484" spans="1:24" x14ac:dyDescent="0.35">
      <c r="A484" s="6" t="s">
        <v>25</v>
      </c>
      <c r="B484" s="6" t="s">
        <v>3354</v>
      </c>
      <c r="D484" s="6" t="s">
        <v>3656</v>
      </c>
      <c r="E484" s="6">
        <v>1</v>
      </c>
      <c r="F484" s="6">
        <v>10</v>
      </c>
      <c r="G484" s="6" t="s">
        <v>3958</v>
      </c>
      <c r="I484" s="8">
        <v>86.141995833333297</v>
      </c>
      <c r="J484" s="8">
        <v>122.240208541667</v>
      </c>
      <c r="K484" s="7" t="s">
        <v>2610</v>
      </c>
      <c r="L484" s="9">
        <v>43805</v>
      </c>
      <c r="N484" s="6">
        <v>10</v>
      </c>
      <c r="O484" s="6" t="s">
        <v>4280</v>
      </c>
      <c r="V484" s="8">
        <v>-1.6051678643608096</v>
      </c>
      <c r="W484" s="8">
        <v>-13.637027858734131</v>
      </c>
      <c r="X484" s="27">
        <f t="shared" si="24"/>
        <v>-0.79568494384765387</v>
      </c>
    </row>
    <row r="485" spans="1:24" x14ac:dyDescent="0.35">
      <c r="A485" s="6" t="s">
        <v>25</v>
      </c>
      <c r="B485" s="7"/>
      <c r="C485" s="6">
        <v>511039</v>
      </c>
      <c r="D485" s="6" t="s">
        <v>772</v>
      </c>
      <c r="E485" s="6">
        <v>1</v>
      </c>
      <c r="F485" s="6">
        <v>10</v>
      </c>
      <c r="G485" s="6" t="s">
        <v>345</v>
      </c>
      <c r="H485" s="6">
        <v>22</v>
      </c>
      <c r="I485" s="8">
        <v>86.141995833333297</v>
      </c>
      <c r="J485" s="8">
        <v>122.240208541667</v>
      </c>
      <c r="K485" s="6" t="s">
        <v>29</v>
      </c>
      <c r="L485" s="9">
        <v>43805</v>
      </c>
      <c r="N485" s="6">
        <v>10</v>
      </c>
      <c r="O485" s="6" t="s">
        <v>4280</v>
      </c>
      <c r="Q485" s="6" t="s">
        <v>138</v>
      </c>
      <c r="R485" s="6">
        <v>10</v>
      </c>
      <c r="S485" s="6">
        <v>20</v>
      </c>
      <c r="T485" s="10">
        <f t="shared" ref="T485:T493" si="27">AVERAGE(R485:S485)</f>
        <v>15</v>
      </c>
      <c r="U485" s="6">
        <v>4.9000000000000004</v>
      </c>
      <c r="V485" s="8">
        <v>0.29610987641215303</v>
      </c>
      <c r="W485" s="8">
        <v>2.9027795877456684</v>
      </c>
      <c r="X485" s="8">
        <f t="shared" si="24"/>
        <v>0.53390057644844413</v>
      </c>
    </row>
    <row r="486" spans="1:24" x14ac:dyDescent="0.35">
      <c r="A486" s="6" t="s">
        <v>25</v>
      </c>
      <c r="B486" s="7"/>
      <c r="C486" s="6">
        <v>511040</v>
      </c>
      <c r="D486" s="6" t="s">
        <v>773</v>
      </c>
      <c r="E486" s="6">
        <v>1</v>
      </c>
      <c r="F486" s="6">
        <v>10</v>
      </c>
      <c r="G486" s="6" t="s">
        <v>345</v>
      </c>
      <c r="H486" s="6">
        <v>22</v>
      </c>
      <c r="I486" s="8">
        <v>86.141995833333297</v>
      </c>
      <c r="J486" s="8">
        <v>122.240208541667</v>
      </c>
      <c r="K486" s="6" t="s">
        <v>29</v>
      </c>
      <c r="L486" s="9">
        <v>43805</v>
      </c>
      <c r="N486" s="6">
        <v>10</v>
      </c>
      <c r="O486" s="6" t="s">
        <v>4280</v>
      </c>
      <c r="Q486" s="6" t="s">
        <v>774</v>
      </c>
      <c r="R486" s="6">
        <v>77</v>
      </c>
      <c r="S486" s="6">
        <v>84</v>
      </c>
      <c r="T486" s="10">
        <f t="shared" si="27"/>
        <v>80.5</v>
      </c>
      <c r="U486" s="6">
        <v>5.9</v>
      </c>
      <c r="V486" s="8">
        <v>0.52806736335754356</v>
      </c>
      <c r="W486" s="8">
        <v>5.0883320388793942</v>
      </c>
      <c r="X486" s="8">
        <f t="shared" si="24"/>
        <v>0.86379313201904573</v>
      </c>
    </row>
    <row r="487" spans="1:24" x14ac:dyDescent="0.35">
      <c r="A487" s="6" t="s">
        <v>25</v>
      </c>
      <c r="B487" s="7"/>
      <c r="C487" s="6">
        <v>511041</v>
      </c>
      <c r="D487" s="6" t="s">
        <v>773</v>
      </c>
      <c r="E487" s="6">
        <v>1</v>
      </c>
      <c r="F487" s="6">
        <v>10</v>
      </c>
      <c r="G487" s="6" t="s">
        <v>345</v>
      </c>
      <c r="H487" s="6">
        <v>22</v>
      </c>
      <c r="I487" s="8">
        <v>86.141995833333297</v>
      </c>
      <c r="J487" s="8">
        <v>122.240208541667</v>
      </c>
      <c r="K487" s="6" t="s">
        <v>29</v>
      </c>
      <c r="L487" s="9">
        <v>43805</v>
      </c>
      <c r="N487" s="6">
        <v>10</v>
      </c>
      <c r="O487" s="6" t="s">
        <v>4280</v>
      </c>
      <c r="Q487" s="6" t="s">
        <v>775</v>
      </c>
      <c r="R487" s="6">
        <v>59</v>
      </c>
      <c r="S487" s="6">
        <v>70</v>
      </c>
      <c r="T487" s="10">
        <f t="shared" si="27"/>
        <v>64.5</v>
      </c>
      <c r="U487" s="6">
        <v>4.5999999999999996</v>
      </c>
      <c r="V487" s="8">
        <v>-0.58904567518830286</v>
      </c>
      <c r="W487" s="8">
        <v>-1.6217680989265437</v>
      </c>
      <c r="X487" s="8">
        <f t="shared" si="24"/>
        <v>3.0905973025798792</v>
      </c>
    </row>
    <row r="488" spans="1:24" x14ac:dyDescent="0.35">
      <c r="A488" s="6" t="s">
        <v>25</v>
      </c>
      <c r="B488" s="7"/>
      <c r="C488" s="6">
        <v>511051</v>
      </c>
      <c r="D488" s="6" t="s">
        <v>773</v>
      </c>
      <c r="E488" s="6">
        <v>1</v>
      </c>
      <c r="F488" s="6">
        <v>10</v>
      </c>
      <c r="G488" s="6" t="s">
        <v>345</v>
      </c>
      <c r="H488" s="6">
        <v>22</v>
      </c>
      <c r="I488" s="8">
        <v>86.141995833333297</v>
      </c>
      <c r="J488" s="8">
        <v>122.240208541667</v>
      </c>
      <c r="K488" s="6" t="s">
        <v>29</v>
      </c>
      <c r="L488" s="9">
        <v>43805</v>
      </c>
      <c r="N488" s="6">
        <v>10</v>
      </c>
      <c r="O488" s="6" t="s">
        <v>4280</v>
      </c>
      <c r="Q488" s="6" t="s">
        <v>215</v>
      </c>
      <c r="R488" s="6">
        <v>20</v>
      </c>
      <c r="S488" s="6">
        <v>30</v>
      </c>
      <c r="T488" s="10">
        <f t="shared" si="27"/>
        <v>25</v>
      </c>
      <c r="U488" s="6">
        <v>4.5999999999999996</v>
      </c>
      <c r="V488" s="8">
        <v>1.0881247812986379</v>
      </c>
      <c r="W488" s="8">
        <v>9.4003061714172365</v>
      </c>
      <c r="X488" s="8">
        <f t="shared" si="24"/>
        <v>0.69530792102813344</v>
      </c>
    </row>
    <row r="489" spans="1:24" x14ac:dyDescent="0.35">
      <c r="A489" s="6" t="s">
        <v>25</v>
      </c>
      <c r="B489" s="7"/>
      <c r="C489" s="6">
        <v>511052</v>
      </c>
      <c r="D489" s="6" t="s">
        <v>773</v>
      </c>
      <c r="E489" s="6">
        <v>1</v>
      </c>
      <c r="F489" s="6">
        <v>10</v>
      </c>
      <c r="G489" s="6" t="s">
        <v>345</v>
      </c>
      <c r="H489" s="6">
        <v>22</v>
      </c>
      <c r="I489" s="8">
        <v>86.141995833333297</v>
      </c>
      <c r="J489" s="8">
        <v>122.240208541667</v>
      </c>
      <c r="K489" s="6" t="s">
        <v>29</v>
      </c>
      <c r="L489" s="9">
        <v>43805</v>
      </c>
      <c r="N489" s="6">
        <v>10</v>
      </c>
      <c r="O489" s="6" t="s">
        <v>4280</v>
      </c>
      <c r="Q489" s="6" t="s">
        <v>776</v>
      </c>
      <c r="R489" s="6">
        <v>70</v>
      </c>
      <c r="S489" s="6">
        <v>77</v>
      </c>
      <c r="T489" s="10">
        <f t="shared" si="27"/>
        <v>73.5</v>
      </c>
      <c r="U489" s="6">
        <v>4.5999999999999996</v>
      </c>
      <c r="V489" s="8">
        <v>0.26688390216827385</v>
      </c>
      <c r="W489" s="8">
        <v>2.9275794563293456</v>
      </c>
      <c r="X489" s="8">
        <f t="shared" si="24"/>
        <v>0.79250823898315481</v>
      </c>
    </row>
    <row r="490" spans="1:24" x14ac:dyDescent="0.35">
      <c r="A490" s="6" t="s">
        <v>25</v>
      </c>
      <c r="B490" s="7"/>
      <c r="C490" s="6">
        <v>511053</v>
      </c>
      <c r="D490" s="6" t="s">
        <v>773</v>
      </c>
      <c r="E490" s="6">
        <v>1</v>
      </c>
      <c r="F490" s="6">
        <v>10</v>
      </c>
      <c r="G490" s="6" t="s">
        <v>345</v>
      </c>
      <c r="H490" s="6">
        <v>22</v>
      </c>
      <c r="I490" s="8">
        <v>86.141995833333297</v>
      </c>
      <c r="J490" s="8">
        <v>122.240208541667</v>
      </c>
      <c r="K490" s="6" t="s">
        <v>29</v>
      </c>
      <c r="L490" s="9">
        <v>43805</v>
      </c>
      <c r="N490" s="6">
        <v>10</v>
      </c>
      <c r="O490" s="6" t="s">
        <v>4280</v>
      </c>
      <c r="Q490" s="6" t="s">
        <v>157</v>
      </c>
      <c r="R490" s="6">
        <v>30</v>
      </c>
      <c r="S490" s="6">
        <v>40</v>
      </c>
      <c r="T490" s="10">
        <f t="shared" si="27"/>
        <v>35</v>
      </c>
      <c r="U490" s="6">
        <v>5.5</v>
      </c>
      <c r="V490" s="8">
        <v>0.75974013595581025</v>
      </c>
      <c r="W490" s="8">
        <v>6.499924650192261</v>
      </c>
      <c r="X490" s="8">
        <f t="shared" si="24"/>
        <v>0.42200356254577898</v>
      </c>
    </row>
    <row r="491" spans="1:24" x14ac:dyDescent="0.35">
      <c r="A491" s="6" t="s">
        <v>25</v>
      </c>
      <c r="B491" s="7"/>
      <c r="C491" s="6">
        <v>511054</v>
      </c>
      <c r="D491" s="6" t="s">
        <v>772</v>
      </c>
      <c r="E491" s="6">
        <v>1</v>
      </c>
      <c r="F491" s="6">
        <v>10</v>
      </c>
      <c r="G491" s="6" t="s">
        <v>345</v>
      </c>
      <c r="H491" s="6">
        <v>22</v>
      </c>
      <c r="I491" s="8">
        <v>86.141995833333297</v>
      </c>
      <c r="J491" s="8">
        <v>122.240208541667</v>
      </c>
      <c r="K491" s="6" t="s">
        <v>29</v>
      </c>
      <c r="L491" s="9">
        <v>43805</v>
      </c>
      <c r="N491" s="6">
        <v>10</v>
      </c>
      <c r="O491" s="6" t="s">
        <v>4280</v>
      </c>
      <c r="Q491" s="6" t="s">
        <v>759</v>
      </c>
      <c r="R491" s="6">
        <v>0</v>
      </c>
      <c r="S491" s="6">
        <v>10</v>
      </c>
      <c r="T491" s="10">
        <f t="shared" si="27"/>
        <v>5</v>
      </c>
      <c r="U491" s="6">
        <v>0.2</v>
      </c>
      <c r="V491" s="8">
        <v>-4.6566015440940856</v>
      </c>
      <c r="W491" s="8">
        <v>-35.821781702041626</v>
      </c>
      <c r="X491" s="8">
        <f t="shared" si="24"/>
        <v>1.4310306507110582</v>
      </c>
    </row>
    <row r="492" spans="1:24" x14ac:dyDescent="0.35">
      <c r="A492" s="6" t="s">
        <v>25</v>
      </c>
      <c r="B492" s="7"/>
      <c r="C492" s="6">
        <v>511055</v>
      </c>
      <c r="D492" s="6" t="s">
        <v>773</v>
      </c>
      <c r="E492" s="6">
        <v>1</v>
      </c>
      <c r="F492" s="6">
        <v>10</v>
      </c>
      <c r="G492" s="6" t="s">
        <v>345</v>
      </c>
      <c r="H492" s="6">
        <v>22</v>
      </c>
      <c r="I492" s="8">
        <v>86.141995833333297</v>
      </c>
      <c r="J492" s="8">
        <v>122.240208541667</v>
      </c>
      <c r="K492" s="6" t="s">
        <v>29</v>
      </c>
      <c r="L492" s="9">
        <v>43805</v>
      </c>
      <c r="N492" s="6">
        <v>10</v>
      </c>
      <c r="O492" s="6" t="s">
        <v>4280</v>
      </c>
      <c r="Q492" s="6" t="s">
        <v>159</v>
      </c>
      <c r="R492" s="6">
        <v>40</v>
      </c>
      <c r="S492" s="6">
        <v>50</v>
      </c>
      <c r="T492" s="10">
        <f t="shared" si="27"/>
        <v>45</v>
      </c>
      <c r="U492" s="6">
        <v>5.9</v>
      </c>
      <c r="V492" s="8">
        <v>0.20225988757133506</v>
      </c>
      <c r="W492" s="8">
        <v>3.3586240573883055</v>
      </c>
      <c r="X492" s="8">
        <f t="shared" si="24"/>
        <v>1.740544956817625</v>
      </c>
    </row>
    <row r="493" spans="1:24" x14ac:dyDescent="0.35">
      <c r="A493" s="6" t="s">
        <v>25</v>
      </c>
      <c r="B493" s="7"/>
      <c r="C493" s="6">
        <v>511056</v>
      </c>
      <c r="D493" s="6" t="s">
        <v>773</v>
      </c>
      <c r="E493" s="6">
        <v>1</v>
      </c>
      <c r="F493" s="6">
        <v>10</v>
      </c>
      <c r="G493" s="6" t="s">
        <v>345</v>
      </c>
      <c r="H493" s="6">
        <v>22</v>
      </c>
      <c r="I493" s="8">
        <v>86.141995833333297</v>
      </c>
      <c r="J493" s="8">
        <v>122.240208541667</v>
      </c>
      <c r="K493" s="6" t="s">
        <v>29</v>
      </c>
      <c r="L493" s="9">
        <v>43805</v>
      </c>
      <c r="N493" s="6">
        <v>10</v>
      </c>
      <c r="O493" s="6" t="s">
        <v>4280</v>
      </c>
      <c r="Q493" s="6" t="s">
        <v>777</v>
      </c>
      <c r="R493" s="6">
        <v>50</v>
      </c>
      <c r="S493" s="6">
        <v>59</v>
      </c>
      <c r="T493" s="10">
        <f t="shared" si="27"/>
        <v>54.5</v>
      </c>
      <c r="U493" s="6">
        <v>5.4</v>
      </c>
      <c r="V493" s="8">
        <v>-0.73730394220352169</v>
      </c>
      <c r="W493" s="8">
        <v>-3.2655441998799639</v>
      </c>
      <c r="X493" s="8">
        <f t="shared" si="24"/>
        <v>2.6328873377482096</v>
      </c>
    </row>
    <row r="494" spans="1:24" x14ac:dyDescent="0.35">
      <c r="A494" s="6" t="s">
        <v>25</v>
      </c>
      <c r="B494" s="6" t="s">
        <v>3355</v>
      </c>
      <c r="D494" s="6" t="s">
        <v>3657</v>
      </c>
      <c r="E494" s="6">
        <v>1</v>
      </c>
      <c r="F494" s="6">
        <v>10</v>
      </c>
      <c r="G494" s="6" t="s">
        <v>3959</v>
      </c>
      <c r="I494" s="8">
        <v>86.170693750000012</v>
      </c>
      <c r="J494" s="8">
        <v>122.05433826388895</v>
      </c>
      <c r="K494" s="7" t="s">
        <v>2610</v>
      </c>
      <c r="L494" s="9">
        <v>43806</v>
      </c>
      <c r="N494" s="6">
        <v>10</v>
      </c>
      <c r="O494" s="6" t="s">
        <v>4281</v>
      </c>
      <c r="V494" s="8">
        <v>-1.6346711208009712</v>
      </c>
      <c r="W494" s="8">
        <v>-12.185789803504944</v>
      </c>
      <c r="X494" s="27">
        <f t="shared" si="24"/>
        <v>0.89157916290282557</v>
      </c>
    </row>
    <row r="495" spans="1:24" x14ac:dyDescent="0.35">
      <c r="A495" s="6" t="s">
        <v>25</v>
      </c>
      <c r="B495" s="6" t="s">
        <v>3356</v>
      </c>
      <c r="D495" s="6" t="s">
        <v>3658</v>
      </c>
      <c r="E495" s="6">
        <v>1</v>
      </c>
      <c r="F495" s="6">
        <v>10</v>
      </c>
      <c r="G495" s="6" t="s">
        <v>3960</v>
      </c>
      <c r="I495" s="8">
        <v>86.293249374999974</v>
      </c>
      <c r="J495" s="8">
        <v>121.30944666666672</v>
      </c>
      <c r="K495" s="7" t="s">
        <v>2610</v>
      </c>
      <c r="L495" s="9">
        <v>43807</v>
      </c>
      <c r="N495" s="6">
        <v>11</v>
      </c>
      <c r="O495" s="6" t="s">
        <v>4282</v>
      </c>
      <c r="V495" s="8">
        <v>-1.7917348213577264</v>
      </c>
      <c r="W495" s="8">
        <v>-13.328840550422669</v>
      </c>
      <c r="X495" s="27">
        <f t="shared" si="24"/>
        <v>1.0050380204391427</v>
      </c>
    </row>
    <row r="496" spans="1:24" x14ac:dyDescent="0.35">
      <c r="A496" s="6" t="s">
        <v>25</v>
      </c>
      <c r="B496" s="6" t="s">
        <v>3357</v>
      </c>
      <c r="D496" s="6" t="s">
        <v>3659</v>
      </c>
      <c r="E496" s="6">
        <v>1</v>
      </c>
      <c r="F496" s="6">
        <v>11</v>
      </c>
      <c r="G496" s="6" t="s">
        <v>3961</v>
      </c>
      <c r="I496" s="8">
        <v>86.411603194444425</v>
      </c>
      <c r="J496" s="8">
        <v>120.94205652777779</v>
      </c>
      <c r="K496" s="7" t="s">
        <v>2610</v>
      </c>
      <c r="L496" s="9">
        <v>43808</v>
      </c>
      <c r="N496" s="6">
        <v>11</v>
      </c>
      <c r="O496" s="6" t="s">
        <v>4283</v>
      </c>
      <c r="V496" s="8">
        <v>-1.7647771445894243</v>
      </c>
      <c r="W496" s="8">
        <v>-12.049206460952758</v>
      </c>
      <c r="X496" s="27">
        <f t="shared" si="24"/>
        <v>2.0690106957626355</v>
      </c>
    </row>
    <row r="497" spans="1:25" x14ac:dyDescent="0.35">
      <c r="A497" s="6" t="s">
        <v>25</v>
      </c>
      <c r="B497" s="6" t="s">
        <v>778</v>
      </c>
      <c r="D497" s="6" t="s">
        <v>779</v>
      </c>
      <c r="E497" s="6">
        <v>1</v>
      </c>
      <c r="F497" s="6">
        <v>11</v>
      </c>
      <c r="G497" s="6" t="s">
        <v>179</v>
      </c>
      <c r="I497" s="8">
        <v>86.506581944444406</v>
      </c>
      <c r="J497" s="8">
        <v>120.985913333333</v>
      </c>
      <c r="K497" s="6" t="s">
        <v>29</v>
      </c>
      <c r="L497" s="9">
        <v>43809</v>
      </c>
      <c r="N497" s="6">
        <v>11</v>
      </c>
      <c r="O497" s="6" t="s">
        <v>4284</v>
      </c>
      <c r="Q497" s="6">
        <v>0</v>
      </c>
      <c r="R497" s="6">
        <v>0</v>
      </c>
      <c r="S497" s="6">
        <v>10</v>
      </c>
      <c r="T497" s="10">
        <f t="shared" ref="T497:T503" si="28">AVERAGE(R497:S497)</f>
        <v>5</v>
      </c>
      <c r="V497" s="8">
        <v>6.2196739642508839E-2</v>
      </c>
      <c r="W497" s="8">
        <v>-0.51185487484931969</v>
      </c>
      <c r="X497" s="8">
        <f t="shared" si="24"/>
        <v>-1.0094287919893903</v>
      </c>
    </row>
    <row r="498" spans="1:25" x14ac:dyDescent="0.35">
      <c r="A498" s="6" t="s">
        <v>25</v>
      </c>
      <c r="B498" s="6" t="s">
        <v>780</v>
      </c>
      <c r="D498" s="6" t="s">
        <v>779</v>
      </c>
      <c r="E498" s="6">
        <v>1</v>
      </c>
      <c r="F498" s="6">
        <v>11</v>
      </c>
      <c r="G498" s="6" t="s">
        <v>179</v>
      </c>
      <c r="I498" s="8">
        <v>86.506581944444406</v>
      </c>
      <c r="J498" s="8">
        <v>120.985913333333</v>
      </c>
      <c r="K498" s="6" t="s">
        <v>29</v>
      </c>
      <c r="L498" s="9">
        <v>43809</v>
      </c>
      <c r="N498" s="6">
        <v>11</v>
      </c>
      <c r="O498" s="6" t="s">
        <v>4284</v>
      </c>
      <c r="Q498" s="6">
        <v>10</v>
      </c>
      <c r="R498" s="6">
        <v>10</v>
      </c>
      <c r="S498" s="6">
        <v>20</v>
      </c>
      <c r="T498" s="10">
        <f t="shared" si="28"/>
        <v>15</v>
      </c>
      <c r="V498" s="8">
        <v>-1.9447241787672038</v>
      </c>
      <c r="W498" s="8">
        <v>-15.137517152786256</v>
      </c>
      <c r="X498" s="8">
        <f t="shared" si="24"/>
        <v>0.42027627735137507</v>
      </c>
    </row>
    <row r="499" spans="1:25" x14ac:dyDescent="0.35">
      <c r="A499" s="6" t="s">
        <v>25</v>
      </c>
      <c r="B499" s="6" t="s">
        <v>781</v>
      </c>
      <c r="D499" s="6" t="s">
        <v>779</v>
      </c>
      <c r="E499" s="6">
        <v>1</v>
      </c>
      <c r="F499" s="6">
        <v>11</v>
      </c>
      <c r="G499" s="6" t="s">
        <v>179</v>
      </c>
      <c r="I499" s="8">
        <v>86.506581944444406</v>
      </c>
      <c r="J499" s="8">
        <v>120.985913333333</v>
      </c>
      <c r="K499" s="6" t="s">
        <v>29</v>
      </c>
      <c r="L499" s="9">
        <v>43809</v>
      </c>
      <c r="N499" s="6">
        <v>11</v>
      </c>
      <c r="O499" s="6" t="s">
        <v>4284</v>
      </c>
      <c r="Q499" s="6">
        <v>20</v>
      </c>
      <c r="R499" s="6">
        <v>20</v>
      </c>
      <c r="S499" s="6">
        <v>30</v>
      </c>
      <c r="T499" s="10">
        <f t="shared" si="28"/>
        <v>25</v>
      </c>
      <c r="V499" s="8">
        <v>0.72111159422397653</v>
      </c>
      <c r="W499" s="8">
        <v>5.7146652727127076</v>
      </c>
      <c r="X499" s="8">
        <f t="shared" si="24"/>
        <v>-5.4227481079104578E-2</v>
      </c>
    </row>
    <row r="500" spans="1:25" x14ac:dyDescent="0.35">
      <c r="A500" s="6" t="s">
        <v>25</v>
      </c>
      <c r="B500" s="6" t="s">
        <v>782</v>
      </c>
      <c r="D500" s="6" t="s">
        <v>779</v>
      </c>
      <c r="E500" s="6">
        <v>1</v>
      </c>
      <c r="F500" s="6">
        <v>11</v>
      </c>
      <c r="G500" s="6" t="s">
        <v>179</v>
      </c>
      <c r="I500" s="8">
        <v>86.506581944444406</v>
      </c>
      <c r="J500" s="8">
        <v>120.985913333333</v>
      </c>
      <c r="K500" s="6" t="s">
        <v>29</v>
      </c>
      <c r="L500" s="9">
        <v>43809</v>
      </c>
      <c r="N500" s="6">
        <v>11</v>
      </c>
      <c r="O500" s="6" t="s">
        <v>4284</v>
      </c>
      <c r="Q500" s="6">
        <v>30</v>
      </c>
      <c r="R500" s="6">
        <v>30</v>
      </c>
      <c r="S500" s="6">
        <v>40</v>
      </c>
      <c r="T500" s="10">
        <f t="shared" si="28"/>
        <v>35</v>
      </c>
      <c r="V500" s="8">
        <v>0.88430901786088956</v>
      </c>
      <c r="W500" s="8">
        <v>6.960191621303558</v>
      </c>
      <c r="X500" s="8">
        <f t="shared" si="24"/>
        <v>-0.1142805215835585</v>
      </c>
    </row>
    <row r="501" spans="1:25" x14ac:dyDescent="0.35">
      <c r="A501" s="6" t="s">
        <v>25</v>
      </c>
      <c r="B501" s="6" t="s">
        <v>783</v>
      </c>
      <c r="D501" s="6" t="s">
        <v>779</v>
      </c>
      <c r="E501" s="6">
        <v>1</v>
      </c>
      <c r="F501" s="6">
        <v>11</v>
      </c>
      <c r="G501" s="6" t="s">
        <v>179</v>
      </c>
      <c r="I501" s="8">
        <v>86.506581944444406</v>
      </c>
      <c r="J501" s="8">
        <v>120.985913333333</v>
      </c>
      <c r="K501" s="6" t="s">
        <v>29</v>
      </c>
      <c r="L501" s="9">
        <v>43809</v>
      </c>
      <c r="N501" s="6">
        <v>11</v>
      </c>
      <c r="O501" s="6" t="s">
        <v>4284</v>
      </c>
      <c r="Q501" s="6">
        <v>40</v>
      </c>
      <c r="R501" s="6">
        <v>40</v>
      </c>
      <c r="S501" s="6">
        <v>50</v>
      </c>
      <c r="T501" s="10">
        <f t="shared" si="28"/>
        <v>45</v>
      </c>
      <c r="V501" s="8">
        <v>0.77729022994041475</v>
      </c>
      <c r="W501" s="8">
        <v>6.1750190401077258</v>
      </c>
      <c r="X501" s="8">
        <f t="shared" si="24"/>
        <v>-4.3302799415592119E-2</v>
      </c>
    </row>
    <row r="502" spans="1:25" x14ac:dyDescent="0.35">
      <c r="A502" s="6" t="s">
        <v>25</v>
      </c>
      <c r="B502" s="6" t="s">
        <v>784</v>
      </c>
      <c r="D502" s="6" t="s">
        <v>779</v>
      </c>
      <c r="E502" s="6">
        <v>1</v>
      </c>
      <c r="F502" s="6">
        <v>11</v>
      </c>
      <c r="G502" s="6" t="s">
        <v>179</v>
      </c>
      <c r="I502" s="8">
        <v>86.506581944444406</v>
      </c>
      <c r="J502" s="8">
        <v>120.985913333333</v>
      </c>
      <c r="K502" s="6" t="s">
        <v>29</v>
      </c>
      <c r="L502" s="9">
        <v>43809</v>
      </c>
      <c r="N502" s="6">
        <v>11</v>
      </c>
      <c r="O502" s="6" t="s">
        <v>4284</v>
      </c>
      <c r="Q502" s="6">
        <v>50</v>
      </c>
      <c r="R502" s="6">
        <v>50</v>
      </c>
      <c r="S502" s="6">
        <v>59</v>
      </c>
      <c r="T502" s="10">
        <f t="shared" si="28"/>
        <v>54.5</v>
      </c>
      <c r="V502" s="8">
        <v>0.5991727680802349</v>
      </c>
      <c r="W502" s="8">
        <v>5.9057204670906067</v>
      </c>
      <c r="X502" s="8">
        <f t="shared" si="24"/>
        <v>1.1123383224487275</v>
      </c>
    </row>
    <row r="503" spans="1:25" x14ac:dyDescent="0.35">
      <c r="A503" s="6" t="s">
        <v>25</v>
      </c>
      <c r="B503" s="6" t="s">
        <v>785</v>
      </c>
      <c r="D503" s="6" t="s">
        <v>779</v>
      </c>
      <c r="E503" s="6">
        <v>1</v>
      </c>
      <c r="F503" s="6">
        <v>11</v>
      </c>
      <c r="G503" s="6" t="s">
        <v>179</v>
      </c>
      <c r="I503" s="8">
        <v>86.506581944444406</v>
      </c>
      <c r="J503" s="8">
        <v>120.985913333333</v>
      </c>
      <c r="K503" s="6" t="s">
        <v>29</v>
      </c>
      <c r="L503" s="9">
        <v>43809</v>
      </c>
      <c r="N503" s="6">
        <v>11</v>
      </c>
      <c r="O503" s="6" t="s">
        <v>4284</v>
      </c>
      <c r="Q503" s="6">
        <v>59</v>
      </c>
      <c r="R503" s="6">
        <v>59</v>
      </c>
      <c r="S503" s="6">
        <v>68</v>
      </c>
      <c r="T503" s="10">
        <f t="shared" si="28"/>
        <v>63.5</v>
      </c>
      <c r="V503" s="8">
        <v>0.38140909583866556</v>
      </c>
      <c r="W503" s="8">
        <v>4.1348745708465575</v>
      </c>
      <c r="X503" s="8">
        <f t="shared" si="24"/>
        <v>1.0836018041372331</v>
      </c>
    </row>
    <row r="504" spans="1:25" x14ac:dyDescent="0.35">
      <c r="A504" s="6" t="s">
        <v>25</v>
      </c>
      <c r="B504" s="6" t="s">
        <v>3358</v>
      </c>
      <c r="D504" s="6" t="s">
        <v>3660</v>
      </c>
      <c r="E504" s="6">
        <v>1</v>
      </c>
      <c r="F504" s="6">
        <v>11</v>
      </c>
      <c r="G504" s="6" t="s">
        <v>3962</v>
      </c>
      <c r="I504" s="8">
        <v>86.506581944444406</v>
      </c>
      <c r="J504" s="8">
        <v>120.985913333333</v>
      </c>
      <c r="K504" s="7" t="s">
        <v>2610</v>
      </c>
      <c r="L504" s="9">
        <v>43809</v>
      </c>
      <c r="N504" s="6">
        <v>11</v>
      </c>
      <c r="O504" s="6" t="s">
        <v>4284</v>
      </c>
      <c r="V504" s="8">
        <v>-1.9421490469360354</v>
      </c>
      <c r="W504" s="8">
        <v>-13.912329730033875</v>
      </c>
      <c r="X504" s="27">
        <f t="shared" si="24"/>
        <v>1.6248626454544084</v>
      </c>
    </row>
    <row r="505" spans="1:25" x14ac:dyDescent="0.35">
      <c r="A505" s="6" t="s">
        <v>25</v>
      </c>
      <c r="B505" s="6" t="s">
        <v>3359</v>
      </c>
      <c r="D505" s="6" t="s">
        <v>3661</v>
      </c>
      <c r="E505" s="6">
        <v>1</v>
      </c>
      <c r="F505" s="6">
        <v>11</v>
      </c>
      <c r="G505" s="6" t="s">
        <v>3963</v>
      </c>
      <c r="I505" s="8">
        <v>86.574613194444396</v>
      </c>
      <c r="J505" s="8">
        <v>120.636066805556</v>
      </c>
      <c r="K505" s="7" t="s">
        <v>2610</v>
      </c>
      <c r="L505" s="9">
        <v>43810</v>
      </c>
      <c r="N505" s="6">
        <v>11</v>
      </c>
      <c r="O505" s="6" t="s">
        <v>4285</v>
      </c>
      <c r="V505" s="8">
        <v>-1.9638789551432927</v>
      </c>
      <c r="W505" s="8">
        <v>-14.583669677352905</v>
      </c>
      <c r="X505" s="27">
        <f t="shared" si="24"/>
        <v>1.1273619637934367</v>
      </c>
    </row>
    <row r="506" spans="1:25" x14ac:dyDescent="0.35">
      <c r="A506" s="6" t="s">
        <v>25</v>
      </c>
      <c r="B506" s="6" t="s">
        <v>2747</v>
      </c>
      <c r="D506" s="6" t="s">
        <v>3093</v>
      </c>
      <c r="E506" s="6">
        <v>1</v>
      </c>
      <c r="F506" s="6">
        <v>11</v>
      </c>
      <c r="G506" s="6" t="s">
        <v>3328</v>
      </c>
      <c r="I506" s="8">
        <v>86.574613194444396</v>
      </c>
      <c r="J506" s="8">
        <v>120.636066805556</v>
      </c>
      <c r="K506" s="6" t="s">
        <v>198</v>
      </c>
      <c r="L506" s="9">
        <v>43810</v>
      </c>
      <c r="M506" s="18">
        <v>0.44861111111111113</v>
      </c>
      <c r="N506" s="6">
        <v>11</v>
      </c>
      <c r="O506" s="6" t="s">
        <v>4285</v>
      </c>
      <c r="R506" s="6">
        <v>28</v>
      </c>
      <c r="S506" s="6">
        <v>25</v>
      </c>
      <c r="V506" s="8">
        <v>-18.627733026123046</v>
      </c>
      <c r="W506" s="8">
        <v>-128.54280505371094</v>
      </c>
      <c r="X506" s="8">
        <f t="shared" si="24"/>
        <v>20.479059155273433</v>
      </c>
      <c r="Y506" s="6" t="s">
        <v>3330</v>
      </c>
    </row>
    <row r="507" spans="1:25" x14ac:dyDescent="0.35">
      <c r="A507" s="6" t="s">
        <v>25</v>
      </c>
      <c r="B507" s="6" t="s">
        <v>2748</v>
      </c>
      <c r="D507" s="6" t="s">
        <v>3093</v>
      </c>
      <c r="E507" s="6">
        <v>1</v>
      </c>
      <c r="F507" s="6">
        <v>11</v>
      </c>
      <c r="G507" s="6" t="s">
        <v>3328</v>
      </c>
      <c r="I507" s="8">
        <v>86.574613194444396</v>
      </c>
      <c r="J507" s="8">
        <v>120.636066805556</v>
      </c>
      <c r="K507" s="6" t="s">
        <v>198</v>
      </c>
      <c r="L507" s="9">
        <v>43810</v>
      </c>
      <c r="M507" s="18">
        <v>0.44861111111111113</v>
      </c>
      <c r="N507" s="6">
        <v>11</v>
      </c>
      <c r="O507" s="6" t="s">
        <v>4285</v>
      </c>
      <c r="R507" s="6">
        <v>16</v>
      </c>
      <c r="S507" s="6">
        <v>13</v>
      </c>
      <c r="V507" s="8">
        <v>-7.8102645584106449</v>
      </c>
      <c r="W507" s="8">
        <v>-59.802426704406734</v>
      </c>
      <c r="X507" s="8">
        <f t="shared" si="24"/>
        <v>2.6796897628784251</v>
      </c>
      <c r="Y507" s="6" t="s">
        <v>3330</v>
      </c>
    </row>
    <row r="508" spans="1:25" x14ac:dyDescent="0.35">
      <c r="A508" s="6" t="s">
        <v>25</v>
      </c>
      <c r="B508" s="6" t="s">
        <v>2749</v>
      </c>
      <c r="D508" s="6" t="s">
        <v>3093</v>
      </c>
      <c r="E508" s="6">
        <v>1</v>
      </c>
      <c r="F508" s="6">
        <v>11</v>
      </c>
      <c r="G508" s="6" t="s">
        <v>3328</v>
      </c>
      <c r="I508" s="8">
        <v>86.574613194444396</v>
      </c>
      <c r="J508" s="8">
        <v>120.636066805556</v>
      </c>
      <c r="K508" s="6" t="s">
        <v>198</v>
      </c>
      <c r="L508" s="9">
        <v>43810</v>
      </c>
      <c r="M508" s="18">
        <v>0.44861111111111113</v>
      </c>
      <c r="N508" s="6">
        <v>11</v>
      </c>
      <c r="O508" s="6" t="s">
        <v>4285</v>
      </c>
      <c r="R508" s="6">
        <v>3</v>
      </c>
      <c r="S508" s="6">
        <v>0</v>
      </c>
      <c r="V508" s="8">
        <v>-3.4496731658935551</v>
      </c>
      <c r="W508" s="8">
        <v>-27.973326980590819</v>
      </c>
      <c r="X508" s="8">
        <f t="shared" si="24"/>
        <v>-0.37594165344237851</v>
      </c>
      <c r="Y508" s="6" t="s">
        <v>3330</v>
      </c>
    </row>
    <row r="509" spans="1:25" x14ac:dyDescent="0.35">
      <c r="A509" s="6" t="s">
        <v>25</v>
      </c>
      <c r="B509" s="7"/>
      <c r="C509" s="6">
        <v>511080</v>
      </c>
      <c r="D509" s="13" t="s">
        <v>3328</v>
      </c>
      <c r="E509" s="6">
        <v>1</v>
      </c>
      <c r="F509" s="6">
        <v>11</v>
      </c>
      <c r="G509" s="6" t="s">
        <v>179</v>
      </c>
      <c r="I509" s="8">
        <v>86.574613194444396</v>
      </c>
      <c r="J509" s="8">
        <v>120.636066805556</v>
      </c>
      <c r="K509" s="6" t="s">
        <v>198</v>
      </c>
      <c r="L509" s="9">
        <v>43810</v>
      </c>
      <c r="N509" s="6">
        <v>11</v>
      </c>
      <c r="O509" s="6" t="s">
        <v>4285</v>
      </c>
      <c r="Q509" s="6" t="s">
        <v>254</v>
      </c>
      <c r="R509" s="6">
        <v>0</v>
      </c>
      <c r="S509" s="6">
        <v>4.5</v>
      </c>
      <c r="T509" s="10">
        <f>AVERAGE(R509:S509)</f>
        <v>2.25</v>
      </c>
      <c r="V509" s="8">
        <v>-13.338752406883238</v>
      </c>
      <c r="W509" s="8">
        <v>-95.570869674682612</v>
      </c>
      <c r="X509" s="8">
        <f t="shared" si="24"/>
        <v>11.13914958038329</v>
      </c>
      <c r="Y509" s="6" t="s">
        <v>3330</v>
      </c>
    </row>
    <row r="510" spans="1:25" x14ac:dyDescent="0.35">
      <c r="A510" s="6" t="s">
        <v>25</v>
      </c>
      <c r="B510" s="7"/>
      <c r="C510" s="6">
        <v>511081</v>
      </c>
      <c r="D510" s="13" t="s">
        <v>3328</v>
      </c>
      <c r="E510" s="6">
        <v>1</v>
      </c>
      <c r="F510" s="6">
        <v>11</v>
      </c>
      <c r="G510" s="6" t="s">
        <v>179</v>
      </c>
      <c r="I510" s="8">
        <v>86.574613194444396</v>
      </c>
      <c r="J510" s="8">
        <v>120.636066805556</v>
      </c>
      <c r="K510" s="6" t="s">
        <v>198</v>
      </c>
      <c r="L510" s="9">
        <v>43810</v>
      </c>
      <c r="N510" s="6">
        <v>11</v>
      </c>
      <c r="O510" s="6" t="s">
        <v>4285</v>
      </c>
      <c r="Q510" s="6" t="s">
        <v>253</v>
      </c>
      <c r="R510" s="6">
        <v>4.5</v>
      </c>
      <c r="S510" s="6">
        <v>9</v>
      </c>
      <c r="T510" s="10">
        <f>AVERAGE(R510:S510)</f>
        <v>6.75</v>
      </c>
      <c r="V510" s="8">
        <v>-2.1332723725318914</v>
      </c>
      <c r="W510" s="8">
        <v>-24.393108444213865</v>
      </c>
      <c r="X510" s="8">
        <f t="shared" si="24"/>
        <v>-7.3269294639587343</v>
      </c>
      <c r="Y510" s="6" t="s">
        <v>3330</v>
      </c>
    </row>
    <row r="511" spans="1:25" x14ac:dyDescent="0.35">
      <c r="A511" s="6" t="s">
        <v>25</v>
      </c>
      <c r="B511" s="7" t="s">
        <v>786</v>
      </c>
      <c r="C511" s="6">
        <v>511109</v>
      </c>
      <c r="D511" s="6" t="s">
        <v>787</v>
      </c>
      <c r="E511" s="6">
        <v>1</v>
      </c>
      <c r="F511" s="6">
        <v>11</v>
      </c>
      <c r="I511" s="8">
        <v>86.597453888888893</v>
      </c>
      <c r="J511" s="8">
        <v>120.00289597222201</v>
      </c>
      <c r="K511" s="7" t="s">
        <v>2610</v>
      </c>
      <c r="L511" s="9">
        <v>43811</v>
      </c>
      <c r="N511" s="6">
        <v>11</v>
      </c>
      <c r="O511" s="6" t="s">
        <v>4286</v>
      </c>
      <c r="Q511" s="10">
        <v>200</v>
      </c>
      <c r="R511" s="10"/>
      <c r="S511" s="10">
        <v>200</v>
      </c>
      <c r="T511" s="10">
        <f>AVERAGE(R511:S511)</f>
        <v>200</v>
      </c>
      <c r="U511" s="11"/>
      <c r="V511" s="8">
        <v>-2.0572683525085451</v>
      </c>
      <c r="W511" s="8">
        <v>-14.418554840087891</v>
      </c>
      <c r="X511" s="8">
        <f t="shared" si="24"/>
        <v>2.0395919799804698</v>
      </c>
    </row>
    <row r="512" spans="1:25" x14ac:dyDescent="0.35">
      <c r="A512" s="6" t="s">
        <v>25</v>
      </c>
      <c r="B512" s="6" t="s">
        <v>3360</v>
      </c>
      <c r="D512" s="6" t="s">
        <v>3662</v>
      </c>
      <c r="E512" s="6">
        <v>1</v>
      </c>
      <c r="F512" s="6">
        <v>11</v>
      </c>
      <c r="G512" s="6" t="s">
        <v>3964</v>
      </c>
      <c r="I512" s="8">
        <v>86.597453888888893</v>
      </c>
      <c r="J512" s="8">
        <v>120.00289597222201</v>
      </c>
      <c r="K512" s="7" t="s">
        <v>2610</v>
      </c>
      <c r="L512" s="9">
        <v>43811</v>
      </c>
      <c r="N512" s="6">
        <v>11</v>
      </c>
      <c r="O512" s="6" t="s">
        <v>4286</v>
      </c>
      <c r="V512" s="8">
        <v>-2.0278967380523683</v>
      </c>
      <c r="W512" s="8">
        <v>-15.110337043762206</v>
      </c>
      <c r="X512" s="27">
        <f t="shared" si="24"/>
        <v>1.1128368606567403</v>
      </c>
    </row>
    <row r="513" spans="1:25" x14ac:dyDescent="0.35">
      <c r="A513" s="6" t="s">
        <v>25</v>
      </c>
      <c r="B513" s="6" t="s">
        <v>3361</v>
      </c>
      <c r="D513" s="6" t="s">
        <v>3663</v>
      </c>
      <c r="E513" s="6">
        <v>2</v>
      </c>
      <c r="F513" s="6">
        <v>15</v>
      </c>
      <c r="G513" s="6" t="s">
        <v>3965</v>
      </c>
      <c r="I513" s="8">
        <v>86.59570409722231</v>
      </c>
      <c r="J513" s="8">
        <v>119.14928437500004</v>
      </c>
      <c r="K513" s="7" t="s">
        <v>2610</v>
      </c>
      <c r="L513" s="9">
        <v>43812</v>
      </c>
      <c r="N513" s="6">
        <v>11</v>
      </c>
      <c r="O513" s="6" t="s">
        <v>4287</v>
      </c>
      <c r="V513" s="8">
        <v>-1.8975934023380279</v>
      </c>
      <c r="W513" s="8">
        <v>-14.093660750579833</v>
      </c>
      <c r="X513" s="27">
        <f t="shared" si="24"/>
        <v>1.0870864681243901</v>
      </c>
    </row>
    <row r="514" spans="1:25" x14ac:dyDescent="0.35">
      <c r="A514" s="6" t="s">
        <v>25</v>
      </c>
      <c r="B514" s="6" t="s">
        <v>3362</v>
      </c>
      <c r="D514" s="6" t="s">
        <v>3664</v>
      </c>
      <c r="E514" s="6">
        <v>2</v>
      </c>
      <c r="F514" s="6">
        <v>15</v>
      </c>
      <c r="G514" s="6" t="s">
        <v>3966</v>
      </c>
      <c r="I514" s="8">
        <v>86.612255138888884</v>
      </c>
      <c r="J514" s="8">
        <v>118.45260729166671</v>
      </c>
      <c r="K514" s="7" t="s">
        <v>2610</v>
      </c>
      <c r="L514" s="9">
        <v>43813</v>
      </c>
      <c r="N514" s="6">
        <v>11</v>
      </c>
      <c r="O514" s="6" t="s">
        <v>4288</v>
      </c>
      <c r="V514" s="8">
        <v>-1.965607577633858</v>
      </c>
      <c r="W514" s="8">
        <v>-13.404667716217041</v>
      </c>
      <c r="X514" s="27">
        <f t="shared" ref="X514:X577" si="29">W514-(8*V514)</f>
        <v>2.3201929048538226</v>
      </c>
    </row>
    <row r="515" spans="1:25" x14ac:dyDescent="0.35">
      <c r="A515" s="6" t="s">
        <v>25</v>
      </c>
      <c r="B515" s="6" t="s">
        <v>3363</v>
      </c>
      <c r="D515" s="6" t="s">
        <v>3665</v>
      </c>
      <c r="E515" s="6">
        <v>2</v>
      </c>
      <c r="F515" s="6">
        <v>16</v>
      </c>
      <c r="G515" s="6" t="s">
        <v>3967</v>
      </c>
      <c r="I515" s="8">
        <v>86.603676041666674</v>
      </c>
      <c r="J515" s="8">
        <v>116.4119077777778</v>
      </c>
      <c r="K515" s="7" t="s">
        <v>2610</v>
      </c>
      <c r="L515" s="9">
        <v>43815</v>
      </c>
      <c r="N515" s="6">
        <v>12</v>
      </c>
      <c r="O515" s="6" t="s">
        <v>4282</v>
      </c>
      <c r="V515" s="8">
        <v>-1.8472203628987076</v>
      </c>
      <c r="W515" s="8">
        <v>-14.061295371246338</v>
      </c>
      <c r="X515" s="27">
        <f t="shared" si="29"/>
        <v>0.71646753194332291</v>
      </c>
    </row>
    <row r="516" spans="1:25" x14ac:dyDescent="0.35">
      <c r="A516" s="6" t="s">
        <v>25</v>
      </c>
      <c r="B516" s="6" t="s">
        <v>3364</v>
      </c>
      <c r="D516" s="6" t="s">
        <v>3666</v>
      </c>
      <c r="E516" s="6">
        <v>2</v>
      </c>
      <c r="F516" s="6">
        <v>16</v>
      </c>
      <c r="G516" s="6" t="s">
        <v>3968</v>
      </c>
      <c r="I516" s="8">
        <v>86.62236</v>
      </c>
      <c r="J516" s="8">
        <v>114.79727099999999</v>
      </c>
      <c r="K516" s="7" t="s">
        <v>2610</v>
      </c>
      <c r="L516" s="9">
        <v>43816</v>
      </c>
      <c r="N516" s="6">
        <v>12</v>
      </c>
      <c r="O516" s="6" t="s">
        <v>4289</v>
      </c>
      <c r="V516" s="8">
        <v>-1.8386090628176928</v>
      </c>
      <c r="W516" s="8">
        <v>-12.915147212219239</v>
      </c>
      <c r="X516" s="27">
        <f t="shared" si="29"/>
        <v>1.7937252903223033</v>
      </c>
    </row>
    <row r="517" spans="1:25" x14ac:dyDescent="0.35">
      <c r="A517" s="6" t="s">
        <v>25</v>
      </c>
      <c r="B517" s="6" t="s">
        <v>2750</v>
      </c>
      <c r="D517" s="6" t="s">
        <v>3094</v>
      </c>
      <c r="E517" s="6">
        <v>2</v>
      </c>
      <c r="F517" s="6">
        <v>16</v>
      </c>
      <c r="G517" s="6" t="s">
        <v>3331</v>
      </c>
      <c r="I517" s="8">
        <v>86.62236</v>
      </c>
      <c r="J517" s="8">
        <v>114.79727099999999</v>
      </c>
      <c r="K517" s="6" t="s">
        <v>198</v>
      </c>
      <c r="L517" s="9">
        <v>43816</v>
      </c>
      <c r="M517" s="18">
        <v>0.2986111111111111</v>
      </c>
      <c r="N517" s="6">
        <v>12</v>
      </c>
      <c r="O517" s="6" t="s">
        <v>4289</v>
      </c>
      <c r="R517" s="6" t="s">
        <v>3175</v>
      </c>
      <c r="V517" s="8">
        <v>-19.068698419189452</v>
      </c>
      <c r="W517" s="8">
        <v>-132.7998265991211</v>
      </c>
      <c r="X517" s="8">
        <f t="shared" si="29"/>
        <v>19.749760754394515</v>
      </c>
      <c r="Y517" s="6" t="s">
        <v>3332</v>
      </c>
    </row>
    <row r="518" spans="1:25" x14ac:dyDescent="0.35">
      <c r="A518" s="6" t="s">
        <v>25</v>
      </c>
      <c r="B518" s="6" t="s">
        <v>2751</v>
      </c>
      <c r="D518" s="6" t="s">
        <v>3094</v>
      </c>
      <c r="E518" s="6">
        <v>2</v>
      </c>
      <c r="F518" s="6">
        <v>16</v>
      </c>
      <c r="G518" s="6" t="s">
        <v>3331</v>
      </c>
      <c r="I518" s="8">
        <v>86.62236</v>
      </c>
      <c r="J518" s="8">
        <v>114.79727099999999</v>
      </c>
      <c r="K518" s="6" t="s">
        <v>198</v>
      </c>
      <c r="L518" s="9">
        <v>43816</v>
      </c>
      <c r="M518" s="18">
        <v>0.2986111111111111</v>
      </c>
      <c r="N518" s="6">
        <v>12</v>
      </c>
      <c r="O518" s="6" t="s">
        <v>4289</v>
      </c>
      <c r="R518" s="6" t="s">
        <v>3176</v>
      </c>
      <c r="V518" s="8">
        <v>-7.7988490768432621</v>
      </c>
      <c r="W518" s="8">
        <v>-64.972922073364259</v>
      </c>
      <c r="X518" s="8">
        <f t="shared" si="29"/>
        <v>-2.5821294586181622</v>
      </c>
      <c r="Y518" s="6" t="s">
        <v>3332</v>
      </c>
    </row>
    <row r="519" spans="1:25" x14ac:dyDescent="0.35">
      <c r="A519" s="6" t="s">
        <v>25</v>
      </c>
      <c r="B519" s="6" t="s">
        <v>2752</v>
      </c>
      <c r="D519" s="6" t="s">
        <v>3094</v>
      </c>
      <c r="E519" s="6">
        <v>2</v>
      </c>
      <c r="F519" s="6">
        <v>16</v>
      </c>
      <c r="G519" s="6" t="s">
        <v>3331</v>
      </c>
      <c r="I519" s="8">
        <v>86.62236</v>
      </c>
      <c r="J519" s="8">
        <v>114.79727099999999</v>
      </c>
      <c r="K519" s="6" t="s">
        <v>198</v>
      </c>
      <c r="L519" s="9">
        <v>43816</v>
      </c>
      <c r="M519" s="18">
        <v>0.2986111111111111</v>
      </c>
      <c r="N519" s="6">
        <v>12</v>
      </c>
      <c r="O519" s="6" t="s">
        <v>4289</v>
      </c>
      <c r="R519" s="6" t="s">
        <v>3177</v>
      </c>
      <c r="V519" s="8">
        <v>-2.8635742240905766</v>
      </c>
      <c r="W519" s="8">
        <v>-24.076604480743409</v>
      </c>
      <c r="X519" s="8">
        <f t="shared" si="29"/>
        <v>-1.1680106880187964</v>
      </c>
      <c r="Y519" s="6" t="s">
        <v>3332</v>
      </c>
    </row>
    <row r="520" spans="1:25" x14ac:dyDescent="0.35">
      <c r="A520" s="6" t="s">
        <v>25</v>
      </c>
      <c r="B520" s="6" t="s">
        <v>3365</v>
      </c>
      <c r="D520" s="6" t="s">
        <v>3667</v>
      </c>
      <c r="E520" s="6">
        <v>2</v>
      </c>
      <c r="F520" s="6">
        <v>16</v>
      </c>
      <c r="G520" s="6" t="s">
        <v>3969</v>
      </c>
      <c r="I520" s="8">
        <v>86.678626180555568</v>
      </c>
      <c r="J520" s="8">
        <v>112.9530779166667</v>
      </c>
      <c r="K520" s="7" t="s">
        <v>2610</v>
      </c>
      <c r="L520" s="9">
        <v>43818</v>
      </c>
      <c r="N520" s="6">
        <v>12</v>
      </c>
      <c r="O520" s="6" t="s">
        <v>4290</v>
      </c>
      <c r="V520" s="8">
        <v>-2.0019488447129725</v>
      </c>
      <c r="W520" s="8">
        <v>-14.999225226593017</v>
      </c>
      <c r="X520" s="27">
        <f t="shared" si="29"/>
        <v>1.0163655311107629</v>
      </c>
    </row>
    <row r="521" spans="1:25" x14ac:dyDescent="0.35">
      <c r="A521" s="6" t="s">
        <v>25</v>
      </c>
      <c r="B521" s="6" t="s">
        <v>3366</v>
      </c>
      <c r="D521" s="6" t="s">
        <v>3668</v>
      </c>
      <c r="E521" s="6">
        <v>2</v>
      </c>
      <c r="F521" s="6">
        <v>16</v>
      </c>
      <c r="G521" s="6" t="s">
        <v>3970</v>
      </c>
      <c r="I521" s="8">
        <v>86.681091180555555</v>
      </c>
      <c r="J521" s="8">
        <v>112.58062798611111</v>
      </c>
      <c r="K521" s="7" t="s">
        <v>2610</v>
      </c>
      <c r="L521" s="9">
        <v>43819</v>
      </c>
      <c r="N521" s="6">
        <v>12</v>
      </c>
      <c r="O521" s="6" t="s">
        <v>4291</v>
      </c>
      <c r="V521" s="8">
        <v>-2.0165179729461671</v>
      </c>
      <c r="W521" s="8">
        <v>-15.469012825012207</v>
      </c>
      <c r="X521" s="27">
        <f t="shared" si="29"/>
        <v>0.66313095855712945</v>
      </c>
    </row>
    <row r="522" spans="1:25" x14ac:dyDescent="0.35">
      <c r="A522" s="6" t="s">
        <v>25</v>
      </c>
      <c r="B522" s="6" t="s">
        <v>3367</v>
      </c>
      <c r="D522" s="6" t="s">
        <v>3669</v>
      </c>
      <c r="E522" s="6">
        <v>2</v>
      </c>
      <c r="F522" s="6">
        <v>16</v>
      </c>
      <c r="G522" s="6" t="s">
        <v>3971</v>
      </c>
      <c r="I522" s="8">
        <v>86.686639999999969</v>
      </c>
      <c r="J522" s="8">
        <v>112.41749388888887</v>
      </c>
      <c r="K522" s="7" t="s">
        <v>2610</v>
      </c>
      <c r="L522" s="9">
        <v>43820</v>
      </c>
      <c r="N522" s="6">
        <v>12</v>
      </c>
      <c r="O522" s="6" t="s">
        <v>4292</v>
      </c>
      <c r="V522" s="8">
        <v>-2.0532098770141602</v>
      </c>
      <c r="W522" s="8">
        <v>-15.396684509277343</v>
      </c>
      <c r="X522" s="27">
        <f t="shared" si="29"/>
        <v>1.0289945068359394</v>
      </c>
    </row>
    <row r="523" spans="1:25" x14ac:dyDescent="0.35">
      <c r="A523" s="6" t="s">
        <v>25</v>
      </c>
      <c r="B523" s="6" t="s">
        <v>3368</v>
      </c>
      <c r="D523" s="6" t="s">
        <v>3670</v>
      </c>
      <c r="E523" s="6">
        <v>2</v>
      </c>
      <c r="F523" s="6">
        <v>16</v>
      </c>
      <c r="G523" s="6" t="s">
        <v>3972</v>
      </c>
      <c r="I523" s="8">
        <v>86.670797152777766</v>
      </c>
      <c r="J523" s="8">
        <v>112.65805791666659</v>
      </c>
      <c r="K523" s="7" t="s">
        <v>2610</v>
      </c>
      <c r="L523" s="9">
        <v>43821</v>
      </c>
      <c r="N523" s="6">
        <v>13</v>
      </c>
      <c r="O523" s="6" t="s">
        <v>4293</v>
      </c>
      <c r="V523" s="8">
        <v>-2.0104722270190716</v>
      </c>
      <c r="W523" s="8">
        <v>-14.461201277923582</v>
      </c>
      <c r="X523" s="27">
        <f t="shared" si="29"/>
        <v>1.6225765382289907</v>
      </c>
    </row>
    <row r="524" spans="1:25" x14ac:dyDescent="0.35">
      <c r="A524" s="6" t="s">
        <v>25</v>
      </c>
      <c r="B524" s="6" t="s">
        <v>788</v>
      </c>
      <c r="D524" s="6" t="s">
        <v>789</v>
      </c>
      <c r="E524" s="6">
        <v>2</v>
      </c>
      <c r="F524" s="6">
        <v>17</v>
      </c>
      <c r="G524" s="6" t="s">
        <v>202</v>
      </c>
      <c r="I524" s="8">
        <v>86.641082222222195</v>
      </c>
      <c r="J524" s="8">
        <v>113.166453680556</v>
      </c>
      <c r="K524" s="6" t="s">
        <v>29</v>
      </c>
      <c r="L524" s="9">
        <v>43822</v>
      </c>
      <c r="N524" s="6">
        <v>13</v>
      </c>
      <c r="O524" s="6" t="s">
        <v>4294</v>
      </c>
      <c r="Q524" s="6">
        <v>0</v>
      </c>
      <c r="R524" s="6">
        <v>0</v>
      </c>
      <c r="S524" s="6">
        <v>10</v>
      </c>
      <c r="T524" s="10">
        <f t="shared" ref="T524:T536" si="30">AVERAGE(R524:S524)</f>
        <v>5</v>
      </c>
      <c r="V524" s="8">
        <v>-3.4426701181888579</v>
      </c>
      <c r="W524" s="8">
        <v>-28.229901266098022</v>
      </c>
      <c r="X524" s="8">
        <f t="shared" si="29"/>
        <v>-0.68854032058715831</v>
      </c>
    </row>
    <row r="525" spans="1:25" x14ac:dyDescent="0.35">
      <c r="A525" s="6" t="s">
        <v>25</v>
      </c>
      <c r="B525" s="6" t="s">
        <v>790</v>
      </c>
      <c r="D525" s="6" t="s">
        <v>789</v>
      </c>
      <c r="E525" s="6">
        <v>2</v>
      </c>
      <c r="F525" s="6">
        <v>17</v>
      </c>
      <c r="G525" s="6" t="s">
        <v>202</v>
      </c>
      <c r="I525" s="8">
        <v>86.641082222222195</v>
      </c>
      <c r="J525" s="8">
        <v>113.166453680556</v>
      </c>
      <c r="K525" s="6" t="s">
        <v>29</v>
      </c>
      <c r="L525" s="9">
        <v>43822</v>
      </c>
      <c r="N525" s="6">
        <v>13</v>
      </c>
      <c r="O525" s="6" t="s">
        <v>4294</v>
      </c>
      <c r="Q525" s="6">
        <v>10</v>
      </c>
      <c r="R525" s="6">
        <v>10</v>
      </c>
      <c r="S525" s="6">
        <v>20</v>
      </c>
      <c r="T525" s="10">
        <f t="shared" si="30"/>
        <v>15</v>
      </c>
      <c r="V525" s="8">
        <v>-0.28242439437508554</v>
      </c>
      <c r="W525" s="8">
        <v>-2.1347481787204745</v>
      </c>
      <c r="X525" s="8">
        <f t="shared" si="29"/>
        <v>0.12464697628020982</v>
      </c>
    </row>
    <row r="526" spans="1:25" x14ac:dyDescent="0.35">
      <c r="A526" s="6" t="s">
        <v>25</v>
      </c>
      <c r="B526" s="6" t="s">
        <v>791</v>
      </c>
      <c r="D526" s="6" t="s">
        <v>789</v>
      </c>
      <c r="E526" s="6">
        <v>2</v>
      </c>
      <c r="F526" s="6">
        <v>17</v>
      </c>
      <c r="G526" s="6" t="s">
        <v>202</v>
      </c>
      <c r="I526" s="8">
        <v>86.641082222222195</v>
      </c>
      <c r="J526" s="8">
        <v>113.166453680556</v>
      </c>
      <c r="K526" s="6" t="s">
        <v>29</v>
      </c>
      <c r="L526" s="9">
        <v>43822</v>
      </c>
      <c r="N526" s="6">
        <v>13</v>
      </c>
      <c r="O526" s="6" t="s">
        <v>4294</v>
      </c>
      <c r="Q526" s="6">
        <v>20</v>
      </c>
      <c r="R526" s="6">
        <v>20</v>
      </c>
      <c r="S526" s="6">
        <v>30</v>
      </c>
      <c r="T526" s="10">
        <f t="shared" si="30"/>
        <v>25</v>
      </c>
      <c r="V526" s="8">
        <v>1.082240750575066</v>
      </c>
      <c r="W526" s="8">
        <v>8.6817071199417111</v>
      </c>
      <c r="X526" s="8">
        <f t="shared" si="29"/>
        <v>2.3781115341183323E-2</v>
      </c>
    </row>
    <row r="527" spans="1:25" x14ac:dyDescent="0.35">
      <c r="A527" s="6" t="s">
        <v>25</v>
      </c>
      <c r="B527" s="6" t="s">
        <v>792</v>
      </c>
      <c r="D527" s="6" t="s">
        <v>789</v>
      </c>
      <c r="E527" s="6">
        <v>2</v>
      </c>
      <c r="F527" s="6">
        <v>17</v>
      </c>
      <c r="G527" s="6" t="s">
        <v>202</v>
      </c>
      <c r="I527" s="8">
        <v>86.641082222222195</v>
      </c>
      <c r="J527" s="8">
        <v>113.166453680556</v>
      </c>
      <c r="K527" s="6" t="s">
        <v>29</v>
      </c>
      <c r="L527" s="9">
        <v>43822</v>
      </c>
      <c r="N527" s="6">
        <v>13</v>
      </c>
      <c r="O527" s="6" t="s">
        <v>4294</v>
      </c>
      <c r="Q527" s="6">
        <v>30</v>
      </c>
      <c r="R527" s="6">
        <v>30</v>
      </c>
      <c r="S527" s="6">
        <v>40</v>
      </c>
      <c r="T527" s="10">
        <f t="shared" si="30"/>
        <v>35</v>
      </c>
      <c r="V527" s="8">
        <v>0.89594497134685513</v>
      </c>
      <c r="W527" s="8">
        <v>7.4317361354827884</v>
      </c>
      <c r="X527" s="8">
        <f t="shared" si="29"/>
        <v>0.26417636470794736</v>
      </c>
    </row>
    <row r="528" spans="1:25" x14ac:dyDescent="0.35">
      <c r="A528" s="6" t="s">
        <v>25</v>
      </c>
      <c r="B528" s="6" t="s">
        <v>793</v>
      </c>
      <c r="D528" s="6" t="s">
        <v>789</v>
      </c>
      <c r="E528" s="6">
        <v>2</v>
      </c>
      <c r="F528" s="6">
        <v>17</v>
      </c>
      <c r="G528" s="6" t="s">
        <v>202</v>
      </c>
      <c r="I528" s="8">
        <v>86.641082222222195</v>
      </c>
      <c r="J528" s="8">
        <v>113.166453680556</v>
      </c>
      <c r="K528" s="6" t="s">
        <v>29</v>
      </c>
      <c r="L528" s="9">
        <v>43822</v>
      </c>
      <c r="N528" s="6">
        <v>13</v>
      </c>
      <c r="O528" s="6" t="s">
        <v>4294</v>
      </c>
      <c r="Q528" s="6">
        <v>40</v>
      </c>
      <c r="R528" s="6">
        <v>40</v>
      </c>
      <c r="S528" s="6">
        <v>50</v>
      </c>
      <c r="T528" s="10">
        <f t="shared" si="30"/>
        <v>45</v>
      </c>
      <c r="V528" s="8">
        <v>0.85815704276561722</v>
      </c>
      <c r="W528" s="8">
        <v>6.5551593661308294</v>
      </c>
      <c r="X528" s="8">
        <f t="shared" si="29"/>
        <v>-0.31009697599410835</v>
      </c>
    </row>
    <row r="529" spans="1:24" x14ac:dyDescent="0.35">
      <c r="A529" s="6" t="s">
        <v>25</v>
      </c>
      <c r="B529" s="6" t="s">
        <v>794</v>
      </c>
      <c r="D529" s="6" t="s">
        <v>789</v>
      </c>
      <c r="E529" s="6">
        <v>2</v>
      </c>
      <c r="F529" s="6">
        <v>17</v>
      </c>
      <c r="G529" s="6" t="s">
        <v>202</v>
      </c>
      <c r="I529" s="8">
        <v>86.641082222222195</v>
      </c>
      <c r="J529" s="8">
        <v>113.166453680556</v>
      </c>
      <c r="K529" s="6" t="s">
        <v>29</v>
      </c>
      <c r="L529" s="9">
        <v>43822</v>
      </c>
      <c r="N529" s="6">
        <v>13</v>
      </c>
      <c r="O529" s="6" t="s">
        <v>4294</v>
      </c>
      <c r="Q529" s="6">
        <v>50</v>
      </c>
      <c r="R529" s="6">
        <v>50</v>
      </c>
      <c r="S529" s="6">
        <v>60</v>
      </c>
      <c r="T529" s="10">
        <f t="shared" si="30"/>
        <v>55</v>
      </c>
      <c r="V529" s="8">
        <v>0.71503125777244603</v>
      </c>
      <c r="W529" s="8">
        <v>5.8470626592636128</v>
      </c>
      <c r="X529" s="8">
        <f t="shared" si="29"/>
        <v>0.12681259708404458</v>
      </c>
    </row>
    <row r="530" spans="1:24" x14ac:dyDescent="0.35">
      <c r="A530" s="6" t="s">
        <v>25</v>
      </c>
      <c r="B530" s="6" t="s">
        <v>795</v>
      </c>
      <c r="D530" s="6" t="s">
        <v>789</v>
      </c>
      <c r="E530" s="6">
        <v>2</v>
      </c>
      <c r="F530" s="6">
        <v>17</v>
      </c>
      <c r="G530" s="6" t="s">
        <v>272</v>
      </c>
      <c r="I530" s="8">
        <v>86.641082222222195</v>
      </c>
      <c r="J530" s="8">
        <v>113.166453680556</v>
      </c>
      <c r="K530" s="6" t="s">
        <v>29</v>
      </c>
      <c r="L530" s="9">
        <v>43822</v>
      </c>
      <c r="N530" s="6">
        <v>13</v>
      </c>
      <c r="O530" s="6" t="s">
        <v>4294</v>
      </c>
      <c r="Q530" s="6">
        <v>0</v>
      </c>
      <c r="R530" s="6">
        <v>0</v>
      </c>
      <c r="S530" s="6">
        <v>10</v>
      </c>
      <c r="T530" s="10">
        <f t="shared" si="30"/>
        <v>5</v>
      </c>
      <c r="V530" s="8">
        <v>-7.9361170722007737</v>
      </c>
      <c r="W530" s="8">
        <v>-62.25497217178345</v>
      </c>
      <c r="X530" s="8">
        <f t="shared" si="29"/>
        <v>1.2339644058227393</v>
      </c>
    </row>
    <row r="531" spans="1:24" x14ac:dyDescent="0.35">
      <c r="A531" s="6" t="s">
        <v>25</v>
      </c>
      <c r="B531" s="6" t="s">
        <v>796</v>
      </c>
      <c r="D531" s="6" t="s">
        <v>789</v>
      </c>
      <c r="E531" s="6">
        <v>2</v>
      </c>
      <c r="F531" s="6">
        <v>17</v>
      </c>
      <c r="G531" s="6" t="s">
        <v>272</v>
      </c>
      <c r="I531" s="8">
        <v>86.641082222222195</v>
      </c>
      <c r="J531" s="8">
        <v>113.166453680556</v>
      </c>
      <c r="K531" s="6" t="s">
        <v>29</v>
      </c>
      <c r="L531" s="9">
        <v>43822</v>
      </c>
      <c r="N531" s="6">
        <v>13</v>
      </c>
      <c r="O531" s="6" t="s">
        <v>4294</v>
      </c>
      <c r="Q531" s="6">
        <v>10</v>
      </c>
      <c r="R531" s="6">
        <v>10</v>
      </c>
      <c r="S531" s="6">
        <v>20</v>
      </c>
      <c r="T531" s="10">
        <f t="shared" si="30"/>
        <v>15</v>
      </c>
      <c r="V531" s="8">
        <v>-4.179701880073547</v>
      </c>
      <c r="W531" s="8">
        <v>-32.985706043243404</v>
      </c>
      <c r="X531" s="8">
        <f t="shared" si="29"/>
        <v>0.45190899734497236</v>
      </c>
    </row>
    <row r="532" spans="1:24" x14ac:dyDescent="0.35">
      <c r="A532" s="6" t="s">
        <v>25</v>
      </c>
      <c r="B532" s="6" t="s">
        <v>797</v>
      </c>
      <c r="D532" s="6" t="s">
        <v>789</v>
      </c>
      <c r="E532" s="6">
        <v>2</v>
      </c>
      <c r="F532" s="6">
        <v>17</v>
      </c>
      <c r="G532" s="6" t="s">
        <v>272</v>
      </c>
      <c r="I532" s="8">
        <v>86.641082222222195</v>
      </c>
      <c r="J532" s="8">
        <v>113.166453680556</v>
      </c>
      <c r="K532" s="6" t="s">
        <v>29</v>
      </c>
      <c r="L532" s="9">
        <v>43822</v>
      </c>
      <c r="N532" s="6">
        <v>13</v>
      </c>
      <c r="O532" s="6" t="s">
        <v>4294</v>
      </c>
      <c r="Q532" s="6">
        <v>20</v>
      </c>
      <c r="R532" s="6">
        <v>20</v>
      </c>
      <c r="S532" s="6">
        <v>30</v>
      </c>
      <c r="T532" s="10">
        <f t="shared" si="30"/>
        <v>25</v>
      </c>
      <c r="V532" s="8">
        <v>-5.4898640299797075</v>
      </c>
      <c r="W532" s="8">
        <v>-42.25164270401001</v>
      </c>
      <c r="X532" s="8">
        <f t="shared" si="29"/>
        <v>1.6672695358276499</v>
      </c>
    </row>
    <row r="533" spans="1:24" x14ac:dyDescent="0.35">
      <c r="A533" s="6" t="s">
        <v>25</v>
      </c>
      <c r="B533" s="6" t="s">
        <v>798</v>
      </c>
      <c r="D533" s="6" t="s">
        <v>789</v>
      </c>
      <c r="E533" s="6">
        <v>2</v>
      </c>
      <c r="F533" s="6">
        <v>17</v>
      </c>
      <c r="G533" s="6" t="s">
        <v>272</v>
      </c>
      <c r="I533" s="8">
        <v>86.641082222222195</v>
      </c>
      <c r="J533" s="8">
        <v>113.166453680556</v>
      </c>
      <c r="K533" s="6" t="s">
        <v>29</v>
      </c>
      <c r="L533" s="9">
        <v>43822</v>
      </c>
      <c r="N533" s="6">
        <v>13</v>
      </c>
      <c r="O533" s="6" t="s">
        <v>4294</v>
      </c>
      <c r="Q533" s="6">
        <v>30</v>
      </c>
      <c r="R533" s="6">
        <v>30</v>
      </c>
      <c r="S533" s="6">
        <v>40</v>
      </c>
      <c r="T533" s="10">
        <f t="shared" si="30"/>
        <v>35</v>
      </c>
      <c r="V533" s="8">
        <v>-4.8376169301033025</v>
      </c>
      <c r="W533" s="8">
        <v>-37.646933841705327</v>
      </c>
      <c r="X533" s="8">
        <f t="shared" si="29"/>
        <v>1.0540015991210936</v>
      </c>
    </row>
    <row r="534" spans="1:24" x14ac:dyDescent="0.35">
      <c r="A534" s="6" t="s">
        <v>25</v>
      </c>
      <c r="B534" s="6" t="s">
        <v>799</v>
      </c>
      <c r="D534" s="6" t="s">
        <v>789</v>
      </c>
      <c r="E534" s="6">
        <v>2</v>
      </c>
      <c r="F534" s="6">
        <v>17</v>
      </c>
      <c r="G534" s="6" t="s">
        <v>272</v>
      </c>
      <c r="I534" s="8">
        <v>86.641082222222195</v>
      </c>
      <c r="J534" s="8">
        <v>113.166453680556</v>
      </c>
      <c r="K534" s="6" t="s">
        <v>29</v>
      </c>
      <c r="L534" s="9">
        <v>43822</v>
      </c>
      <c r="N534" s="6">
        <v>13</v>
      </c>
      <c r="O534" s="6" t="s">
        <v>4294</v>
      </c>
      <c r="Q534" s="6">
        <v>40</v>
      </c>
      <c r="R534" s="6">
        <v>40</v>
      </c>
      <c r="S534" s="6">
        <v>50</v>
      </c>
      <c r="T534" s="10">
        <f t="shared" si="30"/>
        <v>45</v>
      </c>
      <c r="V534" s="8">
        <v>0.62047368615865706</v>
      </c>
      <c r="W534" s="8">
        <v>5.3707594223022461</v>
      </c>
      <c r="X534" s="8">
        <f t="shared" si="29"/>
        <v>0.40696993303298967</v>
      </c>
    </row>
    <row r="535" spans="1:24" x14ac:dyDescent="0.35">
      <c r="A535" s="6" t="s">
        <v>25</v>
      </c>
      <c r="B535" s="6" t="s">
        <v>800</v>
      </c>
      <c r="D535" s="6" t="s">
        <v>789</v>
      </c>
      <c r="E535" s="6">
        <v>2</v>
      </c>
      <c r="F535" s="6">
        <v>17</v>
      </c>
      <c r="G535" s="6" t="s">
        <v>272</v>
      </c>
      <c r="I535" s="8">
        <v>86.641082222222195</v>
      </c>
      <c r="J535" s="8">
        <v>113.166453680556</v>
      </c>
      <c r="K535" s="6" t="s">
        <v>29</v>
      </c>
      <c r="L535" s="9">
        <v>43822</v>
      </c>
      <c r="N535" s="6">
        <v>13</v>
      </c>
      <c r="O535" s="6" t="s">
        <v>4294</v>
      </c>
      <c r="Q535" s="6">
        <v>50</v>
      </c>
      <c r="R535" s="6">
        <v>50</v>
      </c>
      <c r="S535" s="6">
        <v>60</v>
      </c>
      <c r="T535" s="10">
        <f t="shared" si="30"/>
        <v>55</v>
      </c>
      <c r="V535" s="8">
        <v>0.75570721763372406</v>
      </c>
      <c r="W535" s="8">
        <v>6.6648044948577878</v>
      </c>
      <c r="X535" s="8">
        <f t="shared" si="29"/>
        <v>0.61914675378799533</v>
      </c>
    </row>
    <row r="536" spans="1:24" x14ac:dyDescent="0.35">
      <c r="A536" s="6" t="s">
        <v>25</v>
      </c>
      <c r="B536" s="6" t="s">
        <v>801</v>
      </c>
      <c r="D536" s="6" t="s">
        <v>789</v>
      </c>
      <c r="E536" s="6">
        <v>2</v>
      </c>
      <c r="F536" s="6">
        <v>17</v>
      </c>
      <c r="G536" s="6" t="s">
        <v>272</v>
      </c>
      <c r="I536" s="8">
        <v>86.641082222222195</v>
      </c>
      <c r="J536" s="8">
        <v>113.166453680556</v>
      </c>
      <c r="K536" s="6" t="s">
        <v>29</v>
      </c>
      <c r="L536" s="9">
        <v>43822</v>
      </c>
      <c r="N536" s="6">
        <v>13</v>
      </c>
      <c r="O536" s="6" t="s">
        <v>4294</v>
      </c>
      <c r="Q536" s="6">
        <v>60</v>
      </c>
      <c r="R536" s="6">
        <v>60</v>
      </c>
      <c r="S536" s="6">
        <v>70</v>
      </c>
      <c r="T536" s="10">
        <f t="shared" si="30"/>
        <v>65</v>
      </c>
      <c r="V536" s="8">
        <v>0.62928481143712967</v>
      </c>
      <c r="W536" s="8">
        <v>5.349043605804443</v>
      </c>
      <c r="X536" s="8">
        <f t="shared" si="29"/>
        <v>0.31476511430740572</v>
      </c>
    </row>
    <row r="537" spans="1:24" x14ac:dyDescent="0.35">
      <c r="A537" s="6" t="s">
        <v>25</v>
      </c>
      <c r="B537" s="6" t="s">
        <v>3369</v>
      </c>
      <c r="D537" s="6" t="s">
        <v>3671</v>
      </c>
      <c r="E537" s="6">
        <v>2</v>
      </c>
      <c r="F537" s="6">
        <v>17</v>
      </c>
      <c r="G537" s="6" t="s">
        <v>3973</v>
      </c>
      <c r="I537" s="8">
        <v>86.641399000000007</v>
      </c>
      <c r="J537" s="8">
        <v>113.14702800000001</v>
      </c>
      <c r="K537" s="7" t="s">
        <v>2610</v>
      </c>
      <c r="L537" s="9">
        <v>43822</v>
      </c>
      <c r="N537" s="6">
        <v>13</v>
      </c>
      <c r="O537" s="6" t="s">
        <v>4294</v>
      </c>
      <c r="V537" s="8">
        <v>-1.8914916284203533</v>
      </c>
      <c r="W537" s="8">
        <v>-13.503481745910644</v>
      </c>
      <c r="X537" s="27">
        <f t="shared" si="29"/>
        <v>1.6284512814521825</v>
      </c>
    </row>
    <row r="538" spans="1:24" x14ac:dyDescent="0.35">
      <c r="A538" s="6" t="s">
        <v>25</v>
      </c>
      <c r="B538" s="6" t="s">
        <v>2753</v>
      </c>
      <c r="D538" s="6" t="s">
        <v>3095</v>
      </c>
      <c r="E538" s="6">
        <v>2</v>
      </c>
      <c r="F538" s="6">
        <v>17</v>
      </c>
      <c r="G538" s="6" t="s">
        <v>3222</v>
      </c>
      <c r="I538" s="8">
        <v>86.641399000000007</v>
      </c>
      <c r="J538" s="8">
        <v>113.14702800000001</v>
      </c>
      <c r="K538" s="6" t="s">
        <v>198</v>
      </c>
      <c r="L538" s="9">
        <v>43822</v>
      </c>
      <c r="M538" s="18">
        <v>0.45694444444444443</v>
      </c>
      <c r="N538" s="6">
        <v>13</v>
      </c>
      <c r="O538" s="6" t="s">
        <v>4294</v>
      </c>
      <c r="R538" s="6">
        <v>8.5</v>
      </c>
      <c r="V538" s="8">
        <v>-24.165646051025387</v>
      </c>
      <c r="W538" s="8">
        <v>-172.34044558715817</v>
      </c>
      <c r="X538" s="8">
        <f t="shared" si="29"/>
        <v>20.984722821044926</v>
      </c>
    </row>
    <row r="539" spans="1:24" x14ac:dyDescent="0.35">
      <c r="A539" s="6" t="s">
        <v>25</v>
      </c>
      <c r="B539" s="6" t="s">
        <v>2754</v>
      </c>
      <c r="D539" s="6" t="s">
        <v>3095</v>
      </c>
      <c r="E539" s="6">
        <v>2</v>
      </c>
      <c r="F539" s="6">
        <v>17</v>
      </c>
      <c r="G539" s="6" t="s">
        <v>3222</v>
      </c>
      <c r="I539" s="8">
        <v>86.641399000000007</v>
      </c>
      <c r="J539" s="8">
        <v>113.14702800000001</v>
      </c>
      <c r="K539" s="6" t="s">
        <v>198</v>
      </c>
      <c r="L539" s="9">
        <v>43822</v>
      </c>
      <c r="M539" s="18">
        <v>0.45694444444444443</v>
      </c>
      <c r="N539" s="6">
        <v>13</v>
      </c>
      <c r="O539" s="6" t="s">
        <v>4294</v>
      </c>
      <c r="V539" s="8">
        <v>-10.932094995117186</v>
      </c>
      <c r="W539" s="8">
        <v>-79.470593124389652</v>
      </c>
      <c r="X539" s="8">
        <f t="shared" si="29"/>
        <v>7.986166836547838</v>
      </c>
    </row>
    <row r="540" spans="1:24" x14ac:dyDescent="0.35">
      <c r="A540" s="6" t="s">
        <v>25</v>
      </c>
      <c r="B540" s="6" t="s">
        <v>2755</v>
      </c>
      <c r="D540" s="6" t="s">
        <v>3095</v>
      </c>
      <c r="E540" s="6">
        <v>2</v>
      </c>
      <c r="F540" s="6">
        <v>17</v>
      </c>
      <c r="G540" s="6" t="s">
        <v>3222</v>
      </c>
      <c r="I540" s="8">
        <v>86.641399000000007</v>
      </c>
      <c r="J540" s="8">
        <v>113.14702800000001</v>
      </c>
      <c r="K540" s="6" t="s">
        <v>198</v>
      </c>
      <c r="L540" s="9">
        <v>43822</v>
      </c>
      <c r="M540" s="18">
        <v>0.45694444444444443</v>
      </c>
      <c r="N540" s="6">
        <v>13</v>
      </c>
      <c r="O540" s="6" t="s">
        <v>4294</v>
      </c>
      <c r="V540" s="8">
        <v>-4.4664287200927735</v>
      </c>
      <c r="W540" s="8">
        <v>-45.856651161193852</v>
      </c>
      <c r="X540" s="8">
        <f t="shared" si="29"/>
        <v>-10.125221400451665</v>
      </c>
    </row>
    <row r="541" spans="1:24" x14ac:dyDescent="0.35">
      <c r="A541" s="6" t="s">
        <v>25</v>
      </c>
      <c r="B541" s="7"/>
      <c r="D541" s="6" t="s">
        <v>802</v>
      </c>
      <c r="E541" s="6">
        <v>2</v>
      </c>
      <c r="F541" s="6">
        <v>17</v>
      </c>
      <c r="G541" s="6" t="s">
        <v>202</v>
      </c>
      <c r="I541" s="8">
        <v>86.641082222222195</v>
      </c>
      <c r="J541" s="8">
        <v>113.166453680556</v>
      </c>
      <c r="K541" s="6" t="s">
        <v>29</v>
      </c>
      <c r="L541" s="9">
        <v>43822</v>
      </c>
      <c r="N541" s="6">
        <v>13</v>
      </c>
      <c r="O541" s="6" t="s">
        <v>4294</v>
      </c>
      <c r="R541" s="6">
        <v>60</v>
      </c>
      <c r="S541" s="6">
        <v>70</v>
      </c>
      <c r="T541" s="10">
        <f>AVERAGE(R541:S541)</f>
        <v>65</v>
      </c>
      <c r="V541" s="8">
        <v>0.59086883919239008</v>
      </c>
      <c r="W541" s="8">
        <v>4.2740157485961907</v>
      </c>
      <c r="X541" s="8">
        <f t="shared" si="29"/>
        <v>-0.45293496494292995</v>
      </c>
    </row>
    <row r="542" spans="1:24" x14ac:dyDescent="0.35">
      <c r="A542" s="6" t="s">
        <v>25</v>
      </c>
      <c r="B542" s="7"/>
      <c r="D542" s="6" t="s">
        <v>803</v>
      </c>
      <c r="E542" s="6">
        <v>2</v>
      </c>
      <c r="F542" s="6">
        <v>17</v>
      </c>
      <c r="G542" s="6" t="s">
        <v>202</v>
      </c>
      <c r="I542" s="8">
        <v>86.641082222222195</v>
      </c>
      <c r="J542" s="8">
        <v>113.166453680556</v>
      </c>
      <c r="K542" s="6" t="s">
        <v>29</v>
      </c>
      <c r="L542" s="9">
        <v>43822</v>
      </c>
      <c r="N542" s="6">
        <v>13</v>
      </c>
      <c r="O542" s="6" t="s">
        <v>4294</v>
      </c>
      <c r="R542" s="6">
        <v>70</v>
      </c>
      <c r="S542" s="6">
        <v>82</v>
      </c>
      <c r="T542" s="10">
        <f>AVERAGE(R542:S542)</f>
        <v>76</v>
      </c>
      <c r="V542" s="8">
        <v>-1.269902184602091E-4</v>
      </c>
      <c r="W542" s="8">
        <v>0.12298065147399885</v>
      </c>
      <c r="X542" s="8">
        <f t="shared" si="29"/>
        <v>0.12399657322168052</v>
      </c>
    </row>
    <row r="543" spans="1:24" x14ac:dyDescent="0.35">
      <c r="A543" s="6" t="s">
        <v>25</v>
      </c>
      <c r="B543" s="7" t="s">
        <v>804</v>
      </c>
      <c r="D543" s="6" t="s">
        <v>805</v>
      </c>
      <c r="E543" s="6">
        <v>2</v>
      </c>
      <c r="F543" s="6">
        <v>17</v>
      </c>
      <c r="G543" s="6" t="s">
        <v>60</v>
      </c>
      <c r="I543" s="8">
        <v>86.624553194444402</v>
      </c>
      <c r="J543" s="8">
        <v>113.942889236111</v>
      </c>
      <c r="K543" s="7" t="s">
        <v>2610</v>
      </c>
      <c r="L543" s="9">
        <v>43823</v>
      </c>
      <c r="N543" s="6">
        <v>13</v>
      </c>
      <c r="O543" s="6" t="s">
        <v>4295</v>
      </c>
      <c r="Q543" s="10">
        <v>200</v>
      </c>
      <c r="R543" s="10"/>
      <c r="S543" s="10">
        <v>200</v>
      </c>
      <c r="T543" s="10">
        <f>AVERAGE(R543:S543)</f>
        <v>200</v>
      </c>
      <c r="U543" s="11"/>
      <c r="V543" s="8">
        <v>-1.9443574526786804</v>
      </c>
      <c r="W543" s="8">
        <v>-14.136230087280273</v>
      </c>
      <c r="X543" s="8">
        <f t="shared" si="29"/>
        <v>1.4186295341491704</v>
      </c>
    </row>
    <row r="544" spans="1:24" x14ac:dyDescent="0.35">
      <c r="A544" s="6" t="s">
        <v>25</v>
      </c>
      <c r="B544" s="6" t="s">
        <v>3370</v>
      </c>
      <c r="D544" s="6" t="s">
        <v>3672</v>
      </c>
      <c r="E544" s="6">
        <v>2</v>
      </c>
      <c r="F544" s="6">
        <v>17</v>
      </c>
      <c r="G544" s="6" t="s">
        <v>3974</v>
      </c>
      <c r="I544" s="8">
        <v>86.624553194444402</v>
      </c>
      <c r="J544" s="8">
        <v>113.942889236111</v>
      </c>
      <c r="K544" s="7" t="s">
        <v>2610</v>
      </c>
      <c r="L544" s="9">
        <v>43823</v>
      </c>
      <c r="N544" s="6">
        <v>13</v>
      </c>
      <c r="O544" s="6" t="s">
        <v>4295</v>
      </c>
      <c r="V544" s="8">
        <v>-1.8657114260613921</v>
      </c>
      <c r="W544" s="8">
        <v>-13.871366675567627</v>
      </c>
      <c r="X544" s="27">
        <f t="shared" si="29"/>
        <v>1.0543247329235097</v>
      </c>
    </row>
    <row r="545" spans="1:25" x14ac:dyDescent="0.35">
      <c r="A545" s="6" t="s">
        <v>25</v>
      </c>
      <c r="B545" s="6" t="s">
        <v>806</v>
      </c>
      <c r="D545" s="6" t="s">
        <v>789</v>
      </c>
      <c r="E545" s="6">
        <v>2</v>
      </c>
      <c r="F545" s="6">
        <v>17</v>
      </c>
      <c r="G545" s="6" t="s">
        <v>272</v>
      </c>
      <c r="I545" s="8">
        <v>86.626447986111103</v>
      </c>
      <c r="J545" s="8">
        <v>114.979117013889</v>
      </c>
      <c r="K545" s="6" t="s">
        <v>29</v>
      </c>
      <c r="L545" s="9">
        <v>43824</v>
      </c>
      <c r="N545" s="6">
        <v>13</v>
      </c>
      <c r="O545" s="6" t="s">
        <v>4281</v>
      </c>
      <c r="Q545" s="6">
        <v>70</v>
      </c>
      <c r="R545" s="6">
        <v>70</v>
      </c>
      <c r="S545" s="6">
        <v>80</v>
      </c>
      <c r="T545" s="10">
        <f>AVERAGE(R545:S545)</f>
        <v>75</v>
      </c>
      <c r="V545" s="8">
        <v>0.52351400321721997</v>
      </c>
      <c r="W545" s="8">
        <v>4.6879655933380135</v>
      </c>
      <c r="X545" s="8">
        <f t="shared" si="29"/>
        <v>0.49985356760025379</v>
      </c>
    </row>
    <row r="546" spans="1:25" x14ac:dyDescent="0.35">
      <c r="A546" s="6" t="s">
        <v>25</v>
      </c>
      <c r="B546" s="6" t="s">
        <v>3371</v>
      </c>
      <c r="D546" s="6" t="s">
        <v>3673</v>
      </c>
      <c r="E546" s="6">
        <v>2</v>
      </c>
      <c r="F546" s="6">
        <v>17</v>
      </c>
      <c r="G546" s="6" t="s">
        <v>3975</v>
      </c>
      <c r="I546" s="8">
        <v>86.626447986111103</v>
      </c>
      <c r="J546" s="8">
        <v>114.979117013889</v>
      </c>
      <c r="K546" s="7" t="s">
        <v>2610</v>
      </c>
      <c r="L546" s="9">
        <v>43824</v>
      </c>
      <c r="N546" s="6">
        <v>13</v>
      </c>
      <c r="O546" s="6" t="s">
        <v>4281</v>
      </c>
      <c r="V546" s="8">
        <v>-2.0456973041713242</v>
      </c>
      <c r="W546" s="8">
        <v>-16.611898329925538</v>
      </c>
      <c r="X546" s="27">
        <f t="shared" si="29"/>
        <v>-0.2463198965549438</v>
      </c>
    </row>
    <row r="547" spans="1:25" x14ac:dyDescent="0.35">
      <c r="A547" s="6" t="s">
        <v>25</v>
      </c>
      <c r="B547" s="7"/>
      <c r="D547" s="6" t="s">
        <v>807</v>
      </c>
      <c r="E547" s="6">
        <v>2</v>
      </c>
      <c r="F547" s="6">
        <v>17</v>
      </c>
      <c r="G547" s="6" t="s">
        <v>272</v>
      </c>
      <c r="I547" s="8">
        <v>86.626447986111103</v>
      </c>
      <c r="J547" s="8">
        <v>114.979117013889</v>
      </c>
      <c r="K547" s="6" t="s">
        <v>29</v>
      </c>
      <c r="L547" s="9">
        <v>43824</v>
      </c>
      <c r="N547" s="6">
        <v>13</v>
      </c>
      <c r="O547" s="6" t="s">
        <v>4281</v>
      </c>
      <c r="R547" s="6">
        <v>0</v>
      </c>
      <c r="S547" s="6">
        <v>10</v>
      </c>
      <c r="T547" s="10">
        <f t="shared" ref="T547:T554" si="31">AVERAGE(R547:S547)</f>
        <v>5</v>
      </c>
      <c r="V547" s="8">
        <v>-4.5087057084560396</v>
      </c>
      <c r="W547" s="8">
        <v>-35.770803579711917</v>
      </c>
      <c r="X547" s="8">
        <f t="shared" si="29"/>
        <v>0.29884208793639999</v>
      </c>
    </row>
    <row r="548" spans="1:25" x14ac:dyDescent="0.35">
      <c r="A548" s="6" t="s">
        <v>25</v>
      </c>
      <c r="B548" s="7"/>
      <c r="D548" s="6" t="s">
        <v>808</v>
      </c>
      <c r="E548" s="6">
        <v>2</v>
      </c>
      <c r="F548" s="6">
        <v>17</v>
      </c>
      <c r="G548" s="6" t="s">
        <v>272</v>
      </c>
      <c r="I548" s="8">
        <v>86.626447986111103</v>
      </c>
      <c r="J548" s="8">
        <v>114.979117013889</v>
      </c>
      <c r="K548" s="6" t="s">
        <v>29</v>
      </c>
      <c r="L548" s="9">
        <v>43824</v>
      </c>
      <c r="N548" s="6">
        <v>13</v>
      </c>
      <c r="O548" s="6" t="s">
        <v>4281</v>
      </c>
      <c r="R548" s="6">
        <v>10</v>
      </c>
      <c r="S548" s="6">
        <v>20</v>
      </c>
      <c r="T548" s="10">
        <f t="shared" si="31"/>
        <v>15</v>
      </c>
      <c r="V548" s="8">
        <v>-0.4244502829134465</v>
      </c>
      <c r="W548" s="8">
        <v>-3.864791949176789</v>
      </c>
      <c r="X548" s="8">
        <f t="shared" si="29"/>
        <v>-0.46918968586921705</v>
      </c>
    </row>
    <row r="549" spans="1:25" x14ac:dyDescent="0.35">
      <c r="A549" s="6" t="s">
        <v>25</v>
      </c>
      <c r="B549" s="7"/>
      <c r="D549" s="6" t="s">
        <v>809</v>
      </c>
      <c r="E549" s="6">
        <v>2</v>
      </c>
      <c r="F549" s="6">
        <v>17</v>
      </c>
      <c r="G549" s="6" t="s">
        <v>272</v>
      </c>
      <c r="I549" s="8">
        <v>86.626447986111103</v>
      </c>
      <c r="J549" s="8">
        <v>114.979117013889</v>
      </c>
      <c r="K549" s="6" t="s">
        <v>29</v>
      </c>
      <c r="L549" s="9">
        <v>43824</v>
      </c>
      <c r="N549" s="6">
        <v>13</v>
      </c>
      <c r="O549" s="6" t="s">
        <v>4281</v>
      </c>
      <c r="R549" s="6">
        <v>20</v>
      </c>
      <c r="S549" s="6">
        <v>30</v>
      </c>
      <c r="T549" s="10">
        <f t="shared" si="31"/>
        <v>25</v>
      </c>
      <c r="V549" s="8">
        <v>0.3871653164505961</v>
      </c>
      <c r="W549" s="8">
        <v>3.7956298919677733</v>
      </c>
      <c r="X549" s="8">
        <f t="shared" si="29"/>
        <v>0.69830736036300456</v>
      </c>
    </row>
    <row r="550" spans="1:25" x14ac:dyDescent="0.35">
      <c r="A550" s="6" t="s">
        <v>25</v>
      </c>
      <c r="B550" s="7"/>
      <c r="D550" s="6" t="s">
        <v>810</v>
      </c>
      <c r="E550" s="6">
        <v>2</v>
      </c>
      <c r="F550" s="6">
        <v>17</v>
      </c>
      <c r="G550" s="6" t="s">
        <v>272</v>
      </c>
      <c r="I550" s="8">
        <v>86.626447986111103</v>
      </c>
      <c r="J550" s="8">
        <v>114.979117013889</v>
      </c>
      <c r="K550" s="6" t="s">
        <v>29</v>
      </c>
      <c r="L550" s="9">
        <v>43824</v>
      </c>
      <c r="N550" s="6">
        <v>13</v>
      </c>
      <c r="O550" s="6" t="s">
        <v>4281</v>
      </c>
      <c r="R550" s="6">
        <v>30</v>
      </c>
      <c r="S550" s="6">
        <v>40</v>
      </c>
      <c r="T550" s="10">
        <f t="shared" si="31"/>
        <v>35</v>
      </c>
      <c r="V550" s="8">
        <v>0.74321113257408122</v>
      </c>
      <c r="W550" s="8">
        <v>5.5995265022277829</v>
      </c>
      <c r="X550" s="8">
        <f t="shared" si="29"/>
        <v>-0.34616255836486687</v>
      </c>
    </row>
    <row r="551" spans="1:25" x14ac:dyDescent="0.35">
      <c r="A551" s="6" t="s">
        <v>25</v>
      </c>
      <c r="B551" s="7"/>
      <c r="D551" s="6" t="s">
        <v>811</v>
      </c>
      <c r="E551" s="6">
        <v>2</v>
      </c>
      <c r="F551" s="6">
        <v>17</v>
      </c>
      <c r="G551" s="6" t="s">
        <v>272</v>
      </c>
      <c r="I551" s="8">
        <v>86.626447986111103</v>
      </c>
      <c r="J551" s="8">
        <v>114.979117013889</v>
      </c>
      <c r="K551" s="6" t="s">
        <v>29</v>
      </c>
      <c r="L551" s="9">
        <v>43824</v>
      </c>
      <c r="N551" s="6">
        <v>13</v>
      </c>
      <c r="O551" s="6" t="s">
        <v>4281</v>
      </c>
      <c r="R551" s="6">
        <v>40</v>
      </c>
      <c r="S551" s="6">
        <v>50</v>
      </c>
      <c r="T551" s="10">
        <f t="shared" si="31"/>
        <v>45</v>
      </c>
      <c r="V551" s="8">
        <v>0.61564213632345188</v>
      </c>
      <c r="W551" s="8">
        <v>5.4413851753234859</v>
      </c>
      <c r="X551" s="8">
        <f t="shared" si="29"/>
        <v>0.5162480847358708</v>
      </c>
    </row>
    <row r="552" spans="1:25" x14ac:dyDescent="0.35">
      <c r="A552" s="6" t="s">
        <v>25</v>
      </c>
      <c r="B552" s="7"/>
      <c r="D552" s="6" t="s">
        <v>812</v>
      </c>
      <c r="E552" s="6">
        <v>2</v>
      </c>
      <c r="F552" s="6">
        <v>17</v>
      </c>
      <c r="G552" s="6" t="s">
        <v>272</v>
      </c>
      <c r="I552" s="8">
        <v>86.626447986111103</v>
      </c>
      <c r="J552" s="8">
        <v>114.979117013889</v>
      </c>
      <c r="K552" s="6" t="s">
        <v>29</v>
      </c>
      <c r="L552" s="9">
        <v>43824</v>
      </c>
      <c r="N552" s="6">
        <v>13</v>
      </c>
      <c r="O552" s="6" t="s">
        <v>4281</v>
      </c>
      <c r="R552" s="6">
        <v>50</v>
      </c>
      <c r="S552" s="6">
        <v>60</v>
      </c>
      <c r="T552" s="10">
        <f t="shared" si="31"/>
        <v>55</v>
      </c>
      <c r="V552" s="8">
        <v>0.71805889080762886</v>
      </c>
      <c r="W552" s="8">
        <v>5.8327135826110839</v>
      </c>
      <c r="X552" s="8">
        <f t="shared" si="29"/>
        <v>8.8242456150052995E-2</v>
      </c>
    </row>
    <row r="553" spans="1:25" x14ac:dyDescent="0.35">
      <c r="A553" s="6" t="s">
        <v>25</v>
      </c>
      <c r="B553" s="7"/>
      <c r="D553" s="6" t="s">
        <v>813</v>
      </c>
      <c r="E553" s="6">
        <v>2</v>
      </c>
      <c r="F553" s="6">
        <v>17</v>
      </c>
      <c r="G553" s="6" t="s">
        <v>272</v>
      </c>
      <c r="I553" s="8">
        <v>86.626447986111103</v>
      </c>
      <c r="J553" s="8">
        <v>114.979117013889</v>
      </c>
      <c r="K553" s="6" t="s">
        <v>29</v>
      </c>
      <c r="L553" s="9">
        <v>43824</v>
      </c>
      <c r="N553" s="6">
        <v>13</v>
      </c>
      <c r="O553" s="6" t="s">
        <v>4281</v>
      </c>
      <c r="R553" s="6">
        <v>60</v>
      </c>
      <c r="S553" s="6">
        <v>70</v>
      </c>
      <c r="T553" s="10">
        <f t="shared" si="31"/>
        <v>65</v>
      </c>
      <c r="V553" s="8">
        <v>0.49942504470348381</v>
      </c>
      <c r="W553" s="8">
        <v>3.9058505035400386</v>
      </c>
      <c r="X553" s="8">
        <f t="shared" si="29"/>
        <v>-8.9549854087831893E-2</v>
      </c>
    </row>
    <row r="554" spans="1:25" x14ac:dyDescent="0.35">
      <c r="A554" s="6" t="s">
        <v>25</v>
      </c>
      <c r="B554" s="7"/>
      <c r="D554" s="6" t="s">
        <v>814</v>
      </c>
      <c r="E554" s="6">
        <v>2</v>
      </c>
      <c r="F554" s="6">
        <v>17</v>
      </c>
      <c r="G554" s="6" t="s">
        <v>272</v>
      </c>
      <c r="I554" s="8">
        <v>86.626447986111103</v>
      </c>
      <c r="J554" s="8">
        <v>114.979117013889</v>
      </c>
      <c r="K554" s="6" t="s">
        <v>29</v>
      </c>
      <c r="L554" s="9">
        <v>43824</v>
      </c>
      <c r="N554" s="6">
        <v>13</v>
      </c>
      <c r="O554" s="6" t="s">
        <v>4281</v>
      </c>
      <c r="R554" s="6">
        <v>80</v>
      </c>
      <c r="S554" s="6">
        <v>92</v>
      </c>
      <c r="T554" s="10">
        <f t="shared" si="31"/>
        <v>86</v>
      </c>
      <c r="V554" s="8">
        <v>8.3070921517163721E-2</v>
      </c>
      <c r="W554" s="8">
        <v>1.0942003732681274</v>
      </c>
      <c r="X554" s="8">
        <f t="shared" si="29"/>
        <v>0.42963300113081759</v>
      </c>
    </row>
    <row r="555" spans="1:25" x14ac:dyDescent="0.35">
      <c r="A555" s="6" t="s">
        <v>25</v>
      </c>
      <c r="B555" s="6" t="s">
        <v>3372</v>
      </c>
      <c r="D555" s="6" t="s">
        <v>3674</v>
      </c>
      <c r="E555" s="6">
        <v>2</v>
      </c>
      <c r="F555" s="6">
        <v>17</v>
      </c>
      <c r="G555" s="6" t="s">
        <v>3976</v>
      </c>
      <c r="I555" s="8">
        <v>86.654408194444471</v>
      </c>
      <c r="J555" s="8">
        <v>115.81404708333331</v>
      </c>
      <c r="K555" s="7" t="s">
        <v>2610</v>
      </c>
      <c r="L555" s="9">
        <v>43825</v>
      </c>
      <c r="N555" s="6">
        <v>13</v>
      </c>
      <c r="O555" s="6" t="s">
        <v>4295</v>
      </c>
      <c r="V555" s="8">
        <v>-2.184127956134081</v>
      </c>
      <c r="W555" s="8">
        <v>-15.934762534332275</v>
      </c>
      <c r="X555" s="27">
        <f t="shared" si="29"/>
        <v>1.5382611147403722</v>
      </c>
    </row>
    <row r="556" spans="1:25" x14ac:dyDescent="0.35">
      <c r="A556" s="6" t="s">
        <v>25</v>
      </c>
      <c r="B556" s="6" t="s">
        <v>3373</v>
      </c>
      <c r="D556" s="6" t="s">
        <v>3675</v>
      </c>
      <c r="E556" s="6">
        <v>2</v>
      </c>
      <c r="F556" s="6">
        <v>17</v>
      </c>
      <c r="G556" s="6" t="s">
        <v>3977</v>
      </c>
      <c r="I556" s="8">
        <v>86.678533000000002</v>
      </c>
      <c r="J556" s="8">
        <v>115.95761</v>
      </c>
      <c r="K556" s="7" t="s">
        <v>2610</v>
      </c>
      <c r="L556" s="9">
        <v>43826</v>
      </c>
      <c r="N556" s="6">
        <v>13</v>
      </c>
      <c r="O556" s="6" t="s">
        <v>4296</v>
      </c>
      <c r="V556" s="8">
        <v>-2.2262698521137239</v>
      </c>
      <c r="W556" s="8">
        <v>-16.588846381378175</v>
      </c>
      <c r="X556" s="27">
        <f t="shared" si="29"/>
        <v>1.2213124355316154</v>
      </c>
    </row>
    <row r="557" spans="1:25" x14ac:dyDescent="0.35">
      <c r="A557" s="6" t="s">
        <v>25</v>
      </c>
      <c r="B557" s="6" t="s">
        <v>2756</v>
      </c>
      <c r="D557" s="6" t="s">
        <v>3096</v>
      </c>
      <c r="E557" s="6">
        <v>2</v>
      </c>
      <c r="F557" s="6">
        <v>17</v>
      </c>
      <c r="G557" s="6" t="s">
        <v>3220</v>
      </c>
      <c r="I557" s="8">
        <v>86.678533000000002</v>
      </c>
      <c r="J557" s="8">
        <v>115.95761</v>
      </c>
      <c r="K557" s="6" t="s">
        <v>198</v>
      </c>
      <c r="L557" s="9">
        <v>43826</v>
      </c>
      <c r="M557" s="18">
        <v>0.45416666666666666</v>
      </c>
      <c r="N557" s="6">
        <v>13</v>
      </c>
      <c r="O557" s="6" t="s">
        <v>4296</v>
      </c>
      <c r="R557" s="6">
        <v>12</v>
      </c>
      <c r="S557" s="6">
        <v>9</v>
      </c>
      <c r="V557" s="8">
        <v>-12.616311593627929</v>
      </c>
      <c r="W557" s="8">
        <v>-95.751737648010248</v>
      </c>
      <c r="X557" s="8">
        <f t="shared" si="29"/>
        <v>5.1787551010131807</v>
      </c>
      <c r="Y557" s="6" t="s">
        <v>3176</v>
      </c>
    </row>
    <row r="558" spans="1:25" x14ac:dyDescent="0.35">
      <c r="A558" s="6" t="s">
        <v>25</v>
      </c>
      <c r="B558" s="6" t="s">
        <v>2757</v>
      </c>
      <c r="D558" s="6" t="s">
        <v>3096</v>
      </c>
      <c r="E558" s="6">
        <v>2</v>
      </c>
      <c r="F558" s="6">
        <v>17</v>
      </c>
      <c r="G558" s="6" t="s">
        <v>3220</v>
      </c>
      <c r="I558" s="8">
        <v>86.678533000000002</v>
      </c>
      <c r="J558" s="8">
        <v>115.95761</v>
      </c>
      <c r="K558" s="6" t="s">
        <v>198</v>
      </c>
      <c r="L558" s="9">
        <v>43826</v>
      </c>
      <c r="M558" s="18">
        <v>0.45416666666666666</v>
      </c>
      <c r="N558" s="6">
        <v>13</v>
      </c>
      <c r="O558" s="6" t="s">
        <v>4296</v>
      </c>
      <c r="R558" s="6">
        <v>3</v>
      </c>
      <c r="S558" s="6">
        <v>0</v>
      </c>
      <c r="V558" s="8">
        <v>-5.8752957321166992</v>
      </c>
      <c r="W558" s="8">
        <v>-51.421177291870116</v>
      </c>
      <c r="X558" s="8">
        <f t="shared" si="29"/>
        <v>-4.4188114349365222</v>
      </c>
      <c r="Y558" s="6" t="s">
        <v>3177</v>
      </c>
    </row>
    <row r="559" spans="1:25" x14ac:dyDescent="0.35">
      <c r="A559" s="6" t="s">
        <v>25</v>
      </c>
      <c r="B559" s="6" t="s">
        <v>2758</v>
      </c>
      <c r="D559" s="6" t="s">
        <v>3096</v>
      </c>
      <c r="E559" s="6">
        <v>2</v>
      </c>
      <c r="F559" s="6">
        <v>17</v>
      </c>
      <c r="G559" s="6" t="s">
        <v>3220</v>
      </c>
      <c r="I559" s="8">
        <v>86.678533000000002</v>
      </c>
      <c r="J559" s="8">
        <v>115.95761</v>
      </c>
      <c r="K559" s="6" t="s">
        <v>198</v>
      </c>
      <c r="L559" s="9">
        <v>43826</v>
      </c>
      <c r="M559" s="18">
        <v>0.45416666666666666</v>
      </c>
      <c r="N559" s="6">
        <v>13</v>
      </c>
      <c r="O559" s="6" t="s">
        <v>4296</v>
      </c>
      <c r="R559" s="6">
        <v>23</v>
      </c>
      <c r="S559" s="6">
        <v>20</v>
      </c>
      <c r="V559" s="8">
        <v>-20.617810510253907</v>
      </c>
      <c r="W559" s="8">
        <v>-148.69095799255373</v>
      </c>
      <c r="X559" s="8">
        <f t="shared" si="29"/>
        <v>16.251526089477522</v>
      </c>
      <c r="Y559" s="6" t="s">
        <v>3221</v>
      </c>
    </row>
    <row r="560" spans="1:25" x14ac:dyDescent="0.35">
      <c r="A560" s="6" t="s">
        <v>25</v>
      </c>
      <c r="B560" s="6" t="s">
        <v>3374</v>
      </c>
      <c r="D560" s="6" t="s">
        <v>3676</v>
      </c>
      <c r="E560" s="6">
        <v>2</v>
      </c>
      <c r="F560" s="6">
        <v>17</v>
      </c>
      <c r="G560" s="6" t="s">
        <v>3978</v>
      </c>
      <c r="I560" s="8">
        <v>86.671744444444414</v>
      </c>
      <c r="J560" s="8">
        <v>115.72645645833342</v>
      </c>
      <c r="K560" s="7" t="s">
        <v>2610</v>
      </c>
      <c r="L560" s="9">
        <v>43827</v>
      </c>
      <c r="N560" s="6">
        <v>13</v>
      </c>
      <c r="O560" s="6" t="s">
        <v>4297</v>
      </c>
      <c r="V560" s="8">
        <v>-2.0973880422019953</v>
      </c>
      <c r="W560" s="8">
        <v>-15.535784407711027</v>
      </c>
      <c r="X560" s="27">
        <f t="shared" si="29"/>
        <v>1.2433199299049349</v>
      </c>
    </row>
    <row r="561" spans="1:24" x14ac:dyDescent="0.35">
      <c r="A561" s="6" t="s">
        <v>25</v>
      </c>
      <c r="B561" s="6" t="s">
        <v>3375</v>
      </c>
      <c r="D561" s="6" t="s">
        <v>3677</v>
      </c>
      <c r="E561" s="6">
        <v>2</v>
      </c>
      <c r="F561" s="6">
        <v>17</v>
      </c>
      <c r="G561" s="6" t="s">
        <v>3979</v>
      </c>
      <c r="I561" s="8">
        <v>86.642651944444438</v>
      </c>
      <c r="J561" s="8">
        <v>115.84581430555552</v>
      </c>
      <c r="K561" s="7" t="s">
        <v>2610</v>
      </c>
      <c r="L561" s="9">
        <v>43828</v>
      </c>
      <c r="N561" s="6">
        <v>14</v>
      </c>
      <c r="O561" s="6" t="s">
        <v>4298</v>
      </c>
      <c r="V561" s="8">
        <v>-2.18023962246418</v>
      </c>
      <c r="W561" s="8">
        <v>-15.868549329853057</v>
      </c>
      <c r="X561" s="27">
        <f t="shared" si="29"/>
        <v>1.5733676498603835</v>
      </c>
    </row>
    <row r="562" spans="1:24" x14ac:dyDescent="0.35">
      <c r="A562" s="6" t="s">
        <v>25</v>
      </c>
      <c r="B562" s="6" t="s">
        <v>3376</v>
      </c>
      <c r="D562" s="6" t="s">
        <v>3678</v>
      </c>
      <c r="E562" s="6">
        <v>2</v>
      </c>
      <c r="F562" s="6">
        <v>18</v>
      </c>
      <c r="G562" s="6" t="s">
        <v>3980</v>
      </c>
      <c r="I562" s="8">
        <v>86.598496999999995</v>
      </c>
      <c r="J562" s="8">
        <v>116.802229</v>
      </c>
      <c r="K562" s="7" t="s">
        <v>2610</v>
      </c>
      <c r="L562" s="9">
        <v>43829</v>
      </c>
      <c r="N562" s="6">
        <v>14</v>
      </c>
      <c r="O562" s="6" t="s">
        <v>4299</v>
      </c>
      <c r="V562" s="8">
        <v>-2.1378282442688938</v>
      </c>
      <c r="W562" s="8">
        <v>-15.214494193267821</v>
      </c>
      <c r="X562" s="27">
        <f t="shared" si="29"/>
        <v>1.8881317608833292</v>
      </c>
    </row>
    <row r="563" spans="1:24" x14ac:dyDescent="0.35">
      <c r="A563" s="6" t="s">
        <v>25</v>
      </c>
      <c r="B563" s="6" t="s">
        <v>2759</v>
      </c>
      <c r="D563" s="6" t="s">
        <v>3097</v>
      </c>
      <c r="E563" s="6">
        <v>2</v>
      </c>
      <c r="F563" s="6">
        <v>18</v>
      </c>
      <c r="G563" s="6" t="s">
        <v>3223</v>
      </c>
      <c r="I563" s="8">
        <v>86.608525999999998</v>
      </c>
      <c r="J563" s="8">
        <v>116.557529</v>
      </c>
      <c r="K563" s="6" t="s">
        <v>198</v>
      </c>
      <c r="L563" s="9">
        <v>43829</v>
      </c>
      <c r="M563" s="18">
        <v>0.27777777777777779</v>
      </c>
      <c r="N563" s="6">
        <v>14</v>
      </c>
      <c r="O563" s="6" t="s">
        <v>4299</v>
      </c>
      <c r="R563" s="6">
        <v>9.5</v>
      </c>
      <c r="S563" s="6">
        <v>7</v>
      </c>
      <c r="V563" s="8">
        <v>-21.154869744873046</v>
      </c>
      <c r="W563" s="8">
        <v>-155.46593496704102</v>
      </c>
      <c r="X563" s="8">
        <f t="shared" si="29"/>
        <v>13.77302299194335</v>
      </c>
    </row>
    <row r="564" spans="1:24" x14ac:dyDescent="0.35">
      <c r="A564" s="6" t="s">
        <v>25</v>
      </c>
      <c r="B564" s="6" t="s">
        <v>2760</v>
      </c>
      <c r="D564" s="6" t="s">
        <v>3097</v>
      </c>
      <c r="E564" s="6">
        <v>2</v>
      </c>
      <c r="F564" s="6">
        <v>18</v>
      </c>
      <c r="G564" s="6" t="s">
        <v>3223</v>
      </c>
      <c r="I564" s="8">
        <v>86.608525999999998</v>
      </c>
      <c r="J564" s="8">
        <v>116.557529</v>
      </c>
      <c r="K564" s="6" t="s">
        <v>198</v>
      </c>
      <c r="L564" s="9">
        <v>43829</v>
      </c>
      <c r="M564" s="18">
        <v>0.27777777777777779</v>
      </c>
      <c r="N564" s="6">
        <v>14</v>
      </c>
      <c r="O564" s="6" t="s">
        <v>4299</v>
      </c>
      <c r="R564" s="6">
        <v>7</v>
      </c>
      <c r="S564" s="6">
        <v>4</v>
      </c>
      <c r="V564" s="8">
        <v>-15.429109323120116</v>
      </c>
      <c r="W564" s="8">
        <v>-105.74079122161865</v>
      </c>
      <c r="X564" s="8">
        <f t="shared" si="29"/>
        <v>17.692083363342277</v>
      </c>
    </row>
    <row r="565" spans="1:24" x14ac:dyDescent="0.35">
      <c r="A565" s="6" t="s">
        <v>25</v>
      </c>
      <c r="B565" s="6" t="s">
        <v>2761</v>
      </c>
      <c r="D565" s="6" t="s">
        <v>3097</v>
      </c>
      <c r="E565" s="6">
        <v>2</v>
      </c>
      <c r="F565" s="6">
        <v>18</v>
      </c>
      <c r="G565" s="6" t="s">
        <v>3223</v>
      </c>
      <c r="I565" s="8">
        <v>86.608525999999998</v>
      </c>
      <c r="J565" s="8">
        <v>116.557529</v>
      </c>
      <c r="K565" s="6" t="s">
        <v>198</v>
      </c>
      <c r="L565" s="9">
        <v>43829</v>
      </c>
      <c r="M565" s="18">
        <v>0.27777777777777779</v>
      </c>
      <c r="N565" s="6">
        <v>14</v>
      </c>
      <c r="O565" s="6" t="s">
        <v>4299</v>
      </c>
      <c r="R565" s="6">
        <v>3</v>
      </c>
      <c r="S565" s="6">
        <v>0</v>
      </c>
      <c r="V565" s="8">
        <v>-4.0192316757202162</v>
      </c>
      <c r="W565" s="8">
        <v>-36.426986965179445</v>
      </c>
      <c r="X565" s="8">
        <f t="shared" si="29"/>
        <v>-4.2731335594177153</v>
      </c>
    </row>
    <row r="566" spans="1:24" x14ac:dyDescent="0.35">
      <c r="A566" s="6" t="s">
        <v>25</v>
      </c>
      <c r="B566" s="6" t="s">
        <v>2762</v>
      </c>
      <c r="D566" s="6" t="s">
        <v>3098</v>
      </c>
      <c r="E566" s="6">
        <v>2</v>
      </c>
      <c r="F566" s="6">
        <v>18</v>
      </c>
      <c r="G566" s="6" t="s">
        <v>3225</v>
      </c>
      <c r="I566" s="8">
        <v>86.598496999999995</v>
      </c>
      <c r="J566" s="8">
        <v>116.802229</v>
      </c>
      <c r="K566" s="6" t="s">
        <v>198</v>
      </c>
      <c r="L566" s="9">
        <v>43829</v>
      </c>
      <c r="M566" s="18">
        <v>0.45833333333333331</v>
      </c>
      <c r="N566" s="6">
        <v>14</v>
      </c>
      <c r="O566" s="6" t="s">
        <v>4299</v>
      </c>
      <c r="R566" s="6">
        <v>7.5</v>
      </c>
      <c r="S566" s="6">
        <v>4</v>
      </c>
      <c r="V566" s="8">
        <v>-18.299986138916015</v>
      </c>
      <c r="W566" s="8">
        <v>-135.13550672912598</v>
      </c>
      <c r="X566" s="8">
        <f t="shared" si="29"/>
        <v>11.264382382202143</v>
      </c>
    </row>
    <row r="567" spans="1:24" x14ac:dyDescent="0.35">
      <c r="A567" s="6" t="s">
        <v>25</v>
      </c>
      <c r="B567" s="6" t="s">
        <v>2763</v>
      </c>
      <c r="D567" s="6" t="s">
        <v>3098</v>
      </c>
      <c r="E567" s="6">
        <v>2</v>
      </c>
      <c r="F567" s="6">
        <v>18</v>
      </c>
      <c r="G567" s="6" t="s">
        <v>3225</v>
      </c>
      <c r="I567" s="8">
        <v>86.598496999999995</v>
      </c>
      <c r="J567" s="8">
        <v>116.802229</v>
      </c>
      <c r="K567" s="6" t="s">
        <v>198</v>
      </c>
      <c r="L567" s="9">
        <v>43829</v>
      </c>
      <c r="M567" s="18">
        <v>0.45833333333333331</v>
      </c>
      <c r="N567" s="6">
        <v>14</v>
      </c>
      <c r="O567" s="6" t="s">
        <v>4299</v>
      </c>
      <c r="R567" s="6">
        <v>4</v>
      </c>
      <c r="S567" s="6">
        <v>0</v>
      </c>
      <c r="V567" s="8">
        <v>-7.8977902999877925</v>
      </c>
      <c r="W567" s="8">
        <v>-60.913037612915041</v>
      </c>
      <c r="X567" s="8">
        <f t="shared" si="29"/>
        <v>2.2692847869872992</v>
      </c>
    </row>
    <row r="568" spans="1:24" x14ac:dyDescent="0.35">
      <c r="A568" s="6" t="s">
        <v>25</v>
      </c>
      <c r="B568" s="6" t="s">
        <v>3377</v>
      </c>
      <c r="D568" s="6" t="s">
        <v>3679</v>
      </c>
      <c r="E568" s="6">
        <v>2</v>
      </c>
      <c r="F568" s="6">
        <v>18</v>
      </c>
      <c r="G568" s="6" t="s">
        <v>3981</v>
      </c>
      <c r="I568" s="8">
        <v>86.596660486111105</v>
      </c>
      <c r="J568" s="8">
        <v>117.880683611111</v>
      </c>
      <c r="K568" s="7" t="s">
        <v>2610</v>
      </c>
      <c r="L568" s="9">
        <v>43830</v>
      </c>
      <c r="N568" s="6">
        <v>14</v>
      </c>
      <c r="O568" s="6" t="s">
        <v>4300</v>
      </c>
      <c r="V568" s="8">
        <v>-2.0724378708750013</v>
      </c>
      <c r="W568" s="8">
        <v>-14.96525489349365</v>
      </c>
      <c r="X568" s="27">
        <f t="shared" si="29"/>
        <v>1.61424807350636</v>
      </c>
    </row>
    <row r="569" spans="1:24" x14ac:dyDescent="0.35">
      <c r="A569" s="6" t="s">
        <v>25</v>
      </c>
      <c r="D569" s="6" t="s">
        <v>815</v>
      </c>
      <c r="E569" s="6">
        <v>2</v>
      </c>
      <c r="F569" s="6">
        <v>18</v>
      </c>
      <c r="G569" s="6" t="s">
        <v>60</v>
      </c>
      <c r="I569" s="8">
        <v>86.596660486111105</v>
      </c>
      <c r="J569" s="8">
        <v>117.880683611111</v>
      </c>
      <c r="K569" s="7" t="s">
        <v>2610</v>
      </c>
      <c r="L569" s="9">
        <v>43830</v>
      </c>
      <c r="N569" s="6">
        <v>14</v>
      </c>
      <c r="O569" s="6" t="s">
        <v>4300</v>
      </c>
      <c r="Q569" s="6">
        <v>200</v>
      </c>
      <c r="S569" s="6">
        <v>200</v>
      </c>
      <c r="T569" s="10">
        <f t="shared" ref="T569:T577" si="32">AVERAGE(R569:S569)</f>
        <v>200</v>
      </c>
      <c r="V569" s="8">
        <v>-2.3857291835069656</v>
      </c>
      <c r="W569" s="8">
        <v>-15.212007705974578</v>
      </c>
      <c r="X569" s="8">
        <f t="shared" si="29"/>
        <v>3.8738257620811467</v>
      </c>
    </row>
    <row r="570" spans="1:24" x14ac:dyDescent="0.35">
      <c r="A570" s="6" t="s">
        <v>25</v>
      </c>
      <c r="D570" s="6" t="s">
        <v>815</v>
      </c>
      <c r="E570" s="6">
        <v>2</v>
      </c>
      <c r="F570" s="6">
        <v>18</v>
      </c>
      <c r="G570" s="6" t="s">
        <v>60</v>
      </c>
      <c r="I570" s="8">
        <v>86.596660486111105</v>
      </c>
      <c r="J570" s="8">
        <v>117.880683611111</v>
      </c>
      <c r="K570" s="7" t="s">
        <v>2610</v>
      </c>
      <c r="L570" s="9">
        <v>43830</v>
      </c>
      <c r="N570" s="6">
        <v>14</v>
      </c>
      <c r="O570" s="6" t="s">
        <v>4300</v>
      </c>
      <c r="Q570" s="6">
        <v>1000</v>
      </c>
      <c r="S570" s="6">
        <v>1000</v>
      </c>
      <c r="T570" s="10">
        <f t="shared" si="32"/>
        <v>1000</v>
      </c>
      <c r="V570" s="8">
        <v>-2.2269226047515875</v>
      </c>
      <c r="W570" s="8">
        <v>-14.445352931308744</v>
      </c>
      <c r="X570" s="8">
        <f t="shared" si="29"/>
        <v>3.3700279067039567</v>
      </c>
    </row>
    <row r="571" spans="1:24" x14ac:dyDescent="0.35">
      <c r="A571" s="6" t="s">
        <v>25</v>
      </c>
      <c r="D571" s="6" t="s">
        <v>815</v>
      </c>
      <c r="E571" s="6">
        <v>2</v>
      </c>
      <c r="F571" s="6">
        <v>18</v>
      </c>
      <c r="G571" s="6" t="s">
        <v>60</v>
      </c>
      <c r="I571" s="8">
        <v>86.596660486111105</v>
      </c>
      <c r="J571" s="8">
        <v>117.880683611111</v>
      </c>
      <c r="K571" s="7" t="s">
        <v>2610</v>
      </c>
      <c r="L571" s="9">
        <v>43830</v>
      </c>
      <c r="N571" s="6">
        <v>14</v>
      </c>
      <c r="O571" s="6" t="s">
        <v>4300</v>
      </c>
      <c r="Q571" s="6">
        <v>2000</v>
      </c>
      <c r="S571" s="6">
        <v>2000</v>
      </c>
      <c r="T571" s="10">
        <f t="shared" si="32"/>
        <v>2000</v>
      </c>
      <c r="V571" s="8">
        <v>-2.074604381453991</v>
      </c>
      <c r="W571" s="8">
        <v>-13.053091073799134</v>
      </c>
      <c r="X571" s="8">
        <f t="shared" si="29"/>
        <v>3.5437439778327935</v>
      </c>
    </row>
    <row r="572" spans="1:24" x14ac:dyDescent="0.35">
      <c r="A572" s="6" t="s">
        <v>25</v>
      </c>
      <c r="D572" s="6" t="s">
        <v>815</v>
      </c>
      <c r="E572" s="6">
        <v>2</v>
      </c>
      <c r="F572" s="6">
        <v>18</v>
      </c>
      <c r="G572" s="6" t="s">
        <v>60</v>
      </c>
      <c r="I572" s="8">
        <v>86.596660486111105</v>
      </c>
      <c r="J572" s="8">
        <v>117.880683611111</v>
      </c>
      <c r="K572" s="7" t="s">
        <v>2610</v>
      </c>
      <c r="L572" s="9">
        <v>43830</v>
      </c>
      <c r="N572" s="6">
        <v>14</v>
      </c>
      <c r="O572" s="6" t="s">
        <v>4300</v>
      </c>
      <c r="Q572" s="6">
        <v>3000</v>
      </c>
      <c r="S572" s="6">
        <v>3000</v>
      </c>
      <c r="T572" s="10">
        <f t="shared" si="32"/>
        <v>3000</v>
      </c>
      <c r="V572" s="8">
        <v>-1.8173896991729739</v>
      </c>
      <c r="W572" s="8">
        <v>-12.729236939239501</v>
      </c>
      <c r="X572" s="8">
        <f t="shared" si="29"/>
        <v>1.8098806541442904</v>
      </c>
    </row>
    <row r="573" spans="1:24" x14ac:dyDescent="0.35">
      <c r="A573" s="6" t="s">
        <v>25</v>
      </c>
      <c r="D573" s="6" t="s">
        <v>815</v>
      </c>
      <c r="E573" s="6">
        <v>2</v>
      </c>
      <c r="F573" s="6">
        <v>18</v>
      </c>
      <c r="G573" s="6" t="s">
        <v>60</v>
      </c>
      <c r="I573" s="8">
        <v>86.596660486111105</v>
      </c>
      <c r="J573" s="8">
        <v>117.880683611111</v>
      </c>
      <c r="K573" s="7" t="s">
        <v>2610</v>
      </c>
      <c r="L573" s="9">
        <v>43830</v>
      </c>
      <c r="N573" s="6">
        <v>14</v>
      </c>
      <c r="O573" s="6" t="s">
        <v>4300</v>
      </c>
      <c r="Q573" s="6">
        <v>4000</v>
      </c>
      <c r="S573" s="6">
        <v>4000</v>
      </c>
      <c r="T573" s="10">
        <f t="shared" si="32"/>
        <v>4000</v>
      </c>
      <c r="V573" s="8">
        <v>-1.1202306529998782</v>
      </c>
      <c r="W573" s="8">
        <v>-5.5403342512130749</v>
      </c>
      <c r="X573" s="8">
        <f t="shared" si="29"/>
        <v>3.421510972785951</v>
      </c>
    </row>
    <row r="574" spans="1:24" x14ac:dyDescent="0.35">
      <c r="A574" s="6" t="s">
        <v>25</v>
      </c>
      <c r="D574" s="6" t="s">
        <v>815</v>
      </c>
      <c r="E574" s="6">
        <v>2</v>
      </c>
      <c r="F574" s="6">
        <v>18</v>
      </c>
      <c r="G574" s="6" t="s">
        <v>60</v>
      </c>
      <c r="I574" s="8">
        <v>86.596660486111105</v>
      </c>
      <c r="J574" s="8">
        <v>117.880683611111</v>
      </c>
      <c r="K574" s="7" t="s">
        <v>2610</v>
      </c>
      <c r="L574" s="9">
        <v>43830</v>
      </c>
      <c r="N574" s="6">
        <v>14</v>
      </c>
      <c r="O574" s="6" t="s">
        <v>4300</v>
      </c>
      <c r="Q574" s="6">
        <v>15000</v>
      </c>
      <c r="S574" s="6">
        <v>15000</v>
      </c>
      <c r="T574" s="10">
        <f t="shared" si="32"/>
        <v>15000</v>
      </c>
      <c r="V574" s="8">
        <v>-0.91525905908346228</v>
      </c>
      <c r="W574" s="8">
        <v>-2.7776823490142823</v>
      </c>
      <c r="X574" s="8">
        <f t="shared" si="29"/>
        <v>4.5443901236534163</v>
      </c>
    </row>
    <row r="575" spans="1:24" x14ac:dyDescent="0.35">
      <c r="A575" s="6" t="s">
        <v>25</v>
      </c>
      <c r="D575" s="6" t="s">
        <v>815</v>
      </c>
      <c r="E575" s="6">
        <v>2</v>
      </c>
      <c r="F575" s="6">
        <v>18</v>
      </c>
      <c r="G575" s="6" t="s">
        <v>60</v>
      </c>
      <c r="I575" s="8">
        <v>86.596660486111105</v>
      </c>
      <c r="J575" s="8">
        <v>117.880683611111</v>
      </c>
      <c r="K575" s="7" t="s">
        <v>2610</v>
      </c>
      <c r="L575" s="9">
        <v>43830</v>
      </c>
      <c r="N575" s="6">
        <v>14</v>
      </c>
      <c r="O575" s="6" t="s">
        <v>4300</v>
      </c>
      <c r="Q575" s="6">
        <v>7500</v>
      </c>
      <c r="S575" s="6">
        <v>7500</v>
      </c>
      <c r="T575" s="10">
        <f t="shared" si="32"/>
        <v>7500</v>
      </c>
      <c r="V575" s="8">
        <v>-0.8874968391180037</v>
      </c>
      <c r="W575" s="8">
        <v>-0.5685390369772908</v>
      </c>
      <c r="X575" s="8">
        <f t="shared" si="29"/>
        <v>6.5314356759667387</v>
      </c>
    </row>
    <row r="576" spans="1:24" x14ac:dyDescent="0.35">
      <c r="A576" s="6" t="s">
        <v>25</v>
      </c>
      <c r="D576" s="6" t="s">
        <v>815</v>
      </c>
      <c r="E576" s="6">
        <v>2</v>
      </c>
      <c r="F576" s="6">
        <v>18</v>
      </c>
      <c r="G576" s="6" t="s">
        <v>60</v>
      </c>
      <c r="I576" s="8">
        <v>86.596660486111105</v>
      </c>
      <c r="J576" s="8">
        <v>117.880683611111</v>
      </c>
      <c r="K576" s="7" t="s">
        <v>2610</v>
      </c>
      <c r="L576" s="9">
        <v>43830</v>
      </c>
      <c r="N576" s="6">
        <v>14</v>
      </c>
      <c r="O576" s="6" t="s">
        <v>4300</v>
      </c>
      <c r="Q576" s="6">
        <v>11000</v>
      </c>
      <c r="S576" s="6">
        <v>11000</v>
      </c>
      <c r="T576" s="10">
        <f t="shared" si="32"/>
        <v>11000</v>
      </c>
      <c r="V576" s="8">
        <v>-0.20144880811572069</v>
      </c>
      <c r="W576" s="8">
        <v>1.2543870133876804</v>
      </c>
      <c r="X576" s="8">
        <f t="shared" si="29"/>
        <v>2.8659774783134457</v>
      </c>
    </row>
    <row r="577" spans="1:25" x14ac:dyDescent="0.35">
      <c r="A577" s="6" t="s">
        <v>25</v>
      </c>
      <c r="D577" s="6" t="s">
        <v>815</v>
      </c>
      <c r="E577" s="6">
        <v>2</v>
      </c>
      <c r="F577" s="6">
        <v>18</v>
      </c>
      <c r="G577" s="6" t="s">
        <v>60</v>
      </c>
      <c r="I577" s="8">
        <v>86.596660486111105</v>
      </c>
      <c r="J577" s="8">
        <v>117.880683611111</v>
      </c>
      <c r="K577" s="7" t="s">
        <v>2610</v>
      </c>
      <c r="L577" s="9">
        <v>43830</v>
      </c>
      <c r="N577" s="6">
        <v>14</v>
      </c>
      <c r="O577" s="6" t="s">
        <v>4300</v>
      </c>
      <c r="Q577" s="6">
        <v>18000</v>
      </c>
      <c r="S577" s="6">
        <v>18000</v>
      </c>
      <c r="T577" s="10">
        <f t="shared" si="32"/>
        <v>18000</v>
      </c>
      <c r="V577" s="8">
        <v>2.9491032797098544E-2</v>
      </c>
      <c r="W577" s="8">
        <v>3.0379553000450135</v>
      </c>
      <c r="X577" s="8">
        <f t="shared" si="29"/>
        <v>2.8020270376682253</v>
      </c>
    </row>
    <row r="578" spans="1:25" x14ac:dyDescent="0.35">
      <c r="A578" s="6" t="s">
        <v>25</v>
      </c>
      <c r="B578" s="6" t="s">
        <v>3378</v>
      </c>
      <c r="D578" s="6" t="s">
        <v>3680</v>
      </c>
      <c r="E578" s="6">
        <v>2</v>
      </c>
      <c r="F578" s="6">
        <v>18</v>
      </c>
      <c r="G578" s="6" t="s">
        <v>3982</v>
      </c>
      <c r="I578" s="8">
        <v>86.703005347222245</v>
      </c>
      <c r="J578" s="8">
        <v>117.86243590277773</v>
      </c>
      <c r="K578" s="7" t="s">
        <v>2610</v>
      </c>
      <c r="L578" s="9">
        <v>43831</v>
      </c>
      <c r="N578" s="6">
        <v>14</v>
      </c>
      <c r="O578" s="6" t="s">
        <v>4301</v>
      </c>
      <c r="V578" s="8">
        <v>-2.1291661190986639</v>
      </c>
      <c r="W578" s="8">
        <v>-15.668785817337037</v>
      </c>
      <c r="X578" s="27">
        <f t="shared" ref="X578:X641" si="33">W578-(8*V578)</f>
        <v>1.3645431354522746</v>
      </c>
    </row>
    <row r="579" spans="1:25" x14ac:dyDescent="0.35">
      <c r="A579" s="6" t="s">
        <v>25</v>
      </c>
      <c r="B579" s="6" t="s">
        <v>3379</v>
      </c>
      <c r="D579" s="6" t="s">
        <v>3681</v>
      </c>
      <c r="E579" s="6">
        <v>2</v>
      </c>
      <c r="F579" s="6">
        <v>18</v>
      </c>
      <c r="G579" s="6" t="s">
        <v>3983</v>
      </c>
      <c r="I579" s="8">
        <v>86.8240929166667</v>
      </c>
      <c r="J579" s="8">
        <v>116.572940347222</v>
      </c>
      <c r="K579" s="7" t="s">
        <v>2610</v>
      </c>
      <c r="L579" s="9">
        <v>43832</v>
      </c>
      <c r="N579" s="6">
        <v>14</v>
      </c>
      <c r="O579" s="6" t="s">
        <v>4302</v>
      </c>
      <c r="V579" s="8">
        <v>-2.1888559666776652</v>
      </c>
      <c r="W579" s="8">
        <v>-16.496161055183411</v>
      </c>
      <c r="X579" s="27">
        <f t="shared" si="33"/>
        <v>1.0146866782379114</v>
      </c>
    </row>
    <row r="580" spans="1:25" x14ac:dyDescent="0.35">
      <c r="A580" s="6" t="s">
        <v>25</v>
      </c>
      <c r="B580" s="7"/>
      <c r="D580" s="6" t="s">
        <v>816</v>
      </c>
      <c r="E580" s="6">
        <v>2</v>
      </c>
      <c r="F580" s="6">
        <v>18</v>
      </c>
      <c r="G580" s="6" t="s">
        <v>272</v>
      </c>
      <c r="I580" s="8">
        <v>86.8240929166667</v>
      </c>
      <c r="J580" s="8">
        <v>116.572940347222</v>
      </c>
      <c r="K580" s="6" t="s">
        <v>29</v>
      </c>
      <c r="L580" s="9">
        <v>43832</v>
      </c>
      <c r="N580" s="6">
        <v>14</v>
      </c>
      <c r="O580" s="6" t="s">
        <v>4302</v>
      </c>
      <c r="R580" s="6">
        <v>0</v>
      </c>
      <c r="S580" s="6">
        <v>10</v>
      </c>
      <c r="T580" s="10">
        <f t="shared" ref="T580:T589" si="34">AVERAGE(R580:S580)</f>
        <v>5</v>
      </c>
      <c r="V580" s="8">
        <v>-8.2584200733184812</v>
      </c>
      <c r="W580" s="8">
        <v>-63.555062789916988</v>
      </c>
      <c r="X580" s="8">
        <f t="shared" si="33"/>
        <v>2.5122977966308611</v>
      </c>
    </row>
    <row r="581" spans="1:25" x14ac:dyDescent="0.35">
      <c r="A581" s="6" t="s">
        <v>25</v>
      </c>
      <c r="B581" s="7"/>
      <c r="D581" s="6" t="s">
        <v>817</v>
      </c>
      <c r="E581" s="6">
        <v>2</v>
      </c>
      <c r="F581" s="6">
        <v>18</v>
      </c>
      <c r="G581" s="6" t="s">
        <v>272</v>
      </c>
      <c r="I581" s="8">
        <v>86.8240929166667</v>
      </c>
      <c r="J581" s="8">
        <v>116.572940347222</v>
      </c>
      <c r="K581" s="6" t="s">
        <v>29</v>
      </c>
      <c r="L581" s="9">
        <v>43832</v>
      </c>
      <c r="N581" s="6">
        <v>14</v>
      </c>
      <c r="O581" s="6" t="s">
        <v>4302</v>
      </c>
      <c r="R581" s="6">
        <v>10</v>
      </c>
      <c r="S581" s="6">
        <v>20</v>
      </c>
      <c r="T581" s="10">
        <f t="shared" si="34"/>
        <v>15</v>
      </c>
      <c r="V581" s="8">
        <v>-5.1245955636978149</v>
      </c>
      <c r="W581" s="8">
        <v>-39.588480224609377</v>
      </c>
      <c r="X581" s="8">
        <f t="shared" si="33"/>
        <v>1.4082842849731421</v>
      </c>
    </row>
    <row r="582" spans="1:25" x14ac:dyDescent="0.35">
      <c r="A582" s="6" t="s">
        <v>25</v>
      </c>
      <c r="B582" s="7"/>
      <c r="D582" s="6" t="s">
        <v>818</v>
      </c>
      <c r="E582" s="6">
        <v>2</v>
      </c>
      <c r="F582" s="6">
        <v>18</v>
      </c>
      <c r="G582" s="6" t="s">
        <v>272</v>
      </c>
      <c r="I582" s="8">
        <v>86.8240929166667</v>
      </c>
      <c r="J582" s="8">
        <v>116.572940347222</v>
      </c>
      <c r="K582" s="6" t="s">
        <v>29</v>
      </c>
      <c r="L582" s="9">
        <v>43832</v>
      </c>
      <c r="N582" s="6">
        <v>14</v>
      </c>
      <c r="O582" s="6" t="s">
        <v>4302</v>
      </c>
      <c r="R582" s="6">
        <v>20</v>
      </c>
      <c r="S582" s="6">
        <v>30</v>
      </c>
      <c r="T582" s="10">
        <f t="shared" si="34"/>
        <v>25</v>
      </c>
      <c r="V582" s="8">
        <v>-6.5064331720352175</v>
      </c>
      <c r="W582" s="8">
        <v>-48.317877082824708</v>
      </c>
      <c r="X582" s="8">
        <f t="shared" si="33"/>
        <v>3.7335882934570321</v>
      </c>
    </row>
    <row r="583" spans="1:25" x14ac:dyDescent="0.35">
      <c r="A583" s="6" t="s">
        <v>25</v>
      </c>
      <c r="B583" s="7"/>
      <c r="D583" s="6" t="s">
        <v>819</v>
      </c>
      <c r="E583" s="6">
        <v>2</v>
      </c>
      <c r="F583" s="6">
        <v>18</v>
      </c>
      <c r="G583" s="6" t="s">
        <v>272</v>
      </c>
      <c r="I583" s="8">
        <v>86.8240929166667</v>
      </c>
      <c r="J583" s="8">
        <v>116.572940347222</v>
      </c>
      <c r="K583" s="6" t="s">
        <v>29</v>
      </c>
      <c r="L583" s="9">
        <v>43832</v>
      </c>
      <c r="N583" s="6">
        <v>14</v>
      </c>
      <c r="O583" s="6" t="s">
        <v>4302</v>
      </c>
      <c r="R583" s="6">
        <v>30</v>
      </c>
      <c r="S583" s="6">
        <v>40</v>
      </c>
      <c r="T583" s="10">
        <f t="shared" si="34"/>
        <v>35</v>
      </c>
      <c r="V583" s="8">
        <v>-7.8130384443283072</v>
      </c>
      <c r="W583" s="8">
        <v>-59.034518814086915</v>
      </c>
      <c r="X583" s="8">
        <f t="shared" si="33"/>
        <v>3.469788740539542</v>
      </c>
    </row>
    <row r="584" spans="1:25" x14ac:dyDescent="0.35">
      <c r="A584" s="6" t="s">
        <v>25</v>
      </c>
      <c r="B584" s="7"/>
      <c r="D584" s="6" t="s">
        <v>820</v>
      </c>
      <c r="E584" s="6">
        <v>2</v>
      </c>
      <c r="F584" s="6">
        <v>18</v>
      </c>
      <c r="G584" s="6" t="s">
        <v>272</v>
      </c>
      <c r="I584" s="8">
        <v>86.8240929166667</v>
      </c>
      <c r="J584" s="8">
        <v>116.572940347222</v>
      </c>
      <c r="K584" s="6" t="s">
        <v>29</v>
      </c>
      <c r="L584" s="9">
        <v>43832</v>
      </c>
      <c r="N584" s="6">
        <v>14</v>
      </c>
      <c r="O584" s="6" t="s">
        <v>4302</v>
      </c>
      <c r="R584" s="6">
        <v>40</v>
      </c>
      <c r="S584" s="6">
        <v>50</v>
      </c>
      <c r="T584" s="10">
        <f t="shared" si="34"/>
        <v>45</v>
      </c>
      <c r="V584" s="8">
        <v>-3.7781566260337835</v>
      </c>
      <c r="W584" s="8">
        <v>-28.138656749725342</v>
      </c>
      <c r="X584" s="8">
        <f t="shared" si="33"/>
        <v>2.086596258544926</v>
      </c>
    </row>
    <row r="585" spans="1:25" x14ac:dyDescent="0.35">
      <c r="A585" s="6" t="s">
        <v>25</v>
      </c>
      <c r="B585" s="7"/>
      <c r="D585" s="6" t="s">
        <v>821</v>
      </c>
      <c r="E585" s="6">
        <v>2</v>
      </c>
      <c r="F585" s="6">
        <v>18</v>
      </c>
      <c r="G585" s="6" t="s">
        <v>272</v>
      </c>
      <c r="I585" s="8">
        <v>86.8240929166667</v>
      </c>
      <c r="J585" s="8">
        <v>116.572940347222</v>
      </c>
      <c r="K585" s="6" t="s">
        <v>29</v>
      </c>
      <c r="L585" s="9">
        <v>43832</v>
      </c>
      <c r="N585" s="6">
        <v>14</v>
      </c>
      <c r="O585" s="6" t="s">
        <v>4302</v>
      </c>
      <c r="R585" s="6">
        <v>50</v>
      </c>
      <c r="S585" s="6">
        <v>60</v>
      </c>
      <c r="T585" s="10">
        <f t="shared" si="34"/>
        <v>55</v>
      </c>
      <c r="V585" s="8">
        <v>0.58013483350276962</v>
      </c>
      <c r="W585" s="8">
        <v>5.5713226547241206</v>
      </c>
      <c r="X585" s="8">
        <f t="shared" si="33"/>
        <v>0.93024398670196362</v>
      </c>
    </row>
    <row r="586" spans="1:25" x14ac:dyDescent="0.35">
      <c r="A586" s="6" t="s">
        <v>25</v>
      </c>
      <c r="B586" s="7"/>
      <c r="D586" s="6" t="s">
        <v>822</v>
      </c>
      <c r="E586" s="6">
        <v>2</v>
      </c>
      <c r="F586" s="6">
        <v>18</v>
      </c>
      <c r="G586" s="6" t="s">
        <v>272</v>
      </c>
      <c r="I586" s="8">
        <v>86.8240929166667</v>
      </c>
      <c r="J586" s="8">
        <v>116.572940347222</v>
      </c>
      <c r="K586" s="6" t="s">
        <v>29</v>
      </c>
      <c r="L586" s="9">
        <v>43832</v>
      </c>
      <c r="N586" s="6">
        <v>14</v>
      </c>
      <c r="O586" s="6" t="s">
        <v>4302</v>
      </c>
      <c r="R586" s="6">
        <v>60</v>
      </c>
      <c r="S586" s="6">
        <v>70</v>
      </c>
      <c r="T586" s="10">
        <f t="shared" si="34"/>
        <v>65</v>
      </c>
      <c r="V586" s="8">
        <v>0.37906479589939091</v>
      </c>
      <c r="W586" s="8">
        <v>4.111809058189392</v>
      </c>
      <c r="X586" s="8">
        <f t="shared" si="33"/>
        <v>1.0792906909942648</v>
      </c>
    </row>
    <row r="587" spans="1:25" x14ac:dyDescent="0.35">
      <c r="A587" s="6" t="s">
        <v>25</v>
      </c>
      <c r="B587" s="7"/>
      <c r="D587" s="6" t="s">
        <v>823</v>
      </c>
      <c r="E587" s="6">
        <v>2</v>
      </c>
      <c r="F587" s="6">
        <v>18</v>
      </c>
      <c r="G587" s="6" t="s">
        <v>272</v>
      </c>
      <c r="I587" s="8">
        <v>86.8240929166667</v>
      </c>
      <c r="J587" s="8">
        <v>116.572940347222</v>
      </c>
      <c r="K587" s="6" t="s">
        <v>29</v>
      </c>
      <c r="L587" s="9">
        <v>43832</v>
      </c>
      <c r="N587" s="6">
        <v>14</v>
      </c>
      <c r="O587" s="6" t="s">
        <v>4302</v>
      </c>
      <c r="R587" s="6">
        <v>70</v>
      </c>
      <c r="S587" s="6">
        <v>82</v>
      </c>
      <c r="T587" s="10">
        <f t="shared" si="34"/>
        <v>76</v>
      </c>
      <c r="V587" s="8">
        <v>-0.63225653754472733</v>
      </c>
      <c r="W587" s="8">
        <v>-4.3573744654655453</v>
      </c>
      <c r="X587" s="8">
        <f t="shared" si="33"/>
        <v>0.70067783489227331</v>
      </c>
    </row>
    <row r="588" spans="1:25" x14ac:dyDescent="0.35">
      <c r="A588" s="6" t="s">
        <v>25</v>
      </c>
      <c r="B588" s="7"/>
      <c r="D588" s="6" t="s">
        <v>824</v>
      </c>
      <c r="E588" s="6">
        <v>2</v>
      </c>
      <c r="F588" s="6">
        <v>18</v>
      </c>
      <c r="G588" s="6" t="s">
        <v>272</v>
      </c>
      <c r="I588" s="8">
        <v>86.8240929166667</v>
      </c>
      <c r="J588" s="8">
        <v>116.572940347222</v>
      </c>
      <c r="K588" s="6" t="s">
        <v>29</v>
      </c>
      <c r="L588" s="9">
        <v>43832</v>
      </c>
      <c r="N588" s="6">
        <v>14</v>
      </c>
      <c r="O588" s="6" t="s">
        <v>4302</v>
      </c>
      <c r="R588" s="6">
        <v>82</v>
      </c>
      <c r="S588" s="6">
        <v>92</v>
      </c>
      <c r="T588" s="10">
        <f t="shared" si="34"/>
        <v>87</v>
      </c>
      <c r="V588" s="8">
        <v>-0.82251190969944044</v>
      </c>
      <c r="W588" s="8">
        <v>-1.9674591398239136</v>
      </c>
      <c r="X588" s="8">
        <f t="shared" si="33"/>
        <v>4.6126361377716094</v>
      </c>
    </row>
    <row r="589" spans="1:25" x14ac:dyDescent="0.35">
      <c r="A589" s="6" t="s">
        <v>25</v>
      </c>
      <c r="B589" s="7"/>
      <c r="D589" s="6" t="s">
        <v>825</v>
      </c>
      <c r="E589" s="6">
        <v>2</v>
      </c>
      <c r="F589" s="6">
        <v>18</v>
      </c>
      <c r="G589" s="6" t="s">
        <v>272</v>
      </c>
      <c r="I589" s="8">
        <v>86.8240929166667</v>
      </c>
      <c r="J589" s="8">
        <v>116.572940347222</v>
      </c>
      <c r="K589" s="6" t="s">
        <v>29</v>
      </c>
      <c r="L589" s="9">
        <v>43832</v>
      </c>
      <c r="N589" s="6">
        <v>14</v>
      </c>
      <c r="O589" s="6" t="s">
        <v>4302</v>
      </c>
      <c r="R589" s="6">
        <v>92</v>
      </c>
      <c r="S589" s="6">
        <v>104</v>
      </c>
      <c r="T589" s="10">
        <f t="shared" si="34"/>
        <v>98</v>
      </c>
      <c r="V589" s="8">
        <v>3.2043377909995639E-2</v>
      </c>
      <c r="W589" s="8">
        <v>0.22374151954650862</v>
      </c>
      <c r="X589" s="8">
        <f t="shared" si="33"/>
        <v>-3.2605503733456498E-2</v>
      </c>
    </row>
    <row r="590" spans="1:25" x14ac:dyDescent="0.35">
      <c r="A590" s="6" t="s">
        <v>25</v>
      </c>
      <c r="B590" s="6" t="s">
        <v>3380</v>
      </c>
      <c r="D590" s="6" t="s">
        <v>3682</v>
      </c>
      <c r="E590" s="6">
        <v>2</v>
      </c>
      <c r="F590" s="6">
        <v>18</v>
      </c>
      <c r="G590" s="6" t="s">
        <v>3984</v>
      </c>
      <c r="I590" s="8">
        <v>86.89846</v>
      </c>
      <c r="J590" s="8">
        <v>115.74153699999999</v>
      </c>
      <c r="K590" s="7" t="s">
        <v>2610</v>
      </c>
      <c r="L590" s="9">
        <v>43833</v>
      </c>
      <c r="N590" s="6">
        <v>14</v>
      </c>
      <c r="O590" s="6" t="s">
        <v>4271</v>
      </c>
      <c r="V590" s="8">
        <v>-2.1204824003577238</v>
      </c>
      <c r="W590" s="8">
        <v>-16.274373477172851</v>
      </c>
      <c r="X590" s="27">
        <f t="shared" si="33"/>
        <v>0.68948572568893951</v>
      </c>
    </row>
    <row r="591" spans="1:25" x14ac:dyDescent="0.35">
      <c r="A591" s="6" t="s">
        <v>25</v>
      </c>
      <c r="B591" s="6" t="s">
        <v>2764</v>
      </c>
      <c r="D591" s="6" t="s">
        <v>3099</v>
      </c>
      <c r="E591" s="6">
        <v>2</v>
      </c>
      <c r="F591" s="6">
        <v>18</v>
      </c>
      <c r="G591" s="6" t="s">
        <v>3224</v>
      </c>
      <c r="I591" s="8">
        <v>86.89846</v>
      </c>
      <c r="J591" s="8">
        <v>115.74153699999999</v>
      </c>
      <c r="K591" s="6" t="s">
        <v>198</v>
      </c>
      <c r="L591" s="9">
        <v>43833</v>
      </c>
      <c r="M591" s="18">
        <v>0.27013888888888887</v>
      </c>
      <c r="N591" s="6">
        <v>14</v>
      </c>
      <c r="O591" s="6" t="s">
        <v>4271</v>
      </c>
      <c r="R591" s="6">
        <v>9</v>
      </c>
      <c r="S591" s="6">
        <v>6</v>
      </c>
      <c r="V591" s="8">
        <v>-17.452235467529295</v>
      </c>
      <c r="W591" s="8">
        <v>-121.31286805725098</v>
      </c>
      <c r="X591" s="8">
        <f t="shared" si="33"/>
        <v>18.305015682983381</v>
      </c>
      <c r="Y591" s="6" t="s">
        <v>3179</v>
      </c>
    </row>
    <row r="592" spans="1:25" x14ac:dyDescent="0.35">
      <c r="A592" s="6" t="s">
        <v>25</v>
      </c>
      <c r="B592" s="6" t="s">
        <v>2765</v>
      </c>
      <c r="D592" s="6" t="s">
        <v>3099</v>
      </c>
      <c r="E592" s="6">
        <v>2</v>
      </c>
      <c r="F592" s="6">
        <v>18</v>
      </c>
      <c r="G592" s="6" t="s">
        <v>3224</v>
      </c>
      <c r="I592" s="8">
        <v>86.89846</v>
      </c>
      <c r="J592" s="8">
        <v>115.74153699999999</v>
      </c>
      <c r="K592" s="6" t="s">
        <v>198</v>
      </c>
      <c r="L592" s="9">
        <v>43833</v>
      </c>
      <c r="M592" s="18">
        <v>0.27013888888888887</v>
      </c>
      <c r="N592" s="6">
        <v>14</v>
      </c>
      <c r="O592" s="6" t="s">
        <v>4271</v>
      </c>
      <c r="R592" s="6">
        <v>6</v>
      </c>
      <c r="S592" s="6">
        <v>3</v>
      </c>
      <c r="V592" s="8">
        <v>-11.829807504272461</v>
      </c>
      <c r="W592" s="8">
        <v>-76.93652164459229</v>
      </c>
      <c r="X592" s="8">
        <f t="shared" si="33"/>
        <v>17.701938389587397</v>
      </c>
      <c r="Y592" s="6" t="s">
        <v>3179</v>
      </c>
    </row>
    <row r="593" spans="1:25" x14ac:dyDescent="0.35">
      <c r="A593" s="6" t="s">
        <v>25</v>
      </c>
      <c r="B593" s="6" t="s">
        <v>2766</v>
      </c>
      <c r="D593" s="6" t="s">
        <v>3099</v>
      </c>
      <c r="E593" s="6">
        <v>2</v>
      </c>
      <c r="F593" s="6">
        <v>18</v>
      </c>
      <c r="G593" s="6" t="s">
        <v>3224</v>
      </c>
      <c r="I593" s="8">
        <v>86.89846</v>
      </c>
      <c r="J593" s="8">
        <v>115.74153699999999</v>
      </c>
      <c r="K593" s="6" t="s">
        <v>198</v>
      </c>
      <c r="L593" s="9">
        <v>43833</v>
      </c>
      <c r="M593" s="18">
        <v>0.27013888888888887</v>
      </c>
      <c r="N593" s="6">
        <v>14</v>
      </c>
      <c r="O593" s="6" t="s">
        <v>4271</v>
      </c>
      <c r="R593" s="6">
        <v>3</v>
      </c>
      <c r="S593" s="6">
        <v>0</v>
      </c>
      <c r="V593" s="8">
        <v>-3.4212313133239753</v>
      </c>
      <c r="W593" s="8">
        <v>-31.819072261810302</v>
      </c>
      <c r="X593" s="8">
        <f t="shared" si="33"/>
        <v>-4.4492217552184989</v>
      </c>
      <c r="Y593" s="6" t="s">
        <v>3179</v>
      </c>
    </row>
    <row r="594" spans="1:25" x14ac:dyDescent="0.35">
      <c r="A594" s="6" t="s">
        <v>25</v>
      </c>
      <c r="B594" s="6" t="s">
        <v>3381</v>
      </c>
      <c r="D594" s="6" t="s">
        <v>3683</v>
      </c>
      <c r="E594" s="6">
        <v>2</v>
      </c>
      <c r="F594" s="6">
        <v>18</v>
      </c>
      <c r="G594" s="6" t="s">
        <v>3985</v>
      </c>
      <c r="I594" s="8">
        <v>87.005801180555551</v>
      </c>
      <c r="J594" s="8">
        <v>115.40656131944449</v>
      </c>
      <c r="K594" s="7" t="s">
        <v>2610</v>
      </c>
      <c r="L594" s="9">
        <v>43834</v>
      </c>
      <c r="N594" s="6">
        <v>14</v>
      </c>
      <c r="O594" s="6" t="s">
        <v>4303</v>
      </c>
      <c r="V594" s="8">
        <v>-2.2413729064166548</v>
      </c>
      <c r="W594" s="8">
        <v>-16.711235840988159</v>
      </c>
      <c r="X594" s="27">
        <f t="shared" si="33"/>
        <v>1.2197474103450787</v>
      </c>
    </row>
    <row r="595" spans="1:25" x14ac:dyDescent="0.35">
      <c r="A595" s="6" t="s">
        <v>25</v>
      </c>
      <c r="B595" s="6" t="s">
        <v>3382</v>
      </c>
      <c r="D595" s="6" t="s">
        <v>3684</v>
      </c>
      <c r="E595" s="6">
        <v>2</v>
      </c>
      <c r="F595" s="6">
        <v>18</v>
      </c>
      <c r="G595" s="6" t="s">
        <v>3986</v>
      </c>
      <c r="I595" s="8">
        <v>87.069480416666607</v>
      </c>
      <c r="J595" s="8">
        <v>115.32150958333331</v>
      </c>
      <c r="K595" s="7" t="s">
        <v>2610</v>
      </c>
      <c r="L595" s="9">
        <v>43835</v>
      </c>
      <c r="N595" s="6">
        <v>15</v>
      </c>
      <c r="O595" s="6" t="s">
        <v>4293</v>
      </c>
      <c r="V595" s="8">
        <v>-2.1516886974155902</v>
      </c>
      <c r="W595" s="8">
        <v>-15.381006795883177</v>
      </c>
      <c r="X595" s="27">
        <f t="shared" si="33"/>
        <v>1.8325027834415444</v>
      </c>
    </row>
    <row r="596" spans="1:25" x14ac:dyDescent="0.35">
      <c r="A596" s="6" t="s">
        <v>25</v>
      </c>
      <c r="B596" s="7" t="s">
        <v>826</v>
      </c>
      <c r="D596" s="6" t="s">
        <v>827</v>
      </c>
      <c r="E596" s="6">
        <v>2</v>
      </c>
      <c r="F596" s="6">
        <v>19</v>
      </c>
      <c r="G596" s="6" t="s">
        <v>202</v>
      </c>
      <c r="I596" s="8">
        <v>87.103055694444393</v>
      </c>
      <c r="J596" s="8">
        <v>115.160686597222</v>
      </c>
      <c r="K596" s="6" t="s">
        <v>29</v>
      </c>
      <c r="L596" s="9">
        <v>43836</v>
      </c>
      <c r="N596" s="6">
        <v>15</v>
      </c>
      <c r="O596" s="6" t="s">
        <v>4271</v>
      </c>
      <c r="Q596" s="10"/>
      <c r="R596" s="10">
        <v>30</v>
      </c>
      <c r="S596" s="10">
        <v>40</v>
      </c>
      <c r="T596" s="10">
        <f t="shared" ref="T596:T606" si="35">AVERAGE(R596:S596)</f>
        <v>35</v>
      </c>
      <c r="U596" s="11"/>
      <c r="V596" s="8">
        <v>0.85312201660871478</v>
      </c>
      <c r="W596" s="8">
        <v>6.2123077748298652</v>
      </c>
      <c r="X596" s="8">
        <f t="shared" si="33"/>
        <v>-0.61266835803985309</v>
      </c>
    </row>
    <row r="597" spans="1:25" x14ac:dyDescent="0.35">
      <c r="A597" s="6" t="s">
        <v>25</v>
      </c>
      <c r="B597" s="7" t="s">
        <v>828</v>
      </c>
      <c r="D597" s="6" t="s">
        <v>829</v>
      </c>
      <c r="E597" s="6">
        <v>2</v>
      </c>
      <c r="F597" s="6">
        <v>19</v>
      </c>
      <c r="G597" s="6" t="s">
        <v>202</v>
      </c>
      <c r="I597" s="8">
        <v>87.103055694444393</v>
      </c>
      <c r="J597" s="8">
        <v>115.160686597222</v>
      </c>
      <c r="K597" s="6" t="s">
        <v>29</v>
      </c>
      <c r="L597" s="9">
        <v>43836</v>
      </c>
      <c r="N597" s="6">
        <v>15</v>
      </c>
      <c r="O597" s="6" t="s">
        <v>4271</v>
      </c>
      <c r="Q597" s="10"/>
      <c r="R597" s="10">
        <v>20</v>
      </c>
      <c r="S597" s="10">
        <v>30</v>
      </c>
      <c r="T597" s="10">
        <f t="shared" si="35"/>
        <v>25</v>
      </c>
      <c r="U597" s="11"/>
      <c r="V597" s="8">
        <v>8.1345738506503409E-2</v>
      </c>
      <c r="W597" s="8">
        <v>0.64970873260498019</v>
      </c>
      <c r="X597" s="8">
        <f t="shared" si="33"/>
        <v>-1.0571754470470873E-3</v>
      </c>
    </row>
    <row r="598" spans="1:25" x14ac:dyDescent="0.35">
      <c r="A598" s="6" t="s">
        <v>25</v>
      </c>
      <c r="B598" s="7" t="s">
        <v>830</v>
      </c>
      <c r="D598" s="6" t="s">
        <v>831</v>
      </c>
      <c r="E598" s="6">
        <v>2</v>
      </c>
      <c r="F598" s="6">
        <v>19</v>
      </c>
      <c r="G598" s="6" t="s">
        <v>202</v>
      </c>
      <c r="I598" s="8">
        <v>87.103055694444393</v>
      </c>
      <c r="J598" s="8">
        <v>115.160686597222</v>
      </c>
      <c r="K598" s="6" t="s">
        <v>29</v>
      </c>
      <c r="L598" s="9">
        <v>43836</v>
      </c>
      <c r="N598" s="6">
        <v>15</v>
      </c>
      <c r="O598" s="6" t="s">
        <v>4271</v>
      </c>
      <c r="Q598" s="10"/>
      <c r="R598" s="10">
        <v>10</v>
      </c>
      <c r="S598" s="10">
        <v>20</v>
      </c>
      <c r="T598" s="10">
        <f t="shared" si="35"/>
        <v>15</v>
      </c>
      <c r="U598" s="11"/>
      <c r="V598" s="8">
        <v>-0.37047206266820465</v>
      </c>
      <c r="W598" s="8">
        <v>-3.3752148056030276</v>
      </c>
      <c r="X598" s="8">
        <f t="shared" si="33"/>
        <v>-0.41143830425739036</v>
      </c>
    </row>
    <row r="599" spans="1:25" x14ac:dyDescent="0.35">
      <c r="A599" s="6" t="s">
        <v>25</v>
      </c>
      <c r="B599" s="7" t="s">
        <v>843</v>
      </c>
      <c r="D599" s="6" t="s">
        <v>844</v>
      </c>
      <c r="E599" s="6">
        <v>2</v>
      </c>
      <c r="F599" s="6">
        <v>19</v>
      </c>
      <c r="G599" s="6" t="s">
        <v>393</v>
      </c>
      <c r="I599" s="8">
        <v>87.103055694444393</v>
      </c>
      <c r="J599" s="8">
        <v>115.160686597222</v>
      </c>
      <c r="K599" s="6" t="s">
        <v>390</v>
      </c>
      <c r="L599" s="9">
        <v>43836</v>
      </c>
      <c r="N599" s="6">
        <v>15</v>
      </c>
      <c r="O599" s="6" t="s">
        <v>4271</v>
      </c>
      <c r="Q599" s="10"/>
      <c r="R599" s="10">
        <v>7.5</v>
      </c>
      <c r="S599" s="10">
        <v>16</v>
      </c>
      <c r="T599" s="10">
        <f t="shared" si="35"/>
        <v>11.75</v>
      </c>
      <c r="U599" s="11"/>
      <c r="V599" s="8">
        <v>-0.80705701462030399</v>
      </c>
      <c r="W599" s="8">
        <v>-5.5739690093994145</v>
      </c>
      <c r="X599" s="8">
        <f t="shared" si="33"/>
        <v>0.8824871075630174</v>
      </c>
    </row>
    <row r="600" spans="1:25" x14ac:dyDescent="0.35">
      <c r="A600" s="6" t="s">
        <v>25</v>
      </c>
      <c r="B600" s="7" t="s">
        <v>845</v>
      </c>
      <c r="D600" s="6" t="s">
        <v>846</v>
      </c>
      <c r="E600" s="6">
        <v>2</v>
      </c>
      <c r="F600" s="6">
        <v>19</v>
      </c>
      <c r="G600" s="6" t="s">
        <v>393</v>
      </c>
      <c r="I600" s="8">
        <v>87.103055694444393</v>
      </c>
      <c r="J600" s="8">
        <v>115.160686597222</v>
      </c>
      <c r="K600" s="6" t="s">
        <v>390</v>
      </c>
      <c r="L600" s="9">
        <v>43836</v>
      </c>
      <c r="N600" s="6">
        <v>15</v>
      </c>
      <c r="O600" s="6" t="s">
        <v>4271</v>
      </c>
      <c r="Q600" s="10"/>
      <c r="R600" s="10">
        <v>0</v>
      </c>
      <c r="S600" s="10">
        <v>7.5</v>
      </c>
      <c r="T600" s="10">
        <f t="shared" si="35"/>
        <v>3.75</v>
      </c>
      <c r="U600" s="11"/>
      <c r="V600" s="8">
        <v>-1.078891277313232</v>
      </c>
      <c r="W600" s="8">
        <v>-6.5864007472991961</v>
      </c>
      <c r="X600" s="8">
        <f t="shared" si="33"/>
        <v>2.0447294712066597</v>
      </c>
    </row>
    <row r="601" spans="1:25" x14ac:dyDescent="0.35">
      <c r="A601" s="6" t="s">
        <v>25</v>
      </c>
      <c r="B601" s="7" t="s">
        <v>832</v>
      </c>
      <c r="D601" s="6" t="s">
        <v>833</v>
      </c>
      <c r="E601" s="6">
        <v>2</v>
      </c>
      <c r="F601" s="6">
        <v>19</v>
      </c>
      <c r="G601" s="6" t="s">
        <v>202</v>
      </c>
      <c r="I601" s="8">
        <v>87.103055694444393</v>
      </c>
      <c r="J601" s="8">
        <v>115.160686597222</v>
      </c>
      <c r="K601" s="6" t="s">
        <v>29</v>
      </c>
      <c r="L601" s="9">
        <v>43836</v>
      </c>
      <c r="N601" s="6">
        <v>15</v>
      </c>
      <c r="O601" s="6" t="s">
        <v>4271</v>
      </c>
      <c r="Q601" s="10"/>
      <c r="R601" s="10">
        <v>80</v>
      </c>
      <c r="S601" s="10">
        <v>91</v>
      </c>
      <c r="T601" s="10">
        <f t="shared" si="35"/>
        <v>85.5</v>
      </c>
      <c r="U601" s="11"/>
      <c r="V601" s="8">
        <v>-0.16804410050660362</v>
      </c>
      <c r="W601" s="8">
        <v>-0.75928994172811481</v>
      </c>
      <c r="X601" s="8">
        <f t="shared" si="33"/>
        <v>0.58506286232471416</v>
      </c>
    </row>
    <row r="602" spans="1:25" x14ac:dyDescent="0.35">
      <c r="A602" s="6" t="s">
        <v>25</v>
      </c>
      <c r="B602" s="7" t="s">
        <v>834</v>
      </c>
      <c r="D602" s="6" t="s">
        <v>835</v>
      </c>
      <c r="E602" s="6">
        <v>2</v>
      </c>
      <c r="F602" s="6">
        <v>19</v>
      </c>
      <c r="G602" s="6" t="s">
        <v>202</v>
      </c>
      <c r="I602" s="8">
        <v>87.103055694444393</v>
      </c>
      <c r="J602" s="8">
        <v>115.160686597222</v>
      </c>
      <c r="K602" s="6" t="s">
        <v>29</v>
      </c>
      <c r="L602" s="9">
        <v>43836</v>
      </c>
      <c r="N602" s="6">
        <v>15</v>
      </c>
      <c r="O602" s="6" t="s">
        <v>4271</v>
      </c>
      <c r="Q602" s="10"/>
      <c r="R602" s="10">
        <v>70</v>
      </c>
      <c r="S602" s="10">
        <v>80</v>
      </c>
      <c r="T602" s="10">
        <f t="shared" si="35"/>
        <v>75</v>
      </c>
      <c r="U602" s="11"/>
      <c r="V602" s="8">
        <v>2.1923592650334375E-3</v>
      </c>
      <c r="W602" s="8">
        <v>0.31680703115463277</v>
      </c>
      <c r="X602" s="8">
        <f t="shared" si="33"/>
        <v>0.29926815703436527</v>
      </c>
    </row>
    <row r="603" spans="1:25" x14ac:dyDescent="0.35">
      <c r="A603" s="6" t="s">
        <v>25</v>
      </c>
      <c r="B603" s="7" t="s">
        <v>836</v>
      </c>
      <c r="D603" s="6" t="s">
        <v>837</v>
      </c>
      <c r="E603" s="6">
        <v>2</v>
      </c>
      <c r="F603" s="6">
        <v>19</v>
      </c>
      <c r="G603" s="6" t="s">
        <v>202</v>
      </c>
      <c r="I603" s="8">
        <v>87.103055694444393</v>
      </c>
      <c r="J603" s="8">
        <v>115.160686597222</v>
      </c>
      <c r="K603" s="6" t="s">
        <v>29</v>
      </c>
      <c r="L603" s="9">
        <v>43836</v>
      </c>
      <c r="N603" s="6">
        <v>15</v>
      </c>
      <c r="O603" s="6" t="s">
        <v>4271</v>
      </c>
      <c r="Q603" s="10"/>
      <c r="R603" s="10">
        <v>60</v>
      </c>
      <c r="S603" s="10">
        <v>70</v>
      </c>
      <c r="T603" s="10">
        <f t="shared" si="35"/>
        <v>65</v>
      </c>
      <c r="U603" s="11"/>
      <c r="V603" s="8">
        <v>0.5014731675624845</v>
      </c>
      <c r="W603" s="8">
        <v>4.5685110980272299</v>
      </c>
      <c r="X603" s="8">
        <f t="shared" si="33"/>
        <v>0.55672575752735387</v>
      </c>
    </row>
    <row r="604" spans="1:25" x14ac:dyDescent="0.35">
      <c r="A604" s="6" t="s">
        <v>25</v>
      </c>
      <c r="B604" s="7" t="s">
        <v>838</v>
      </c>
      <c r="D604" s="6" t="s">
        <v>839</v>
      </c>
      <c r="E604" s="6">
        <v>2</v>
      </c>
      <c r="F604" s="6">
        <v>19</v>
      </c>
      <c r="G604" s="6" t="s">
        <v>202</v>
      </c>
      <c r="I604" s="8">
        <v>87.103055694444393</v>
      </c>
      <c r="J604" s="8">
        <v>115.160686597222</v>
      </c>
      <c r="K604" s="6" t="s">
        <v>29</v>
      </c>
      <c r="L604" s="9">
        <v>43836</v>
      </c>
      <c r="N604" s="6">
        <v>15</v>
      </c>
      <c r="O604" s="6" t="s">
        <v>4271</v>
      </c>
      <c r="Q604" s="10"/>
      <c r="R604" s="10">
        <v>50</v>
      </c>
      <c r="S604" s="10">
        <v>60</v>
      </c>
      <c r="T604" s="10">
        <f t="shared" si="35"/>
        <v>55</v>
      </c>
      <c r="U604" s="11"/>
      <c r="V604" s="8">
        <v>0.6373284979184467</v>
      </c>
      <c r="W604" s="8">
        <v>6.9747774707476298</v>
      </c>
      <c r="X604" s="8">
        <f t="shared" si="33"/>
        <v>1.8761494874000562</v>
      </c>
    </row>
    <row r="605" spans="1:25" x14ac:dyDescent="0.35">
      <c r="A605" s="6" t="s">
        <v>25</v>
      </c>
      <c r="B605" s="7" t="s">
        <v>840</v>
      </c>
      <c r="D605" s="6" t="s">
        <v>841</v>
      </c>
      <c r="E605" s="6">
        <v>2</v>
      </c>
      <c r="F605" s="6">
        <v>19</v>
      </c>
      <c r="G605" s="6" t="s">
        <v>202</v>
      </c>
      <c r="I605" s="8">
        <v>87.103055694444393</v>
      </c>
      <c r="J605" s="8">
        <v>115.160686597222</v>
      </c>
      <c r="K605" s="6" t="s">
        <v>29</v>
      </c>
      <c r="L605" s="9">
        <v>43836</v>
      </c>
      <c r="N605" s="6">
        <v>15</v>
      </c>
      <c r="O605" s="6" t="s">
        <v>4271</v>
      </c>
      <c r="Q605" s="10"/>
      <c r="R605" s="10">
        <v>40</v>
      </c>
      <c r="S605" s="10">
        <v>50</v>
      </c>
      <c r="T605" s="10">
        <f t="shared" si="35"/>
        <v>45</v>
      </c>
      <c r="U605" s="11"/>
      <c r="V605" s="8">
        <v>0.4826410680502653</v>
      </c>
      <c r="W605" s="8">
        <v>4.3334591529369355</v>
      </c>
      <c r="X605" s="8">
        <f t="shared" si="33"/>
        <v>0.47233060853481312</v>
      </c>
    </row>
    <row r="606" spans="1:25" x14ac:dyDescent="0.35">
      <c r="A606" s="6" t="s">
        <v>25</v>
      </c>
      <c r="B606" s="7" t="s">
        <v>847</v>
      </c>
      <c r="D606" s="6" t="s">
        <v>848</v>
      </c>
      <c r="E606" s="6">
        <v>2</v>
      </c>
      <c r="F606" s="6">
        <v>19</v>
      </c>
      <c r="G606" s="6" t="s">
        <v>60</v>
      </c>
      <c r="I606" s="8">
        <v>87.103055694444393</v>
      </c>
      <c r="J606" s="8">
        <v>115.160686597222</v>
      </c>
      <c r="K606" s="7" t="s">
        <v>2610</v>
      </c>
      <c r="L606" s="9">
        <v>43836</v>
      </c>
      <c r="N606" s="6">
        <v>15</v>
      </c>
      <c r="O606" s="6" t="s">
        <v>4271</v>
      </c>
      <c r="Q606" s="10">
        <v>200</v>
      </c>
      <c r="R606" s="10"/>
      <c r="S606" s="10">
        <v>200</v>
      </c>
      <c r="T606" s="10">
        <f t="shared" si="35"/>
        <v>200</v>
      </c>
      <c r="U606" s="11"/>
      <c r="V606" s="8">
        <v>-2.3387736280441285</v>
      </c>
      <c r="W606" s="8">
        <v>-16.735319030761719</v>
      </c>
      <c r="X606" s="8">
        <f t="shared" si="33"/>
        <v>1.9748699935913088</v>
      </c>
    </row>
    <row r="607" spans="1:25" x14ac:dyDescent="0.35">
      <c r="A607" s="6" t="s">
        <v>25</v>
      </c>
      <c r="B607" s="6" t="s">
        <v>3383</v>
      </c>
      <c r="D607" s="6" t="s">
        <v>3685</v>
      </c>
      <c r="E607" s="6">
        <v>2</v>
      </c>
      <c r="F607" s="6">
        <v>19</v>
      </c>
      <c r="G607" s="6" t="s">
        <v>3987</v>
      </c>
      <c r="I607" s="8">
        <v>87.102777000000003</v>
      </c>
      <c r="J607" s="8">
        <v>115.185585</v>
      </c>
      <c r="K607" s="7" t="s">
        <v>2610</v>
      </c>
      <c r="L607" s="9">
        <v>43836</v>
      </c>
      <c r="N607" s="6">
        <v>15</v>
      </c>
      <c r="O607" s="6" t="s">
        <v>4271</v>
      </c>
      <c r="V607" s="8">
        <v>-2.1078519088774921</v>
      </c>
      <c r="W607" s="8">
        <v>-17.004103640747068</v>
      </c>
      <c r="X607" s="27">
        <f t="shared" si="33"/>
        <v>-0.14128836972713188</v>
      </c>
    </row>
    <row r="608" spans="1:25" x14ac:dyDescent="0.35">
      <c r="A608" s="6" t="s">
        <v>25</v>
      </c>
      <c r="B608" s="6" t="s">
        <v>2767</v>
      </c>
      <c r="D608" s="6" t="s">
        <v>3100</v>
      </c>
      <c r="E608" s="6">
        <v>2</v>
      </c>
      <c r="F608" s="6">
        <v>19</v>
      </c>
      <c r="G608" s="6" t="s">
        <v>3229</v>
      </c>
      <c r="I608" s="8">
        <v>87.098822999999996</v>
      </c>
      <c r="J608" s="8">
        <v>115.257965</v>
      </c>
      <c r="K608" s="6" t="s">
        <v>198</v>
      </c>
      <c r="L608" s="9">
        <v>43836</v>
      </c>
      <c r="M608" s="18">
        <v>0.2673611111111111</v>
      </c>
      <c r="N608" s="6">
        <v>15</v>
      </c>
      <c r="O608" s="6" t="s">
        <v>4271</v>
      </c>
      <c r="R608" s="6">
        <v>18</v>
      </c>
      <c r="S608" s="6">
        <v>10</v>
      </c>
      <c r="V608" s="8">
        <v>-3.8765785308837897</v>
      </c>
      <c r="W608" s="8">
        <v>-37.088483444213864</v>
      </c>
      <c r="X608" s="8">
        <f t="shared" si="33"/>
        <v>-6.0758551971435466</v>
      </c>
      <c r="Y608" s="6" t="s">
        <v>3180</v>
      </c>
    </row>
    <row r="609" spans="1:25" x14ac:dyDescent="0.35">
      <c r="A609" s="6" t="s">
        <v>25</v>
      </c>
      <c r="B609" s="6" t="s">
        <v>2768</v>
      </c>
      <c r="D609" s="6" t="s">
        <v>3100</v>
      </c>
      <c r="E609" s="6">
        <v>2</v>
      </c>
      <c r="F609" s="6">
        <v>19</v>
      </c>
      <c r="G609" s="6" t="s">
        <v>3229</v>
      </c>
      <c r="I609" s="8">
        <v>87.098822999999996</v>
      </c>
      <c r="J609" s="8">
        <v>115.257965</v>
      </c>
      <c r="K609" s="6" t="s">
        <v>198</v>
      </c>
      <c r="L609" s="9">
        <v>43836</v>
      </c>
      <c r="M609" s="18">
        <v>0.2673611111111111</v>
      </c>
      <c r="N609" s="6">
        <v>15</v>
      </c>
      <c r="O609" s="6" t="s">
        <v>4271</v>
      </c>
      <c r="R609" s="6">
        <v>3</v>
      </c>
      <c r="S609" s="6">
        <v>0</v>
      </c>
      <c r="V609" s="8">
        <v>-1.9684969978809357</v>
      </c>
      <c r="W609" s="8">
        <v>-16.14422368812561</v>
      </c>
      <c r="X609" s="8">
        <f t="shared" si="33"/>
        <v>-0.39624770507812457</v>
      </c>
      <c r="Y609" s="6" t="s">
        <v>3180</v>
      </c>
    </row>
    <row r="610" spans="1:25" x14ac:dyDescent="0.35">
      <c r="A610" s="6" t="s">
        <v>25</v>
      </c>
      <c r="B610" s="6" t="s">
        <v>2769</v>
      </c>
      <c r="D610" s="6" t="s">
        <v>3100</v>
      </c>
      <c r="E610" s="6">
        <v>2</v>
      </c>
      <c r="F610" s="6">
        <v>19</v>
      </c>
      <c r="G610" s="6" t="s">
        <v>3229</v>
      </c>
      <c r="I610" s="8">
        <v>87.098822999999996</v>
      </c>
      <c r="J610" s="8">
        <v>115.257965</v>
      </c>
      <c r="K610" s="6" t="s">
        <v>198</v>
      </c>
      <c r="L610" s="9">
        <v>43836</v>
      </c>
      <c r="M610" s="18">
        <v>0.2673611111111111</v>
      </c>
      <c r="N610" s="6">
        <v>15</v>
      </c>
      <c r="O610" s="6" t="s">
        <v>4271</v>
      </c>
      <c r="R610" s="6">
        <v>25</v>
      </c>
      <c r="S610" s="6">
        <v>19</v>
      </c>
      <c r="V610" s="8">
        <v>-19.283493807601928</v>
      </c>
      <c r="W610" s="8">
        <v>-133.71567387390138</v>
      </c>
      <c r="X610" s="8">
        <f t="shared" si="33"/>
        <v>20.552276586914047</v>
      </c>
      <c r="Y610" s="6" t="s">
        <v>3180</v>
      </c>
    </row>
    <row r="611" spans="1:25" x14ac:dyDescent="0.35">
      <c r="A611" s="6" t="s">
        <v>25</v>
      </c>
      <c r="B611" s="6" t="s">
        <v>2770</v>
      </c>
      <c r="D611" s="6" t="s">
        <v>3101</v>
      </c>
      <c r="E611" s="6">
        <v>2</v>
      </c>
      <c r="F611" s="6">
        <v>19</v>
      </c>
      <c r="G611" s="6" t="s">
        <v>3228</v>
      </c>
      <c r="I611" s="8">
        <v>87.102777000000003</v>
      </c>
      <c r="J611" s="8">
        <v>115.185585</v>
      </c>
      <c r="K611" s="6" t="s">
        <v>198</v>
      </c>
      <c r="L611" s="9">
        <v>43836</v>
      </c>
      <c r="M611" s="18">
        <v>0.46180555555555558</v>
      </c>
      <c r="N611" s="6">
        <v>15</v>
      </c>
      <c r="O611" s="6" t="s">
        <v>4271</v>
      </c>
      <c r="R611" s="6">
        <v>9</v>
      </c>
      <c r="S611" s="6">
        <v>6</v>
      </c>
      <c r="V611" s="8">
        <v>-19.891275622558592</v>
      </c>
      <c r="W611" s="8">
        <v>-133.26890205383302</v>
      </c>
      <c r="X611" s="8">
        <f t="shared" si="33"/>
        <v>25.861302926635716</v>
      </c>
    </row>
    <row r="612" spans="1:25" x14ac:dyDescent="0.35">
      <c r="A612" s="6" t="s">
        <v>25</v>
      </c>
      <c r="B612" s="6" t="s">
        <v>2771</v>
      </c>
      <c r="D612" s="6" t="s">
        <v>3101</v>
      </c>
      <c r="E612" s="6">
        <v>2</v>
      </c>
      <c r="F612" s="6">
        <v>19</v>
      </c>
      <c r="G612" s="6" t="s">
        <v>3228</v>
      </c>
      <c r="I612" s="8">
        <v>87.102777000000003</v>
      </c>
      <c r="J612" s="8">
        <v>115.185585</v>
      </c>
      <c r="K612" s="6" t="s">
        <v>198</v>
      </c>
      <c r="L612" s="9">
        <v>43836</v>
      </c>
      <c r="M612" s="18">
        <v>0.46180555555555558</v>
      </c>
      <c r="N612" s="6">
        <v>15</v>
      </c>
      <c r="O612" s="6" t="s">
        <v>4271</v>
      </c>
      <c r="R612" s="6">
        <v>6</v>
      </c>
      <c r="S612" s="6">
        <v>3</v>
      </c>
      <c r="V612" s="8">
        <v>-12.251910388183594</v>
      </c>
      <c r="W612" s="8">
        <v>-91.653237968444827</v>
      </c>
      <c r="X612" s="8">
        <f t="shared" si="33"/>
        <v>6.3620451370239266</v>
      </c>
    </row>
    <row r="613" spans="1:25" x14ac:dyDescent="0.35">
      <c r="A613" s="6" t="s">
        <v>25</v>
      </c>
      <c r="B613" s="6" t="s">
        <v>2772</v>
      </c>
      <c r="D613" s="6" t="s">
        <v>3101</v>
      </c>
      <c r="E613" s="6">
        <v>2</v>
      </c>
      <c r="F613" s="6">
        <v>19</v>
      </c>
      <c r="G613" s="6" t="s">
        <v>3228</v>
      </c>
      <c r="I613" s="8">
        <v>87.102777000000003</v>
      </c>
      <c r="J613" s="8">
        <v>115.185585</v>
      </c>
      <c r="K613" s="6" t="s">
        <v>198</v>
      </c>
      <c r="L613" s="9">
        <v>43836</v>
      </c>
      <c r="M613" s="18">
        <v>0.46180555555555558</v>
      </c>
      <c r="N613" s="6">
        <v>15</v>
      </c>
      <c r="O613" s="6" t="s">
        <v>4271</v>
      </c>
      <c r="R613" s="6">
        <v>3</v>
      </c>
      <c r="S613" s="6">
        <v>0</v>
      </c>
      <c r="V613" s="8">
        <v>-8.6393839141845703</v>
      </c>
      <c r="W613" s="8">
        <v>-77.953200447082523</v>
      </c>
      <c r="X613" s="8">
        <f t="shared" si="33"/>
        <v>-8.8381291336059604</v>
      </c>
    </row>
    <row r="614" spans="1:25" x14ac:dyDescent="0.35">
      <c r="A614" s="6" t="s">
        <v>25</v>
      </c>
      <c r="B614" s="7"/>
      <c r="D614" s="6" t="s">
        <v>842</v>
      </c>
      <c r="E614" s="6">
        <v>2</v>
      </c>
      <c r="F614" s="6">
        <v>19</v>
      </c>
      <c r="G614" s="6" t="s">
        <v>202</v>
      </c>
      <c r="I614" s="8">
        <v>87.103055694444393</v>
      </c>
      <c r="J614" s="8">
        <v>115.160686597222</v>
      </c>
      <c r="K614" s="6" t="s">
        <v>29</v>
      </c>
      <c r="L614" s="9">
        <v>43836</v>
      </c>
      <c r="N614" s="6">
        <v>15</v>
      </c>
      <c r="O614" s="6" t="s">
        <v>4271</v>
      </c>
      <c r="R614" s="6">
        <v>0</v>
      </c>
      <c r="S614" s="6">
        <v>10</v>
      </c>
      <c r="T614" s="10">
        <f>AVERAGE(R614:S614)</f>
        <v>5</v>
      </c>
      <c r="V614" s="8">
        <v>-6.7278392742157003</v>
      </c>
      <c r="W614" s="8">
        <v>-52.288089332580562</v>
      </c>
      <c r="X614" s="8">
        <f t="shared" si="33"/>
        <v>1.5346248611450406</v>
      </c>
    </row>
    <row r="615" spans="1:25" x14ac:dyDescent="0.35">
      <c r="A615" s="6" t="s">
        <v>25</v>
      </c>
      <c r="B615" s="6" t="s">
        <v>3384</v>
      </c>
      <c r="D615" s="6" t="s">
        <v>3686</v>
      </c>
      <c r="E615" s="6">
        <v>2</v>
      </c>
      <c r="F615" s="6">
        <v>19</v>
      </c>
      <c r="G615" s="6" t="s">
        <v>3988</v>
      </c>
      <c r="I615" s="8">
        <v>87.118453333333377</v>
      </c>
      <c r="J615" s="8">
        <v>115.00541805555551</v>
      </c>
      <c r="K615" s="7" t="s">
        <v>2610</v>
      </c>
      <c r="L615" s="9">
        <v>43837</v>
      </c>
      <c r="N615" s="6">
        <v>15</v>
      </c>
      <c r="O615" s="6" t="s">
        <v>4295</v>
      </c>
      <c r="V615" s="8">
        <v>-2.137209595963359</v>
      </c>
      <c r="W615" s="8">
        <v>-16.100578576278686</v>
      </c>
      <c r="X615" s="27">
        <f t="shared" si="33"/>
        <v>0.99709819142818645</v>
      </c>
    </row>
    <row r="616" spans="1:25" x14ac:dyDescent="0.35">
      <c r="A616" s="6" t="s">
        <v>25</v>
      </c>
      <c r="B616" s="6" t="s">
        <v>3385</v>
      </c>
      <c r="D616" s="6" t="s">
        <v>3687</v>
      </c>
      <c r="E616" s="6">
        <v>2</v>
      </c>
      <c r="F616" s="6">
        <v>19</v>
      </c>
      <c r="G616" s="6" t="s">
        <v>3989</v>
      </c>
      <c r="I616" s="8">
        <v>87.115744791666629</v>
      </c>
      <c r="J616" s="8">
        <v>115.12574055555559</v>
      </c>
      <c r="K616" s="7" t="s">
        <v>2610</v>
      </c>
      <c r="L616" s="9">
        <v>43838</v>
      </c>
      <c r="N616" s="6">
        <v>15</v>
      </c>
      <c r="O616" s="6" t="s">
        <v>4304</v>
      </c>
      <c r="V616" s="8">
        <v>-2.3155674917995932</v>
      </c>
      <c r="W616" s="8">
        <v>-16.504657279205322</v>
      </c>
      <c r="X616" s="27">
        <f t="shared" si="33"/>
        <v>2.0198826551914237</v>
      </c>
    </row>
    <row r="617" spans="1:25" x14ac:dyDescent="0.35">
      <c r="A617" s="6" t="s">
        <v>25</v>
      </c>
      <c r="B617" s="6" t="s">
        <v>3386</v>
      </c>
      <c r="D617" s="6" t="s">
        <v>3688</v>
      </c>
      <c r="E617" s="6">
        <v>2</v>
      </c>
      <c r="F617" s="6">
        <v>19</v>
      </c>
      <c r="G617" s="6" t="s">
        <v>3990</v>
      </c>
      <c r="I617" s="8">
        <v>87.144782430555495</v>
      </c>
      <c r="J617" s="8">
        <v>114.23376645833338</v>
      </c>
      <c r="K617" s="7" t="s">
        <v>2610</v>
      </c>
      <c r="L617" s="9">
        <v>43839</v>
      </c>
      <c r="N617" s="6">
        <v>15</v>
      </c>
      <c r="O617" s="6" t="s">
        <v>4305</v>
      </c>
      <c r="V617" s="8">
        <v>-2.2948062406480316</v>
      </c>
      <c r="W617" s="8">
        <v>-16.416615176391602</v>
      </c>
      <c r="X617" s="27">
        <f t="shared" si="33"/>
        <v>1.9418347487926511</v>
      </c>
    </row>
    <row r="618" spans="1:25" x14ac:dyDescent="0.35">
      <c r="A618" s="6" t="s">
        <v>25</v>
      </c>
      <c r="B618" s="6" t="s">
        <v>3387</v>
      </c>
      <c r="D618" s="6" t="s">
        <v>3689</v>
      </c>
      <c r="E618" s="6">
        <v>2</v>
      </c>
      <c r="F618" s="6">
        <v>19</v>
      </c>
      <c r="G618" s="6" t="s">
        <v>3991</v>
      </c>
      <c r="I618" s="8">
        <v>87.168233999999998</v>
      </c>
      <c r="J618" s="8">
        <v>113.08940699999999</v>
      </c>
      <c r="K618" s="7" t="s">
        <v>2610</v>
      </c>
      <c r="L618" s="9">
        <v>43840</v>
      </c>
      <c r="N618" s="6">
        <v>15</v>
      </c>
      <c r="O618" s="6" t="s">
        <v>4306</v>
      </c>
      <c r="V618" s="8">
        <v>-2.1391771598160263</v>
      </c>
      <c r="W618" s="8">
        <v>-18.094225228500363</v>
      </c>
      <c r="X618" s="27">
        <f t="shared" si="33"/>
        <v>-0.98080794997215293</v>
      </c>
    </row>
    <row r="619" spans="1:25" x14ac:dyDescent="0.35">
      <c r="A619" s="6" t="s">
        <v>25</v>
      </c>
      <c r="B619" s="6" t="s">
        <v>2773</v>
      </c>
      <c r="D619" s="6" t="s">
        <v>3102</v>
      </c>
      <c r="E619" s="6">
        <v>2</v>
      </c>
      <c r="F619" s="6">
        <v>19</v>
      </c>
      <c r="G619" s="6" t="s">
        <v>3230</v>
      </c>
      <c r="I619" s="8">
        <v>87.168233999999998</v>
      </c>
      <c r="J619" s="8">
        <v>113.08940699999999</v>
      </c>
      <c r="K619" s="6" t="s">
        <v>198</v>
      </c>
      <c r="L619" s="9">
        <v>43840</v>
      </c>
      <c r="M619" s="18">
        <v>0.27777777777777779</v>
      </c>
      <c r="N619" s="6">
        <v>15</v>
      </c>
      <c r="O619" s="6" t="s">
        <v>4306</v>
      </c>
      <c r="R619" s="6">
        <v>14</v>
      </c>
      <c r="S619" s="6">
        <v>10</v>
      </c>
      <c r="V619" s="8">
        <v>-21.152333056640625</v>
      </c>
      <c r="W619" s="8">
        <v>-148.71207864379883</v>
      </c>
      <c r="X619" s="8">
        <f t="shared" si="33"/>
        <v>20.506585809326168</v>
      </c>
    </row>
    <row r="620" spans="1:25" x14ac:dyDescent="0.35">
      <c r="A620" s="6" t="s">
        <v>25</v>
      </c>
      <c r="B620" s="6" t="s">
        <v>2774</v>
      </c>
      <c r="D620" s="6" t="s">
        <v>3102</v>
      </c>
      <c r="E620" s="6">
        <v>2</v>
      </c>
      <c r="F620" s="6">
        <v>19</v>
      </c>
      <c r="G620" s="6" t="s">
        <v>3230</v>
      </c>
      <c r="I620" s="8">
        <v>87.168233999999998</v>
      </c>
      <c r="J620" s="8">
        <v>113.08940699999999</v>
      </c>
      <c r="K620" s="6" t="s">
        <v>198</v>
      </c>
      <c r="L620" s="9">
        <v>43840</v>
      </c>
      <c r="M620" s="18">
        <v>0.27777777777777779</v>
      </c>
      <c r="N620" s="6">
        <v>15</v>
      </c>
      <c r="O620" s="6" t="s">
        <v>4306</v>
      </c>
      <c r="R620" s="6">
        <v>8</v>
      </c>
      <c r="S620" s="6">
        <v>4</v>
      </c>
      <c r="V620" s="8">
        <v>-14.297456057739259</v>
      </c>
      <c r="W620" s="8">
        <v>-107.91442877197265</v>
      </c>
      <c r="X620" s="8">
        <f t="shared" si="33"/>
        <v>6.4652196899414207</v>
      </c>
    </row>
    <row r="621" spans="1:25" x14ac:dyDescent="0.35">
      <c r="A621" s="6" t="s">
        <v>25</v>
      </c>
      <c r="B621" s="6" t="s">
        <v>2775</v>
      </c>
      <c r="D621" s="6" t="s">
        <v>3102</v>
      </c>
      <c r="E621" s="6">
        <v>2</v>
      </c>
      <c r="F621" s="6">
        <v>19</v>
      </c>
      <c r="G621" s="6" t="s">
        <v>3230</v>
      </c>
      <c r="I621" s="8">
        <v>87.168233999999998</v>
      </c>
      <c r="J621" s="8">
        <v>113.08940699999999</v>
      </c>
      <c r="K621" s="6" t="s">
        <v>198</v>
      </c>
      <c r="L621" s="9">
        <v>43840</v>
      </c>
      <c r="M621" s="18">
        <v>0.27777777777777779</v>
      </c>
      <c r="N621" s="6">
        <v>15</v>
      </c>
      <c r="O621" s="6" t="s">
        <v>4306</v>
      </c>
      <c r="R621" s="6">
        <v>4</v>
      </c>
      <c r="S621" s="6">
        <v>0</v>
      </c>
      <c r="V621" s="8">
        <v>-10.005543566894533</v>
      </c>
      <c r="W621" s="8">
        <v>-89.333492362976074</v>
      </c>
      <c r="X621" s="8">
        <f t="shared" si="33"/>
        <v>-9.2891438278198137</v>
      </c>
    </row>
    <row r="622" spans="1:25" x14ac:dyDescent="0.35">
      <c r="A622" s="6" t="s">
        <v>25</v>
      </c>
      <c r="B622" s="6" t="s">
        <v>2777</v>
      </c>
      <c r="D622" s="6" t="s">
        <v>3104</v>
      </c>
      <c r="E622" s="6">
        <v>2</v>
      </c>
      <c r="F622" s="6">
        <v>19</v>
      </c>
      <c r="G622" s="6" t="s">
        <v>3226</v>
      </c>
      <c r="I622" s="8">
        <v>87.175693999999993</v>
      </c>
      <c r="J622" s="8">
        <v>112.794265</v>
      </c>
      <c r="K622" s="6" t="s">
        <v>198</v>
      </c>
      <c r="L622" s="9">
        <v>43840</v>
      </c>
      <c r="M622" s="18">
        <v>0.45833333333333331</v>
      </c>
      <c r="N622" s="6">
        <v>15</v>
      </c>
      <c r="O622" s="6" t="s">
        <v>4306</v>
      </c>
      <c r="R622" s="6">
        <v>37</v>
      </c>
      <c r="S622" s="6">
        <v>24</v>
      </c>
      <c r="V622" s="8">
        <v>-32.153814650268551</v>
      </c>
      <c r="W622" s="8">
        <v>-237.50663468627931</v>
      </c>
      <c r="X622" s="8">
        <f t="shared" si="33"/>
        <v>19.723882515869093</v>
      </c>
    </row>
    <row r="623" spans="1:25" x14ac:dyDescent="0.35">
      <c r="A623" s="6" t="s">
        <v>25</v>
      </c>
      <c r="B623" s="6" t="s">
        <v>2778</v>
      </c>
      <c r="D623" s="6" t="s">
        <v>3104</v>
      </c>
      <c r="E623" s="6">
        <v>2</v>
      </c>
      <c r="F623" s="6">
        <v>19</v>
      </c>
      <c r="G623" s="6" t="s">
        <v>3226</v>
      </c>
      <c r="I623" s="8">
        <v>87.175693999999993</v>
      </c>
      <c r="J623" s="8">
        <v>112.794265</v>
      </c>
      <c r="K623" s="6" t="s">
        <v>198</v>
      </c>
      <c r="L623" s="9">
        <v>43840</v>
      </c>
      <c r="M623" s="18">
        <v>0.45833333333333331</v>
      </c>
      <c r="N623" s="6">
        <v>15</v>
      </c>
      <c r="O623" s="6" t="s">
        <v>4306</v>
      </c>
      <c r="R623" s="6">
        <v>25</v>
      </c>
      <c r="S623" s="6">
        <v>19</v>
      </c>
      <c r="V623" s="8">
        <v>-37.142407866210931</v>
      </c>
      <c r="W623" s="8">
        <v>-273.71306808166503</v>
      </c>
      <c r="X623" s="8">
        <f t="shared" si="33"/>
        <v>23.426194848022419</v>
      </c>
    </row>
    <row r="624" spans="1:25" x14ac:dyDescent="0.35">
      <c r="A624" s="6" t="s">
        <v>25</v>
      </c>
      <c r="B624" s="6" t="s">
        <v>2779</v>
      </c>
      <c r="D624" s="6" t="s">
        <v>3104</v>
      </c>
      <c r="E624" s="6">
        <v>2</v>
      </c>
      <c r="F624" s="6">
        <v>19</v>
      </c>
      <c r="G624" s="6" t="s">
        <v>3226</v>
      </c>
      <c r="I624" s="8">
        <v>87.175693999999993</v>
      </c>
      <c r="J624" s="8">
        <v>112.794265</v>
      </c>
      <c r="K624" s="6" t="s">
        <v>198</v>
      </c>
      <c r="L624" s="9">
        <v>43840</v>
      </c>
      <c r="M624" s="18">
        <v>0.45833333333333331</v>
      </c>
      <c r="N624" s="6">
        <v>15</v>
      </c>
      <c r="O624" s="6" t="s">
        <v>4306</v>
      </c>
      <c r="R624" s="6">
        <v>10</v>
      </c>
      <c r="S624" s="6">
        <v>5</v>
      </c>
      <c r="V624" s="8">
        <v>-12.542907595825193</v>
      </c>
      <c r="W624" s="8">
        <v>-102.06456931304932</v>
      </c>
      <c r="X624" s="8">
        <f t="shared" si="33"/>
        <v>-1.7213085464477729</v>
      </c>
    </row>
    <row r="625" spans="1:24" x14ac:dyDescent="0.35">
      <c r="A625" s="6" t="s">
        <v>25</v>
      </c>
      <c r="B625" s="6" t="s">
        <v>3388</v>
      </c>
      <c r="D625" s="6" t="s">
        <v>3690</v>
      </c>
      <c r="E625" s="6">
        <v>2</v>
      </c>
      <c r="F625" s="6">
        <v>19</v>
      </c>
      <c r="G625" s="6" t="s">
        <v>3992</v>
      </c>
      <c r="I625" s="8">
        <v>87.224830277777727</v>
      </c>
      <c r="J625" s="8">
        <v>111.07503437500002</v>
      </c>
      <c r="K625" s="7" t="s">
        <v>2610</v>
      </c>
      <c r="L625" s="9">
        <v>43841</v>
      </c>
      <c r="N625" s="6">
        <v>15</v>
      </c>
      <c r="O625" s="6" t="s">
        <v>4298</v>
      </c>
      <c r="V625" s="8">
        <v>-2.3589761739134794</v>
      </c>
      <c r="W625" s="8">
        <v>-16.261190735626219</v>
      </c>
      <c r="X625" s="27">
        <f t="shared" si="33"/>
        <v>2.6106186556816162</v>
      </c>
    </row>
    <row r="626" spans="1:24" x14ac:dyDescent="0.35">
      <c r="A626" s="6" t="s">
        <v>25</v>
      </c>
      <c r="B626" s="6" t="s">
        <v>3389</v>
      </c>
      <c r="D626" s="6" t="s">
        <v>3691</v>
      </c>
      <c r="E626" s="6">
        <v>2</v>
      </c>
      <c r="F626" s="6">
        <v>19</v>
      </c>
      <c r="G626" s="6" t="s">
        <v>3993</v>
      </c>
      <c r="I626" s="8">
        <v>87.275772708333349</v>
      </c>
      <c r="J626" s="8">
        <v>109.3741843055555</v>
      </c>
      <c r="K626" s="7" t="s">
        <v>2610</v>
      </c>
      <c r="L626" s="9">
        <v>43842</v>
      </c>
      <c r="N626" s="6">
        <v>16</v>
      </c>
      <c r="O626" s="6" t="s">
        <v>4307</v>
      </c>
      <c r="V626" s="8">
        <v>-2.368485331392288</v>
      </c>
      <c r="W626" s="8">
        <v>-17.414573388671876</v>
      </c>
      <c r="X626" s="27">
        <f t="shared" si="33"/>
        <v>1.5333092624664282</v>
      </c>
    </row>
    <row r="627" spans="1:24" x14ac:dyDescent="0.35">
      <c r="A627" s="6" t="s">
        <v>25</v>
      </c>
      <c r="B627" s="7" t="s">
        <v>849</v>
      </c>
      <c r="D627" s="6" t="s">
        <v>850</v>
      </c>
      <c r="E627" s="6">
        <v>2</v>
      </c>
      <c r="F627" s="6">
        <v>20</v>
      </c>
      <c r="G627" s="6" t="s">
        <v>210</v>
      </c>
      <c r="I627" s="8">
        <v>87.337473819444398</v>
      </c>
      <c r="J627" s="8">
        <v>107.081499861111</v>
      </c>
      <c r="K627" s="6" t="s">
        <v>29</v>
      </c>
      <c r="L627" s="9">
        <v>43843</v>
      </c>
      <c r="N627" s="6">
        <v>16</v>
      </c>
      <c r="O627" s="6" t="s">
        <v>4308</v>
      </c>
      <c r="Q627" s="10"/>
      <c r="R627" s="10">
        <v>50</v>
      </c>
      <c r="S627" s="10">
        <v>60</v>
      </c>
      <c r="T627" s="10">
        <f t="shared" ref="T627:T638" si="36">AVERAGE(R627:S627)</f>
        <v>55</v>
      </c>
      <c r="U627" s="11"/>
      <c r="V627" s="8">
        <v>-4.5279526710510263</v>
      </c>
      <c r="W627" s="8">
        <v>-34.903572692871094</v>
      </c>
      <c r="X627" s="8">
        <f t="shared" si="33"/>
        <v>1.3200486755371159</v>
      </c>
    </row>
    <row r="628" spans="1:24" x14ac:dyDescent="0.35">
      <c r="A628" s="6" t="s">
        <v>25</v>
      </c>
      <c r="B628" s="7" t="s">
        <v>851</v>
      </c>
      <c r="D628" s="6" t="s">
        <v>852</v>
      </c>
      <c r="E628" s="6">
        <v>2</v>
      </c>
      <c r="F628" s="6">
        <v>20</v>
      </c>
      <c r="G628" s="6" t="s">
        <v>210</v>
      </c>
      <c r="I628" s="8">
        <v>87.337473819444398</v>
      </c>
      <c r="J628" s="8">
        <v>107.081499861111</v>
      </c>
      <c r="K628" s="6" t="s">
        <v>29</v>
      </c>
      <c r="L628" s="9">
        <v>43843</v>
      </c>
      <c r="N628" s="6">
        <v>16</v>
      </c>
      <c r="O628" s="6" t="s">
        <v>4308</v>
      </c>
      <c r="Q628" s="10"/>
      <c r="R628" s="10">
        <v>70</v>
      </c>
      <c r="S628" s="10">
        <v>80</v>
      </c>
      <c r="T628" s="10">
        <f t="shared" si="36"/>
        <v>75</v>
      </c>
      <c r="U628" s="11"/>
      <c r="V628" s="8">
        <v>-3.7048726081848149</v>
      </c>
      <c r="W628" s="8">
        <v>-27.592865180969238</v>
      </c>
      <c r="X628" s="8">
        <f t="shared" si="33"/>
        <v>2.0461156845092816</v>
      </c>
    </row>
    <row r="629" spans="1:24" x14ac:dyDescent="0.35">
      <c r="A629" s="6" t="s">
        <v>25</v>
      </c>
      <c r="B629" s="7" t="s">
        <v>853</v>
      </c>
      <c r="D629" s="6" t="s">
        <v>854</v>
      </c>
      <c r="E629" s="6">
        <v>2</v>
      </c>
      <c r="F629" s="6">
        <v>20</v>
      </c>
      <c r="G629" s="6" t="s">
        <v>210</v>
      </c>
      <c r="I629" s="8">
        <v>87.337473819444398</v>
      </c>
      <c r="J629" s="8">
        <v>107.081499861111</v>
      </c>
      <c r="K629" s="6" t="s">
        <v>29</v>
      </c>
      <c r="L629" s="9">
        <v>43843</v>
      </c>
      <c r="N629" s="6">
        <v>16</v>
      </c>
      <c r="O629" s="6" t="s">
        <v>4308</v>
      </c>
      <c r="Q629" s="10"/>
      <c r="R629" s="10">
        <v>80</v>
      </c>
      <c r="S629" s="10">
        <v>90</v>
      </c>
      <c r="T629" s="10">
        <f t="shared" si="36"/>
        <v>85</v>
      </c>
      <c r="U629" s="11"/>
      <c r="V629" s="8">
        <v>-0.53029427672624618</v>
      </c>
      <c r="W629" s="8">
        <v>-2.7898264694213868</v>
      </c>
      <c r="X629" s="8">
        <f t="shared" si="33"/>
        <v>1.4525277443885827</v>
      </c>
    </row>
    <row r="630" spans="1:24" x14ac:dyDescent="0.35">
      <c r="A630" s="6" t="s">
        <v>25</v>
      </c>
      <c r="B630" s="7" t="s">
        <v>855</v>
      </c>
      <c r="D630" s="6" t="s">
        <v>856</v>
      </c>
      <c r="E630" s="6">
        <v>2</v>
      </c>
      <c r="F630" s="6">
        <v>20</v>
      </c>
      <c r="G630" s="6" t="s">
        <v>210</v>
      </c>
      <c r="I630" s="8">
        <v>87.337473819444398</v>
      </c>
      <c r="J630" s="8">
        <v>107.081499861111</v>
      </c>
      <c r="K630" s="6" t="s">
        <v>29</v>
      </c>
      <c r="L630" s="9">
        <v>43843</v>
      </c>
      <c r="N630" s="6">
        <v>16</v>
      </c>
      <c r="O630" s="6" t="s">
        <v>4308</v>
      </c>
      <c r="Q630" s="10"/>
      <c r="R630" s="10">
        <v>60</v>
      </c>
      <c r="S630" s="10">
        <v>70</v>
      </c>
      <c r="T630" s="10">
        <f t="shared" si="36"/>
        <v>65</v>
      </c>
      <c r="U630" s="11"/>
      <c r="V630" s="8">
        <v>-4.058103626203537</v>
      </c>
      <c r="W630" s="8">
        <v>-31.180339813232422</v>
      </c>
      <c r="X630" s="8">
        <f t="shared" si="33"/>
        <v>1.2844891963958744</v>
      </c>
    </row>
    <row r="631" spans="1:24" x14ac:dyDescent="0.35">
      <c r="A631" s="6" t="s">
        <v>25</v>
      </c>
      <c r="B631" s="7" t="s">
        <v>857</v>
      </c>
      <c r="D631" s="6" t="s">
        <v>858</v>
      </c>
      <c r="E631" s="6">
        <v>2</v>
      </c>
      <c r="F631" s="6">
        <v>20</v>
      </c>
      <c r="G631" s="6" t="s">
        <v>210</v>
      </c>
      <c r="I631" s="8">
        <v>87.337473819444398</v>
      </c>
      <c r="J631" s="8">
        <v>107.081499861111</v>
      </c>
      <c r="K631" s="6" t="s">
        <v>29</v>
      </c>
      <c r="L631" s="9">
        <v>43843</v>
      </c>
      <c r="N631" s="6">
        <v>16</v>
      </c>
      <c r="O631" s="6" t="s">
        <v>4308</v>
      </c>
      <c r="Q631" s="10"/>
      <c r="R631" s="10">
        <v>110</v>
      </c>
      <c r="S631" s="10">
        <v>120</v>
      </c>
      <c r="T631" s="10">
        <f t="shared" si="36"/>
        <v>115</v>
      </c>
      <c r="U631" s="11"/>
      <c r="V631" s="8">
        <v>-9.4491479026898695E-2</v>
      </c>
      <c r="W631" s="8">
        <v>2.0565166950225828</v>
      </c>
      <c r="X631" s="8">
        <f t="shared" si="33"/>
        <v>2.8124485272377724</v>
      </c>
    </row>
    <row r="632" spans="1:24" x14ac:dyDescent="0.35">
      <c r="A632" s="6" t="s">
        <v>25</v>
      </c>
      <c r="B632" s="7" t="s">
        <v>859</v>
      </c>
      <c r="D632" s="6" t="s">
        <v>860</v>
      </c>
      <c r="E632" s="6">
        <v>2</v>
      </c>
      <c r="F632" s="6">
        <v>20</v>
      </c>
      <c r="G632" s="6" t="s">
        <v>210</v>
      </c>
      <c r="I632" s="8">
        <v>87.337473819444398</v>
      </c>
      <c r="J632" s="8">
        <v>107.081499861111</v>
      </c>
      <c r="K632" s="6" t="s">
        <v>29</v>
      </c>
      <c r="L632" s="9">
        <v>43843</v>
      </c>
      <c r="N632" s="6">
        <v>16</v>
      </c>
      <c r="O632" s="6" t="s">
        <v>4308</v>
      </c>
      <c r="Q632" s="10"/>
      <c r="R632" s="10">
        <v>100</v>
      </c>
      <c r="S632" s="10">
        <v>110</v>
      </c>
      <c r="T632" s="10">
        <f t="shared" si="36"/>
        <v>105</v>
      </c>
      <c r="U632" s="11"/>
      <c r="V632" s="8">
        <v>8.6103206010162775E-2</v>
      </c>
      <c r="W632" s="8">
        <v>1.4614724401235581</v>
      </c>
      <c r="X632" s="8">
        <f t="shared" si="33"/>
        <v>0.77264679204225595</v>
      </c>
    </row>
    <row r="633" spans="1:24" x14ac:dyDescent="0.35">
      <c r="A633" s="6" t="s">
        <v>25</v>
      </c>
      <c r="B633" s="7" t="s">
        <v>861</v>
      </c>
      <c r="D633" s="6" t="s">
        <v>862</v>
      </c>
      <c r="E633" s="6">
        <v>2</v>
      </c>
      <c r="F633" s="6">
        <v>20</v>
      </c>
      <c r="G633" s="6" t="s">
        <v>210</v>
      </c>
      <c r="I633" s="8">
        <v>87.337473819444398</v>
      </c>
      <c r="J633" s="8">
        <v>107.081499861111</v>
      </c>
      <c r="K633" s="6" t="s">
        <v>29</v>
      </c>
      <c r="L633" s="9">
        <v>43843</v>
      </c>
      <c r="N633" s="6">
        <v>16</v>
      </c>
      <c r="O633" s="6" t="s">
        <v>4308</v>
      </c>
      <c r="Q633" s="10"/>
      <c r="R633" s="10">
        <v>90</v>
      </c>
      <c r="S633" s="10">
        <v>100</v>
      </c>
      <c r="T633" s="10">
        <f t="shared" si="36"/>
        <v>95</v>
      </c>
      <c r="U633" s="11"/>
      <c r="V633" s="8">
        <v>0.23469412919282942</v>
      </c>
      <c r="W633" s="8">
        <v>3.1097677000761035</v>
      </c>
      <c r="X633" s="8">
        <f t="shared" si="33"/>
        <v>1.2322146665334681</v>
      </c>
    </row>
    <row r="634" spans="1:24" x14ac:dyDescent="0.35">
      <c r="A634" s="6" t="s">
        <v>25</v>
      </c>
      <c r="B634" s="7" t="s">
        <v>863</v>
      </c>
      <c r="D634" s="6" t="s">
        <v>864</v>
      </c>
      <c r="E634" s="6">
        <v>2</v>
      </c>
      <c r="F634" s="6">
        <v>20</v>
      </c>
      <c r="G634" s="6" t="s">
        <v>210</v>
      </c>
      <c r="I634" s="8">
        <v>87.337473819444398</v>
      </c>
      <c r="J634" s="8">
        <v>107.081499861111</v>
      </c>
      <c r="K634" s="6" t="s">
        <v>29</v>
      </c>
      <c r="L634" s="9">
        <v>43843</v>
      </c>
      <c r="N634" s="6">
        <v>16</v>
      </c>
      <c r="O634" s="6" t="s">
        <v>4308</v>
      </c>
      <c r="Q634" s="10"/>
      <c r="R634" s="10">
        <v>30</v>
      </c>
      <c r="S634" s="10">
        <v>40</v>
      </c>
      <c r="T634" s="10">
        <f t="shared" si="36"/>
        <v>35</v>
      </c>
      <c r="U634" s="11"/>
      <c r="V634" s="8">
        <v>-6.6068320736408239</v>
      </c>
      <c r="W634" s="8">
        <v>-46.945481948852532</v>
      </c>
      <c r="X634" s="8">
        <f t="shared" si="33"/>
        <v>5.9091746402740597</v>
      </c>
    </row>
    <row r="635" spans="1:24" x14ac:dyDescent="0.35">
      <c r="A635" s="6" t="s">
        <v>25</v>
      </c>
      <c r="B635" s="7" t="s">
        <v>865</v>
      </c>
      <c r="D635" s="6" t="s">
        <v>866</v>
      </c>
      <c r="E635" s="6">
        <v>2</v>
      </c>
      <c r="F635" s="6">
        <v>20</v>
      </c>
      <c r="G635" s="6" t="s">
        <v>210</v>
      </c>
      <c r="I635" s="8">
        <v>87.337473819444398</v>
      </c>
      <c r="J635" s="8">
        <v>107.081499861111</v>
      </c>
      <c r="K635" s="6" t="s">
        <v>29</v>
      </c>
      <c r="L635" s="9">
        <v>43843</v>
      </c>
      <c r="N635" s="6">
        <v>16</v>
      </c>
      <c r="O635" s="6" t="s">
        <v>4308</v>
      </c>
      <c r="Q635" s="10"/>
      <c r="R635" s="10">
        <v>20</v>
      </c>
      <c r="S635" s="10">
        <v>30</v>
      </c>
      <c r="T635" s="10">
        <f t="shared" si="36"/>
        <v>25</v>
      </c>
      <c r="U635" s="11"/>
      <c r="V635" s="8">
        <v>-4.6787369071006779</v>
      </c>
      <c r="W635" s="8">
        <v>-35.376296037673953</v>
      </c>
      <c r="X635" s="8">
        <f t="shared" si="33"/>
        <v>2.0535992191314705</v>
      </c>
    </row>
    <row r="636" spans="1:24" x14ac:dyDescent="0.35">
      <c r="A636" s="6" t="s">
        <v>25</v>
      </c>
      <c r="B636" s="7" t="s">
        <v>867</v>
      </c>
      <c r="D636" s="6" t="s">
        <v>868</v>
      </c>
      <c r="E636" s="6">
        <v>2</v>
      </c>
      <c r="F636" s="6">
        <v>20</v>
      </c>
      <c r="G636" s="6" t="s">
        <v>210</v>
      </c>
      <c r="I636" s="8">
        <v>87.337473819444398</v>
      </c>
      <c r="J636" s="8">
        <v>107.081499861111</v>
      </c>
      <c r="K636" s="6" t="s">
        <v>29</v>
      </c>
      <c r="L636" s="9">
        <v>43843</v>
      </c>
      <c r="N636" s="6">
        <v>16</v>
      </c>
      <c r="O636" s="6" t="s">
        <v>4308</v>
      </c>
      <c r="Q636" s="10"/>
      <c r="R636" s="10">
        <v>10</v>
      </c>
      <c r="S636" s="10">
        <v>20</v>
      </c>
      <c r="T636" s="10">
        <f t="shared" si="36"/>
        <v>15</v>
      </c>
      <c r="U636" s="11"/>
      <c r="V636" s="8">
        <v>-4.2565833621025098</v>
      </c>
      <c r="W636" s="8">
        <v>-33.36057511138916</v>
      </c>
      <c r="X636" s="8">
        <f t="shared" si="33"/>
        <v>0.69209178543091809</v>
      </c>
    </row>
    <row r="637" spans="1:24" x14ac:dyDescent="0.35">
      <c r="A637" s="6" t="s">
        <v>25</v>
      </c>
      <c r="B637" s="7" t="s">
        <v>869</v>
      </c>
      <c r="D637" s="6" t="s">
        <v>870</v>
      </c>
      <c r="E637" s="6">
        <v>2</v>
      </c>
      <c r="F637" s="6">
        <v>20</v>
      </c>
      <c r="G637" s="6" t="s">
        <v>210</v>
      </c>
      <c r="I637" s="8">
        <v>87.337473819444398</v>
      </c>
      <c r="J637" s="8">
        <v>107.081499861111</v>
      </c>
      <c r="K637" s="6" t="s">
        <v>29</v>
      </c>
      <c r="L637" s="9">
        <v>43843</v>
      </c>
      <c r="N637" s="6">
        <v>16</v>
      </c>
      <c r="O637" s="6" t="s">
        <v>4308</v>
      </c>
      <c r="Q637" s="10"/>
      <c r="R637" s="10">
        <v>0</v>
      </c>
      <c r="S637" s="10">
        <v>10</v>
      </c>
      <c r="T637" s="10">
        <f t="shared" si="36"/>
        <v>5</v>
      </c>
      <c r="U637" s="11"/>
      <c r="V637" s="8">
        <v>-4.9911356513023382</v>
      </c>
      <c r="W637" s="8">
        <v>-39.42065802001953</v>
      </c>
      <c r="X637" s="8">
        <f t="shared" si="33"/>
        <v>0.50842719039917483</v>
      </c>
    </row>
    <row r="638" spans="1:24" x14ac:dyDescent="0.35">
      <c r="A638" s="6" t="s">
        <v>25</v>
      </c>
      <c r="B638" s="7" t="s">
        <v>871</v>
      </c>
      <c r="D638" s="6" t="s">
        <v>872</v>
      </c>
      <c r="E638" s="6">
        <v>2</v>
      </c>
      <c r="F638" s="6">
        <v>20</v>
      </c>
      <c r="G638" s="6" t="s">
        <v>210</v>
      </c>
      <c r="I638" s="8">
        <v>87.337473819444398</v>
      </c>
      <c r="J638" s="8">
        <v>107.081499861111</v>
      </c>
      <c r="K638" s="6" t="s">
        <v>29</v>
      </c>
      <c r="L638" s="9">
        <v>43843</v>
      </c>
      <c r="N638" s="6">
        <v>16</v>
      </c>
      <c r="O638" s="6" t="s">
        <v>4308</v>
      </c>
      <c r="Q638" s="10"/>
      <c r="R638" s="10">
        <v>40</v>
      </c>
      <c r="S638" s="10">
        <v>50</v>
      </c>
      <c r="T638" s="10">
        <f t="shared" si="36"/>
        <v>45</v>
      </c>
      <c r="U638" s="11"/>
      <c r="V638" s="8">
        <v>-6.3831932067871104</v>
      </c>
      <c r="W638" s="8">
        <v>-47.557089567565924</v>
      </c>
      <c r="X638" s="8">
        <f t="shared" si="33"/>
        <v>3.5084560867309591</v>
      </c>
    </row>
    <row r="639" spans="1:24" x14ac:dyDescent="0.35">
      <c r="A639" s="6" t="s">
        <v>25</v>
      </c>
      <c r="B639" s="6" t="s">
        <v>3390</v>
      </c>
      <c r="D639" s="6" t="s">
        <v>3692</v>
      </c>
      <c r="E639" s="6">
        <v>2</v>
      </c>
      <c r="F639" s="6">
        <v>20</v>
      </c>
      <c r="G639" s="6" t="s">
        <v>3994</v>
      </c>
      <c r="I639" s="8">
        <v>87.333578000000003</v>
      </c>
      <c r="J639" s="8">
        <v>107.158962</v>
      </c>
      <c r="K639" s="7" t="s">
        <v>2610</v>
      </c>
      <c r="L639" s="9">
        <v>43843</v>
      </c>
      <c r="N639" s="6">
        <v>16</v>
      </c>
      <c r="O639" s="6" t="s">
        <v>4308</v>
      </c>
      <c r="V639" s="8">
        <v>-2.3397505007743833</v>
      </c>
      <c r="W639" s="8">
        <v>-16.811811753845213</v>
      </c>
      <c r="X639" s="27">
        <f t="shared" si="33"/>
        <v>1.9061922523498538</v>
      </c>
    </row>
    <row r="640" spans="1:24" x14ac:dyDescent="0.35">
      <c r="A640" s="6" t="s">
        <v>25</v>
      </c>
      <c r="B640" s="6" t="s">
        <v>2776</v>
      </c>
      <c r="D640" s="6" t="s">
        <v>3103</v>
      </c>
      <c r="E640" s="6">
        <v>2</v>
      </c>
      <c r="F640" s="6">
        <v>20</v>
      </c>
      <c r="G640" s="6" t="s">
        <v>3232</v>
      </c>
      <c r="I640" s="8">
        <v>87.333578000000003</v>
      </c>
      <c r="J640" s="8">
        <v>107.158962</v>
      </c>
      <c r="K640" s="6" t="s">
        <v>198</v>
      </c>
      <c r="L640" s="9">
        <v>43843</v>
      </c>
      <c r="M640" s="18">
        <v>0.45</v>
      </c>
      <c r="N640" s="6">
        <v>16</v>
      </c>
      <c r="O640" s="6" t="s">
        <v>4308</v>
      </c>
      <c r="R640" s="6">
        <v>10</v>
      </c>
      <c r="S640" s="6">
        <v>5</v>
      </c>
      <c r="V640" s="8">
        <v>-26.669476153564453</v>
      </c>
      <c r="W640" s="8">
        <v>-200.10273246765135</v>
      </c>
      <c r="X640" s="8">
        <f t="shared" si="33"/>
        <v>13.253076760864275</v>
      </c>
    </row>
    <row r="641" spans="1:24" x14ac:dyDescent="0.35">
      <c r="A641" s="6" t="s">
        <v>25</v>
      </c>
      <c r="B641" s="6" t="s">
        <v>2780</v>
      </c>
      <c r="D641" s="6" t="s">
        <v>3103</v>
      </c>
      <c r="E641" s="6">
        <v>2</v>
      </c>
      <c r="F641" s="6">
        <v>20</v>
      </c>
      <c r="G641" s="6" t="s">
        <v>3232</v>
      </c>
      <c r="I641" s="8">
        <v>87.333578000000003</v>
      </c>
      <c r="J641" s="8">
        <v>107.158962</v>
      </c>
      <c r="K641" s="6" t="s">
        <v>198</v>
      </c>
      <c r="L641" s="9">
        <v>43843</v>
      </c>
      <c r="M641" s="18">
        <v>0.45</v>
      </c>
      <c r="N641" s="6">
        <v>16</v>
      </c>
      <c r="O641" s="6" t="s">
        <v>4308</v>
      </c>
      <c r="R641" s="6">
        <v>5</v>
      </c>
      <c r="S641" s="6">
        <v>0</v>
      </c>
      <c r="V641" s="8">
        <v>-10.637126834106446</v>
      </c>
      <c r="W641" s="8">
        <v>-80.236182548522947</v>
      </c>
      <c r="X641" s="8">
        <f t="shared" si="33"/>
        <v>4.8608321243286241</v>
      </c>
    </row>
    <row r="642" spans="1:24" x14ac:dyDescent="0.35">
      <c r="A642" s="6" t="s">
        <v>25</v>
      </c>
      <c r="B642" s="6" t="s">
        <v>3391</v>
      </c>
      <c r="D642" s="6" t="s">
        <v>3693</v>
      </c>
      <c r="E642" s="6">
        <v>2</v>
      </c>
      <c r="F642" s="6">
        <v>20</v>
      </c>
      <c r="G642" s="6" t="s">
        <v>3995</v>
      </c>
      <c r="I642" s="8">
        <v>87.410233125000005</v>
      </c>
      <c r="J642" s="8">
        <v>105.00010493055601</v>
      </c>
      <c r="K642" s="7" t="s">
        <v>2610</v>
      </c>
      <c r="L642" s="9">
        <v>43844</v>
      </c>
      <c r="N642" s="6">
        <v>16</v>
      </c>
      <c r="O642" s="6" t="s">
        <v>4309</v>
      </c>
      <c r="V642" s="8">
        <v>-2.36607628569603</v>
      </c>
      <c r="W642" s="8">
        <v>-16.897460481262208</v>
      </c>
      <c r="X642" s="27">
        <f t="shared" ref="X642:X705" si="37">W642-(8*V642)</f>
        <v>2.0311498043060325</v>
      </c>
    </row>
    <row r="643" spans="1:24" x14ac:dyDescent="0.35">
      <c r="A643" s="6" t="s">
        <v>25</v>
      </c>
      <c r="D643" s="6" t="s">
        <v>873</v>
      </c>
      <c r="E643" s="6">
        <v>2</v>
      </c>
      <c r="F643" s="6">
        <v>20</v>
      </c>
      <c r="G643" s="6" t="s">
        <v>60</v>
      </c>
      <c r="I643" s="8">
        <v>87.410233125000005</v>
      </c>
      <c r="J643" s="8">
        <v>105.00010493055601</v>
      </c>
      <c r="K643" s="7" t="s">
        <v>29</v>
      </c>
      <c r="L643" s="9">
        <v>43844</v>
      </c>
      <c r="N643" s="6">
        <v>16</v>
      </c>
      <c r="O643" s="6" t="s">
        <v>4309</v>
      </c>
      <c r="T643" s="10"/>
      <c r="V643" s="8">
        <v>-0.94372897185087168</v>
      </c>
      <c r="W643" s="8">
        <v>-5.5202959621429457</v>
      </c>
      <c r="X643" s="8">
        <f t="shared" si="37"/>
        <v>2.0295358126640277</v>
      </c>
    </row>
    <row r="644" spans="1:24" x14ac:dyDescent="0.35">
      <c r="A644" s="6" t="s">
        <v>25</v>
      </c>
      <c r="D644" s="6" t="s">
        <v>873</v>
      </c>
      <c r="E644" s="6">
        <v>2</v>
      </c>
      <c r="F644" s="6">
        <v>20</v>
      </c>
      <c r="G644" s="6" t="s">
        <v>60</v>
      </c>
      <c r="I644" s="8">
        <v>87.410233125000005</v>
      </c>
      <c r="J644" s="8">
        <v>105.00010493055601</v>
      </c>
      <c r="K644" s="7" t="s">
        <v>2610</v>
      </c>
      <c r="L644" s="9">
        <v>43844</v>
      </c>
      <c r="N644" s="6">
        <v>16</v>
      </c>
      <c r="O644" s="6" t="s">
        <v>4309</v>
      </c>
      <c r="Q644" s="6">
        <v>200</v>
      </c>
      <c r="S644" s="6">
        <v>200</v>
      </c>
      <c r="T644" s="10">
        <f t="shared" ref="T644:T653" si="38">AVERAGE(R644:S644)</f>
        <v>200</v>
      </c>
      <c r="V644" s="8">
        <v>-2.3629475495338434</v>
      </c>
      <c r="W644" s="8">
        <v>-17.695050782012938</v>
      </c>
      <c r="X644" s="8">
        <f t="shared" si="37"/>
        <v>1.2085296142578095</v>
      </c>
    </row>
    <row r="645" spans="1:24" x14ac:dyDescent="0.35">
      <c r="A645" s="6" t="s">
        <v>25</v>
      </c>
      <c r="D645" s="6" t="s">
        <v>873</v>
      </c>
      <c r="E645" s="6">
        <v>2</v>
      </c>
      <c r="F645" s="6">
        <v>20</v>
      </c>
      <c r="G645" s="6" t="s">
        <v>60</v>
      </c>
      <c r="I645" s="8">
        <v>87.410233125000005</v>
      </c>
      <c r="J645" s="8">
        <v>105.00010493055601</v>
      </c>
      <c r="K645" s="7" t="s">
        <v>2610</v>
      </c>
      <c r="L645" s="9">
        <v>43844</v>
      </c>
      <c r="N645" s="6">
        <v>16</v>
      </c>
      <c r="O645" s="6" t="s">
        <v>4309</v>
      </c>
      <c r="Q645" s="6">
        <v>1000</v>
      </c>
      <c r="S645" s="6">
        <v>1000</v>
      </c>
      <c r="T645" s="10">
        <f t="shared" si="38"/>
        <v>1000</v>
      </c>
      <c r="V645" s="8">
        <v>-2.5152787675380703</v>
      </c>
      <c r="W645" s="8">
        <v>-17.929769451904296</v>
      </c>
      <c r="X645" s="8">
        <f t="shared" si="37"/>
        <v>2.1924606884002671</v>
      </c>
    </row>
    <row r="646" spans="1:24" x14ac:dyDescent="0.35">
      <c r="A646" s="6" t="s">
        <v>25</v>
      </c>
      <c r="D646" s="6" t="s">
        <v>873</v>
      </c>
      <c r="E646" s="6">
        <v>2</v>
      </c>
      <c r="F646" s="6">
        <v>20</v>
      </c>
      <c r="G646" s="6" t="s">
        <v>60</v>
      </c>
      <c r="I646" s="8">
        <v>87.410233125000005</v>
      </c>
      <c r="J646" s="8">
        <v>105.00010493055601</v>
      </c>
      <c r="K646" s="7" t="s">
        <v>2610</v>
      </c>
      <c r="L646" s="9">
        <v>43844</v>
      </c>
      <c r="N646" s="6">
        <v>16</v>
      </c>
      <c r="O646" s="6" t="s">
        <v>4309</v>
      </c>
      <c r="Q646" s="6">
        <v>3000</v>
      </c>
      <c r="S646" s="6">
        <v>3000</v>
      </c>
      <c r="T646" s="10">
        <f t="shared" si="38"/>
        <v>3000</v>
      </c>
      <c r="V646" s="8">
        <v>-2.5970960344791414</v>
      </c>
      <c r="W646" s="8">
        <v>-17.94151647644043</v>
      </c>
      <c r="X646" s="8">
        <f t="shared" si="37"/>
        <v>2.8352517993927009</v>
      </c>
    </row>
    <row r="647" spans="1:24" x14ac:dyDescent="0.35">
      <c r="A647" s="6" t="s">
        <v>25</v>
      </c>
      <c r="D647" s="6" t="s">
        <v>873</v>
      </c>
      <c r="E647" s="6">
        <v>2</v>
      </c>
      <c r="F647" s="6">
        <v>20</v>
      </c>
      <c r="G647" s="6" t="s">
        <v>60</v>
      </c>
      <c r="I647" s="8">
        <v>87.410233125000005</v>
      </c>
      <c r="J647" s="8">
        <v>105.00010493055601</v>
      </c>
      <c r="K647" s="7" t="s">
        <v>2610</v>
      </c>
      <c r="L647" s="9">
        <v>43844</v>
      </c>
      <c r="N647" s="6">
        <v>16</v>
      </c>
      <c r="O647" s="6" t="s">
        <v>4309</v>
      </c>
      <c r="Q647" s="6">
        <v>5000</v>
      </c>
      <c r="S647" s="6">
        <v>5000</v>
      </c>
      <c r="T647" s="10">
        <f t="shared" si="38"/>
        <v>5000</v>
      </c>
      <c r="V647" s="8">
        <v>-1.178406262397766</v>
      </c>
      <c r="W647" s="8">
        <v>-7.5584688282012937</v>
      </c>
      <c r="X647" s="8">
        <f t="shared" si="37"/>
        <v>1.8687812709808345</v>
      </c>
    </row>
    <row r="648" spans="1:24" x14ac:dyDescent="0.35">
      <c r="A648" s="6" t="s">
        <v>25</v>
      </c>
      <c r="D648" s="6" t="s">
        <v>873</v>
      </c>
      <c r="E648" s="6">
        <v>2</v>
      </c>
      <c r="F648" s="6">
        <v>20</v>
      </c>
      <c r="G648" s="6" t="s">
        <v>60</v>
      </c>
      <c r="I648" s="8">
        <v>87.410233125000005</v>
      </c>
      <c r="J648" s="8">
        <v>105.00010493055601</v>
      </c>
      <c r="K648" s="7" t="s">
        <v>2610</v>
      </c>
      <c r="L648" s="9">
        <v>43844</v>
      </c>
      <c r="N648" s="6">
        <v>16</v>
      </c>
      <c r="O648" s="6" t="s">
        <v>4309</v>
      </c>
      <c r="Q648" s="6">
        <v>7500</v>
      </c>
      <c r="S648" s="6">
        <v>7500</v>
      </c>
      <c r="T648" s="10">
        <f t="shared" si="38"/>
        <v>7500</v>
      </c>
      <c r="V648" s="8">
        <v>-0.45240036748051676</v>
      </c>
      <c r="W648" s="8">
        <v>-3.9331091411590577</v>
      </c>
      <c r="X648" s="8">
        <f t="shared" si="37"/>
        <v>-0.31390620131492364</v>
      </c>
    </row>
    <row r="649" spans="1:24" x14ac:dyDescent="0.35">
      <c r="A649" s="6" t="s">
        <v>25</v>
      </c>
      <c r="D649" s="6" t="s">
        <v>873</v>
      </c>
      <c r="E649" s="6">
        <v>2</v>
      </c>
      <c r="F649" s="6">
        <v>20</v>
      </c>
      <c r="G649" s="6" t="s">
        <v>60</v>
      </c>
      <c r="I649" s="8">
        <v>87.410233125000005</v>
      </c>
      <c r="J649" s="8">
        <v>105.00010493055601</v>
      </c>
      <c r="K649" s="7" t="s">
        <v>2610</v>
      </c>
      <c r="L649" s="9">
        <v>43844</v>
      </c>
      <c r="N649" s="6">
        <v>16</v>
      </c>
      <c r="O649" s="6" t="s">
        <v>4309</v>
      </c>
      <c r="Q649" s="6">
        <v>11000</v>
      </c>
      <c r="S649" s="6">
        <v>11000</v>
      </c>
      <c r="T649" s="10">
        <f t="shared" si="38"/>
        <v>11000</v>
      </c>
      <c r="V649" s="8">
        <v>-0.14419811041727623</v>
      </c>
      <c r="W649" s="8">
        <v>0.43392889506816867</v>
      </c>
      <c r="X649" s="8">
        <f t="shared" si="37"/>
        <v>1.5875137784063784</v>
      </c>
    </row>
    <row r="650" spans="1:24" x14ac:dyDescent="0.35">
      <c r="A650" s="6" t="s">
        <v>25</v>
      </c>
      <c r="B650" s="7" t="s">
        <v>874</v>
      </c>
      <c r="D650" s="6" t="s">
        <v>875</v>
      </c>
      <c r="E650" s="6">
        <v>2</v>
      </c>
      <c r="F650" s="6">
        <v>20</v>
      </c>
      <c r="G650" s="6" t="s">
        <v>876</v>
      </c>
      <c r="I650" s="8">
        <v>87.477902013888894</v>
      </c>
      <c r="J650" s="8">
        <v>103.286648611111</v>
      </c>
      <c r="K650" s="6" t="s">
        <v>390</v>
      </c>
      <c r="L650" s="9">
        <v>43845</v>
      </c>
      <c r="N650" s="6">
        <v>16</v>
      </c>
      <c r="O650" s="6" t="s">
        <v>4310</v>
      </c>
      <c r="Q650" s="10"/>
      <c r="R650" s="10">
        <v>30</v>
      </c>
      <c r="S650" s="10">
        <v>40</v>
      </c>
      <c r="T650" s="10">
        <f t="shared" si="38"/>
        <v>35</v>
      </c>
      <c r="U650" s="11"/>
      <c r="V650" s="8">
        <v>-0.71515531302094471</v>
      </c>
      <c r="W650" s="8">
        <v>-6.0646081150770179</v>
      </c>
      <c r="X650" s="8">
        <f t="shared" si="37"/>
        <v>-0.34336561090946027</v>
      </c>
    </row>
    <row r="651" spans="1:24" x14ac:dyDescent="0.35">
      <c r="A651" s="6" t="s">
        <v>25</v>
      </c>
      <c r="B651" s="7" t="s">
        <v>877</v>
      </c>
      <c r="D651" s="6" t="s">
        <v>878</v>
      </c>
      <c r="E651" s="6">
        <v>2</v>
      </c>
      <c r="F651" s="6">
        <v>20</v>
      </c>
      <c r="G651" s="6" t="s">
        <v>876</v>
      </c>
      <c r="I651" s="8">
        <v>87.477902013888894</v>
      </c>
      <c r="J651" s="8">
        <v>103.286648611111</v>
      </c>
      <c r="K651" s="6" t="s">
        <v>390</v>
      </c>
      <c r="L651" s="9">
        <v>43845</v>
      </c>
      <c r="N651" s="6">
        <v>16</v>
      </c>
      <c r="O651" s="6" t="s">
        <v>4310</v>
      </c>
      <c r="Q651" s="10"/>
      <c r="R651" s="10">
        <v>0</v>
      </c>
      <c r="S651" s="10">
        <v>10</v>
      </c>
      <c r="T651" s="10">
        <f t="shared" si="38"/>
        <v>5</v>
      </c>
      <c r="U651" s="11"/>
      <c r="V651" s="8">
        <v>-1.0583201913952827</v>
      </c>
      <c r="W651" s="8">
        <v>-6.4628016567230233</v>
      </c>
      <c r="X651" s="8">
        <f t="shared" si="37"/>
        <v>2.003759874439238</v>
      </c>
    </row>
    <row r="652" spans="1:24" x14ac:dyDescent="0.35">
      <c r="A652" s="6" t="s">
        <v>25</v>
      </c>
      <c r="B652" s="7" t="s">
        <v>879</v>
      </c>
      <c r="D652" s="6" t="s">
        <v>880</v>
      </c>
      <c r="E652" s="6">
        <v>2</v>
      </c>
      <c r="F652" s="6">
        <v>20</v>
      </c>
      <c r="G652" s="6" t="s">
        <v>876</v>
      </c>
      <c r="I652" s="8">
        <v>87.477902013888894</v>
      </c>
      <c r="J652" s="8">
        <v>103.286648611111</v>
      </c>
      <c r="K652" s="6" t="s">
        <v>390</v>
      </c>
      <c r="L652" s="9">
        <v>43845</v>
      </c>
      <c r="N652" s="6">
        <v>16</v>
      </c>
      <c r="O652" s="6" t="s">
        <v>4310</v>
      </c>
      <c r="Q652" s="10"/>
      <c r="R652" s="10">
        <v>20</v>
      </c>
      <c r="S652" s="10">
        <v>30</v>
      </c>
      <c r="T652" s="10">
        <f t="shared" si="38"/>
        <v>25</v>
      </c>
      <c r="U652" s="11"/>
      <c r="V652" s="8">
        <v>-0.67531316019296628</v>
      </c>
      <c r="W652" s="8">
        <v>-4.3757442855834956</v>
      </c>
      <c r="X652" s="8">
        <f t="shared" si="37"/>
        <v>1.0267609959602346</v>
      </c>
    </row>
    <row r="653" spans="1:24" x14ac:dyDescent="0.35">
      <c r="A653" s="6" t="s">
        <v>25</v>
      </c>
      <c r="B653" s="7" t="s">
        <v>881</v>
      </c>
      <c r="D653" s="6" t="s">
        <v>882</v>
      </c>
      <c r="E653" s="6">
        <v>2</v>
      </c>
      <c r="F653" s="6">
        <v>20</v>
      </c>
      <c r="G653" s="6" t="s">
        <v>876</v>
      </c>
      <c r="I653" s="8">
        <v>87.477902013888894</v>
      </c>
      <c r="J653" s="8">
        <v>103.286648611111</v>
      </c>
      <c r="K653" s="6" t="s">
        <v>390</v>
      </c>
      <c r="L653" s="9">
        <v>43845</v>
      </c>
      <c r="N653" s="6">
        <v>16</v>
      </c>
      <c r="O653" s="6" t="s">
        <v>4310</v>
      </c>
      <c r="Q653" s="10"/>
      <c r="R653" s="10">
        <v>10</v>
      </c>
      <c r="S653" s="10">
        <v>20</v>
      </c>
      <c r="T653" s="10">
        <f t="shared" si="38"/>
        <v>15</v>
      </c>
      <c r="U653" s="11"/>
      <c r="V653" s="8">
        <v>-0.64357637364864329</v>
      </c>
      <c r="W653" s="8">
        <v>-4.4333943862915044</v>
      </c>
      <c r="X653" s="8">
        <f t="shared" si="37"/>
        <v>0.71521660289764188</v>
      </c>
    </row>
    <row r="654" spans="1:24" x14ac:dyDescent="0.35">
      <c r="A654" s="6" t="s">
        <v>25</v>
      </c>
      <c r="B654" s="6" t="s">
        <v>3392</v>
      </c>
      <c r="D654" s="6" t="s">
        <v>3694</v>
      </c>
      <c r="E654" s="6">
        <v>2</v>
      </c>
      <c r="F654" s="6">
        <v>20</v>
      </c>
      <c r="G654" s="6" t="s">
        <v>3996</v>
      </c>
      <c r="I654" s="8">
        <v>87.456339999999997</v>
      </c>
      <c r="J654" s="8">
        <v>103.72371800000001</v>
      </c>
      <c r="K654" s="7" t="s">
        <v>2610</v>
      </c>
      <c r="L654" s="9">
        <v>43845</v>
      </c>
      <c r="N654" s="6">
        <v>16</v>
      </c>
      <c r="O654" s="6" t="s">
        <v>4310</v>
      </c>
      <c r="V654" s="8">
        <v>-2.3389159368038182</v>
      </c>
      <c r="W654" s="8">
        <v>-17.59115110168457</v>
      </c>
      <c r="X654" s="27">
        <f t="shared" si="37"/>
        <v>1.1201763927459751</v>
      </c>
    </row>
    <row r="655" spans="1:24" x14ac:dyDescent="0.35">
      <c r="A655" s="6" t="s">
        <v>25</v>
      </c>
      <c r="B655" s="6" t="s">
        <v>2781</v>
      </c>
      <c r="D655" s="6" t="s">
        <v>3105</v>
      </c>
      <c r="E655" s="6">
        <v>2</v>
      </c>
      <c r="F655" s="6">
        <v>20</v>
      </c>
      <c r="G655" s="6" t="s">
        <v>3227</v>
      </c>
      <c r="I655" s="8">
        <v>87.456339999999997</v>
      </c>
      <c r="J655" s="8">
        <v>103.72371800000001</v>
      </c>
      <c r="K655" s="6" t="s">
        <v>198</v>
      </c>
      <c r="L655" s="9">
        <v>43845</v>
      </c>
      <c r="M655" s="18">
        <v>0.27083333333333331</v>
      </c>
      <c r="N655" s="6">
        <v>16</v>
      </c>
      <c r="O655" s="6" t="s">
        <v>4310</v>
      </c>
      <c r="R655" s="6">
        <v>54</v>
      </c>
      <c r="S655" s="6">
        <v>50</v>
      </c>
      <c r="V655" s="8">
        <v>-35.928860117645257</v>
      </c>
      <c r="W655" s="8">
        <v>-281.49240862731938</v>
      </c>
      <c r="X655" s="8">
        <f t="shared" si="37"/>
        <v>5.9384723138426807</v>
      </c>
    </row>
    <row r="656" spans="1:24" x14ac:dyDescent="0.35">
      <c r="A656" s="6" t="s">
        <v>25</v>
      </c>
      <c r="B656" s="6" t="s">
        <v>2782</v>
      </c>
      <c r="D656" s="6" t="s">
        <v>3105</v>
      </c>
      <c r="E656" s="6">
        <v>2</v>
      </c>
      <c r="F656" s="6">
        <v>20</v>
      </c>
      <c r="G656" s="6" t="s">
        <v>3227</v>
      </c>
      <c r="I656" s="8">
        <v>87.456339999999997</v>
      </c>
      <c r="J656" s="8">
        <v>103.72371800000001</v>
      </c>
      <c r="K656" s="6" t="s">
        <v>198</v>
      </c>
      <c r="L656" s="9">
        <v>43845</v>
      </c>
      <c r="M656" s="18">
        <v>0.27083333333333331</v>
      </c>
      <c r="N656" s="6">
        <v>16</v>
      </c>
      <c r="O656" s="6" t="s">
        <v>4310</v>
      </c>
      <c r="R656" s="6">
        <v>36</v>
      </c>
      <c r="S656" s="6">
        <v>28</v>
      </c>
      <c r="V656" s="8">
        <v>-35.549403711624144</v>
      </c>
      <c r="W656" s="8">
        <v>-262.1880989959717</v>
      </c>
      <c r="X656" s="8">
        <f t="shared" si="37"/>
        <v>22.207130697021455</v>
      </c>
    </row>
    <row r="657" spans="1:25" x14ac:dyDescent="0.35">
      <c r="A657" s="6" t="s">
        <v>25</v>
      </c>
      <c r="B657" s="6" t="s">
        <v>2783</v>
      </c>
      <c r="D657" s="6" t="s">
        <v>3105</v>
      </c>
      <c r="E657" s="6">
        <v>2</v>
      </c>
      <c r="F657" s="6">
        <v>20</v>
      </c>
      <c r="G657" s="6" t="s">
        <v>3227</v>
      </c>
      <c r="I657" s="8">
        <v>87.456339999999997</v>
      </c>
      <c r="J657" s="8">
        <v>103.72371800000001</v>
      </c>
      <c r="K657" s="6" t="s">
        <v>198</v>
      </c>
      <c r="L657" s="9">
        <v>43845</v>
      </c>
      <c r="M657" s="18">
        <v>0.27083333333333331</v>
      </c>
      <c r="N657" s="6">
        <v>16</v>
      </c>
      <c r="O657" s="6" t="s">
        <v>4310</v>
      </c>
      <c r="R657" s="6">
        <v>9</v>
      </c>
      <c r="S657" s="6">
        <v>0</v>
      </c>
      <c r="V657" s="8">
        <v>-10.417681576156617</v>
      </c>
      <c r="W657" s="8">
        <v>-85.312965965271005</v>
      </c>
      <c r="X657" s="8">
        <f t="shared" si="37"/>
        <v>-1.9715133560180647</v>
      </c>
    </row>
    <row r="658" spans="1:25" x14ac:dyDescent="0.35">
      <c r="A658" s="6" t="s">
        <v>25</v>
      </c>
      <c r="B658" s="6" t="s">
        <v>883</v>
      </c>
      <c r="D658" s="6" t="s">
        <v>884</v>
      </c>
      <c r="E658" s="6">
        <v>2</v>
      </c>
      <c r="F658" s="6">
        <v>20</v>
      </c>
      <c r="G658" s="6" t="s">
        <v>57</v>
      </c>
      <c r="I658" s="8">
        <v>86.603676041666702</v>
      </c>
      <c r="J658" s="8">
        <v>116.411907777778</v>
      </c>
      <c r="K658" s="6" t="s">
        <v>29</v>
      </c>
      <c r="L658" s="9">
        <v>43846</v>
      </c>
      <c r="N658" s="6">
        <v>16</v>
      </c>
      <c r="O658" s="6" t="s">
        <v>4311</v>
      </c>
      <c r="Q658" s="6">
        <v>0</v>
      </c>
      <c r="R658" s="6">
        <v>0</v>
      </c>
      <c r="S658" s="6">
        <v>10</v>
      </c>
      <c r="T658" s="10">
        <f t="shared" ref="T658:T669" si="39">AVERAGE(R658:S658)</f>
        <v>5</v>
      </c>
      <c r="V658" s="8">
        <v>0.8484078314602379</v>
      </c>
      <c r="W658" s="8">
        <v>6.9226636825084693</v>
      </c>
      <c r="X658" s="8">
        <f t="shared" si="37"/>
        <v>0.13540103082656607</v>
      </c>
    </row>
    <row r="659" spans="1:25" x14ac:dyDescent="0.35">
      <c r="A659" s="6" t="s">
        <v>25</v>
      </c>
      <c r="B659" s="6" t="s">
        <v>885</v>
      </c>
      <c r="D659" s="6" t="s">
        <v>884</v>
      </c>
      <c r="E659" s="6">
        <v>2</v>
      </c>
      <c r="F659" s="6">
        <v>20</v>
      </c>
      <c r="G659" s="6" t="s">
        <v>57</v>
      </c>
      <c r="I659" s="8">
        <v>86.603676041666702</v>
      </c>
      <c r="J659" s="8">
        <v>116.411907777778</v>
      </c>
      <c r="K659" s="6" t="s">
        <v>29</v>
      </c>
      <c r="L659" s="9">
        <v>43846</v>
      </c>
      <c r="N659" s="6">
        <v>16</v>
      </c>
      <c r="O659" s="6" t="s">
        <v>4311</v>
      </c>
      <c r="Q659" s="6">
        <v>10</v>
      </c>
      <c r="R659" s="6">
        <v>10</v>
      </c>
      <c r="S659" s="6">
        <v>20</v>
      </c>
      <c r="T659" s="10">
        <f t="shared" si="39"/>
        <v>15</v>
      </c>
      <c r="V659" s="8">
        <v>1.0945859967112539</v>
      </c>
      <c r="W659" s="8">
        <v>9.1264938152313224</v>
      </c>
      <c r="X659" s="8">
        <f t="shared" si="37"/>
        <v>0.36980584154129126</v>
      </c>
    </row>
    <row r="660" spans="1:25" x14ac:dyDescent="0.35">
      <c r="A660" s="6" t="s">
        <v>25</v>
      </c>
      <c r="B660" s="6" t="s">
        <v>886</v>
      </c>
      <c r="D660" s="6" t="s">
        <v>884</v>
      </c>
      <c r="E660" s="6">
        <v>2</v>
      </c>
      <c r="F660" s="6">
        <v>20</v>
      </c>
      <c r="G660" s="6" t="s">
        <v>57</v>
      </c>
      <c r="I660" s="8">
        <v>86.603676041666702</v>
      </c>
      <c r="J660" s="8">
        <v>116.411907777778</v>
      </c>
      <c r="K660" s="6" t="s">
        <v>29</v>
      </c>
      <c r="L660" s="9">
        <v>43846</v>
      </c>
      <c r="N660" s="6">
        <v>16</v>
      </c>
      <c r="O660" s="6" t="s">
        <v>4311</v>
      </c>
      <c r="Q660" s="6">
        <v>20</v>
      </c>
      <c r="R660" s="6">
        <v>20</v>
      </c>
      <c r="S660" s="6">
        <v>30</v>
      </c>
      <c r="T660" s="10">
        <f t="shared" si="39"/>
        <v>25</v>
      </c>
      <c r="V660" s="8">
        <v>0.53152906819581991</v>
      </c>
      <c r="W660" s="8">
        <v>4.2120920377105477</v>
      </c>
      <c r="X660" s="8">
        <f t="shared" si="37"/>
        <v>-4.0140507856011531E-2</v>
      </c>
    </row>
    <row r="661" spans="1:25" x14ac:dyDescent="0.35">
      <c r="A661" s="6" t="s">
        <v>25</v>
      </c>
      <c r="B661" s="6" t="s">
        <v>887</v>
      </c>
      <c r="D661" s="6" t="s">
        <v>884</v>
      </c>
      <c r="E661" s="6">
        <v>2</v>
      </c>
      <c r="F661" s="6">
        <v>20</v>
      </c>
      <c r="G661" s="6" t="s">
        <v>57</v>
      </c>
      <c r="I661" s="8">
        <v>86.603676041666702</v>
      </c>
      <c r="J661" s="8">
        <v>116.411907777778</v>
      </c>
      <c r="K661" s="6" t="s">
        <v>29</v>
      </c>
      <c r="L661" s="9">
        <v>43846</v>
      </c>
      <c r="N661" s="6">
        <v>16</v>
      </c>
      <c r="O661" s="6" t="s">
        <v>4311</v>
      </c>
      <c r="Q661" s="6">
        <v>30</v>
      </c>
      <c r="R661" s="6">
        <v>30</v>
      </c>
      <c r="S661" s="6">
        <v>40</v>
      </c>
      <c r="T661" s="10">
        <f t="shared" si="39"/>
        <v>35</v>
      </c>
      <c r="V661" s="8">
        <v>-2.6879330595135693</v>
      </c>
      <c r="W661" s="8">
        <v>-21.053302550506594</v>
      </c>
      <c r="X661" s="8">
        <f t="shared" si="37"/>
        <v>0.45016192560196089</v>
      </c>
    </row>
    <row r="662" spans="1:25" x14ac:dyDescent="0.35">
      <c r="A662" s="6" t="s">
        <v>25</v>
      </c>
      <c r="B662" s="6" t="s">
        <v>888</v>
      </c>
      <c r="D662" s="6" t="s">
        <v>884</v>
      </c>
      <c r="E662" s="6">
        <v>2</v>
      </c>
      <c r="F662" s="6">
        <v>20</v>
      </c>
      <c r="G662" s="6" t="s">
        <v>57</v>
      </c>
      <c r="I662" s="8">
        <v>86.603676041666702</v>
      </c>
      <c r="J662" s="8">
        <v>116.411907777778</v>
      </c>
      <c r="K662" s="6" t="s">
        <v>29</v>
      </c>
      <c r="L662" s="9">
        <v>43846</v>
      </c>
      <c r="N662" s="6">
        <v>16</v>
      </c>
      <c r="O662" s="6" t="s">
        <v>4311</v>
      </c>
      <c r="Q662" s="6">
        <v>40</v>
      </c>
      <c r="R662" s="6">
        <v>40</v>
      </c>
      <c r="S662" s="6">
        <v>50</v>
      </c>
      <c r="T662" s="10">
        <f t="shared" si="39"/>
        <v>45</v>
      </c>
      <c r="V662" s="8">
        <v>-4.9099820274353032</v>
      </c>
      <c r="W662" s="8">
        <v>-35.968430923461909</v>
      </c>
      <c r="X662" s="8">
        <f t="shared" si="37"/>
        <v>3.3114252960205164</v>
      </c>
    </row>
    <row r="663" spans="1:25" x14ac:dyDescent="0.35">
      <c r="A663" s="6" t="s">
        <v>25</v>
      </c>
      <c r="B663" s="6" t="s">
        <v>889</v>
      </c>
      <c r="D663" s="6" t="s">
        <v>884</v>
      </c>
      <c r="E663" s="6">
        <v>2</v>
      </c>
      <c r="F663" s="6">
        <v>20</v>
      </c>
      <c r="G663" s="6" t="s">
        <v>57</v>
      </c>
      <c r="I663" s="8">
        <v>86.603676041666702</v>
      </c>
      <c r="J663" s="8">
        <v>116.411907777778</v>
      </c>
      <c r="K663" s="6" t="s">
        <v>29</v>
      </c>
      <c r="L663" s="9">
        <v>43846</v>
      </c>
      <c r="N663" s="6">
        <v>16</v>
      </c>
      <c r="O663" s="6" t="s">
        <v>4311</v>
      </c>
      <c r="Q663" s="6">
        <v>50</v>
      </c>
      <c r="R663" s="6">
        <v>50</v>
      </c>
      <c r="S663" s="6">
        <v>60</v>
      </c>
      <c r="T663" s="10">
        <f t="shared" si="39"/>
        <v>55</v>
      </c>
      <c r="V663" s="8">
        <v>-0.94025196234285824</v>
      </c>
      <c r="W663" s="8">
        <v>-6.7236672649383546</v>
      </c>
      <c r="X663" s="8">
        <f t="shared" si="37"/>
        <v>0.79834843380451126</v>
      </c>
    </row>
    <row r="664" spans="1:25" x14ac:dyDescent="0.35">
      <c r="A664" s="6" t="s">
        <v>25</v>
      </c>
      <c r="B664" s="6" t="s">
        <v>890</v>
      </c>
      <c r="D664" s="6" t="s">
        <v>884</v>
      </c>
      <c r="E664" s="6">
        <v>2</v>
      </c>
      <c r="F664" s="6">
        <v>20</v>
      </c>
      <c r="G664" s="6" t="s">
        <v>57</v>
      </c>
      <c r="I664" s="8">
        <v>86.603676041666702</v>
      </c>
      <c r="J664" s="8">
        <v>116.411907777778</v>
      </c>
      <c r="K664" s="6" t="s">
        <v>29</v>
      </c>
      <c r="L664" s="9">
        <v>43846</v>
      </c>
      <c r="N664" s="6">
        <v>16</v>
      </c>
      <c r="O664" s="6" t="s">
        <v>4311</v>
      </c>
      <c r="Q664" s="6">
        <v>60</v>
      </c>
      <c r="R664" s="6">
        <v>60</v>
      </c>
      <c r="S664" s="6">
        <v>70</v>
      </c>
      <c r="T664" s="10">
        <f t="shared" si="39"/>
        <v>65</v>
      </c>
      <c r="V664" s="8">
        <v>0.68256186929941143</v>
      </c>
      <c r="W664" s="8">
        <v>5.959749931097031</v>
      </c>
      <c r="X664" s="8">
        <f t="shared" si="37"/>
        <v>0.49925497670173957</v>
      </c>
    </row>
    <row r="665" spans="1:25" x14ac:dyDescent="0.35">
      <c r="A665" s="6" t="s">
        <v>25</v>
      </c>
      <c r="B665" s="6" t="s">
        <v>891</v>
      </c>
      <c r="D665" s="6" t="s">
        <v>884</v>
      </c>
      <c r="E665" s="6">
        <v>2</v>
      </c>
      <c r="F665" s="6">
        <v>20</v>
      </c>
      <c r="G665" s="6" t="s">
        <v>57</v>
      </c>
      <c r="I665" s="8">
        <v>86.603676041666702</v>
      </c>
      <c r="J665" s="8">
        <v>116.411907777778</v>
      </c>
      <c r="K665" s="6" t="s">
        <v>29</v>
      </c>
      <c r="L665" s="9">
        <v>43846</v>
      </c>
      <c r="N665" s="6">
        <v>16</v>
      </c>
      <c r="O665" s="6" t="s">
        <v>4311</v>
      </c>
      <c r="Q665" s="6">
        <v>70</v>
      </c>
      <c r="R665" s="6">
        <v>70</v>
      </c>
      <c r="S665" s="6">
        <v>80</v>
      </c>
      <c r="T665" s="10">
        <f t="shared" si="39"/>
        <v>75</v>
      </c>
      <c r="V665" s="8">
        <v>0.28712313210666163</v>
      </c>
      <c r="W665" s="8">
        <v>2.680182968616486</v>
      </c>
      <c r="X665" s="8">
        <f t="shared" si="37"/>
        <v>0.38319791176319296</v>
      </c>
    </row>
    <row r="666" spans="1:25" x14ac:dyDescent="0.35">
      <c r="A666" s="6" t="s">
        <v>25</v>
      </c>
      <c r="B666" s="6" t="s">
        <v>892</v>
      </c>
      <c r="D666" s="6" t="s">
        <v>884</v>
      </c>
      <c r="E666" s="6">
        <v>2</v>
      </c>
      <c r="F666" s="6">
        <v>20</v>
      </c>
      <c r="G666" s="6" t="s">
        <v>57</v>
      </c>
      <c r="I666" s="8">
        <v>86.603676041666702</v>
      </c>
      <c r="J666" s="8">
        <v>116.411907777778</v>
      </c>
      <c r="K666" s="6" t="s">
        <v>29</v>
      </c>
      <c r="L666" s="9">
        <v>43846</v>
      </c>
      <c r="N666" s="6">
        <v>16</v>
      </c>
      <c r="O666" s="6" t="s">
        <v>4311</v>
      </c>
      <c r="Q666" s="6">
        <v>80</v>
      </c>
      <c r="R666" s="6">
        <v>80</v>
      </c>
      <c r="S666" s="6">
        <v>90</v>
      </c>
      <c r="T666" s="10">
        <f t="shared" si="39"/>
        <v>85</v>
      </c>
      <c r="V666" s="8">
        <v>8.5808339402824813E-2</v>
      </c>
      <c r="W666" s="8">
        <v>1.647405264735222</v>
      </c>
      <c r="X666" s="8">
        <f t="shared" si="37"/>
        <v>0.96093854951262347</v>
      </c>
    </row>
    <row r="667" spans="1:25" x14ac:dyDescent="0.35">
      <c r="A667" s="6" t="s">
        <v>25</v>
      </c>
      <c r="B667" s="6" t="s">
        <v>893</v>
      </c>
      <c r="D667" s="6" t="s">
        <v>884</v>
      </c>
      <c r="E667" s="6">
        <v>2</v>
      </c>
      <c r="F667" s="6">
        <v>20</v>
      </c>
      <c r="G667" s="6" t="s">
        <v>57</v>
      </c>
      <c r="I667" s="8">
        <v>86.603676041666702</v>
      </c>
      <c r="J667" s="8">
        <v>116.411907777778</v>
      </c>
      <c r="K667" s="6" t="s">
        <v>29</v>
      </c>
      <c r="L667" s="9">
        <v>43846</v>
      </c>
      <c r="N667" s="6">
        <v>16</v>
      </c>
      <c r="O667" s="6" t="s">
        <v>4311</v>
      </c>
      <c r="Q667" s="6">
        <v>90</v>
      </c>
      <c r="R667" s="6">
        <v>90</v>
      </c>
      <c r="S667" s="6">
        <v>100</v>
      </c>
      <c r="T667" s="10">
        <f t="shared" si="39"/>
        <v>95</v>
      </c>
      <c r="V667" s="8">
        <v>-5.9312367296963701E-2</v>
      </c>
      <c r="W667" s="8">
        <v>0.10467067234520804</v>
      </c>
      <c r="X667" s="8">
        <f t="shared" si="37"/>
        <v>0.57916961072091766</v>
      </c>
    </row>
    <row r="668" spans="1:25" x14ac:dyDescent="0.35">
      <c r="A668" s="6" t="s">
        <v>25</v>
      </c>
      <c r="B668" s="6" t="s">
        <v>894</v>
      </c>
      <c r="D668" s="6" t="s">
        <v>884</v>
      </c>
      <c r="E668" s="6">
        <v>2</v>
      </c>
      <c r="F668" s="6">
        <v>20</v>
      </c>
      <c r="G668" s="6" t="s">
        <v>57</v>
      </c>
      <c r="I668" s="8">
        <v>86.603676041666702</v>
      </c>
      <c r="J668" s="8">
        <v>116.411907777778</v>
      </c>
      <c r="K668" s="6" t="s">
        <v>29</v>
      </c>
      <c r="L668" s="9">
        <v>43846</v>
      </c>
      <c r="N668" s="6">
        <v>16</v>
      </c>
      <c r="O668" s="6" t="s">
        <v>4311</v>
      </c>
      <c r="Q668" s="6">
        <v>100</v>
      </c>
      <c r="R668" s="6">
        <v>100</v>
      </c>
      <c r="S668" s="6">
        <v>110</v>
      </c>
      <c r="T668" s="10">
        <f t="shared" si="39"/>
        <v>105</v>
      </c>
      <c r="V668" s="8">
        <v>-0.19186768426597117</v>
      </c>
      <c r="W668" s="8">
        <v>-1.2967359781265262</v>
      </c>
      <c r="X668" s="8">
        <f t="shared" si="37"/>
        <v>0.23820549600124319</v>
      </c>
    </row>
    <row r="669" spans="1:25" x14ac:dyDescent="0.35">
      <c r="A669" s="6" t="s">
        <v>25</v>
      </c>
      <c r="B669" s="6" t="s">
        <v>895</v>
      </c>
      <c r="D669" s="6" t="s">
        <v>884</v>
      </c>
      <c r="E669" s="6">
        <v>2</v>
      </c>
      <c r="F669" s="6">
        <v>20</v>
      </c>
      <c r="G669" s="6" t="s">
        <v>57</v>
      </c>
      <c r="I669" s="8">
        <v>86.603676041666702</v>
      </c>
      <c r="J669" s="8">
        <v>116.411907777778</v>
      </c>
      <c r="K669" s="6" t="s">
        <v>29</v>
      </c>
      <c r="L669" s="9">
        <v>43846</v>
      </c>
      <c r="N669" s="6">
        <v>16</v>
      </c>
      <c r="O669" s="6" t="s">
        <v>4311</v>
      </c>
      <c r="Q669" s="6">
        <v>70</v>
      </c>
      <c r="R669" s="6">
        <v>70</v>
      </c>
      <c r="S669" s="6">
        <v>80</v>
      </c>
      <c r="T669" s="10">
        <f t="shared" si="39"/>
        <v>75</v>
      </c>
      <c r="V669" s="8">
        <v>0.34239435356259323</v>
      </c>
      <c r="W669" s="8">
        <v>2.3311194956302645</v>
      </c>
      <c r="X669" s="8">
        <f t="shared" si="37"/>
        <v>-0.40803533287048133</v>
      </c>
    </row>
    <row r="670" spans="1:25" x14ac:dyDescent="0.35">
      <c r="A670" s="6" t="s">
        <v>25</v>
      </c>
      <c r="B670" s="6" t="s">
        <v>3393</v>
      </c>
      <c r="D670" s="6" t="s">
        <v>3695</v>
      </c>
      <c r="E670" s="6">
        <v>2</v>
      </c>
      <c r="F670" s="6">
        <v>20</v>
      </c>
      <c r="G670" s="6" t="s">
        <v>3997</v>
      </c>
      <c r="I670" s="8">
        <v>86.603676041666702</v>
      </c>
      <c r="J670" s="8">
        <v>116.411907777778</v>
      </c>
      <c r="K670" s="7" t="s">
        <v>2610</v>
      </c>
      <c r="L670" s="9">
        <v>43846</v>
      </c>
      <c r="N670" s="6">
        <v>16</v>
      </c>
      <c r="O670" s="6" t="s">
        <v>4311</v>
      </c>
      <c r="V670" s="8">
        <v>-2.3207163082122801</v>
      </c>
      <c r="W670" s="8">
        <v>-17.217504052734373</v>
      </c>
      <c r="X670" s="27">
        <f t="shared" si="37"/>
        <v>1.3482264129638679</v>
      </c>
    </row>
    <row r="671" spans="1:25" x14ac:dyDescent="0.35">
      <c r="A671" s="6" t="s">
        <v>25</v>
      </c>
      <c r="B671" s="6" t="s">
        <v>3394</v>
      </c>
      <c r="D671" s="6" t="s">
        <v>3696</v>
      </c>
      <c r="E671" s="6">
        <v>2</v>
      </c>
      <c r="F671" s="6">
        <v>20</v>
      </c>
      <c r="G671" s="6" t="s">
        <v>3998</v>
      </c>
      <c r="I671" s="8">
        <v>87.514280999999997</v>
      </c>
      <c r="J671" s="8">
        <v>99.409628999999995</v>
      </c>
      <c r="K671" s="7" t="s">
        <v>2610</v>
      </c>
      <c r="L671" s="9">
        <v>43847</v>
      </c>
      <c r="N671" s="6">
        <v>16</v>
      </c>
      <c r="O671" s="6" t="s">
        <v>4309</v>
      </c>
      <c r="V671" s="8">
        <v>-2.3319957409858705</v>
      </c>
      <c r="W671" s="8">
        <v>-16.953342271423338</v>
      </c>
      <c r="X671" s="27">
        <f t="shared" si="37"/>
        <v>1.7026236564636257</v>
      </c>
    </row>
    <row r="672" spans="1:25" x14ac:dyDescent="0.35">
      <c r="A672" s="6" t="s">
        <v>25</v>
      </c>
      <c r="B672" s="6" t="s">
        <v>2784</v>
      </c>
      <c r="D672" s="6" t="s">
        <v>3106</v>
      </c>
      <c r="E672" s="6">
        <v>2</v>
      </c>
      <c r="F672" s="6">
        <v>20</v>
      </c>
      <c r="G672" s="6" t="s">
        <v>3234</v>
      </c>
      <c r="I672" s="8">
        <v>87.514280999999997</v>
      </c>
      <c r="J672" s="8">
        <v>99.409628999999995</v>
      </c>
      <c r="K672" s="6" t="s">
        <v>198</v>
      </c>
      <c r="L672" s="9">
        <v>43847</v>
      </c>
      <c r="M672" s="18">
        <v>0.3888888888888889</v>
      </c>
      <c r="N672" s="6">
        <v>16</v>
      </c>
      <c r="O672" s="6" t="s">
        <v>4309</v>
      </c>
      <c r="R672" s="6">
        <v>16</v>
      </c>
      <c r="S672" s="6">
        <v>13</v>
      </c>
      <c r="V672" s="8">
        <v>-13.222620750808717</v>
      </c>
      <c r="W672" s="8">
        <v>-94.888861305236816</v>
      </c>
      <c r="X672" s="8">
        <f t="shared" si="37"/>
        <v>10.892104701232924</v>
      </c>
      <c r="Y672" s="6" t="s">
        <v>3181</v>
      </c>
    </row>
    <row r="673" spans="1:25" x14ac:dyDescent="0.35">
      <c r="A673" s="6" t="s">
        <v>25</v>
      </c>
      <c r="B673" s="6" t="s">
        <v>2785</v>
      </c>
      <c r="D673" s="6" t="s">
        <v>3106</v>
      </c>
      <c r="E673" s="6">
        <v>2</v>
      </c>
      <c r="F673" s="6">
        <v>20</v>
      </c>
      <c r="G673" s="6" t="s">
        <v>3234</v>
      </c>
      <c r="I673" s="8">
        <v>87.514280999999997</v>
      </c>
      <c r="J673" s="8">
        <v>99.409628999999995</v>
      </c>
      <c r="K673" s="6" t="s">
        <v>198</v>
      </c>
      <c r="L673" s="9">
        <v>43847</v>
      </c>
      <c r="M673" s="18">
        <v>0.3888888888888889</v>
      </c>
      <c r="N673" s="6">
        <v>16</v>
      </c>
      <c r="O673" s="6" t="s">
        <v>4309</v>
      </c>
      <c r="R673" s="6">
        <v>10</v>
      </c>
      <c r="S673" s="6">
        <v>6</v>
      </c>
      <c r="V673" s="8">
        <v>-5.8593289827346808</v>
      </c>
      <c r="W673" s="8">
        <v>-53.683471775054933</v>
      </c>
      <c r="X673" s="8">
        <f t="shared" si="37"/>
        <v>-6.8088399131774864</v>
      </c>
      <c r="Y673" s="6" t="s">
        <v>3182</v>
      </c>
    </row>
    <row r="674" spans="1:25" x14ac:dyDescent="0.35">
      <c r="A674" s="6" t="s">
        <v>25</v>
      </c>
      <c r="B674" s="6" t="s">
        <v>2786</v>
      </c>
      <c r="D674" s="6" t="s">
        <v>3107</v>
      </c>
      <c r="E674" s="6">
        <v>2</v>
      </c>
      <c r="F674" s="6">
        <v>20</v>
      </c>
      <c r="G674" s="6" t="s">
        <v>3233</v>
      </c>
      <c r="I674" s="8">
        <v>87.506501999999998</v>
      </c>
      <c r="J674" s="8">
        <v>99.307937999999993</v>
      </c>
      <c r="K674" s="6" t="s">
        <v>198</v>
      </c>
      <c r="L674" s="9">
        <v>43847</v>
      </c>
      <c r="M674" s="18">
        <v>0.44444444444444442</v>
      </c>
      <c r="N674" s="6">
        <v>16</v>
      </c>
      <c r="O674" s="6" t="s">
        <v>4309</v>
      </c>
      <c r="R674" s="6">
        <v>11</v>
      </c>
      <c r="S674" s="6">
        <v>6</v>
      </c>
      <c r="V674" s="8">
        <v>-23.827873526000975</v>
      </c>
      <c r="W674" s="8">
        <v>-169.93519503784179</v>
      </c>
      <c r="X674" s="8">
        <f t="shared" si="37"/>
        <v>20.687793170166003</v>
      </c>
    </row>
    <row r="675" spans="1:25" x14ac:dyDescent="0.35">
      <c r="A675" s="6" t="s">
        <v>25</v>
      </c>
      <c r="B675" s="6" t="s">
        <v>2787</v>
      </c>
      <c r="D675" s="6" t="s">
        <v>3107</v>
      </c>
      <c r="E675" s="6">
        <v>2</v>
      </c>
      <c r="F675" s="6">
        <v>20</v>
      </c>
      <c r="G675" s="6" t="s">
        <v>3233</v>
      </c>
      <c r="I675" s="8">
        <v>87.506501999999998</v>
      </c>
      <c r="J675" s="8">
        <v>99.307937999999993</v>
      </c>
      <c r="K675" s="6" t="s">
        <v>198</v>
      </c>
      <c r="L675" s="9">
        <v>43847</v>
      </c>
      <c r="M675" s="18">
        <v>0.44444444444444442</v>
      </c>
      <c r="N675" s="6">
        <v>16</v>
      </c>
      <c r="O675" s="6" t="s">
        <v>4309</v>
      </c>
      <c r="R675" s="6">
        <v>6</v>
      </c>
      <c r="S675" s="6">
        <v>4</v>
      </c>
      <c r="V675" s="8">
        <v>-12.106583744430543</v>
      </c>
      <c r="W675" s="8">
        <v>-81.985621360778808</v>
      </c>
      <c r="X675" s="8">
        <f t="shared" si="37"/>
        <v>14.867048594665533</v>
      </c>
    </row>
    <row r="676" spans="1:25" x14ac:dyDescent="0.35">
      <c r="A676" s="6" t="s">
        <v>25</v>
      </c>
      <c r="B676" s="6" t="s">
        <v>2788</v>
      </c>
      <c r="D676" s="6" t="s">
        <v>3107</v>
      </c>
      <c r="E676" s="6">
        <v>2</v>
      </c>
      <c r="F676" s="6">
        <v>20</v>
      </c>
      <c r="G676" s="6" t="s">
        <v>3233</v>
      </c>
      <c r="I676" s="8">
        <v>87.506501999999998</v>
      </c>
      <c r="J676" s="8">
        <v>99.307937999999993</v>
      </c>
      <c r="K676" s="6" t="s">
        <v>198</v>
      </c>
      <c r="L676" s="9">
        <v>43847</v>
      </c>
      <c r="M676" s="18">
        <v>0.44444444444444442</v>
      </c>
      <c r="N676" s="6">
        <v>16</v>
      </c>
      <c r="O676" s="6" t="s">
        <v>4309</v>
      </c>
      <c r="R676" s="6">
        <v>4</v>
      </c>
      <c r="S676" s="6">
        <v>0</v>
      </c>
      <c r="V676" s="8">
        <v>-2.524240809822083</v>
      </c>
      <c r="W676" s="8">
        <v>-30.274179340362547</v>
      </c>
      <c r="X676" s="8">
        <f t="shared" si="37"/>
        <v>-10.080252861785883</v>
      </c>
    </row>
    <row r="677" spans="1:25" x14ac:dyDescent="0.35">
      <c r="A677" s="6" t="s">
        <v>25</v>
      </c>
      <c r="B677" s="6" t="s">
        <v>3395</v>
      </c>
      <c r="D677" s="6" t="s">
        <v>3697</v>
      </c>
      <c r="E677" s="6">
        <v>2</v>
      </c>
      <c r="F677" s="6">
        <v>20</v>
      </c>
      <c r="G677" s="6" t="s">
        <v>3999</v>
      </c>
      <c r="I677" s="8">
        <v>87.406649097222228</v>
      </c>
      <c r="J677" s="8">
        <v>98.341030902777774</v>
      </c>
      <c r="K677" s="7" t="s">
        <v>2610</v>
      </c>
      <c r="L677" s="9">
        <v>43848</v>
      </c>
      <c r="N677" s="6">
        <v>16</v>
      </c>
      <c r="O677" s="6" t="s">
        <v>4312</v>
      </c>
      <c r="V677" s="8">
        <v>-2.2637091191053393</v>
      </c>
      <c r="W677" s="8">
        <v>-17.130965563583374</v>
      </c>
      <c r="X677" s="27">
        <f t="shared" si="37"/>
        <v>0.9787073892593412</v>
      </c>
    </row>
    <row r="678" spans="1:25" x14ac:dyDescent="0.35">
      <c r="A678" s="6" t="s">
        <v>25</v>
      </c>
      <c r="B678" s="6" t="s">
        <v>3396</v>
      </c>
      <c r="D678" s="6" t="s">
        <v>3698</v>
      </c>
      <c r="E678" s="6">
        <v>2</v>
      </c>
      <c r="F678" s="6">
        <v>20</v>
      </c>
      <c r="G678" s="6" t="s">
        <v>4000</v>
      </c>
      <c r="I678" s="8">
        <v>87.40220527777781</v>
      </c>
      <c r="J678" s="8">
        <v>98.298936041666693</v>
      </c>
      <c r="K678" s="7" t="s">
        <v>2610</v>
      </c>
      <c r="L678" s="9">
        <v>43849</v>
      </c>
      <c r="N678" s="6">
        <v>17</v>
      </c>
      <c r="O678" s="6" t="s">
        <v>4313</v>
      </c>
      <c r="V678" s="8">
        <v>-2.3095518885612489</v>
      </c>
      <c r="W678" s="8">
        <v>-16.639034997558593</v>
      </c>
      <c r="X678" s="27">
        <f t="shared" si="37"/>
        <v>1.8373801109313987</v>
      </c>
    </row>
    <row r="679" spans="1:25" x14ac:dyDescent="0.35">
      <c r="A679" s="6" t="s">
        <v>25</v>
      </c>
      <c r="B679" s="7" t="s">
        <v>899</v>
      </c>
      <c r="D679" s="6" t="s">
        <v>900</v>
      </c>
      <c r="E679" s="6">
        <v>2</v>
      </c>
      <c r="F679" s="6">
        <v>21</v>
      </c>
      <c r="G679" s="6" t="s">
        <v>202</v>
      </c>
      <c r="I679" s="8">
        <v>87.451079583333296</v>
      </c>
      <c r="J679" s="8">
        <v>97.375985347222198</v>
      </c>
      <c r="K679" s="6" t="s">
        <v>29</v>
      </c>
      <c r="L679" s="9">
        <v>43850</v>
      </c>
      <c r="N679" s="6">
        <v>17</v>
      </c>
      <c r="O679" s="6" t="s">
        <v>4314</v>
      </c>
      <c r="Q679" s="10"/>
      <c r="R679" s="10">
        <v>82</v>
      </c>
      <c r="S679" s="10">
        <v>93</v>
      </c>
      <c r="T679" s="10">
        <f t="shared" ref="T679:T688" si="40">AVERAGE(R679:S679)</f>
        <v>87.5</v>
      </c>
      <c r="U679" s="11"/>
      <c r="V679" s="8">
        <v>-9.0124098715186521E-2</v>
      </c>
      <c r="W679" s="8">
        <v>-1.1064696884155276</v>
      </c>
      <c r="X679" s="8">
        <f t="shared" si="37"/>
        <v>-0.38547689869403545</v>
      </c>
    </row>
    <row r="680" spans="1:25" x14ac:dyDescent="0.35">
      <c r="A680" s="6" t="s">
        <v>25</v>
      </c>
      <c r="B680" s="7" t="s">
        <v>901</v>
      </c>
      <c r="D680" s="6" t="s">
        <v>902</v>
      </c>
      <c r="E680" s="6">
        <v>2</v>
      </c>
      <c r="F680" s="6">
        <v>21</v>
      </c>
      <c r="G680" s="6" t="s">
        <v>202</v>
      </c>
      <c r="I680" s="8">
        <v>87.451079583333296</v>
      </c>
      <c r="J680" s="8">
        <v>97.375985347222198</v>
      </c>
      <c r="K680" s="6" t="s">
        <v>29</v>
      </c>
      <c r="L680" s="9">
        <v>43850</v>
      </c>
      <c r="N680" s="6">
        <v>17</v>
      </c>
      <c r="O680" s="6" t="s">
        <v>4314</v>
      </c>
      <c r="Q680" s="10"/>
      <c r="R680" s="10">
        <v>70</v>
      </c>
      <c r="S680" s="10">
        <v>80</v>
      </c>
      <c r="T680" s="10">
        <f t="shared" si="40"/>
        <v>75</v>
      </c>
      <c r="U680" s="11"/>
      <c r="V680" s="8">
        <v>6.4236170014552535E-2</v>
      </c>
      <c r="W680" s="8">
        <v>0.27065384626388506</v>
      </c>
      <c r="X680" s="8">
        <f t="shared" si="37"/>
        <v>-0.24323551385253522</v>
      </c>
    </row>
    <row r="681" spans="1:25" x14ac:dyDescent="0.35">
      <c r="A681" s="6" t="s">
        <v>25</v>
      </c>
      <c r="B681" s="7" t="s">
        <v>903</v>
      </c>
      <c r="D681" s="6" t="s">
        <v>904</v>
      </c>
      <c r="E681" s="6">
        <v>2</v>
      </c>
      <c r="F681" s="6">
        <v>21</v>
      </c>
      <c r="G681" s="6" t="s">
        <v>202</v>
      </c>
      <c r="I681" s="8">
        <v>87.451079583333296</v>
      </c>
      <c r="J681" s="8">
        <v>97.375985347222198</v>
      </c>
      <c r="K681" s="6" t="s">
        <v>29</v>
      </c>
      <c r="L681" s="9">
        <v>43850</v>
      </c>
      <c r="N681" s="6">
        <v>17</v>
      </c>
      <c r="O681" s="6" t="s">
        <v>4314</v>
      </c>
      <c r="Q681" s="10"/>
      <c r="R681" s="10">
        <v>60</v>
      </c>
      <c r="S681" s="10">
        <v>70</v>
      </c>
      <c r="T681" s="10">
        <f t="shared" si="40"/>
        <v>65</v>
      </c>
      <c r="U681" s="11"/>
      <c r="V681" s="8">
        <v>0.51585550745129594</v>
      </c>
      <c r="W681" s="8">
        <v>4.451314811706542</v>
      </c>
      <c r="X681" s="8">
        <f t="shared" si="37"/>
        <v>0.32447075209617449</v>
      </c>
    </row>
    <row r="682" spans="1:25" x14ac:dyDescent="0.35">
      <c r="A682" s="6" t="s">
        <v>25</v>
      </c>
      <c r="B682" s="7" t="s">
        <v>905</v>
      </c>
      <c r="D682" s="6" t="s">
        <v>906</v>
      </c>
      <c r="E682" s="6">
        <v>2</v>
      </c>
      <c r="F682" s="6">
        <v>21</v>
      </c>
      <c r="G682" s="6" t="s">
        <v>202</v>
      </c>
      <c r="I682" s="8">
        <v>87.451079583333296</v>
      </c>
      <c r="J682" s="8">
        <v>97.375985347222198</v>
      </c>
      <c r="K682" s="6" t="s">
        <v>29</v>
      </c>
      <c r="L682" s="9">
        <v>43850</v>
      </c>
      <c r="N682" s="6">
        <v>17</v>
      </c>
      <c r="O682" s="6" t="s">
        <v>4314</v>
      </c>
      <c r="Q682" s="10"/>
      <c r="R682" s="10">
        <v>50</v>
      </c>
      <c r="S682" s="10">
        <v>60</v>
      </c>
      <c r="T682" s="10">
        <f t="shared" si="40"/>
        <v>55</v>
      </c>
      <c r="U682" s="11"/>
      <c r="V682" s="8">
        <v>0.7747818527698519</v>
      </c>
      <c r="W682" s="8">
        <v>5.4539017868042006</v>
      </c>
      <c r="X682" s="8">
        <f t="shared" si="37"/>
        <v>-0.74435303535461461</v>
      </c>
    </row>
    <row r="683" spans="1:25" x14ac:dyDescent="0.35">
      <c r="A683" s="6" t="s">
        <v>25</v>
      </c>
      <c r="B683" s="7" t="s">
        <v>907</v>
      </c>
      <c r="D683" s="6" t="s">
        <v>908</v>
      </c>
      <c r="E683" s="6">
        <v>2</v>
      </c>
      <c r="F683" s="6">
        <v>21</v>
      </c>
      <c r="G683" s="6" t="s">
        <v>202</v>
      </c>
      <c r="I683" s="8">
        <v>87.451079583333296</v>
      </c>
      <c r="J683" s="8">
        <v>97.375985347222198</v>
      </c>
      <c r="K683" s="6" t="s">
        <v>29</v>
      </c>
      <c r="L683" s="9">
        <v>43850</v>
      </c>
      <c r="N683" s="6">
        <v>17</v>
      </c>
      <c r="O683" s="6" t="s">
        <v>4314</v>
      </c>
      <c r="Q683" s="10"/>
      <c r="R683" s="10">
        <v>40</v>
      </c>
      <c r="S683" s="10">
        <v>50</v>
      </c>
      <c r="T683" s="10">
        <f t="shared" si="40"/>
        <v>45</v>
      </c>
      <c r="U683" s="11"/>
      <c r="V683" s="8">
        <v>0.71406184434890807</v>
      </c>
      <c r="W683" s="8">
        <v>6.958175258731842</v>
      </c>
      <c r="X683" s="8">
        <f t="shared" si="37"/>
        <v>1.2456805039405774</v>
      </c>
    </row>
    <row r="684" spans="1:25" x14ac:dyDescent="0.35">
      <c r="A684" s="6" t="s">
        <v>25</v>
      </c>
      <c r="B684" s="7" t="s">
        <v>909</v>
      </c>
      <c r="D684" s="6" t="s">
        <v>910</v>
      </c>
      <c r="E684" s="6">
        <v>2</v>
      </c>
      <c r="F684" s="6">
        <v>21</v>
      </c>
      <c r="G684" s="6" t="s">
        <v>202</v>
      </c>
      <c r="I684" s="8">
        <v>87.451079583333296</v>
      </c>
      <c r="J684" s="8">
        <v>97.375985347222198</v>
      </c>
      <c r="K684" s="6" t="s">
        <v>29</v>
      </c>
      <c r="L684" s="9">
        <v>43850</v>
      </c>
      <c r="N684" s="6">
        <v>17</v>
      </c>
      <c r="O684" s="6" t="s">
        <v>4314</v>
      </c>
      <c r="Q684" s="10"/>
      <c r="R684" s="10">
        <v>30</v>
      </c>
      <c r="S684" s="10">
        <v>40</v>
      </c>
      <c r="T684" s="10">
        <f t="shared" si="40"/>
        <v>35</v>
      </c>
      <c r="U684" s="11"/>
      <c r="V684" s="8">
        <v>0.80942345296144524</v>
      </c>
      <c r="W684" s="8">
        <v>6.5567348937988283</v>
      </c>
      <c r="X684" s="8">
        <f t="shared" si="37"/>
        <v>8.134727010726639E-2</v>
      </c>
    </row>
    <row r="685" spans="1:25" x14ac:dyDescent="0.35">
      <c r="A685" s="6" t="s">
        <v>25</v>
      </c>
      <c r="B685" s="7" t="s">
        <v>911</v>
      </c>
      <c r="D685" s="6" t="s">
        <v>912</v>
      </c>
      <c r="E685" s="6">
        <v>2</v>
      </c>
      <c r="F685" s="6">
        <v>21</v>
      </c>
      <c r="G685" s="6" t="s">
        <v>202</v>
      </c>
      <c r="I685" s="8">
        <v>87.451079583333296</v>
      </c>
      <c r="J685" s="8">
        <v>97.375985347222198</v>
      </c>
      <c r="K685" s="6" t="s">
        <v>29</v>
      </c>
      <c r="L685" s="9">
        <v>43850</v>
      </c>
      <c r="N685" s="6">
        <v>17</v>
      </c>
      <c r="O685" s="6" t="s">
        <v>4314</v>
      </c>
      <c r="Q685" s="10"/>
      <c r="R685" s="10">
        <v>20</v>
      </c>
      <c r="S685" s="10">
        <v>30</v>
      </c>
      <c r="T685" s="10">
        <f t="shared" si="40"/>
        <v>25</v>
      </c>
      <c r="U685" s="11"/>
      <c r="V685" s="8">
        <v>0.80716560472011545</v>
      </c>
      <c r="W685" s="8">
        <v>5.8706291084289557</v>
      </c>
      <c r="X685" s="8">
        <f t="shared" si="37"/>
        <v>-0.5866957293319679</v>
      </c>
    </row>
    <row r="686" spans="1:25" x14ac:dyDescent="0.35">
      <c r="A686" s="6" t="s">
        <v>25</v>
      </c>
      <c r="B686" s="7" t="s">
        <v>913</v>
      </c>
      <c r="D686" s="6" t="s">
        <v>914</v>
      </c>
      <c r="E686" s="6">
        <v>2</v>
      </c>
      <c r="F686" s="6">
        <v>21</v>
      </c>
      <c r="G686" s="6" t="s">
        <v>202</v>
      </c>
      <c r="I686" s="8">
        <v>87.451079583333296</v>
      </c>
      <c r="J686" s="8">
        <v>97.375985347222198</v>
      </c>
      <c r="K686" s="6" t="s">
        <v>29</v>
      </c>
      <c r="L686" s="9">
        <v>43850</v>
      </c>
      <c r="N686" s="6">
        <v>17</v>
      </c>
      <c r="O686" s="6" t="s">
        <v>4314</v>
      </c>
      <c r="Q686" s="10"/>
      <c r="R686" s="10">
        <v>10</v>
      </c>
      <c r="S686" s="10">
        <v>20</v>
      </c>
      <c r="T686" s="10">
        <f t="shared" si="40"/>
        <v>15</v>
      </c>
      <c r="U686" s="11"/>
      <c r="V686" s="8">
        <v>-0.59007612060546877</v>
      </c>
      <c r="W686" s="8">
        <v>-4.8771100661754616</v>
      </c>
      <c r="X686" s="8">
        <f t="shared" si="37"/>
        <v>-0.15650110133171147</v>
      </c>
    </row>
    <row r="687" spans="1:25" x14ac:dyDescent="0.35">
      <c r="A687" s="6" t="s">
        <v>25</v>
      </c>
      <c r="B687" s="7" t="s">
        <v>915</v>
      </c>
      <c r="D687" s="6" t="s">
        <v>916</v>
      </c>
      <c r="E687" s="6">
        <v>2</v>
      </c>
      <c r="F687" s="6">
        <v>21</v>
      </c>
      <c r="G687" s="6" t="s">
        <v>202</v>
      </c>
      <c r="I687" s="8">
        <v>87.451079583333296</v>
      </c>
      <c r="J687" s="8">
        <v>97.375985347222198</v>
      </c>
      <c r="K687" s="6" t="s">
        <v>29</v>
      </c>
      <c r="L687" s="9">
        <v>43850</v>
      </c>
      <c r="N687" s="6">
        <v>17</v>
      </c>
      <c r="O687" s="6" t="s">
        <v>4314</v>
      </c>
      <c r="Q687" s="10"/>
      <c r="R687" s="10">
        <v>0</v>
      </c>
      <c r="S687" s="10">
        <v>10</v>
      </c>
      <c r="T687" s="10">
        <f t="shared" si="40"/>
        <v>5</v>
      </c>
      <c r="U687" s="11"/>
      <c r="V687" s="8">
        <v>-1.6039753601455686</v>
      </c>
      <c r="W687" s="8">
        <v>-13.923559502124787</v>
      </c>
      <c r="X687" s="8">
        <f t="shared" si="37"/>
        <v>-1.0917566209602381</v>
      </c>
    </row>
    <row r="688" spans="1:25" x14ac:dyDescent="0.35">
      <c r="A688" s="6" t="s">
        <v>25</v>
      </c>
      <c r="B688" s="7" t="s">
        <v>917</v>
      </c>
      <c r="D688" s="6" t="s">
        <v>918</v>
      </c>
      <c r="E688" s="6">
        <v>2</v>
      </c>
      <c r="F688" s="6">
        <v>21</v>
      </c>
      <c r="G688" s="6" t="s">
        <v>202</v>
      </c>
      <c r="I688" s="8">
        <v>87.451079583333296</v>
      </c>
      <c r="J688" s="8">
        <v>97.375985347222198</v>
      </c>
      <c r="K688" s="6" t="s">
        <v>29</v>
      </c>
      <c r="L688" s="9">
        <v>43850</v>
      </c>
      <c r="N688" s="6">
        <v>17</v>
      </c>
      <c r="O688" s="6" t="s">
        <v>4314</v>
      </c>
      <c r="Q688" s="10"/>
      <c r="R688" s="10">
        <v>93</v>
      </c>
      <c r="S688" s="10">
        <v>105</v>
      </c>
      <c r="T688" s="10">
        <f t="shared" si="40"/>
        <v>99</v>
      </c>
      <c r="U688" s="11"/>
      <c r="V688" s="8">
        <v>-0.23949311845302548</v>
      </c>
      <c r="W688" s="8">
        <v>-1.6725776789188387</v>
      </c>
      <c r="X688" s="8">
        <f t="shared" si="37"/>
        <v>0.24336726870536518</v>
      </c>
    </row>
    <row r="689" spans="1:24" x14ac:dyDescent="0.35">
      <c r="A689" s="6" t="s">
        <v>25</v>
      </c>
      <c r="B689" s="6" t="s">
        <v>3397</v>
      </c>
      <c r="D689" s="6" t="s">
        <v>3699</v>
      </c>
      <c r="E689" s="6">
        <v>2</v>
      </c>
      <c r="F689" s="6">
        <v>21</v>
      </c>
      <c r="G689" s="6" t="s">
        <v>4001</v>
      </c>
      <c r="I689" s="8">
        <v>87.416636944444406</v>
      </c>
      <c r="J689" s="8">
        <v>93.8729894444444</v>
      </c>
      <c r="K689" s="7" t="s">
        <v>2610</v>
      </c>
      <c r="L689" s="9">
        <v>43850</v>
      </c>
      <c r="N689" s="6">
        <v>17</v>
      </c>
      <c r="O689" s="6" t="s">
        <v>4314</v>
      </c>
      <c r="V689" s="8">
        <v>-2.3058355270385746</v>
      </c>
      <c r="W689" s="8">
        <v>-16.713525834655762</v>
      </c>
      <c r="X689" s="27">
        <f t="shared" si="37"/>
        <v>1.7331583816528351</v>
      </c>
    </row>
    <row r="690" spans="1:24" x14ac:dyDescent="0.35">
      <c r="A690" s="6" t="s">
        <v>25</v>
      </c>
      <c r="B690" s="6" t="s">
        <v>2789</v>
      </c>
      <c r="D690" s="6" t="s">
        <v>3108</v>
      </c>
      <c r="E690" s="6">
        <v>2</v>
      </c>
      <c r="F690" s="6">
        <v>21</v>
      </c>
      <c r="G690" s="6" t="s">
        <v>3235</v>
      </c>
      <c r="I690" s="8">
        <v>87.439325999999994</v>
      </c>
      <c r="J690" s="8">
        <v>97.619716999999994</v>
      </c>
      <c r="K690" s="6" t="s">
        <v>198</v>
      </c>
      <c r="L690" s="9">
        <v>43850</v>
      </c>
      <c r="M690" s="18">
        <v>0.27291666666666664</v>
      </c>
      <c r="N690" s="6">
        <v>17</v>
      </c>
      <c r="O690" s="6" t="s">
        <v>4314</v>
      </c>
      <c r="R690" s="6">
        <v>25</v>
      </c>
      <c r="S690" s="6">
        <v>22</v>
      </c>
      <c r="V690" s="8">
        <v>-21.690012236022948</v>
      </c>
      <c r="W690" s="8">
        <v>-150.62906063842777</v>
      </c>
      <c r="X690" s="8">
        <f t="shared" si="37"/>
        <v>22.891037249755811</v>
      </c>
    </row>
    <row r="691" spans="1:24" x14ac:dyDescent="0.35">
      <c r="A691" s="6" t="s">
        <v>25</v>
      </c>
      <c r="B691" s="6" t="s">
        <v>2790</v>
      </c>
      <c r="D691" s="6" t="s">
        <v>3108</v>
      </c>
      <c r="E691" s="6">
        <v>2</v>
      </c>
      <c r="F691" s="6">
        <v>21</v>
      </c>
      <c r="G691" s="6" t="s">
        <v>3235</v>
      </c>
      <c r="I691" s="8">
        <v>87.439325999999994</v>
      </c>
      <c r="J691" s="8">
        <v>97.619716999999994</v>
      </c>
      <c r="K691" s="6" t="s">
        <v>198</v>
      </c>
      <c r="L691" s="9">
        <v>43850</v>
      </c>
      <c r="M691" s="18">
        <v>0.27291666666666664</v>
      </c>
      <c r="N691" s="6">
        <v>17</v>
      </c>
      <c r="O691" s="6" t="s">
        <v>4314</v>
      </c>
      <c r="R691" s="6">
        <v>15</v>
      </c>
      <c r="S691" s="6">
        <v>10</v>
      </c>
      <c r="V691" s="8">
        <v>-6.286259884262086</v>
      </c>
      <c r="W691" s="8">
        <v>-54.834551185607907</v>
      </c>
      <c r="X691" s="8">
        <f t="shared" si="37"/>
        <v>-4.5444721115112188</v>
      </c>
    </row>
    <row r="692" spans="1:24" x14ac:dyDescent="0.35">
      <c r="A692" s="6" t="s">
        <v>25</v>
      </c>
      <c r="B692" s="6" t="s">
        <v>2791</v>
      </c>
      <c r="D692" s="6" t="s">
        <v>3109</v>
      </c>
      <c r="E692" s="6">
        <v>2</v>
      </c>
      <c r="F692" s="6">
        <v>21</v>
      </c>
      <c r="G692" s="6" t="s">
        <v>3236</v>
      </c>
      <c r="I692" s="8">
        <v>87.449599000000006</v>
      </c>
      <c r="J692" s="8">
        <v>97.423748000000003</v>
      </c>
      <c r="K692" s="6" t="s">
        <v>198</v>
      </c>
      <c r="L692" s="9">
        <v>43850</v>
      </c>
      <c r="M692" s="18">
        <v>0.46180555555555558</v>
      </c>
      <c r="N692" s="6">
        <v>17</v>
      </c>
      <c r="O692" s="6" t="s">
        <v>4314</v>
      </c>
      <c r="R692" s="6">
        <v>13.5</v>
      </c>
      <c r="S692" s="6">
        <v>10</v>
      </c>
      <c r="V692" s="8">
        <v>-25.103531061553955</v>
      </c>
      <c r="W692" s="8">
        <v>-184.2012645263672</v>
      </c>
      <c r="X692" s="8">
        <f t="shared" si="37"/>
        <v>16.626983966064444</v>
      </c>
    </row>
    <row r="693" spans="1:24" x14ac:dyDescent="0.35">
      <c r="A693" s="6" t="s">
        <v>25</v>
      </c>
      <c r="B693" s="6" t="s">
        <v>2792</v>
      </c>
      <c r="D693" s="6" t="s">
        <v>3109</v>
      </c>
      <c r="E693" s="6">
        <v>2</v>
      </c>
      <c r="F693" s="6">
        <v>21</v>
      </c>
      <c r="G693" s="6" t="s">
        <v>3236</v>
      </c>
      <c r="I693" s="8">
        <v>87.449599000000006</v>
      </c>
      <c r="J693" s="8">
        <v>97.423748000000003</v>
      </c>
      <c r="K693" s="6" t="s">
        <v>198</v>
      </c>
      <c r="L693" s="9">
        <v>43850</v>
      </c>
      <c r="M693" s="18">
        <v>0.46180555555555558</v>
      </c>
      <c r="N693" s="6">
        <v>17</v>
      </c>
      <c r="O693" s="6" t="s">
        <v>4314</v>
      </c>
      <c r="R693" s="6">
        <v>8</v>
      </c>
      <c r="S693" s="6">
        <v>5</v>
      </c>
      <c r="V693" s="8">
        <v>-14.173665567779542</v>
      </c>
      <c r="W693" s="8">
        <v>-109.76076364135741</v>
      </c>
      <c r="X693" s="8">
        <f t="shared" si="37"/>
        <v>3.6285609008789237</v>
      </c>
    </row>
    <row r="694" spans="1:24" x14ac:dyDescent="0.35">
      <c r="A694" s="6" t="s">
        <v>25</v>
      </c>
      <c r="B694" s="6" t="s">
        <v>2793</v>
      </c>
      <c r="D694" s="6" t="s">
        <v>3109</v>
      </c>
      <c r="E694" s="6">
        <v>2</v>
      </c>
      <c r="F694" s="6">
        <v>21</v>
      </c>
      <c r="G694" s="6" t="s">
        <v>3236</v>
      </c>
      <c r="I694" s="8">
        <v>87.449599000000006</v>
      </c>
      <c r="J694" s="8">
        <v>97.423748000000003</v>
      </c>
      <c r="K694" s="6" t="s">
        <v>198</v>
      </c>
      <c r="L694" s="9">
        <v>43850</v>
      </c>
      <c r="M694" s="18">
        <v>0.46180555555555558</v>
      </c>
      <c r="N694" s="6">
        <v>17</v>
      </c>
      <c r="O694" s="6" t="s">
        <v>4314</v>
      </c>
      <c r="R694" s="6">
        <v>3</v>
      </c>
      <c r="S694" s="6">
        <v>0</v>
      </c>
      <c r="V694" s="8">
        <v>-5.864420499229432</v>
      </c>
      <c r="W694" s="8">
        <v>-66.531637710571289</v>
      </c>
      <c r="X694" s="8">
        <f t="shared" si="37"/>
        <v>-19.616273716735833</v>
      </c>
    </row>
    <row r="695" spans="1:24" x14ac:dyDescent="0.35">
      <c r="A695" s="6" t="s">
        <v>25</v>
      </c>
      <c r="B695" s="7"/>
      <c r="D695" s="6" t="s">
        <v>896</v>
      </c>
      <c r="E695" s="6">
        <v>2</v>
      </c>
      <c r="F695" s="6">
        <v>21</v>
      </c>
      <c r="I695" s="8">
        <v>87.416636944444406</v>
      </c>
      <c r="J695" s="8">
        <v>93.8729894444444</v>
      </c>
      <c r="K695" s="6" t="s">
        <v>897</v>
      </c>
      <c r="L695" s="14">
        <v>43850</v>
      </c>
      <c r="N695" s="6">
        <v>17</v>
      </c>
      <c r="O695" s="6" t="s">
        <v>4314</v>
      </c>
      <c r="R695" s="6">
        <v>0</v>
      </c>
      <c r="S695" s="6">
        <v>0</v>
      </c>
      <c r="T695" s="10">
        <f>AVERAGE(R695:S695)</f>
        <v>0</v>
      </c>
      <c r="V695" s="8">
        <v>-3.4442582860565185</v>
      </c>
      <c r="W695" s="8">
        <v>-23.932406997680662</v>
      </c>
      <c r="X695" s="8">
        <f t="shared" si="37"/>
        <v>3.6216592907714862</v>
      </c>
    </row>
    <row r="696" spans="1:24" x14ac:dyDescent="0.35">
      <c r="A696" s="6" t="s">
        <v>25</v>
      </c>
      <c r="B696" s="7"/>
      <c r="D696" s="6" t="s">
        <v>898</v>
      </c>
      <c r="E696" s="6">
        <v>2</v>
      </c>
      <c r="F696" s="6">
        <v>21</v>
      </c>
      <c r="I696" s="8">
        <v>87.416636944444406</v>
      </c>
      <c r="J696" s="8">
        <v>93.8729894444444</v>
      </c>
      <c r="K696" s="6" t="s">
        <v>897</v>
      </c>
      <c r="L696" s="14">
        <v>43850</v>
      </c>
      <c r="N696" s="6">
        <v>17</v>
      </c>
      <c r="O696" s="6" t="s">
        <v>4314</v>
      </c>
      <c r="R696" s="6">
        <v>0</v>
      </c>
      <c r="S696" s="6">
        <v>0</v>
      </c>
      <c r="T696" s="10">
        <f>AVERAGE(R696:S696)</f>
        <v>0</v>
      </c>
      <c r="V696" s="8">
        <v>-10.239562075195311</v>
      </c>
      <c r="W696" s="8">
        <v>-65.205062599182128</v>
      </c>
      <c r="X696" s="8">
        <f t="shared" si="37"/>
        <v>16.711434002380358</v>
      </c>
    </row>
    <row r="697" spans="1:24" x14ac:dyDescent="0.35">
      <c r="A697" s="6" t="s">
        <v>25</v>
      </c>
      <c r="B697" s="7" t="s">
        <v>919</v>
      </c>
      <c r="D697" s="6" t="s">
        <v>920</v>
      </c>
      <c r="E697" s="6">
        <v>2</v>
      </c>
      <c r="F697" s="6">
        <v>21</v>
      </c>
      <c r="G697" s="6" t="s">
        <v>60</v>
      </c>
      <c r="I697" s="8">
        <v>87.487058888888896</v>
      </c>
      <c r="J697" s="8">
        <v>96.100724513888906</v>
      </c>
      <c r="K697" s="7" t="s">
        <v>2610</v>
      </c>
      <c r="L697" s="9">
        <v>43851</v>
      </c>
      <c r="N697" s="6">
        <v>17</v>
      </c>
      <c r="O697" s="6" t="s">
        <v>4275</v>
      </c>
      <c r="Q697" s="10">
        <v>200</v>
      </c>
      <c r="R697" s="10"/>
      <c r="S697" s="10">
        <v>200</v>
      </c>
      <c r="T697" s="10">
        <f>AVERAGE(R697:S697)</f>
        <v>200</v>
      </c>
      <c r="U697" s="11"/>
      <c r="V697" s="8">
        <v>-2.422838051605225</v>
      </c>
      <c r="W697" s="8">
        <v>-17.202125802993773</v>
      </c>
      <c r="X697" s="8">
        <f t="shared" si="37"/>
        <v>2.1805786098480269</v>
      </c>
    </row>
    <row r="698" spans="1:24" x14ac:dyDescent="0.35">
      <c r="A698" s="6" t="s">
        <v>25</v>
      </c>
      <c r="B698" s="6" t="s">
        <v>3398</v>
      </c>
      <c r="D698" s="6" t="s">
        <v>3700</v>
      </c>
      <c r="E698" s="6">
        <v>2</v>
      </c>
      <c r="F698" s="6">
        <v>21</v>
      </c>
      <c r="G698" s="6" t="s">
        <v>4002</v>
      </c>
      <c r="I698" s="8">
        <v>87.487058888888896</v>
      </c>
      <c r="J698" s="8">
        <v>96.100724513888906</v>
      </c>
      <c r="K698" s="7" t="s">
        <v>2610</v>
      </c>
      <c r="L698" s="9">
        <v>43851</v>
      </c>
      <c r="N698" s="6">
        <v>17</v>
      </c>
      <c r="O698" s="6" t="s">
        <v>4275</v>
      </c>
      <c r="V698" s="8">
        <v>-2.2920497609734536</v>
      </c>
      <c r="W698" s="8">
        <v>-16.46091272830963</v>
      </c>
      <c r="X698" s="27">
        <f t="shared" si="37"/>
        <v>1.8754853594779988</v>
      </c>
    </row>
    <row r="699" spans="1:24" x14ac:dyDescent="0.35">
      <c r="A699" s="6" t="s">
        <v>25</v>
      </c>
      <c r="B699" s="7" t="s">
        <v>921</v>
      </c>
      <c r="D699" s="6" t="s">
        <v>922</v>
      </c>
      <c r="E699" s="6">
        <v>2</v>
      </c>
      <c r="F699" s="6">
        <v>21</v>
      </c>
      <c r="G699" s="6" t="s">
        <v>923</v>
      </c>
      <c r="I699" s="8">
        <v>87.4749859722222</v>
      </c>
      <c r="J699" s="8">
        <v>94.8952059722222</v>
      </c>
      <c r="K699" s="6" t="s">
        <v>390</v>
      </c>
      <c r="L699" s="9">
        <v>43852</v>
      </c>
      <c r="N699" s="6">
        <v>17</v>
      </c>
      <c r="O699" s="6" t="s">
        <v>4258</v>
      </c>
      <c r="Q699" s="10"/>
      <c r="R699" s="10">
        <v>45</v>
      </c>
      <c r="S699" s="10">
        <v>52.5</v>
      </c>
      <c r="T699" s="10">
        <f t="shared" ref="T699:T705" si="41">AVERAGE(R699:S699)</f>
        <v>48.75</v>
      </c>
      <c r="U699" s="11"/>
      <c r="V699" s="8">
        <v>-0.62500012784004233</v>
      </c>
      <c r="W699" s="8">
        <v>-4.8583619074821467</v>
      </c>
      <c r="X699" s="8">
        <f t="shared" si="37"/>
        <v>0.14163911523819195</v>
      </c>
    </row>
    <row r="700" spans="1:24" x14ac:dyDescent="0.35">
      <c r="A700" s="6" t="s">
        <v>25</v>
      </c>
      <c r="B700" s="7" t="s">
        <v>924</v>
      </c>
      <c r="D700" s="6" t="s">
        <v>925</v>
      </c>
      <c r="E700" s="6">
        <v>2</v>
      </c>
      <c r="F700" s="6">
        <v>21</v>
      </c>
      <c r="G700" s="6" t="s">
        <v>923</v>
      </c>
      <c r="I700" s="8">
        <v>87.4749859722222</v>
      </c>
      <c r="J700" s="8">
        <v>94.8952059722222</v>
      </c>
      <c r="K700" s="6" t="s">
        <v>390</v>
      </c>
      <c r="L700" s="9">
        <v>43852</v>
      </c>
      <c r="N700" s="6">
        <v>17</v>
      </c>
      <c r="O700" s="6" t="s">
        <v>4258</v>
      </c>
      <c r="Q700" s="10"/>
      <c r="R700" s="10">
        <v>37.5</v>
      </c>
      <c r="S700" s="10">
        <v>45</v>
      </c>
      <c r="T700" s="10">
        <f t="shared" si="41"/>
        <v>41.25</v>
      </c>
      <c r="U700" s="11"/>
      <c r="V700" s="8">
        <v>-0.6128005807876582</v>
      </c>
      <c r="W700" s="8">
        <v>-5.7855038542747499</v>
      </c>
      <c r="X700" s="8">
        <f t="shared" si="37"/>
        <v>-0.88309920797348429</v>
      </c>
    </row>
    <row r="701" spans="1:24" x14ac:dyDescent="0.35">
      <c r="A701" s="6" t="s">
        <v>25</v>
      </c>
      <c r="B701" s="7" t="s">
        <v>926</v>
      </c>
      <c r="D701" s="6" t="s">
        <v>927</v>
      </c>
      <c r="E701" s="6">
        <v>2</v>
      </c>
      <c r="F701" s="6">
        <v>21</v>
      </c>
      <c r="G701" s="6" t="s">
        <v>923</v>
      </c>
      <c r="I701" s="8">
        <v>87.4749859722222</v>
      </c>
      <c r="J701" s="8">
        <v>94.8952059722222</v>
      </c>
      <c r="K701" s="6" t="s">
        <v>390</v>
      </c>
      <c r="L701" s="9">
        <v>43852</v>
      </c>
      <c r="N701" s="6">
        <v>17</v>
      </c>
      <c r="O701" s="6" t="s">
        <v>4258</v>
      </c>
      <c r="Q701" s="10"/>
      <c r="R701" s="10">
        <v>52.5</v>
      </c>
      <c r="S701" s="10">
        <v>60</v>
      </c>
      <c r="T701" s="10">
        <f t="shared" si="41"/>
        <v>56.25</v>
      </c>
      <c r="U701" s="11"/>
      <c r="V701" s="8">
        <v>-0.45427953748703048</v>
      </c>
      <c r="W701" s="8">
        <v>-3.6791021335124969</v>
      </c>
      <c r="X701" s="8">
        <f t="shared" si="37"/>
        <v>-4.486583361625307E-2</v>
      </c>
    </row>
    <row r="702" spans="1:24" x14ac:dyDescent="0.35">
      <c r="A702" s="6" t="s">
        <v>25</v>
      </c>
      <c r="B702" s="7" t="s">
        <v>928</v>
      </c>
      <c r="D702" s="6" t="s">
        <v>929</v>
      </c>
      <c r="E702" s="6">
        <v>2</v>
      </c>
      <c r="F702" s="6">
        <v>21</v>
      </c>
      <c r="G702" s="6" t="s">
        <v>923</v>
      </c>
      <c r="I702" s="8">
        <v>87.4749859722222</v>
      </c>
      <c r="J702" s="8">
        <v>94.8952059722222</v>
      </c>
      <c r="K702" s="6" t="s">
        <v>390</v>
      </c>
      <c r="L702" s="9">
        <v>43852</v>
      </c>
      <c r="N702" s="6">
        <v>17</v>
      </c>
      <c r="O702" s="6" t="s">
        <v>4258</v>
      </c>
      <c r="Q702" s="10"/>
      <c r="R702" s="10">
        <v>0</v>
      </c>
      <c r="S702" s="10">
        <v>7.5</v>
      </c>
      <c r="T702" s="10">
        <f t="shared" si="41"/>
        <v>3.75</v>
      </c>
      <c r="U702" s="11"/>
      <c r="V702" s="8">
        <v>-1.0231332157135007</v>
      </c>
      <c r="W702" s="8">
        <v>-8.9919074888229371</v>
      </c>
      <c r="X702" s="8">
        <f t="shared" si="37"/>
        <v>-0.80684176311493161</v>
      </c>
    </row>
    <row r="703" spans="1:24" x14ac:dyDescent="0.35">
      <c r="A703" s="6" t="s">
        <v>25</v>
      </c>
      <c r="B703" s="7" t="s">
        <v>930</v>
      </c>
      <c r="D703" s="6" t="s">
        <v>931</v>
      </c>
      <c r="E703" s="6">
        <v>2</v>
      </c>
      <c r="F703" s="6">
        <v>21</v>
      </c>
      <c r="G703" s="6" t="s">
        <v>923</v>
      </c>
      <c r="I703" s="8">
        <v>87.4749859722222</v>
      </c>
      <c r="J703" s="8">
        <v>94.8952059722222</v>
      </c>
      <c r="K703" s="6" t="s">
        <v>390</v>
      </c>
      <c r="L703" s="9">
        <v>43852</v>
      </c>
      <c r="N703" s="6">
        <v>17</v>
      </c>
      <c r="O703" s="6" t="s">
        <v>4258</v>
      </c>
      <c r="Q703" s="10"/>
      <c r="R703" s="10">
        <v>22.5</v>
      </c>
      <c r="S703" s="10">
        <v>30</v>
      </c>
      <c r="T703" s="10">
        <f t="shared" si="41"/>
        <v>26.25</v>
      </c>
      <c r="U703" s="11"/>
      <c r="V703" s="8">
        <v>-0.69165033965110767</v>
      </c>
      <c r="W703" s="8">
        <v>-5.3850275640487686</v>
      </c>
      <c r="X703" s="8">
        <f t="shared" si="37"/>
        <v>0.14817515316009278</v>
      </c>
    </row>
    <row r="704" spans="1:24" x14ac:dyDescent="0.35">
      <c r="A704" s="6" t="s">
        <v>25</v>
      </c>
      <c r="B704" s="7" t="s">
        <v>932</v>
      </c>
      <c r="D704" s="6" t="s">
        <v>933</v>
      </c>
      <c r="E704" s="6">
        <v>2</v>
      </c>
      <c r="F704" s="6">
        <v>21</v>
      </c>
      <c r="G704" s="6" t="s">
        <v>923</v>
      </c>
      <c r="I704" s="8">
        <v>87.4749859722222</v>
      </c>
      <c r="J704" s="8">
        <v>94.8952059722222</v>
      </c>
      <c r="K704" s="6" t="s">
        <v>390</v>
      </c>
      <c r="L704" s="9">
        <v>43852</v>
      </c>
      <c r="N704" s="6">
        <v>17</v>
      </c>
      <c r="O704" s="6" t="s">
        <v>4258</v>
      </c>
      <c r="Q704" s="10"/>
      <c r="R704" s="10">
        <v>15</v>
      </c>
      <c r="S704" s="10">
        <v>22.5</v>
      </c>
      <c r="T704" s="10">
        <f t="shared" si="41"/>
        <v>18.75</v>
      </c>
      <c r="U704" s="11"/>
      <c r="V704" s="8">
        <v>-0.67362501053810153</v>
      </c>
      <c r="W704" s="8">
        <v>-5.5889973292350774</v>
      </c>
      <c r="X704" s="8">
        <f t="shared" si="37"/>
        <v>-0.19999724493026516</v>
      </c>
    </row>
    <row r="705" spans="1:24" x14ac:dyDescent="0.35">
      <c r="A705" s="6" t="s">
        <v>25</v>
      </c>
      <c r="B705" s="7" t="s">
        <v>934</v>
      </c>
      <c r="D705" s="6" t="s">
        <v>935</v>
      </c>
      <c r="E705" s="6">
        <v>2</v>
      </c>
      <c r="F705" s="6">
        <v>21</v>
      </c>
      <c r="G705" s="6" t="s">
        <v>923</v>
      </c>
      <c r="I705" s="8">
        <v>87.4749859722222</v>
      </c>
      <c r="J705" s="8">
        <v>94.8952059722222</v>
      </c>
      <c r="K705" s="6" t="s">
        <v>390</v>
      </c>
      <c r="L705" s="9">
        <v>43852</v>
      </c>
      <c r="N705" s="6">
        <v>17</v>
      </c>
      <c r="O705" s="6" t="s">
        <v>4258</v>
      </c>
      <c r="Q705" s="10"/>
      <c r="R705" s="10">
        <v>7.5</v>
      </c>
      <c r="S705" s="10">
        <v>15</v>
      </c>
      <c r="T705" s="10">
        <f t="shared" si="41"/>
        <v>11.25</v>
      </c>
      <c r="U705" s="11"/>
      <c r="V705" s="8">
        <v>-0.79477914743423461</v>
      </c>
      <c r="W705" s="8">
        <v>-6.2196918210983281</v>
      </c>
      <c r="X705" s="8">
        <f t="shared" si="37"/>
        <v>0.13854135837554882</v>
      </c>
    </row>
    <row r="706" spans="1:24" x14ac:dyDescent="0.35">
      <c r="A706" s="6" t="s">
        <v>25</v>
      </c>
      <c r="B706" s="6" t="s">
        <v>3399</v>
      </c>
      <c r="D706" s="6" t="s">
        <v>3701</v>
      </c>
      <c r="E706" s="6">
        <v>2</v>
      </c>
      <c r="F706" s="6">
        <v>21</v>
      </c>
      <c r="G706" s="6" t="s">
        <v>4003</v>
      </c>
      <c r="I706" s="8">
        <v>87.4749859722222</v>
      </c>
      <c r="J706" s="8">
        <v>94.8952059722222</v>
      </c>
      <c r="K706" s="7" t="s">
        <v>2610</v>
      </c>
      <c r="L706" s="9">
        <v>43852</v>
      </c>
      <c r="N706" s="6">
        <v>17</v>
      </c>
      <c r="O706" s="6" t="s">
        <v>4258</v>
      </c>
      <c r="V706" s="8">
        <v>-2.376253242886067</v>
      </c>
      <c r="W706" s="8">
        <v>-15.616105161666869</v>
      </c>
      <c r="X706" s="27">
        <f t="shared" ref="X706:X769" si="42">W706-(8*V706)</f>
        <v>3.3939207814216665</v>
      </c>
    </row>
    <row r="707" spans="1:24" x14ac:dyDescent="0.35">
      <c r="A707" s="6" t="s">
        <v>25</v>
      </c>
      <c r="B707" s="6" t="s">
        <v>3400</v>
      </c>
      <c r="D707" s="6" t="s">
        <v>3702</v>
      </c>
      <c r="E707" s="6">
        <v>2</v>
      </c>
      <c r="F707" s="6">
        <v>21</v>
      </c>
      <c r="G707" s="6" t="s">
        <v>4004</v>
      </c>
      <c r="I707" s="8">
        <v>87.441250069444422</v>
      </c>
      <c r="J707" s="8">
        <v>93.933559166666655</v>
      </c>
      <c r="K707" s="7" t="s">
        <v>2610</v>
      </c>
      <c r="L707" s="9">
        <v>43853</v>
      </c>
      <c r="N707" s="6">
        <v>17</v>
      </c>
      <c r="O707" s="6" t="s">
        <v>4295</v>
      </c>
      <c r="V707" s="8">
        <v>-2.372059499657154</v>
      </c>
      <c r="W707" s="8">
        <v>-16.295196308135989</v>
      </c>
      <c r="X707" s="27">
        <f t="shared" si="42"/>
        <v>2.6812796891212436</v>
      </c>
    </row>
    <row r="708" spans="1:24" x14ac:dyDescent="0.35">
      <c r="A708" s="6" t="s">
        <v>25</v>
      </c>
      <c r="B708" s="6" t="s">
        <v>3401</v>
      </c>
      <c r="D708" s="6" t="s">
        <v>3703</v>
      </c>
      <c r="E708" s="6">
        <v>2</v>
      </c>
      <c r="F708" s="6">
        <v>21</v>
      </c>
      <c r="G708" s="6" t="s">
        <v>4005</v>
      </c>
      <c r="I708" s="8">
        <v>87.419073263888905</v>
      </c>
      <c r="J708" s="8">
        <v>93.107981180555598</v>
      </c>
      <c r="K708" s="7" t="s">
        <v>2610</v>
      </c>
      <c r="L708" s="9">
        <v>43854</v>
      </c>
      <c r="N708" s="6">
        <v>17</v>
      </c>
      <c r="O708" s="6" t="s">
        <v>4272</v>
      </c>
      <c r="V708" s="8">
        <v>-2.3415837536215784</v>
      </c>
      <c r="W708" s="8">
        <v>-17.427295351982117</v>
      </c>
      <c r="X708" s="27">
        <f t="shared" si="42"/>
        <v>1.3053746769905104</v>
      </c>
    </row>
    <row r="709" spans="1:24" x14ac:dyDescent="0.35">
      <c r="A709" s="6" t="s">
        <v>25</v>
      </c>
      <c r="B709" s="6" t="s">
        <v>2794</v>
      </c>
      <c r="D709" s="6" t="s">
        <v>3110</v>
      </c>
      <c r="E709" s="6">
        <v>2</v>
      </c>
      <c r="F709" s="6">
        <v>21</v>
      </c>
      <c r="G709" s="6" t="s">
        <v>3231</v>
      </c>
      <c r="I709" s="8">
        <v>87.421249000000003</v>
      </c>
      <c r="J709" s="8">
        <v>93.119838000000001</v>
      </c>
      <c r="K709" s="6" t="s">
        <v>198</v>
      </c>
      <c r="L709" s="9">
        <v>43854</v>
      </c>
      <c r="M709" s="18">
        <v>0.4375</v>
      </c>
      <c r="N709" s="6">
        <v>17</v>
      </c>
      <c r="O709" s="6" t="s">
        <v>4272</v>
      </c>
      <c r="R709" s="6">
        <v>33</v>
      </c>
      <c r="S709" s="6">
        <v>30</v>
      </c>
      <c r="V709" s="8">
        <v>-39.631153132171633</v>
      </c>
      <c r="W709" s="8">
        <v>-304.86899439697265</v>
      </c>
      <c r="X709" s="8">
        <f t="shared" si="42"/>
        <v>12.180230660400412</v>
      </c>
    </row>
    <row r="710" spans="1:24" x14ac:dyDescent="0.35">
      <c r="A710" s="6" t="s">
        <v>25</v>
      </c>
      <c r="B710" s="6" t="s">
        <v>2795</v>
      </c>
      <c r="D710" s="6" t="s">
        <v>3110</v>
      </c>
      <c r="E710" s="6">
        <v>2</v>
      </c>
      <c r="F710" s="6">
        <v>21</v>
      </c>
      <c r="G710" s="6" t="s">
        <v>3231</v>
      </c>
      <c r="I710" s="8">
        <v>87.421249000000003</v>
      </c>
      <c r="J710" s="8">
        <v>93.119838000000001</v>
      </c>
      <c r="K710" s="6" t="s">
        <v>198</v>
      </c>
      <c r="L710" s="9">
        <v>43854</v>
      </c>
      <c r="M710" s="18">
        <v>0.4375</v>
      </c>
      <c r="N710" s="6">
        <v>17</v>
      </c>
      <c r="O710" s="6" t="s">
        <v>4272</v>
      </c>
      <c r="R710" s="6">
        <v>27</v>
      </c>
      <c r="S710" s="6">
        <v>20</v>
      </c>
      <c r="V710" s="8">
        <v>-36.731155659027095</v>
      </c>
      <c r="W710" s="8">
        <v>-277.84081640930174</v>
      </c>
      <c r="X710" s="8">
        <f t="shared" si="42"/>
        <v>16.008428862915025</v>
      </c>
    </row>
    <row r="711" spans="1:24" x14ac:dyDescent="0.35">
      <c r="A711" s="6" t="s">
        <v>25</v>
      </c>
      <c r="B711" s="6" t="s">
        <v>2796</v>
      </c>
      <c r="D711" s="6" t="s">
        <v>3110</v>
      </c>
      <c r="E711" s="6">
        <v>2</v>
      </c>
      <c r="F711" s="6">
        <v>21</v>
      </c>
      <c r="G711" s="6" t="s">
        <v>3231</v>
      </c>
      <c r="I711" s="8">
        <v>87.421249000000003</v>
      </c>
      <c r="J711" s="8">
        <v>93.119838000000001</v>
      </c>
      <c r="K711" s="6" t="s">
        <v>198</v>
      </c>
      <c r="L711" s="9">
        <v>43854</v>
      </c>
      <c r="M711" s="18">
        <v>0.4375</v>
      </c>
      <c r="N711" s="6">
        <v>17</v>
      </c>
      <c r="O711" s="6" t="s">
        <v>4272</v>
      </c>
      <c r="R711" s="6">
        <v>10</v>
      </c>
      <c r="S711" s="6">
        <v>8</v>
      </c>
      <c r="V711" s="8">
        <v>-8.6307359418869005</v>
      </c>
      <c r="W711" s="8">
        <v>-68.561989949035649</v>
      </c>
      <c r="X711" s="8">
        <f t="shared" si="42"/>
        <v>0.48389758605955535</v>
      </c>
    </row>
    <row r="712" spans="1:24" x14ac:dyDescent="0.35">
      <c r="A712" s="6" t="s">
        <v>25</v>
      </c>
      <c r="D712" s="6" t="s">
        <v>936</v>
      </c>
      <c r="E712" s="6">
        <v>2</v>
      </c>
      <c r="F712" s="6">
        <v>21</v>
      </c>
      <c r="G712" s="6" t="s">
        <v>60</v>
      </c>
      <c r="I712" s="8">
        <v>87.419073263888905</v>
      </c>
      <c r="J712" s="8">
        <v>93.107981180555598</v>
      </c>
      <c r="K712" s="7" t="s">
        <v>2610</v>
      </c>
      <c r="L712" s="9">
        <v>43854</v>
      </c>
      <c r="N712" s="6">
        <v>17</v>
      </c>
      <c r="O712" s="6" t="s">
        <v>4272</v>
      </c>
      <c r="Q712" s="6">
        <v>200</v>
      </c>
      <c r="S712" s="6">
        <v>200</v>
      </c>
      <c r="T712" s="10">
        <f t="shared" ref="T712:T717" si="43">AVERAGE(R712:S712)</f>
        <v>200</v>
      </c>
      <c r="V712" s="8">
        <v>-2.3674267866134646</v>
      </c>
      <c r="W712" s="8">
        <v>-16.523670038986204</v>
      </c>
      <c r="X712" s="8">
        <f t="shared" si="42"/>
        <v>2.4157442539215133</v>
      </c>
    </row>
    <row r="713" spans="1:24" x14ac:dyDescent="0.35">
      <c r="A713" s="6" t="s">
        <v>25</v>
      </c>
      <c r="D713" s="6" t="s">
        <v>936</v>
      </c>
      <c r="E713" s="6">
        <v>2</v>
      </c>
      <c r="F713" s="6">
        <v>21</v>
      </c>
      <c r="G713" s="6" t="s">
        <v>60</v>
      </c>
      <c r="I713" s="8">
        <v>87.419073263888905</v>
      </c>
      <c r="J713" s="8">
        <v>93.107981180555598</v>
      </c>
      <c r="K713" s="7" t="s">
        <v>2610</v>
      </c>
      <c r="L713" s="9">
        <v>43854</v>
      </c>
      <c r="N713" s="6">
        <v>17</v>
      </c>
      <c r="O713" s="6" t="s">
        <v>4272</v>
      </c>
      <c r="Q713" s="6">
        <v>1000</v>
      </c>
      <c r="S713" s="6">
        <v>1000</v>
      </c>
      <c r="T713" s="10">
        <f t="shared" si="43"/>
        <v>1000</v>
      </c>
      <c r="V713" s="8">
        <v>-2.5213418278217321</v>
      </c>
      <c r="W713" s="8">
        <v>-16.528781152534485</v>
      </c>
      <c r="X713" s="8">
        <f t="shared" si="42"/>
        <v>3.6419534700393719</v>
      </c>
    </row>
    <row r="714" spans="1:24" x14ac:dyDescent="0.35">
      <c r="A714" s="6" t="s">
        <v>25</v>
      </c>
      <c r="D714" s="6" t="s">
        <v>936</v>
      </c>
      <c r="E714" s="6">
        <v>2</v>
      </c>
      <c r="F714" s="6">
        <v>21</v>
      </c>
      <c r="G714" s="6" t="s">
        <v>60</v>
      </c>
      <c r="I714" s="8">
        <v>87.419073263888905</v>
      </c>
      <c r="J714" s="8">
        <v>93.107981180555598</v>
      </c>
      <c r="K714" s="7" t="s">
        <v>2610</v>
      </c>
      <c r="L714" s="9">
        <v>43854</v>
      </c>
      <c r="N714" s="6">
        <v>17</v>
      </c>
      <c r="O714" s="6" t="s">
        <v>4272</v>
      </c>
      <c r="Q714" s="6">
        <v>3000</v>
      </c>
      <c r="S714" s="6">
        <v>3000</v>
      </c>
      <c r="T714" s="10">
        <f t="shared" si="43"/>
        <v>3000</v>
      </c>
      <c r="V714" s="8">
        <v>-2.2576361379146572</v>
      </c>
      <c r="W714" s="8">
        <v>-16.563969457435608</v>
      </c>
      <c r="X714" s="8">
        <f t="shared" si="42"/>
        <v>1.49711964588165</v>
      </c>
    </row>
    <row r="715" spans="1:24" x14ac:dyDescent="0.35">
      <c r="A715" s="6" t="s">
        <v>25</v>
      </c>
      <c r="D715" s="6" t="s">
        <v>936</v>
      </c>
      <c r="E715" s="6">
        <v>2</v>
      </c>
      <c r="F715" s="6">
        <v>21</v>
      </c>
      <c r="G715" s="6" t="s">
        <v>60</v>
      </c>
      <c r="I715" s="8">
        <v>87.419073263888905</v>
      </c>
      <c r="J715" s="8">
        <v>93.107981180555598</v>
      </c>
      <c r="K715" s="7" t="s">
        <v>2610</v>
      </c>
      <c r="L715" s="9">
        <v>43854</v>
      </c>
      <c r="N715" s="6">
        <v>17</v>
      </c>
      <c r="O715" s="6" t="s">
        <v>4272</v>
      </c>
      <c r="Q715" s="6">
        <v>4000</v>
      </c>
      <c r="S715" s="6">
        <v>4000</v>
      </c>
      <c r="T715" s="10">
        <f t="shared" si="43"/>
        <v>4000</v>
      </c>
      <c r="V715" s="8">
        <v>-1.7519939850091932</v>
      </c>
      <c r="W715" s="8">
        <v>-11.062878605651855</v>
      </c>
      <c r="X715" s="8">
        <f t="shared" si="42"/>
        <v>2.9530732744216905</v>
      </c>
    </row>
    <row r="716" spans="1:24" x14ac:dyDescent="0.35">
      <c r="A716" s="6" t="s">
        <v>25</v>
      </c>
      <c r="D716" s="6" t="s">
        <v>936</v>
      </c>
      <c r="E716" s="6">
        <v>2</v>
      </c>
      <c r="F716" s="6">
        <v>21</v>
      </c>
      <c r="G716" s="6" t="s">
        <v>60</v>
      </c>
      <c r="I716" s="8">
        <v>87.419073263888905</v>
      </c>
      <c r="J716" s="8">
        <v>93.107981180555598</v>
      </c>
      <c r="K716" s="7" t="s">
        <v>2610</v>
      </c>
      <c r="L716" s="9">
        <v>43854</v>
      </c>
      <c r="N716" s="6">
        <v>17</v>
      </c>
      <c r="O716" s="6" t="s">
        <v>4272</v>
      </c>
      <c r="Q716" s="6">
        <v>5000</v>
      </c>
      <c r="S716" s="6">
        <v>5000</v>
      </c>
      <c r="T716" s="10">
        <f t="shared" si="43"/>
        <v>5000</v>
      </c>
      <c r="V716" s="8">
        <v>-1.2182520902872092</v>
      </c>
      <c r="W716" s="8">
        <v>-7.8900735209465038</v>
      </c>
      <c r="X716" s="8">
        <f t="shared" si="42"/>
        <v>1.8559432013511694</v>
      </c>
    </row>
    <row r="717" spans="1:24" x14ac:dyDescent="0.35">
      <c r="A717" s="6" t="s">
        <v>25</v>
      </c>
      <c r="D717" s="6" t="s">
        <v>936</v>
      </c>
      <c r="E717" s="6">
        <v>2</v>
      </c>
      <c r="F717" s="6">
        <v>21</v>
      </c>
      <c r="G717" s="6" t="s">
        <v>60</v>
      </c>
      <c r="I717" s="8">
        <v>87.419073263888905</v>
      </c>
      <c r="J717" s="8">
        <v>93.107981180555598</v>
      </c>
      <c r="K717" s="7" t="s">
        <v>2610</v>
      </c>
      <c r="L717" s="9">
        <v>43854</v>
      </c>
      <c r="N717" s="6">
        <v>17</v>
      </c>
      <c r="O717" s="6" t="s">
        <v>4272</v>
      </c>
      <c r="Q717" s="6">
        <v>7500</v>
      </c>
      <c r="S717" s="6">
        <v>7500</v>
      </c>
      <c r="T717" s="10">
        <f t="shared" si="43"/>
        <v>7500</v>
      </c>
      <c r="V717" s="8">
        <v>-0.46277144337892551</v>
      </c>
      <c r="W717" s="8">
        <v>-1.2971895361423489</v>
      </c>
      <c r="X717" s="8">
        <f t="shared" si="42"/>
        <v>2.4049820108890554</v>
      </c>
    </row>
    <row r="718" spans="1:24" x14ac:dyDescent="0.35">
      <c r="A718" s="6" t="s">
        <v>25</v>
      </c>
      <c r="B718" s="7" t="s">
        <v>937</v>
      </c>
      <c r="D718" s="6" t="s">
        <v>938</v>
      </c>
      <c r="E718" s="6">
        <v>2</v>
      </c>
      <c r="F718" s="6">
        <v>21</v>
      </c>
      <c r="G718" s="6" t="s">
        <v>60</v>
      </c>
      <c r="I718" s="8">
        <v>87.404358611111107</v>
      </c>
      <c r="J718" s="8">
        <v>92.881176874999994</v>
      </c>
      <c r="K718" s="7" t="s">
        <v>2610</v>
      </c>
      <c r="L718" s="9">
        <v>43855</v>
      </c>
      <c r="N718" s="6">
        <v>17</v>
      </c>
      <c r="O718" s="6" t="s">
        <v>4293</v>
      </c>
      <c r="Q718" s="10"/>
      <c r="R718" s="10"/>
      <c r="S718" s="10"/>
      <c r="T718" s="10"/>
      <c r="U718" s="11"/>
      <c r="V718" s="8">
        <v>-2.360061213188172</v>
      </c>
      <c r="W718" s="8">
        <v>-16.783036460876463</v>
      </c>
      <c r="X718" s="8">
        <f t="shared" si="42"/>
        <v>2.0974532446289125</v>
      </c>
    </row>
    <row r="719" spans="1:24" x14ac:dyDescent="0.35">
      <c r="A719" s="6" t="s">
        <v>25</v>
      </c>
      <c r="B719" s="6" t="s">
        <v>3402</v>
      </c>
      <c r="D719" s="6" t="s">
        <v>3704</v>
      </c>
      <c r="E719" s="6">
        <v>2</v>
      </c>
      <c r="F719" s="6">
        <v>21</v>
      </c>
      <c r="G719" s="6" t="s">
        <v>4006</v>
      </c>
      <c r="I719" s="8">
        <v>87.404358611111107</v>
      </c>
      <c r="J719" s="8">
        <v>92.881176874999994</v>
      </c>
      <c r="K719" s="7" t="s">
        <v>2610</v>
      </c>
      <c r="L719" s="9">
        <v>43855</v>
      </c>
      <c r="N719" s="6">
        <v>17</v>
      </c>
      <c r="O719" s="6" t="s">
        <v>4293</v>
      </c>
      <c r="V719" s="8">
        <v>-2.2211314553070065</v>
      </c>
      <c r="W719" s="8">
        <v>-17.053354625320434</v>
      </c>
      <c r="X719" s="27">
        <f t="shared" si="42"/>
        <v>0.71569701713561784</v>
      </c>
    </row>
    <row r="720" spans="1:24" x14ac:dyDescent="0.35">
      <c r="A720" s="6" t="s">
        <v>25</v>
      </c>
      <c r="B720" s="7" t="s">
        <v>939</v>
      </c>
      <c r="D720" s="6" t="s">
        <v>940</v>
      </c>
      <c r="E720" s="6">
        <v>2</v>
      </c>
      <c r="F720" s="6">
        <v>21</v>
      </c>
      <c r="G720" s="6" t="s">
        <v>941</v>
      </c>
      <c r="I720" s="8">
        <v>87.416636944444406</v>
      </c>
      <c r="J720" s="8">
        <v>93.8729894444444</v>
      </c>
      <c r="K720" s="6" t="s">
        <v>390</v>
      </c>
      <c r="L720" s="9">
        <v>43856</v>
      </c>
      <c r="N720" s="6">
        <v>18</v>
      </c>
      <c r="O720" s="6" t="s">
        <v>4315</v>
      </c>
      <c r="Q720" s="10"/>
      <c r="R720" s="10">
        <v>0</v>
      </c>
      <c r="S720" s="10">
        <v>7.5</v>
      </c>
      <c r="T720" s="10">
        <f>AVERAGE(R720:S720)</f>
        <v>3.75</v>
      </c>
      <c r="U720" s="11"/>
      <c r="V720" s="8">
        <v>-1.210459717559814</v>
      </c>
      <c r="W720" s="8">
        <v>-10.222353589057922</v>
      </c>
      <c r="X720" s="8">
        <f t="shared" si="42"/>
        <v>-0.53867584857941075</v>
      </c>
    </row>
    <row r="721" spans="1:24" x14ac:dyDescent="0.35">
      <c r="A721" s="6" t="s">
        <v>25</v>
      </c>
      <c r="B721" s="7" t="s">
        <v>942</v>
      </c>
      <c r="D721" s="6" t="s">
        <v>943</v>
      </c>
      <c r="E721" s="6">
        <v>2</v>
      </c>
      <c r="F721" s="6">
        <v>21</v>
      </c>
      <c r="G721" s="6" t="s">
        <v>941</v>
      </c>
      <c r="I721" s="8">
        <v>87.416636944444406</v>
      </c>
      <c r="J721" s="8">
        <v>93.8729894444444</v>
      </c>
      <c r="K721" s="6" t="s">
        <v>390</v>
      </c>
      <c r="L721" s="9">
        <v>43856</v>
      </c>
      <c r="N721" s="6">
        <v>18</v>
      </c>
      <c r="O721" s="6" t="s">
        <v>4315</v>
      </c>
      <c r="Q721" s="10"/>
      <c r="R721" s="10">
        <v>7.5</v>
      </c>
      <c r="S721" s="10">
        <v>15</v>
      </c>
      <c r="T721" s="10">
        <f>AVERAGE(R721:S721)</f>
        <v>11.25</v>
      </c>
      <c r="U721" s="11"/>
      <c r="V721" s="8">
        <v>-0.79291422932624822</v>
      </c>
      <c r="W721" s="8">
        <v>-4.8642005825042736</v>
      </c>
      <c r="X721" s="8">
        <f t="shared" si="42"/>
        <v>1.4791132521057122</v>
      </c>
    </row>
    <row r="722" spans="1:24" x14ac:dyDescent="0.35">
      <c r="A722" s="6" t="s">
        <v>25</v>
      </c>
      <c r="B722" s="7" t="s">
        <v>946</v>
      </c>
      <c r="D722" s="6" t="s">
        <v>947</v>
      </c>
      <c r="E722" s="6">
        <v>2</v>
      </c>
      <c r="F722" s="6">
        <v>21</v>
      </c>
      <c r="G722" s="6" t="s">
        <v>60</v>
      </c>
      <c r="I722" s="8">
        <v>87.416636944444406</v>
      </c>
      <c r="J722" s="8">
        <v>93.8729894444444</v>
      </c>
      <c r="K722" s="7" t="s">
        <v>2610</v>
      </c>
      <c r="L722" s="9">
        <v>43856</v>
      </c>
      <c r="N722" s="6">
        <v>18</v>
      </c>
      <c r="O722" s="6" t="s">
        <v>4315</v>
      </c>
      <c r="Q722" s="10">
        <v>200</v>
      </c>
      <c r="R722" s="10"/>
      <c r="S722" s="10">
        <v>200</v>
      </c>
      <c r="T722" s="10">
        <f>AVERAGE(R722:S722)</f>
        <v>200</v>
      </c>
      <c r="U722" s="11"/>
      <c r="V722" s="8">
        <v>-2.3122303282546999</v>
      </c>
      <c r="W722" s="8">
        <v>-17.076071205139161</v>
      </c>
      <c r="X722" s="8">
        <f t="shared" si="42"/>
        <v>1.4217714208984376</v>
      </c>
    </row>
    <row r="723" spans="1:24" x14ac:dyDescent="0.35">
      <c r="A723" s="6" t="s">
        <v>25</v>
      </c>
      <c r="B723" s="7" t="s">
        <v>944</v>
      </c>
      <c r="D723" s="6" t="s">
        <v>945</v>
      </c>
      <c r="E723" s="6">
        <v>2</v>
      </c>
      <c r="F723" s="6">
        <v>21</v>
      </c>
      <c r="G723" s="6" t="s">
        <v>941</v>
      </c>
      <c r="I723" s="8">
        <v>87.416636944444406</v>
      </c>
      <c r="J723" s="8">
        <v>93.8729894444444</v>
      </c>
      <c r="K723" s="6" t="s">
        <v>390</v>
      </c>
      <c r="L723" s="9">
        <v>43856</v>
      </c>
      <c r="N723" s="6">
        <v>18</v>
      </c>
      <c r="O723" s="6" t="s">
        <v>4315</v>
      </c>
      <c r="Q723" s="10"/>
      <c r="R723" s="10">
        <v>15</v>
      </c>
      <c r="S723" s="10">
        <v>22.5</v>
      </c>
      <c r="T723" s="10">
        <f>AVERAGE(R723:S723)</f>
        <v>18.75</v>
      </c>
      <c r="U723" s="11"/>
      <c r="V723" s="8">
        <v>-0.84523223042488094</v>
      </c>
      <c r="W723" s="8">
        <v>-4.924835909938813</v>
      </c>
      <c r="X723" s="8">
        <f t="shared" si="42"/>
        <v>1.8370219334602345</v>
      </c>
    </row>
    <row r="724" spans="1:24" x14ac:dyDescent="0.35">
      <c r="A724" s="6" t="s">
        <v>25</v>
      </c>
      <c r="B724" s="6" t="s">
        <v>3403</v>
      </c>
      <c r="D724" s="6" t="s">
        <v>3705</v>
      </c>
      <c r="E724" s="6">
        <v>2</v>
      </c>
      <c r="F724" s="6">
        <v>21</v>
      </c>
      <c r="G724" s="6" t="s">
        <v>4007</v>
      </c>
      <c r="I724" s="8">
        <v>87.416636944444406</v>
      </c>
      <c r="J724" s="8">
        <v>93.8729894444444</v>
      </c>
      <c r="K724" s="7" t="s">
        <v>2610</v>
      </c>
      <c r="L724" s="9">
        <v>43856</v>
      </c>
      <c r="N724" s="6">
        <v>18</v>
      </c>
      <c r="O724" s="6" t="s">
        <v>4315</v>
      </c>
      <c r="V724" s="8">
        <v>-2.3171334866094591</v>
      </c>
      <c r="W724" s="8">
        <v>-16.283577993392946</v>
      </c>
      <c r="X724" s="27">
        <f t="shared" si="42"/>
        <v>2.2534898994827266</v>
      </c>
    </row>
    <row r="725" spans="1:24" x14ac:dyDescent="0.35">
      <c r="A725" s="6" t="s">
        <v>25</v>
      </c>
      <c r="B725" s="7" t="s">
        <v>963</v>
      </c>
      <c r="D725" s="6" t="s">
        <v>964</v>
      </c>
      <c r="E725" s="6">
        <v>2</v>
      </c>
      <c r="F725" s="6">
        <v>21</v>
      </c>
      <c r="G725" s="6" t="s">
        <v>60</v>
      </c>
      <c r="I725" s="8">
        <v>87.445388611111099</v>
      </c>
      <c r="J725" s="8">
        <v>95.6823715972222</v>
      </c>
      <c r="K725" s="7" t="s">
        <v>2610</v>
      </c>
      <c r="L725" s="9">
        <v>43857</v>
      </c>
      <c r="N725" s="6">
        <v>18</v>
      </c>
      <c r="O725" s="6" t="s">
        <v>4256</v>
      </c>
      <c r="Q725" s="10">
        <v>500</v>
      </c>
      <c r="R725" s="10"/>
      <c r="S725" s="10">
        <v>500</v>
      </c>
      <c r="T725" s="10">
        <f>AVERAGE(R725:S725)</f>
        <v>500</v>
      </c>
      <c r="U725" s="11"/>
      <c r="V725" s="8">
        <v>-2.4150826299667361</v>
      </c>
      <c r="W725" s="8">
        <v>-17.2490415725708</v>
      </c>
      <c r="X725" s="8">
        <f t="shared" si="42"/>
        <v>2.0716194671630888</v>
      </c>
    </row>
    <row r="726" spans="1:24" x14ac:dyDescent="0.35">
      <c r="A726" s="6" t="s">
        <v>25</v>
      </c>
      <c r="B726" s="6" t="s">
        <v>3404</v>
      </c>
      <c r="D726" s="6" t="s">
        <v>3706</v>
      </c>
      <c r="E726" s="6">
        <v>2</v>
      </c>
      <c r="F726" s="6">
        <v>22</v>
      </c>
      <c r="G726" s="6" t="s">
        <v>4008</v>
      </c>
      <c r="I726" s="8">
        <v>87.447998999999996</v>
      </c>
      <c r="J726" s="8">
        <v>95.765049000000005</v>
      </c>
      <c r="K726" s="7" t="s">
        <v>2610</v>
      </c>
      <c r="L726" s="9">
        <v>43857</v>
      </c>
      <c r="N726" s="6">
        <v>18</v>
      </c>
      <c r="O726" s="6" t="s">
        <v>4256</v>
      </c>
      <c r="V726" s="8">
        <v>-2.2812868496418002</v>
      </c>
      <c r="W726" s="8">
        <v>-16.74654662761688</v>
      </c>
      <c r="X726" s="27">
        <f t="shared" si="42"/>
        <v>1.5037481695175217</v>
      </c>
    </row>
    <row r="727" spans="1:24" x14ac:dyDescent="0.35">
      <c r="A727" s="6" t="s">
        <v>25</v>
      </c>
      <c r="B727" s="6" t="s">
        <v>2797</v>
      </c>
      <c r="D727" s="6" t="s">
        <v>3111</v>
      </c>
      <c r="E727" s="6">
        <v>2</v>
      </c>
      <c r="F727" s="6">
        <v>22</v>
      </c>
      <c r="G727" s="6" t="s">
        <v>3237</v>
      </c>
      <c r="I727" s="8">
        <v>87.444174000000004</v>
      </c>
      <c r="J727" s="8">
        <v>95.566682999999998</v>
      </c>
      <c r="K727" s="6" t="s">
        <v>198</v>
      </c>
      <c r="L727" s="9">
        <v>43857</v>
      </c>
      <c r="M727" s="18">
        <v>0.26597222222222222</v>
      </c>
      <c r="N727" s="6">
        <v>18</v>
      </c>
      <c r="O727" s="6" t="s">
        <v>4256</v>
      </c>
      <c r="R727" s="6">
        <v>17</v>
      </c>
      <c r="S727" s="6">
        <v>14</v>
      </c>
      <c r="V727" s="8">
        <v>-22.117409831047055</v>
      </c>
      <c r="W727" s="8">
        <v>-153.37724361114505</v>
      </c>
      <c r="X727" s="8">
        <f t="shared" si="42"/>
        <v>23.562035037231396</v>
      </c>
    </row>
    <row r="728" spans="1:24" x14ac:dyDescent="0.35">
      <c r="A728" s="6" t="s">
        <v>25</v>
      </c>
      <c r="B728" s="6" t="s">
        <v>2798</v>
      </c>
      <c r="D728" s="6" t="s">
        <v>3111</v>
      </c>
      <c r="E728" s="6">
        <v>2</v>
      </c>
      <c r="F728" s="6">
        <v>22</v>
      </c>
      <c r="G728" s="6" t="s">
        <v>3237</v>
      </c>
      <c r="I728" s="8">
        <v>87.444174000000004</v>
      </c>
      <c r="J728" s="8">
        <v>95.566682999999998</v>
      </c>
      <c r="K728" s="6" t="s">
        <v>198</v>
      </c>
      <c r="L728" s="9">
        <v>43857</v>
      </c>
      <c r="M728" s="18">
        <v>0.26597222222222222</v>
      </c>
      <c r="N728" s="6">
        <v>18</v>
      </c>
      <c r="O728" s="6" t="s">
        <v>4256</v>
      </c>
      <c r="R728" s="6">
        <v>9</v>
      </c>
      <c r="S728" s="6">
        <v>6</v>
      </c>
      <c r="V728" s="8">
        <v>-17.452269155120849</v>
      </c>
      <c r="W728" s="8">
        <v>-124.75411697845459</v>
      </c>
      <c r="X728" s="8">
        <f t="shared" si="42"/>
        <v>14.864036262512201</v>
      </c>
    </row>
    <row r="729" spans="1:24" x14ac:dyDescent="0.35">
      <c r="A729" s="6" t="s">
        <v>25</v>
      </c>
      <c r="B729" s="6" t="s">
        <v>2799</v>
      </c>
      <c r="D729" s="6" t="s">
        <v>3111</v>
      </c>
      <c r="E729" s="6">
        <v>2</v>
      </c>
      <c r="F729" s="6">
        <v>22</v>
      </c>
      <c r="G729" s="6" t="s">
        <v>3237</v>
      </c>
      <c r="I729" s="8">
        <v>87.444174000000004</v>
      </c>
      <c r="J729" s="8">
        <v>95.566682999999998</v>
      </c>
      <c r="K729" s="6" t="s">
        <v>198</v>
      </c>
      <c r="L729" s="9">
        <v>43857</v>
      </c>
      <c r="M729" s="18">
        <v>0.26597222222222222</v>
      </c>
      <c r="N729" s="6">
        <v>18</v>
      </c>
      <c r="O729" s="6" t="s">
        <v>4256</v>
      </c>
      <c r="R729" s="6">
        <v>4</v>
      </c>
      <c r="S729" s="6">
        <v>0</v>
      </c>
      <c r="V729" s="8">
        <v>-8.7748503080368021</v>
      </c>
      <c r="W729" s="8">
        <v>-80.63663724975585</v>
      </c>
      <c r="X729" s="8">
        <f t="shared" si="42"/>
        <v>-10.437834785461433</v>
      </c>
    </row>
    <row r="730" spans="1:24" x14ac:dyDescent="0.35">
      <c r="A730" s="6" t="s">
        <v>25</v>
      </c>
      <c r="B730" s="6" t="s">
        <v>2800</v>
      </c>
      <c r="D730" s="6" t="s">
        <v>3112</v>
      </c>
      <c r="E730" s="6">
        <v>2</v>
      </c>
      <c r="F730" s="6">
        <v>22</v>
      </c>
      <c r="G730" s="6" t="s">
        <v>3238</v>
      </c>
      <c r="I730" s="8">
        <v>87.447998999999996</v>
      </c>
      <c r="J730" s="8">
        <v>95.765049000000005</v>
      </c>
      <c r="K730" s="6" t="s">
        <v>198</v>
      </c>
      <c r="L730" s="9">
        <v>43857</v>
      </c>
      <c r="M730" s="18">
        <v>0.44444444444444442</v>
      </c>
      <c r="N730" s="6">
        <v>18</v>
      </c>
      <c r="O730" s="6" t="s">
        <v>4256</v>
      </c>
      <c r="R730" s="6">
        <v>8</v>
      </c>
      <c r="S730" s="6">
        <v>5.5</v>
      </c>
      <c r="V730" s="8">
        <v>-24.61738813743591</v>
      </c>
      <c r="W730" s="8">
        <v>-187.75488869934082</v>
      </c>
      <c r="X730" s="8">
        <f t="shared" si="42"/>
        <v>9.1842164001464539</v>
      </c>
    </row>
    <row r="731" spans="1:24" x14ac:dyDescent="0.35">
      <c r="A731" s="6" t="s">
        <v>25</v>
      </c>
      <c r="B731" s="6" t="s">
        <v>2801</v>
      </c>
      <c r="D731" s="6" t="s">
        <v>3112</v>
      </c>
      <c r="E731" s="6">
        <v>2</v>
      </c>
      <c r="F731" s="6">
        <v>22</v>
      </c>
      <c r="G731" s="6" t="s">
        <v>3238</v>
      </c>
      <c r="I731" s="8">
        <v>87.447998999999996</v>
      </c>
      <c r="J731" s="8">
        <v>95.765049000000005</v>
      </c>
      <c r="K731" s="6" t="s">
        <v>198</v>
      </c>
      <c r="L731" s="9">
        <v>43857</v>
      </c>
      <c r="M731" s="18">
        <v>0.44444444444444442</v>
      </c>
      <c r="N731" s="6">
        <v>18</v>
      </c>
      <c r="O731" s="6" t="s">
        <v>4256</v>
      </c>
      <c r="R731" s="6">
        <v>5.5</v>
      </c>
      <c r="S731" s="6">
        <v>3.5</v>
      </c>
      <c r="V731" s="8">
        <v>-19.625077333068845</v>
      </c>
      <c r="W731" s="8">
        <v>-146.37206472473144</v>
      </c>
      <c r="X731" s="8">
        <f t="shared" si="42"/>
        <v>10.628553939819312</v>
      </c>
    </row>
    <row r="732" spans="1:24" x14ac:dyDescent="0.35">
      <c r="A732" s="6" t="s">
        <v>25</v>
      </c>
      <c r="B732" s="6" t="s">
        <v>2802</v>
      </c>
      <c r="D732" s="6" t="s">
        <v>3112</v>
      </c>
      <c r="E732" s="6">
        <v>2</v>
      </c>
      <c r="F732" s="6">
        <v>22</v>
      </c>
      <c r="G732" s="6" t="s">
        <v>3238</v>
      </c>
      <c r="I732" s="8">
        <v>87.447998999999996</v>
      </c>
      <c r="J732" s="8">
        <v>95.765049000000005</v>
      </c>
      <c r="K732" s="6" t="s">
        <v>198</v>
      </c>
      <c r="L732" s="9">
        <v>43857</v>
      </c>
      <c r="M732" s="18">
        <v>0.44444444444444442</v>
      </c>
      <c r="N732" s="6">
        <v>18</v>
      </c>
      <c r="O732" s="6" t="s">
        <v>4256</v>
      </c>
      <c r="R732" s="6">
        <v>3.5</v>
      </c>
      <c r="S732" s="6">
        <v>0</v>
      </c>
      <c r="V732" s="8">
        <v>-9.5698416515350306</v>
      </c>
      <c r="W732" s="8">
        <v>-71.306449475097651</v>
      </c>
      <c r="X732" s="8">
        <f t="shared" si="42"/>
        <v>5.2522837371825943</v>
      </c>
    </row>
    <row r="733" spans="1:24" x14ac:dyDescent="0.35">
      <c r="A733" s="6" t="s">
        <v>25</v>
      </c>
      <c r="B733" s="7"/>
      <c r="D733" s="6" t="s">
        <v>948</v>
      </c>
      <c r="E733" s="6">
        <v>2</v>
      </c>
      <c r="F733" s="6">
        <v>22</v>
      </c>
      <c r="G733" s="6" t="s">
        <v>210</v>
      </c>
      <c r="I733" s="8">
        <v>87.445388611111099</v>
      </c>
      <c r="J733" s="8">
        <v>95.6823715972222</v>
      </c>
      <c r="K733" s="6" t="s">
        <v>29</v>
      </c>
      <c r="L733" s="9">
        <v>43857</v>
      </c>
      <c r="N733" s="6">
        <v>18</v>
      </c>
      <c r="O733" s="6" t="s">
        <v>4256</v>
      </c>
      <c r="R733" s="6">
        <v>0</v>
      </c>
      <c r="S733" s="6">
        <v>10</v>
      </c>
      <c r="T733" s="10">
        <f t="shared" ref="T733:T748" si="44">AVERAGE(R733:S733)</f>
        <v>5</v>
      </c>
      <c r="V733" s="8">
        <v>-5.9079416083335881</v>
      </c>
      <c r="W733" s="8">
        <v>-45.687453854370119</v>
      </c>
      <c r="X733" s="8">
        <f t="shared" si="42"/>
        <v>1.5760790122985853</v>
      </c>
    </row>
    <row r="734" spans="1:24" x14ac:dyDescent="0.35">
      <c r="A734" s="6" t="s">
        <v>25</v>
      </c>
      <c r="B734" s="7"/>
      <c r="D734" s="6" t="s">
        <v>949</v>
      </c>
      <c r="E734" s="6">
        <v>2</v>
      </c>
      <c r="F734" s="6">
        <v>22</v>
      </c>
      <c r="G734" s="6" t="s">
        <v>210</v>
      </c>
      <c r="I734" s="8">
        <v>87.445388611111099</v>
      </c>
      <c r="J734" s="8">
        <v>95.6823715972222</v>
      </c>
      <c r="K734" s="6" t="s">
        <v>29</v>
      </c>
      <c r="L734" s="9">
        <v>43857</v>
      </c>
      <c r="N734" s="6">
        <v>18</v>
      </c>
      <c r="O734" s="6" t="s">
        <v>4256</v>
      </c>
      <c r="R734" s="6">
        <v>10</v>
      </c>
      <c r="S734" s="6">
        <v>20</v>
      </c>
      <c r="T734" s="10">
        <f t="shared" si="44"/>
        <v>15</v>
      </c>
      <c r="V734" s="8">
        <v>-5.8988409738540666</v>
      </c>
      <c r="W734" s="8">
        <v>-44.817357232666019</v>
      </c>
      <c r="X734" s="8">
        <f t="shared" si="42"/>
        <v>2.3733705581665134</v>
      </c>
    </row>
    <row r="735" spans="1:24" x14ac:dyDescent="0.35">
      <c r="A735" s="6" t="s">
        <v>25</v>
      </c>
      <c r="B735" s="7"/>
      <c r="D735" s="6" t="s">
        <v>950</v>
      </c>
      <c r="E735" s="6">
        <v>2</v>
      </c>
      <c r="F735" s="6">
        <v>22</v>
      </c>
      <c r="G735" s="6" t="s">
        <v>210</v>
      </c>
      <c r="I735" s="8">
        <v>87.445388611111099</v>
      </c>
      <c r="J735" s="8">
        <v>95.6823715972222</v>
      </c>
      <c r="K735" s="6" t="s">
        <v>29</v>
      </c>
      <c r="L735" s="9">
        <v>43857</v>
      </c>
      <c r="N735" s="6">
        <v>18</v>
      </c>
      <c r="O735" s="6" t="s">
        <v>4256</v>
      </c>
      <c r="R735" s="6">
        <v>20</v>
      </c>
      <c r="S735" s="6">
        <v>30</v>
      </c>
      <c r="T735" s="10">
        <f t="shared" si="44"/>
        <v>25</v>
      </c>
      <c r="V735" s="8">
        <v>-5.7838402156829849</v>
      </c>
      <c r="W735" s="8">
        <v>-44.361900952911377</v>
      </c>
      <c r="X735" s="8">
        <f t="shared" si="42"/>
        <v>1.9088207725525024</v>
      </c>
    </row>
    <row r="736" spans="1:24" x14ac:dyDescent="0.35">
      <c r="A736" s="6" t="s">
        <v>25</v>
      </c>
      <c r="B736" s="7"/>
      <c r="D736" s="6" t="s">
        <v>951</v>
      </c>
      <c r="E736" s="6">
        <v>2</v>
      </c>
      <c r="F736" s="6">
        <v>22</v>
      </c>
      <c r="G736" s="6" t="s">
        <v>210</v>
      </c>
      <c r="I736" s="8">
        <v>87.445388611111099</v>
      </c>
      <c r="J736" s="8">
        <v>95.6823715972222</v>
      </c>
      <c r="K736" s="6" t="s">
        <v>29</v>
      </c>
      <c r="L736" s="9">
        <v>43857</v>
      </c>
      <c r="N736" s="6">
        <v>18</v>
      </c>
      <c r="O736" s="6" t="s">
        <v>4256</v>
      </c>
      <c r="R736" s="6">
        <v>30</v>
      </c>
      <c r="S736" s="6">
        <v>40</v>
      </c>
      <c r="T736" s="10">
        <f t="shared" si="44"/>
        <v>35</v>
      </c>
      <c r="V736" s="8">
        <v>-5.3164651327133186</v>
      </c>
      <c r="W736" s="8">
        <v>-40.499288259124754</v>
      </c>
      <c r="X736" s="8">
        <f t="shared" si="42"/>
        <v>2.0324328025817948</v>
      </c>
    </row>
    <row r="737" spans="1:24" x14ac:dyDescent="0.35">
      <c r="A737" s="6" t="s">
        <v>25</v>
      </c>
      <c r="B737" s="7"/>
      <c r="D737" s="6" t="s">
        <v>952</v>
      </c>
      <c r="E737" s="6">
        <v>2</v>
      </c>
      <c r="F737" s="6">
        <v>22</v>
      </c>
      <c r="G737" s="6" t="s">
        <v>210</v>
      </c>
      <c r="I737" s="8">
        <v>87.445388611111099</v>
      </c>
      <c r="J737" s="8">
        <v>95.6823715972222</v>
      </c>
      <c r="K737" s="6" t="s">
        <v>29</v>
      </c>
      <c r="L737" s="9">
        <v>43857</v>
      </c>
      <c r="N737" s="6">
        <v>18</v>
      </c>
      <c r="O737" s="6" t="s">
        <v>4256</v>
      </c>
      <c r="R737" s="6">
        <v>40</v>
      </c>
      <c r="S737" s="6">
        <v>50</v>
      </c>
      <c r="T737" s="10">
        <f t="shared" si="44"/>
        <v>45</v>
      </c>
      <c r="V737" s="8">
        <v>-5.2272233753204356</v>
      </c>
      <c r="W737" s="8">
        <v>-39.340265908813478</v>
      </c>
      <c r="X737" s="8">
        <f t="shared" si="42"/>
        <v>2.4775210937500063</v>
      </c>
    </row>
    <row r="738" spans="1:24" x14ac:dyDescent="0.35">
      <c r="A738" s="6" t="s">
        <v>25</v>
      </c>
      <c r="B738" s="7"/>
      <c r="D738" s="6" t="s">
        <v>953</v>
      </c>
      <c r="E738" s="6">
        <v>2</v>
      </c>
      <c r="F738" s="6">
        <v>22</v>
      </c>
      <c r="G738" s="6" t="s">
        <v>210</v>
      </c>
      <c r="I738" s="8">
        <v>87.445388611111099</v>
      </c>
      <c r="J738" s="8">
        <v>95.6823715972222</v>
      </c>
      <c r="K738" s="6" t="s">
        <v>29</v>
      </c>
      <c r="L738" s="9">
        <v>43857</v>
      </c>
      <c r="N738" s="6">
        <v>18</v>
      </c>
      <c r="O738" s="6" t="s">
        <v>4256</v>
      </c>
      <c r="R738" s="6">
        <v>50</v>
      </c>
      <c r="S738" s="6">
        <v>60</v>
      </c>
      <c r="T738" s="10">
        <f t="shared" si="44"/>
        <v>55</v>
      </c>
      <c r="V738" s="8">
        <v>-4.9503961973190318</v>
      </c>
      <c r="W738" s="8">
        <v>-36.960096528625492</v>
      </c>
      <c r="X738" s="8">
        <f t="shared" si="42"/>
        <v>2.6430730499267625</v>
      </c>
    </row>
    <row r="739" spans="1:24" x14ac:dyDescent="0.35">
      <c r="A739" s="6" t="s">
        <v>25</v>
      </c>
      <c r="B739" s="7"/>
      <c r="D739" s="6" t="s">
        <v>954</v>
      </c>
      <c r="E739" s="6">
        <v>2</v>
      </c>
      <c r="F739" s="6">
        <v>22</v>
      </c>
      <c r="G739" s="6" t="s">
        <v>210</v>
      </c>
      <c r="I739" s="8">
        <v>87.445388611111099</v>
      </c>
      <c r="J739" s="8">
        <v>95.6823715972222</v>
      </c>
      <c r="K739" s="6" t="s">
        <v>29</v>
      </c>
      <c r="L739" s="9">
        <v>43857</v>
      </c>
      <c r="N739" s="6">
        <v>18</v>
      </c>
      <c r="O739" s="6" t="s">
        <v>4256</v>
      </c>
      <c r="R739" s="6">
        <v>60</v>
      </c>
      <c r="S739" s="6">
        <v>70</v>
      </c>
      <c r="T739" s="10">
        <f t="shared" si="44"/>
        <v>65</v>
      </c>
      <c r="V739" s="8">
        <v>-4.2594579248428346</v>
      </c>
      <c r="W739" s="8">
        <v>-31.991214864349367</v>
      </c>
      <c r="X739" s="8">
        <f t="shared" si="42"/>
        <v>2.0844485343933101</v>
      </c>
    </row>
    <row r="740" spans="1:24" x14ac:dyDescent="0.35">
      <c r="A740" s="6" t="s">
        <v>25</v>
      </c>
      <c r="B740" s="7"/>
      <c r="D740" s="6" t="s">
        <v>955</v>
      </c>
      <c r="E740" s="6">
        <v>2</v>
      </c>
      <c r="F740" s="6">
        <v>22</v>
      </c>
      <c r="G740" s="6" t="s">
        <v>210</v>
      </c>
      <c r="I740" s="8">
        <v>87.445388611111099</v>
      </c>
      <c r="J740" s="8">
        <v>95.6823715972222</v>
      </c>
      <c r="K740" s="6" t="s">
        <v>29</v>
      </c>
      <c r="L740" s="9">
        <v>43857</v>
      </c>
      <c r="N740" s="6">
        <v>18</v>
      </c>
      <c r="O740" s="6" t="s">
        <v>4256</v>
      </c>
      <c r="R740" s="6">
        <v>70</v>
      </c>
      <c r="S740" s="6">
        <v>80</v>
      </c>
      <c r="T740" s="10">
        <f t="shared" si="44"/>
        <v>75</v>
      </c>
      <c r="V740" s="8">
        <v>-3.0471015291213992</v>
      </c>
      <c r="W740" s="8">
        <v>-23.319338187789917</v>
      </c>
      <c r="X740" s="8">
        <f t="shared" si="42"/>
        <v>1.0574740451812765</v>
      </c>
    </row>
    <row r="741" spans="1:24" x14ac:dyDescent="0.35">
      <c r="A741" s="6" t="s">
        <v>25</v>
      </c>
      <c r="B741" s="7"/>
      <c r="D741" s="6" t="s">
        <v>956</v>
      </c>
      <c r="E741" s="6">
        <v>2</v>
      </c>
      <c r="F741" s="6">
        <v>22</v>
      </c>
      <c r="G741" s="6" t="s">
        <v>210</v>
      </c>
      <c r="I741" s="8">
        <v>87.445388611111099</v>
      </c>
      <c r="J741" s="8">
        <v>95.6823715972222</v>
      </c>
      <c r="K741" s="6" t="s">
        <v>29</v>
      </c>
      <c r="L741" s="9">
        <v>43857</v>
      </c>
      <c r="N741" s="6">
        <v>18</v>
      </c>
      <c r="O741" s="6" t="s">
        <v>4256</v>
      </c>
      <c r="R741" s="6">
        <v>80</v>
      </c>
      <c r="S741" s="6">
        <v>90</v>
      </c>
      <c r="T741" s="10">
        <f t="shared" si="44"/>
        <v>85</v>
      </c>
      <c r="V741" s="8">
        <v>-2.026615220189095</v>
      </c>
      <c r="W741" s="8">
        <v>-15.001739238357544</v>
      </c>
      <c r="X741" s="8">
        <f t="shared" si="42"/>
        <v>1.211182523155216</v>
      </c>
    </row>
    <row r="742" spans="1:24" x14ac:dyDescent="0.35">
      <c r="A742" s="6" t="s">
        <v>25</v>
      </c>
      <c r="B742" s="7"/>
      <c r="D742" s="6" t="s">
        <v>957</v>
      </c>
      <c r="E742" s="6">
        <v>2</v>
      </c>
      <c r="F742" s="6">
        <v>22</v>
      </c>
      <c r="G742" s="6" t="s">
        <v>210</v>
      </c>
      <c r="I742" s="8">
        <v>87.445388611111099</v>
      </c>
      <c r="J742" s="8">
        <v>95.6823715972222</v>
      </c>
      <c r="K742" s="6" t="s">
        <v>29</v>
      </c>
      <c r="L742" s="9">
        <v>43857</v>
      </c>
      <c r="N742" s="6">
        <v>18</v>
      </c>
      <c r="O742" s="6" t="s">
        <v>4256</v>
      </c>
      <c r="R742" s="6">
        <v>90</v>
      </c>
      <c r="S742" s="6">
        <v>100</v>
      </c>
      <c r="T742" s="10">
        <f t="shared" si="44"/>
        <v>95</v>
      </c>
      <c r="V742" s="8">
        <v>-1.1014012031555174</v>
      </c>
      <c r="W742" s="8">
        <v>-8.3731892772674552</v>
      </c>
      <c r="X742" s="8">
        <f t="shared" si="42"/>
        <v>0.43802034797668377</v>
      </c>
    </row>
    <row r="743" spans="1:24" x14ac:dyDescent="0.35">
      <c r="A743" s="6" t="s">
        <v>25</v>
      </c>
      <c r="B743" s="7"/>
      <c r="D743" s="6" t="s">
        <v>958</v>
      </c>
      <c r="E743" s="6">
        <v>2</v>
      </c>
      <c r="F743" s="6">
        <v>22</v>
      </c>
      <c r="G743" s="6" t="s">
        <v>210</v>
      </c>
      <c r="I743" s="8">
        <v>87.445388611111099</v>
      </c>
      <c r="J743" s="8">
        <v>95.6823715972222</v>
      </c>
      <c r="K743" s="6" t="s">
        <v>29</v>
      </c>
      <c r="L743" s="9">
        <v>43857</v>
      </c>
      <c r="N743" s="6">
        <v>18</v>
      </c>
      <c r="O743" s="6" t="s">
        <v>4256</v>
      </c>
      <c r="R743" s="6">
        <v>100</v>
      </c>
      <c r="S743" s="6">
        <v>110</v>
      </c>
      <c r="T743" s="10">
        <f t="shared" si="44"/>
        <v>105</v>
      </c>
      <c r="V743" s="8">
        <v>-0.20141188983991717</v>
      </c>
      <c r="W743" s="8">
        <v>-0.59399325952529869</v>
      </c>
      <c r="X743" s="8">
        <f t="shared" si="42"/>
        <v>1.0173018591940388</v>
      </c>
    </row>
    <row r="744" spans="1:24" x14ac:dyDescent="0.35">
      <c r="A744" s="6" t="s">
        <v>25</v>
      </c>
      <c r="B744" s="7"/>
      <c r="D744" s="6" t="s">
        <v>959</v>
      </c>
      <c r="E744" s="6">
        <v>2</v>
      </c>
      <c r="F744" s="6">
        <v>22</v>
      </c>
      <c r="G744" s="6" t="s">
        <v>210</v>
      </c>
      <c r="I744" s="8">
        <v>87.445388611111099</v>
      </c>
      <c r="J744" s="8">
        <v>95.6823715972222</v>
      </c>
      <c r="K744" s="6" t="s">
        <v>29</v>
      </c>
      <c r="L744" s="9">
        <v>43857</v>
      </c>
      <c r="N744" s="6">
        <v>18</v>
      </c>
      <c r="O744" s="6" t="s">
        <v>4256</v>
      </c>
      <c r="R744" s="6">
        <v>110</v>
      </c>
      <c r="S744" s="6">
        <v>120</v>
      </c>
      <c r="T744" s="10">
        <f t="shared" si="44"/>
        <v>115</v>
      </c>
      <c r="V744" s="8">
        <v>0.56462647241354003</v>
      </c>
      <c r="W744" s="8">
        <v>5.2151453460693364</v>
      </c>
      <c r="X744" s="8">
        <f t="shared" si="42"/>
        <v>0.69813356676101623</v>
      </c>
    </row>
    <row r="745" spans="1:24" x14ac:dyDescent="0.35">
      <c r="A745" s="6" t="s">
        <v>25</v>
      </c>
      <c r="B745" s="7"/>
      <c r="D745" s="6" t="s">
        <v>960</v>
      </c>
      <c r="E745" s="6">
        <v>2</v>
      </c>
      <c r="F745" s="6">
        <v>22</v>
      </c>
      <c r="G745" s="6" t="s">
        <v>210</v>
      </c>
      <c r="I745" s="8">
        <v>87.445388611111099</v>
      </c>
      <c r="J745" s="8">
        <v>95.6823715972222</v>
      </c>
      <c r="K745" s="6" t="s">
        <v>29</v>
      </c>
      <c r="L745" s="9">
        <v>43857</v>
      </c>
      <c r="N745" s="6">
        <v>18</v>
      </c>
      <c r="O745" s="6" t="s">
        <v>4256</v>
      </c>
      <c r="R745" s="6">
        <v>120</v>
      </c>
      <c r="S745" s="6">
        <v>130</v>
      </c>
      <c r="T745" s="10">
        <f t="shared" si="44"/>
        <v>125</v>
      </c>
      <c r="V745" s="8">
        <v>0.38266136240959131</v>
      </c>
      <c r="W745" s="8">
        <v>3.774451543235779</v>
      </c>
      <c r="X745" s="8">
        <f t="shared" si="42"/>
        <v>0.71316064395904855</v>
      </c>
    </row>
    <row r="746" spans="1:24" x14ac:dyDescent="0.35">
      <c r="A746" s="6" t="s">
        <v>25</v>
      </c>
      <c r="B746" s="7"/>
      <c r="D746" s="6" t="s">
        <v>961</v>
      </c>
      <c r="E746" s="6">
        <v>2</v>
      </c>
      <c r="F746" s="6">
        <v>22</v>
      </c>
      <c r="G746" s="6" t="s">
        <v>210</v>
      </c>
      <c r="I746" s="8">
        <v>87.445388611111099</v>
      </c>
      <c r="J746" s="8">
        <v>95.6823715972222</v>
      </c>
      <c r="K746" s="6" t="s">
        <v>29</v>
      </c>
      <c r="L746" s="9">
        <v>43857</v>
      </c>
      <c r="N746" s="6">
        <v>18</v>
      </c>
      <c r="O746" s="6" t="s">
        <v>4256</v>
      </c>
      <c r="R746" s="6">
        <v>131</v>
      </c>
      <c r="S746" s="6">
        <v>142</v>
      </c>
      <c r="T746" s="10">
        <f t="shared" si="44"/>
        <v>136.5</v>
      </c>
      <c r="V746" s="8">
        <v>2.1011216920614396E-2</v>
      </c>
      <c r="W746" s="8">
        <v>0.92910892963409419</v>
      </c>
      <c r="X746" s="8">
        <f t="shared" si="42"/>
        <v>0.76101919426917908</v>
      </c>
    </row>
    <row r="747" spans="1:24" x14ac:dyDescent="0.35">
      <c r="A747" s="6" t="s">
        <v>25</v>
      </c>
      <c r="B747" s="7"/>
      <c r="D747" s="6" t="s">
        <v>962</v>
      </c>
      <c r="E747" s="6">
        <v>2</v>
      </c>
      <c r="F747" s="6">
        <v>22</v>
      </c>
      <c r="G747" s="6" t="s">
        <v>210</v>
      </c>
      <c r="I747" s="8">
        <v>87.445388611111099</v>
      </c>
      <c r="J747" s="8">
        <v>95.6823715972222</v>
      </c>
      <c r="K747" s="6" t="s">
        <v>29</v>
      </c>
      <c r="L747" s="9">
        <v>43857</v>
      </c>
      <c r="N747" s="6">
        <v>18</v>
      </c>
      <c r="O747" s="6" t="s">
        <v>4256</v>
      </c>
      <c r="R747" s="6">
        <v>142</v>
      </c>
      <c r="S747" s="6">
        <v>153</v>
      </c>
      <c r="T747" s="10">
        <f t="shared" si="44"/>
        <v>147.5</v>
      </c>
      <c r="V747" s="8">
        <v>-0.35123281355500191</v>
      </c>
      <c r="W747" s="8">
        <v>-1.7743184781074519</v>
      </c>
      <c r="X747" s="8">
        <f t="shared" si="42"/>
        <v>1.0355440303325634</v>
      </c>
    </row>
    <row r="748" spans="1:24" x14ac:dyDescent="0.35">
      <c r="A748" s="6" t="s">
        <v>25</v>
      </c>
      <c r="B748" s="7" t="s">
        <v>965</v>
      </c>
      <c r="D748" s="6" t="s">
        <v>966</v>
      </c>
      <c r="E748" s="6">
        <v>2</v>
      </c>
      <c r="F748" s="6">
        <v>22</v>
      </c>
      <c r="G748" s="6" t="s">
        <v>60</v>
      </c>
      <c r="I748" s="8">
        <v>87.457001180555594</v>
      </c>
      <c r="J748" s="8">
        <v>95.7129143055556</v>
      </c>
      <c r="K748" s="7" t="s">
        <v>2610</v>
      </c>
      <c r="L748" s="9">
        <v>43858</v>
      </c>
      <c r="N748" s="6">
        <v>18</v>
      </c>
      <c r="O748" s="6" t="s">
        <v>4316</v>
      </c>
      <c r="Q748" s="10">
        <v>200</v>
      </c>
      <c r="R748" s="10"/>
      <c r="S748" s="10">
        <v>200</v>
      </c>
      <c r="T748" s="10">
        <f t="shared" si="44"/>
        <v>200</v>
      </c>
      <c r="U748" s="11"/>
      <c r="V748" s="8">
        <v>-2.5021866295933721</v>
      </c>
      <c r="W748" s="8">
        <v>-16.853603994369507</v>
      </c>
      <c r="X748" s="8">
        <f t="shared" si="42"/>
        <v>3.1638890423774697</v>
      </c>
    </row>
    <row r="749" spans="1:24" x14ac:dyDescent="0.35">
      <c r="A749" s="6" t="s">
        <v>25</v>
      </c>
      <c r="B749" s="6" t="s">
        <v>3405</v>
      </c>
      <c r="D749" s="6" t="s">
        <v>3707</v>
      </c>
      <c r="E749" s="6">
        <v>2</v>
      </c>
      <c r="F749" s="6">
        <v>22</v>
      </c>
      <c r="G749" s="6" t="s">
        <v>4009</v>
      </c>
      <c r="I749" s="8">
        <v>87.457001180555594</v>
      </c>
      <c r="J749" s="8">
        <v>95.7129143055556</v>
      </c>
      <c r="K749" s="7" t="s">
        <v>2610</v>
      </c>
      <c r="L749" s="9">
        <v>43858</v>
      </c>
      <c r="N749" s="6">
        <v>18</v>
      </c>
      <c r="O749" s="6" t="s">
        <v>4316</v>
      </c>
      <c r="V749" s="8">
        <v>-2.3296887768316275</v>
      </c>
      <c r="W749" s="8">
        <v>-16.641097123146057</v>
      </c>
      <c r="X749" s="27">
        <f t="shared" si="42"/>
        <v>1.9964130915069624</v>
      </c>
    </row>
    <row r="750" spans="1:24" x14ac:dyDescent="0.35">
      <c r="A750" s="6" t="s">
        <v>25</v>
      </c>
      <c r="B750" s="7" t="s">
        <v>970</v>
      </c>
      <c r="D750" s="6" t="s">
        <v>971</v>
      </c>
      <c r="E750" s="6">
        <v>2</v>
      </c>
      <c r="F750" s="6">
        <v>22</v>
      </c>
      <c r="G750" s="6" t="s">
        <v>923</v>
      </c>
      <c r="I750" s="8">
        <v>87.472233819444398</v>
      </c>
      <c r="J750" s="8">
        <v>95.318004999999999</v>
      </c>
      <c r="K750" s="6" t="s">
        <v>390</v>
      </c>
      <c r="L750" s="9">
        <v>43859</v>
      </c>
      <c r="N750" s="6">
        <v>18</v>
      </c>
      <c r="O750" s="6" t="s">
        <v>4317</v>
      </c>
      <c r="Q750" s="10"/>
      <c r="R750" s="10">
        <v>0</v>
      </c>
      <c r="S750" s="10">
        <v>8</v>
      </c>
      <c r="T750" s="10">
        <f t="shared" ref="T750:T756" si="45">AVERAGE(R750:S750)</f>
        <v>4</v>
      </c>
      <c r="U750" s="11"/>
      <c r="V750" s="8">
        <v>-0.96317633085250876</v>
      </c>
      <c r="W750" s="8">
        <v>-8.0730575680732723</v>
      </c>
      <c r="X750" s="8">
        <f t="shared" si="42"/>
        <v>-0.36764692125320231</v>
      </c>
    </row>
    <row r="751" spans="1:24" x14ac:dyDescent="0.35">
      <c r="A751" s="6" t="s">
        <v>25</v>
      </c>
      <c r="B751" s="7" t="s">
        <v>972</v>
      </c>
      <c r="D751" s="6" t="s">
        <v>973</v>
      </c>
      <c r="E751" s="6">
        <v>2</v>
      </c>
      <c r="F751" s="6">
        <v>22</v>
      </c>
      <c r="G751" s="6" t="s">
        <v>923</v>
      </c>
      <c r="I751" s="8">
        <v>87.472233819444398</v>
      </c>
      <c r="J751" s="8">
        <v>95.318004999999999</v>
      </c>
      <c r="K751" s="6" t="s">
        <v>390</v>
      </c>
      <c r="L751" s="9">
        <v>43859</v>
      </c>
      <c r="N751" s="6">
        <v>18</v>
      </c>
      <c r="O751" s="6" t="s">
        <v>4317</v>
      </c>
      <c r="Q751" s="10"/>
      <c r="R751" s="10">
        <v>56</v>
      </c>
      <c r="S751" s="10">
        <v>64</v>
      </c>
      <c r="T751" s="10">
        <f t="shared" si="45"/>
        <v>60</v>
      </c>
      <c r="U751" s="11"/>
      <c r="V751" s="8">
        <v>-0.44590153853893261</v>
      </c>
      <c r="W751" s="8">
        <v>-3.5209688584804533</v>
      </c>
      <c r="X751" s="8">
        <f t="shared" si="42"/>
        <v>4.6243449831007588E-2</v>
      </c>
    </row>
    <row r="752" spans="1:24" x14ac:dyDescent="0.35">
      <c r="A752" s="6" t="s">
        <v>25</v>
      </c>
      <c r="B752" s="7" t="s">
        <v>974</v>
      </c>
      <c r="D752" s="6" t="s">
        <v>975</v>
      </c>
      <c r="E752" s="6">
        <v>2</v>
      </c>
      <c r="F752" s="6">
        <v>22</v>
      </c>
      <c r="G752" s="6" t="s">
        <v>923</v>
      </c>
      <c r="I752" s="8">
        <v>87.472233819444398</v>
      </c>
      <c r="J752" s="8">
        <v>95.318004999999999</v>
      </c>
      <c r="K752" s="6" t="s">
        <v>390</v>
      </c>
      <c r="L752" s="9">
        <v>43859</v>
      </c>
      <c r="N752" s="6">
        <v>18</v>
      </c>
      <c r="O752" s="6" t="s">
        <v>4317</v>
      </c>
      <c r="Q752" s="10"/>
      <c r="R752" s="10">
        <v>48</v>
      </c>
      <c r="S752" s="10">
        <v>56</v>
      </c>
      <c r="T752" s="10">
        <f t="shared" si="45"/>
        <v>52</v>
      </c>
      <c r="U752" s="11"/>
      <c r="V752" s="8">
        <v>-0.51541676692962668</v>
      </c>
      <c r="W752" s="8">
        <v>-4.262842663288116</v>
      </c>
      <c r="X752" s="8">
        <f t="shared" si="42"/>
        <v>-0.13950852785110257</v>
      </c>
    </row>
    <row r="753" spans="1:24" x14ac:dyDescent="0.35">
      <c r="A753" s="6" t="s">
        <v>25</v>
      </c>
      <c r="B753" s="7" t="s">
        <v>976</v>
      </c>
      <c r="D753" s="6" t="s">
        <v>977</v>
      </c>
      <c r="E753" s="6">
        <v>2</v>
      </c>
      <c r="F753" s="6">
        <v>22</v>
      </c>
      <c r="G753" s="6" t="s">
        <v>923</v>
      </c>
      <c r="I753" s="8">
        <v>87.472233819444398</v>
      </c>
      <c r="J753" s="8">
        <v>95.318004999999999</v>
      </c>
      <c r="K753" s="6" t="s">
        <v>390</v>
      </c>
      <c r="L753" s="9">
        <v>43859</v>
      </c>
      <c r="N753" s="6">
        <v>18</v>
      </c>
      <c r="O753" s="6" t="s">
        <v>4317</v>
      </c>
      <c r="Q753" s="10"/>
      <c r="R753" s="10">
        <v>42</v>
      </c>
      <c r="S753" s="10">
        <v>48</v>
      </c>
      <c r="T753" s="10">
        <f t="shared" si="45"/>
        <v>45</v>
      </c>
      <c r="U753" s="11"/>
      <c r="V753" s="8">
        <v>-0.51541129248619122</v>
      </c>
      <c r="W753" s="8">
        <v>-3.7023300647735593</v>
      </c>
      <c r="X753" s="8">
        <f t="shared" si="42"/>
        <v>0.42096027511597045</v>
      </c>
    </row>
    <row r="754" spans="1:24" x14ac:dyDescent="0.35">
      <c r="A754" s="6" t="s">
        <v>25</v>
      </c>
      <c r="B754" s="7" t="s">
        <v>978</v>
      </c>
      <c r="D754" s="6" t="s">
        <v>979</v>
      </c>
      <c r="E754" s="6">
        <v>2</v>
      </c>
      <c r="F754" s="6">
        <v>22</v>
      </c>
      <c r="G754" s="6" t="s">
        <v>923</v>
      </c>
      <c r="I754" s="8">
        <v>87.472233819444398</v>
      </c>
      <c r="J754" s="8">
        <v>95.318004999999999</v>
      </c>
      <c r="K754" s="6" t="s">
        <v>390</v>
      </c>
      <c r="L754" s="9">
        <v>43859</v>
      </c>
      <c r="N754" s="6">
        <v>18</v>
      </c>
      <c r="O754" s="6" t="s">
        <v>4317</v>
      </c>
      <c r="Q754" s="10"/>
      <c r="R754" s="10">
        <v>32</v>
      </c>
      <c r="S754" s="10">
        <v>40</v>
      </c>
      <c r="T754" s="10">
        <f t="shared" si="45"/>
        <v>36</v>
      </c>
      <c r="U754" s="11"/>
      <c r="V754" s="8">
        <v>-0.78747186177253736</v>
      </c>
      <c r="W754" s="8">
        <v>-5.6972500228881842</v>
      </c>
      <c r="X754" s="8">
        <f t="shared" si="42"/>
        <v>0.60252487129211474</v>
      </c>
    </row>
    <row r="755" spans="1:24" x14ac:dyDescent="0.35">
      <c r="A755" s="6" t="s">
        <v>25</v>
      </c>
      <c r="B755" s="7" t="s">
        <v>980</v>
      </c>
      <c r="D755" s="6" t="s">
        <v>981</v>
      </c>
      <c r="E755" s="6">
        <v>2</v>
      </c>
      <c r="F755" s="6">
        <v>22</v>
      </c>
      <c r="G755" s="6" t="s">
        <v>923</v>
      </c>
      <c r="I755" s="8">
        <v>87.472233819444398</v>
      </c>
      <c r="J755" s="8">
        <v>95.318004999999999</v>
      </c>
      <c r="K755" s="6" t="s">
        <v>390</v>
      </c>
      <c r="L755" s="9">
        <v>43859</v>
      </c>
      <c r="N755" s="6">
        <v>18</v>
      </c>
      <c r="O755" s="6" t="s">
        <v>4317</v>
      </c>
      <c r="Q755" s="10"/>
      <c r="R755" s="10">
        <v>24</v>
      </c>
      <c r="S755" s="10">
        <v>32</v>
      </c>
      <c r="T755" s="10">
        <f t="shared" si="45"/>
        <v>28</v>
      </c>
      <c r="U755" s="11"/>
      <c r="V755" s="8">
        <v>-0.7332262791919707</v>
      </c>
      <c r="W755" s="8">
        <v>-4.7398711013793946</v>
      </c>
      <c r="X755" s="8">
        <f t="shared" si="42"/>
        <v>1.125939132156371</v>
      </c>
    </row>
    <row r="756" spans="1:24" x14ac:dyDescent="0.35">
      <c r="A756" s="6" t="s">
        <v>25</v>
      </c>
      <c r="B756" s="7" t="s">
        <v>982</v>
      </c>
      <c r="D756" s="6" t="s">
        <v>983</v>
      </c>
      <c r="E756" s="6">
        <v>2</v>
      </c>
      <c r="F756" s="6">
        <v>22</v>
      </c>
      <c r="G756" s="6" t="s">
        <v>923</v>
      </c>
      <c r="I756" s="8">
        <v>87.472233819444398</v>
      </c>
      <c r="J756" s="8">
        <v>95.318004999999999</v>
      </c>
      <c r="K756" s="6" t="s">
        <v>390</v>
      </c>
      <c r="L756" s="9">
        <v>43859</v>
      </c>
      <c r="N756" s="6">
        <v>18</v>
      </c>
      <c r="O756" s="6" t="s">
        <v>4317</v>
      </c>
      <c r="Q756" s="10"/>
      <c r="R756" s="10">
        <v>16</v>
      </c>
      <c r="S756" s="10">
        <v>24</v>
      </c>
      <c r="T756" s="10">
        <f t="shared" si="45"/>
        <v>20</v>
      </c>
      <c r="U756" s="11"/>
      <c r="V756" s="8">
        <v>-0.6808257180976871</v>
      </c>
      <c r="W756" s="8">
        <v>-4.4292607212066653</v>
      </c>
      <c r="X756" s="8">
        <f t="shared" si="42"/>
        <v>1.0173450235748316</v>
      </c>
    </row>
    <row r="757" spans="1:24" x14ac:dyDescent="0.35">
      <c r="A757" s="6" t="s">
        <v>25</v>
      </c>
      <c r="B757" s="7" t="s">
        <v>967</v>
      </c>
      <c r="D757" s="6" t="s">
        <v>968</v>
      </c>
      <c r="E757" s="6">
        <v>2</v>
      </c>
      <c r="F757" s="6">
        <v>22</v>
      </c>
      <c r="G757" s="6" t="s">
        <v>969</v>
      </c>
      <c r="I757" s="8">
        <v>87.472233819444398</v>
      </c>
      <c r="J757" s="8">
        <v>95.318004999999999</v>
      </c>
      <c r="K757" s="6" t="s">
        <v>897</v>
      </c>
      <c r="L757" s="9">
        <v>43859</v>
      </c>
      <c r="N757" s="6">
        <v>18</v>
      </c>
      <c r="O757" s="6" t="s">
        <v>4317</v>
      </c>
      <c r="Q757" s="10"/>
      <c r="R757" s="10"/>
      <c r="S757" s="10"/>
      <c r="T757" s="10"/>
      <c r="U757" s="11"/>
      <c r="V757" s="8">
        <v>-2.7141863705444345</v>
      </c>
      <c r="W757" s="8">
        <v>-20.775565223693846</v>
      </c>
      <c r="X757" s="8">
        <f t="shared" si="42"/>
        <v>0.9379257406616297</v>
      </c>
    </row>
    <row r="758" spans="1:24" x14ac:dyDescent="0.35">
      <c r="A758" s="6" t="s">
        <v>25</v>
      </c>
      <c r="B758" s="7" t="s">
        <v>984</v>
      </c>
      <c r="D758" s="6" t="s">
        <v>985</v>
      </c>
      <c r="E758" s="6">
        <v>2</v>
      </c>
      <c r="F758" s="6">
        <v>22</v>
      </c>
      <c r="G758" s="6" t="s">
        <v>986</v>
      </c>
      <c r="I758" s="8">
        <v>87.472233819444398</v>
      </c>
      <c r="J758" s="8">
        <v>95.318004999999999</v>
      </c>
      <c r="K758" s="6" t="s">
        <v>390</v>
      </c>
      <c r="L758" s="9">
        <v>43859</v>
      </c>
      <c r="N758" s="6">
        <v>18</v>
      </c>
      <c r="O758" s="6" t="s">
        <v>4317</v>
      </c>
      <c r="Q758" s="10"/>
      <c r="R758" s="10">
        <v>0</v>
      </c>
      <c r="S758" s="10">
        <v>4</v>
      </c>
      <c r="T758" s="10">
        <f>AVERAGE(R758:S758)</f>
        <v>2</v>
      </c>
      <c r="U758" s="11"/>
      <c r="V758" s="8">
        <v>-1.2079658627510068</v>
      </c>
      <c r="W758" s="8">
        <v>-8.4409163919448851</v>
      </c>
      <c r="X758" s="8">
        <f t="shared" si="42"/>
        <v>1.2228105100631694</v>
      </c>
    </row>
    <row r="759" spans="1:24" x14ac:dyDescent="0.35">
      <c r="A759" s="6" t="s">
        <v>25</v>
      </c>
      <c r="B759" s="7" t="s">
        <v>987</v>
      </c>
      <c r="D759" s="6" t="s">
        <v>988</v>
      </c>
      <c r="E759" s="6">
        <v>2</v>
      </c>
      <c r="F759" s="6">
        <v>22</v>
      </c>
      <c r="G759" s="6" t="s">
        <v>923</v>
      </c>
      <c r="I759" s="8">
        <v>87.472233819444398</v>
      </c>
      <c r="J759" s="8">
        <v>95.318004999999999</v>
      </c>
      <c r="K759" s="6" t="s">
        <v>390</v>
      </c>
      <c r="L759" s="9">
        <v>43859</v>
      </c>
      <c r="N759" s="6">
        <v>18</v>
      </c>
      <c r="O759" s="6" t="s">
        <v>4317</v>
      </c>
      <c r="Q759" s="10"/>
      <c r="R759" s="10">
        <v>8</v>
      </c>
      <c r="S759" s="10">
        <v>16</v>
      </c>
      <c r="T759" s="10">
        <f>AVERAGE(R759:S759)</f>
        <v>12</v>
      </c>
      <c r="U759" s="11"/>
      <c r="V759" s="8">
        <v>-0.88900331854820247</v>
      </c>
      <c r="W759" s="8">
        <v>-5.8996184233188629</v>
      </c>
      <c r="X759" s="8">
        <f t="shared" si="42"/>
        <v>1.2124081250667569</v>
      </c>
    </row>
    <row r="760" spans="1:24" x14ac:dyDescent="0.35">
      <c r="A760" s="6" t="s">
        <v>25</v>
      </c>
      <c r="B760" s="6" t="s">
        <v>3406</v>
      </c>
      <c r="D760" s="6" t="s">
        <v>3708</v>
      </c>
      <c r="E760" s="6">
        <v>2</v>
      </c>
      <c r="F760" s="6">
        <v>22</v>
      </c>
      <c r="G760" s="6" t="s">
        <v>4010</v>
      </c>
      <c r="I760" s="8">
        <v>87.472233819444398</v>
      </c>
      <c r="J760" s="8">
        <v>95.318004999999999</v>
      </c>
      <c r="K760" s="7" t="s">
        <v>2610</v>
      </c>
      <c r="L760" s="9">
        <v>43859</v>
      </c>
      <c r="N760" s="6">
        <v>18</v>
      </c>
      <c r="O760" s="6" t="s">
        <v>4317</v>
      </c>
      <c r="V760" s="8">
        <v>-2.3565914079952242</v>
      </c>
      <c r="W760" s="8">
        <v>-16.607924348831176</v>
      </c>
      <c r="X760" s="27">
        <f t="shared" si="42"/>
        <v>2.2448069151306171</v>
      </c>
    </row>
    <row r="761" spans="1:24" x14ac:dyDescent="0.35">
      <c r="A761" s="6" t="s">
        <v>25</v>
      </c>
      <c r="B761" s="7" t="s">
        <v>989</v>
      </c>
      <c r="D761" s="6" t="s">
        <v>990</v>
      </c>
      <c r="E761" s="6">
        <v>2</v>
      </c>
      <c r="F761" s="6">
        <v>22</v>
      </c>
      <c r="G761" s="6" t="s">
        <v>991</v>
      </c>
      <c r="I761" s="8">
        <v>87.455539236111093</v>
      </c>
      <c r="J761" s="8">
        <v>96.352106111111098</v>
      </c>
      <c r="K761" s="6" t="s">
        <v>390</v>
      </c>
      <c r="L761" s="9">
        <v>43860</v>
      </c>
      <c r="N761" s="6">
        <v>18</v>
      </c>
      <c r="O761" s="6" t="s">
        <v>4318</v>
      </c>
      <c r="Q761" s="10"/>
      <c r="R761" s="10"/>
      <c r="S761" s="10"/>
      <c r="T761" s="10"/>
      <c r="U761" s="11"/>
      <c r="V761" s="8">
        <v>-3.1222373091506959</v>
      </c>
      <c r="W761" s="8">
        <v>-21.987826614379884</v>
      </c>
      <c r="X761" s="8">
        <f t="shared" si="42"/>
        <v>2.9900718588256829</v>
      </c>
    </row>
    <row r="762" spans="1:24" x14ac:dyDescent="0.35">
      <c r="A762" s="6" t="s">
        <v>25</v>
      </c>
      <c r="B762" s="6" t="s">
        <v>3407</v>
      </c>
      <c r="D762" s="6" t="s">
        <v>3709</v>
      </c>
      <c r="E762" s="6">
        <v>2</v>
      </c>
      <c r="F762" s="6">
        <v>22</v>
      </c>
      <c r="G762" s="6" t="s">
        <v>4011</v>
      </c>
      <c r="I762" s="8">
        <v>87.455539236111093</v>
      </c>
      <c r="J762" s="8">
        <v>96.352106111111098</v>
      </c>
      <c r="K762" s="7" t="s">
        <v>2610</v>
      </c>
      <c r="L762" s="9">
        <v>43860</v>
      </c>
      <c r="N762" s="6">
        <v>18</v>
      </c>
      <c r="O762" s="6" t="s">
        <v>4318</v>
      </c>
      <c r="V762" s="8">
        <v>-2.3496257440853121</v>
      </c>
      <c r="W762" s="8">
        <v>-16.204823553085326</v>
      </c>
      <c r="X762" s="27">
        <f t="shared" si="42"/>
        <v>2.5921823995971707</v>
      </c>
    </row>
    <row r="763" spans="1:24" x14ac:dyDescent="0.35">
      <c r="A763" s="6" t="s">
        <v>25</v>
      </c>
      <c r="B763" s="7" t="s">
        <v>992</v>
      </c>
      <c r="D763" s="6" t="s">
        <v>993</v>
      </c>
      <c r="E763" s="6">
        <v>2</v>
      </c>
      <c r="F763" s="6">
        <v>22</v>
      </c>
      <c r="G763" s="6" t="s">
        <v>60</v>
      </c>
      <c r="I763" s="8">
        <v>87.462478125000004</v>
      </c>
      <c r="J763" s="8">
        <v>96.385650277777799</v>
      </c>
      <c r="K763" s="7" t="s">
        <v>2610</v>
      </c>
      <c r="L763" s="9">
        <v>43861</v>
      </c>
      <c r="N763" s="6">
        <v>18</v>
      </c>
      <c r="O763" s="6" t="s">
        <v>4319</v>
      </c>
      <c r="Q763" s="10">
        <v>500</v>
      </c>
      <c r="R763" s="10"/>
      <c r="S763" s="10">
        <v>500</v>
      </c>
      <c r="T763" s="10">
        <f>AVERAGE(R763:S763)</f>
        <v>500</v>
      </c>
      <c r="U763" s="11"/>
      <c r="V763" s="8">
        <v>-2.4452790737152101</v>
      </c>
      <c r="W763" s="8">
        <v>-16.80600695075989</v>
      </c>
      <c r="X763" s="8">
        <f t="shared" si="42"/>
        <v>2.7562256389617907</v>
      </c>
    </row>
    <row r="764" spans="1:24" x14ac:dyDescent="0.35">
      <c r="A764" s="6" t="s">
        <v>25</v>
      </c>
      <c r="B764" s="6" t="s">
        <v>3408</v>
      </c>
      <c r="D764" s="6" t="s">
        <v>3710</v>
      </c>
      <c r="E764" s="6">
        <v>2</v>
      </c>
      <c r="F764" s="6">
        <v>22</v>
      </c>
      <c r="G764" s="6" t="s">
        <v>4012</v>
      </c>
      <c r="I764" s="8">
        <v>87.438507999999999</v>
      </c>
      <c r="J764" s="8">
        <v>96.476590000000002</v>
      </c>
      <c r="K764" s="7" t="s">
        <v>2610</v>
      </c>
      <c r="L764" s="9">
        <v>43861</v>
      </c>
      <c r="N764" s="6">
        <v>18</v>
      </c>
      <c r="O764" s="6" t="s">
        <v>4319</v>
      </c>
      <c r="V764" s="8">
        <v>-2.2945279513406756</v>
      </c>
      <c r="W764" s="8">
        <v>-16.617296238899229</v>
      </c>
      <c r="X764" s="27">
        <f t="shared" si="42"/>
        <v>1.7389273718261755</v>
      </c>
    </row>
    <row r="765" spans="1:24" x14ac:dyDescent="0.35">
      <c r="A765" s="6" t="s">
        <v>25</v>
      </c>
      <c r="B765" s="6" t="s">
        <v>2803</v>
      </c>
      <c r="D765" s="6" t="s">
        <v>3113</v>
      </c>
      <c r="E765" s="6">
        <v>2</v>
      </c>
      <c r="F765" s="6">
        <v>22</v>
      </c>
      <c r="G765" s="6" t="s">
        <v>3239</v>
      </c>
      <c r="I765" s="8">
        <v>87.438507999999999</v>
      </c>
      <c r="J765" s="8">
        <v>96.476590000000002</v>
      </c>
      <c r="K765" s="6" t="s">
        <v>198</v>
      </c>
      <c r="L765" s="9">
        <v>43861</v>
      </c>
      <c r="M765" s="18">
        <v>0.27847222222222223</v>
      </c>
      <c r="N765" s="6">
        <v>18</v>
      </c>
      <c r="O765" s="6" t="s">
        <v>4319</v>
      </c>
      <c r="R765" s="6">
        <v>7</v>
      </c>
      <c r="S765" s="6">
        <v>4</v>
      </c>
      <c r="V765" s="8">
        <v>-26.728593762969968</v>
      </c>
      <c r="W765" s="8">
        <v>-195.07403844909669</v>
      </c>
      <c r="X765" s="8">
        <f t="shared" si="42"/>
        <v>18.754711654663055</v>
      </c>
    </row>
    <row r="766" spans="1:24" x14ac:dyDescent="0.35">
      <c r="A766" s="6" t="s">
        <v>25</v>
      </c>
      <c r="B766" s="6" t="s">
        <v>2804</v>
      </c>
      <c r="D766" s="6" t="s">
        <v>3113</v>
      </c>
      <c r="E766" s="6">
        <v>2</v>
      </c>
      <c r="F766" s="6">
        <v>22</v>
      </c>
      <c r="G766" s="6" t="s">
        <v>3239</v>
      </c>
      <c r="I766" s="8">
        <v>87.438507999999999</v>
      </c>
      <c r="J766" s="8">
        <v>96.476590000000002</v>
      </c>
      <c r="K766" s="6" t="s">
        <v>198</v>
      </c>
      <c r="L766" s="9">
        <v>43861</v>
      </c>
      <c r="M766" s="18">
        <v>0.27847222222222223</v>
      </c>
      <c r="N766" s="6">
        <v>18</v>
      </c>
      <c r="O766" s="6" t="s">
        <v>4319</v>
      </c>
      <c r="R766" s="6">
        <v>4</v>
      </c>
      <c r="S766" s="6">
        <v>0</v>
      </c>
      <c r="V766" s="8">
        <v>-8.6464941068649281</v>
      </c>
      <c r="W766" s="8">
        <v>-69.472987179565422</v>
      </c>
      <c r="X766" s="8">
        <f t="shared" si="42"/>
        <v>-0.30103432464599678</v>
      </c>
    </row>
    <row r="767" spans="1:24" x14ac:dyDescent="0.35">
      <c r="A767" s="6" t="s">
        <v>25</v>
      </c>
      <c r="B767" s="6" t="s">
        <v>3409</v>
      </c>
      <c r="D767" s="6" t="s">
        <v>3711</v>
      </c>
      <c r="E767" s="6">
        <v>2</v>
      </c>
      <c r="F767" s="6">
        <v>22</v>
      </c>
      <c r="G767" s="6" t="s">
        <v>4013</v>
      </c>
      <c r="I767" s="8">
        <v>87.406283611111064</v>
      </c>
      <c r="J767" s="8">
        <v>95.935335138888931</v>
      </c>
      <c r="K767" s="7" t="s">
        <v>2610</v>
      </c>
      <c r="L767" s="9">
        <v>43862</v>
      </c>
      <c r="N767" s="6">
        <v>18</v>
      </c>
      <c r="O767" s="6" t="s">
        <v>4320</v>
      </c>
      <c r="V767" s="8">
        <v>-2.2764269207525247</v>
      </c>
      <c r="W767" s="8">
        <v>-15.851136445999146</v>
      </c>
      <c r="X767" s="27">
        <f t="shared" si="42"/>
        <v>2.3602789200210523</v>
      </c>
    </row>
    <row r="768" spans="1:24" x14ac:dyDescent="0.35">
      <c r="A768" s="6" t="s">
        <v>25</v>
      </c>
      <c r="B768" s="6" t="s">
        <v>3410</v>
      </c>
      <c r="D768" s="6" t="s">
        <v>3712</v>
      </c>
      <c r="E768" s="6">
        <v>2</v>
      </c>
      <c r="F768" s="6">
        <v>22</v>
      </c>
      <c r="G768" s="6" t="s">
        <v>4014</v>
      </c>
      <c r="I768" s="8">
        <v>87.352736041666702</v>
      </c>
      <c r="J768" s="8">
        <v>94.772103819444396</v>
      </c>
      <c r="K768" s="7" t="s">
        <v>2610</v>
      </c>
      <c r="L768" s="9">
        <v>43863</v>
      </c>
      <c r="N768" s="6">
        <v>19</v>
      </c>
      <c r="O768" s="6" t="s">
        <v>4321</v>
      </c>
      <c r="V768" s="8">
        <v>-2.2566213782501228</v>
      </c>
      <c r="W768" s="8">
        <v>-15.857983252525329</v>
      </c>
      <c r="X768" s="27">
        <f t="shared" si="42"/>
        <v>2.1949877734756527</v>
      </c>
    </row>
    <row r="769" spans="1:24" x14ac:dyDescent="0.35">
      <c r="A769" s="6" t="s">
        <v>25</v>
      </c>
      <c r="B769" s="7"/>
      <c r="D769" s="6" t="s">
        <v>994</v>
      </c>
      <c r="E769" s="6">
        <v>2</v>
      </c>
      <c r="F769" s="6">
        <v>23</v>
      </c>
      <c r="G769" s="6" t="s">
        <v>995</v>
      </c>
      <c r="I769" s="8">
        <v>87.352736041666702</v>
      </c>
      <c r="J769" s="8">
        <v>94.772103819444396</v>
      </c>
      <c r="K769" s="6" t="s">
        <v>390</v>
      </c>
      <c r="L769" s="9">
        <v>43863</v>
      </c>
      <c r="N769" s="6">
        <v>19</v>
      </c>
      <c r="O769" s="6" t="s">
        <v>4321</v>
      </c>
      <c r="R769" s="6">
        <v>0</v>
      </c>
      <c r="S769" s="6">
        <v>8</v>
      </c>
      <c r="T769" s="10">
        <f>AVERAGE(R769:S769)</f>
        <v>4</v>
      </c>
      <c r="V769" s="8">
        <v>-0.78167376489520035</v>
      </c>
      <c r="W769" s="8">
        <v>-5.8314198630094518</v>
      </c>
      <c r="X769" s="8">
        <f t="shared" si="42"/>
        <v>0.421970256152151</v>
      </c>
    </row>
    <row r="770" spans="1:24" x14ac:dyDescent="0.35">
      <c r="A770" s="6" t="s">
        <v>25</v>
      </c>
      <c r="B770" s="6" t="s">
        <v>3411</v>
      </c>
      <c r="D770" s="6" t="s">
        <v>3713</v>
      </c>
      <c r="E770" s="6">
        <v>2</v>
      </c>
      <c r="F770" s="6">
        <v>23</v>
      </c>
      <c r="G770" s="6" t="s">
        <v>4015</v>
      </c>
      <c r="I770" s="8">
        <v>87.421046000000004</v>
      </c>
      <c r="J770" s="8">
        <v>93.412738000000004</v>
      </c>
      <c r="K770" s="7" t="s">
        <v>2610</v>
      </c>
      <c r="L770" s="9">
        <v>43864</v>
      </c>
      <c r="N770" s="6">
        <v>19</v>
      </c>
      <c r="O770" s="6" t="s">
        <v>4322</v>
      </c>
      <c r="V770" s="8">
        <v>-2.2970943160724646</v>
      </c>
      <c r="W770" s="8">
        <v>-15.980914608955382</v>
      </c>
      <c r="X770" s="27">
        <f t="shared" ref="X770:X833" si="46">W770-(8*V770)</f>
        <v>2.3958399196243345</v>
      </c>
    </row>
    <row r="771" spans="1:24" x14ac:dyDescent="0.35">
      <c r="A771" s="6" t="s">
        <v>25</v>
      </c>
      <c r="B771" s="6" t="s">
        <v>2807</v>
      </c>
      <c r="D771" s="6" t="s">
        <v>3115</v>
      </c>
      <c r="E771" s="6">
        <v>2</v>
      </c>
      <c r="F771" s="6">
        <v>23</v>
      </c>
      <c r="G771" s="6" t="s">
        <v>3240</v>
      </c>
      <c r="I771" s="8">
        <v>87.421046000000004</v>
      </c>
      <c r="J771" s="8">
        <v>93.412738000000004</v>
      </c>
      <c r="K771" s="6" t="s">
        <v>198</v>
      </c>
      <c r="L771" s="9">
        <v>43864</v>
      </c>
      <c r="M771" s="18">
        <v>0.46875</v>
      </c>
      <c r="N771" s="6">
        <v>19</v>
      </c>
      <c r="O771" s="6" t="s">
        <v>4322</v>
      </c>
      <c r="R771" s="6">
        <v>8</v>
      </c>
      <c r="S771" s="6">
        <v>4.5</v>
      </c>
      <c r="V771" s="8">
        <v>-18.735636020278925</v>
      </c>
      <c r="W771" s="8">
        <v>-123.34293404846191</v>
      </c>
      <c r="X771" s="8">
        <f t="shared" si="46"/>
        <v>26.542154113769485</v>
      </c>
    </row>
    <row r="772" spans="1:24" x14ac:dyDescent="0.35">
      <c r="A772" s="6" t="s">
        <v>25</v>
      </c>
      <c r="B772" s="6" t="s">
        <v>2808</v>
      </c>
      <c r="D772" s="6" t="s">
        <v>3115</v>
      </c>
      <c r="E772" s="6">
        <v>2</v>
      </c>
      <c r="F772" s="6">
        <v>23</v>
      </c>
      <c r="G772" s="6" t="s">
        <v>3240</v>
      </c>
      <c r="I772" s="8">
        <v>87.421046000000004</v>
      </c>
      <c r="J772" s="8">
        <v>93.412738000000004</v>
      </c>
      <c r="K772" s="6" t="s">
        <v>198</v>
      </c>
      <c r="L772" s="9">
        <v>43864</v>
      </c>
      <c r="M772" s="18">
        <v>0.46875</v>
      </c>
      <c r="N772" s="6">
        <v>19</v>
      </c>
      <c r="O772" s="6" t="s">
        <v>4322</v>
      </c>
      <c r="R772" s="6">
        <v>4.5</v>
      </c>
      <c r="S772" s="6">
        <v>0</v>
      </c>
      <c r="V772" s="8">
        <v>-3.6071254483222965</v>
      </c>
      <c r="W772" s="8">
        <v>-31.703923975753781</v>
      </c>
      <c r="X772" s="8">
        <f t="shared" si="46"/>
        <v>-2.8469203891754091</v>
      </c>
    </row>
    <row r="773" spans="1:24" x14ac:dyDescent="0.35">
      <c r="A773" s="6" t="s">
        <v>25</v>
      </c>
      <c r="B773" s="7"/>
      <c r="D773" s="6" t="s">
        <v>996</v>
      </c>
      <c r="E773" s="6">
        <v>2</v>
      </c>
      <c r="F773" s="6">
        <v>23</v>
      </c>
      <c r="G773" s="6" t="s">
        <v>202</v>
      </c>
      <c r="I773" s="8">
        <v>87.352736041666702</v>
      </c>
      <c r="J773" s="8">
        <v>94.772103819444396</v>
      </c>
      <c r="K773" s="6" t="s">
        <v>29</v>
      </c>
      <c r="L773" s="9">
        <v>43864</v>
      </c>
      <c r="N773" s="6">
        <v>19</v>
      </c>
      <c r="O773" s="6" t="s">
        <v>4322</v>
      </c>
      <c r="R773" s="6">
        <v>0</v>
      </c>
      <c r="S773" s="6">
        <v>10</v>
      </c>
      <c r="T773" s="10">
        <f t="shared" ref="T773:T784" si="47">AVERAGE(R773:S773)</f>
        <v>5</v>
      </c>
      <c r="V773" s="8">
        <v>-1.8963263038635254</v>
      </c>
      <c r="W773" s="8">
        <v>-14.665141983032228</v>
      </c>
      <c r="X773" s="8">
        <f t="shared" si="46"/>
        <v>0.505468447875975</v>
      </c>
    </row>
    <row r="774" spans="1:24" x14ac:dyDescent="0.35">
      <c r="A774" s="6" t="s">
        <v>25</v>
      </c>
      <c r="B774" s="7"/>
      <c r="D774" s="6" t="s">
        <v>997</v>
      </c>
      <c r="E774" s="6">
        <v>2</v>
      </c>
      <c r="F774" s="6">
        <v>23</v>
      </c>
      <c r="G774" s="6" t="s">
        <v>202</v>
      </c>
      <c r="I774" s="8">
        <v>87.352736041666702</v>
      </c>
      <c r="J774" s="8">
        <v>94.772103819444396</v>
      </c>
      <c r="K774" s="6" t="s">
        <v>29</v>
      </c>
      <c r="L774" s="9">
        <v>43864</v>
      </c>
      <c r="N774" s="6">
        <v>19</v>
      </c>
      <c r="O774" s="6" t="s">
        <v>4322</v>
      </c>
      <c r="R774" s="6">
        <v>10</v>
      </c>
      <c r="S774" s="6">
        <v>20</v>
      </c>
      <c r="T774" s="10">
        <f t="shared" si="47"/>
        <v>15</v>
      </c>
      <c r="V774" s="8">
        <v>-3.6944077819824224</v>
      </c>
      <c r="W774" s="8">
        <v>-28.345072906494138</v>
      </c>
      <c r="X774" s="8">
        <f t="shared" si="46"/>
        <v>1.2101893493652405</v>
      </c>
    </row>
    <row r="775" spans="1:24" x14ac:dyDescent="0.35">
      <c r="A775" s="6" t="s">
        <v>25</v>
      </c>
      <c r="B775" s="7"/>
      <c r="D775" s="6" t="s">
        <v>998</v>
      </c>
      <c r="E775" s="6">
        <v>2</v>
      </c>
      <c r="F775" s="6">
        <v>23</v>
      </c>
      <c r="G775" s="6" t="s">
        <v>202</v>
      </c>
      <c r="I775" s="8">
        <v>87.352736041666702</v>
      </c>
      <c r="J775" s="8">
        <v>94.772103819444396</v>
      </c>
      <c r="K775" s="6" t="s">
        <v>29</v>
      </c>
      <c r="L775" s="9">
        <v>43864</v>
      </c>
      <c r="N775" s="6">
        <v>19</v>
      </c>
      <c r="O775" s="6" t="s">
        <v>4322</v>
      </c>
      <c r="R775" s="6">
        <v>20</v>
      </c>
      <c r="S775" s="6">
        <v>30</v>
      </c>
      <c r="T775" s="10">
        <f t="shared" si="47"/>
        <v>25</v>
      </c>
      <c r="V775" s="8">
        <v>-2.672214303731919</v>
      </c>
      <c r="W775" s="8">
        <v>-20.924557458877565</v>
      </c>
      <c r="X775" s="8">
        <f t="shared" si="46"/>
        <v>0.45315697097778695</v>
      </c>
    </row>
    <row r="776" spans="1:24" x14ac:dyDescent="0.35">
      <c r="A776" s="6" t="s">
        <v>25</v>
      </c>
      <c r="B776" s="7"/>
      <c r="D776" s="6" t="s">
        <v>999</v>
      </c>
      <c r="E776" s="6">
        <v>2</v>
      </c>
      <c r="F776" s="6">
        <v>23</v>
      </c>
      <c r="G776" s="6" t="s">
        <v>202</v>
      </c>
      <c r="I776" s="8">
        <v>87.352736041666702</v>
      </c>
      <c r="J776" s="8">
        <v>94.772103819444396</v>
      </c>
      <c r="K776" s="6" t="s">
        <v>29</v>
      </c>
      <c r="L776" s="9">
        <v>43864</v>
      </c>
      <c r="N776" s="6">
        <v>19</v>
      </c>
      <c r="O776" s="6" t="s">
        <v>4322</v>
      </c>
      <c r="R776" s="6">
        <v>30</v>
      </c>
      <c r="S776" s="6">
        <v>40</v>
      </c>
      <c r="T776" s="10">
        <f t="shared" si="47"/>
        <v>35</v>
      </c>
      <c r="V776" s="8">
        <v>0.32925631866455085</v>
      </c>
      <c r="W776" s="8">
        <v>4.8515205612182619</v>
      </c>
      <c r="X776" s="8">
        <f t="shared" si="46"/>
        <v>2.2174700119018551</v>
      </c>
    </row>
    <row r="777" spans="1:24" x14ac:dyDescent="0.35">
      <c r="A777" s="6" t="s">
        <v>25</v>
      </c>
      <c r="B777" s="7"/>
      <c r="D777" s="6" t="s">
        <v>1000</v>
      </c>
      <c r="E777" s="6">
        <v>2</v>
      </c>
      <c r="F777" s="6">
        <v>23</v>
      </c>
      <c r="G777" s="6" t="s">
        <v>202</v>
      </c>
      <c r="I777" s="8">
        <v>87.352736041666702</v>
      </c>
      <c r="J777" s="8">
        <v>94.772103819444396</v>
      </c>
      <c r="K777" s="6" t="s">
        <v>29</v>
      </c>
      <c r="L777" s="9">
        <v>43864</v>
      </c>
      <c r="N777" s="6">
        <v>19</v>
      </c>
      <c r="O777" s="6" t="s">
        <v>4322</v>
      </c>
      <c r="R777" s="6">
        <v>40</v>
      </c>
      <c r="S777" s="6">
        <v>50</v>
      </c>
      <c r="T777" s="10">
        <f t="shared" si="47"/>
        <v>45</v>
      </c>
      <c r="V777" s="8">
        <v>1.7768456077575368E-2</v>
      </c>
      <c r="W777" s="8">
        <v>0.725945571899414</v>
      </c>
      <c r="X777" s="8">
        <f t="shared" si="46"/>
        <v>0.58379792327881108</v>
      </c>
    </row>
    <row r="778" spans="1:24" x14ac:dyDescent="0.35">
      <c r="A778" s="6" t="s">
        <v>25</v>
      </c>
      <c r="B778" s="7"/>
      <c r="D778" s="6" t="s">
        <v>1001</v>
      </c>
      <c r="E778" s="6">
        <v>2</v>
      </c>
      <c r="F778" s="6">
        <v>23</v>
      </c>
      <c r="G778" s="6" t="s">
        <v>202</v>
      </c>
      <c r="I778" s="8">
        <v>87.352736041666702</v>
      </c>
      <c r="J778" s="8">
        <v>94.772103819444396</v>
      </c>
      <c r="K778" s="6" t="s">
        <v>29</v>
      </c>
      <c r="L778" s="9">
        <v>43864</v>
      </c>
      <c r="N778" s="6">
        <v>19</v>
      </c>
      <c r="O778" s="6" t="s">
        <v>4322</v>
      </c>
      <c r="R778" s="6">
        <v>50</v>
      </c>
      <c r="S778" s="6">
        <v>60</v>
      </c>
      <c r="T778" s="10">
        <f t="shared" si="47"/>
        <v>55</v>
      </c>
      <c r="V778" s="8">
        <v>-0.23647690012455003</v>
      </c>
      <c r="W778" s="8">
        <v>-0.11459782409667968</v>
      </c>
      <c r="X778" s="8">
        <f t="shared" si="46"/>
        <v>1.7772173768997206</v>
      </c>
    </row>
    <row r="779" spans="1:24" x14ac:dyDescent="0.35">
      <c r="A779" s="6" t="s">
        <v>25</v>
      </c>
      <c r="B779" s="7"/>
      <c r="D779" s="6" t="s">
        <v>1002</v>
      </c>
      <c r="E779" s="6">
        <v>2</v>
      </c>
      <c r="F779" s="6">
        <v>23</v>
      </c>
      <c r="G779" s="6" t="s">
        <v>202</v>
      </c>
      <c r="I779" s="8">
        <v>87.352736041666702</v>
      </c>
      <c r="J779" s="8">
        <v>94.772103819444396</v>
      </c>
      <c r="K779" s="6" t="s">
        <v>29</v>
      </c>
      <c r="L779" s="9">
        <v>43864</v>
      </c>
      <c r="N779" s="6">
        <v>19</v>
      </c>
      <c r="O779" s="6" t="s">
        <v>4322</v>
      </c>
      <c r="R779" s="6">
        <v>60</v>
      </c>
      <c r="S779" s="6">
        <v>70</v>
      </c>
      <c r="T779" s="10">
        <f t="shared" si="47"/>
        <v>65</v>
      </c>
      <c r="V779" s="8">
        <v>0.12509648380279512</v>
      </c>
      <c r="W779" s="8">
        <v>2.5838806762695312</v>
      </c>
      <c r="X779" s="8">
        <f t="shared" si="46"/>
        <v>1.5831088058471703</v>
      </c>
    </row>
    <row r="780" spans="1:24" x14ac:dyDescent="0.35">
      <c r="A780" s="6" t="s">
        <v>25</v>
      </c>
      <c r="B780" s="7"/>
      <c r="D780" s="6" t="s">
        <v>1003</v>
      </c>
      <c r="E780" s="6">
        <v>2</v>
      </c>
      <c r="F780" s="6">
        <v>23</v>
      </c>
      <c r="G780" s="6" t="s">
        <v>202</v>
      </c>
      <c r="I780" s="8">
        <v>87.352736041666702</v>
      </c>
      <c r="J780" s="8">
        <v>94.772103819444396</v>
      </c>
      <c r="K780" s="6" t="s">
        <v>29</v>
      </c>
      <c r="L780" s="9">
        <v>43864</v>
      </c>
      <c r="N780" s="6">
        <v>19</v>
      </c>
      <c r="O780" s="6" t="s">
        <v>4322</v>
      </c>
      <c r="R780" s="6">
        <v>70</v>
      </c>
      <c r="S780" s="6">
        <v>80</v>
      </c>
      <c r="T780" s="10">
        <f t="shared" si="47"/>
        <v>75</v>
      </c>
      <c r="V780" s="8">
        <v>0.2651520782470701</v>
      </c>
      <c r="W780" s="8">
        <v>4.3171180648803711</v>
      </c>
      <c r="X780" s="8">
        <f t="shared" si="46"/>
        <v>2.1959014389038103</v>
      </c>
    </row>
    <row r="781" spans="1:24" x14ac:dyDescent="0.35">
      <c r="A781" s="6" t="s">
        <v>25</v>
      </c>
      <c r="B781" s="7"/>
      <c r="D781" s="6" t="s">
        <v>1004</v>
      </c>
      <c r="E781" s="6">
        <v>2</v>
      </c>
      <c r="F781" s="6">
        <v>23</v>
      </c>
      <c r="G781" s="6" t="s">
        <v>202</v>
      </c>
      <c r="I781" s="8">
        <v>87.352736041666702</v>
      </c>
      <c r="J781" s="8">
        <v>94.772103819444396</v>
      </c>
      <c r="K781" s="6" t="s">
        <v>29</v>
      </c>
      <c r="L781" s="9">
        <v>43864</v>
      </c>
      <c r="N781" s="6">
        <v>19</v>
      </c>
      <c r="O781" s="6" t="s">
        <v>4322</v>
      </c>
      <c r="R781" s="6">
        <v>80</v>
      </c>
      <c r="S781" s="6">
        <v>90</v>
      </c>
      <c r="T781" s="10">
        <f t="shared" si="47"/>
        <v>85</v>
      </c>
      <c r="V781" s="8">
        <v>0.23901687774658173</v>
      </c>
      <c r="W781" s="8">
        <v>3.2011802444458008</v>
      </c>
      <c r="X781" s="8">
        <f t="shared" si="46"/>
        <v>1.289045222473147</v>
      </c>
    </row>
    <row r="782" spans="1:24" x14ac:dyDescent="0.35">
      <c r="A782" s="6" t="s">
        <v>25</v>
      </c>
      <c r="B782" s="7"/>
      <c r="D782" s="6" t="s">
        <v>1005</v>
      </c>
      <c r="E782" s="6">
        <v>2</v>
      </c>
      <c r="F782" s="6">
        <v>23</v>
      </c>
      <c r="G782" s="6" t="s">
        <v>202</v>
      </c>
      <c r="I782" s="8">
        <v>87.352736041666702</v>
      </c>
      <c r="J782" s="8">
        <v>94.772103819444396</v>
      </c>
      <c r="K782" s="6" t="s">
        <v>29</v>
      </c>
      <c r="L782" s="9">
        <v>43864</v>
      </c>
      <c r="N782" s="6">
        <v>19</v>
      </c>
      <c r="O782" s="6" t="s">
        <v>4322</v>
      </c>
      <c r="R782" s="6">
        <v>90</v>
      </c>
      <c r="S782" s="6">
        <v>100</v>
      </c>
      <c r="T782" s="10">
        <f t="shared" si="47"/>
        <v>95</v>
      </c>
      <c r="V782" s="8">
        <v>-0.20142290408313307</v>
      </c>
      <c r="W782" s="8">
        <v>2.8271606445313357E-2</v>
      </c>
      <c r="X782" s="8">
        <f t="shared" si="46"/>
        <v>1.639654839110378</v>
      </c>
    </row>
    <row r="783" spans="1:24" x14ac:dyDescent="0.35">
      <c r="A783" s="6" t="s">
        <v>25</v>
      </c>
      <c r="B783" s="7"/>
      <c r="D783" s="6" t="s">
        <v>1006</v>
      </c>
      <c r="E783" s="6">
        <v>2</v>
      </c>
      <c r="F783" s="6">
        <v>23</v>
      </c>
      <c r="G783" s="6" t="s">
        <v>202</v>
      </c>
      <c r="I783" s="8">
        <v>87.352736041666702</v>
      </c>
      <c r="J783" s="8">
        <v>94.772103819444396</v>
      </c>
      <c r="K783" s="6" t="s">
        <v>29</v>
      </c>
      <c r="L783" s="9">
        <v>43864</v>
      </c>
      <c r="N783" s="6">
        <v>19</v>
      </c>
      <c r="O783" s="6" t="s">
        <v>4322</v>
      </c>
      <c r="R783" s="6">
        <v>100</v>
      </c>
      <c r="S783" s="6">
        <v>110</v>
      </c>
      <c r="T783" s="10">
        <f t="shared" si="47"/>
        <v>105</v>
      </c>
      <c r="V783" s="8">
        <v>-0.32342076054275021</v>
      </c>
      <c r="W783" s="8">
        <v>-1.8306960084915158</v>
      </c>
      <c r="X783" s="8">
        <f t="shared" si="46"/>
        <v>0.75667007585048585</v>
      </c>
    </row>
    <row r="784" spans="1:24" x14ac:dyDescent="0.35">
      <c r="A784" s="6" t="s">
        <v>25</v>
      </c>
      <c r="B784" s="7"/>
      <c r="D784" s="6" t="s">
        <v>1007</v>
      </c>
      <c r="E784" s="6">
        <v>2</v>
      </c>
      <c r="F784" s="6">
        <v>23</v>
      </c>
      <c r="G784" s="6" t="s">
        <v>202</v>
      </c>
      <c r="I784" s="8">
        <v>87.352736041666702</v>
      </c>
      <c r="J784" s="8">
        <v>94.772103819444396</v>
      </c>
      <c r="K784" s="6" t="s">
        <v>29</v>
      </c>
      <c r="L784" s="9">
        <v>43864</v>
      </c>
      <c r="N784" s="6">
        <v>19</v>
      </c>
      <c r="O784" s="6" t="s">
        <v>4322</v>
      </c>
      <c r="R784" s="6">
        <v>110</v>
      </c>
      <c r="S784" s="6">
        <v>123</v>
      </c>
      <c r="T784" s="10">
        <f t="shared" si="47"/>
        <v>116.5</v>
      </c>
      <c r="V784" s="8">
        <v>-0.41478046254873308</v>
      </c>
      <c r="W784" s="8">
        <v>-2.1286814935684193</v>
      </c>
      <c r="X784" s="8">
        <f t="shared" si="46"/>
        <v>1.1895622068214453</v>
      </c>
    </row>
    <row r="785" spans="1:24" x14ac:dyDescent="0.35">
      <c r="A785" s="6" t="s">
        <v>25</v>
      </c>
      <c r="D785" s="6" t="s">
        <v>1008</v>
      </c>
      <c r="E785" s="6">
        <v>2</v>
      </c>
      <c r="F785" s="6">
        <v>23</v>
      </c>
      <c r="G785" s="6" t="s">
        <v>60</v>
      </c>
      <c r="I785" s="8">
        <v>87.421801597222199</v>
      </c>
      <c r="J785" s="8">
        <v>93.663609583333297</v>
      </c>
      <c r="K785" s="7" t="s">
        <v>2610</v>
      </c>
      <c r="L785" s="9">
        <v>43864</v>
      </c>
      <c r="N785" s="6">
        <v>19</v>
      </c>
      <c r="O785" s="6" t="s">
        <v>4322</v>
      </c>
      <c r="T785" s="10"/>
      <c r="V785" s="8">
        <v>-0.60798327453136491</v>
      </c>
      <c r="W785" s="8">
        <v>-4.2147322736263275</v>
      </c>
      <c r="X785" s="8">
        <f t="shared" si="46"/>
        <v>0.6491339226245918</v>
      </c>
    </row>
    <row r="786" spans="1:24" x14ac:dyDescent="0.35">
      <c r="A786" s="6" t="s">
        <v>25</v>
      </c>
      <c r="D786" s="6" t="s">
        <v>1008</v>
      </c>
      <c r="E786" s="6">
        <v>2</v>
      </c>
      <c r="F786" s="6">
        <v>23</v>
      </c>
      <c r="G786" s="6" t="s">
        <v>60</v>
      </c>
      <c r="I786" s="8">
        <v>87.421801597222199</v>
      </c>
      <c r="J786" s="8">
        <v>93.663609583333297</v>
      </c>
      <c r="K786" s="7" t="s">
        <v>2610</v>
      </c>
      <c r="L786" s="9">
        <v>43864</v>
      </c>
      <c r="N786" s="6">
        <v>19</v>
      </c>
      <c r="O786" s="6" t="s">
        <v>4322</v>
      </c>
      <c r="Q786" s="6">
        <v>500</v>
      </c>
      <c r="S786" s="6">
        <v>500</v>
      </c>
      <c r="T786" s="10">
        <f t="shared" ref="T786:T791" si="48">AVERAGE(R786:S786)</f>
        <v>500</v>
      </c>
      <c r="V786" s="8">
        <v>-2.332652454328537</v>
      </c>
      <c r="W786" s="8">
        <v>-15.785950263786315</v>
      </c>
      <c r="X786" s="8">
        <f t="shared" si="46"/>
        <v>2.8752693708419805</v>
      </c>
    </row>
    <row r="787" spans="1:24" x14ac:dyDescent="0.35">
      <c r="A787" s="6" t="s">
        <v>25</v>
      </c>
      <c r="D787" s="6" t="s">
        <v>1008</v>
      </c>
      <c r="E787" s="6">
        <v>2</v>
      </c>
      <c r="F787" s="6">
        <v>23</v>
      </c>
      <c r="G787" s="6" t="s">
        <v>60</v>
      </c>
      <c r="I787" s="8">
        <v>87.421801597222199</v>
      </c>
      <c r="J787" s="8">
        <v>93.663609583333297</v>
      </c>
      <c r="K787" s="7" t="s">
        <v>2610</v>
      </c>
      <c r="L787" s="9">
        <v>43864</v>
      </c>
      <c r="N787" s="6">
        <v>19</v>
      </c>
      <c r="O787" s="6" t="s">
        <v>4322</v>
      </c>
      <c r="Q787" s="6">
        <v>2000</v>
      </c>
      <c r="S787" s="6">
        <v>2000</v>
      </c>
      <c r="T787" s="10">
        <f t="shared" si="48"/>
        <v>2000</v>
      </c>
      <c r="V787" s="8">
        <v>-2.7169552937507633</v>
      </c>
      <c r="W787" s="8">
        <v>-16.531137570190431</v>
      </c>
      <c r="X787" s="8">
        <f t="shared" si="46"/>
        <v>5.2045047798156752</v>
      </c>
    </row>
    <row r="788" spans="1:24" x14ac:dyDescent="0.35">
      <c r="A788" s="6" t="s">
        <v>25</v>
      </c>
      <c r="D788" s="6" t="s">
        <v>1008</v>
      </c>
      <c r="E788" s="6">
        <v>2</v>
      </c>
      <c r="F788" s="6">
        <v>23</v>
      </c>
      <c r="G788" s="6" t="s">
        <v>60</v>
      </c>
      <c r="I788" s="8">
        <v>87.421801597222199</v>
      </c>
      <c r="J788" s="8">
        <v>93.663609583333297</v>
      </c>
      <c r="K788" s="7" t="s">
        <v>2610</v>
      </c>
      <c r="L788" s="9">
        <v>43864</v>
      </c>
      <c r="N788" s="6">
        <v>19</v>
      </c>
      <c r="O788" s="6" t="s">
        <v>4322</v>
      </c>
      <c r="Q788" s="6">
        <v>3000</v>
      </c>
      <c r="S788" s="6">
        <v>3000</v>
      </c>
      <c r="T788" s="10">
        <f t="shared" si="48"/>
        <v>3000</v>
      </c>
      <c r="V788" s="8">
        <v>-2.469568279123306</v>
      </c>
      <c r="W788" s="8">
        <v>-17.264220074462891</v>
      </c>
      <c r="X788" s="8">
        <f t="shared" si="46"/>
        <v>2.4923261585235572</v>
      </c>
    </row>
    <row r="789" spans="1:24" x14ac:dyDescent="0.35">
      <c r="A789" s="6" t="s">
        <v>25</v>
      </c>
      <c r="D789" s="6" t="s">
        <v>1008</v>
      </c>
      <c r="E789" s="6">
        <v>2</v>
      </c>
      <c r="F789" s="6">
        <v>23</v>
      </c>
      <c r="G789" s="6" t="s">
        <v>60</v>
      </c>
      <c r="I789" s="8">
        <v>87.421801597222199</v>
      </c>
      <c r="J789" s="8">
        <v>93.663609583333297</v>
      </c>
      <c r="K789" s="7" t="s">
        <v>2610</v>
      </c>
      <c r="L789" s="9">
        <v>43864</v>
      </c>
      <c r="N789" s="6">
        <v>19</v>
      </c>
      <c r="O789" s="6" t="s">
        <v>4322</v>
      </c>
      <c r="Q789" s="6">
        <v>4000</v>
      </c>
      <c r="S789" s="6">
        <v>4000</v>
      </c>
      <c r="T789" s="10">
        <f t="shared" si="48"/>
        <v>4000</v>
      </c>
      <c r="V789" s="8">
        <v>-2.515420818185806</v>
      </c>
      <c r="W789" s="8">
        <v>-15.758079663085939</v>
      </c>
      <c r="X789" s="8">
        <f t="shared" si="46"/>
        <v>4.3652868824005093</v>
      </c>
    </row>
    <row r="790" spans="1:24" x14ac:dyDescent="0.35">
      <c r="A790" s="6" t="s">
        <v>25</v>
      </c>
      <c r="D790" s="6" t="s">
        <v>1008</v>
      </c>
      <c r="E790" s="6">
        <v>2</v>
      </c>
      <c r="F790" s="6">
        <v>23</v>
      </c>
      <c r="G790" s="6" t="s">
        <v>60</v>
      </c>
      <c r="I790" s="8">
        <v>87.421801597222199</v>
      </c>
      <c r="J790" s="8">
        <v>93.663609583333297</v>
      </c>
      <c r="K790" s="7" t="s">
        <v>2610</v>
      </c>
      <c r="L790" s="9">
        <v>43864</v>
      </c>
      <c r="N790" s="6">
        <v>19</v>
      </c>
      <c r="O790" s="6" t="s">
        <v>4322</v>
      </c>
      <c r="Q790" s="6">
        <v>5000</v>
      </c>
      <c r="S790" s="6">
        <v>5000</v>
      </c>
      <c r="T790" s="10">
        <f t="shared" si="48"/>
        <v>5000</v>
      </c>
      <c r="V790" s="8">
        <v>-1.6588961490154266</v>
      </c>
      <c r="W790" s="8">
        <v>-10.469311622619628</v>
      </c>
      <c r="X790" s="8">
        <f t="shared" si="46"/>
        <v>2.8018575695037846</v>
      </c>
    </row>
    <row r="791" spans="1:24" x14ac:dyDescent="0.35">
      <c r="A791" s="6" t="s">
        <v>25</v>
      </c>
      <c r="D791" s="6" t="s">
        <v>1008</v>
      </c>
      <c r="E791" s="6">
        <v>2</v>
      </c>
      <c r="F791" s="6">
        <v>23</v>
      </c>
      <c r="G791" s="6" t="s">
        <v>60</v>
      </c>
      <c r="I791" s="8">
        <v>87.421801597222199</v>
      </c>
      <c r="J791" s="8">
        <v>93.663609583333297</v>
      </c>
      <c r="K791" s="7" t="s">
        <v>2610</v>
      </c>
      <c r="L791" s="9">
        <v>43864</v>
      </c>
      <c r="N791" s="6">
        <v>19</v>
      </c>
      <c r="O791" s="6" t="s">
        <v>4322</v>
      </c>
      <c r="Q791" s="6">
        <v>7500</v>
      </c>
      <c r="S791" s="6">
        <v>7500</v>
      </c>
      <c r="T791" s="10">
        <f t="shared" si="48"/>
        <v>7500</v>
      </c>
      <c r="V791" s="8">
        <v>-0.6454703187704085</v>
      </c>
      <c r="W791" s="8">
        <v>-2.7333941440582277</v>
      </c>
      <c r="X791" s="8">
        <f t="shared" si="46"/>
        <v>2.4303684061050403</v>
      </c>
    </row>
    <row r="792" spans="1:24" x14ac:dyDescent="0.35">
      <c r="A792" s="6" t="s">
        <v>25</v>
      </c>
      <c r="B792" s="7" t="s">
        <v>1009</v>
      </c>
      <c r="D792" s="6" t="s">
        <v>1010</v>
      </c>
      <c r="E792" s="6">
        <v>2</v>
      </c>
      <c r="F792" s="6">
        <v>23</v>
      </c>
      <c r="G792" s="6" t="s">
        <v>60</v>
      </c>
      <c r="I792" s="8">
        <v>87.481250902777802</v>
      </c>
      <c r="J792" s="8">
        <v>95.180874930555603</v>
      </c>
      <c r="K792" s="7" t="s">
        <v>2610</v>
      </c>
      <c r="L792" s="9">
        <v>43865</v>
      </c>
      <c r="N792" s="6">
        <v>19</v>
      </c>
      <c r="O792" s="6" t="s">
        <v>4319</v>
      </c>
      <c r="Q792" s="10"/>
      <c r="R792" s="10"/>
      <c r="S792" s="10"/>
      <c r="T792" s="10"/>
      <c r="U792" s="11"/>
      <c r="V792" s="8">
        <v>-2.3778810699462891</v>
      </c>
      <c r="W792" s="8">
        <v>-16.499138044357299</v>
      </c>
      <c r="X792" s="8">
        <f t="shared" si="46"/>
        <v>2.5239105152130143</v>
      </c>
    </row>
    <row r="793" spans="1:24" x14ac:dyDescent="0.35">
      <c r="A793" s="6" t="s">
        <v>25</v>
      </c>
      <c r="B793" s="6" t="s">
        <v>3412</v>
      </c>
      <c r="D793" s="6" t="s">
        <v>3714</v>
      </c>
      <c r="E793" s="6">
        <v>2</v>
      </c>
      <c r="F793" s="6">
        <v>23</v>
      </c>
      <c r="G793" s="6" t="s">
        <v>4016</v>
      </c>
      <c r="I793" s="8">
        <v>87.481250902777802</v>
      </c>
      <c r="J793" s="8">
        <v>95.180874930555603</v>
      </c>
      <c r="K793" s="7" t="s">
        <v>2610</v>
      </c>
      <c r="L793" s="9">
        <v>43865</v>
      </c>
      <c r="N793" s="6">
        <v>19</v>
      </c>
      <c r="O793" s="6" t="s">
        <v>4319</v>
      </c>
      <c r="V793" s="8">
        <v>-2.3196843117205304</v>
      </c>
      <c r="W793" s="8">
        <v>-16.35470636914571</v>
      </c>
      <c r="X793" s="27">
        <f t="shared" si="46"/>
        <v>2.2027681246185331</v>
      </c>
    </row>
    <row r="794" spans="1:24" x14ac:dyDescent="0.35">
      <c r="A794" s="6" t="s">
        <v>25</v>
      </c>
      <c r="B794" s="6" t="s">
        <v>3413</v>
      </c>
      <c r="D794" s="6" t="s">
        <v>3715</v>
      </c>
      <c r="E794" s="6">
        <v>2</v>
      </c>
      <c r="F794" s="6">
        <v>23</v>
      </c>
      <c r="G794" s="6" t="s">
        <v>4017</v>
      </c>
      <c r="I794" s="8">
        <v>87.532150000000001</v>
      </c>
      <c r="J794" s="8">
        <v>95.074939999999998</v>
      </c>
      <c r="K794" s="7" t="s">
        <v>2610</v>
      </c>
      <c r="L794" s="9">
        <v>43866</v>
      </c>
      <c r="N794" s="6">
        <v>19</v>
      </c>
      <c r="O794" s="6" t="s">
        <v>4323</v>
      </c>
      <c r="V794" s="8">
        <v>-2.3540307388973236</v>
      </c>
      <c r="W794" s="8">
        <v>-16.22995965194702</v>
      </c>
      <c r="X794" s="27">
        <f t="shared" si="46"/>
        <v>2.602286259231569</v>
      </c>
    </row>
    <row r="795" spans="1:24" x14ac:dyDescent="0.35">
      <c r="A795" s="6" t="s">
        <v>25</v>
      </c>
      <c r="B795" s="6" t="s">
        <v>2809</v>
      </c>
      <c r="D795" s="6" t="s">
        <v>3116</v>
      </c>
      <c r="E795" s="6">
        <v>2</v>
      </c>
      <c r="F795" s="6">
        <v>23</v>
      </c>
      <c r="G795" s="6" t="s">
        <v>3241</v>
      </c>
      <c r="I795" s="8">
        <v>87.532150000000001</v>
      </c>
      <c r="J795" s="8">
        <v>95.074939999999998</v>
      </c>
      <c r="K795" s="6" t="s">
        <v>198</v>
      </c>
      <c r="L795" s="9">
        <v>43866</v>
      </c>
      <c r="M795" s="18">
        <v>0.28125</v>
      </c>
      <c r="N795" s="6">
        <v>19</v>
      </c>
      <c r="O795" s="6" t="s">
        <v>4323</v>
      </c>
      <c r="R795" s="6">
        <v>14</v>
      </c>
      <c r="S795" s="6">
        <v>1.5</v>
      </c>
      <c r="V795" s="8">
        <v>-26.677277946090694</v>
      </c>
      <c r="W795" s="8">
        <v>-196.66512476806642</v>
      </c>
      <c r="X795" s="8">
        <f t="shared" si="46"/>
        <v>16.753098800659131</v>
      </c>
    </row>
    <row r="796" spans="1:24" x14ac:dyDescent="0.35">
      <c r="A796" s="6" t="s">
        <v>25</v>
      </c>
      <c r="B796" s="6" t="s">
        <v>2810</v>
      </c>
      <c r="D796" s="6" t="s">
        <v>3116</v>
      </c>
      <c r="E796" s="6">
        <v>2</v>
      </c>
      <c r="F796" s="6">
        <v>23</v>
      </c>
      <c r="G796" s="6" t="s">
        <v>3241</v>
      </c>
      <c r="I796" s="8">
        <v>87.532150000000001</v>
      </c>
      <c r="J796" s="8">
        <v>95.074939999999998</v>
      </c>
      <c r="K796" s="6" t="s">
        <v>198</v>
      </c>
      <c r="L796" s="9">
        <v>43866</v>
      </c>
      <c r="M796" s="18">
        <v>0.28125</v>
      </c>
      <c r="N796" s="6">
        <v>19</v>
      </c>
      <c r="O796" s="6" t="s">
        <v>4323</v>
      </c>
      <c r="R796" s="6">
        <v>7</v>
      </c>
      <c r="S796" s="6">
        <v>4</v>
      </c>
      <c r="V796" s="8">
        <v>-16.009908547782896</v>
      </c>
      <c r="W796" s="8">
        <v>-120.77665444641111</v>
      </c>
      <c r="X796" s="8">
        <f t="shared" si="46"/>
        <v>7.302613935852051</v>
      </c>
    </row>
    <row r="797" spans="1:24" x14ac:dyDescent="0.35">
      <c r="A797" s="6" t="s">
        <v>25</v>
      </c>
      <c r="B797" s="6" t="s">
        <v>2811</v>
      </c>
      <c r="D797" s="6" t="s">
        <v>3116</v>
      </c>
      <c r="E797" s="6">
        <v>2</v>
      </c>
      <c r="F797" s="6">
        <v>23</v>
      </c>
      <c r="G797" s="6" t="s">
        <v>3241</v>
      </c>
      <c r="I797" s="8">
        <v>87.532150000000001</v>
      </c>
      <c r="J797" s="8">
        <v>95.074939999999998</v>
      </c>
      <c r="K797" s="6" t="s">
        <v>198</v>
      </c>
      <c r="L797" s="9">
        <v>43866</v>
      </c>
      <c r="M797" s="18">
        <v>0.28125</v>
      </c>
      <c r="N797" s="6">
        <v>19</v>
      </c>
      <c r="O797" s="6" t="s">
        <v>4323</v>
      </c>
      <c r="R797" s="6">
        <v>2</v>
      </c>
      <c r="S797" s="6">
        <v>0</v>
      </c>
      <c r="V797" s="8">
        <v>-8.3400455812454215</v>
      </c>
      <c r="W797" s="8">
        <v>-87.704347943115224</v>
      </c>
      <c r="X797" s="8">
        <f t="shared" si="46"/>
        <v>-20.983983293151852</v>
      </c>
    </row>
    <row r="798" spans="1:24" x14ac:dyDescent="0.35">
      <c r="A798" s="6" t="s">
        <v>25</v>
      </c>
      <c r="B798" s="7"/>
      <c r="D798" s="6" t="s">
        <v>1011</v>
      </c>
      <c r="E798" s="6">
        <v>2</v>
      </c>
      <c r="F798" s="6">
        <v>23</v>
      </c>
      <c r="G798" s="6" t="s">
        <v>1012</v>
      </c>
      <c r="I798" s="8">
        <v>87.547686597222196</v>
      </c>
      <c r="J798" s="8">
        <v>94.790669652777794</v>
      </c>
      <c r="K798" s="6" t="s">
        <v>897</v>
      </c>
      <c r="L798" s="9">
        <v>43866</v>
      </c>
      <c r="N798" s="6">
        <v>19</v>
      </c>
      <c r="O798" s="6" t="s">
        <v>4323</v>
      </c>
      <c r="R798" s="6">
        <v>0</v>
      </c>
      <c r="S798" s="6">
        <v>0</v>
      </c>
      <c r="T798" s="10">
        <f t="shared" ref="T798:T809" si="49">AVERAGE(R798:S798)</f>
        <v>0</v>
      </c>
      <c r="V798" s="8">
        <v>-8.0675154131889339</v>
      </c>
      <c r="W798" s="8">
        <v>-53.351456047821046</v>
      </c>
      <c r="X798" s="8">
        <f t="shared" si="46"/>
        <v>11.188667257690426</v>
      </c>
    </row>
    <row r="799" spans="1:24" x14ac:dyDescent="0.35">
      <c r="A799" s="6" t="s">
        <v>25</v>
      </c>
      <c r="B799" s="7"/>
      <c r="D799" s="6" t="s">
        <v>1013</v>
      </c>
      <c r="E799" s="6">
        <v>2</v>
      </c>
      <c r="F799" s="6">
        <v>23</v>
      </c>
      <c r="G799" s="6" t="s">
        <v>1012</v>
      </c>
      <c r="I799" s="8">
        <v>87.547686597222196</v>
      </c>
      <c r="J799" s="8">
        <v>94.790669652777794</v>
      </c>
      <c r="K799" s="6" t="s">
        <v>390</v>
      </c>
      <c r="L799" s="9">
        <v>43866</v>
      </c>
      <c r="N799" s="6">
        <v>19</v>
      </c>
      <c r="O799" s="6" t="s">
        <v>4323</v>
      </c>
      <c r="R799" s="6">
        <v>0</v>
      </c>
      <c r="S799" s="6">
        <v>7.5</v>
      </c>
      <c r="T799" s="10">
        <f t="shared" si="49"/>
        <v>3.75</v>
      </c>
      <c r="V799" s="8">
        <v>-1.5952084239578248</v>
      </c>
      <c r="W799" s="8">
        <v>-10.531311960983277</v>
      </c>
      <c r="X799" s="8">
        <f t="shared" si="46"/>
        <v>2.230355430679321</v>
      </c>
    </row>
    <row r="800" spans="1:24" x14ac:dyDescent="0.35">
      <c r="A800" s="6" t="s">
        <v>25</v>
      </c>
      <c r="B800" s="7"/>
      <c r="D800" s="6" t="s">
        <v>1014</v>
      </c>
      <c r="E800" s="6">
        <v>2</v>
      </c>
      <c r="F800" s="6">
        <v>23</v>
      </c>
      <c r="G800" s="6" t="s">
        <v>1012</v>
      </c>
      <c r="I800" s="8">
        <v>87.547686597222196</v>
      </c>
      <c r="J800" s="8">
        <v>94.790669652777794</v>
      </c>
      <c r="K800" s="6" t="s">
        <v>390</v>
      </c>
      <c r="L800" s="9">
        <v>43866</v>
      </c>
      <c r="N800" s="6">
        <v>19</v>
      </c>
      <c r="O800" s="6" t="s">
        <v>4323</v>
      </c>
      <c r="R800" s="6">
        <v>7.5</v>
      </c>
      <c r="S800" s="6">
        <v>15</v>
      </c>
      <c r="T800" s="10">
        <f t="shared" si="49"/>
        <v>11.25</v>
      </c>
      <c r="V800" s="8">
        <v>-1.0713567143917087</v>
      </c>
      <c r="W800" s="8">
        <v>-6.4897803552031519</v>
      </c>
      <c r="X800" s="8">
        <f t="shared" si="46"/>
        <v>2.0810733599305173</v>
      </c>
    </row>
    <row r="801" spans="1:24" x14ac:dyDescent="0.35">
      <c r="A801" s="6" t="s">
        <v>25</v>
      </c>
      <c r="B801" s="7"/>
      <c r="D801" s="6" t="s">
        <v>1015</v>
      </c>
      <c r="E801" s="6">
        <v>2</v>
      </c>
      <c r="F801" s="6">
        <v>23</v>
      </c>
      <c r="G801" s="6" t="s">
        <v>1016</v>
      </c>
      <c r="I801" s="8">
        <v>87.547686597222196</v>
      </c>
      <c r="J801" s="8">
        <v>94.790669652777794</v>
      </c>
      <c r="K801" s="6" t="s">
        <v>390</v>
      </c>
      <c r="L801" s="9">
        <v>43866</v>
      </c>
      <c r="N801" s="6">
        <v>19</v>
      </c>
      <c r="O801" s="6" t="s">
        <v>4323</v>
      </c>
      <c r="R801" s="6">
        <v>0</v>
      </c>
      <c r="S801" s="6">
        <v>8</v>
      </c>
      <c r="T801" s="10">
        <f t="shared" si="49"/>
        <v>4</v>
      </c>
      <c r="V801" s="8">
        <v>-0.78676166276693316</v>
      </c>
      <c r="W801" s="8">
        <v>-5.5231788335323317</v>
      </c>
      <c r="X801" s="8">
        <f t="shared" si="46"/>
        <v>0.77091446860313351</v>
      </c>
    </row>
    <row r="802" spans="1:24" x14ac:dyDescent="0.35">
      <c r="A802" s="6" t="s">
        <v>25</v>
      </c>
      <c r="B802" s="7"/>
      <c r="D802" s="6" t="s">
        <v>1017</v>
      </c>
      <c r="E802" s="6">
        <v>2</v>
      </c>
      <c r="F802" s="6">
        <v>23</v>
      </c>
      <c r="G802" s="6" t="s">
        <v>1016</v>
      </c>
      <c r="I802" s="8">
        <v>87.547686597222196</v>
      </c>
      <c r="J802" s="8">
        <v>94.790669652777794</v>
      </c>
      <c r="K802" s="6" t="s">
        <v>390</v>
      </c>
      <c r="L802" s="9">
        <v>43866</v>
      </c>
      <c r="N802" s="6">
        <v>19</v>
      </c>
      <c r="O802" s="6" t="s">
        <v>4323</v>
      </c>
      <c r="R802" s="6">
        <v>8</v>
      </c>
      <c r="S802" s="6">
        <v>16</v>
      </c>
      <c r="T802" s="10">
        <f t="shared" si="49"/>
        <v>12</v>
      </c>
      <c r="V802" s="8">
        <v>-0.83646438412427893</v>
      </c>
      <c r="W802" s="8">
        <v>-5.4227969666004174</v>
      </c>
      <c r="X802" s="8">
        <f t="shared" si="46"/>
        <v>1.268918106393814</v>
      </c>
    </row>
    <row r="803" spans="1:24" x14ac:dyDescent="0.35">
      <c r="A803" s="6" t="s">
        <v>25</v>
      </c>
      <c r="B803" s="7"/>
      <c r="D803" s="6" t="s">
        <v>1018</v>
      </c>
      <c r="E803" s="6">
        <v>2</v>
      </c>
      <c r="F803" s="6">
        <v>23</v>
      </c>
      <c r="G803" s="6" t="s">
        <v>1016</v>
      </c>
      <c r="I803" s="8">
        <v>87.547686597222196</v>
      </c>
      <c r="J803" s="8">
        <v>94.790669652777794</v>
      </c>
      <c r="K803" s="6" t="s">
        <v>390</v>
      </c>
      <c r="L803" s="9">
        <v>43866</v>
      </c>
      <c r="N803" s="6">
        <v>19</v>
      </c>
      <c r="O803" s="6" t="s">
        <v>4323</v>
      </c>
      <c r="R803" s="6">
        <v>16</v>
      </c>
      <c r="S803" s="6">
        <v>24</v>
      </c>
      <c r="T803" s="10">
        <f t="shared" si="49"/>
        <v>20</v>
      </c>
      <c r="V803" s="8">
        <v>-0.71456377796888304</v>
      </c>
      <c r="W803" s="8">
        <v>-3.8357614491462702</v>
      </c>
      <c r="X803" s="8">
        <f t="shared" si="46"/>
        <v>1.8807487746047942</v>
      </c>
    </row>
    <row r="804" spans="1:24" x14ac:dyDescent="0.35">
      <c r="A804" s="6" t="s">
        <v>25</v>
      </c>
      <c r="B804" s="7"/>
      <c r="D804" s="6" t="s">
        <v>1019</v>
      </c>
      <c r="E804" s="6">
        <v>2</v>
      </c>
      <c r="F804" s="6">
        <v>23</v>
      </c>
      <c r="G804" s="6" t="s">
        <v>1016</v>
      </c>
      <c r="I804" s="8">
        <v>87.547686597222196</v>
      </c>
      <c r="J804" s="8">
        <v>94.790669652777794</v>
      </c>
      <c r="K804" s="6" t="s">
        <v>390</v>
      </c>
      <c r="L804" s="9">
        <v>43866</v>
      </c>
      <c r="N804" s="6">
        <v>19</v>
      </c>
      <c r="O804" s="6" t="s">
        <v>4323</v>
      </c>
      <c r="R804" s="6">
        <v>24</v>
      </c>
      <c r="S804" s="6">
        <v>32</v>
      </c>
      <c r="T804" s="10">
        <f t="shared" si="49"/>
        <v>28</v>
      </c>
      <c r="V804" s="8">
        <v>-0.63692564989686007</v>
      </c>
      <c r="W804" s="8">
        <v>-3.520253570365905</v>
      </c>
      <c r="X804" s="8">
        <f t="shared" si="46"/>
        <v>1.5751516288089755</v>
      </c>
    </row>
    <row r="805" spans="1:24" x14ac:dyDescent="0.35">
      <c r="A805" s="6" t="s">
        <v>25</v>
      </c>
      <c r="B805" s="7"/>
      <c r="D805" s="6" t="s">
        <v>1020</v>
      </c>
      <c r="E805" s="6">
        <v>2</v>
      </c>
      <c r="F805" s="6">
        <v>23</v>
      </c>
      <c r="G805" s="6" t="s">
        <v>1016</v>
      </c>
      <c r="I805" s="8">
        <v>87.547686597222196</v>
      </c>
      <c r="J805" s="8">
        <v>94.790669652777794</v>
      </c>
      <c r="K805" s="6" t="s">
        <v>390</v>
      </c>
      <c r="L805" s="9">
        <v>43866</v>
      </c>
      <c r="N805" s="6">
        <v>19</v>
      </c>
      <c r="O805" s="6" t="s">
        <v>4323</v>
      </c>
      <c r="R805" s="6">
        <v>32</v>
      </c>
      <c r="S805" s="6">
        <v>40</v>
      </c>
      <c r="T805" s="10">
        <f t="shared" si="49"/>
        <v>36</v>
      </c>
      <c r="V805" s="8">
        <v>-0.87661756967067761</v>
      </c>
      <c r="W805" s="8">
        <v>-6.8542455823302264</v>
      </c>
      <c r="X805" s="8">
        <f t="shared" si="46"/>
        <v>0.15869497503519447</v>
      </c>
    </row>
    <row r="806" spans="1:24" x14ac:dyDescent="0.35">
      <c r="A806" s="6" t="s">
        <v>25</v>
      </c>
      <c r="B806" s="7"/>
      <c r="D806" s="6" t="s">
        <v>1021</v>
      </c>
      <c r="E806" s="6">
        <v>2</v>
      </c>
      <c r="F806" s="6">
        <v>23</v>
      </c>
      <c r="G806" s="6" t="s">
        <v>1016</v>
      </c>
      <c r="I806" s="8">
        <v>87.547686597222196</v>
      </c>
      <c r="J806" s="8">
        <v>94.790669652777794</v>
      </c>
      <c r="K806" s="6" t="s">
        <v>390</v>
      </c>
      <c r="L806" s="9">
        <v>43866</v>
      </c>
      <c r="N806" s="6">
        <v>19</v>
      </c>
      <c r="O806" s="6" t="s">
        <v>4323</v>
      </c>
      <c r="R806" s="6">
        <v>40</v>
      </c>
      <c r="S806" s="6">
        <v>48</v>
      </c>
      <c r="T806" s="10">
        <f t="shared" si="49"/>
        <v>44</v>
      </c>
      <c r="V806" s="8">
        <v>-0.64905619524478908</v>
      </c>
      <c r="W806" s="8">
        <v>-3.9280277998924245</v>
      </c>
      <c r="X806" s="8">
        <f t="shared" si="46"/>
        <v>1.2644217620658882</v>
      </c>
    </row>
    <row r="807" spans="1:24" x14ac:dyDescent="0.35">
      <c r="A807" s="6" t="s">
        <v>25</v>
      </c>
      <c r="B807" s="7"/>
      <c r="D807" s="6" t="s">
        <v>1022</v>
      </c>
      <c r="E807" s="6">
        <v>2</v>
      </c>
      <c r="F807" s="6">
        <v>23</v>
      </c>
      <c r="G807" s="6" t="s">
        <v>1016</v>
      </c>
      <c r="I807" s="8">
        <v>87.547686597222196</v>
      </c>
      <c r="J807" s="8">
        <v>94.790669652777794</v>
      </c>
      <c r="K807" s="6" t="s">
        <v>390</v>
      </c>
      <c r="L807" s="9">
        <v>43866</v>
      </c>
      <c r="N807" s="6">
        <v>19</v>
      </c>
      <c r="O807" s="6" t="s">
        <v>4323</v>
      </c>
      <c r="R807" s="6">
        <v>48</v>
      </c>
      <c r="S807" s="6">
        <v>56</v>
      </c>
      <c r="T807" s="10">
        <f t="shared" si="49"/>
        <v>52</v>
      </c>
      <c r="V807" s="8">
        <v>-0.48159109915852516</v>
      </c>
      <c r="W807" s="8">
        <v>-2.4551768835067747</v>
      </c>
      <c r="X807" s="8">
        <f t="shared" si="46"/>
        <v>1.3975519097614266</v>
      </c>
    </row>
    <row r="808" spans="1:24" x14ac:dyDescent="0.35">
      <c r="A808" s="6" t="s">
        <v>25</v>
      </c>
      <c r="B808" s="7"/>
      <c r="D808" s="6" t="s">
        <v>1023</v>
      </c>
      <c r="E808" s="6">
        <v>2</v>
      </c>
      <c r="F808" s="6">
        <v>23</v>
      </c>
      <c r="G808" s="6" t="s">
        <v>1016</v>
      </c>
      <c r="I808" s="8">
        <v>87.547686597222196</v>
      </c>
      <c r="J808" s="8">
        <v>94.790669652777794</v>
      </c>
      <c r="K808" s="6" t="s">
        <v>390</v>
      </c>
      <c r="L808" s="9">
        <v>43866</v>
      </c>
      <c r="N808" s="6">
        <v>19</v>
      </c>
      <c r="O808" s="6" t="s">
        <v>4323</v>
      </c>
      <c r="R808" s="6">
        <v>56</v>
      </c>
      <c r="S808" s="6">
        <v>64</v>
      </c>
      <c r="T808" s="10">
        <f t="shared" si="49"/>
        <v>60</v>
      </c>
      <c r="V808" s="8">
        <v>-0.65899330972194636</v>
      </c>
      <c r="W808" s="8">
        <v>-3.7422387445449825</v>
      </c>
      <c r="X808" s="8">
        <f t="shared" si="46"/>
        <v>1.5297077332305884</v>
      </c>
    </row>
    <row r="809" spans="1:24" x14ac:dyDescent="0.35">
      <c r="A809" s="6" t="s">
        <v>25</v>
      </c>
      <c r="B809" s="7"/>
      <c r="D809" s="6" t="s">
        <v>1024</v>
      </c>
      <c r="E809" s="6">
        <v>2</v>
      </c>
      <c r="F809" s="6">
        <v>23</v>
      </c>
      <c r="G809" s="6" t="s">
        <v>1016</v>
      </c>
      <c r="I809" s="8">
        <v>87.547686597222196</v>
      </c>
      <c r="J809" s="8">
        <v>94.790669652777794</v>
      </c>
      <c r="K809" s="6" t="s">
        <v>390</v>
      </c>
      <c r="L809" s="9">
        <v>43866</v>
      </c>
      <c r="N809" s="6">
        <v>19</v>
      </c>
      <c r="O809" s="6" t="s">
        <v>4323</v>
      </c>
      <c r="R809" s="6">
        <v>64</v>
      </c>
      <c r="S809" s="6">
        <v>72</v>
      </c>
      <c r="T809" s="10">
        <f t="shared" si="49"/>
        <v>68</v>
      </c>
      <c r="V809" s="8">
        <v>-0.35429743917346029</v>
      </c>
      <c r="W809" s="8">
        <v>-1.4901336009979247</v>
      </c>
      <c r="X809" s="8">
        <f t="shared" si="46"/>
        <v>1.3442459123897577</v>
      </c>
    </row>
    <row r="810" spans="1:24" x14ac:dyDescent="0.35">
      <c r="A810" s="6" t="s">
        <v>25</v>
      </c>
      <c r="B810" s="6" t="s">
        <v>3414</v>
      </c>
      <c r="D810" s="6" t="s">
        <v>3716</v>
      </c>
      <c r="E810" s="6">
        <v>2</v>
      </c>
      <c r="F810" s="6">
        <v>23</v>
      </c>
      <c r="G810" s="6" t="s">
        <v>4018</v>
      </c>
      <c r="I810" s="8">
        <v>87.608730763888914</v>
      </c>
      <c r="J810" s="8">
        <v>93.979722916666603</v>
      </c>
      <c r="K810" s="7" t="s">
        <v>2610</v>
      </c>
      <c r="L810" s="9">
        <v>43867</v>
      </c>
      <c r="N810" s="6">
        <v>19</v>
      </c>
      <c r="O810" s="6" t="s">
        <v>4324</v>
      </c>
      <c r="V810" s="8">
        <v>-2.3492892606925961</v>
      </c>
      <c r="W810" s="8">
        <v>-16.48668285560608</v>
      </c>
      <c r="X810" s="27">
        <f t="shared" si="46"/>
        <v>2.3076312299346888</v>
      </c>
    </row>
    <row r="811" spans="1:24" x14ac:dyDescent="0.35">
      <c r="A811" s="6" t="s">
        <v>25</v>
      </c>
      <c r="B811" s="6" t="s">
        <v>3415</v>
      </c>
      <c r="D811" s="6" t="s">
        <v>3717</v>
      </c>
      <c r="E811" s="6">
        <v>2</v>
      </c>
      <c r="F811" s="6">
        <v>23</v>
      </c>
      <c r="G811" s="6" t="s">
        <v>4019</v>
      </c>
      <c r="I811" s="8">
        <v>87.640855000000002</v>
      </c>
      <c r="J811" s="8">
        <v>93.778099999999995</v>
      </c>
      <c r="K811" s="7" t="s">
        <v>2610</v>
      </c>
      <c r="L811" s="9">
        <v>43868</v>
      </c>
      <c r="N811" s="6">
        <v>19</v>
      </c>
      <c r="O811" s="6" t="s">
        <v>4277</v>
      </c>
      <c r="V811" s="8">
        <v>-2.3483097392845149</v>
      </c>
      <c r="W811" s="8">
        <v>-16.946024362945554</v>
      </c>
      <c r="X811" s="27">
        <f t="shared" si="46"/>
        <v>1.8404535513305653</v>
      </c>
    </row>
    <row r="812" spans="1:24" x14ac:dyDescent="0.35">
      <c r="A812" s="6" t="s">
        <v>25</v>
      </c>
      <c r="B812" s="6" t="s">
        <v>2812</v>
      </c>
      <c r="D812" s="6" t="s">
        <v>3117</v>
      </c>
      <c r="E812" s="6">
        <v>2</v>
      </c>
      <c r="F812" s="6">
        <v>23</v>
      </c>
      <c r="G812" s="6" t="s">
        <v>3242</v>
      </c>
      <c r="I812" s="8">
        <v>87.636323000000004</v>
      </c>
      <c r="J812" s="8">
        <v>93.749778000000006</v>
      </c>
      <c r="K812" s="6" t="s">
        <v>198</v>
      </c>
      <c r="L812" s="9">
        <v>43868</v>
      </c>
      <c r="M812" s="18">
        <v>0.2673611111111111</v>
      </c>
      <c r="N812" s="6">
        <v>19</v>
      </c>
      <c r="O812" s="6" t="s">
        <v>4277</v>
      </c>
      <c r="R812" s="6">
        <v>48</v>
      </c>
      <c r="S812" s="6">
        <v>45</v>
      </c>
      <c r="V812" s="8">
        <v>-27.851611080551145</v>
      </c>
      <c r="W812" s="8">
        <v>-206.09892683105468</v>
      </c>
      <c r="X812" s="8">
        <f t="shared" si="46"/>
        <v>16.713961813354473</v>
      </c>
    </row>
    <row r="813" spans="1:24" x14ac:dyDescent="0.35">
      <c r="A813" s="6" t="s">
        <v>25</v>
      </c>
      <c r="B813" s="6" t="s">
        <v>2813</v>
      </c>
      <c r="D813" s="6" t="s">
        <v>3117</v>
      </c>
      <c r="E813" s="6">
        <v>2</v>
      </c>
      <c r="F813" s="6">
        <v>23</v>
      </c>
      <c r="G813" s="6" t="s">
        <v>3242</v>
      </c>
      <c r="I813" s="8">
        <v>87.636323000000004</v>
      </c>
      <c r="J813" s="8">
        <v>93.749778000000006</v>
      </c>
      <c r="K813" s="6" t="s">
        <v>198</v>
      </c>
      <c r="L813" s="9">
        <v>43868</v>
      </c>
      <c r="M813" s="18">
        <v>0.2673611111111111</v>
      </c>
      <c r="N813" s="6">
        <v>19</v>
      </c>
      <c r="O813" s="6" t="s">
        <v>4277</v>
      </c>
      <c r="R813" s="6">
        <v>32</v>
      </c>
      <c r="S813" s="6">
        <v>29</v>
      </c>
      <c r="V813" s="8">
        <v>-28.549951740646357</v>
      </c>
      <c r="W813" s="8">
        <v>-212.79714005737304</v>
      </c>
      <c r="X813" s="8">
        <f t="shared" si="46"/>
        <v>15.602473867797812</v>
      </c>
    </row>
    <row r="814" spans="1:24" x14ac:dyDescent="0.35">
      <c r="A814" s="6" t="s">
        <v>25</v>
      </c>
      <c r="B814" s="6" t="s">
        <v>2814</v>
      </c>
      <c r="D814" s="6" t="s">
        <v>3117</v>
      </c>
      <c r="E814" s="6">
        <v>2</v>
      </c>
      <c r="F814" s="6">
        <v>23</v>
      </c>
      <c r="G814" s="6" t="s">
        <v>3242</v>
      </c>
      <c r="I814" s="8">
        <v>87.636323000000004</v>
      </c>
      <c r="J814" s="8">
        <v>93.749778000000006</v>
      </c>
      <c r="K814" s="6" t="s">
        <v>198</v>
      </c>
      <c r="L814" s="9">
        <v>43868</v>
      </c>
      <c r="M814" s="18">
        <v>0.2673611111111111</v>
      </c>
      <c r="N814" s="6">
        <v>19</v>
      </c>
      <c r="O814" s="6" t="s">
        <v>4277</v>
      </c>
      <c r="R814" s="6">
        <v>4.5</v>
      </c>
      <c r="S814" s="6">
        <v>0</v>
      </c>
      <c r="V814" s="8">
        <v>-12.341931829833982</v>
      </c>
      <c r="W814" s="8">
        <v>-94.680498043823235</v>
      </c>
      <c r="X814" s="8">
        <f t="shared" si="46"/>
        <v>4.054956594848619</v>
      </c>
    </row>
    <row r="815" spans="1:24" x14ac:dyDescent="0.35">
      <c r="A815" s="6" t="s">
        <v>25</v>
      </c>
      <c r="B815" s="6" t="s">
        <v>2815</v>
      </c>
      <c r="D815" s="6" t="s">
        <v>3118</v>
      </c>
      <c r="E815" s="6">
        <v>2</v>
      </c>
      <c r="F815" s="6">
        <v>23</v>
      </c>
      <c r="G815" s="6" t="s">
        <v>3243</v>
      </c>
      <c r="I815" s="8">
        <v>87.640855000000002</v>
      </c>
      <c r="J815" s="8">
        <v>93.778099999999995</v>
      </c>
      <c r="K815" s="6" t="s">
        <v>198</v>
      </c>
      <c r="L815" s="9">
        <v>43868</v>
      </c>
      <c r="M815" s="18">
        <v>0.45833333333333331</v>
      </c>
      <c r="N815" s="6">
        <v>19</v>
      </c>
      <c r="O815" s="6" t="s">
        <v>4277</v>
      </c>
      <c r="R815" s="6">
        <v>24</v>
      </c>
      <c r="S815" s="6">
        <v>21</v>
      </c>
      <c r="V815" s="8">
        <v>-33.743504738311771</v>
      </c>
      <c r="W815" s="8">
        <v>-258.73263568725588</v>
      </c>
      <c r="X815" s="8">
        <f t="shared" si="46"/>
        <v>11.215402219238285</v>
      </c>
    </row>
    <row r="816" spans="1:24" x14ac:dyDescent="0.35">
      <c r="A816" s="6" t="s">
        <v>25</v>
      </c>
      <c r="B816" s="6" t="s">
        <v>2816</v>
      </c>
      <c r="D816" s="6" t="s">
        <v>3118</v>
      </c>
      <c r="E816" s="6">
        <v>2</v>
      </c>
      <c r="F816" s="6">
        <v>23</v>
      </c>
      <c r="G816" s="6" t="s">
        <v>3243</v>
      </c>
      <c r="I816" s="8">
        <v>87.640855000000002</v>
      </c>
      <c r="J816" s="8">
        <v>93.778099999999995</v>
      </c>
      <c r="K816" s="6" t="s">
        <v>198</v>
      </c>
      <c r="L816" s="9">
        <v>43868</v>
      </c>
      <c r="M816" s="18">
        <v>0.45833333333333331</v>
      </c>
      <c r="N816" s="6">
        <v>19</v>
      </c>
      <c r="O816" s="6" t="s">
        <v>4277</v>
      </c>
      <c r="R816" s="6">
        <v>14</v>
      </c>
      <c r="S816" s="6">
        <v>12</v>
      </c>
      <c r="V816" s="8">
        <v>-31.870346539001464</v>
      </c>
      <c r="W816" s="8">
        <v>-242.3661364425659</v>
      </c>
      <c r="X816" s="8">
        <f t="shared" si="46"/>
        <v>12.596635869445805</v>
      </c>
    </row>
    <row r="817" spans="1:25" x14ac:dyDescent="0.35">
      <c r="A817" s="6" t="s">
        <v>25</v>
      </c>
      <c r="B817" s="6" t="s">
        <v>2817</v>
      </c>
      <c r="D817" s="6" t="s">
        <v>3118</v>
      </c>
      <c r="E817" s="6">
        <v>2</v>
      </c>
      <c r="F817" s="6">
        <v>23</v>
      </c>
      <c r="G817" s="6" t="s">
        <v>3243</v>
      </c>
      <c r="I817" s="8">
        <v>87.640855000000002</v>
      </c>
      <c r="J817" s="8">
        <v>93.778099999999995</v>
      </c>
      <c r="K817" s="6" t="s">
        <v>198</v>
      </c>
      <c r="L817" s="9">
        <v>43868</v>
      </c>
      <c r="M817" s="18">
        <v>0.45833333333333331</v>
      </c>
      <c r="N817" s="6">
        <v>19</v>
      </c>
      <c r="O817" s="6" t="s">
        <v>4277</v>
      </c>
      <c r="R817" s="6">
        <v>3</v>
      </c>
      <c r="S817" s="6">
        <v>0</v>
      </c>
      <c r="V817" s="8">
        <v>-2.7052007669448854</v>
      </c>
      <c r="W817" s="8">
        <v>-30.084628784942627</v>
      </c>
      <c r="X817" s="8">
        <f t="shared" si="46"/>
        <v>-8.4430226493835434</v>
      </c>
    </row>
    <row r="818" spans="1:25" x14ac:dyDescent="0.35">
      <c r="A818" s="6" t="s">
        <v>25</v>
      </c>
      <c r="B818" s="7"/>
      <c r="D818" s="6" t="s">
        <v>1025</v>
      </c>
      <c r="E818" s="6">
        <v>2</v>
      </c>
      <c r="F818" s="6">
        <v>23</v>
      </c>
      <c r="G818" s="6" t="s">
        <v>272</v>
      </c>
      <c r="I818" s="8">
        <v>87.641897638888906</v>
      </c>
      <c r="J818" s="8">
        <v>93.798568611111094</v>
      </c>
      <c r="K818" s="6" t="s">
        <v>29</v>
      </c>
      <c r="L818" s="9">
        <v>43868</v>
      </c>
      <c r="N818" s="6">
        <v>19</v>
      </c>
      <c r="O818" s="6" t="s">
        <v>4277</v>
      </c>
      <c r="R818" s="6">
        <v>0</v>
      </c>
      <c r="S818" s="6">
        <v>10</v>
      </c>
      <c r="T818" s="10">
        <f t="shared" ref="T818:T823" si="50">AVERAGE(R818:S818)</f>
        <v>5</v>
      </c>
      <c r="V818" s="8">
        <v>-8.2839884165573139</v>
      </c>
      <c r="W818" s="8">
        <v>-62.350342659759519</v>
      </c>
      <c r="X818" s="8">
        <f t="shared" si="46"/>
        <v>3.9215646726989917</v>
      </c>
    </row>
    <row r="819" spans="1:25" x14ac:dyDescent="0.35">
      <c r="A819" s="6" t="s">
        <v>25</v>
      </c>
      <c r="B819" s="7"/>
      <c r="D819" s="6" t="s">
        <v>1026</v>
      </c>
      <c r="E819" s="6">
        <v>2</v>
      </c>
      <c r="F819" s="6">
        <v>23</v>
      </c>
      <c r="G819" s="6" t="s">
        <v>272</v>
      </c>
      <c r="I819" s="8">
        <v>87.641897638888906</v>
      </c>
      <c r="J819" s="8">
        <v>93.798568611111094</v>
      </c>
      <c r="K819" s="6" t="s">
        <v>29</v>
      </c>
      <c r="L819" s="9">
        <v>43868</v>
      </c>
      <c r="N819" s="6">
        <v>19</v>
      </c>
      <c r="O819" s="6" t="s">
        <v>4277</v>
      </c>
      <c r="R819" s="6">
        <v>80</v>
      </c>
      <c r="S819" s="6">
        <v>90</v>
      </c>
      <c r="T819" s="10">
        <f t="shared" si="50"/>
        <v>85</v>
      </c>
      <c r="V819" s="8">
        <v>-5.2689900830983773E-2</v>
      </c>
      <c r="W819" s="8">
        <v>0.21771564903259294</v>
      </c>
      <c r="X819" s="8">
        <f t="shared" si="46"/>
        <v>0.63923485568046312</v>
      </c>
    </row>
    <row r="820" spans="1:25" x14ac:dyDescent="0.35">
      <c r="A820" s="6" t="s">
        <v>25</v>
      </c>
      <c r="B820" s="7"/>
      <c r="D820" s="6" t="s">
        <v>1027</v>
      </c>
      <c r="E820" s="6">
        <v>2</v>
      </c>
      <c r="F820" s="6">
        <v>23</v>
      </c>
      <c r="G820" s="6" t="s">
        <v>272</v>
      </c>
      <c r="I820" s="8">
        <v>87.641897638888906</v>
      </c>
      <c r="J820" s="8">
        <v>93.798568611111094</v>
      </c>
      <c r="K820" s="6" t="s">
        <v>29</v>
      </c>
      <c r="L820" s="9">
        <v>43868</v>
      </c>
      <c r="N820" s="6">
        <v>19</v>
      </c>
      <c r="O820" s="6" t="s">
        <v>4277</v>
      </c>
      <c r="R820" s="6">
        <v>90</v>
      </c>
      <c r="S820" s="6">
        <v>101</v>
      </c>
      <c r="T820" s="10">
        <f t="shared" si="50"/>
        <v>95.5</v>
      </c>
      <c r="V820" s="8">
        <v>-0.15245204727411318</v>
      </c>
      <c r="W820" s="8">
        <v>-0.32566341934203996</v>
      </c>
      <c r="X820" s="8">
        <f t="shared" si="46"/>
        <v>0.89395295885086545</v>
      </c>
    </row>
    <row r="821" spans="1:25" x14ac:dyDescent="0.35">
      <c r="A821" s="6" t="s">
        <v>25</v>
      </c>
      <c r="B821" s="7"/>
      <c r="D821" s="6" t="s">
        <v>1028</v>
      </c>
      <c r="E821" s="6">
        <v>2</v>
      </c>
      <c r="F821" s="6">
        <v>23</v>
      </c>
      <c r="G821" s="6" t="s">
        <v>272</v>
      </c>
      <c r="I821" s="8">
        <v>87.641897638888906</v>
      </c>
      <c r="J821" s="8">
        <v>93.798568611111094</v>
      </c>
      <c r="K821" s="6" t="s">
        <v>29</v>
      </c>
      <c r="L821" s="9">
        <v>43868</v>
      </c>
      <c r="N821" s="6">
        <v>19</v>
      </c>
      <c r="O821" s="6" t="s">
        <v>4277</v>
      </c>
      <c r="R821" s="6">
        <v>101</v>
      </c>
      <c r="S821" s="6">
        <v>112</v>
      </c>
      <c r="T821" s="10">
        <f t="shared" si="50"/>
        <v>106.5</v>
      </c>
      <c r="V821" s="8">
        <v>-0.29087632124185542</v>
      </c>
      <c r="W821" s="8">
        <v>-1.1625821290969842</v>
      </c>
      <c r="X821" s="8">
        <f t="shared" si="46"/>
        <v>1.1644284408378591</v>
      </c>
    </row>
    <row r="822" spans="1:25" x14ac:dyDescent="0.35">
      <c r="A822" s="6" t="s">
        <v>25</v>
      </c>
      <c r="B822" s="7"/>
      <c r="D822" s="6" t="s">
        <v>1029</v>
      </c>
      <c r="E822" s="6">
        <v>2</v>
      </c>
      <c r="F822" s="6">
        <v>23</v>
      </c>
      <c r="G822" s="6" t="s">
        <v>272</v>
      </c>
      <c r="I822" s="8">
        <v>87.641897638888906</v>
      </c>
      <c r="J822" s="8">
        <v>93.798568611111094</v>
      </c>
      <c r="K822" s="6" t="s">
        <v>29</v>
      </c>
      <c r="L822" s="9">
        <v>43868</v>
      </c>
      <c r="N822" s="6">
        <v>19</v>
      </c>
      <c r="O822" s="6" t="s">
        <v>4277</v>
      </c>
      <c r="R822" s="6">
        <v>112</v>
      </c>
      <c r="S822" s="6">
        <v>125</v>
      </c>
      <c r="T822" s="10">
        <f t="shared" si="50"/>
        <v>118.5</v>
      </c>
      <c r="V822" s="8">
        <v>-0.22160692952632899</v>
      </c>
      <c r="W822" s="8">
        <v>-1.0696690011978138</v>
      </c>
      <c r="X822" s="8">
        <f t="shared" si="46"/>
        <v>0.70318643501281808</v>
      </c>
    </row>
    <row r="823" spans="1:25" ht="14.25" customHeight="1" x14ac:dyDescent="0.35">
      <c r="A823" s="6" t="s">
        <v>25</v>
      </c>
      <c r="B823" s="7" t="s">
        <v>1030</v>
      </c>
      <c r="D823" s="6" t="s">
        <v>1031</v>
      </c>
      <c r="E823" s="6">
        <v>2</v>
      </c>
      <c r="F823" s="6">
        <v>23</v>
      </c>
      <c r="G823" s="6" t="s">
        <v>60</v>
      </c>
      <c r="I823" s="8">
        <v>87.678803888888893</v>
      </c>
      <c r="J823" s="8">
        <v>93.745612569444404</v>
      </c>
      <c r="K823" s="7" t="s">
        <v>2610</v>
      </c>
      <c r="L823" s="9">
        <v>43869</v>
      </c>
      <c r="N823" s="6">
        <v>19</v>
      </c>
      <c r="O823" s="6" t="s">
        <v>4307</v>
      </c>
      <c r="Q823" s="10">
        <v>500</v>
      </c>
      <c r="R823" s="10"/>
      <c r="S823" s="10">
        <v>500</v>
      </c>
      <c r="T823" s="10">
        <f t="shared" si="50"/>
        <v>500</v>
      </c>
      <c r="U823" s="11"/>
      <c r="V823" s="8">
        <v>-2.4430659645080568</v>
      </c>
      <c r="W823" s="8">
        <v>-16.947342830657959</v>
      </c>
      <c r="X823" s="8">
        <f t="shared" si="46"/>
        <v>2.5971848854064952</v>
      </c>
    </row>
    <row r="824" spans="1:25" x14ac:dyDescent="0.35">
      <c r="A824" s="6" t="s">
        <v>25</v>
      </c>
      <c r="B824" s="6" t="s">
        <v>3416</v>
      </c>
      <c r="D824" s="6" t="s">
        <v>3718</v>
      </c>
      <c r="E824" s="6">
        <v>2</v>
      </c>
      <c r="F824" s="6">
        <v>23</v>
      </c>
      <c r="G824" s="6" t="s">
        <v>4020</v>
      </c>
      <c r="I824" s="8">
        <v>87.678803888888893</v>
      </c>
      <c r="J824" s="8">
        <v>93.745612569444404</v>
      </c>
      <c r="K824" s="7" t="s">
        <v>2610</v>
      </c>
      <c r="L824" s="9">
        <v>43869</v>
      </c>
      <c r="N824" s="6">
        <v>19</v>
      </c>
      <c r="O824" s="6" t="s">
        <v>4307</v>
      </c>
      <c r="V824" s="8">
        <v>-2.3255301109027871</v>
      </c>
      <c r="W824" s="8">
        <v>-17.22353866291046</v>
      </c>
      <c r="X824" s="27">
        <f t="shared" si="46"/>
        <v>1.3807022243118361</v>
      </c>
    </row>
    <row r="825" spans="1:25" x14ac:dyDescent="0.35">
      <c r="A825" s="6" t="s">
        <v>25</v>
      </c>
      <c r="B825" s="6" t="s">
        <v>2805</v>
      </c>
      <c r="D825" s="6" t="s">
        <v>3114</v>
      </c>
      <c r="E825" s="6">
        <v>2</v>
      </c>
      <c r="F825" s="6">
        <v>23</v>
      </c>
      <c r="G825" s="6" t="s">
        <v>3244</v>
      </c>
      <c r="I825" s="8">
        <v>87.408452999999994</v>
      </c>
      <c r="J825" s="8">
        <v>93.196675999999997</v>
      </c>
      <c r="K825" s="6" t="s">
        <v>198</v>
      </c>
      <c r="L825" s="9">
        <v>43870</v>
      </c>
      <c r="M825" s="18">
        <v>0.2673611111111111</v>
      </c>
      <c r="N825" s="6">
        <v>19</v>
      </c>
      <c r="O825" s="6" t="s">
        <v>4325</v>
      </c>
      <c r="R825" s="6">
        <v>23</v>
      </c>
      <c r="S825" s="6">
        <v>19</v>
      </c>
      <c r="V825" s="8">
        <v>-20.620479364013669</v>
      </c>
      <c r="W825" s="8">
        <v>-141.7734026916504</v>
      </c>
      <c r="X825" s="8">
        <f t="shared" si="46"/>
        <v>23.190432220458945</v>
      </c>
    </row>
    <row r="826" spans="1:25" x14ac:dyDescent="0.35">
      <c r="A826" s="6" t="s">
        <v>25</v>
      </c>
      <c r="B826" s="6" t="s">
        <v>2806</v>
      </c>
      <c r="D826" s="6" t="s">
        <v>3114</v>
      </c>
      <c r="E826" s="6">
        <v>2</v>
      </c>
      <c r="F826" s="6">
        <v>23</v>
      </c>
      <c r="G826" s="6" t="s">
        <v>3244</v>
      </c>
      <c r="I826" s="8">
        <v>87.408452999999994</v>
      </c>
      <c r="J826" s="8">
        <v>93.196675999999997</v>
      </c>
      <c r="K826" s="6" t="s">
        <v>198</v>
      </c>
      <c r="L826" s="9">
        <v>43870</v>
      </c>
      <c r="M826" s="18">
        <v>0.2673611111111111</v>
      </c>
      <c r="N826" s="6">
        <v>19</v>
      </c>
      <c r="O826" s="6" t="s">
        <v>4325</v>
      </c>
      <c r="R826" s="6">
        <v>9.5</v>
      </c>
      <c r="S826" s="6">
        <v>6.5</v>
      </c>
      <c r="V826" s="8">
        <v>-4.8514050370216379</v>
      </c>
      <c r="W826" s="8">
        <v>-44.519709038543702</v>
      </c>
      <c r="X826" s="8">
        <f t="shared" si="46"/>
        <v>-5.7084687423705986</v>
      </c>
      <c r="Y826" s="6" t="s">
        <v>3183</v>
      </c>
    </row>
    <row r="827" spans="1:25" x14ac:dyDescent="0.35">
      <c r="A827" s="6" t="s">
        <v>25</v>
      </c>
      <c r="B827" s="6" t="s">
        <v>3417</v>
      </c>
      <c r="D827" s="6" t="s">
        <v>3719</v>
      </c>
      <c r="E827" s="6">
        <v>2</v>
      </c>
      <c r="F827" s="6">
        <v>24</v>
      </c>
      <c r="G827" s="6" t="s">
        <v>4021</v>
      </c>
      <c r="I827" s="8">
        <v>87.785799999999995</v>
      </c>
      <c r="J827" s="8">
        <v>91.806571000000005</v>
      </c>
      <c r="K827" s="7" t="s">
        <v>2610</v>
      </c>
      <c r="L827" s="9">
        <v>43871</v>
      </c>
      <c r="N827" s="6">
        <v>20</v>
      </c>
      <c r="O827" s="6" t="s">
        <v>4294</v>
      </c>
      <c r="V827" s="8">
        <v>-2.3874003902149203</v>
      </c>
      <c r="W827" s="8">
        <v>-16.815784356117248</v>
      </c>
      <c r="X827" s="27">
        <f t="shared" si="46"/>
        <v>2.2834187656021143</v>
      </c>
    </row>
    <row r="828" spans="1:25" x14ac:dyDescent="0.35">
      <c r="A828" s="6" t="s">
        <v>25</v>
      </c>
      <c r="B828" s="6" t="s">
        <v>2818</v>
      </c>
      <c r="D828" s="6" t="s">
        <v>3119</v>
      </c>
      <c r="E828" s="6">
        <v>2</v>
      </c>
      <c r="F828" s="6">
        <v>24</v>
      </c>
      <c r="G828" s="6" t="s">
        <v>3245</v>
      </c>
      <c r="I828" s="8">
        <v>87.777867000000001</v>
      </c>
      <c r="J828" s="8">
        <v>92.017268999999999</v>
      </c>
      <c r="K828" s="6" t="s">
        <v>198</v>
      </c>
      <c r="L828" s="9">
        <v>43871</v>
      </c>
      <c r="M828" s="18">
        <v>0.27499999999999997</v>
      </c>
      <c r="N828" s="6">
        <v>20</v>
      </c>
      <c r="O828" s="6" t="s">
        <v>4294</v>
      </c>
      <c r="R828" s="6">
        <v>9</v>
      </c>
      <c r="S828" s="6">
        <v>6</v>
      </c>
      <c r="V828" s="8">
        <v>-29.859628763580318</v>
      </c>
      <c r="W828" s="8">
        <v>-223.13008485107423</v>
      </c>
      <c r="X828" s="8">
        <f t="shared" si="46"/>
        <v>15.746945257568314</v>
      </c>
    </row>
    <row r="829" spans="1:25" x14ac:dyDescent="0.35">
      <c r="A829" s="6" t="s">
        <v>25</v>
      </c>
      <c r="B829" s="6" t="s">
        <v>2819</v>
      </c>
      <c r="D829" s="6" t="s">
        <v>3119</v>
      </c>
      <c r="E829" s="6">
        <v>2</v>
      </c>
      <c r="F829" s="6">
        <v>24</v>
      </c>
      <c r="G829" s="6" t="s">
        <v>3245</v>
      </c>
      <c r="I829" s="8">
        <v>87.777867000000001</v>
      </c>
      <c r="J829" s="8">
        <v>92.017268999999999</v>
      </c>
      <c r="K829" s="6" t="s">
        <v>198</v>
      </c>
      <c r="L829" s="9">
        <v>43871</v>
      </c>
      <c r="M829" s="18">
        <v>0.27499999999999997</v>
      </c>
      <c r="N829" s="6">
        <v>20</v>
      </c>
      <c r="O829" s="6" t="s">
        <v>4294</v>
      </c>
      <c r="R829" s="6">
        <v>6</v>
      </c>
      <c r="S829" s="6">
        <v>2.5</v>
      </c>
      <c r="V829" s="8">
        <v>-16.322520643615718</v>
      </c>
      <c r="W829" s="8">
        <v>-119.75312427978515</v>
      </c>
      <c r="X829" s="8">
        <f t="shared" si="46"/>
        <v>10.827040869140589</v>
      </c>
    </row>
    <row r="830" spans="1:25" x14ac:dyDescent="0.35">
      <c r="A830" s="6" t="s">
        <v>25</v>
      </c>
      <c r="B830" s="6" t="s">
        <v>2820</v>
      </c>
      <c r="D830" s="6" t="s">
        <v>3119</v>
      </c>
      <c r="E830" s="6">
        <v>2</v>
      </c>
      <c r="F830" s="6">
        <v>24</v>
      </c>
      <c r="G830" s="6" t="s">
        <v>3245</v>
      </c>
      <c r="I830" s="8">
        <v>87.777867000000001</v>
      </c>
      <c r="J830" s="8">
        <v>92.017268999999999</v>
      </c>
      <c r="K830" s="6" t="s">
        <v>198</v>
      </c>
      <c r="L830" s="9">
        <v>43871</v>
      </c>
      <c r="M830" s="18">
        <v>0.27499999999999997</v>
      </c>
      <c r="N830" s="6">
        <v>20</v>
      </c>
      <c r="O830" s="6" t="s">
        <v>4294</v>
      </c>
      <c r="R830" s="6">
        <v>2.5</v>
      </c>
      <c r="S830" s="6">
        <v>0</v>
      </c>
      <c r="V830" s="8">
        <v>-5.7725597414016718</v>
      </c>
      <c r="W830" s="8">
        <v>-47.503480046081542</v>
      </c>
      <c r="X830" s="8">
        <f t="shared" si="46"/>
        <v>-1.3230021148681672</v>
      </c>
    </row>
    <row r="831" spans="1:25" x14ac:dyDescent="0.35">
      <c r="A831" s="6" t="s">
        <v>25</v>
      </c>
      <c r="B831" s="6" t="s">
        <v>2822</v>
      </c>
      <c r="D831" s="6" t="s">
        <v>3121</v>
      </c>
      <c r="E831" s="6">
        <v>2</v>
      </c>
      <c r="F831" s="6">
        <v>24</v>
      </c>
      <c r="G831" s="6" t="s">
        <v>3246</v>
      </c>
      <c r="I831" s="8">
        <v>87.785799999999995</v>
      </c>
      <c r="J831" s="8">
        <v>91.806571000000005</v>
      </c>
      <c r="K831" s="6" t="s">
        <v>198</v>
      </c>
      <c r="L831" s="9">
        <v>43871</v>
      </c>
      <c r="M831" s="18">
        <v>0.42708333333333331</v>
      </c>
      <c r="N831" s="6">
        <v>20</v>
      </c>
      <c r="O831" s="6" t="s">
        <v>4294</v>
      </c>
      <c r="R831" s="6">
        <v>13</v>
      </c>
      <c r="S831" s="6">
        <v>9</v>
      </c>
      <c r="V831" s="8">
        <v>-24.429352268218992</v>
      </c>
      <c r="W831" s="8">
        <v>-177.5284245300293</v>
      </c>
      <c r="X831" s="8">
        <f t="shared" si="46"/>
        <v>17.906393615722635</v>
      </c>
    </row>
    <row r="832" spans="1:25" x14ac:dyDescent="0.35">
      <c r="A832" s="6" t="s">
        <v>25</v>
      </c>
      <c r="B832" s="6" t="s">
        <v>2823</v>
      </c>
      <c r="D832" s="6" t="s">
        <v>3121</v>
      </c>
      <c r="E832" s="6">
        <v>2</v>
      </c>
      <c r="F832" s="6">
        <v>24</v>
      </c>
      <c r="G832" s="6" t="s">
        <v>3246</v>
      </c>
      <c r="I832" s="8">
        <v>87.785799999999995</v>
      </c>
      <c r="J832" s="8">
        <v>91.806571000000005</v>
      </c>
      <c r="K832" s="6" t="s">
        <v>198</v>
      </c>
      <c r="L832" s="9">
        <v>43871</v>
      </c>
      <c r="M832" s="18">
        <v>0.42708333333333331</v>
      </c>
      <c r="N832" s="6">
        <v>20</v>
      </c>
      <c r="O832" s="6" t="s">
        <v>4294</v>
      </c>
      <c r="R832" s="6">
        <v>9</v>
      </c>
      <c r="S832" s="6">
        <v>6</v>
      </c>
      <c r="V832" s="8">
        <v>-19.92430241012573</v>
      </c>
      <c r="W832" s="8">
        <v>-142.71029174804687</v>
      </c>
      <c r="X832" s="8">
        <f t="shared" si="46"/>
        <v>16.684127532958968</v>
      </c>
    </row>
    <row r="833" spans="1:24" x14ac:dyDescent="0.35">
      <c r="A833" s="6" t="s">
        <v>25</v>
      </c>
      <c r="B833" s="6" t="s">
        <v>2824</v>
      </c>
      <c r="D833" s="6" t="s">
        <v>3121</v>
      </c>
      <c r="E833" s="6">
        <v>2</v>
      </c>
      <c r="F833" s="6">
        <v>24</v>
      </c>
      <c r="G833" s="6" t="s">
        <v>3246</v>
      </c>
      <c r="I833" s="8">
        <v>87.785799999999995</v>
      </c>
      <c r="J833" s="8">
        <v>91.806571000000005</v>
      </c>
      <c r="K833" s="6" t="s">
        <v>198</v>
      </c>
      <c r="L833" s="9">
        <v>43871</v>
      </c>
      <c r="M833" s="18">
        <v>0.42708333333333331</v>
      </c>
      <c r="N833" s="6">
        <v>20</v>
      </c>
      <c r="O833" s="6" t="s">
        <v>4294</v>
      </c>
      <c r="R833" s="6">
        <v>6</v>
      </c>
      <c r="S833" s="6">
        <v>0</v>
      </c>
      <c r="V833" s="8">
        <v>-10.984827255249025</v>
      </c>
      <c r="W833" s="8">
        <v>-97.379580535888664</v>
      </c>
      <c r="X833" s="8">
        <f t="shared" si="46"/>
        <v>-9.5009624938964663</v>
      </c>
    </row>
    <row r="834" spans="1:24" x14ac:dyDescent="0.35">
      <c r="A834" s="6" t="s">
        <v>25</v>
      </c>
      <c r="B834" s="6" t="s">
        <v>3418</v>
      </c>
      <c r="D834" s="6" t="s">
        <v>3720</v>
      </c>
      <c r="E834" s="6">
        <v>2</v>
      </c>
      <c r="F834" s="6">
        <v>24</v>
      </c>
      <c r="G834" s="6" t="s">
        <v>4022</v>
      </c>
      <c r="I834" s="8">
        <v>87.824980972222207</v>
      </c>
      <c r="J834" s="8">
        <v>89.805567013888918</v>
      </c>
      <c r="K834" s="7" t="s">
        <v>2610</v>
      </c>
      <c r="L834" s="9">
        <v>43872</v>
      </c>
      <c r="N834" s="6">
        <v>20</v>
      </c>
      <c r="O834" s="6" t="s">
        <v>4272</v>
      </c>
      <c r="V834" s="8">
        <v>-2.3624141162681576</v>
      </c>
      <c r="W834" s="8">
        <v>-17.569926379776003</v>
      </c>
      <c r="X834" s="27">
        <f t="shared" ref="X834:X897" si="51">W834-(8*V834)</f>
        <v>1.3293865503692572</v>
      </c>
    </row>
    <row r="835" spans="1:24" x14ac:dyDescent="0.35">
      <c r="A835" s="6" t="s">
        <v>25</v>
      </c>
      <c r="B835" s="6" t="s">
        <v>3419</v>
      </c>
      <c r="D835" s="6" t="s">
        <v>3721</v>
      </c>
      <c r="E835" s="6">
        <v>2</v>
      </c>
      <c r="F835" s="6">
        <v>24</v>
      </c>
      <c r="G835" s="6" t="s">
        <v>4023</v>
      </c>
      <c r="I835" s="8">
        <v>87.882876180555598</v>
      </c>
      <c r="J835" s="8">
        <v>87.424340833333304</v>
      </c>
      <c r="K835" s="7" t="s">
        <v>2610</v>
      </c>
      <c r="L835" s="9">
        <v>43873</v>
      </c>
      <c r="N835" s="6">
        <v>20</v>
      </c>
      <c r="O835" s="6" t="s">
        <v>4313</v>
      </c>
      <c r="V835" s="8">
        <v>-2.3521268178272243</v>
      </c>
      <c r="W835" s="8">
        <v>-17.741819575881959</v>
      </c>
      <c r="X835" s="27">
        <f t="shared" si="51"/>
        <v>1.075194966735836</v>
      </c>
    </row>
    <row r="836" spans="1:24" x14ac:dyDescent="0.35">
      <c r="A836" s="6" t="s">
        <v>25</v>
      </c>
      <c r="B836" s="6" t="s">
        <v>2825</v>
      </c>
      <c r="D836" s="6" t="s">
        <v>3122</v>
      </c>
      <c r="E836" s="6">
        <v>2</v>
      </c>
      <c r="F836" s="6">
        <v>24</v>
      </c>
      <c r="G836" s="6" t="s">
        <v>3247</v>
      </c>
      <c r="I836" s="8">
        <v>87.861033000000006</v>
      </c>
      <c r="J836" s="8">
        <v>88.024283999999994</v>
      </c>
      <c r="K836" s="6" t="s">
        <v>198</v>
      </c>
      <c r="L836" s="9">
        <v>43873</v>
      </c>
      <c r="M836" s="18">
        <v>0.27083333333333331</v>
      </c>
      <c r="N836" s="6">
        <v>20</v>
      </c>
      <c r="O836" s="6" t="s">
        <v>4313</v>
      </c>
      <c r="R836" s="6">
        <v>62</v>
      </c>
      <c r="S836" s="6">
        <v>58</v>
      </c>
      <c r="V836" s="8">
        <v>-26.887475798034671</v>
      </c>
      <c r="W836" s="8">
        <v>-202.14292684936524</v>
      </c>
      <c r="X836" s="8">
        <f t="shared" si="51"/>
        <v>12.956879534912133</v>
      </c>
    </row>
    <row r="837" spans="1:24" x14ac:dyDescent="0.35">
      <c r="A837" s="6" t="s">
        <v>25</v>
      </c>
      <c r="B837" s="6" t="s">
        <v>2826</v>
      </c>
      <c r="D837" s="6" t="s">
        <v>3122</v>
      </c>
      <c r="E837" s="6">
        <v>2</v>
      </c>
      <c r="F837" s="6">
        <v>24</v>
      </c>
      <c r="G837" s="6" t="s">
        <v>3247</v>
      </c>
      <c r="I837" s="8">
        <v>87.861033000000006</v>
      </c>
      <c r="J837" s="8">
        <v>88.024283999999994</v>
      </c>
      <c r="K837" s="6" t="s">
        <v>198</v>
      </c>
      <c r="L837" s="9">
        <v>43873</v>
      </c>
      <c r="M837" s="18">
        <v>0.27083333333333331</v>
      </c>
      <c r="N837" s="6">
        <v>20</v>
      </c>
      <c r="O837" s="6" t="s">
        <v>4313</v>
      </c>
      <c r="R837" s="6">
        <v>37</v>
      </c>
      <c r="S837" s="6">
        <v>34</v>
      </c>
      <c r="V837" s="8">
        <v>-26.031748903656013</v>
      </c>
      <c r="W837" s="8">
        <v>-196.36607711791993</v>
      </c>
      <c r="X837" s="8">
        <f t="shared" si="51"/>
        <v>11.887914111328172</v>
      </c>
    </row>
    <row r="838" spans="1:24" x14ac:dyDescent="0.35">
      <c r="A838" s="6" t="s">
        <v>25</v>
      </c>
      <c r="B838" s="6" t="s">
        <v>2827</v>
      </c>
      <c r="D838" s="6" t="s">
        <v>3122</v>
      </c>
      <c r="E838" s="6">
        <v>2</v>
      </c>
      <c r="F838" s="6">
        <v>24</v>
      </c>
      <c r="G838" s="6" t="s">
        <v>3247</v>
      </c>
      <c r="I838" s="8">
        <v>87.861033000000006</v>
      </c>
      <c r="J838" s="8">
        <v>88.024283999999994</v>
      </c>
      <c r="K838" s="6" t="s">
        <v>198</v>
      </c>
      <c r="L838" s="9">
        <v>43873</v>
      </c>
      <c r="M838" s="18">
        <v>0.27083333333333331</v>
      </c>
      <c r="N838" s="6">
        <v>20</v>
      </c>
      <c r="O838" s="6" t="s">
        <v>4313</v>
      </c>
      <c r="R838" s="6">
        <v>4</v>
      </c>
      <c r="S838" s="6">
        <v>0</v>
      </c>
      <c r="V838" s="8">
        <v>-10.453608967208861</v>
      </c>
      <c r="W838" s="8">
        <v>-89.167944213867187</v>
      </c>
      <c r="X838" s="8">
        <f t="shared" si="51"/>
        <v>-5.5390724761962957</v>
      </c>
    </row>
    <row r="839" spans="1:24" x14ac:dyDescent="0.35">
      <c r="A839" s="6" t="s">
        <v>25</v>
      </c>
      <c r="B839" s="7"/>
      <c r="D839" s="6" t="s">
        <v>1032</v>
      </c>
      <c r="E839" s="6">
        <v>2</v>
      </c>
      <c r="F839" s="6">
        <v>24</v>
      </c>
      <c r="G839" s="6" t="s">
        <v>57</v>
      </c>
      <c r="I839" s="8">
        <v>87.882876180555598</v>
      </c>
      <c r="J839" s="8">
        <v>87.424340833333304</v>
      </c>
      <c r="K839" s="6" t="s">
        <v>29</v>
      </c>
      <c r="L839" s="9">
        <v>43873</v>
      </c>
      <c r="N839" s="6">
        <v>20</v>
      </c>
      <c r="O839" s="6" t="s">
        <v>4313</v>
      </c>
      <c r="R839" s="6">
        <v>0</v>
      </c>
      <c r="S839" s="6">
        <v>10</v>
      </c>
      <c r="T839" s="10">
        <f t="shared" ref="T839:T857" si="52">AVERAGE(R839:S839)</f>
        <v>5</v>
      </c>
      <c r="V839" s="8">
        <v>-5.4637184638023379</v>
      </c>
      <c r="W839" s="8">
        <v>-40.748498699188232</v>
      </c>
      <c r="X839" s="8">
        <f t="shared" si="51"/>
        <v>2.9612490112304712</v>
      </c>
    </row>
    <row r="840" spans="1:24" x14ac:dyDescent="0.35">
      <c r="A840" s="6" t="s">
        <v>25</v>
      </c>
      <c r="B840" s="7"/>
      <c r="D840" s="6" t="s">
        <v>1033</v>
      </c>
      <c r="E840" s="6">
        <v>2</v>
      </c>
      <c r="F840" s="6">
        <v>24</v>
      </c>
      <c r="G840" s="6" t="s">
        <v>57</v>
      </c>
      <c r="I840" s="8">
        <v>87.882876180555598</v>
      </c>
      <c r="J840" s="8">
        <v>87.424340833333304</v>
      </c>
      <c r="K840" s="6" t="s">
        <v>29</v>
      </c>
      <c r="L840" s="9">
        <v>43873</v>
      </c>
      <c r="N840" s="6">
        <v>20</v>
      </c>
      <c r="O840" s="6" t="s">
        <v>4313</v>
      </c>
      <c r="R840" s="6">
        <v>10</v>
      </c>
      <c r="S840" s="6">
        <v>20</v>
      </c>
      <c r="T840" s="10">
        <f t="shared" si="52"/>
        <v>15</v>
      </c>
      <c r="V840" s="8">
        <v>-5.3723876899719247</v>
      </c>
      <c r="W840" s="8">
        <v>-39.438279579162597</v>
      </c>
      <c r="X840" s="8">
        <f t="shared" si="51"/>
        <v>3.5408219406128012</v>
      </c>
    </row>
    <row r="841" spans="1:24" x14ac:dyDescent="0.35">
      <c r="A841" s="6" t="s">
        <v>25</v>
      </c>
      <c r="B841" s="7"/>
      <c r="D841" s="6" t="s">
        <v>1034</v>
      </c>
      <c r="E841" s="6">
        <v>2</v>
      </c>
      <c r="F841" s="6">
        <v>24</v>
      </c>
      <c r="G841" s="6" t="s">
        <v>57</v>
      </c>
      <c r="I841" s="8">
        <v>87.882876180555598</v>
      </c>
      <c r="J841" s="8">
        <v>87.424340833333304</v>
      </c>
      <c r="K841" s="6" t="s">
        <v>29</v>
      </c>
      <c r="L841" s="9">
        <v>43873</v>
      </c>
      <c r="N841" s="6">
        <v>20</v>
      </c>
      <c r="O841" s="6" t="s">
        <v>4313</v>
      </c>
      <c r="R841" s="6">
        <v>20</v>
      </c>
      <c r="S841" s="6">
        <v>30</v>
      </c>
      <c r="T841" s="10">
        <f t="shared" si="52"/>
        <v>25</v>
      </c>
      <c r="V841" s="8">
        <v>-4.9581703180313124</v>
      </c>
      <c r="W841" s="8">
        <v>-36.462531391143798</v>
      </c>
      <c r="X841" s="8">
        <f t="shared" si="51"/>
        <v>3.2028311531067004</v>
      </c>
    </row>
    <row r="842" spans="1:24" x14ac:dyDescent="0.35">
      <c r="A842" s="6" t="s">
        <v>25</v>
      </c>
      <c r="B842" s="7"/>
      <c r="D842" s="6" t="s">
        <v>1035</v>
      </c>
      <c r="E842" s="6">
        <v>2</v>
      </c>
      <c r="F842" s="6">
        <v>24</v>
      </c>
      <c r="G842" s="6" t="s">
        <v>57</v>
      </c>
      <c r="I842" s="8">
        <v>87.882876180555598</v>
      </c>
      <c r="J842" s="8">
        <v>87.424340833333304</v>
      </c>
      <c r="K842" s="6" t="s">
        <v>29</v>
      </c>
      <c r="L842" s="9">
        <v>43873</v>
      </c>
      <c r="N842" s="6">
        <v>20</v>
      </c>
      <c r="O842" s="6" t="s">
        <v>4313</v>
      </c>
      <c r="R842" s="6">
        <v>30</v>
      </c>
      <c r="S842" s="6">
        <v>40</v>
      </c>
      <c r="T842" s="10">
        <f t="shared" si="52"/>
        <v>35</v>
      </c>
      <c r="V842" s="8">
        <v>-2.2879010695457462</v>
      </c>
      <c r="W842" s="8">
        <v>-15.772565730094909</v>
      </c>
      <c r="X842" s="8">
        <f t="shared" si="51"/>
        <v>2.5306428262710607</v>
      </c>
    </row>
    <row r="843" spans="1:24" x14ac:dyDescent="0.35">
      <c r="A843" s="6" t="s">
        <v>25</v>
      </c>
      <c r="B843" s="7"/>
      <c r="D843" s="6" t="s">
        <v>1036</v>
      </c>
      <c r="E843" s="6">
        <v>2</v>
      </c>
      <c r="F843" s="6">
        <v>24</v>
      </c>
      <c r="G843" s="6" t="s">
        <v>57</v>
      </c>
      <c r="I843" s="8">
        <v>87.882876180555598</v>
      </c>
      <c r="J843" s="8">
        <v>87.424340833333304</v>
      </c>
      <c r="K843" s="6" t="s">
        <v>29</v>
      </c>
      <c r="L843" s="9">
        <v>43873</v>
      </c>
      <c r="N843" s="6">
        <v>20</v>
      </c>
      <c r="O843" s="6" t="s">
        <v>4313</v>
      </c>
      <c r="R843" s="6">
        <v>40</v>
      </c>
      <c r="S843" s="6">
        <v>50</v>
      </c>
      <c r="T843" s="10">
        <f t="shared" si="52"/>
        <v>45</v>
      </c>
      <c r="V843" s="8">
        <v>-8.0059761419892184E-2</v>
      </c>
      <c r="W843" s="8">
        <v>0.9889536995887761</v>
      </c>
      <c r="X843" s="8">
        <f t="shared" si="51"/>
        <v>1.6294317909479137</v>
      </c>
    </row>
    <row r="844" spans="1:24" x14ac:dyDescent="0.35">
      <c r="A844" s="6" t="s">
        <v>25</v>
      </c>
      <c r="B844" s="7"/>
      <c r="D844" s="6" t="s">
        <v>1037</v>
      </c>
      <c r="E844" s="6">
        <v>2</v>
      </c>
      <c r="F844" s="6">
        <v>24</v>
      </c>
      <c r="G844" s="6" t="s">
        <v>57</v>
      </c>
      <c r="I844" s="8">
        <v>87.882876180555598</v>
      </c>
      <c r="J844" s="8">
        <v>87.424340833333304</v>
      </c>
      <c r="K844" s="6" t="s">
        <v>29</v>
      </c>
      <c r="L844" s="9">
        <v>43873</v>
      </c>
      <c r="N844" s="6">
        <v>20</v>
      </c>
      <c r="O844" s="6" t="s">
        <v>4313</v>
      </c>
      <c r="R844" s="6">
        <v>50</v>
      </c>
      <c r="S844" s="6">
        <v>60</v>
      </c>
      <c r="T844" s="10">
        <f t="shared" si="52"/>
        <v>55</v>
      </c>
      <c r="V844" s="8">
        <v>-1.1282316088914868</v>
      </c>
      <c r="W844" s="8">
        <v>-7.2170530686378473</v>
      </c>
      <c r="X844" s="8">
        <f t="shared" si="51"/>
        <v>1.8087998024940468</v>
      </c>
    </row>
    <row r="845" spans="1:24" x14ac:dyDescent="0.35">
      <c r="A845" s="6" t="s">
        <v>25</v>
      </c>
      <c r="B845" s="7"/>
      <c r="D845" s="6" t="s">
        <v>1038</v>
      </c>
      <c r="E845" s="6">
        <v>2</v>
      </c>
      <c r="F845" s="6">
        <v>24</v>
      </c>
      <c r="G845" s="6" t="s">
        <v>57</v>
      </c>
      <c r="I845" s="8">
        <v>87.882876180555598</v>
      </c>
      <c r="J845" s="8">
        <v>87.424340833333304</v>
      </c>
      <c r="K845" s="6" t="s">
        <v>29</v>
      </c>
      <c r="L845" s="9">
        <v>43873</v>
      </c>
      <c r="N845" s="6">
        <v>20</v>
      </c>
      <c r="O845" s="6" t="s">
        <v>4313</v>
      </c>
      <c r="R845" s="6">
        <v>60</v>
      </c>
      <c r="S845" s="6">
        <v>70</v>
      </c>
      <c r="T845" s="10">
        <f t="shared" si="52"/>
        <v>65</v>
      </c>
      <c r="V845" s="8">
        <v>-1.8100962054967877</v>
      </c>
      <c r="W845" s="8">
        <v>-12.521655733585357</v>
      </c>
      <c r="X845" s="8">
        <f t="shared" si="51"/>
        <v>1.959113910388945</v>
      </c>
    </row>
    <row r="846" spans="1:24" x14ac:dyDescent="0.35">
      <c r="A846" s="6" t="s">
        <v>25</v>
      </c>
      <c r="B846" s="7"/>
      <c r="D846" s="6" t="s">
        <v>1039</v>
      </c>
      <c r="E846" s="6">
        <v>2</v>
      </c>
      <c r="F846" s="6">
        <v>24</v>
      </c>
      <c r="G846" s="6" t="s">
        <v>57</v>
      </c>
      <c r="I846" s="8">
        <v>87.882876180555598</v>
      </c>
      <c r="J846" s="8">
        <v>87.424340833333304</v>
      </c>
      <c r="K846" s="6" t="s">
        <v>29</v>
      </c>
      <c r="L846" s="9">
        <v>43873</v>
      </c>
      <c r="N846" s="6">
        <v>20</v>
      </c>
      <c r="O846" s="6" t="s">
        <v>4313</v>
      </c>
      <c r="R846" s="6">
        <v>70</v>
      </c>
      <c r="S846" s="6">
        <v>80</v>
      </c>
      <c r="T846" s="10">
        <f t="shared" si="52"/>
        <v>75</v>
      </c>
      <c r="V846" s="8">
        <v>-2.0624162268877035</v>
      </c>
      <c r="W846" s="8">
        <v>-14.417769087791443</v>
      </c>
      <c r="X846" s="8">
        <f t="shared" si="51"/>
        <v>2.081560727310185</v>
      </c>
    </row>
    <row r="847" spans="1:24" x14ac:dyDescent="0.35">
      <c r="A847" s="6" t="s">
        <v>25</v>
      </c>
      <c r="B847" s="7"/>
      <c r="D847" s="6" t="s">
        <v>1040</v>
      </c>
      <c r="E847" s="6">
        <v>2</v>
      </c>
      <c r="F847" s="6">
        <v>24</v>
      </c>
      <c r="G847" s="6" t="s">
        <v>57</v>
      </c>
      <c r="I847" s="8">
        <v>87.882876180555598</v>
      </c>
      <c r="J847" s="8">
        <v>87.424340833333304</v>
      </c>
      <c r="K847" s="6" t="s">
        <v>29</v>
      </c>
      <c r="L847" s="9">
        <v>43873</v>
      </c>
      <c r="N847" s="6">
        <v>20</v>
      </c>
      <c r="O847" s="6" t="s">
        <v>4313</v>
      </c>
      <c r="R847" s="6">
        <v>80</v>
      </c>
      <c r="S847" s="6">
        <v>90</v>
      </c>
      <c r="T847" s="10">
        <f t="shared" si="52"/>
        <v>85</v>
      </c>
      <c r="V847" s="8">
        <v>-2.258458653116227</v>
      </c>
      <c r="W847" s="8">
        <v>-16.161119523048402</v>
      </c>
      <c r="X847" s="8">
        <f t="shared" si="51"/>
        <v>1.9065497018814135</v>
      </c>
    </row>
    <row r="848" spans="1:24" x14ac:dyDescent="0.35">
      <c r="A848" s="6" t="s">
        <v>25</v>
      </c>
      <c r="B848" s="7"/>
      <c r="D848" s="6" t="s">
        <v>1041</v>
      </c>
      <c r="E848" s="6">
        <v>2</v>
      </c>
      <c r="F848" s="6">
        <v>24</v>
      </c>
      <c r="G848" s="6" t="s">
        <v>57</v>
      </c>
      <c r="I848" s="8">
        <v>87.882876180555598</v>
      </c>
      <c r="J848" s="8">
        <v>87.424340833333304</v>
      </c>
      <c r="K848" s="6" t="s">
        <v>29</v>
      </c>
      <c r="L848" s="9">
        <v>43873</v>
      </c>
      <c r="N848" s="6">
        <v>20</v>
      </c>
      <c r="O848" s="6" t="s">
        <v>4313</v>
      </c>
      <c r="R848" s="6">
        <v>90</v>
      </c>
      <c r="S848" s="6">
        <v>100</v>
      </c>
      <c r="T848" s="10">
        <f t="shared" si="52"/>
        <v>95</v>
      </c>
      <c r="V848" s="8">
        <v>-2.7109361499786382</v>
      </c>
      <c r="W848" s="8">
        <v>-19.41132661628723</v>
      </c>
      <c r="X848" s="8">
        <f t="shared" si="51"/>
        <v>2.2761625835418755</v>
      </c>
    </row>
    <row r="849" spans="1:24" x14ac:dyDescent="0.35">
      <c r="A849" s="6" t="s">
        <v>25</v>
      </c>
      <c r="B849" s="7"/>
      <c r="D849" s="6" t="s">
        <v>1042</v>
      </c>
      <c r="E849" s="6">
        <v>2</v>
      </c>
      <c r="F849" s="6">
        <v>24</v>
      </c>
      <c r="G849" s="6" t="s">
        <v>57</v>
      </c>
      <c r="I849" s="8">
        <v>87.882876180555598</v>
      </c>
      <c r="J849" s="8">
        <v>87.424340833333304</v>
      </c>
      <c r="K849" s="6" t="s">
        <v>29</v>
      </c>
      <c r="L849" s="9">
        <v>43873</v>
      </c>
      <c r="N849" s="6">
        <v>20</v>
      </c>
      <c r="O849" s="6" t="s">
        <v>4313</v>
      </c>
      <c r="R849" s="6">
        <v>100</v>
      </c>
      <c r="S849" s="6">
        <v>110</v>
      </c>
      <c r="T849" s="10">
        <f t="shared" si="52"/>
        <v>105</v>
      </c>
      <c r="V849" s="8">
        <v>-2.4440305334329606</v>
      </c>
      <c r="W849" s="8">
        <v>-18.12322619152069</v>
      </c>
      <c r="X849" s="8">
        <f t="shared" si="51"/>
        <v>1.4290180759429951</v>
      </c>
    </row>
    <row r="850" spans="1:24" x14ac:dyDescent="0.35">
      <c r="A850" s="6" t="s">
        <v>25</v>
      </c>
      <c r="B850" s="7"/>
      <c r="D850" s="6" t="s">
        <v>1043</v>
      </c>
      <c r="E850" s="6">
        <v>2</v>
      </c>
      <c r="F850" s="6">
        <v>24</v>
      </c>
      <c r="G850" s="6" t="s">
        <v>57</v>
      </c>
      <c r="I850" s="8">
        <v>87.882876180555598</v>
      </c>
      <c r="J850" s="8">
        <v>87.424340833333304</v>
      </c>
      <c r="K850" s="6" t="s">
        <v>29</v>
      </c>
      <c r="L850" s="9">
        <v>43873</v>
      </c>
      <c r="N850" s="6">
        <v>20</v>
      </c>
      <c r="O850" s="6" t="s">
        <v>4313</v>
      </c>
      <c r="R850" s="6">
        <v>110</v>
      </c>
      <c r="S850" s="6">
        <v>120</v>
      </c>
      <c r="T850" s="10">
        <f t="shared" si="52"/>
        <v>115</v>
      </c>
      <c r="V850" s="8">
        <v>-1.9852638870716091</v>
      </c>
      <c r="W850" s="8">
        <v>-13.908218500137329</v>
      </c>
      <c r="X850" s="8">
        <f t="shared" si="51"/>
        <v>1.9738925964355438</v>
      </c>
    </row>
    <row r="851" spans="1:24" x14ac:dyDescent="0.35">
      <c r="A851" s="6" t="s">
        <v>25</v>
      </c>
      <c r="B851" s="7"/>
      <c r="D851" s="6" t="s">
        <v>1044</v>
      </c>
      <c r="E851" s="6">
        <v>2</v>
      </c>
      <c r="F851" s="6">
        <v>24</v>
      </c>
      <c r="G851" s="6" t="s">
        <v>57</v>
      </c>
      <c r="I851" s="8">
        <v>87.882876180555598</v>
      </c>
      <c r="J851" s="8">
        <v>87.424340833333304</v>
      </c>
      <c r="K851" s="6" t="s">
        <v>29</v>
      </c>
      <c r="L851" s="9">
        <v>43873</v>
      </c>
      <c r="N851" s="6">
        <v>20</v>
      </c>
      <c r="O851" s="6" t="s">
        <v>4313</v>
      </c>
      <c r="R851" s="6">
        <v>120</v>
      </c>
      <c r="S851" s="6">
        <v>130</v>
      </c>
      <c r="T851" s="10">
        <f t="shared" si="52"/>
        <v>125</v>
      </c>
      <c r="V851" s="8">
        <v>-2.3039022780704501</v>
      </c>
      <c r="W851" s="8">
        <v>-17.688337641716004</v>
      </c>
      <c r="X851" s="8">
        <f t="shared" si="51"/>
        <v>0.74288058284759728</v>
      </c>
    </row>
    <row r="852" spans="1:24" x14ac:dyDescent="0.35">
      <c r="A852" s="6" t="s">
        <v>25</v>
      </c>
      <c r="B852" s="7"/>
      <c r="D852" s="6" t="s">
        <v>1045</v>
      </c>
      <c r="E852" s="6">
        <v>2</v>
      </c>
      <c r="F852" s="6">
        <v>24</v>
      </c>
      <c r="G852" s="6" t="s">
        <v>57</v>
      </c>
      <c r="I852" s="8">
        <v>87.882876180555598</v>
      </c>
      <c r="J852" s="8">
        <v>87.424340833333304</v>
      </c>
      <c r="K852" s="6" t="s">
        <v>29</v>
      </c>
      <c r="L852" s="9">
        <v>43873</v>
      </c>
      <c r="N852" s="6">
        <v>20</v>
      </c>
      <c r="O852" s="6" t="s">
        <v>4313</v>
      </c>
      <c r="R852" s="6">
        <v>130</v>
      </c>
      <c r="S852" s="6">
        <v>140</v>
      </c>
      <c r="T852" s="10">
        <f t="shared" si="52"/>
        <v>135</v>
      </c>
      <c r="V852" s="8">
        <v>-2.1530777877616889</v>
      </c>
      <c r="W852" s="8">
        <v>-16.353836577415464</v>
      </c>
      <c r="X852" s="8">
        <f t="shared" si="51"/>
        <v>0.87078572467804705</v>
      </c>
    </row>
    <row r="853" spans="1:24" x14ac:dyDescent="0.35">
      <c r="A853" s="6" t="s">
        <v>25</v>
      </c>
      <c r="B853" s="7"/>
      <c r="D853" s="6" t="s">
        <v>1046</v>
      </c>
      <c r="E853" s="6">
        <v>2</v>
      </c>
      <c r="F853" s="6">
        <v>24</v>
      </c>
      <c r="G853" s="6" t="s">
        <v>57</v>
      </c>
      <c r="I853" s="8">
        <v>87.882876180555598</v>
      </c>
      <c r="J853" s="8">
        <v>87.424340833333304</v>
      </c>
      <c r="K853" s="6" t="s">
        <v>29</v>
      </c>
      <c r="L853" s="9">
        <v>43873</v>
      </c>
      <c r="N853" s="6">
        <v>20</v>
      </c>
      <c r="O853" s="6" t="s">
        <v>4313</v>
      </c>
      <c r="R853" s="6">
        <v>140</v>
      </c>
      <c r="S853" s="6">
        <v>150</v>
      </c>
      <c r="T853" s="10">
        <f t="shared" si="52"/>
        <v>145</v>
      </c>
      <c r="V853" s="8">
        <v>-1.4686916290569303</v>
      </c>
      <c r="W853" s="8">
        <v>-11.322493010520935</v>
      </c>
      <c r="X853" s="8">
        <f t="shared" si="51"/>
        <v>0.42704002193450741</v>
      </c>
    </row>
    <row r="854" spans="1:24" x14ac:dyDescent="0.35">
      <c r="A854" s="6" t="s">
        <v>25</v>
      </c>
      <c r="B854" s="7"/>
      <c r="D854" s="6" t="s">
        <v>1047</v>
      </c>
      <c r="E854" s="6">
        <v>2</v>
      </c>
      <c r="F854" s="6">
        <v>24</v>
      </c>
      <c r="G854" s="6" t="s">
        <v>57</v>
      </c>
      <c r="I854" s="8">
        <v>87.882876180555598</v>
      </c>
      <c r="J854" s="8">
        <v>87.424340833333304</v>
      </c>
      <c r="K854" s="6" t="s">
        <v>29</v>
      </c>
      <c r="L854" s="9">
        <v>43873</v>
      </c>
      <c r="N854" s="6">
        <v>20</v>
      </c>
      <c r="O854" s="6" t="s">
        <v>4313</v>
      </c>
      <c r="R854" s="6">
        <v>150</v>
      </c>
      <c r="S854" s="6">
        <v>160</v>
      </c>
      <c r="T854" s="10">
        <f t="shared" si="52"/>
        <v>155</v>
      </c>
      <c r="V854" s="8">
        <v>-1.2615599197196956</v>
      </c>
      <c r="W854" s="8">
        <v>-9.3571058712005613</v>
      </c>
      <c r="X854" s="8">
        <f t="shared" si="51"/>
        <v>0.73537348655700363</v>
      </c>
    </row>
    <row r="855" spans="1:24" x14ac:dyDescent="0.35">
      <c r="A855" s="6" t="s">
        <v>25</v>
      </c>
      <c r="B855" s="7"/>
      <c r="D855" s="6" t="s">
        <v>1048</v>
      </c>
      <c r="E855" s="6">
        <v>2</v>
      </c>
      <c r="F855" s="6">
        <v>24</v>
      </c>
      <c r="G855" s="6" t="s">
        <v>57</v>
      </c>
      <c r="I855" s="8">
        <v>87.882876180555598</v>
      </c>
      <c r="J855" s="8">
        <v>87.424340833333304</v>
      </c>
      <c r="K855" s="6" t="s">
        <v>29</v>
      </c>
      <c r="L855" s="9">
        <v>43873</v>
      </c>
      <c r="N855" s="6">
        <v>20</v>
      </c>
      <c r="O855" s="6" t="s">
        <v>4313</v>
      </c>
      <c r="R855" s="6">
        <v>160</v>
      </c>
      <c r="S855" s="6">
        <v>169</v>
      </c>
      <c r="T855" s="10">
        <f t="shared" si="52"/>
        <v>164.5</v>
      </c>
      <c r="V855" s="8">
        <v>-1.0680359788584706</v>
      </c>
      <c r="W855" s="8">
        <v>-7.4261125080585479</v>
      </c>
      <c r="X855" s="8">
        <f t="shared" si="51"/>
        <v>1.1181753228092166</v>
      </c>
    </row>
    <row r="856" spans="1:24" x14ac:dyDescent="0.35">
      <c r="A856" s="6" t="s">
        <v>25</v>
      </c>
      <c r="B856" s="7"/>
      <c r="D856" s="6" t="s">
        <v>1049</v>
      </c>
      <c r="E856" s="6">
        <v>2</v>
      </c>
      <c r="F856" s="6">
        <v>24</v>
      </c>
      <c r="G856" s="6" t="s">
        <v>57</v>
      </c>
      <c r="I856" s="8">
        <v>87.882876180555598</v>
      </c>
      <c r="J856" s="8">
        <v>87.424340833333304</v>
      </c>
      <c r="K856" s="6" t="s">
        <v>29</v>
      </c>
      <c r="L856" s="9">
        <v>43873</v>
      </c>
      <c r="N856" s="6">
        <v>20</v>
      </c>
      <c r="O856" s="6" t="s">
        <v>4313</v>
      </c>
      <c r="R856" s="6">
        <v>169</v>
      </c>
      <c r="S856" s="6">
        <v>178</v>
      </c>
      <c r="T856" s="10">
        <f t="shared" si="52"/>
        <v>173.5</v>
      </c>
      <c r="V856" s="8">
        <v>-0.66379213084816979</v>
      </c>
      <c r="W856" s="8">
        <v>-4.3495660486817354</v>
      </c>
      <c r="X856" s="8">
        <f t="shared" si="51"/>
        <v>0.96077099810362299</v>
      </c>
    </row>
    <row r="857" spans="1:24" x14ac:dyDescent="0.35">
      <c r="A857" s="6" t="s">
        <v>25</v>
      </c>
      <c r="B857" s="7"/>
      <c r="D857" s="6" t="s">
        <v>1050</v>
      </c>
      <c r="E857" s="6">
        <v>2</v>
      </c>
      <c r="F857" s="6">
        <v>24</v>
      </c>
      <c r="G857" s="6" t="s">
        <v>57</v>
      </c>
      <c r="I857" s="8">
        <v>87.882876180555598</v>
      </c>
      <c r="J857" s="8">
        <v>87.424340833333304</v>
      </c>
      <c r="K857" s="6" t="s">
        <v>29</v>
      </c>
      <c r="L857" s="9">
        <v>43873</v>
      </c>
      <c r="N857" s="6">
        <v>20</v>
      </c>
      <c r="O857" s="6" t="s">
        <v>4313</v>
      </c>
      <c r="R857" s="6">
        <v>178</v>
      </c>
      <c r="S857" s="6">
        <v>189</v>
      </c>
      <c r="T857" s="10">
        <f t="shared" si="52"/>
        <v>183.5</v>
      </c>
      <c r="V857" s="8">
        <v>-0.33724904990673077</v>
      </c>
      <c r="W857" s="8">
        <v>-1.9741882770061492</v>
      </c>
      <c r="X857" s="8">
        <f t="shared" si="51"/>
        <v>0.72380412224769697</v>
      </c>
    </row>
    <row r="858" spans="1:24" x14ac:dyDescent="0.35">
      <c r="A858" s="6" t="s">
        <v>25</v>
      </c>
      <c r="B858" s="6" t="s">
        <v>3420</v>
      </c>
      <c r="D858" s="6" t="s">
        <v>3722</v>
      </c>
      <c r="E858" s="6">
        <v>2</v>
      </c>
      <c r="F858" s="6">
        <v>24</v>
      </c>
      <c r="G858" s="6" t="s">
        <v>4024</v>
      </c>
      <c r="I858" s="8">
        <v>87.965332013888897</v>
      </c>
      <c r="J858" s="8">
        <v>83.9400076388889</v>
      </c>
      <c r="K858" s="7" t="s">
        <v>2610</v>
      </c>
      <c r="L858" s="9">
        <v>43874</v>
      </c>
      <c r="N858" s="6">
        <v>20</v>
      </c>
      <c r="O858" s="6" t="s">
        <v>4325</v>
      </c>
      <c r="V858" s="8">
        <v>-2.2224289954948424</v>
      </c>
      <c r="W858" s="8">
        <v>-16.430385443305969</v>
      </c>
      <c r="X858" s="27">
        <f t="shared" si="51"/>
        <v>1.3490465206527702</v>
      </c>
    </row>
    <row r="859" spans="1:24" x14ac:dyDescent="0.35">
      <c r="A859" s="6" t="s">
        <v>25</v>
      </c>
      <c r="B859" s="6" t="s">
        <v>3421</v>
      </c>
      <c r="D859" s="6" t="s">
        <v>3723</v>
      </c>
      <c r="E859" s="6">
        <v>2</v>
      </c>
      <c r="F859" s="6">
        <v>24</v>
      </c>
      <c r="G859" s="6" t="s">
        <v>4025</v>
      </c>
      <c r="I859" s="8">
        <v>88.029945763888904</v>
      </c>
      <c r="J859" s="8">
        <v>80.513806388888895</v>
      </c>
      <c r="K859" s="7" t="s">
        <v>2610</v>
      </c>
      <c r="L859" s="9">
        <v>43875</v>
      </c>
      <c r="N859" s="6">
        <v>20</v>
      </c>
      <c r="O859" s="6" t="s">
        <v>4289</v>
      </c>
      <c r="V859" s="8">
        <v>-2.0416947518634787</v>
      </c>
      <c r="W859" s="8">
        <v>-15.095247477149963</v>
      </c>
      <c r="X859" s="27">
        <f t="shared" si="51"/>
        <v>1.2383105377578669</v>
      </c>
    </row>
    <row r="860" spans="1:24" x14ac:dyDescent="0.35">
      <c r="A860" s="6" t="s">
        <v>25</v>
      </c>
      <c r="D860" s="6" t="s">
        <v>1051</v>
      </c>
      <c r="E860" s="6">
        <v>2</v>
      </c>
      <c r="F860" s="6">
        <v>24</v>
      </c>
      <c r="G860" s="6" t="s">
        <v>60</v>
      </c>
      <c r="I860" s="8">
        <v>88.029945763888904</v>
      </c>
      <c r="J860" s="8">
        <v>80.513806388888895</v>
      </c>
      <c r="K860" s="7" t="s">
        <v>29</v>
      </c>
      <c r="L860" s="9">
        <v>43875</v>
      </c>
      <c r="N860" s="6">
        <v>20</v>
      </c>
      <c r="O860" s="6" t="s">
        <v>4289</v>
      </c>
      <c r="T860" s="10"/>
      <c r="V860" s="8">
        <v>-0.60782774720191923</v>
      </c>
      <c r="W860" s="8">
        <v>-3.7338517131805422</v>
      </c>
      <c r="X860" s="8">
        <f t="shared" si="51"/>
        <v>1.1287702644348117</v>
      </c>
    </row>
    <row r="861" spans="1:24" x14ac:dyDescent="0.35">
      <c r="A861" s="6" t="s">
        <v>25</v>
      </c>
      <c r="D861" s="6" t="s">
        <v>1051</v>
      </c>
      <c r="E861" s="6">
        <v>2</v>
      </c>
      <c r="F861" s="6">
        <v>24</v>
      </c>
      <c r="G861" s="6" t="s">
        <v>60</v>
      </c>
      <c r="I861" s="8">
        <v>88.029945763888904</v>
      </c>
      <c r="J861" s="8">
        <v>80.513806388888895</v>
      </c>
      <c r="K861" s="7" t="s">
        <v>29</v>
      </c>
      <c r="L861" s="9">
        <v>43875</v>
      </c>
      <c r="N861" s="6">
        <v>20</v>
      </c>
      <c r="O861" s="6" t="s">
        <v>4289</v>
      </c>
      <c r="T861" s="10"/>
      <c r="V861" s="8">
        <v>-0.3418835168838501</v>
      </c>
      <c r="W861" s="8">
        <v>-1.4008459281921386</v>
      </c>
      <c r="X861" s="8">
        <f t="shared" si="51"/>
        <v>1.3342222068786622</v>
      </c>
    </row>
    <row r="862" spans="1:24" x14ac:dyDescent="0.35">
      <c r="A862" s="6" t="s">
        <v>25</v>
      </c>
      <c r="D862" s="6" t="s">
        <v>1051</v>
      </c>
      <c r="E862" s="6">
        <v>2</v>
      </c>
      <c r="F862" s="6">
        <v>24</v>
      </c>
      <c r="G862" s="6" t="s">
        <v>60</v>
      </c>
      <c r="I862" s="8">
        <v>88.029945763888904</v>
      </c>
      <c r="J862" s="8">
        <v>80.513806388888895</v>
      </c>
      <c r="K862" s="7" t="s">
        <v>2610</v>
      </c>
      <c r="L862" s="9">
        <v>43875</v>
      </c>
      <c r="N862" s="6">
        <v>20</v>
      </c>
      <c r="O862" s="6" t="s">
        <v>4289</v>
      </c>
      <c r="Q862" s="6">
        <v>500</v>
      </c>
      <c r="S862" s="6">
        <v>500</v>
      </c>
      <c r="T862" s="10">
        <f t="shared" ref="T862:T870" si="53">AVERAGE(R862:S862)</f>
        <v>500</v>
      </c>
      <c r="V862" s="8">
        <v>-2.245321446990967</v>
      </c>
      <c r="W862" s="8">
        <v>-15.641032562255859</v>
      </c>
      <c r="X862" s="8">
        <f t="shared" si="51"/>
        <v>2.3215390136718774</v>
      </c>
    </row>
    <row r="863" spans="1:24" x14ac:dyDescent="0.35">
      <c r="A863" s="6" t="s">
        <v>25</v>
      </c>
      <c r="D863" s="6" t="s">
        <v>1051</v>
      </c>
      <c r="E863" s="6">
        <v>2</v>
      </c>
      <c r="F863" s="6">
        <v>24</v>
      </c>
      <c r="G863" s="6" t="s">
        <v>60</v>
      </c>
      <c r="I863" s="8">
        <v>88.029945763888904</v>
      </c>
      <c r="J863" s="8">
        <v>80.513806388888895</v>
      </c>
      <c r="K863" s="7" t="s">
        <v>2610</v>
      </c>
      <c r="L863" s="9">
        <v>43875</v>
      </c>
      <c r="N863" s="6">
        <v>20</v>
      </c>
      <c r="O863" s="6" t="s">
        <v>4289</v>
      </c>
      <c r="Q863" s="6">
        <v>1000</v>
      </c>
      <c r="S863" s="6">
        <v>1000</v>
      </c>
      <c r="T863" s="10">
        <f t="shared" si="53"/>
        <v>1000</v>
      </c>
      <c r="V863" s="8">
        <v>-2.1850653339385984</v>
      </c>
      <c r="W863" s="8">
        <v>-15.61708529663086</v>
      </c>
      <c r="X863" s="8">
        <f t="shared" si="51"/>
        <v>1.8634373748779272</v>
      </c>
    </row>
    <row r="864" spans="1:24" x14ac:dyDescent="0.35">
      <c r="A864" s="6" t="s">
        <v>25</v>
      </c>
      <c r="D864" s="6" t="s">
        <v>1051</v>
      </c>
      <c r="E864" s="6">
        <v>2</v>
      </c>
      <c r="F864" s="6">
        <v>24</v>
      </c>
      <c r="G864" s="6" t="s">
        <v>60</v>
      </c>
      <c r="I864" s="8">
        <v>88.029945763888904</v>
      </c>
      <c r="J864" s="8">
        <v>80.513806388888895</v>
      </c>
      <c r="K864" s="7" t="s">
        <v>2610</v>
      </c>
      <c r="L864" s="9">
        <v>43875</v>
      </c>
      <c r="N864" s="6">
        <v>20</v>
      </c>
      <c r="O864" s="6" t="s">
        <v>4289</v>
      </c>
      <c r="Q864" s="6">
        <v>3000</v>
      </c>
      <c r="S864" s="6">
        <v>3000</v>
      </c>
      <c r="T864" s="10">
        <f t="shared" si="53"/>
        <v>3000</v>
      </c>
      <c r="V864" s="8">
        <v>-2.065705539321899</v>
      </c>
      <c r="W864" s="8">
        <v>-15.020593795776367</v>
      </c>
      <c r="X864" s="8">
        <f t="shared" si="51"/>
        <v>1.505050518798825</v>
      </c>
    </row>
    <row r="865" spans="1:24" x14ac:dyDescent="0.35">
      <c r="A865" s="6" t="s">
        <v>25</v>
      </c>
      <c r="D865" s="6" t="s">
        <v>1051</v>
      </c>
      <c r="E865" s="6">
        <v>2</v>
      </c>
      <c r="F865" s="6">
        <v>24</v>
      </c>
      <c r="G865" s="6" t="s">
        <v>60</v>
      </c>
      <c r="I865" s="8">
        <v>88.029945763888904</v>
      </c>
      <c r="J865" s="8">
        <v>80.513806388888895</v>
      </c>
      <c r="K865" s="7" t="s">
        <v>2610</v>
      </c>
      <c r="L865" s="9">
        <v>43875</v>
      </c>
      <c r="N865" s="6">
        <v>20</v>
      </c>
      <c r="O865" s="6" t="s">
        <v>4289</v>
      </c>
      <c r="Q865" s="6">
        <v>4000</v>
      </c>
      <c r="S865" s="6">
        <v>4000</v>
      </c>
      <c r="T865" s="10">
        <f t="shared" si="53"/>
        <v>4000</v>
      </c>
      <c r="V865" s="8">
        <v>-1.9901402913093571</v>
      </c>
      <c r="W865" s="8">
        <v>-14.74476370239258</v>
      </c>
      <c r="X865" s="8">
        <f t="shared" si="51"/>
        <v>1.1763586280822764</v>
      </c>
    </row>
    <row r="866" spans="1:24" x14ac:dyDescent="0.35">
      <c r="A866" s="6" t="s">
        <v>25</v>
      </c>
      <c r="D866" s="6" t="s">
        <v>1051</v>
      </c>
      <c r="E866" s="6">
        <v>2</v>
      </c>
      <c r="F866" s="6">
        <v>24</v>
      </c>
      <c r="G866" s="6" t="s">
        <v>60</v>
      </c>
      <c r="I866" s="8">
        <v>88.029945763888904</v>
      </c>
      <c r="J866" s="8">
        <v>80.513806388888895</v>
      </c>
      <c r="K866" s="7" t="s">
        <v>2610</v>
      </c>
      <c r="L866" s="9">
        <v>43875</v>
      </c>
      <c r="N866" s="6">
        <v>20</v>
      </c>
      <c r="O866" s="6" t="s">
        <v>4289</v>
      </c>
      <c r="Q866" s="6">
        <v>4500</v>
      </c>
      <c r="S866" s="6">
        <v>4500</v>
      </c>
      <c r="T866" s="10">
        <f t="shared" si="53"/>
        <v>4500</v>
      </c>
      <c r="V866" s="8">
        <v>-1.7909039031028753</v>
      </c>
      <c r="W866" s="8">
        <v>-13.079080032348633</v>
      </c>
      <c r="X866" s="8">
        <f t="shared" si="51"/>
        <v>1.2481511924743689</v>
      </c>
    </row>
    <row r="867" spans="1:24" x14ac:dyDescent="0.35">
      <c r="A867" s="6" t="s">
        <v>25</v>
      </c>
      <c r="D867" s="6" t="s">
        <v>1051</v>
      </c>
      <c r="E867" s="6">
        <v>2</v>
      </c>
      <c r="F867" s="6">
        <v>24</v>
      </c>
      <c r="G867" s="6" t="s">
        <v>60</v>
      </c>
      <c r="I867" s="8">
        <v>88.029945763888904</v>
      </c>
      <c r="J867" s="8">
        <v>80.513806388888895</v>
      </c>
      <c r="K867" s="7" t="s">
        <v>2610</v>
      </c>
      <c r="L867" s="9">
        <v>43875</v>
      </c>
      <c r="N867" s="6">
        <v>20</v>
      </c>
      <c r="O867" s="6" t="s">
        <v>4289</v>
      </c>
      <c r="Q867" s="6">
        <v>5000</v>
      </c>
      <c r="S867" s="6">
        <v>5000</v>
      </c>
      <c r="T867" s="10">
        <f t="shared" si="53"/>
        <v>5000</v>
      </c>
      <c r="V867" s="8">
        <v>-1.536523405408859</v>
      </c>
      <c r="W867" s="8">
        <v>-10.550135040283203</v>
      </c>
      <c r="X867" s="8">
        <f t="shared" si="51"/>
        <v>1.7420522029876686</v>
      </c>
    </row>
    <row r="868" spans="1:24" x14ac:dyDescent="0.35">
      <c r="A868" s="6" t="s">
        <v>25</v>
      </c>
      <c r="D868" s="6" t="s">
        <v>1051</v>
      </c>
      <c r="E868" s="6">
        <v>2</v>
      </c>
      <c r="F868" s="6">
        <v>24</v>
      </c>
      <c r="G868" s="6" t="s">
        <v>60</v>
      </c>
      <c r="I868" s="8">
        <v>88.029945763888904</v>
      </c>
      <c r="J868" s="8">
        <v>80.513806388888895</v>
      </c>
      <c r="K868" s="7" t="s">
        <v>2610</v>
      </c>
      <c r="L868" s="9">
        <v>43875</v>
      </c>
      <c r="N868" s="6">
        <v>20</v>
      </c>
      <c r="O868" s="6" t="s">
        <v>4289</v>
      </c>
      <c r="Q868" s="6">
        <v>5500</v>
      </c>
      <c r="S868" s="6">
        <v>5500</v>
      </c>
      <c r="T868" s="10">
        <f t="shared" si="53"/>
        <v>5500</v>
      </c>
      <c r="V868" s="8">
        <v>-1.4927903743743893</v>
      </c>
      <c r="W868" s="8">
        <v>-10.216250419616701</v>
      </c>
      <c r="X868" s="8">
        <f t="shared" si="51"/>
        <v>1.7260725753784136</v>
      </c>
    </row>
    <row r="869" spans="1:24" x14ac:dyDescent="0.35">
      <c r="A869" s="6" t="s">
        <v>25</v>
      </c>
      <c r="D869" s="6" t="s">
        <v>1051</v>
      </c>
      <c r="E869" s="6">
        <v>2</v>
      </c>
      <c r="F869" s="6">
        <v>24</v>
      </c>
      <c r="G869" s="6" t="s">
        <v>60</v>
      </c>
      <c r="I869" s="8">
        <v>88.029945763888904</v>
      </c>
      <c r="J869" s="8">
        <v>80.513806388888895</v>
      </c>
      <c r="K869" s="7" t="s">
        <v>2610</v>
      </c>
      <c r="L869" s="9">
        <v>43875</v>
      </c>
      <c r="N869" s="6">
        <v>20</v>
      </c>
      <c r="O869" s="6" t="s">
        <v>4289</v>
      </c>
      <c r="Q869" s="6">
        <v>6000</v>
      </c>
      <c r="S869" s="6">
        <v>6000</v>
      </c>
      <c r="T869" s="10">
        <f t="shared" si="53"/>
        <v>6000</v>
      </c>
      <c r="V869" s="8">
        <v>-1.5118073875665661</v>
      </c>
      <c r="W869" s="8">
        <v>-9.2934637420654305</v>
      </c>
      <c r="X869" s="8">
        <f t="shared" si="51"/>
        <v>2.8009953584670981</v>
      </c>
    </row>
    <row r="870" spans="1:24" x14ac:dyDescent="0.35">
      <c r="A870" s="6" t="s">
        <v>25</v>
      </c>
      <c r="D870" s="6" t="s">
        <v>1051</v>
      </c>
      <c r="E870" s="6">
        <v>2</v>
      </c>
      <c r="F870" s="6">
        <v>24</v>
      </c>
      <c r="G870" s="6" t="s">
        <v>60</v>
      </c>
      <c r="I870" s="8">
        <v>88.029945763888904</v>
      </c>
      <c r="J870" s="8">
        <v>80.513806388888895</v>
      </c>
      <c r="K870" s="7" t="s">
        <v>2610</v>
      </c>
      <c r="L870" s="9">
        <v>43875</v>
      </c>
      <c r="N870" s="6">
        <v>20</v>
      </c>
      <c r="O870" s="6" t="s">
        <v>4289</v>
      </c>
      <c r="Q870" s="6">
        <v>7500</v>
      </c>
      <c r="S870" s="6">
        <v>7500</v>
      </c>
      <c r="T870" s="10">
        <f t="shared" si="53"/>
        <v>7500</v>
      </c>
      <c r="V870" s="8">
        <v>-1.2033806332111354</v>
      </c>
      <c r="W870" s="8">
        <v>-7.7686650245666513</v>
      </c>
      <c r="X870" s="8">
        <f t="shared" si="51"/>
        <v>1.858380041122432</v>
      </c>
    </row>
    <row r="871" spans="1:24" x14ac:dyDescent="0.35">
      <c r="A871" s="6" t="s">
        <v>25</v>
      </c>
      <c r="B871" s="6" t="s">
        <v>3422</v>
      </c>
      <c r="D871" s="6" t="s">
        <v>3724</v>
      </c>
      <c r="E871" s="6">
        <v>2</v>
      </c>
      <c r="F871" s="6">
        <v>24</v>
      </c>
      <c r="G871" s="6" t="s">
        <v>4026</v>
      </c>
      <c r="I871" s="8">
        <v>88.067792083333316</v>
      </c>
      <c r="J871" s="8">
        <v>79.82869430555553</v>
      </c>
      <c r="K871" s="7" t="s">
        <v>2610</v>
      </c>
      <c r="L871" s="9">
        <v>43876</v>
      </c>
      <c r="N871" s="6">
        <v>20</v>
      </c>
      <c r="O871" s="6" t="s">
        <v>4326</v>
      </c>
      <c r="V871" s="8">
        <v>-2.0276520956802364</v>
      </c>
      <c r="W871" s="8">
        <v>-15.298401456451415</v>
      </c>
      <c r="X871" s="27">
        <f t="shared" si="51"/>
        <v>0.92281530899047581</v>
      </c>
    </row>
    <row r="872" spans="1:24" x14ac:dyDescent="0.35">
      <c r="A872" s="6" t="s">
        <v>25</v>
      </c>
      <c r="B872" s="6" t="s">
        <v>3423</v>
      </c>
      <c r="D872" s="6" t="s">
        <v>3725</v>
      </c>
      <c r="E872" s="6">
        <v>2</v>
      </c>
      <c r="F872" s="6">
        <v>24</v>
      </c>
      <c r="G872" s="6" t="s">
        <v>4027</v>
      </c>
      <c r="I872" s="8">
        <v>88.066822999999999</v>
      </c>
      <c r="J872" s="8">
        <v>79.750063999999995</v>
      </c>
      <c r="K872" s="7" t="s">
        <v>2610</v>
      </c>
      <c r="L872" s="9">
        <v>43877</v>
      </c>
      <c r="N872" s="6">
        <v>20</v>
      </c>
      <c r="O872" s="6" t="s">
        <v>4327</v>
      </c>
      <c r="V872" s="8">
        <v>-2.0460228351402283</v>
      </c>
      <c r="W872" s="8">
        <v>-15.2901999546051</v>
      </c>
      <c r="X872" s="27">
        <f t="shared" si="51"/>
        <v>1.0779827265167263</v>
      </c>
    </row>
    <row r="873" spans="1:24" x14ac:dyDescent="0.35">
      <c r="A873" s="6" t="s">
        <v>25</v>
      </c>
      <c r="B873" s="6" t="s">
        <v>2828</v>
      </c>
      <c r="D873" s="6" t="s">
        <v>3123</v>
      </c>
      <c r="E873" s="6">
        <v>2</v>
      </c>
      <c r="F873" s="6">
        <v>24</v>
      </c>
      <c r="G873" s="6" t="s">
        <v>3248</v>
      </c>
      <c r="I873" s="8">
        <v>88.066822999999999</v>
      </c>
      <c r="J873" s="8">
        <v>79.750063999999995</v>
      </c>
      <c r="K873" s="6" t="s">
        <v>198</v>
      </c>
      <c r="L873" s="9">
        <v>43877</v>
      </c>
      <c r="M873" s="18">
        <v>0.44444444444444442</v>
      </c>
      <c r="N873" s="6">
        <v>20</v>
      </c>
      <c r="O873" s="6" t="s">
        <v>4327</v>
      </c>
      <c r="R873" s="6">
        <v>15</v>
      </c>
      <c r="S873" s="6">
        <v>12.5</v>
      </c>
      <c r="V873" s="8"/>
      <c r="W873" s="8"/>
      <c r="X873" s="8">
        <f t="shared" si="51"/>
        <v>0</v>
      </c>
    </row>
    <row r="874" spans="1:24" x14ac:dyDescent="0.35">
      <c r="A874" s="6" t="s">
        <v>25</v>
      </c>
      <c r="B874" s="6" t="s">
        <v>2829</v>
      </c>
      <c r="D874" s="6" t="s">
        <v>3123</v>
      </c>
      <c r="E874" s="6">
        <v>2</v>
      </c>
      <c r="F874" s="6">
        <v>24</v>
      </c>
      <c r="G874" s="6" t="s">
        <v>3248</v>
      </c>
      <c r="I874" s="8">
        <v>88.066822999999999</v>
      </c>
      <c r="J874" s="8">
        <v>79.750063999999995</v>
      </c>
      <c r="K874" s="6" t="s">
        <v>198</v>
      </c>
      <c r="L874" s="9">
        <v>43877</v>
      </c>
      <c r="M874" s="18">
        <v>0.44444444444444442</v>
      </c>
      <c r="N874" s="6">
        <v>20</v>
      </c>
      <c r="O874" s="6" t="s">
        <v>4327</v>
      </c>
      <c r="R874" s="6">
        <v>9</v>
      </c>
      <c r="S874" s="6">
        <v>4.5</v>
      </c>
      <c r="V874" s="8">
        <v>-23.340939779663088</v>
      </c>
      <c r="W874" s="8">
        <v>-179.86074526977538</v>
      </c>
      <c r="X874" s="8">
        <f t="shared" si="51"/>
        <v>6.8667729675293288</v>
      </c>
    </row>
    <row r="875" spans="1:24" x14ac:dyDescent="0.35">
      <c r="A875" s="6" t="s">
        <v>25</v>
      </c>
      <c r="B875" s="7" t="s">
        <v>1052</v>
      </c>
      <c r="D875" s="6" t="s">
        <v>1053</v>
      </c>
      <c r="E875" s="6">
        <v>2</v>
      </c>
      <c r="F875" s="6">
        <v>25</v>
      </c>
      <c r="G875" s="6" t="s">
        <v>60</v>
      </c>
      <c r="I875" s="8">
        <v>88.073815069444393</v>
      </c>
      <c r="J875" s="8">
        <v>78.834171736111102</v>
      </c>
      <c r="K875" s="7" t="s">
        <v>2610</v>
      </c>
      <c r="L875" s="9">
        <v>43878</v>
      </c>
      <c r="N875" s="6">
        <v>21</v>
      </c>
      <c r="O875" s="6" t="s">
        <v>4328</v>
      </c>
      <c r="Q875" s="10"/>
      <c r="R875" s="10"/>
      <c r="S875" s="10"/>
      <c r="T875" s="10"/>
      <c r="U875" s="11"/>
      <c r="V875" s="8">
        <v>-2.1078344591140752</v>
      </c>
      <c r="W875" s="8">
        <v>-15.080512541770934</v>
      </c>
      <c r="X875" s="8">
        <f t="shared" si="51"/>
        <v>1.782163131141667</v>
      </c>
    </row>
    <row r="876" spans="1:24" x14ac:dyDescent="0.35">
      <c r="A876" s="6" t="s">
        <v>25</v>
      </c>
      <c r="B876" s="6" t="s">
        <v>3424</v>
      </c>
      <c r="D876" s="6" t="s">
        <v>3726</v>
      </c>
      <c r="E876" s="6">
        <v>2</v>
      </c>
      <c r="F876" s="6">
        <v>25</v>
      </c>
      <c r="G876" s="6" t="s">
        <v>4028</v>
      </c>
      <c r="I876" s="8">
        <v>88.072472000000005</v>
      </c>
      <c r="J876" s="8">
        <v>79.234834000000006</v>
      </c>
      <c r="K876" s="7" t="s">
        <v>2610</v>
      </c>
      <c r="L876" s="9">
        <v>43878</v>
      </c>
      <c r="N876" s="6">
        <v>21</v>
      </c>
      <c r="O876" s="6" t="s">
        <v>4328</v>
      </c>
      <c r="V876" s="8">
        <v>-1.9943713616180423</v>
      </c>
      <c r="W876" s="8">
        <v>-15.339219947433472</v>
      </c>
      <c r="X876" s="27">
        <f t="shared" si="51"/>
        <v>0.61575094551086629</v>
      </c>
    </row>
    <row r="877" spans="1:24" x14ac:dyDescent="0.35">
      <c r="A877" s="6" t="s">
        <v>25</v>
      </c>
      <c r="B877" s="6" t="s">
        <v>2830</v>
      </c>
      <c r="D877" s="6" t="s">
        <v>3124</v>
      </c>
      <c r="E877" s="6">
        <v>2</v>
      </c>
      <c r="F877" s="6">
        <v>25</v>
      </c>
      <c r="G877" s="6" t="s">
        <v>3249</v>
      </c>
      <c r="I877" s="8">
        <v>88.072472000000005</v>
      </c>
      <c r="J877" s="8">
        <v>79.234834000000006</v>
      </c>
      <c r="K877" s="6" t="s">
        <v>198</v>
      </c>
      <c r="L877" s="9">
        <v>43878</v>
      </c>
      <c r="M877" s="18">
        <v>0.27361111111111108</v>
      </c>
      <c r="N877" s="6">
        <v>21</v>
      </c>
      <c r="O877" s="6" t="s">
        <v>4328</v>
      </c>
      <c r="R877" s="6">
        <v>12</v>
      </c>
      <c r="S877" s="6">
        <v>6</v>
      </c>
      <c r="V877" s="8">
        <v>-25.266858606719971</v>
      </c>
      <c r="W877" s="8">
        <v>-186.80758062744141</v>
      </c>
      <c r="X877" s="8">
        <f t="shared" si="51"/>
        <v>15.327288226318359</v>
      </c>
    </row>
    <row r="878" spans="1:24" x14ac:dyDescent="0.35">
      <c r="A878" s="6" t="s">
        <v>25</v>
      </c>
      <c r="B878" s="6" t="s">
        <v>2831</v>
      </c>
      <c r="D878" s="6" t="s">
        <v>3124</v>
      </c>
      <c r="E878" s="6">
        <v>2</v>
      </c>
      <c r="F878" s="6">
        <v>25</v>
      </c>
      <c r="G878" s="6" t="s">
        <v>3249</v>
      </c>
      <c r="I878" s="8">
        <v>88.072472000000005</v>
      </c>
      <c r="J878" s="8">
        <v>79.234834000000006</v>
      </c>
      <c r="K878" s="6" t="s">
        <v>198</v>
      </c>
      <c r="L878" s="9">
        <v>43878</v>
      </c>
      <c r="M878" s="18">
        <v>0.27361111111111108</v>
      </c>
      <c r="N878" s="6">
        <v>21</v>
      </c>
      <c r="O878" s="6" t="s">
        <v>4328</v>
      </c>
      <c r="R878" s="6">
        <v>6</v>
      </c>
      <c r="S878" s="6">
        <v>0</v>
      </c>
      <c r="V878" s="8">
        <v>-10.430447733306885</v>
      </c>
      <c r="W878" s="8">
        <v>-96.561084594726566</v>
      </c>
      <c r="X878" s="8">
        <f t="shared" si="51"/>
        <v>-13.117502728271489</v>
      </c>
    </row>
    <row r="879" spans="1:24" x14ac:dyDescent="0.35">
      <c r="A879" s="6" t="s">
        <v>25</v>
      </c>
      <c r="B879" s="6" t="s">
        <v>3425</v>
      </c>
      <c r="D879" s="6" t="s">
        <v>3727</v>
      </c>
      <c r="E879" s="6">
        <v>2</v>
      </c>
      <c r="F879" s="6">
        <v>25</v>
      </c>
      <c r="G879" s="6" t="s">
        <v>4029</v>
      </c>
      <c r="I879" s="8">
        <v>88.118074166666631</v>
      </c>
      <c r="J879" s="8">
        <v>76.985576736111099</v>
      </c>
      <c r="K879" s="7" t="s">
        <v>2610</v>
      </c>
      <c r="L879" s="9">
        <v>43879</v>
      </c>
      <c r="N879" s="6">
        <v>21</v>
      </c>
      <c r="O879" s="6" t="s">
        <v>4329</v>
      </c>
      <c r="V879" s="8">
        <v>-2.0138808563995365</v>
      </c>
      <c r="W879" s="8">
        <v>-15.621566902732848</v>
      </c>
      <c r="X879" s="27">
        <f t="shared" si="51"/>
        <v>0.489479948463444</v>
      </c>
    </row>
    <row r="880" spans="1:24" x14ac:dyDescent="0.35">
      <c r="A880" s="6" t="s">
        <v>25</v>
      </c>
      <c r="B880" s="6" t="s">
        <v>3426</v>
      </c>
      <c r="D880" s="6" t="s">
        <v>3728</v>
      </c>
      <c r="E880" s="6">
        <v>2</v>
      </c>
      <c r="F880" s="6">
        <v>25</v>
      </c>
      <c r="G880" s="6" t="s">
        <v>4030</v>
      </c>
      <c r="I880" s="8">
        <v>88.259310069444382</v>
      </c>
      <c r="J880" s="8">
        <v>73.072136111111107</v>
      </c>
      <c r="K880" s="7" t="s">
        <v>2610</v>
      </c>
      <c r="L880" s="9">
        <v>43880</v>
      </c>
      <c r="N880" s="6">
        <v>21</v>
      </c>
      <c r="O880" s="6" t="s">
        <v>4330</v>
      </c>
      <c r="V880" s="8">
        <v>-2.0230322691249847</v>
      </c>
      <c r="W880" s="8">
        <v>-14.92342610797882</v>
      </c>
      <c r="X880" s="27">
        <f t="shared" si="51"/>
        <v>1.2608320450210577</v>
      </c>
    </row>
    <row r="881" spans="1:25" x14ac:dyDescent="0.35">
      <c r="A881" s="6" t="s">
        <v>25</v>
      </c>
      <c r="B881" s="6" t="s">
        <v>3427</v>
      </c>
      <c r="D881" s="6" t="s">
        <v>3729</v>
      </c>
      <c r="E881" s="6">
        <v>2</v>
      </c>
      <c r="F881" s="6">
        <v>25</v>
      </c>
      <c r="G881" s="6" t="s">
        <v>4031</v>
      </c>
      <c r="I881" s="8">
        <v>88.391086874999985</v>
      </c>
      <c r="J881" s="8">
        <v>68.875438194444428</v>
      </c>
      <c r="K881" s="7" t="s">
        <v>2610</v>
      </c>
      <c r="L881" s="9">
        <v>43881</v>
      </c>
      <c r="N881" s="6">
        <v>21</v>
      </c>
      <c r="O881" s="6" t="s">
        <v>4331</v>
      </c>
      <c r="V881" s="8">
        <v>-2.1238726159381862</v>
      </c>
      <c r="W881" s="8">
        <v>-15.373131711578369</v>
      </c>
      <c r="X881" s="27">
        <f t="shared" si="51"/>
        <v>1.6178492159271212</v>
      </c>
    </row>
    <row r="882" spans="1:25" x14ac:dyDescent="0.35">
      <c r="A882" s="6" t="s">
        <v>25</v>
      </c>
      <c r="B882" s="6" t="s">
        <v>3428</v>
      </c>
      <c r="D882" s="6" t="s">
        <v>3730</v>
      </c>
      <c r="E882" s="6">
        <v>2</v>
      </c>
      <c r="F882" s="6">
        <v>25</v>
      </c>
      <c r="G882" s="6" t="s">
        <v>4032</v>
      </c>
      <c r="I882" s="8">
        <v>88.478686999999994</v>
      </c>
      <c r="J882" s="8">
        <v>66.945536000000004</v>
      </c>
      <c r="K882" s="7" t="s">
        <v>2610</v>
      </c>
      <c r="L882" s="9">
        <v>43882</v>
      </c>
      <c r="N882" s="6">
        <v>21</v>
      </c>
      <c r="O882" s="6" t="s">
        <v>4332</v>
      </c>
      <c r="V882" s="8">
        <v>-2.1034366797924045</v>
      </c>
      <c r="W882" s="8">
        <v>-15.541990393066406</v>
      </c>
      <c r="X882" s="27">
        <f t="shared" si="51"/>
        <v>1.2855030452728293</v>
      </c>
    </row>
    <row r="883" spans="1:25" x14ac:dyDescent="0.35">
      <c r="A883" s="6" t="s">
        <v>25</v>
      </c>
      <c r="B883" s="6" t="s">
        <v>2832</v>
      </c>
      <c r="D883" s="6" t="s">
        <v>3125</v>
      </c>
      <c r="E883" s="6">
        <v>2</v>
      </c>
      <c r="F883" s="6">
        <v>25</v>
      </c>
      <c r="G883" s="6" t="s">
        <v>3250</v>
      </c>
      <c r="I883" s="8">
        <v>88.478686999999994</v>
      </c>
      <c r="J883" s="8">
        <v>66.945536000000004</v>
      </c>
      <c r="K883" s="6" t="s">
        <v>198</v>
      </c>
      <c r="L883" s="9">
        <v>43882</v>
      </c>
      <c r="M883" s="18">
        <v>0.27083333333333331</v>
      </c>
      <c r="N883" s="6">
        <v>21</v>
      </c>
      <c r="O883" s="6" t="s">
        <v>4332</v>
      </c>
      <c r="R883" s="6">
        <v>7</v>
      </c>
      <c r="S883" s="6">
        <v>4</v>
      </c>
      <c r="V883" s="8">
        <v>-22.091546369934083</v>
      </c>
      <c r="W883" s="8">
        <v>-160.16872064208985</v>
      </c>
      <c r="X883" s="8">
        <f t="shared" si="51"/>
        <v>16.563650317382809</v>
      </c>
    </row>
    <row r="884" spans="1:25" x14ac:dyDescent="0.35">
      <c r="A884" s="6" t="s">
        <v>25</v>
      </c>
      <c r="B884" s="6" t="s">
        <v>2833</v>
      </c>
      <c r="D884" s="6" t="s">
        <v>3125</v>
      </c>
      <c r="E884" s="6">
        <v>2</v>
      </c>
      <c r="F884" s="6">
        <v>25</v>
      </c>
      <c r="G884" s="6" t="s">
        <v>3250</v>
      </c>
      <c r="I884" s="8">
        <v>88.478686999999994</v>
      </c>
      <c r="J884" s="8">
        <v>66.945536000000004</v>
      </c>
      <c r="K884" s="6" t="s">
        <v>198</v>
      </c>
      <c r="L884" s="9">
        <v>43882</v>
      </c>
      <c r="M884" s="18">
        <v>0.27083333333333331</v>
      </c>
      <c r="N884" s="6">
        <v>21</v>
      </c>
      <c r="O884" s="6" t="s">
        <v>4332</v>
      </c>
      <c r="R884" s="6">
        <v>4</v>
      </c>
      <c r="S884" s="6">
        <v>0</v>
      </c>
      <c r="V884" s="8">
        <v>-6.2380419811248782</v>
      </c>
      <c r="W884" s="8">
        <v>-55.271419441223145</v>
      </c>
      <c r="X884" s="8">
        <f t="shared" si="51"/>
        <v>-5.3670835922241196</v>
      </c>
    </row>
    <row r="885" spans="1:25" x14ac:dyDescent="0.35">
      <c r="A885" s="6" t="s">
        <v>25</v>
      </c>
      <c r="B885" s="6" t="s">
        <v>2834</v>
      </c>
      <c r="D885" s="6" t="s">
        <v>3126</v>
      </c>
      <c r="E885" s="6">
        <v>2</v>
      </c>
      <c r="F885" s="6">
        <v>25</v>
      </c>
      <c r="G885" s="6" t="s">
        <v>3251</v>
      </c>
      <c r="I885" s="8">
        <v>88.499097000000006</v>
      </c>
      <c r="J885" s="8">
        <v>66.505656999999999</v>
      </c>
      <c r="K885" s="6" t="s">
        <v>198</v>
      </c>
      <c r="L885" s="9">
        <v>43882</v>
      </c>
      <c r="M885" s="18">
        <v>0.45833333333333331</v>
      </c>
      <c r="N885" s="6">
        <v>21</v>
      </c>
      <c r="O885" s="6" t="s">
        <v>4332</v>
      </c>
      <c r="R885" s="6">
        <v>81</v>
      </c>
      <c r="S885" s="6">
        <v>74</v>
      </c>
      <c r="V885" s="8">
        <v>-29.104036150360105</v>
      </c>
      <c r="W885" s="8">
        <v>-219.68935354614257</v>
      </c>
      <c r="X885" s="8">
        <f t="shared" si="51"/>
        <v>13.142935656738274</v>
      </c>
      <c r="Y885" s="6" t="s">
        <v>3184</v>
      </c>
    </row>
    <row r="886" spans="1:25" x14ac:dyDescent="0.35">
      <c r="A886" s="6" t="s">
        <v>25</v>
      </c>
      <c r="B886" s="6" t="s">
        <v>2835</v>
      </c>
      <c r="D886" s="6" t="s">
        <v>3126</v>
      </c>
      <c r="E886" s="6">
        <v>2</v>
      </c>
      <c r="F886" s="6">
        <v>25</v>
      </c>
      <c r="G886" s="6" t="s">
        <v>3251</v>
      </c>
      <c r="I886" s="8">
        <v>88.499097000000006</v>
      </c>
      <c r="J886" s="8">
        <v>66.505656999999999</v>
      </c>
      <c r="K886" s="6" t="s">
        <v>198</v>
      </c>
      <c r="L886" s="9">
        <v>43882</v>
      </c>
      <c r="M886" s="18">
        <v>0.45833333333333331</v>
      </c>
      <c r="N886" s="6">
        <v>21</v>
      </c>
      <c r="O886" s="6" t="s">
        <v>4332</v>
      </c>
      <c r="R886" s="6">
        <v>43</v>
      </c>
      <c r="S886" s="6">
        <v>36</v>
      </c>
      <c r="V886" s="8">
        <v>-29.009459384918213</v>
      </c>
      <c r="W886" s="8">
        <v>-216.67414855957031</v>
      </c>
      <c r="X886" s="8">
        <f t="shared" si="51"/>
        <v>15.401526519775388</v>
      </c>
    </row>
    <row r="887" spans="1:25" x14ac:dyDescent="0.35">
      <c r="A887" s="6" t="s">
        <v>25</v>
      </c>
      <c r="B887" s="6" t="s">
        <v>2836</v>
      </c>
      <c r="D887" s="6" t="s">
        <v>3126</v>
      </c>
      <c r="E887" s="6">
        <v>2</v>
      </c>
      <c r="F887" s="6">
        <v>25</v>
      </c>
      <c r="G887" s="6" t="s">
        <v>3251</v>
      </c>
      <c r="I887" s="8">
        <v>88.499097000000006</v>
      </c>
      <c r="J887" s="8">
        <v>66.505656999999999</v>
      </c>
      <c r="K887" s="6" t="s">
        <v>198</v>
      </c>
      <c r="L887" s="9">
        <v>43882</v>
      </c>
      <c r="M887" s="18">
        <v>0.45833333333333331</v>
      </c>
      <c r="N887" s="6">
        <v>21</v>
      </c>
      <c r="O887" s="6" t="s">
        <v>4332</v>
      </c>
      <c r="R887" s="6">
        <v>11</v>
      </c>
      <c r="S887" s="6">
        <v>3</v>
      </c>
      <c r="V887" s="8">
        <v>-24.404503349304196</v>
      </c>
      <c r="W887" s="8">
        <v>-180.86500381469727</v>
      </c>
      <c r="X887" s="8">
        <f t="shared" si="51"/>
        <v>14.371022979736296</v>
      </c>
    </row>
    <row r="888" spans="1:25" x14ac:dyDescent="0.35">
      <c r="A888" s="6" t="s">
        <v>25</v>
      </c>
      <c r="B888" s="6" t="s">
        <v>3429</v>
      </c>
      <c r="D888" s="6" t="s">
        <v>3731</v>
      </c>
      <c r="E888" s="6">
        <v>2</v>
      </c>
      <c r="F888" s="6">
        <v>25</v>
      </c>
      <c r="G888" s="6" t="s">
        <v>4033</v>
      </c>
      <c r="I888" s="8">
        <v>88.572859652777794</v>
      </c>
      <c r="J888" s="8">
        <v>64.515004652777762</v>
      </c>
      <c r="K888" s="7" t="s">
        <v>2610</v>
      </c>
      <c r="L888" s="9">
        <v>43883</v>
      </c>
      <c r="N888" s="6">
        <v>21</v>
      </c>
      <c r="O888" s="6" t="s">
        <v>4268</v>
      </c>
      <c r="V888" s="8">
        <v>-2.1345878781795502</v>
      </c>
      <c r="W888" s="8">
        <v>-15.737617346191405</v>
      </c>
      <c r="X888" s="27">
        <f t="shared" si="51"/>
        <v>1.339085679244997</v>
      </c>
    </row>
    <row r="889" spans="1:25" x14ac:dyDescent="0.35">
      <c r="A889" s="6" t="s">
        <v>25</v>
      </c>
      <c r="B889" s="6" t="s">
        <v>3430</v>
      </c>
      <c r="D889" s="6" t="s">
        <v>3732</v>
      </c>
      <c r="E889" s="6">
        <v>2</v>
      </c>
      <c r="F889" s="6">
        <v>25</v>
      </c>
      <c r="G889" s="6" t="s">
        <v>4034</v>
      </c>
      <c r="I889" s="8">
        <v>88.58999638888892</v>
      </c>
      <c r="J889" s="8">
        <v>61.16850368055556</v>
      </c>
      <c r="K889" s="7" t="s">
        <v>2610</v>
      </c>
      <c r="L889" s="9">
        <v>43884</v>
      </c>
      <c r="N889" s="6">
        <v>22</v>
      </c>
      <c r="O889" s="6" t="s">
        <v>4278</v>
      </c>
      <c r="V889" s="8">
        <v>-2.0490990068435666</v>
      </c>
      <c r="W889" s="8">
        <v>-15.104055792236329</v>
      </c>
      <c r="X889" s="27">
        <f t="shared" si="51"/>
        <v>1.2887362625122041</v>
      </c>
    </row>
    <row r="890" spans="1:25" x14ac:dyDescent="0.35">
      <c r="A890" s="6" t="s">
        <v>25</v>
      </c>
      <c r="B890" s="6" t="s">
        <v>3431</v>
      </c>
      <c r="D890" s="6" t="s">
        <v>3733</v>
      </c>
      <c r="E890" s="6">
        <v>3</v>
      </c>
      <c r="F890" s="6">
        <v>29</v>
      </c>
      <c r="G890" s="6" t="s">
        <v>4035</v>
      </c>
      <c r="I890" s="8">
        <v>88.588357013888938</v>
      </c>
      <c r="J890" s="8">
        <v>54.451043611111089</v>
      </c>
      <c r="K890" s="7" t="s">
        <v>2610</v>
      </c>
      <c r="L890" s="9">
        <v>43885</v>
      </c>
      <c r="N890" s="6">
        <v>22</v>
      </c>
      <c r="O890" s="6" t="s">
        <v>4333</v>
      </c>
      <c r="V890" s="8">
        <v>-1.8964563119888307</v>
      </c>
      <c r="W890" s="8">
        <v>-13.87278665161133</v>
      </c>
      <c r="X890" s="27">
        <f t="shared" si="51"/>
        <v>1.2988638442993157</v>
      </c>
    </row>
    <row r="891" spans="1:25" x14ac:dyDescent="0.35">
      <c r="A891" s="6" t="s">
        <v>25</v>
      </c>
      <c r="B891" s="7" t="s">
        <v>1054</v>
      </c>
      <c r="D891" s="6" t="s">
        <v>1055</v>
      </c>
      <c r="E891" s="6">
        <v>3</v>
      </c>
      <c r="F891" s="6">
        <v>29</v>
      </c>
      <c r="G891" s="6" t="s">
        <v>60</v>
      </c>
      <c r="I891" s="8">
        <v>88.557896874999997</v>
      </c>
      <c r="J891" s="8">
        <v>45.997060902777797</v>
      </c>
      <c r="K891" s="7" t="s">
        <v>2610</v>
      </c>
      <c r="L891" s="9">
        <v>43886</v>
      </c>
      <c r="N891" s="6">
        <v>22</v>
      </c>
      <c r="O891" s="6" t="s">
        <v>4334</v>
      </c>
      <c r="Q891" s="10"/>
      <c r="R891" s="10"/>
      <c r="S891" s="10"/>
      <c r="T891" s="10"/>
      <c r="U891" s="11"/>
      <c r="V891" s="8">
        <v>-1.9388066494941714</v>
      </c>
      <c r="W891" s="8">
        <v>-13.550763421058655</v>
      </c>
      <c r="X891" s="8">
        <f t="shared" si="51"/>
        <v>1.9596897748947164</v>
      </c>
    </row>
    <row r="892" spans="1:25" x14ac:dyDescent="0.35">
      <c r="A892" s="6" t="s">
        <v>25</v>
      </c>
      <c r="B892" s="6" t="s">
        <v>3432</v>
      </c>
      <c r="D892" s="6" t="s">
        <v>3734</v>
      </c>
      <c r="E892" s="6">
        <v>3</v>
      </c>
      <c r="F892" s="6">
        <v>29</v>
      </c>
      <c r="G892" s="6" t="s">
        <v>4036</v>
      </c>
      <c r="I892" s="8">
        <v>88.560158999999999</v>
      </c>
      <c r="J892" s="8">
        <v>45.682791000000002</v>
      </c>
      <c r="K892" s="6" t="s">
        <v>2610</v>
      </c>
      <c r="L892" s="9">
        <v>43886</v>
      </c>
      <c r="N892" s="6">
        <v>22</v>
      </c>
      <c r="O892" s="6" t="s">
        <v>4334</v>
      </c>
      <c r="V892" s="8">
        <v>-1.885097141075134</v>
      </c>
      <c r="W892" s="8">
        <v>-13.603115600585937</v>
      </c>
      <c r="X892" s="27">
        <f t="shared" si="51"/>
        <v>1.4776615280151351</v>
      </c>
    </row>
    <row r="893" spans="1:25" x14ac:dyDescent="0.35">
      <c r="A893" s="6" t="s">
        <v>25</v>
      </c>
      <c r="B893" s="6" t="s">
        <v>2837</v>
      </c>
      <c r="D893" s="6" t="s">
        <v>3127</v>
      </c>
      <c r="E893" s="6">
        <v>3</v>
      </c>
      <c r="F893" s="6">
        <v>29</v>
      </c>
      <c r="G893" s="6" t="s">
        <v>3254</v>
      </c>
      <c r="I893" s="8">
        <v>88.560158999999999</v>
      </c>
      <c r="J893" s="8">
        <v>45.682791000000002</v>
      </c>
      <c r="K893" s="6" t="s">
        <v>198</v>
      </c>
      <c r="L893" s="9">
        <v>43886</v>
      </c>
      <c r="M893" s="18">
        <v>0.51180555555555551</v>
      </c>
      <c r="N893" s="6">
        <v>22</v>
      </c>
      <c r="O893" s="6" t="s">
        <v>4334</v>
      </c>
      <c r="R893" s="6">
        <v>22</v>
      </c>
      <c r="S893" s="6">
        <v>19</v>
      </c>
      <c r="V893" s="8">
        <v>-27.786503051757808</v>
      </c>
      <c r="W893" s="8">
        <v>-208.33268531799317</v>
      </c>
      <c r="X893" s="8">
        <f t="shared" si="51"/>
        <v>13.9593390960693</v>
      </c>
    </row>
    <row r="894" spans="1:25" x14ac:dyDescent="0.35">
      <c r="A894" s="6" t="s">
        <v>25</v>
      </c>
      <c r="B894" s="6" t="s">
        <v>2838</v>
      </c>
      <c r="D894" s="6" t="s">
        <v>3127</v>
      </c>
      <c r="E894" s="6">
        <v>3</v>
      </c>
      <c r="F894" s="6">
        <v>29</v>
      </c>
      <c r="G894" s="6" t="s">
        <v>3254</v>
      </c>
      <c r="I894" s="8">
        <v>88.560158999999999</v>
      </c>
      <c r="J894" s="8">
        <v>45.682791000000002</v>
      </c>
      <c r="K894" s="6" t="s">
        <v>198</v>
      </c>
      <c r="L894" s="9">
        <v>43886</v>
      </c>
      <c r="M894" s="18">
        <v>0.51180555555555551</v>
      </c>
      <c r="N894" s="6">
        <v>22</v>
      </c>
      <c r="O894" s="6" t="s">
        <v>4334</v>
      </c>
      <c r="R894" s="6">
        <v>15</v>
      </c>
      <c r="S894" s="6">
        <v>8</v>
      </c>
      <c r="V894" s="8">
        <v>-19.69433769607544</v>
      </c>
      <c r="W894" s="8">
        <v>-135.169757232666</v>
      </c>
      <c r="X894" s="8">
        <f t="shared" si="51"/>
        <v>22.384944335937519</v>
      </c>
    </row>
    <row r="895" spans="1:25" x14ac:dyDescent="0.35">
      <c r="A895" s="6" t="s">
        <v>25</v>
      </c>
      <c r="B895" s="6" t="s">
        <v>2839</v>
      </c>
      <c r="D895" s="6" t="s">
        <v>3127</v>
      </c>
      <c r="E895" s="6">
        <v>3</v>
      </c>
      <c r="F895" s="6">
        <v>29</v>
      </c>
      <c r="G895" s="6" t="s">
        <v>3254</v>
      </c>
      <c r="I895" s="8">
        <v>88.560158999999999</v>
      </c>
      <c r="J895" s="8">
        <v>45.682791000000002</v>
      </c>
      <c r="K895" s="6" t="s">
        <v>198</v>
      </c>
      <c r="L895" s="9">
        <v>43886</v>
      </c>
      <c r="M895" s="18">
        <v>0.51180555555555551</v>
      </c>
      <c r="N895" s="6">
        <v>22</v>
      </c>
      <c r="O895" s="6" t="s">
        <v>4334</v>
      </c>
      <c r="R895" s="6">
        <v>6</v>
      </c>
      <c r="S895" s="6">
        <v>0</v>
      </c>
      <c r="V895" s="8">
        <v>-10.616203493118286</v>
      </c>
      <c r="W895" s="8">
        <v>-97.292271804809573</v>
      </c>
      <c r="X895" s="8">
        <f t="shared" si="51"/>
        <v>-12.362643859863283</v>
      </c>
    </row>
    <row r="896" spans="1:25" x14ac:dyDescent="0.35">
      <c r="A896" s="6" t="s">
        <v>25</v>
      </c>
      <c r="B896" s="6" t="s">
        <v>3433</v>
      </c>
      <c r="D896" s="6" t="s">
        <v>3735</v>
      </c>
      <c r="E896" s="6">
        <v>3</v>
      </c>
      <c r="F896" s="6">
        <v>29</v>
      </c>
      <c r="G896" s="6" t="s">
        <v>4037</v>
      </c>
      <c r="I896" s="8">
        <v>88.494369000000006</v>
      </c>
      <c r="J896" s="8">
        <v>40.363484</v>
      </c>
      <c r="K896" s="6" t="s">
        <v>2610</v>
      </c>
      <c r="L896" s="9">
        <v>43887</v>
      </c>
      <c r="N896" s="6">
        <v>22</v>
      </c>
      <c r="O896" s="6" t="s">
        <v>4291</v>
      </c>
      <c r="V896" s="8">
        <v>-1.7704871423721318</v>
      </c>
      <c r="W896" s="8">
        <v>-12.760863159179687</v>
      </c>
      <c r="X896" s="27">
        <f t="shared" si="51"/>
        <v>1.4030339797973674</v>
      </c>
    </row>
    <row r="897" spans="1:24" x14ac:dyDescent="0.35">
      <c r="A897" s="6" t="s">
        <v>25</v>
      </c>
      <c r="B897" s="6" t="s">
        <v>2840</v>
      </c>
      <c r="D897" s="6" t="s">
        <v>3128</v>
      </c>
      <c r="E897" s="6">
        <v>2</v>
      </c>
      <c r="F897" s="6">
        <v>29</v>
      </c>
      <c r="G897" s="6" t="s">
        <v>3252</v>
      </c>
      <c r="I897" s="8">
        <v>88.507153000000002</v>
      </c>
      <c r="J897" s="8">
        <v>41.149214000000001</v>
      </c>
      <c r="K897" s="6" t="s">
        <v>198</v>
      </c>
      <c r="L897" s="9">
        <v>43887</v>
      </c>
      <c r="M897" s="18">
        <v>0.2673611111111111</v>
      </c>
      <c r="N897" s="6">
        <v>22</v>
      </c>
      <c r="O897" s="6" t="s">
        <v>4291</v>
      </c>
      <c r="R897" s="6">
        <v>31</v>
      </c>
      <c r="S897" s="6">
        <v>28</v>
      </c>
      <c r="V897" s="8">
        <v>-28.857289375305175</v>
      </c>
      <c r="W897" s="8">
        <v>-222.69885681152343</v>
      </c>
      <c r="X897" s="8">
        <f t="shared" si="51"/>
        <v>8.1594581909179738</v>
      </c>
    </row>
    <row r="898" spans="1:24" x14ac:dyDescent="0.35">
      <c r="A898" s="6" t="s">
        <v>25</v>
      </c>
      <c r="B898" s="6" t="s">
        <v>2841</v>
      </c>
      <c r="D898" s="6" t="s">
        <v>3128</v>
      </c>
      <c r="E898" s="6">
        <v>2</v>
      </c>
      <c r="F898" s="6">
        <v>29</v>
      </c>
      <c r="G898" s="6" t="s">
        <v>3252</v>
      </c>
      <c r="I898" s="8">
        <v>88.507153000000002</v>
      </c>
      <c r="J898" s="8">
        <v>41.149214000000001</v>
      </c>
      <c r="K898" s="6" t="s">
        <v>198</v>
      </c>
      <c r="L898" s="9">
        <v>43887</v>
      </c>
      <c r="M898" s="18">
        <v>0.2673611111111111</v>
      </c>
      <c r="N898" s="6">
        <v>22</v>
      </c>
      <c r="O898" s="6" t="s">
        <v>4291</v>
      </c>
      <c r="R898" s="6">
        <v>9</v>
      </c>
      <c r="S898" s="6">
        <v>6</v>
      </c>
      <c r="V898" s="8">
        <v>-30.806774934082028</v>
      </c>
      <c r="W898" s="8">
        <v>-225.46530105590818</v>
      </c>
      <c r="X898" s="8">
        <f t="shared" ref="X898:X961" si="54">W898-(8*V898)</f>
        <v>20.988898416748043</v>
      </c>
    </row>
    <row r="899" spans="1:24" x14ac:dyDescent="0.35">
      <c r="A899" s="6" t="s">
        <v>25</v>
      </c>
      <c r="B899" s="6" t="s">
        <v>2842</v>
      </c>
      <c r="D899" s="6" t="s">
        <v>3128</v>
      </c>
      <c r="E899" s="6">
        <v>2</v>
      </c>
      <c r="F899" s="6">
        <v>29</v>
      </c>
      <c r="G899" s="6" t="s">
        <v>3252</v>
      </c>
      <c r="I899" s="8">
        <v>88.507153000000002</v>
      </c>
      <c r="J899" s="8">
        <v>41.149214000000001</v>
      </c>
      <c r="K899" s="6" t="s">
        <v>198</v>
      </c>
      <c r="L899" s="9">
        <v>43887</v>
      </c>
      <c r="M899" s="18">
        <v>0.2673611111111111</v>
      </c>
      <c r="N899" s="6">
        <v>22</v>
      </c>
      <c r="O899" s="6" t="s">
        <v>4291</v>
      </c>
      <c r="R899" s="6">
        <v>5</v>
      </c>
      <c r="S899" s="6">
        <v>0</v>
      </c>
      <c r="V899" s="8">
        <v>-25.534276718139647</v>
      </c>
      <c r="W899" s="8">
        <v>-188.67766983032226</v>
      </c>
      <c r="X899" s="8">
        <f t="shared" si="54"/>
        <v>15.596543914794921</v>
      </c>
    </row>
    <row r="900" spans="1:24" x14ac:dyDescent="0.35">
      <c r="A900" s="6" t="s">
        <v>25</v>
      </c>
      <c r="B900" s="6" t="s">
        <v>2843</v>
      </c>
      <c r="D900" s="6" t="s">
        <v>3129</v>
      </c>
      <c r="E900" s="6">
        <v>2</v>
      </c>
      <c r="F900" s="6">
        <v>29</v>
      </c>
      <c r="G900" s="6" t="s">
        <v>3253</v>
      </c>
      <c r="I900" s="8">
        <v>88.494369000000006</v>
      </c>
      <c r="J900" s="8">
        <v>40.363484</v>
      </c>
      <c r="K900" s="6" t="s">
        <v>198</v>
      </c>
      <c r="L900" s="9">
        <v>43887</v>
      </c>
      <c r="M900" s="18">
        <v>0.41666666666666669</v>
      </c>
      <c r="N900" s="6">
        <v>22</v>
      </c>
      <c r="O900" s="6" t="s">
        <v>4291</v>
      </c>
      <c r="R900" s="6">
        <v>9</v>
      </c>
      <c r="S900" s="6">
        <v>6</v>
      </c>
      <c r="V900" s="8">
        <v>-27.710804294586179</v>
      </c>
      <c r="W900" s="8">
        <v>-203.24551261901854</v>
      </c>
      <c r="X900" s="8">
        <f t="shared" si="54"/>
        <v>18.440921737670891</v>
      </c>
    </row>
    <row r="901" spans="1:24" x14ac:dyDescent="0.35">
      <c r="A901" s="6" t="s">
        <v>25</v>
      </c>
      <c r="B901" s="6" t="s">
        <v>2844</v>
      </c>
      <c r="D901" s="6" t="s">
        <v>3129</v>
      </c>
      <c r="E901" s="6">
        <v>2</v>
      </c>
      <c r="F901" s="6">
        <v>29</v>
      </c>
      <c r="G901" s="6" t="s">
        <v>3253</v>
      </c>
      <c r="I901" s="8">
        <v>88.494369000000006</v>
      </c>
      <c r="J901" s="8">
        <v>40.363484</v>
      </c>
      <c r="K901" s="6" t="s">
        <v>198</v>
      </c>
      <c r="L901" s="9">
        <v>43887</v>
      </c>
      <c r="M901" s="18">
        <v>0.41666666666666669</v>
      </c>
      <c r="N901" s="6">
        <v>22</v>
      </c>
      <c r="O901" s="6" t="s">
        <v>4291</v>
      </c>
      <c r="R901" s="6">
        <v>6</v>
      </c>
      <c r="S901" s="6">
        <v>3</v>
      </c>
      <c r="V901" s="8">
        <v>-22.123937419891355</v>
      </c>
      <c r="W901" s="8">
        <v>-168.82661926269532</v>
      </c>
      <c r="X901" s="8">
        <f t="shared" si="54"/>
        <v>8.1648800964355246</v>
      </c>
    </row>
    <row r="902" spans="1:24" x14ac:dyDescent="0.35">
      <c r="A902" s="6" t="s">
        <v>25</v>
      </c>
      <c r="B902" s="6" t="s">
        <v>2845</v>
      </c>
      <c r="D902" s="6" t="s">
        <v>3129</v>
      </c>
      <c r="E902" s="6">
        <v>2</v>
      </c>
      <c r="F902" s="6">
        <v>29</v>
      </c>
      <c r="G902" s="6" t="s">
        <v>3253</v>
      </c>
      <c r="I902" s="8">
        <v>88.494369000000006</v>
      </c>
      <c r="J902" s="8">
        <v>40.363484</v>
      </c>
      <c r="K902" s="6" t="s">
        <v>198</v>
      </c>
      <c r="L902" s="9">
        <v>43887</v>
      </c>
      <c r="M902" s="18">
        <v>0.41666666666666669</v>
      </c>
      <c r="N902" s="6">
        <v>22</v>
      </c>
      <c r="O902" s="6" t="s">
        <v>4291</v>
      </c>
      <c r="R902" s="6">
        <v>3</v>
      </c>
      <c r="S902" s="6">
        <v>0</v>
      </c>
      <c r="V902" s="8">
        <v>-15.67700108909607</v>
      </c>
      <c r="W902" s="8">
        <v>-121.50857105255126</v>
      </c>
      <c r="X902" s="8">
        <f t="shared" si="54"/>
        <v>3.9074376602172975</v>
      </c>
    </row>
    <row r="903" spans="1:24" x14ac:dyDescent="0.35">
      <c r="A903" s="6" t="s">
        <v>25</v>
      </c>
      <c r="B903" s="7"/>
      <c r="D903" s="6" t="s">
        <v>1056</v>
      </c>
      <c r="E903" s="6">
        <v>3</v>
      </c>
      <c r="F903" s="6">
        <v>29</v>
      </c>
      <c r="G903" s="6" t="s">
        <v>60</v>
      </c>
      <c r="I903" s="8">
        <v>88.488842986111095</v>
      </c>
      <c r="J903" s="8">
        <v>40.1770405555556</v>
      </c>
      <c r="K903" s="6" t="s">
        <v>29</v>
      </c>
      <c r="L903" s="9">
        <v>43887</v>
      </c>
      <c r="N903" s="6">
        <v>22</v>
      </c>
      <c r="O903" s="6" t="s">
        <v>4291</v>
      </c>
      <c r="R903" s="6">
        <v>10</v>
      </c>
      <c r="S903" s="6">
        <v>20</v>
      </c>
      <c r="T903" s="10">
        <f t="shared" ref="T903:T910" si="55">AVERAGE(R903:S903)</f>
        <v>15</v>
      </c>
      <c r="V903" s="8">
        <v>-0.65039526258945468</v>
      </c>
      <c r="W903" s="8">
        <v>-4.4054381372332578</v>
      </c>
      <c r="X903" s="8">
        <f t="shared" si="54"/>
        <v>0.79772396348237962</v>
      </c>
    </row>
    <row r="904" spans="1:24" x14ac:dyDescent="0.35">
      <c r="A904" s="6" t="s">
        <v>25</v>
      </c>
      <c r="B904" s="7"/>
      <c r="D904" s="6" t="s">
        <v>1057</v>
      </c>
      <c r="E904" s="6">
        <v>3</v>
      </c>
      <c r="F904" s="6">
        <v>29</v>
      </c>
      <c r="G904" s="6" t="s">
        <v>60</v>
      </c>
      <c r="I904" s="8">
        <v>88.488842986111095</v>
      </c>
      <c r="J904" s="8">
        <v>40.1770405555556</v>
      </c>
      <c r="K904" s="6" t="s">
        <v>29</v>
      </c>
      <c r="L904" s="9">
        <v>43887</v>
      </c>
      <c r="N904" s="6">
        <v>22</v>
      </c>
      <c r="O904" s="6" t="s">
        <v>4291</v>
      </c>
      <c r="R904" s="6">
        <v>20</v>
      </c>
      <c r="S904" s="6">
        <v>30</v>
      </c>
      <c r="T904" s="10">
        <f t="shared" si="55"/>
        <v>25</v>
      </c>
      <c r="V904" s="8">
        <v>-0.68773353791713698</v>
      </c>
      <c r="W904" s="8">
        <v>-5.0344459685087202</v>
      </c>
      <c r="X904" s="8">
        <f t="shared" si="54"/>
        <v>0.4674223348283757</v>
      </c>
    </row>
    <row r="905" spans="1:24" x14ac:dyDescent="0.35">
      <c r="A905" s="6" t="s">
        <v>25</v>
      </c>
      <c r="B905" s="7"/>
      <c r="D905" s="6" t="s">
        <v>1058</v>
      </c>
      <c r="E905" s="6">
        <v>3</v>
      </c>
      <c r="F905" s="6">
        <v>29</v>
      </c>
      <c r="G905" s="6" t="s">
        <v>60</v>
      </c>
      <c r="I905" s="8">
        <v>88.488842986111095</v>
      </c>
      <c r="J905" s="8">
        <v>40.1770405555556</v>
      </c>
      <c r="K905" s="6" t="s">
        <v>29</v>
      </c>
      <c r="L905" s="9">
        <v>43887</v>
      </c>
      <c r="N905" s="6">
        <v>22</v>
      </c>
      <c r="O905" s="6" t="s">
        <v>4291</v>
      </c>
      <c r="R905" s="6">
        <v>30</v>
      </c>
      <c r="S905" s="6">
        <v>40</v>
      </c>
      <c r="T905" s="10">
        <f t="shared" si="55"/>
        <v>35</v>
      </c>
      <c r="V905" s="8">
        <v>-0.67420627433538416</v>
      </c>
      <c r="W905" s="8">
        <v>-4.1791373779773711</v>
      </c>
      <c r="X905" s="8">
        <f t="shared" si="54"/>
        <v>1.2145128167057022</v>
      </c>
    </row>
    <row r="906" spans="1:24" x14ac:dyDescent="0.35">
      <c r="A906" s="6" t="s">
        <v>25</v>
      </c>
      <c r="B906" s="7"/>
      <c r="D906" s="6" t="s">
        <v>1059</v>
      </c>
      <c r="E906" s="6">
        <v>3</v>
      </c>
      <c r="F906" s="6">
        <v>29</v>
      </c>
      <c r="G906" s="6" t="s">
        <v>60</v>
      </c>
      <c r="I906" s="8">
        <v>88.488842986111095</v>
      </c>
      <c r="J906" s="8">
        <v>40.1770405555556</v>
      </c>
      <c r="K906" s="6" t="s">
        <v>29</v>
      </c>
      <c r="L906" s="9">
        <v>43887</v>
      </c>
      <c r="N906" s="6">
        <v>22</v>
      </c>
      <c r="O906" s="6" t="s">
        <v>4291</v>
      </c>
      <c r="R906" s="6">
        <v>40</v>
      </c>
      <c r="S906" s="6">
        <v>50</v>
      </c>
      <c r="T906" s="10">
        <f t="shared" si="55"/>
        <v>45</v>
      </c>
      <c r="V906" s="8">
        <v>-0.63367843139648439</v>
      </c>
      <c r="W906" s="8">
        <v>-3.2931472916603082</v>
      </c>
      <c r="X906" s="8">
        <f t="shared" si="54"/>
        <v>1.7762801595115669</v>
      </c>
    </row>
    <row r="907" spans="1:24" x14ac:dyDescent="0.35">
      <c r="A907" s="6" t="s">
        <v>25</v>
      </c>
      <c r="B907" s="7"/>
      <c r="D907" s="6" t="s">
        <v>1060</v>
      </c>
      <c r="E907" s="6">
        <v>3</v>
      </c>
      <c r="F907" s="6">
        <v>29</v>
      </c>
      <c r="G907" s="6" t="s">
        <v>60</v>
      </c>
      <c r="I907" s="8">
        <v>88.488842986111095</v>
      </c>
      <c r="J907" s="8">
        <v>40.1770405555556</v>
      </c>
      <c r="K907" s="6" t="s">
        <v>29</v>
      </c>
      <c r="L907" s="9">
        <v>43887</v>
      </c>
      <c r="N907" s="6">
        <v>22</v>
      </c>
      <c r="O907" s="6" t="s">
        <v>4291</v>
      </c>
      <c r="R907" s="6">
        <v>50</v>
      </c>
      <c r="S907" s="6">
        <v>60</v>
      </c>
      <c r="T907" s="10">
        <f t="shared" si="55"/>
        <v>55</v>
      </c>
      <c r="V907" s="8">
        <v>-0.68108107817173025</v>
      </c>
      <c r="W907" s="8">
        <v>-3.4173203510046006</v>
      </c>
      <c r="X907" s="8">
        <f t="shared" si="54"/>
        <v>2.0313282743692413</v>
      </c>
    </row>
    <row r="908" spans="1:24" x14ac:dyDescent="0.35">
      <c r="A908" s="6" t="s">
        <v>25</v>
      </c>
      <c r="B908" s="7"/>
      <c r="D908" s="6" t="s">
        <v>1061</v>
      </c>
      <c r="E908" s="6">
        <v>3</v>
      </c>
      <c r="F908" s="6">
        <v>29</v>
      </c>
      <c r="G908" s="6" t="s">
        <v>60</v>
      </c>
      <c r="I908" s="8">
        <v>88.488842986111095</v>
      </c>
      <c r="J908" s="8">
        <v>40.1770405555556</v>
      </c>
      <c r="K908" s="6" t="s">
        <v>29</v>
      </c>
      <c r="L908" s="9">
        <v>43887</v>
      </c>
      <c r="N908" s="6">
        <v>22</v>
      </c>
      <c r="O908" s="6" t="s">
        <v>4291</v>
      </c>
      <c r="R908" s="6">
        <v>60</v>
      </c>
      <c r="S908" s="6">
        <v>70</v>
      </c>
      <c r="T908" s="10">
        <f t="shared" si="55"/>
        <v>65</v>
      </c>
      <c r="V908" s="8">
        <v>-0.57257898491621062</v>
      </c>
      <c r="W908" s="8">
        <v>-3.237758994102478</v>
      </c>
      <c r="X908" s="8">
        <f t="shared" si="54"/>
        <v>1.3428728852272069</v>
      </c>
    </row>
    <row r="909" spans="1:24" x14ac:dyDescent="0.35">
      <c r="A909" s="6" t="s">
        <v>25</v>
      </c>
      <c r="B909" s="7"/>
      <c r="D909" s="6" t="s">
        <v>1062</v>
      </c>
      <c r="E909" s="6">
        <v>3</v>
      </c>
      <c r="F909" s="6">
        <v>29</v>
      </c>
      <c r="G909" s="6" t="s">
        <v>60</v>
      </c>
      <c r="I909" s="8">
        <v>88.488842986111095</v>
      </c>
      <c r="J909" s="8">
        <v>40.1770405555556</v>
      </c>
      <c r="K909" s="6" t="s">
        <v>29</v>
      </c>
      <c r="L909" s="9">
        <v>43887</v>
      </c>
      <c r="N909" s="6">
        <v>22</v>
      </c>
      <c r="O909" s="6" t="s">
        <v>4291</v>
      </c>
      <c r="R909" s="6">
        <v>70</v>
      </c>
      <c r="S909" s="6">
        <v>80</v>
      </c>
      <c r="T909" s="10">
        <f t="shared" si="55"/>
        <v>75</v>
      </c>
      <c r="V909" s="8">
        <v>2.4022554561496059E-2</v>
      </c>
      <c r="W909" s="8">
        <v>0.92636449575424273</v>
      </c>
      <c r="X909" s="8">
        <f t="shared" si="54"/>
        <v>0.73418405926227426</v>
      </c>
    </row>
    <row r="910" spans="1:24" x14ac:dyDescent="0.35">
      <c r="A910" s="6" t="s">
        <v>25</v>
      </c>
      <c r="B910" s="7"/>
      <c r="D910" s="6" t="s">
        <v>1063</v>
      </c>
      <c r="E910" s="6">
        <v>3</v>
      </c>
      <c r="F910" s="6">
        <v>29</v>
      </c>
      <c r="G910" s="6" t="s">
        <v>60</v>
      </c>
      <c r="I910" s="8">
        <v>88.488842986111095</v>
      </c>
      <c r="J910" s="8">
        <v>40.1770405555556</v>
      </c>
      <c r="K910" s="6" t="s">
        <v>29</v>
      </c>
      <c r="L910" s="9">
        <v>43887</v>
      </c>
      <c r="N910" s="6">
        <v>22</v>
      </c>
      <c r="O910" s="6" t="s">
        <v>4291</v>
      </c>
      <c r="R910" s="6">
        <v>80</v>
      </c>
      <c r="S910" s="6">
        <v>91</v>
      </c>
      <c r="T910" s="10">
        <f t="shared" si="55"/>
        <v>85.5</v>
      </c>
      <c r="V910" s="8">
        <v>-0.18589999496698439</v>
      </c>
      <c r="W910" s="8">
        <v>-3.6031708717346192E-2</v>
      </c>
      <c r="X910" s="8">
        <f t="shared" si="54"/>
        <v>1.4511682510185289</v>
      </c>
    </row>
    <row r="911" spans="1:24" x14ac:dyDescent="0.35">
      <c r="A911" s="6" t="s">
        <v>25</v>
      </c>
      <c r="B911" s="6" t="s">
        <v>3434</v>
      </c>
      <c r="D911" s="6" t="s">
        <v>3736</v>
      </c>
      <c r="E911" s="6">
        <v>3</v>
      </c>
      <c r="F911" s="6">
        <v>29</v>
      </c>
      <c r="G911" s="6" t="s">
        <v>4038</v>
      </c>
      <c r="I911" s="8">
        <v>88.411555763888913</v>
      </c>
      <c r="J911" s="8">
        <v>36.677855277777752</v>
      </c>
      <c r="K911" s="6" t="s">
        <v>2610</v>
      </c>
      <c r="L911" s="9">
        <v>43888</v>
      </c>
      <c r="N911" s="6">
        <v>22</v>
      </c>
      <c r="O911" s="6" t="s">
        <v>4335</v>
      </c>
      <c r="V911" s="8">
        <v>-1.7739361374855045</v>
      </c>
      <c r="W911" s="8">
        <v>-12.526821105957032</v>
      </c>
      <c r="X911" s="27">
        <f t="shared" si="54"/>
        <v>1.6646679939270044</v>
      </c>
    </row>
    <row r="912" spans="1:24" x14ac:dyDescent="0.35">
      <c r="A912" s="6" t="s">
        <v>25</v>
      </c>
      <c r="B912" s="6" t="s">
        <v>3435</v>
      </c>
      <c r="D912" s="6" t="s">
        <v>3737</v>
      </c>
      <c r="E912" s="6">
        <v>3</v>
      </c>
      <c r="F912" s="6">
        <v>29</v>
      </c>
      <c r="G912" s="6" t="s">
        <v>4039</v>
      </c>
      <c r="I912" s="8">
        <v>88.342715902777741</v>
      </c>
      <c r="J912" s="8">
        <v>33.899277291666664</v>
      </c>
      <c r="K912" s="6" t="s">
        <v>2610</v>
      </c>
      <c r="L912" s="9">
        <v>43889</v>
      </c>
      <c r="N912" s="6">
        <v>22</v>
      </c>
      <c r="O912" s="6" t="s">
        <v>4326</v>
      </c>
      <c r="V912" s="8">
        <v>-1.6936721075057983</v>
      </c>
      <c r="W912" s="8">
        <v>-11.688037811279298</v>
      </c>
      <c r="X912" s="27">
        <f t="shared" si="54"/>
        <v>1.8613390487670891</v>
      </c>
    </row>
    <row r="913" spans="1:24" x14ac:dyDescent="0.35">
      <c r="A913" s="6" t="s">
        <v>25</v>
      </c>
      <c r="B913" s="6" t="s">
        <v>3436</v>
      </c>
      <c r="D913" s="6" t="s">
        <v>3738</v>
      </c>
      <c r="E913" s="6">
        <v>3</v>
      </c>
      <c r="F913" s="6">
        <v>29</v>
      </c>
      <c r="G913" s="6" t="s">
        <v>4040</v>
      </c>
      <c r="I913" s="8">
        <v>88.275889097222205</v>
      </c>
      <c r="J913" s="8">
        <v>31.976771041666701</v>
      </c>
      <c r="K913" s="7" t="s">
        <v>2610</v>
      </c>
      <c r="L913" s="9">
        <v>43890</v>
      </c>
      <c r="N913" s="6">
        <v>22</v>
      </c>
      <c r="O913" s="6" t="s">
        <v>4336</v>
      </c>
      <c r="V913" s="8">
        <v>-1.6471422107696534</v>
      </c>
      <c r="W913" s="8">
        <v>-12.096573120117187</v>
      </c>
      <c r="X913" s="27">
        <f t="shared" si="54"/>
        <v>1.0805645660400405</v>
      </c>
    </row>
    <row r="914" spans="1:24" x14ac:dyDescent="0.35">
      <c r="A914" s="6" t="s">
        <v>25</v>
      </c>
      <c r="D914" s="6" t="s">
        <v>1064</v>
      </c>
      <c r="E914" s="6">
        <v>3</v>
      </c>
      <c r="F914" s="6">
        <v>29</v>
      </c>
      <c r="G914" s="6" t="s">
        <v>60</v>
      </c>
      <c r="I914" s="8">
        <v>88.275889097222205</v>
      </c>
      <c r="J914" s="8">
        <v>31.976771041666701</v>
      </c>
      <c r="K914" s="7" t="s">
        <v>390</v>
      </c>
      <c r="L914" s="9">
        <v>43890</v>
      </c>
      <c r="N914" s="6">
        <v>22</v>
      </c>
      <c r="O914" s="6" t="s">
        <v>4336</v>
      </c>
      <c r="T914" s="10"/>
      <c r="V914" s="8">
        <v>-0.19728867751210921</v>
      </c>
      <c r="W914" s="8">
        <v>-0.56277475051879866</v>
      </c>
      <c r="X914" s="8">
        <f t="shared" si="54"/>
        <v>1.0155346695780749</v>
      </c>
    </row>
    <row r="915" spans="1:24" x14ac:dyDescent="0.35">
      <c r="A915" s="6" t="s">
        <v>25</v>
      </c>
      <c r="D915" s="6" t="s">
        <v>1064</v>
      </c>
      <c r="E915" s="6">
        <v>3</v>
      </c>
      <c r="F915" s="6">
        <v>29</v>
      </c>
      <c r="G915" s="6" t="s">
        <v>60</v>
      </c>
      <c r="I915" s="8">
        <v>88.275889097222205</v>
      </c>
      <c r="J915" s="8">
        <v>31.976771041666701</v>
      </c>
      <c r="K915" s="7" t="s">
        <v>2610</v>
      </c>
      <c r="L915" s="9">
        <v>43890</v>
      </c>
      <c r="N915" s="6">
        <v>22</v>
      </c>
      <c r="O915" s="6" t="s">
        <v>4336</v>
      </c>
      <c r="Q915" s="6">
        <v>500</v>
      </c>
      <c r="S915" s="6">
        <v>500</v>
      </c>
      <c r="T915" s="10">
        <f t="shared" ref="T915:T924" si="56">AVERAGE(R915:S915)</f>
        <v>500</v>
      </c>
      <c r="V915" s="8">
        <v>-1.8300237037897109</v>
      </c>
      <c r="W915" s="8">
        <v>-12.284692974853517</v>
      </c>
      <c r="X915" s="8">
        <f t="shared" si="54"/>
        <v>2.3554966554641705</v>
      </c>
    </row>
    <row r="916" spans="1:24" x14ac:dyDescent="0.35">
      <c r="A916" s="6" t="s">
        <v>25</v>
      </c>
      <c r="D916" s="6" t="s">
        <v>1064</v>
      </c>
      <c r="E916" s="6">
        <v>3</v>
      </c>
      <c r="F916" s="6">
        <v>29</v>
      </c>
      <c r="G916" s="6" t="s">
        <v>60</v>
      </c>
      <c r="I916" s="8">
        <v>88.275889097222205</v>
      </c>
      <c r="J916" s="8">
        <v>31.976771041666701</v>
      </c>
      <c r="K916" s="7" t="s">
        <v>2610</v>
      </c>
      <c r="L916" s="9">
        <v>43890</v>
      </c>
      <c r="N916" s="6">
        <v>22</v>
      </c>
      <c r="O916" s="6" t="s">
        <v>4336</v>
      </c>
      <c r="Q916" s="6">
        <v>1000</v>
      </c>
      <c r="S916" s="6">
        <v>1000</v>
      </c>
      <c r="T916" s="10">
        <f t="shared" si="56"/>
        <v>1000</v>
      </c>
      <c r="V916" s="8">
        <v>-1.8083434737682345</v>
      </c>
      <c r="W916" s="8">
        <v>-12.124610791015625</v>
      </c>
      <c r="X916" s="8">
        <f t="shared" si="54"/>
        <v>2.3421369991302505</v>
      </c>
    </row>
    <row r="917" spans="1:24" x14ac:dyDescent="0.35">
      <c r="A917" s="6" t="s">
        <v>25</v>
      </c>
      <c r="D917" s="6" t="s">
        <v>1064</v>
      </c>
      <c r="E917" s="6">
        <v>3</v>
      </c>
      <c r="F917" s="6">
        <v>29</v>
      </c>
      <c r="G917" s="6" t="s">
        <v>60</v>
      </c>
      <c r="I917" s="8">
        <v>88.275889097222205</v>
      </c>
      <c r="J917" s="8">
        <v>31.976771041666701</v>
      </c>
      <c r="K917" s="7" t="s">
        <v>2610</v>
      </c>
      <c r="L917" s="9">
        <v>43890</v>
      </c>
      <c r="N917" s="6">
        <v>22</v>
      </c>
      <c r="O917" s="6" t="s">
        <v>4336</v>
      </c>
      <c r="Q917" s="6">
        <v>3000</v>
      </c>
      <c r="S917" s="6">
        <v>3000</v>
      </c>
      <c r="T917" s="10">
        <f t="shared" si="56"/>
        <v>3000</v>
      </c>
      <c r="V917" s="8">
        <v>-1.8596673683881766</v>
      </c>
      <c r="W917" s="8">
        <v>-12.368108166503907</v>
      </c>
      <c r="X917" s="8">
        <f t="shared" si="54"/>
        <v>2.5092307806015057</v>
      </c>
    </row>
    <row r="918" spans="1:24" x14ac:dyDescent="0.35">
      <c r="A918" s="6" t="s">
        <v>25</v>
      </c>
      <c r="D918" s="6" t="s">
        <v>1064</v>
      </c>
      <c r="E918" s="6">
        <v>3</v>
      </c>
      <c r="F918" s="6">
        <v>29</v>
      </c>
      <c r="G918" s="6" t="s">
        <v>60</v>
      </c>
      <c r="I918" s="8">
        <v>88.275889097222205</v>
      </c>
      <c r="J918" s="8">
        <v>31.976771041666701</v>
      </c>
      <c r="K918" s="7" t="s">
        <v>2610</v>
      </c>
      <c r="L918" s="9">
        <v>43890</v>
      </c>
      <c r="N918" s="6">
        <v>22</v>
      </c>
      <c r="O918" s="6" t="s">
        <v>4336</v>
      </c>
      <c r="Q918" s="6">
        <v>4000</v>
      </c>
      <c r="S918" s="6">
        <v>4000</v>
      </c>
      <c r="T918" s="10">
        <f t="shared" si="56"/>
        <v>4000</v>
      </c>
      <c r="V918" s="8">
        <v>-1.8938000144720077</v>
      </c>
      <c r="W918" s="8">
        <v>-11.877855664062501</v>
      </c>
      <c r="X918" s="8">
        <f t="shared" si="54"/>
        <v>3.2725444517135607</v>
      </c>
    </row>
    <row r="919" spans="1:24" x14ac:dyDescent="0.35">
      <c r="A919" s="6" t="s">
        <v>25</v>
      </c>
      <c r="D919" s="6" t="s">
        <v>1064</v>
      </c>
      <c r="E919" s="6">
        <v>3</v>
      </c>
      <c r="F919" s="6">
        <v>29</v>
      </c>
      <c r="G919" s="6" t="s">
        <v>60</v>
      </c>
      <c r="I919" s="8">
        <v>88.275889097222205</v>
      </c>
      <c r="J919" s="8">
        <v>31.976771041666701</v>
      </c>
      <c r="K919" s="7" t="s">
        <v>2610</v>
      </c>
      <c r="L919" s="9">
        <v>43890</v>
      </c>
      <c r="N919" s="6">
        <v>22</v>
      </c>
      <c r="O919" s="6" t="s">
        <v>4336</v>
      </c>
      <c r="Q919" s="6">
        <v>4500</v>
      </c>
      <c r="S919" s="6">
        <v>4500</v>
      </c>
      <c r="T919" s="10">
        <f t="shared" si="56"/>
        <v>4500</v>
      </c>
      <c r="V919" s="8">
        <v>-1.8887074844598777</v>
      </c>
      <c r="W919" s="8">
        <v>-12.028853375244141</v>
      </c>
      <c r="X919" s="8">
        <f t="shared" si="54"/>
        <v>3.0808065004348801</v>
      </c>
    </row>
    <row r="920" spans="1:24" x14ac:dyDescent="0.35">
      <c r="A920" s="6" t="s">
        <v>25</v>
      </c>
      <c r="D920" s="6" t="s">
        <v>1064</v>
      </c>
      <c r="E920" s="6">
        <v>3</v>
      </c>
      <c r="F920" s="6">
        <v>29</v>
      </c>
      <c r="G920" s="6" t="s">
        <v>60</v>
      </c>
      <c r="I920" s="8">
        <v>88.275889097222205</v>
      </c>
      <c r="J920" s="8">
        <v>31.976771041666701</v>
      </c>
      <c r="K920" s="7" t="s">
        <v>2610</v>
      </c>
      <c r="L920" s="9">
        <v>43890</v>
      </c>
      <c r="N920" s="6">
        <v>22</v>
      </c>
      <c r="O920" s="6" t="s">
        <v>4336</v>
      </c>
      <c r="Q920" s="6">
        <v>5000</v>
      </c>
      <c r="S920" s="6">
        <v>5000</v>
      </c>
      <c r="T920" s="10">
        <f t="shared" si="56"/>
        <v>5000</v>
      </c>
      <c r="V920" s="8">
        <v>-1.8044129056692118</v>
      </c>
      <c r="W920" s="8">
        <v>-12.988357052612304</v>
      </c>
      <c r="X920" s="8">
        <f t="shared" si="54"/>
        <v>1.4469461927413896</v>
      </c>
    </row>
    <row r="921" spans="1:24" x14ac:dyDescent="0.35">
      <c r="A921" s="6" t="s">
        <v>25</v>
      </c>
      <c r="D921" s="6" t="s">
        <v>1064</v>
      </c>
      <c r="E921" s="6">
        <v>3</v>
      </c>
      <c r="F921" s="6">
        <v>29</v>
      </c>
      <c r="G921" s="6" t="s">
        <v>60</v>
      </c>
      <c r="I921" s="8">
        <v>88.275889097222205</v>
      </c>
      <c r="J921" s="8">
        <v>31.976771041666701</v>
      </c>
      <c r="K921" s="7" t="s">
        <v>2610</v>
      </c>
      <c r="L921" s="9">
        <v>43890</v>
      </c>
      <c r="N921" s="6">
        <v>22</v>
      </c>
      <c r="O921" s="6" t="s">
        <v>4336</v>
      </c>
      <c r="Q921" s="6">
        <v>5500</v>
      </c>
      <c r="S921" s="6">
        <v>5500</v>
      </c>
      <c r="T921" s="10">
        <f t="shared" si="56"/>
        <v>5500</v>
      </c>
      <c r="V921" s="8">
        <v>-1.7723462342977525</v>
      </c>
      <c r="W921" s="8">
        <v>-12.351742153930665</v>
      </c>
      <c r="X921" s="8">
        <f t="shared" si="54"/>
        <v>1.8270277204513548</v>
      </c>
    </row>
    <row r="922" spans="1:24" x14ac:dyDescent="0.35">
      <c r="A922" s="6" t="s">
        <v>25</v>
      </c>
      <c r="D922" s="6" t="s">
        <v>1064</v>
      </c>
      <c r="E922" s="6">
        <v>3</v>
      </c>
      <c r="F922" s="6">
        <v>29</v>
      </c>
      <c r="G922" s="6" t="s">
        <v>60</v>
      </c>
      <c r="I922" s="8">
        <v>88.275889097222205</v>
      </c>
      <c r="J922" s="8">
        <v>31.976771041666701</v>
      </c>
      <c r="K922" s="7" t="s">
        <v>2610</v>
      </c>
      <c r="L922" s="9">
        <v>43890</v>
      </c>
      <c r="N922" s="6">
        <v>22</v>
      </c>
      <c r="O922" s="6" t="s">
        <v>4336</v>
      </c>
      <c r="Q922" s="6">
        <v>6000</v>
      </c>
      <c r="S922" s="6">
        <v>6000</v>
      </c>
      <c r="T922" s="10">
        <f t="shared" si="56"/>
        <v>6000</v>
      </c>
      <c r="V922" s="8">
        <v>-1.542841071581841</v>
      </c>
      <c r="W922" s="8">
        <v>-9.5556401336669925</v>
      </c>
      <c r="X922" s="8">
        <f t="shared" si="54"/>
        <v>2.7870884389877357</v>
      </c>
    </row>
    <row r="923" spans="1:24" x14ac:dyDescent="0.35">
      <c r="A923" s="6" t="s">
        <v>25</v>
      </c>
      <c r="D923" s="6" t="s">
        <v>1064</v>
      </c>
      <c r="E923" s="6">
        <v>3</v>
      </c>
      <c r="F923" s="6">
        <v>29</v>
      </c>
      <c r="G923" s="6" t="s">
        <v>60</v>
      </c>
      <c r="I923" s="8">
        <v>88.275889097222205</v>
      </c>
      <c r="J923" s="8">
        <v>31.976771041666701</v>
      </c>
      <c r="K923" s="7" t="s">
        <v>2610</v>
      </c>
      <c r="L923" s="9">
        <v>43890</v>
      </c>
      <c r="N923" s="6">
        <v>22</v>
      </c>
      <c r="O923" s="6" t="s">
        <v>4336</v>
      </c>
      <c r="Q923" s="6">
        <v>7500</v>
      </c>
      <c r="S923" s="6">
        <v>7500</v>
      </c>
      <c r="T923" s="10">
        <f t="shared" si="56"/>
        <v>7500</v>
      </c>
      <c r="V923" s="8">
        <v>-1.1083691380977634</v>
      </c>
      <c r="W923" s="8">
        <v>-6.4172175453186044</v>
      </c>
      <c r="X923" s="8">
        <f t="shared" si="54"/>
        <v>2.4497355594635026</v>
      </c>
    </row>
    <row r="924" spans="1:24" x14ac:dyDescent="0.35">
      <c r="A924" s="6" t="s">
        <v>25</v>
      </c>
      <c r="D924" s="6" t="s">
        <v>1064</v>
      </c>
      <c r="E924" s="6">
        <v>3</v>
      </c>
      <c r="F924" s="6">
        <v>29</v>
      </c>
      <c r="G924" s="6" t="s">
        <v>60</v>
      </c>
      <c r="I924" s="8">
        <v>88.275889097222205</v>
      </c>
      <c r="J924" s="8">
        <v>31.976771041666701</v>
      </c>
      <c r="K924" s="7" t="s">
        <v>2610</v>
      </c>
      <c r="L924" s="9">
        <v>43890</v>
      </c>
      <c r="N924" s="6">
        <v>22</v>
      </c>
      <c r="O924" s="6" t="s">
        <v>4336</v>
      </c>
      <c r="Q924" s="6">
        <v>10000</v>
      </c>
      <c r="S924" s="6">
        <v>10000</v>
      </c>
      <c r="T924" s="10">
        <f t="shared" si="56"/>
        <v>10000</v>
      </c>
      <c r="V924" s="8">
        <v>-0.89783997566699969</v>
      </c>
      <c r="W924" s="8">
        <v>-3.3709946768760677</v>
      </c>
      <c r="X924" s="8">
        <f t="shared" si="54"/>
        <v>3.8117251284599298</v>
      </c>
    </row>
    <row r="925" spans="1:24" x14ac:dyDescent="0.35">
      <c r="A925" s="6" t="s">
        <v>25</v>
      </c>
      <c r="B925" s="6" t="s">
        <v>3437</v>
      </c>
      <c r="D925" s="6" t="s">
        <v>3739</v>
      </c>
      <c r="E925" s="6">
        <v>3</v>
      </c>
      <c r="F925" s="6">
        <v>29</v>
      </c>
      <c r="G925" s="6" t="s">
        <v>4041</v>
      </c>
      <c r="I925" s="8">
        <v>88.222811249999978</v>
      </c>
      <c r="J925" s="8">
        <v>31.402190277777784</v>
      </c>
      <c r="K925" s="7" t="s">
        <v>2610</v>
      </c>
      <c r="L925" s="9">
        <v>43891</v>
      </c>
      <c r="N925" s="6">
        <v>23</v>
      </c>
      <c r="O925" s="6" t="s">
        <v>4337</v>
      </c>
      <c r="V925" s="8">
        <v>-1.6349049027442928</v>
      </c>
      <c r="W925" s="8">
        <v>-11.481519042968749</v>
      </c>
      <c r="X925" s="27">
        <f t="shared" si="54"/>
        <v>1.5977201789855933</v>
      </c>
    </row>
    <row r="926" spans="1:24" x14ac:dyDescent="0.35">
      <c r="A926" s="6" t="s">
        <v>25</v>
      </c>
      <c r="B926" s="7" t="s">
        <v>1065</v>
      </c>
      <c r="D926" s="6" t="s">
        <v>1066</v>
      </c>
      <c r="E926" s="6">
        <v>3</v>
      </c>
      <c r="F926" s="6">
        <v>30</v>
      </c>
      <c r="G926" s="6" t="s">
        <v>60</v>
      </c>
      <c r="I926" s="8">
        <v>88.184997847222206</v>
      </c>
      <c r="J926" s="8">
        <v>31.048881250000001</v>
      </c>
      <c r="K926" s="7" t="s">
        <v>2610</v>
      </c>
      <c r="L926" s="9">
        <v>43892</v>
      </c>
      <c r="N926" s="6">
        <v>23</v>
      </c>
      <c r="O926" s="6" t="s">
        <v>4338</v>
      </c>
      <c r="Q926" s="10"/>
      <c r="R926" s="10"/>
      <c r="S926" s="10"/>
      <c r="T926" s="10"/>
      <c r="U926" s="11"/>
      <c r="V926" s="8">
        <v>-1.7335335720062257</v>
      </c>
      <c r="W926" s="8">
        <v>-12.161079273223876</v>
      </c>
      <c r="X926" s="8">
        <f t="shared" si="54"/>
        <v>1.7071893028259293</v>
      </c>
    </row>
    <row r="927" spans="1:24" x14ac:dyDescent="0.35">
      <c r="A927" s="6" t="s">
        <v>25</v>
      </c>
      <c r="B927" s="6" t="s">
        <v>3438</v>
      </c>
      <c r="D927" s="6" t="s">
        <v>3740</v>
      </c>
      <c r="E927" s="6">
        <v>3</v>
      </c>
      <c r="F927" s="6">
        <v>30</v>
      </c>
      <c r="G927" s="6" t="s">
        <v>4042</v>
      </c>
      <c r="I927" s="8">
        <v>88.184997847222206</v>
      </c>
      <c r="J927" s="8">
        <v>31.048881250000001</v>
      </c>
      <c r="K927" s="6" t="s">
        <v>2610</v>
      </c>
      <c r="L927" s="9">
        <v>43892</v>
      </c>
      <c r="N927" s="6">
        <v>23</v>
      </c>
      <c r="O927" s="6" t="s">
        <v>4338</v>
      </c>
      <c r="V927" s="8">
        <v>-1.7148347690582275</v>
      </c>
      <c r="W927" s="8">
        <v>-11.652711547851563</v>
      </c>
      <c r="X927" s="27">
        <f t="shared" si="54"/>
        <v>2.0659666046142569</v>
      </c>
    </row>
    <row r="928" spans="1:24" x14ac:dyDescent="0.35">
      <c r="A928" s="6" t="s">
        <v>25</v>
      </c>
      <c r="B928" s="6" t="s">
        <v>2846</v>
      </c>
      <c r="D928" s="6" t="s">
        <v>3130</v>
      </c>
      <c r="E928" s="6">
        <v>3</v>
      </c>
      <c r="F928" s="6">
        <v>30</v>
      </c>
      <c r="G928" s="6" t="s">
        <v>3308</v>
      </c>
      <c r="I928" s="8">
        <v>88.184997847222206</v>
      </c>
      <c r="J928" s="8">
        <v>31.048881250000001</v>
      </c>
      <c r="K928" s="6" t="s">
        <v>198</v>
      </c>
      <c r="L928" s="9">
        <v>43892</v>
      </c>
      <c r="M928" s="18">
        <v>0.58333333333333337</v>
      </c>
      <c r="N928" s="6">
        <v>23</v>
      </c>
      <c r="O928" s="6" t="s">
        <v>4338</v>
      </c>
      <c r="R928" s="6">
        <v>13.5</v>
      </c>
      <c r="S928" s="6">
        <v>10</v>
      </c>
      <c r="V928" s="8">
        <v>-28.192798961639404</v>
      </c>
      <c r="W928" s="8">
        <v>-212.10693550109863</v>
      </c>
      <c r="X928" s="8">
        <f t="shared" si="54"/>
        <v>13.435456192016602</v>
      </c>
    </row>
    <row r="929" spans="1:24" x14ac:dyDescent="0.35">
      <c r="A929" s="6" t="s">
        <v>25</v>
      </c>
      <c r="B929" s="6" t="s">
        <v>3439</v>
      </c>
      <c r="D929" s="6" t="s">
        <v>3741</v>
      </c>
      <c r="E929" s="6">
        <v>3</v>
      </c>
      <c r="F929" s="6">
        <v>30</v>
      </c>
      <c r="G929" s="6" t="s">
        <v>4043</v>
      </c>
      <c r="I929" s="8">
        <v>88.133986458333325</v>
      </c>
      <c r="J929" s="8">
        <v>30.509272222222211</v>
      </c>
      <c r="K929" s="6" t="s">
        <v>2610</v>
      </c>
      <c r="L929" s="9">
        <v>43893</v>
      </c>
      <c r="N929" s="6">
        <v>23</v>
      </c>
      <c r="O929" s="6" t="s">
        <v>4339</v>
      </c>
      <c r="V929" s="8">
        <v>-1.5268590896606451</v>
      </c>
      <c r="W929" s="8">
        <v>-10.876463714599609</v>
      </c>
      <c r="X929" s="27">
        <f t="shared" si="54"/>
        <v>1.3384090026855517</v>
      </c>
    </row>
    <row r="930" spans="1:24" x14ac:dyDescent="0.35">
      <c r="A930" s="6" t="s">
        <v>25</v>
      </c>
      <c r="B930" s="6" t="s">
        <v>3440</v>
      </c>
      <c r="D930" s="6" t="s">
        <v>3742</v>
      </c>
      <c r="E930" s="6">
        <v>3</v>
      </c>
      <c r="F930" s="6">
        <v>30</v>
      </c>
      <c r="G930" s="6" t="s">
        <v>4044</v>
      </c>
      <c r="I930" s="8">
        <v>88.097969444444402</v>
      </c>
      <c r="J930" s="8">
        <v>30.514582083333298</v>
      </c>
      <c r="K930" s="6" t="s">
        <v>2610</v>
      </c>
      <c r="L930" s="9">
        <v>43894</v>
      </c>
      <c r="N930" s="6">
        <v>23</v>
      </c>
      <c r="O930" s="6" t="s">
        <v>4340</v>
      </c>
      <c r="V930" s="8">
        <v>-1.6350841925621038</v>
      </c>
      <c r="W930" s="8">
        <v>-10.803032653808593</v>
      </c>
      <c r="X930" s="27">
        <f t="shared" si="54"/>
        <v>2.2776408866882374</v>
      </c>
    </row>
    <row r="931" spans="1:24" x14ac:dyDescent="0.35">
      <c r="A931" s="6" t="s">
        <v>25</v>
      </c>
      <c r="B931" s="6" t="s">
        <v>2848</v>
      </c>
      <c r="D931" s="6" t="s">
        <v>3131</v>
      </c>
      <c r="E931" s="6">
        <v>3</v>
      </c>
      <c r="F931" s="6">
        <v>30</v>
      </c>
      <c r="G931" s="6" t="s">
        <v>3309</v>
      </c>
      <c r="I931" s="8">
        <v>88.097969444444402</v>
      </c>
      <c r="J931" s="8">
        <v>30.514582083333298</v>
      </c>
      <c r="K931" s="6" t="s">
        <v>198</v>
      </c>
      <c r="L931" s="9">
        <v>43894</v>
      </c>
      <c r="M931" s="18">
        <v>0.45833333333333331</v>
      </c>
      <c r="N931" s="6">
        <v>23</v>
      </c>
      <c r="O931" s="6" t="s">
        <v>4340</v>
      </c>
      <c r="R931" s="6">
        <v>18</v>
      </c>
      <c r="S931" s="6">
        <v>16</v>
      </c>
      <c r="V931" s="8">
        <v>-25.75038540945053</v>
      </c>
      <c r="W931" s="8">
        <v>-188.37222163085937</v>
      </c>
      <c r="X931" s="8">
        <f t="shared" si="54"/>
        <v>17.630861644744868</v>
      </c>
    </row>
    <row r="932" spans="1:24" x14ac:dyDescent="0.35">
      <c r="A932" s="6" t="s">
        <v>25</v>
      </c>
      <c r="B932" s="6" t="s">
        <v>2849</v>
      </c>
      <c r="D932" s="6" t="s">
        <v>3131</v>
      </c>
      <c r="E932" s="6">
        <v>3</v>
      </c>
      <c r="F932" s="6">
        <v>30</v>
      </c>
      <c r="G932" s="6" t="s">
        <v>3309</v>
      </c>
      <c r="I932" s="8">
        <v>88.097969444444402</v>
      </c>
      <c r="J932" s="8">
        <v>30.514582083333298</v>
      </c>
      <c r="K932" s="6" t="s">
        <v>198</v>
      </c>
      <c r="L932" s="9">
        <v>43894</v>
      </c>
      <c r="M932" s="18">
        <v>0.45833333333333331</v>
      </c>
      <c r="N932" s="6">
        <v>23</v>
      </c>
      <c r="O932" s="6" t="s">
        <v>4340</v>
      </c>
      <c r="R932" s="6">
        <v>12.5</v>
      </c>
      <c r="S932" s="6">
        <v>8</v>
      </c>
      <c r="V932" s="8">
        <v>-14.977782784080507</v>
      </c>
      <c r="W932" s="8">
        <v>-109.96962290649414</v>
      </c>
      <c r="X932" s="8">
        <f t="shared" si="54"/>
        <v>9.8526393661499156</v>
      </c>
    </row>
    <row r="933" spans="1:24" x14ac:dyDescent="0.35">
      <c r="A933" s="6" t="s">
        <v>25</v>
      </c>
      <c r="B933" s="6" t="s">
        <v>2850</v>
      </c>
      <c r="D933" s="6" t="s">
        <v>3131</v>
      </c>
      <c r="E933" s="6">
        <v>3</v>
      </c>
      <c r="F933" s="6">
        <v>30</v>
      </c>
      <c r="G933" s="6" t="s">
        <v>3309</v>
      </c>
      <c r="I933" s="8">
        <v>88.097969444444402</v>
      </c>
      <c r="J933" s="8">
        <v>30.514582083333298</v>
      </c>
      <c r="K933" s="6" t="s">
        <v>198</v>
      </c>
      <c r="L933" s="9">
        <v>43894</v>
      </c>
      <c r="M933" s="18">
        <v>0.45833333333333331</v>
      </c>
      <c r="N933" s="6">
        <v>23</v>
      </c>
      <c r="O933" s="6" t="s">
        <v>4340</v>
      </c>
      <c r="R933" s="6">
        <v>5</v>
      </c>
      <c r="S933" s="6">
        <v>1</v>
      </c>
      <c r="V933" s="8">
        <v>-6.6205030941009522</v>
      </c>
      <c r="W933" s="8">
        <v>-62.259956081390378</v>
      </c>
      <c r="X933" s="8">
        <f t="shared" si="54"/>
        <v>-9.2959313285827605</v>
      </c>
    </row>
    <row r="934" spans="1:24" x14ac:dyDescent="0.35">
      <c r="A934" s="6" t="s">
        <v>25</v>
      </c>
      <c r="B934" s="7"/>
      <c r="D934" s="6" t="s">
        <v>1067</v>
      </c>
      <c r="E934" s="6">
        <v>3</v>
      </c>
      <c r="F934" s="6">
        <v>30</v>
      </c>
      <c r="G934" s="6" t="s">
        <v>60</v>
      </c>
      <c r="I934" s="8">
        <v>88.097969444444402</v>
      </c>
      <c r="J934" s="8">
        <v>30.514582083333298</v>
      </c>
      <c r="K934" s="6" t="s">
        <v>897</v>
      </c>
      <c r="L934" s="9">
        <v>43894</v>
      </c>
      <c r="N934" s="6">
        <v>23</v>
      </c>
      <c r="O934" s="6" t="s">
        <v>4340</v>
      </c>
      <c r="R934" s="6">
        <v>0</v>
      </c>
      <c r="S934" s="6">
        <v>0</v>
      </c>
      <c r="T934" s="10">
        <f>AVERAGE(R934:S934)</f>
        <v>0</v>
      </c>
      <c r="V934" s="8">
        <v>-20.997996973571777</v>
      </c>
      <c r="W934" s="8">
        <v>-148.68078475952149</v>
      </c>
      <c r="X934" s="8">
        <f t="shared" si="54"/>
        <v>19.303191029052726</v>
      </c>
    </row>
    <row r="935" spans="1:24" x14ac:dyDescent="0.35">
      <c r="A935" s="6" t="s">
        <v>25</v>
      </c>
      <c r="B935" s="7" t="s">
        <v>1068</v>
      </c>
      <c r="D935" s="6" t="s">
        <v>1069</v>
      </c>
      <c r="E935" s="6">
        <v>3</v>
      </c>
      <c r="F935" s="6">
        <v>30</v>
      </c>
      <c r="G935" s="6" t="s">
        <v>60</v>
      </c>
      <c r="I935" s="8">
        <v>88.093644166666706</v>
      </c>
      <c r="J935" s="8">
        <v>30.7672892361111</v>
      </c>
      <c r="K935" s="7" t="s">
        <v>2610</v>
      </c>
      <c r="L935" s="9">
        <v>43895</v>
      </c>
      <c r="N935" s="6">
        <v>23</v>
      </c>
      <c r="O935" s="6" t="s">
        <v>4341</v>
      </c>
      <c r="Q935" s="10">
        <v>500</v>
      </c>
      <c r="R935" s="10"/>
      <c r="S935" s="10">
        <v>500</v>
      </c>
      <c r="T935" s="10">
        <f>AVERAGE(R935:S935)</f>
        <v>500</v>
      </c>
      <c r="U935" s="11"/>
      <c r="V935" s="8">
        <v>-1.7703055785179138</v>
      </c>
      <c r="W935" s="8">
        <v>-11.979161699295044</v>
      </c>
      <c r="X935" s="8">
        <f t="shared" si="54"/>
        <v>2.183282928848266</v>
      </c>
    </row>
    <row r="936" spans="1:24" x14ac:dyDescent="0.35">
      <c r="A936" s="6" t="s">
        <v>25</v>
      </c>
      <c r="B936" s="6" t="s">
        <v>3441</v>
      </c>
      <c r="D936" s="6" t="s">
        <v>3743</v>
      </c>
      <c r="E936" s="6">
        <v>3</v>
      </c>
      <c r="F936" s="6">
        <v>30</v>
      </c>
      <c r="G936" s="6" t="s">
        <v>4045</v>
      </c>
      <c r="I936" s="8">
        <v>88.093644166666706</v>
      </c>
      <c r="J936" s="8">
        <v>30.7672892361111</v>
      </c>
      <c r="K936" s="6" t="s">
        <v>2610</v>
      </c>
      <c r="L936" s="9">
        <v>43895</v>
      </c>
      <c r="N936" s="6">
        <v>23</v>
      </c>
      <c r="O936" s="6" t="s">
        <v>4341</v>
      </c>
      <c r="V936" s="8">
        <v>-1.653783593940735</v>
      </c>
      <c r="W936" s="8">
        <v>-10.922996826171875</v>
      </c>
      <c r="X936" s="27">
        <f t="shared" si="54"/>
        <v>2.307271925354005</v>
      </c>
    </row>
    <row r="937" spans="1:24" x14ac:dyDescent="0.35">
      <c r="A937" s="6" t="s">
        <v>25</v>
      </c>
      <c r="B937" s="6" t="s">
        <v>3442</v>
      </c>
      <c r="D937" s="6" t="s">
        <v>3744</v>
      </c>
      <c r="E937" s="6">
        <v>3</v>
      </c>
      <c r="F937" s="6">
        <v>30</v>
      </c>
      <c r="G937" s="6" t="s">
        <v>4046</v>
      </c>
      <c r="I937" s="8">
        <v>88.097994791666693</v>
      </c>
      <c r="J937" s="8">
        <v>29.473376875</v>
      </c>
      <c r="K937" s="6" t="s">
        <v>2610</v>
      </c>
      <c r="L937" s="9">
        <v>43896</v>
      </c>
      <c r="N937" s="6">
        <v>23</v>
      </c>
      <c r="O937" s="6" t="s">
        <v>4342</v>
      </c>
      <c r="V937" s="8">
        <v>-1.5867511285781859</v>
      </c>
      <c r="W937" s="8">
        <v>-11.707494659614563</v>
      </c>
      <c r="X937" s="27">
        <f t="shared" si="54"/>
        <v>0.9865143690109246</v>
      </c>
    </row>
    <row r="938" spans="1:24" x14ac:dyDescent="0.35">
      <c r="A938" s="6" t="s">
        <v>25</v>
      </c>
      <c r="B938" s="7"/>
      <c r="D938" s="6" t="s">
        <v>1070</v>
      </c>
      <c r="E938" s="6">
        <v>3</v>
      </c>
      <c r="F938" s="6">
        <v>30</v>
      </c>
      <c r="I938" s="8">
        <v>88.097994791666693</v>
      </c>
      <c r="J938" s="8">
        <v>29.473376875</v>
      </c>
      <c r="K938" s="6" t="s">
        <v>29</v>
      </c>
      <c r="L938" s="9">
        <v>43896</v>
      </c>
      <c r="N938" s="6">
        <v>23</v>
      </c>
      <c r="O938" s="6" t="s">
        <v>4342</v>
      </c>
      <c r="R938" s="6">
        <v>0</v>
      </c>
      <c r="S938" s="6">
        <v>0</v>
      </c>
      <c r="T938" s="10">
        <f t="shared" ref="T938:T946" si="57">AVERAGE(R938:S938)</f>
        <v>0</v>
      </c>
      <c r="V938" s="8">
        <v>-6.448916454315186</v>
      </c>
      <c r="W938" s="8">
        <v>-47.262799209594725</v>
      </c>
      <c r="X938" s="8">
        <f t="shared" si="54"/>
        <v>4.3285324249267632</v>
      </c>
    </row>
    <row r="939" spans="1:24" x14ac:dyDescent="0.35">
      <c r="A939" s="6" t="s">
        <v>25</v>
      </c>
      <c r="B939" s="7"/>
      <c r="D939" s="6" t="s">
        <v>1071</v>
      </c>
      <c r="E939" s="6">
        <v>3</v>
      </c>
      <c r="F939" s="6">
        <v>30</v>
      </c>
      <c r="I939" s="8">
        <v>88.097994791666693</v>
      </c>
      <c r="J939" s="8">
        <v>29.473376875</v>
      </c>
      <c r="K939" s="6" t="s">
        <v>390</v>
      </c>
      <c r="L939" s="9">
        <v>43896</v>
      </c>
      <c r="N939" s="6">
        <v>23</v>
      </c>
      <c r="O939" s="6" t="s">
        <v>4342</v>
      </c>
      <c r="R939" s="6">
        <v>0</v>
      </c>
      <c r="S939" s="6">
        <v>10</v>
      </c>
      <c r="T939" s="10">
        <f t="shared" si="57"/>
        <v>5</v>
      </c>
      <c r="V939" s="8">
        <v>-0.82889043969154352</v>
      </c>
      <c r="W939" s="8">
        <v>-7.4022756361961362</v>
      </c>
      <c r="X939" s="8">
        <f t="shared" si="54"/>
        <v>-0.77115211866378797</v>
      </c>
    </row>
    <row r="940" spans="1:24" x14ac:dyDescent="0.35">
      <c r="A940" s="6" t="s">
        <v>25</v>
      </c>
      <c r="B940" s="7"/>
      <c r="D940" s="6" t="s">
        <v>1072</v>
      </c>
      <c r="E940" s="6">
        <v>3</v>
      </c>
      <c r="F940" s="6">
        <v>30</v>
      </c>
      <c r="I940" s="8">
        <v>88.097994791666693</v>
      </c>
      <c r="J940" s="8">
        <v>29.473376875</v>
      </c>
      <c r="K940" s="6" t="s">
        <v>390</v>
      </c>
      <c r="L940" s="9">
        <v>43896</v>
      </c>
      <c r="N940" s="6">
        <v>23</v>
      </c>
      <c r="O940" s="6" t="s">
        <v>4342</v>
      </c>
      <c r="R940" s="6">
        <v>10</v>
      </c>
      <c r="S940" s="6">
        <v>20</v>
      </c>
      <c r="T940" s="10">
        <f t="shared" si="57"/>
        <v>15</v>
      </c>
      <c r="V940" s="8">
        <v>-0.88232511849403383</v>
      </c>
      <c r="W940" s="8">
        <v>-4.9031359638199206</v>
      </c>
      <c r="X940" s="8">
        <f t="shared" si="54"/>
        <v>2.1554649841323501</v>
      </c>
    </row>
    <row r="941" spans="1:24" x14ac:dyDescent="0.35">
      <c r="A941" s="6" t="s">
        <v>25</v>
      </c>
      <c r="B941" s="7"/>
      <c r="D941" s="6" t="s">
        <v>1073</v>
      </c>
      <c r="E941" s="6">
        <v>3</v>
      </c>
      <c r="F941" s="6">
        <v>30</v>
      </c>
      <c r="I941" s="8">
        <v>88.097994791666693</v>
      </c>
      <c r="J941" s="8">
        <v>29.473376875</v>
      </c>
      <c r="K941" s="6" t="s">
        <v>390</v>
      </c>
      <c r="L941" s="9">
        <v>43896</v>
      </c>
      <c r="N941" s="6">
        <v>23</v>
      </c>
      <c r="O941" s="6" t="s">
        <v>4342</v>
      </c>
      <c r="R941" s="6">
        <v>20</v>
      </c>
      <c r="S941" s="6">
        <v>30</v>
      </c>
      <c r="T941" s="10">
        <f t="shared" si="57"/>
        <v>25</v>
      </c>
      <c r="V941" s="8">
        <v>-0.7904052822351455</v>
      </c>
      <c r="W941" s="8">
        <v>-4.6401333576738839</v>
      </c>
      <c r="X941" s="8">
        <f t="shared" si="54"/>
        <v>1.6831089002072801</v>
      </c>
    </row>
    <row r="942" spans="1:24" x14ac:dyDescent="0.35">
      <c r="A942" s="6" t="s">
        <v>25</v>
      </c>
      <c r="B942" s="7"/>
      <c r="D942" s="6" t="s">
        <v>1074</v>
      </c>
      <c r="E942" s="6">
        <v>3</v>
      </c>
      <c r="F942" s="6">
        <v>30</v>
      </c>
      <c r="I942" s="8">
        <v>88.097994791666693</v>
      </c>
      <c r="J942" s="8">
        <v>29.473376875</v>
      </c>
      <c r="K942" s="6" t="s">
        <v>390</v>
      </c>
      <c r="L942" s="9">
        <v>43896</v>
      </c>
      <c r="N942" s="6">
        <v>23</v>
      </c>
      <c r="O942" s="6" t="s">
        <v>4342</v>
      </c>
      <c r="R942" s="6">
        <v>30</v>
      </c>
      <c r="S942" s="6">
        <v>40</v>
      </c>
      <c r="T942" s="10">
        <f t="shared" si="57"/>
        <v>35</v>
      </c>
      <c r="V942" s="8">
        <v>-0.73871148452758806</v>
      </c>
      <c r="W942" s="8">
        <v>-4.6098189711868756</v>
      </c>
      <c r="X942" s="8">
        <f t="shared" si="54"/>
        <v>1.2998729050338289</v>
      </c>
    </row>
    <row r="943" spans="1:24" x14ac:dyDescent="0.35">
      <c r="A943" s="6" t="s">
        <v>25</v>
      </c>
      <c r="B943" s="7"/>
      <c r="D943" s="6" t="s">
        <v>1075</v>
      </c>
      <c r="E943" s="6">
        <v>3</v>
      </c>
      <c r="F943" s="6">
        <v>30</v>
      </c>
      <c r="I943" s="8">
        <v>88.097994791666693</v>
      </c>
      <c r="J943" s="8">
        <v>29.473376875</v>
      </c>
      <c r="K943" s="6" t="s">
        <v>390</v>
      </c>
      <c r="L943" s="9">
        <v>43896</v>
      </c>
      <c r="N943" s="6">
        <v>23</v>
      </c>
      <c r="O943" s="6" t="s">
        <v>4342</v>
      </c>
      <c r="R943" s="6">
        <v>40</v>
      </c>
      <c r="S943" s="6">
        <v>50</v>
      </c>
      <c r="T943" s="10">
        <f t="shared" si="57"/>
        <v>45</v>
      </c>
      <c r="V943" s="8">
        <v>-0.58222546100616501</v>
      </c>
      <c r="W943" s="8">
        <v>-3.5633524718284608</v>
      </c>
      <c r="X943" s="8">
        <f t="shared" si="54"/>
        <v>1.0944512162208593</v>
      </c>
    </row>
    <row r="944" spans="1:24" x14ac:dyDescent="0.35">
      <c r="A944" s="6" t="s">
        <v>25</v>
      </c>
      <c r="B944" s="7"/>
      <c r="D944" s="6" t="s">
        <v>1076</v>
      </c>
      <c r="E944" s="6">
        <v>3</v>
      </c>
      <c r="F944" s="6">
        <v>30</v>
      </c>
      <c r="I944" s="8">
        <v>88.097994791666693</v>
      </c>
      <c r="J944" s="8">
        <v>29.473376875</v>
      </c>
      <c r="K944" s="6" t="s">
        <v>390</v>
      </c>
      <c r="L944" s="9">
        <v>43896</v>
      </c>
      <c r="N944" s="6">
        <v>23</v>
      </c>
      <c r="O944" s="6" t="s">
        <v>4342</v>
      </c>
      <c r="R944" s="6">
        <v>50</v>
      </c>
      <c r="S944" s="6">
        <v>60</v>
      </c>
      <c r="T944" s="10">
        <f t="shared" si="57"/>
        <v>55</v>
      </c>
      <c r="V944" s="8">
        <v>-0.47143958926200902</v>
      </c>
      <c r="W944" s="8">
        <v>-2.791330916404724</v>
      </c>
      <c r="X944" s="8">
        <f t="shared" si="54"/>
        <v>0.98018579769134817</v>
      </c>
    </row>
    <row r="945" spans="1:24" x14ac:dyDescent="0.35">
      <c r="A945" s="6" t="s">
        <v>25</v>
      </c>
      <c r="B945" s="7"/>
      <c r="D945" s="6" t="s">
        <v>1077</v>
      </c>
      <c r="E945" s="6">
        <v>3</v>
      </c>
      <c r="F945" s="6">
        <v>30</v>
      </c>
      <c r="I945" s="8">
        <v>88.097994791666693</v>
      </c>
      <c r="J945" s="8">
        <v>29.473376875</v>
      </c>
      <c r="K945" s="6" t="s">
        <v>390</v>
      </c>
      <c r="L945" s="9">
        <v>43896</v>
      </c>
      <c r="N945" s="6">
        <v>23</v>
      </c>
      <c r="O945" s="6" t="s">
        <v>4342</v>
      </c>
      <c r="R945" s="6">
        <v>70</v>
      </c>
      <c r="S945" s="6">
        <v>80</v>
      </c>
      <c r="T945" s="10">
        <f t="shared" si="57"/>
        <v>75</v>
      </c>
      <c r="V945" s="8">
        <v>-3.8731249496341005E-2</v>
      </c>
      <c r="W945" s="8">
        <v>-0.37134383010864086</v>
      </c>
      <c r="X945" s="8">
        <f t="shared" si="54"/>
        <v>-6.1493834137912817E-2</v>
      </c>
    </row>
    <row r="946" spans="1:24" x14ac:dyDescent="0.35">
      <c r="A946" s="6" t="s">
        <v>25</v>
      </c>
      <c r="B946" s="7"/>
      <c r="D946" s="6" t="s">
        <v>1078</v>
      </c>
      <c r="E946" s="6">
        <v>3</v>
      </c>
      <c r="F946" s="6">
        <v>30</v>
      </c>
      <c r="I946" s="8">
        <v>88.097994791666693</v>
      </c>
      <c r="J946" s="8">
        <v>29.473376875</v>
      </c>
      <c r="K946" s="6" t="s">
        <v>390</v>
      </c>
      <c r="L946" s="9">
        <v>43896</v>
      </c>
      <c r="N946" s="6">
        <v>23</v>
      </c>
      <c r="O946" s="6" t="s">
        <v>4342</v>
      </c>
      <c r="R946" s="6">
        <v>80</v>
      </c>
      <c r="S946" s="6">
        <v>90</v>
      </c>
      <c r="T946" s="10">
        <f t="shared" si="57"/>
        <v>85</v>
      </c>
      <c r="V946" s="8">
        <v>0.186779688596725</v>
      </c>
      <c r="W946" s="8">
        <v>2.0824895324707029</v>
      </c>
      <c r="X946" s="8">
        <f t="shared" si="54"/>
        <v>0.58825202369690288</v>
      </c>
    </row>
    <row r="947" spans="1:24" x14ac:dyDescent="0.35">
      <c r="A947" s="6" t="s">
        <v>25</v>
      </c>
      <c r="B947" s="6" t="s">
        <v>3443</v>
      </c>
      <c r="D947" s="6" t="s">
        <v>3745</v>
      </c>
      <c r="E947" s="6">
        <v>3</v>
      </c>
      <c r="F947" s="6">
        <v>30</v>
      </c>
      <c r="G947" s="6" t="s">
        <v>4047</v>
      </c>
      <c r="I947" s="8">
        <v>88.066859375000007</v>
      </c>
      <c r="J947" s="8">
        <v>26.8118410416667</v>
      </c>
      <c r="K947" s="6" t="s">
        <v>2610</v>
      </c>
      <c r="L947" s="9">
        <v>43897</v>
      </c>
      <c r="N947" s="6">
        <v>23</v>
      </c>
      <c r="O947" s="6" t="s">
        <v>4325</v>
      </c>
      <c r="V947" s="8">
        <v>-1.368231725692749</v>
      </c>
      <c r="W947" s="8">
        <v>-11.762242504119873</v>
      </c>
      <c r="X947" s="27">
        <f t="shared" si="54"/>
        <v>-0.81638869857788166</v>
      </c>
    </row>
    <row r="948" spans="1:24" x14ac:dyDescent="0.35">
      <c r="A948" s="6" t="s">
        <v>25</v>
      </c>
      <c r="B948" s="7"/>
      <c r="D948" s="6" t="s">
        <v>1079</v>
      </c>
      <c r="E948" s="6">
        <v>3</v>
      </c>
      <c r="F948" s="6">
        <v>30</v>
      </c>
      <c r="I948" s="8">
        <v>88.066859375000007</v>
      </c>
      <c r="J948" s="8">
        <v>26.8118410416667</v>
      </c>
      <c r="K948" s="6" t="s">
        <v>390</v>
      </c>
      <c r="L948" s="9">
        <v>43897</v>
      </c>
      <c r="N948" s="6">
        <v>23</v>
      </c>
      <c r="O948" s="6" t="s">
        <v>4325</v>
      </c>
      <c r="R948" s="6">
        <v>0</v>
      </c>
      <c r="S948" s="6">
        <v>0</v>
      </c>
      <c r="T948" s="10">
        <f>AVERAGE(R948:S948)</f>
        <v>0</v>
      </c>
      <c r="V948" s="8">
        <v>-1.5524504285430911</v>
      </c>
      <c r="W948" s="8">
        <v>-11.05695523262024</v>
      </c>
      <c r="X948" s="8">
        <f t="shared" si="54"/>
        <v>1.3626481957244891</v>
      </c>
    </row>
    <row r="949" spans="1:24" x14ac:dyDescent="0.35">
      <c r="A949" s="6" t="s">
        <v>25</v>
      </c>
      <c r="B949" s="7"/>
      <c r="D949" s="6" t="s">
        <v>1080</v>
      </c>
      <c r="E949" s="6">
        <v>3</v>
      </c>
      <c r="F949" s="6">
        <v>30</v>
      </c>
      <c r="I949" s="8">
        <v>88.066859375000007</v>
      </c>
      <c r="J949" s="8">
        <v>26.8118410416667</v>
      </c>
      <c r="K949" s="6" t="s">
        <v>390</v>
      </c>
      <c r="L949" s="9">
        <v>43897</v>
      </c>
      <c r="N949" s="6">
        <v>23</v>
      </c>
      <c r="O949" s="6" t="s">
        <v>4325</v>
      </c>
      <c r="R949" s="6">
        <v>0</v>
      </c>
      <c r="S949" s="6">
        <v>0</v>
      </c>
      <c r="T949" s="10">
        <f>AVERAGE(R949:S949)</f>
        <v>0</v>
      </c>
      <c r="V949" s="8">
        <v>-1.0486930919265744</v>
      </c>
      <c r="W949" s="8">
        <v>-7.6579277348518371</v>
      </c>
      <c r="X949" s="8">
        <f t="shared" si="54"/>
        <v>0.73161700056075851</v>
      </c>
    </row>
    <row r="950" spans="1:24" x14ac:dyDescent="0.35">
      <c r="A950" s="6" t="s">
        <v>25</v>
      </c>
      <c r="B950" s="7"/>
      <c r="D950" s="6" t="s">
        <v>1081</v>
      </c>
      <c r="E950" s="6">
        <v>3</v>
      </c>
      <c r="F950" s="6">
        <v>30</v>
      </c>
      <c r="I950" s="8">
        <v>88.066859375000007</v>
      </c>
      <c r="J950" s="8">
        <v>26.8118410416667</v>
      </c>
      <c r="K950" s="6" t="s">
        <v>390</v>
      </c>
      <c r="L950" s="9">
        <v>43897</v>
      </c>
      <c r="N950" s="6">
        <v>23</v>
      </c>
      <c r="O950" s="6" t="s">
        <v>4325</v>
      </c>
      <c r="R950" s="6">
        <v>0</v>
      </c>
      <c r="S950" s="6">
        <v>0</v>
      </c>
      <c r="T950" s="10">
        <f>AVERAGE(R950:S950)</f>
        <v>0</v>
      </c>
      <c r="V950" s="8">
        <v>-1.1193201413726805</v>
      </c>
      <c r="W950" s="8">
        <v>-7.4095859551429744</v>
      </c>
      <c r="X950" s="8">
        <f t="shared" si="54"/>
        <v>1.54497517583847</v>
      </c>
    </row>
    <row r="951" spans="1:24" x14ac:dyDescent="0.35">
      <c r="A951" s="6" t="s">
        <v>25</v>
      </c>
      <c r="B951" s="6" t="s">
        <v>3444</v>
      </c>
      <c r="D951" s="6" t="s">
        <v>3746</v>
      </c>
      <c r="E951" s="6">
        <v>3</v>
      </c>
      <c r="F951" s="6">
        <v>30</v>
      </c>
      <c r="G951" s="6" t="s">
        <v>4048</v>
      </c>
      <c r="I951" s="8">
        <v>88.010412083333307</v>
      </c>
      <c r="J951" s="8">
        <v>25.052633749999998</v>
      </c>
      <c r="K951" s="6" t="s">
        <v>2610</v>
      </c>
      <c r="L951" s="9">
        <v>43898</v>
      </c>
      <c r="N951" s="6">
        <v>23</v>
      </c>
      <c r="O951" s="6" t="s">
        <v>4321</v>
      </c>
      <c r="V951" s="8">
        <v>-1.617524099349976</v>
      </c>
      <c r="W951" s="8">
        <v>-11.47449105834961</v>
      </c>
      <c r="X951" s="27">
        <f t="shared" si="54"/>
        <v>1.4657017364501979</v>
      </c>
    </row>
    <row r="952" spans="1:24" x14ac:dyDescent="0.35">
      <c r="A952" s="6" t="s">
        <v>25</v>
      </c>
      <c r="B952" s="6" t="s">
        <v>3445</v>
      </c>
      <c r="D952" s="6" t="s">
        <v>3747</v>
      </c>
      <c r="E952" s="6">
        <v>3</v>
      </c>
      <c r="F952" s="6">
        <v>31</v>
      </c>
      <c r="G952" s="6" t="s">
        <v>4049</v>
      </c>
      <c r="I952" s="8">
        <v>87.889566388888895</v>
      </c>
      <c r="J952" s="8">
        <v>24.107920208333301</v>
      </c>
      <c r="K952" s="6" t="s">
        <v>2610</v>
      </c>
      <c r="L952" s="9">
        <v>43899</v>
      </c>
      <c r="N952" s="6">
        <v>24</v>
      </c>
      <c r="O952" s="6" t="s">
        <v>4343</v>
      </c>
      <c r="V952" s="8">
        <v>-1.693986010551453</v>
      </c>
      <c r="W952" s="8">
        <v>-11.922124305725099</v>
      </c>
      <c r="X952" s="27">
        <f t="shared" si="54"/>
        <v>1.6297637786865256</v>
      </c>
    </row>
    <row r="953" spans="1:24" x14ac:dyDescent="0.35">
      <c r="A953" s="6" t="s">
        <v>25</v>
      </c>
      <c r="B953" s="7"/>
      <c r="D953" s="6" t="s">
        <v>1082</v>
      </c>
      <c r="E953" s="6">
        <v>3</v>
      </c>
      <c r="F953" s="6">
        <v>31</v>
      </c>
      <c r="G953" s="6" t="s">
        <v>179</v>
      </c>
      <c r="I953" s="8">
        <v>87.889566388888895</v>
      </c>
      <c r="J953" s="8">
        <v>24.107920208333301</v>
      </c>
      <c r="K953" s="6" t="s">
        <v>29</v>
      </c>
      <c r="L953" s="9">
        <v>43899</v>
      </c>
      <c r="N953" s="6">
        <v>24</v>
      </c>
      <c r="O953" s="6" t="s">
        <v>4343</v>
      </c>
      <c r="R953" s="6">
        <v>0</v>
      </c>
      <c r="S953" s="6">
        <v>10</v>
      </c>
      <c r="T953" s="10">
        <f t="shared" ref="T953:T966" si="58">AVERAGE(R953:S953)</f>
        <v>5</v>
      </c>
      <c r="V953" s="8">
        <v>-2.650490047988892</v>
      </c>
      <c r="W953" s="8">
        <v>-22.38780714035034</v>
      </c>
      <c r="X953" s="8">
        <f t="shared" si="54"/>
        <v>-1.1838867564392039</v>
      </c>
    </row>
    <row r="954" spans="1:24" x14ac:dyDescent="0.35">
      <c r="A954" s="6" t="s">
        <v>25</v>
      </c>
      <c r="B954" s="7"/>
      <c r="D954" s="6" t="s">
        <v>1083</v>
      </c>
      <c r="E954" s="6">
        <v>3</v>
      </c>
      <c r="F954" s="6">
        <v>31</v>
      </c>
      <c r="G954" s="6" t="s">
        <v>179</v>
      </c>
      <c r="I954" s="8">
        <v>87.889566388888895</v>
      </c>
      <c r="J954" s="8">
        <v>24.107920208333301</v>
      </c>
      <c r="K954" s="6" t="s">
        <v>29</v>
      </c>
      <c r="L954" s="9">
        <v>43899</v>
      </c>
      <c r="N954" s="6">
        <v>24</v>
      </c>
      <c r="O954" s="6" t="s">
        <v>4343</v>
      </c>
      <c r="R954" s="6">
        <v>10</v>
      </c>
      <c r="S954" s="6">
        <v>20</v>
      </c>
      <c r="T954" s="10">
        <f t="shared" si="58"/>
        <v>15</v>
      </c>
      <c r="V954" s="8">
        <v>-2.350683481750488</v>
      </c>
      <c r="W954" s="8">
        <v>-17.73508723258972</v>
      </c>
      <c r="X954" s="8">
        <f t="shared" si="54"/>
        <v>1.0703806214141842</v>
      </c>
    </row>
    <row r="955" spans="1:24" x14ac:dyDescent="0.35">
      <c r="A955" s="6" t="s">
        <v>25</v>
      </c>
      <c r="B955" s="7"/>
      <c r="D955" s="6" t="s">
        <v>1084</v>
      </c>
      <c r="E955" s="6">
        <v>3</v>
      </c>
      <c r="F955" s="6">
        <v>31</v>
      </c>
      <c r="G955" s="6" t="s">
        <v>179</v>
      </c>
      <c r="I955" s="8">
        <v>87.889566388888895</v>
      </c>
      <c r="J955" s="8">
        <v>24.107920208333301</v>
      </c>
      <c r="K955" s="6" t="s">
        <v>29</v>
      </c>
      <c r="L955" s="9">
        <v>43899</v>
      </c>
      <c r="N955" s="6">
        <v>24</v>
      </c>
      <c r="O955" s="6" t="s">
        <v>4343</v>
      </c>
      <c r="R955" s="6">
        <v>20</v>
      </c>
      <c r="S955" s="6">
        <v>30</v>
      </c>
      <c r="T955" s="10">
        <f t="shared" si="58"/>
        <v>25</v>
      </c>
      <c r="V955" s="8">
        <v>1.0634967728233335</v>
      </c>
      <c r="W955" s="8">
        <v>7.5684173774719232</v>
      </c>
      <c r="X955" s="8">
        <f t="shared" si="54"/>
        <v>-0.93955680511474515</v>
      </c>
    </row>
    <row r="956" spans="1:24" x14ac:dyDescent="0.35">
      <c r="A956" s="6" t="s">
        <v>25</v>
      </c>
      <c r="B956" s="7"/>
      <c r="D956" s="6" t="s">
        <v>1085</v>
      </c>
      <c r="E956" s="6">
        <v>3</v>
      </c>
      <c r="F956" s="6">
        <v>31</v>
      </c>
      <c r="G956" s="6" t="s">
        <v>179</v>
      </c>
      <c r="I956" s="8">
        <v>87.889566388888895</v>
      </c>
      <c r="J956" s="8">
        <v>24.107920208333301</v>
      </c>
      <c r="K956" s="6" t="s">
        <v>29</v>
      </c>
      <c r="L956" s="9">
        <v>43899</v>
      </c>
      <c r="N956" s="6">
        <v>24</v>
      </c>
      <c r="O956" s="6" t="s">
        <v>4343</v>
      </c>
      <c r="R956" s="6">
        <v>30</v>
      </c>
      <c r="S956" s="6">
        <v>40</v>
      </c>
      <c r="T956" s="10">
        <f t="shared" si="58"/>
        <v>35</v>
      </c>
      <c r="V956" s="8">
        <v>0.93876227622985886</v>
      </c>
      <c r="W956" s="8">
        <v>7.3267961883544919</v>
      </c>
      <c r="X956" s="8">
        <f t="shared" si="54"/>
        <v>-0.18330202148437902</v>
      </c>
    </row>
    <row r="957" spans="1:24" x14ac:dyDescent="0.35">
      <c r="A957" s="6" t="s">
        <v>25</v>
      </c>
      <c r="B957" s="7"/>
      <c r="D957" s="6" t="s">
        <v>1086</v>
      </c>
      <c r="E957" s="6">
        <v>3</v>
      </c>
      <c r="F957" s="6">
        <v>31</v>
      </c>
      <c r="G957" s="6" t="s">
        <v>179</v>
      </c>
      <c r="I957" s="8">
        <v>87.889566388888895</v>
      </c>
      <c r="J957" s="8">
        <v>24.107920208333301</v>
      </c>
      <c r="K957" s="6" t="s">
        <v>29</v>
      </c>
      <c r="L957" s="9">
        <v>43899</v>
      </c>
      <c r="N957" s="6">
        <v>24</v>
      </c>
      <c r="O957" s="6" t="s">
        <v>4343</v>
      </c>
      <c r="R957" s="6">
        <v>40</v>
      </c>
      <c r="S957" s="6">
        <v>50</v>
      </c>
      <c r="T957" s="10">
        <f t="shared" si="58"/>
        <v>45</v>
      </c>
      <c r="V957" s="8">
        <v>0.75868919569015536</v>
      </c>
      <c r="W957" s="8">
        <v>6.0777644824981687</v>
      </c>
      <c r="X957" s="8">
        <f t="shared" si="54"/>
        <v>8.250916976925815E-3</v>
      </c>
    </row>
    <row r="958" spans="1:24" x14ac:dyDescent="0.35">
      <c r="A958" s="6" t="s">
        <v>25</v>
      </c>
      <c r="B958" s="7"/>
      <c r="D958" s="6" t="s">
        <v>1087</v>
      </c>
      <c r="E958" s="6">
        <v>3</v>
      </c>
      <c r="F958" s="6">
        <v>31</v>
      </c>
      <c r="G958" s="6" t="s">
        <v>179</v>
      </c>
      <c r="I958" s="8">
        <v>87.889566388888895</v>
      </c>
      <c r="J958" s="8">
        <v>24.107920208333301</v>
      </c>
      <c r="K958" s="6" t="s">
        <v>29</v>
      </c>
      <c r="L958" s="9">
        <v>43899</v>
      </c>
      <c r="N958" s="6">
        <v>24</v>
      </c>
      <c r="O958" s="6" t="s">
        <v>4343</v>
      </c>
      <c r="R958" s="6">
        <v>50</v>
      </c>
      <c r="S958" s="6">
        <v>60</v>
      </c>
      <c r="T958" s="10">
        <f t="shared" si="58"/>
        <v>55</v>
      </c>
      <c r="V958" s="8">
        <v>0.5903148830509185</v>
      </c>
      <c r="W958" s="8">
        <v>5.0329462242126466</v>
      </c>
      <c r="X958" s="8">
        <f t="shared" si="54"/>
        <v>0.31042715980529856</v>
      </c>
    </row>
    <row r="959" spans="1:24" x14ac:dyDescent="0.35">
      <c r="A959" s="6" t="s">
        <v>25</v>
      </c>
      <c r="B959" s="7"/>
      <c r="D959" s="6" t="s">
        <v>1088</v>
      </c>
      <c r="E959" s="6">
        <v>3</v>
      </c>
      <c r="F959" s="6">
        <v>31</v>
      </c>
      <c r="G959" s="6" t="s">
        <v>179</v>
      </c>
      <c r="I959" s="8">
        <v>87.889566388888895</v>
      </c>
      <c r="J959" s="8">
        <v>24.107920208333301</v>
      </c>
      <c r="K959" s="6" t="s">
        <v>29</v>
      </c>
      <c r="L959" s="9">
        <v>43899</v>
      </c>
      <c r="N959" s="6">
        <v>24</v>
      </c>
      <c r="O959" s="6" t="s">
        <v>4343</v>
      </c>
      <c r="R959" s="6">
        <v>60</v>
      </c>
      <c r="S959" s="6">
        <v>70</v>
      </c>
      <c r="T959" s="10">
        <f t="shared" si="58"/>
        <v>65</v>
      </c>
      <c r="V959" s="8">
        <v>0.38777880984306334</v>
      </c>
      <c r="W959" s="8">
        <v>3.01803915977478</v>
      </c>
      <c r="X959" s="8">
        <f t="shared" si="54"/>
        <v>-8.4191318969726758E-2</v>
      </c>
    </row>
    <row r="960" spans="1:24" x14ac:dyDescent="0.35">
      <c r="A960" s="6" t="s">
        <v>25</v>
      </c>
      <c r="B960" s="7"/>
      <c r="D960" s="6" t="s">
        <v>1089</v>
      </c>
      <c r="E960" s="6">
        <v>3</v>
      </c>
      <c r="F960" s="6">
        <v>31</v>
      </c>
      <c r="G960" s="6" t="s">
        <v>179</v>
      </c>
      <c r="I960" s="8">
        <v>87.889566388888895</v>
      </c>
      <c r="J960" s="8">
        <v>24.107920208333301</v>
      </c>
      <c r="K960" s="6" t="s">
        <v>29</v>
      </c>
      <c r="L960" s="9">
        <v>43899</v>
      </c>
      <c r="N960" s="6">
        <v>24</v>
      </c>
      <c r="O960" s="6" t="s">
        <v>4343</v>
      </c>
      <c r="R960" s="6">
        <v>70</v>
      </c>
      <c r="S960" s="6">
        <v>80</v>
      </c>
      <c r="T960" s="10">
        <f t="shared" si="58"/>
        <v>75</v>
      </c>
      <c r="V960" s="8">
        <v>6.9874647831919719E-3</v>
      </c>
      <c r="W960" s="8">
        <v>1.261751799583436</v>
      </c>
      <c r="X960" s="8">
        <f t="shared" si="54"/>
        <v>1.2058520813179001</v>
      </c>
    </row>
    <row r="961" spans="1:24" x14ac:dyDescent="0.35">
      <c r="A961" s="6" t="s">
        <v>25</v>
      </c>
      <c r="B961" s="7"/>
      <c r="D961" s="6" t="s">
        <v>1090</v>
      </c>
      <c r="E961" s="6">
        <v>3</v>
      </c>
      <c r="F961" s="6">
        <v>31</v>
      </c>
      <c r="G961" s="6" t="s">
        <v>179</v>
      </c>
      <c r="I961" s="8">
        <v>87.889566388888895</v>
      </c>
      <c r="J961" s="8">
        <v>24.107920208333301</v>
      </c>
      <c r="K961" s="6" t="s">
        <v>29</v>
      </c>
      <c r="L961" s="9">
        <v>43899</v>
      </c>
      <c r="N961" s="6">
        <v>24</v>
      </c>
      <c r="O961" s="6" t="s">
        <v>4343</v>
      </c>
      <c r="R961" s="6">
        <v>80</v>
      </c>
      <c r="S961" s="6">
        <v>90</v>
      </c>
      <c r="T961" s="10">
        <f t="shared" si="58"/>
        <v>85</v>
      </c>
      <c r="V961" s="8">
        <v>-0.16851114934176184</v>
      </c>
      <c r="W961" s="8">
        <v>-1.2241386938095093</v>
      </c>
      <c r="X961" s="8">
        <f t="shared" si="54"/>
        <v>0.12395050092458537</v>
      </c>
    </row>
    <row r="962" spans="1:24" x14ac:dyDescent="0.35">
      <c r="A962" s="6" t="s">
        <v>25</v>
      </c>
      <c r="B962" s="7"/>
      <c r="D962" s="6" t="s">
        <v>1091</v>
      </c>
      <c r="E962" s="6">
        <v>3</v>
      </c>
      <c r="F962" s="6">
        <v>31</v>
      </c>
      <c r="G962" s="6" t="s">
        <v>179</v>
      </c>
      <c r="I962" s="8">
        <v>87.889566388888895</v>
      </c>
      <c r="J962" s="8">
        <v>24.107920208333301</v>
      </c>
      <c r="K962" s="6" t="s">
        <v>29</v>
      </c>
      <c r="L962" s="9">
        <v>43899</v>
      </c>
      <c r="N962" s="6">
        <v>24</v>
      </c>
      <c r="O962" s="6" t="s">
        <v>4343</v>
      </c>
      <c r="R962" s="6">
        <v>90</v>
      </c>
      <c r="S962" s="6">
        <v>100</v>
      </c>
      <c r="T962" s="10">
        <f t="shared" si="58"/>
        <v>95</v>
      </c>
      <c r="V962" s="8">
        <v>-0.18290536467969418</v>
      </c>
      <c r="W962" s="8">
        <v>-1.6910398149490355</v>
      </c>
      <c r="X962" s="8">
        <f t="shared" ref="X962:X1025" si="59">W962-(8*V962)</f>
        <v>-0.22779689751148213</v>
      </c>
    </row>
    <row r="963" spans="1:24" x14ac:dyDescent="0.35">
      <c r="A963" s="6" t="s">
        <v>25</v>
      </c>
      <c r="B963" s="7"/>
      <c r="D963" s="6" t="s">
        <v>1092</v>
      </c>
      <c r="E963" s="6">
        <v>3</v>
      </c>
      <c r="F963" s="6">
        <v>31</v>
      </c>
      <c r="G963" s="6" t="s">
        <v>179</v>
      </c>
      <c r="I963" s="8">
        <v>87.889566388888895</v>
      </c>
      <c r="J963" s="8">
        <v>24.107920208333301</v>
      </c>
      <c r="K963" s="6" t="s">
        <v>29</v>
      </c>
      <c r="L963" s="9">
        <v>43899</v>
      </c>
      <c r="N963" s="6">
        <v>24</v>
      </c>
      <c r="O963" s="6" t="s">
        <v>4343</v>
      </c>
      <c r="R963" s="6">
        <v>100</v>
      </c>
      <c r="S963" s="6">
        <v>110</v>
      </c>
      <c r="T963" s="10">
        <f t="shared" si="58"/>
        <v>105</v>
      </c>
      <c r="V963" s="8">
        <v>-0.19213146618247021</v>
      </c>
      <c r="W963" s="8">
        <v>-1.2291627168655386</v>
      </c>
      <c r="X963" s="8">
        <f t="shared" si="59"/>
        <v>0.30788901259422308</v>
      </c>
    </row>
    <row r="964" spans="1:24" x14ac:dyDescent="0.35">
      <c r="A964" s="6" t="s">
        <v>25</v>
      </c>
      <c r="B964" s="7"/>
      <c r="D964" s="6" t="s">
        <v>1093</v>
      </c>
      <c r="E964" s="6">
        <v>3</v>
      </c>
      <c r="F964" s="6">
        <v>31</v>
      </c>
      <c r="G964" s="6" t="s">
        <v>179</v>
      </c>
      <c r="I964" s="8">
        <v>87.889566388888895</v>
      </c>
      <c r="J964" s="8">
        <v>24.107920208333301</v>
      </c>
      <c r="K964" s="6" t="s">
        <v>29</v>
      </c>
      <c r="L964" s="9">
        <v>43899</v>
      </c>
      <c r="N964" s="6">
        <v>24</v>
      </c>
      <c r="O964" s="6" t="s">
        <v>4343</v>
      </c>
      <c r="R964" s="6">
        <v>110</v>
      </c>
      <c r="S964" s="6">
        <v>120</v>
      </c>
      <c r="T964" s="10">
        <f t="shared" si="58"/>
        <v>115</v>
      </c>
      <c r="V964" s="8">
        <v>3.6488798496723381E-2</v>
      </c>
      <c r="W964" s="8">
        <v>0.20135268688201904</v>
      </c>
      <c r="X964" s="8">
        <f t="shared" si="59"/>
        <v>-9.0557701091768E-2</v>
      </c>
    </row>
    <row r="965" spans="1:24" x14ac:dyDescent="0.35">
      <c r="A965" s="6" t="s">
        <v>25</v>
      </c>
      <c r="B965" s="7"/>
      <c r="D965" s="6" t="s">
        <v>1094</v>
      </c>
      <c r="E965" s="6">
        <v>3</v>
      </c>
      <c r="F965" s="6">
        <v>31</v>
      </c>
      <c r="G965" s="6" t="s">
        <v>179</v>
      </c>
      <c r="I965" s="8">
        <v>87.889566388888895</v>
      </c>
      <c r="J965" s="8">
        <v>24.107920208333301</v>
      </c>
      <c r="K965" s="6" t="s">
        <v>29</v>
      </c>
      <c r="L965" s="9">
        <v>43899</v>
      </c>
      <c r="N965" s="6">
        <v>24</v>
      </c>
      <c r="O965" s="6" t="s">
        <v>4343</v>
      </c>
      <c r="R965" s="6">
        <v>120</v>
      </c>
      <c r="S965" s="6">
        <v>129</v>
      </c>
      <c r="T965" s="10">
        <f t="shared" si="58"/>
        <v>124.5</v>
      </c>
      <c r="V965" s="8">
        <v>0.36857074862480182</v>
      </c>
      <c r="W965" s="8">
        <v>2.5426218986511246</v>
      </c>
      <c r="X965" s="8">
        <f t="shared" si="59"/>
        <v>-0.40594409034728995</v>
      </c>
    </row>
    <row r="966" spans="1:24" x14ac:dyDescent="0.35">
      <c r="A966" s="6" t="s">
        <v>25</v>
      </c>
      <c r="B966" s="7" t="s">
        <v>1095</v>
      </c>
      <c r="D966" s="6" t="s">
        <v>1096</v>
      </c>
      <c r="E966" s="6">
        <v>3</v>
      </c>
      <c r="F966" s="6">
        <v>31</v>
      </c>
      <c r="G966" s="6" t="s">
        <v>60</v>
      </c>
      <c r="I966" s="8">
        <v>87.743540277777797</v>
      </c>
      <c r="J966" s="8">
        <v>24.668958541666701</v>
      </c>
      <c r="K966" s="7" t="s">
        <v>2610</v>
      </c>
      <c r="L966" s="9">
        <v>43900</v>
      </c>
      <c r="N966" s="6">
        <v>24</v>
      </c>
      <c r="O966" s="6" t="s">
        <v>4344</v>
      </c>
      <c r="Q966" s="10">
        <v>500</v>
      </c>
      <c r="R966" s="10"/>
      <c r="S966" s="10">
        <v>500</v>
      </c>
      <c r="T966" s="10">
        <f t="shared" si="58"/>
        <v>500</v>
      </c>
      <c r="U966" s="11"/>
      <c r="V966" s="8">
        <v>-1.8625064611434941</v>
      </c>
      <c r="W966" s="8">
        <v>-12.567773573303223</v>
      </c>
      <c r="X966" s="8">
        <f t="shared" si="59"/>
        <v>2.3322781158447299</v>
      </c>
    </row>
    <row r="967" spans="1:24" x14ac:dyDescent="0.35">
      <c r="A967" s="6" t="s">
        <v>25</v>
      </c>
      <c r="B967" s="6" t="s">
        <v>3446</v>
      </c>
      <c r="D967" s="6" t="s">
        <v>3748</v>
      </c>
      <c r="E967" s="6">
        <v>3</v>
      </c>
      <c r="F967" s="6">
        <v>31</v>
      </c>
      <c r="G967" s="6" t="s">
        <v>4050</v>
      </c>
      <c r="I967" s="8">
        <v>87.743540277777797</v>
      </c>
      <c r="J967" s="8">
        <v>24.668958541666701</v>
      </c>
      <c r="K967" s="6" t="s">
        <v>2610</v>
      </c>
      <c r="L967" s="9">
        <v>43900</v>
      </c>
      <c r="N967" s="6">
        <v>24</v>
      </c>
      <c r="O967" s="6" t="s">
        <v>4344</v>
      </c>
      <c r="V967" s="8">
        <v>-1.681737732887268</v>
      </c>
      <c r="W967" s="8">
        <v>-11.722789798736573</v>
      </c>
      <c r="X967" s="27">
        <f t="shared" si="59"/>
        <v>1.7311120643615716</v>
      </c>
    </row>
    <row r="968" spans="1:24" x14ac:dyDescent="0.35">
      <c r="A968" s="6" t="s">
        <v>25</v>
      </c>
      <c r="B968" s="6" t="s">
        <v>3447</v>
      </c>
      <c r="D968" s="6" t="s">
        <v>3749</v>
      </c>
      <c r="E968" s="6">
        <v>3</v>
      </c>
      <c r="F968" s="6">
        <v>31</v>
      </c>
      <c r="G968" s="6" t="s">
        <v>4051</v>
      </c>
      <c r="I968" s="8">
        <v>87.660309999999996</v>
      </c>
      <c r="J968" s="8">
        <v>24.286057569444399</v>
      </c>
      <c r="K968" s="6" t="s">
        <v>2610</v>
      </c>
      <c r="L968" s="9">
        <v>43901</v>
      </c>
      <c r="N968" s="6">
        <v>24</v>
      </c>
      <c r="O968" s="6" t="s">
        <v>4345</v>
      </c>
      <c r="V968" s="8">
        <v>-1.7545816421508789</v>
      </c>
      <c r="W968" s="8">
        <v>-12.033046737670899</v>
      </c>
      <c r="X968" s="27">
        <f t="shared" si="59"/>
        <v>2.0036063995361317</v>
      </c>
    </row>
    <row r="969" spans="1:24" x14ac:dyDescent="0.35">
      <c r="A969" s="6" t="s">
        <v>25</v>
      </c>
      <c r="B969" s="6" t="s">
        <v>2851</v>
      </c>
      <c r="D969" s="6" t="s">
        <v>3132</v>
      </c>
      <c r="E969" s="6">
        <v>3</v>
      </c>
      <c r="F969" s="6">
        <v>31</v>
      </c>
      <c r="G969" s="6" t="s">
        <v>3310</v>
      </c>
      <c r="I969" s="8">
        <v>87.660309999999996</v>
      </c>
      <c r="J969" s="8">
        <v>24.286057569444399</v>
      </c>
      <c r="K969" s="6" t="s">
        <v>198</v>
      </c>
      <c r="L969" s="9">
        <v>43901</v>
      </c>
      <c r="M969" s="18">
        <v>0.39930555555555558</v>
      </c>
      <c r="N969" s="6">
        <v>24</v>
      </c>
      <c r="O969" s="6" t="s">
        <v>4345</v>
      </c>
      <c r="R969" s="6">
        <v>18</v>
      </c>
      <c r="S969" s="6">
        <v>17</v>
      </c>
      <c r="V969" s="8">
        <v>-29.291629677200309</v>
      </c>
      <c r="W969" s="8">
        <v>-226.06866421508789</v>
      </c>
      <c r="X969" s="8">
        <f t="shared" si="59"/>
        <v>8.2643732025145766</v>
      </c>
    </row>
    <row r="970" spans="1:24" x14ac:dyDescent="0.35">
      <c r="A970" s="6" t="s">
        <v>25</v>
      </c>
      <c r="B970" s="6" t="s">
        <v>2852</v>
      </c>
      <c r="D970" s="6" t="s">
        <v>3132</v>
      </c>
      <c r="E970" s="6">
        <v>3</v>
      </c>
      <c r="F970" s="6">
        <v>31</v>
      </c>
      <c r="G970" s="6" t="s">
        <v>3310</v>
      </c>
      <c r="I970" s="8">
        <v>87.660309999999996</v>
      </c>
      <c r="J970" s="8">
        <v>24.286057569444399</v>
      </c>
      <c r="K970" s="6" t="s">
        <v>198</v>
      </c>
      <c r="L970" s="9">
        <v>43901</v>
      </c>
      <c r="M970" s="18">
        <v>0.39930555555555558</v>
      </c>
      <c r="N970" s="6">
        <v>24</v>
      </c>
      <c r="O970" s="6" t="s">
        <v>4345</v>
      </c>
      <c r="R970" s="6">
        <v>14</v>
      </c>
      <c r="S970" s="6">
        <v>11</v>
      </c>
      <c r="V970" s="8">
        <v>-28.73593911781311</v>
      </c>
      <c r="W970" s="8">
        <v>-222.04855480957033</v>
      </c>
      <c r="X970" s="8">
        <f t="shared" si="59"/>
        <v>7.8389581329345503</v>
      </c>
    </row>
    <row r="971" spans="1:24" x14ac:dyDescent="0.35">
      <c r="A971" s="6" t="s">
        <v>25</v>
      </c>
      <c r="B971" s="6" t="s">
        <v>2853</v>
      </c>
      <c r="D971" s="6" t="s">
        <v>3132</v>
      </c>
      <c r="E971" s="6">
        <v>3</v>
      </c>
      <c r="F971" s="6">
        <v>31</v>
      </c>
      <c r="G971" s="6" t="s">
        <v>3310</v>
      </c>
      <c r="I971" s="8">
        <v>87.660309999999996</v>
      </c>
      <c r="J971" s="8">
        <v>24.286057569444399</v>
      </c>
      <c r="K971" s="6" t="s">
        <v>198</v>
      </c>
      <c r="L971" s="9">
        <v>43901</v>
      </c>
      <c r="M971" s="18">
        <v>0.39930555555555558</v>
      </c>
      <c r="N971" s="6">
        <v>24</v>
      </c>
      <c r="O971" s="6" t="s">
        <v>4345</v>
      </c>
      <c r="R971" s="6">
        <v>8</v>
      </c>
      <c r="S971" s="6">
        <v>4</v>
      </c>
      <c r="V971" s="8">
        <v>-12.06211194076538</v>
      </c>
      <c r="W971" s="8">
        <v>-88.269357078552247</v>
      </c>
      <c r="X971" s="8">
        <f t="shared" si="59"/>
        <v>8.2275384475707938</v>
      </c>
    </row>
    <row r="972" spans="1:24" x14ac:dyDescent="0.35">
      <c r="A972" s="6" t="s">
        <v>25</v>
      </c>
      <c r="B972" s="7"/>
      <c r="D972" s="6" t="s">
        <v>1097</v>
      </c>
      <c r="E972" s="6">
        <v>3</v>
      </c>
      <c r="F972" s="6">
        <v>31</v>
      </c>
      <c r="G972" s="6" t="s">
        <v>345</v>
      </c>
      <c r="I972" s="8">
        <v>87.660309999999996</v>
      </c>
      <c r="J972" s="8">
        <v>24.286057569444399</v>
      </c>
      <c r="K972" s="6" t="s">
        <v>29</v>
      </c>
      <c r="L972" s="9">
        <v>43901</v>
      </c>
      <c r="N972" s="6">
        <v>24</v>
      </c>
      <c r="O972" s="6" t="s">
        <v>4345</v>
      </c>
      <c r="R972" s="6">
        <v>0</v>
      </c>
      <c r="S972" s="6">
        <v>10</v>
      </c>
      <c r="T972" s="10">
        <f t="shared" ref="T972:T988" si="60">AVERAGE(R972:S972)</f>
        <v>5</v>
      </c>
      <c r="V972" s="8">
        <v>0.20864352159500155</v>
      </c>
      <c r="W972" s="8">
        <v>0.55879443454742428</v>
      </c>
      <c r="X972" s="8">
        <f t="shared" si="59"/>
        <v>-1.1103537382125881</v>
      </c>
    </row>
    <row r="973" spans="1:24" x14ac:dyDescent="0.35">
      <c r="A973" s="6" t="s">
        <v>25</v>
      </c>
      <c r="B973" s="7"/>
      <c r="D973" s="6" t="s">
        <v>1098</v>
      </c>
      <c r="E973" s="6">
        <v>3</v>
      </c>
      <c r="F973" s="6">
        <v>31</v>
      </c>
      <c r="G973" s="6" t="s">
        <v>345</v>
      </c>
      <c r="I973" s="8">
        <v>87.660309999999996</v>
      </c>
      <c r="J973" s="8">
        <v>24.286057569444399</v>
      </c>
      <c r="K973" s="6" t="s">
        <v>29</v>
      </c>
      <c r="L973" s="9">
        <v>43901</v>
      </c>
      <c r="N973" s="6">
        <v>24</v>
      </c>
      <c r="O973" s="6" t="s">
        <v>4345</v>
      </c>
      <c r="R973" s="6">
        <v>10</v>
      </c>
      <c r="S973" s="6">
        <v>20</v>
      </c>
      <c r="T973" s="10">
        <f t="shared" si="60"/>
        <v>15</v>
      </c>
      <c r="V973" s="8">
        <v>1.0891927823305132</v>
      </c>
      <c r="W973" s="8">
        <v>8.5727904262542722</v>
      </c>
      <c r="X973" s="8">
        <f t="shared" si="59"/>
        <v>-0.14075183238983335</v>
      </c>
    </row>
    <row r="974" spans="1:24" x14ac:dyDescent="0.35">
      <c r="A974" s="6" t="s">
        <v>25</v>
      </c>
      <c r="B974" s="7"/>
      <c r="D974" s="6" t="s">
        <v>1099</v>
      </c>
      <c r="E974" s="6">
        <v>3</v>
      </c>
      <c r="F974" s="6">
        <v>31</v>
      </c>
      <c r="G974" s="6" t="s">
        <v>345</v>
      </c>
      <c r="I974" s="8">
        <v>87.660309999999996</v>
      </c>
      <c r="J974" s="8">
        <v>24.286057569444399</v>
      </c>
      <c r="K974" s="6" t="s">
        <v>29</v>
      </c>
      <c r="L974" s="9">
        <v>43901</v>
      </c>
      <c r="N974" s="6">
        <v>24</v>
      </c>
      <c r="O974" s="6" t="s">
        <v>4345</v>
      </c>
      <c r="R974" s="6">
        <v>10</v>
      </c>
      <c r="S974" s="6">
        <v>20</v>
      </c>
      <c r="T974" s="10">
        <f t="shared" si="60"/>
        <v>15</v>
      </c>
      <c r="V974" s="8">
        <v>7.4468567731976035E-2</v>
      </c>
      <c r="W974" s="8">
        <v>0.96175598430633624</v>
      </c>
      <c r="X974" s="8">
        <f t="shared" si="59"/>
        <v>0.36600744245052796</v>
      </c>
    </row>
    <row r="975" spans="1:24" x14ac:dyDescent="0.35">
      <c r="A975" s="6" t="s">
        <v>25</v>
      </c>
      <c r="B975" s="7"/>
      <c r="D975" s="6" t="s">
        <v>1100</v>
      </c>
      <c r="E975" s="6">
        <v>3</v>
      </c>
      <c r="F975" s="6">
        <v>31</v>
      </c>
      <c r="G975" s="6" t="s">
        <v>345</v>
      </c>
      <c r="I975" s="8">
        <v>87.660309999999996</v>
      </c>
      <c r="J975" s="8">
        <v>24.286057569444399</v>
      </c>
      <c r="K975" s="6" t="s">
        <v>29</v>
      </c>
      <c r="L975" s="9">
        <v>43901</v>
      </c>
      <c r="N975" s="6">
        <v>24</v>
      </c>
      <c r="O975" s="6" t="s">
        <v>4345</v>
      </c>
      <c r="R975" s="6">
        <v>30</v>
      </c>
      <c r="S975" s="6">
        <v>40</v>
      </c>
      <c r="T975" s="10">
        <f t="shared" si="60"/>
        <v>35</v>
      </c>
      <c r="V975" s="8">
        <v>1.0997318345785143</v>
      </c>
      <c r="W975" s="8">
        <v>8.7355987262725829</v>
      </c>
      <c r="X975" s="8">
        <f t="shared" si="59"/>
        <v>-6.2255950355531553E-2</v>
      </c>
    </row>
    <row r="976" spans="1:24" x14ac:dyDescent="0.35">
      <c r="A976" s="6" t="s">
        <v>25</v>
      </c>
      <c r="B976" s="7"/>
      <c r="D976" s="6" t="s">
        <v>1101</v>
      </c>
      <c r="E976" s="6">
        <v>3</v>
      </c>
      <c r="F976" s="6">
        <v>31</v>
      </c>
      <c r="G976" s="6" t="s">
        <v>345</v>
      </c>
      <c r="I976" s="8">
        <v>87.660309999999996</v>
      </c>
      <c r="J976" s="8">
        <v>24.286057569444399</v>
      </c>
      <c r="K976" s="6" t="s">
        <v>29</v>
      </c>
      <c r="L976" s="9">
        <v>43901</v>
      </c>
      <c r="N976" s="6">
        <v>24</v>
      </c>
      <c r="O976" s="6" t="s">
        <v>4345</v>
      </c>
      <c r="R976" s="6">
        <v>40</v>
      </c>
      <c r="S976" s="6">
        <v>50</v>
      </c>
      <c r="T976" s="10">
        <f t="shared" si="60"/>
        <v>45</v>
      </c>
      <c r="V976" s="8">
        <v>0.73412617664337121</v>
      </c>
      <c r="W976" s="8">
        <v>6.3765661487579344</v>
      </c>
      <c r="X976" s="8">
        <f t="shared" si="59"/>
        <v>0.5035567356109647</v>
      </c>
    </row>
    <row r="977" spans="1:24" x14ac:dyDescent="0.35">
      <c r="A977" s="6" t="s">
        <v>25</v>
      </c>
      <c r="B977" s="7"/>
      <c r="D977" s="6" t="s">
        <v>1102</v>
      </c>
      <c r="E977" s="6">
        <v>3</v>
      </c>
      <c r="F977" s="6">
        <v>31</v>
      </c>
      <c r="G977" s="6" t="s">
        <v>345</v>
      </c>
      <c r="I977" s="8">
        <v>87.660309999999996</v>
      </c>
      <c r="J977" s="8">
        <v>24.286057569444399</v>
      </c>
      <c r="K977" s="6" t="s">
        <v>29</v>
      </c>
      <c r="L977" s="9">
        <v>43901</v>
      </c>
      <c r="N977" s="6">
        <v>24</v>
      </c>
      <c r="O977" s="6" t="s">
        <v>4345</v>
      </c>
      <c r="R977" s="6">
        <v>50</v>
      </c>
      <c r="S977" s="6">
        <v>60</v>
      </c>
      <c r="T977" s="10">
        <f t="shared" si="60"/>
        <v>55</v>
      </c>
      <c r="V977" s="8">
        <v>0.86082805000543638</v>
      </c>
      <c r="W977" s="8">
        <v>7.1252879638671871</v>
      </c>
      <c r="X977" s="8">
        <f t="shared" si="59"/>
        <v>0.23866356382369602</v>
      </c>
    </row>
    <row r="978" spans="1:24" x14ac:dyDescent="0.35">
      <c r="A978" s="6" t="s">
        <v>25</v>
      </c>
      <c r="B978" s="7"/>
      <c r="D978" s="6" t="s">
        <v>1103</v>
      </c>
      <c r="E978" s="6">
        <v>3</v>
      </c>
      <c r="F978" s="6">
        <v>31</v>
      </c>
      <c r="G978" s="6" t="s">
        <v>345</v>
      </c>
      <c r="I978" s="8">
        <v>87.660309999999996</v>
      </c>
      <c r="J978" s="8">
        <v>24.286057569444399</v>
      </c>
      <c r="K978" s="6" t="s">
        <v>29</v>
      </c>
      <c r="L978" s="9">
        <v>43901</v>
      </c>
      <c r="N978" s="6">
        <v>24</v>
      </c>
      <c r="O978" s="6" t="s">
        <v>4345</v>
      </c>
      <c r="R978" s="6">
        <v>60</v>
      </c>
      <c r="S978" s="6">
        <v>70</v>
      </c>
      <c r="T978" s="10">
        <f t="shared" si="60"/>
        <v>65</v>
      </c>
      <c r="V978" s="8">
        <v>0.23349920730590859</v>
      </c>
      <c r="W978" s="8">
        <v>2.2276491756439207</v>
      </c>
      <c r="X978" s="8">
        <f t="shared" si="59"/>
        <v>0.35965551719665201</v>
      </c>
    </row>
    <row r="979" spans="1:24" x14ac:dyDescent="0.35">
      <c r="A979" s="6" t="s">
        <v>25</v>
      </c>
      <c r="B979" s="7"/>
      <c r="D979" s="6" t="s">
        <v>1104</v>
      </c>
      <c r="E979" s="6">
        <v>3</v>
      </c>
      <c r="F979" s="6">
        <v>31</v>
      </c>
      <c r="G979" s="6" t="s">
        <v>345</v>
      </c>
      <c r="I979" s="8">
        <v>87.660309999999996</v>
      </c>
      <c r="J979" s="8">
        <v>24.286057569444399</v>
      </c>
      <c r="K979" s="6" t="s">
        <v>29</v>
      </c>
      <c r="L979" s="9">
        <v>43901</v>
      </c>
      <c r="N979" s="6">
        <v>24</v>
      </c>
      <c r="O979" s="6" t="s">
        <v>4345</v>
      </c>
      <c r="R979" s="6">
        <v>70</v>
      </c>
      <c r="S979" s="6">
        <v>80</v>
      </c>
      <c r="T979" s="10">
        <f t="shared" si="60"/>
        <v>75</v>
      </c>
      <c r="V979" s="8">
        <v>0.78977252464294412</v>
      </c>
      <c r="W979" s="8">
        <v>6.292278759002687</v>
      </c>
      <c r="X979" s="8">
        <f t="shared" si="59"/>
        <v>-2.5901438140865984E-2</v>
      </c>
    </row>
    <row r="980" spans="1:24" x14ac:dyDescent="0.35">
      <c r="A980" s="6" t="s">
        <v>25</v>
      </c>
      <c r="B980" s="7"/>
      <c r="D980" s="6" t="s">
        <v>1105</v>
      </c>
      <c r="E980" s="6">
        <v>3</v>
      </c>
      <c r="F980" s="6">
        <v>31</v>
      </c>
      <c r="G980" s="6" t="s">
        <v>345</v>
      </c>
      <c r="I980" s="8">
        <v>87.660309999999996</v>
      </c>
      <c r="J980" s="8">
        <v>24.286057569444399</v>
      </c>
      <c r="K980" s="6" t="s">
        <v>29</v>
      </c>
      <c r="L980" s="9">
        <v>43901</v>
      </c>
      <c r="N980" s="6">
        <v>24</v>
      </c>
      <c r="O980" s="6" t="s">
        <v>4345</v>
      </c>
      <c r="R980" s="6">
        <v>80</v>
      </c>
      <c r="S980" s="6">
        <v>90</v>
      </c>
      <c r="T980" s="10">
        <f t="shared" si="60"/>
        <v>85</v>
      </c>
      <c r="V980" s="8">
        <v>0.12841900651454929</v>
      </c>
      <c r="W980" s="8">
        <v>1.2890728969573984</v>
      </c>
      <c r="X980" s="8">
        <f t="shared" si="59"/>
        <v>0.261720844841004</v>
      </c>
    </row>
    <row r="981" spans="1:24" x14ac:dyDescent="0.35">
      <c r="A981" s="6" t="s">
        <v>25</v>
      </c>
      <c r="B981" s="7"/>
      <c r="D981" s="6" t="s">
        <v>1106</v>
      </c>
      <c r="E981" s="6">
        <v>3</v>
      </c>
      <c r="F981" s="6">
        <v>31</v>
      </c>
      <c r="G981" s="6" t="s">
        <v>345</v>
      </c>
      <c r="I981" s="8">
        <v>87.660309999999996</v>
      </c>
      <c r="J981" s="8">
        <v>24.286057569444399</v>
      </c>
      <c r="K981" s="6" t="s">
        <v>29</v>
      </c>
      <c r="L981" s="9">
        <v>43901</v>
      </c>
      <c r="N981" s="6">
        <v>24</v>
      </c>
      <c r="O981" s="6" t="s">
        <v>4345</v>
      </c>
      <c r="R981" s="6">
        <v>90</v>
      </c>
      <c r="S981" s="6">
        <v>100</v>
      </c>
      <c r="T981" s="10">
        <f t="shared" si="60"/>
        <v>95</v>
      </c>
      <c r="V981" s="8">
        <v>-2.615671622455093E-2</v>
      </c>
      <c r="W981" s="8">
        <v>0.22220452499389648</v>
      </c>
      <c r="X981" s="8">
        <f t="shared" si="59"/>
        <v>0.43145825479030392</v>
      </c>
    </row>
    <row r="982" spans="1:24" x14ac:dyDescent="0.35">
      <c r="A982" s="6" t="s">
        <v>25</v>
      </c>
      <c r="B982" s="7"/>
      <c r="D982" s="6" t="s">
        <v>1107</v>
      </c>
      <c r="E982" s="6">
        <v>3</v>
      </c>
      <c r="F982" s="6">
        <v>31</v>
      </c>
      <c r="G982" s="6" t="s">
        <v>345</v>
      </c>
      <c r="I982" s="8">
        <v>87.660309999999996</v>
      </c>
      <c r="J982" s="8">
        <v>24.286057569444399</v>
      </c>
      <c r="K982" s="6" t="s">
        <v>29</v>
      </c>
      <c r="L982" s="9">
        <v>43901</v>
      </c>
      <c r="N982" s="6">
        <v>24</v>
      </c>
      <c r="O982" s="6" t="s">
        <v>4345</v>
      </c>
      <c r="R982" s="6">
        <v>100</v>
      </c>
      <c r="S982" s="6">
        <v>110</v>
      </c>
      <c r="T982" s="10">
        <f t="shared" si="60"/>
        <v>105</v>
      </c>
      <c r="V982" s="8">
        <v>-0.46687172412276268</v>
      </c>
      <c r="W982" s="8">
        <v>-0.92516561269760089</v>
      </c>
      <c r="X982" s="8">
        <f t="shared" si="59"/>
        <v>2.8098081802845005</v>
      </c>
    </row>
    <row r="983" spans="1:24" x14ac:dyDescent="0.35">
      <c r="A983" s="6" t="s">
        <v>25</v>
      </c>
      <c r="B983" s="7"/>
      <c r="D983" s="6" t="s">
        <v>1108</v>
      </c>
      <c r="E983" s="6">
        <v>3</v>
      </c>
      <c r="F983" s="6">
        <v>31</v>
      </c>
      <c r="G983" s="6" t="s">
        <v>345</v>
      </c>
      <c r="I983" s="8">
        <v>87.660309999999996</v>
      </c>
      <c r="J983" s="8">
        <v>24.286057569444399</v>
      </c>
      <c r="K983" s="6" t="s">
        <v>29</v>
      </c>
      <c r="L983" s="9">
        <v>43901</v>
      </c>
      <c r="N983" s="6">
        <v>24</v>
      </c>
      <c r="O983" s="6" t="s">
        <v>4345</v>
      </c>
      <c r="R983" s="6">
        <v>110</v>
      </c>
      <c r="S983" s="6">
        <v>120</v>
      </c>
      <c r="T983" s="10">
        <f t="shared" si="60"/>
        <v>115</v>
      </c>
      <c r="V983" s="8">
        <v>-0.51880783298015609</v>
      </c>
      <c r="W983" s="8">
        <v>-1.5072049510478971</v>
      </c>
      <c r="X983" s="8">
        <f t="shared" si="59"/>
        <v>2.6432577127933516</v>
      </c>
    </row>
    <row r="984" spans="1:24" x14ac:dyDescent="0.35">
      <c r="A984" s="6" t="s">
        <v>25</v>
      </c>
      <c r="B984" s="7"/>
      <c r="D984" s="6" t="s">
        <v>1109</v>
      </c>
      <c r="E984" s="6">
        <v>3</v>
      </c>
      <c r="F984" s="6">
        <v>31</v>
      </c>
      <c r="G984" s="6" t="s">
        <v>345</v>
      </c>
      <c r="I984" s="8">
        <v>87.660309999999996</v>
      </c>
      <c r="J984" s="8">
        <v>24.286057569444399</v>
      </c>
      <c r="K984" s="6" t="s">
        <v>29</v>
      </c>
      <c r="L984" s="9">
        <v>43901</v>
      </c>
      <c r="N984" s="6">
        <v>24</v>
      </c>
      <c r="O984" s="6" t="s">
        <v>4345</v>
      </c>
      <c r="R984" s="6">
        <v>120</v>
      </c>
      <c r="S984" s="6">
        <v>130</v>
      </c>
      <c r="T984" s="10">
        <f t="shared" si="60"/>
        <v>125</v>
      </c>
      <c r="V984" s="8">
        <v>-0.30855770452469611</v>
      </c>
      <c r="W984" s="8">
        <v>-1.1270763444900507</v>
      </c>
      <c r="X984" s="8">
        <f t="shared" si="59"/>
        <v>1.3413852917075182</v>
      </c>
    </row>
    <row r="985" spans="1:24" x14ac:dyDescent="0.35">
      <c r="A985" s="6" t="s">
        <v>25</v>
      </c>
      <c r="B985" s="7"/>
      <c r="D985" s="6" t="s">
        <v>1110</v>
      </c>
      <c r="E985" s="6">
        <v>3</v>
      </c>
      <c r="F985" s="6">
        <v>31</v>
      </c>
      <c r="G985" s="6" t="s">
        <v>345</v>
      </c>
      <c r="I985" s="8">
        <v>87.660309999999996</v>
      </c>
      <c r="J985" s="8">
        <v>24.286057569444399</v>
      </c>
      <c r="K985" s="6" t="s">
        <v>29</v>
      </c>
      <c r="L985" s="9">
        <v>43901</v>
      </c>
      <c r="N985" s="6">
        <v>24</v>
      </c>
      <c r="O985" s="6" t="s">
        <v>4345</v>
      </c>
      <c r="R985" s="6">
        <v>130</v>
      </c>
      <c r="S985" s="6">
        <v>140</v>
      </c>
      <c r="T985" s="10">
        <f t="shared" si="60"/>
        <v>135</v>
      </c>
      <c r="V985" s="8">
        <v>-0.12362726891636845</v>
      </c>
      <c r="W985" s="8">
        <v>1.0824119377136239</v>
      </c>
      <c r="X985" s="8">
        <f t="shared" si="59"/>
        <v>2.0714300890445716</v>
      </c>
    </row>
    <row r="986" spans="1:24" x14ac:dyDescent="0.35">
      <c r="A986" s="6" t="s">
        <v>25</v>
      </c>
      <c r="B986" s="7"/>
      <c r="D986" s="6" t="s">
        <v>1111</v>
      </c>
      <c r="E986" s="6">
        <v>3</v>
      </c>
      <c r="F986" s="6">
        <v>31</v>
      </c>
      <c r="G986" s="6" t="s">
        <v>345</v>
      </c>
      <c r="I986" s="8">
        <v>87.660309999999996</v>
      </c>
      <c r="J986" s="8">
        <v>24.286057569444399</v>
      </c>
      <c r="K986" s="6" t="s">
        <v>29</v>
      </c>
      <c r="L986" s="9">
        <v>43901</v>
      </c>
      <c r="N986" s="6">
        <v>24</v>
      </c>
      <c r="O986" s="6" t="s">
        <v>4345</v>
      </c>
      <c r="R986" s="6">
        <v>140</v>
      </c>
      <c r="S986" s="6">
        <v>151</v>
      </c>
      <c r="T986" s="10">
        <f t="shared" si="60"/>
        <v>145.5</v>
      </c>
      <c r="V986" s="8">
        <v>0.29681514395475367</v>
      </c>
      <c r="W986" s="8">
        <v>2.998404674530029</v>
      </c>
      <c r="X986" s="8">
        <f t="shared" si="59"/>
        <v>0.62388352289199966</v>
      </c>
    </row>
    <row r="987" spans="1:24" x14ac:dyDescent="0.35">
      <c r="A987" s="6" t="s">
        <v>25</v>
      </c>
      <c r="B987" s="7"/>
      <c r="D987" s="6" t="s">
        <v>1112</v>
      </c>
      <c r="E987" s="6">
        <v>3</v>
      </c>
      <c r="F987" s="6">
        <v>31</v>
      </c>
      <c r="I987" s="8">
        <v>87.660309999999996</v>
      </c>
      <c r="J987" s="8">
        <v>24.286057569444399</v>
      </c>
      <c r="K987" s="6" t="s">
        <v>390</v>
      </c>
      <c r="L987" s="9">
        <v>43901</v>
      </c>
      <c r="N987" s="6">
        <v>24</v>
      </c>
      <c r="O987" s="6" t="s">
        <v>4345</v>
      </c>
      <c r="R987" s="6">
        <v>0</v>
      </c>
      <c r="S987" s="6">
        <v>0</v>
      </c>
      <c r="T987" s="10">
        <f t="shared" si="60"/>
        <v>0</v>
      </c>
      <c r="V987" s="8">
        <v>-3.1067969989776612</v>
      </c>
      <c r="W987" s="8">
        <v>-26.345149269104002</v>
      </c>
      <c r="X987" s="8">
        <f t="shared" si="59"/>
        <v>-1.4907732772827131</v>
      </c>
    </row>
    <row r="988" spans="1:24" x14ac:dyDescent="0.35">
      <c r="A988" s="6" t="s">
        <v>25</v>
      </c>
      <c r="B988" s="7"/>
      <c r="D988" s="6" t="s">
        <v>1113</v>
      </c>
      <c r="E988" s="6">
        <v>3</v>
      </c>
      <c r="F988" s="6">
        <v>31</v>
      </c>
      <c r="I988" s="8">
        <v>87.660309999999996</v>
      </c>
      <c r="J988" s="8">
        <v>24.286057569444399</v>
      </c>
      <c r="K988" s="6" t="s">
        <v>390</v>
      </c>
      <c r="L988" s="9">
        <v>43901</v>
      </c>
      <c r="N988" s="6">
        <v>24</v>
      </c>
      <c r="O988" s="6" t="s">
        <v>4345</v>
      </c>
      <c r="R988" s="6">
        <v>0</v>
      </c>
      <c r="S988" s="6">
        <v>0</v>
      </c>
      <c r="T988" s="10">
        <f t="shared" si="60"/>
        <v>0</v>
      </c>
      <c r="V988" s="8">
        <v>-0.92787053108215301</v>
      </c>
      <c r="W988" s="8">
        <v>-7.0986763401031494</v>
      </c>
      <c r="X988" s="8">
        <f t="shared" si="59"/>
        <v>0.32428790855407463</v>
      </c>
    </row>
    <row r="989" spans="1:24" x14ac:dyDescent="0.35">
      <c r="A989" s="6" t="s">
        <v>25</v>
      </c>
      <c r="B989" s="6" t="s">
        <v>3448</v>
      </c>
      <c r="D989" s="6" t="s">
        <v>3750</v>
      </c>
      <c r="E989" s="6">
        <v>3</v>
      </c>
      <c r="F989" s="6">
        <v>31</v>
      </c>
      <c r="G989" s="6" t="s">
        <v>4052</v>
      </c>
      <c r="I989" s="8">
        <v>87.5249151388889</v>
      </c>
      <c r="J989" s="8">
        <v>21.472065277777801</v>
      </c>
      <c r="K989" s="6" t="s">
        <v>2610</v>
      </c>
      <c r="L989" s="9">
        <v>43902</v>
      </c>
      <c r="N989" s="6">
        <v>24</v>
      </c>
      <c r="O989" s="6" t="s">
        <v>4346</v>
      </c>
      <c r="V989" s="8">
        <v>-1.7307657718658449</v>
      </c>
      <c r="W989" s="8">
        <v>-11.883098636627198</v>
      </c>
      <c r="X989" s="27">
        <f t="shared" si="59"/>
        <v>1.9630275382995617</v>
      </c>
    </row>
    <row r="990" spans="1:24" x14ac:dyDescent="0.35">
      <c r="A990" s="6" t="s">
        <v>25</v>
      </c>
      <c r="B990" s="7"/>
      <c r="D990" s="6" t="s">
        <v>1114</v>
      </c>
      <c r="E990" s="6">
        <v>3</v>
      </c>
      <c r="F990" s="6">
        <v>31</v>
      </c>
      <c r="I990" s="8">
        <v>87.5249151388889</v>
      </c>
      <c r="J990" s="8">
        <v>21.472065277777801</v>
      </c>
      <c r="K990" s="6" t="s">
        <v>390</v>
      </c>
      <c r="L990" s="9">
        <v>43902</v>
      </c>
      <c r="N990" s="6">
        <v>24</v>
      </c>
      <c r="O990" s="6" t="s">
        <v>4346</v>
      </c>
      <c r="R990" s="6">
        <v>0</v>
      </c>
      <c r="S990" s="6">
        <v>0</v>
      </c>
      <c r="T990" s="10">
        <f>AVERAGE(R990:S990)</f>
        <v>0</v>
      </c>
      <c r="V990" s="8">
        <v>-0.91227724075317407</v>
      </c>
      <c r="W990" s="8">
        <v>-6.2686122364997861</v>
      </c>
      <c r="X990" s="8">
        <f t="shared" si="59"/>
        <v>1.0296056895256065</v>
      </c>
    </row>
    <row r="991" spans="1:24" x14ac:dyDescent="0.35">
      <c r="A991" s="6" t="s">
        <v>25</v>
      </c>
      <c r="B991" s="7"/>
      <c r="D991" s="6" t="s">
        <v>1115</v>
      </c>
      <c r="E991" s="6">
        <v>3</v>
      </c>
      <c r="F991" s="6">
        <v>31</v>
      </c>
      <c r="I991" s="8">
        <v>87.5249151388889</v>
      </c>
      <c r="J991" s="8">
        <v>21.472065277777801</v>
      </c>
      <c r="K991" s="6" t="s">
        <v>390</v>
      </c>
      <c r="L991" s="9">
        <v>43902</v>
      </c>
      <c r="N991" s="6">
        <v>24</v>
      </c>
      <c r="O991" s="6" t="s">
        <v>4346</v>
      </c>
      <c r="R991" s="6">
        <v>0</v>
      </c>
      <c r="S991" s="6">
        <v>0</v>
      </c>
      <c r="T991" s="10">
        <f>AVERAGE(R991:S991)</f>
        <v>0</v>
      </c>
      <c r="V991" s="8">
        <v>-0.92070414543151902</v>
      </c>
      <c r="W991" s="8">
        <v>-6.6321124978065491</v>
      </c>
      <c r="X991" s="8">
        <f t="shared" si="59"/>
        <v>0.73352066564560303</v>
      </c>
    </row>
    <row r="992" spans="1:24" x14ac:dyDescent="0.35">
      <c r="A992" s="6" t="s">
        <v>25</v>
      </c>
      <c r="B992" s="7"/>
      <c r="D992" s="6" t="s">
        <v>1116</v>
      </c>
      <c r="E992" s="6">
        <v>3</v>
      </c>
      <c r="F992" s="6">
        <v>31</v>
      </c>
      <c r="I992" s="8">
        <v>87.5249151388889</v>
      </c>
      <c r="J992" s="8">
        <v>21.472065277777801</v>
      </c>
      <c r="K992" s="6" t="s">
        <v>390</v>
      </c>
      <c r="L992" s="9">
        <v>43902</v>
      </c>
      <c r="N992" s="6">
        <v>24</v>
      </c>
      <c r="O992" s="6" t="s">
        <v>4346</v>
      </c>
      <c r="R992" s="6">
        <v>0</v>
      </c>
      <c r="S992" s="6">
        <v>0</v>
      </c>
      <c r="T992" s="10">
        <f>AVERAGE(R992:S992)</f>
        <v>0</v>
      </c>
      <c r="V992" s="8">
        <v>-0.83059300899505606</v>
      </c>
      <c r="W992" s="8">
        <v>-5.9474562621116638</v>
      </c>
      <c r="X992" s="8">
        <f t="shared" si="59"/>
        <v>0.69728780984878469</v>
      </c>
    </row>
    <row r="993" spans="1:24" x14ac:dyDescent="0.35">
      <c r="A993" s="6" t="s">
        <v>25</v>
      </c>
      <c r="B993" s="7"/>
      <c r="D993" s="6" t="s">
        <v>1117</v>
      </c>
      <c r="E993" s="6">
        <v>3</v>
      </c>
      <c r="F993" s="6">
        <v>31</v>
      </c>
      <c r="I993" s="8">
        <v>87.5249151388889</v>
      </c>
      <c r="J993" s="8">
        <v>21.472065277777801</v>
      </c>
      <c r="K993" s="6" t="s">
        <v>198</v>
      </c>
      <c r="L993" s="9">
        <v>43902</v>
      </c>
      <c r="N993" s="6">
        <v>24</v>
      </c>
      <c r="O993" s="6" t="s">
        <v>4346</v>
      </c>
      <c r="R993" s="6">
        <v>0</v>
      </c>
      <c r="S993" s="6">
        <v>0</v>
      </c>
      <c r="T993" s="10">
        <f>AVERAGE(R993:S993)</f>
        <v>0</v>
      </c>
      <c r="V993" s="8">
        <v>-23.299132843017581</v>
      </c>
      <c r="W993" s="8">
        <v>-179.43850305175781</v>
      </c>
      <c r="X993" s="8">
        <f t="shared" si="59"/>
        <v>6.9545596923828441</v>
      </c>
    </row>
    <row r="994" spans="1:24" x14ac:dyDescent="0.35">
      <c r="A994" s="6" t="s">
        <v>25</v>
      </c>
      <c r="B994" s="7"/>
      <c r="D994" s="6" t="s">
        <v>1118</v>
      </c>
      <c r="E994" s="6">
        <v>3</v>
      </c>
      <c r="F994" s="6">
        <v>31</v>
      </c>
      <c r="I994" s="8">
        <v>87.5249151388889</v>
      </c>
      <c r="J994" s="8">
        <v>21.472065277777801</v>
      </c>
      <c r="K994" s="6" t="s">
        <v>198</v>
      </c>
      <c r="L994" s="9">
        <v>43902</v>
      </c>
      <c r="N994" s="6">
        <v>24</v>
      </c>
      <c r="O994" s="6" t="s">
        <v>4346</v>
      </c>
      <c r="R994" s="6">
        <v>0</v>
      </c>
      <c r="S994" s="6">
        <v>0</v>
      </c>
      <c r="T994" s="10">
        <f>AVERAGE(R994:S994)</f>
        <v>0</v>
      </c>
      <c r="V994" s="8">
        <v>-21.775018234252929</v>
      </c>
      <c r="W994" s="8">
        <v>-168.62642687988281</v>
      </c>
      <c r="X994" s="8">
        <f t="shared" si="59"/>
        <v>5.57371899414062</v>
      </c>
    </row>
    <row r="995" spans="1:24" x14ac:dyDescent="0.35">
      <c r="A995" s="6" t="s">
        <v>25</v>
      </c>
      <c r="B995" s="6" t="s">
        <v>3449</v>
      </c>
      <c r="D995" s="6" t="s">
        <v>3751</v>
      </c>
      <c r="E995" s="6">
        <v>3</v>
      </c>
      <c r="F995" s="6">
        <v>31</v>
      </c>
      <c r="G995" s="6" t="s">
        <v>4053</v>
      </c>
      <c r="I995" s="8">
        <v>87.306370555555603</v>
      </c>
      <c r="J995" s="8">
        <v>18.873863402777801</v>
      </c>
      <c r="K995" s="6" t="s">
        <v>2610</v>
      </c>
      <c r="L995" s="9">
        <v>43903</v>
      </c>
      <c r="N995" s="6">
        <v>24</v>
      </c>
      <c r="O995" s="6" t="s">
        <v>4347</v>
      </c>
      <c r="V995" s="8">
        <v>-1.7165140628814699</v>
      </c>
      <c r="W995" s="8">
        <v>-12.703613353729249</v>
      </c>
      <c r="X995" s="27">
        <f t="shared" si="59"/>
        <v>1.02849914932251</v>
      </c>
    </row>
    <row r="996" spans="1:24" x14ac:dyDescent="0.35">
      <c r="A996" s="6" t="s">
        <v>25</v>
      </c>
      <c r="B996" s="7"/>
      <c r="D996" s="6" t="s">
        <v>1119</v>
      </c>
      <c r="E996" s="6">
        <v>3</v>
      </c>
      <c r="F996" s="6">
        <v>31</v>
      </c>
      <c r="I996" s="8">
        <v>87.306370555555603</v>
      </c>
      <c r="J996" s="8">
        <v>18.873863402777801</v>
      </c>
      <c r="K996" s="6" t="s">
        <v>390</v>
      </c>
      <c r="L996" s="9">
        <v>43903</v>
      </c>
      <c r="N996" s="6">
        <v>24</v>
      </c>
      <c r="O996" s="6" t="s">
        <v>4347</v>
      </c>
      <c r="R996" s="6">
        <v>0</v>
      </c>
      <c r="S996" s="6">
        <v>0</v>
      </c>
      <c r="T996" s="10">
        <f>AVERAGE(R996:S996)</f>
        <v>0</v>
      </c>
      <c r="V996" s="8">
        <v>-0.59061776773929597</v>
      </c>
      <c r="W996" s="8">
        <v>-3.5538181245326994</v>
      </c>
      <c r="X996" s="8">
        <f t="shared" si="59"/>
        <v>1.1711240173816684</v>
      </c>
    </row>
    <row r="997" spans="1:24" x14ac:dyDescent="0.35">
      <c r="A997" s="6" t="s">
        <v>25</v>
      </c>
      <c r="B997" s="7"/>
      <c r="D997" s="6" t="s">
        <v>1120</v>
      </c>
      <c r="E997" s="6">
        <v>3</v>
      </c>
      <c r="F997" s="6">
        <v>31</v>
      </c>
      <c r="I997" s="8">
        <v>87.306370555555603</v>
      </c>
      <c r="J997" s="8">
        <v>18.873863402777801</v>
      </c>
      <c r="K997" s="6" t="s">
        <v>198</v>
      </c>
      <c r="L997" s="9">
        <v>43903</v>
      </c>
      <c r="N997" s="6">
        <v>24</v>
      </c>
      <c r="O997" s="6" t="s">
        <v>4347</v>
      </c>
      <c r="R997" s="6">
        <v>0</v>
      </c>
      <c r="S997" s="6">
        <v>5</v>
      </c>
      <c r="T997" s="10">
        <f>AVERAGE(R997:S997)</f>
        <v>2.5</v>
      </c>
      <c r="V997" s="8">
        <v>-33.752147808837897</v>
      </c>
      <c r="W997" s="8">
        <v>-259.07386260986328</v>
      </c>
      <c r="X997" s="8">
        <f t="shared" si="59"/>
        <v>10.943319860839892</v>
      </c>
    </row>
    <row r="998" spans="1:24" x14ac:dyDescent="0.35">
      <c r="A998" s="6" t="s">
        <v>25</v>
      </c>
      <c r="B998" s="7"/>
      <c r="D998" s="6" t="s">
        <v>1121</v>
      </c>
      <c r="E998" s="6">
        <v>3</v>
      </c>
      <c r="F998" s="6">
        <v>31</v>
      </c>
      <c r="I998" s="8">
        <v>87.306370555555603</v>
      </c>
      <c r="J998" s="8">
        <v>18.873863402777801</v>
      </c>
      <c r="K998" s="6" t="s">
        <v>198</v>
      </c>
      <c r="L998" s="9">
        <v>43903</v>
      </c>
      <c r="N998" s="6">
        <v>24</v>
      </c>
      <c r="O998" s="6" t="s">
        <v>4347</v>
      </c>
      <c r="R998" s="6">
        <v>5</v>
      </c>
      <c r="S998" s="6">
        <v>7</v>
      </c>
      <c r="T998" s="10">
        <f>AVERAGE(R998:S998)</f>
        <v>6</v>
      </c>
      <c r="V998" s="8">
        <v>-15.020552779006957</v>
      </c>
      <c r="W998" s="8">
        <v>-116.54518325805664</v>
      </c>
      <c r="X998" s="8">
        <f t="shared" si="59"/>
        <v>3.6192389739990176</v>
      </c>
    </row>
    <row r="999" spans="1:24" x14ac:dyDescent="0.35">
      <c r="A999" s="6" t="s">
        <v>25</v>
      </c>
      <c r="B999" s="6" t="s">
        <v>3450</v>
      </c>
      <c r="D999" s="6" t="s">
        <v>3752</v>
      </c>
      <c r="E999" s="6">
        <v>3</v>
      </c>
      <c r="F999" s="6">
        <v>31</v>
      </c>
      <c r="G999" s="6" t="s">
        <v>4054</v>
      </c>
      <c r="I999" s="8">
        <v>87.138459583333301</v>
      </c>
      <c r="J999" s="8">
        <v>17.1934574305556</v>
      </c>
      <c r="K999" s="6" t="s">
        <v>2610</v>
      </c>
      <c r="L999" s="9">
        <v>43904</v>
      </c>
      <c r="N999" s="6">
        <v>24</v>
      </c>
      <c r="O999" s="6" t="s">
        <v>4280</v>
      </c>
      <c r="V999" s="8">
        <v>-1.684504699707031</v>
      </c>
      <c r="W999" s="8">
        <v>-12.403106266021732</v>
      </c>
      <c r="X999" s="27">
        <f t="shared" si="59"/>
        <v>1.0729313316345159</v>
      </c>
    </row>
    <row r="1000" spans="1:24" x14ac:dyDescent="0.35">
      <c r="A1000" s="6" t="s">
        <v>25</v>
      </c>
      <c r="B1000" s="7"/>
      <c r="D1000" s="6" t="s">
        <v>1122</v>
      </c>
      <c r="E1000" s="6">
        <v>3</v>
      </c>
      <c r="F1000" s="6">
        <v>31</v>
      </c>
      <c r="I1000" s="8">
        <v>87.138459583333301</v>
      </c>
      <c r="J1000" s="8">
        <v>17.1934574305556</v>
      </c>
      <c r="K1000" s="6" t="s">
        <v>390</v>
      </c>
      <c r="L1000" s="9">
        <v>43904</v>
      </c>
      <c r="N1000" s="6">
        <v>24</v>
      </c>
      <c r="O1000" s="6" t="s">
        <v>4280</v>
      </c>
      <c r="R1000" s="6">
        <v>0</v>
      </c>
      <c r="S1000" s="6">
        <v>7</v>
      </c>
      <c r="T1000" s="10">
        <f t="shared" ref="T1000:T1006" si="61">AVERAGE(R1000:S1000)</f>
        <v>3.5</v>
      </c>
      <c r="V1000" s="8">
        <v>-0.83434862477779403</v>
      </c>
      <c r="W1000" s="8">
        <v>-6.3638717429637905</v>
      </c>
      <c r="X1000" s="8">
        <f t="shared" si="59"/>
        <v>0.31091725525856173</v>
      </c>
    </row>
    <row r="1001" spans="1:24" x14ac:dyDescent="0.35">
      <c r="A1001" s="6" t="s">
        <v>25</v>
      </c>
      <c r="B1001" s="7"/>
      <c r="D1001" s="6" t="s">
        <v>1123</v>
      </c>
      <c r="E1001" s="6">
        <v>3</v>
      </c>
      <c r="F1001" s="6">
        <v>31</v>
      </c>
      <c r="I1001" s="8">
        <v>87.138459583333301</v>
      </c>
      <c r="J1001" s="8">
        <v>17.1934574305556</v>
      </c>
      <c r="K1001" s="6" t="s">
        <v>390</v>
      </c>
      <c r="L1001" s="9">
        <v>43904</v>
      </c>
      <c r="N1001" s="6">
        <v>24</v>
      </c>
      <c r="O1001" s="6" t="s">
        <v>4280</v>
      </c>
      <c r="R1001" s="6">
        <v>7</v>
      </c>
      <c r="S1001" s="6">
        <v>14</v>
      </c>
      <c r="T1001" s="10">
        <f t="shared" si="61"/>
        <v>10.5</v>
      </c>
      <c r="V1001" s="8">
        <v>-0.27261542552411516</v>
      </c>
      <c r="W1001" s="8">
        <v>-1.2377948403358459</v>
      </c>
      <c r="X1001" s="8">
        <f t="shared" si="59"/>
        <v>0.94312856385707544</v>
      </c>
    </row>
    <row r="1002" spans="1:24" x14ac:dyDescent="0.35">
      <c r="A1002" s="6" t="s">
        <v>25</v>
      </c>
      <c r="B1002" s="7"/>
      <c r="D1002" s="6" t="s">
        <v>1124</v>
      </c>
      <c r="E1002" s="6">
        <v>3</v>
      </c>
      <c r="F1002" s="6">
        <v>31</v>
      </c>
      <c r="I1002" s="8">
        <v>87.138459583333301</v>
      </c>
      <c r="J1002" s="8">
        <v>17.1934574305556</v>
      </c>
      <c r="K1002" s="6" t="s">
        <v>198</v>
      </c>
      <c r="L1002" s="9">
        <v>43904</v>
      </c>
      <c r="N1002" s="6">
        <v>24</v>
      </c>
      <c r="O1002" s="6" t="s">
        <v>4280</v>
      </c>
      <c r="R1002" s="6">
        <v>0</v>
      </c>
      <c r="S1002" s="6">
        <v>3</v>
      </c>
      <c r="T1002" s="10">
        <f t="shared" si="61"/>
        <v>1.5</v>
      </c>
      <c r="V1002" s="8">
        <v>-33.146294136810305</v>
      </c>
      <c r="W1002" s="8">
        <v>-254.70809295654297</v>
      </c>
      <c r="X1002" s="8">
        <f t="shared" si="59"/>
        <v>10.462260137939467</v>
      </c>
    </row>
    <row r="1003" spans="1:24" x14ac:dyDescent="0.35">
      <c r="A1003" s="6" t="s">
        <v>25</v>
      </c>
      <c r="B1003" s="7"/>
      <c r="D1003" s="6" t="s">
        <v>1125</v>
      </c>
      <c r="E1003" s="6">
        <v>3</v>
      </c>
      <c r="F1003" s="6">
        <v>31</v>
      </c>
      <c r="I1003" s="8">
        <v>87.138459583333301</v>
      </c>
      <c r="J1003" s="8">
        <v>17.1934574305556</v>
      </c>
      <c r="K1003" s="6" t="s">
        <v>198</v>
      </c>
      <c r="L1003" s="9">
        <v>43904</v>
      </c>
      <c r="N1003" s="6">
        <v>24</v>
      </c>
      <c r="O1003" s="6" t="s">
        <v>4280</v>
      </c>
      <c r="R1003" s="6">
        <v>3</v>
      </c>
      <c r="S1003" s="6">
        <v>5</v>
      </c>
      <c r="T1003" s="10">
        <f t="shared" si="61"/>
        <v>4</v>
      </c>
      <c r="V1003" s="8">
        <v>-16.170186491775514</v>
      </c>
      <c r="W1003" s="8">
        <v>-125.89718154907226</v>
      </c>
      <c r="X1003" s="8">
        <f t="shared" si="59"/>
        <v>3.4643103851318529</v>
      </c>
    </row>
    <row r="1004" spans="1:24" x14ac:dyDescent="0.35">
      <c r="A1004" s="6" t="s">
        <v>25</v>
      </c>
      <c r="B1004" s="7"/>
      <c r="D1004" s="6" t="s">
        <v>1126</v>
      </c>
      <c r="E1004" s="6">
        <v>3</v>
      </c>
      <c r="F1004" s="6">
        <v>31</v>
      </c>
      <c r="I1004" s="8">
        <v>87.138459583333301</v>
      </c>
      <c r="J1004" s="8">
        <v>17.1934574305556</v>
      </c>
      <c r="K1004" s="6" t="s">
        <v>198</v>
      </c>
      <c r="L1004" s="9">
        <v>43904</v>
      </c>
      <c r="N1004" s="6">
        <v>24</v>
      </c>
      <c r="O1004" s="6" t="s">
        <v>4280</v>
      </c>
      <c r="R1004" s="6">
        <v>0</v>
      </c>
      <c r="S1004" s="6">
        <v>2.5</v>
      </c>
      <c r="T1004" s="10">
        <f t="shared" si="61"/>
        <v>1.25</v>
      </c>
      <c r="V1004" s="8">
        <v>-33.857241040039064</v>
      </c>
      <c r="W1004" s="8">
        <v>-259.37284332275391</v>
      </c>
      <c r="X1004" s="8">
        <f t="shared" si="59"/>
        <v>11.485084997558602</v>
      </c>
    </row>
    <row r="1005" spans="1:24" x14ac:dyDescent="0.35">
      <c r="A1005" s="6" t="s">
        <v>25</v>
      </c>
      <c r="B1005" s="7"/>
      <c r="D1005" s="6" t="s">
        <v>1127</v>
      </c>
      <c r="E1005" s="6">
        <v>3</v>
      </c>
      <c r="F1005" s="6">
        <v>31</v>
      </c>
      <c r="I1005" s="8">
        <v>87.138459583333301</v>
      </c>
      <c r="J1005" s="8">
        <v>17.1934574305556</v>
      </c>
      <c r="K1005" s="6" t="s">
        <v>198</v>
      </c>
      <c r="L1005" s="9">
        <v>43904</v>
      </c>
      <c r="N1005" s="6">
        <v>24</v>
      </c>
      <c r="O1005" s="6" t="s">
        <v>4280</v>
      </c>
      <c r="R1005" s="6">
        <v>2.5</v>
      </c>
      <c r="S1005" s="6">
        <v>5</v>
      </c>
      <c r="T1005" s="10">
        <f t="shared" si="61"/>
        <v>3.75</v>
      </c>
      <c r="V1005" s="8">
        <v>-20.964497719573973</v>
      </c>
      <c r="W1005" s="8">
        <v>-162.17937911987303</v>
      </c>
      <c r="X1005" s="8">
        <f t="shared" si="59"/>
        <v>5.5366026367187544</v>
      </c>
    </row>
    <row r="1006" spans="1:24" x14ac:dyDescent="0.35">
      <c r="A1006" s="6" t="s">
        <v>25</v>
      </c>
      <c r="B1006" s="7" t="s">
        <v>1131</v>
      </c>
      <c r="D1006" s="6" t="s">
        <v>1132</v>
      </c>
      <c r="E1006" s="6">
        <v>3</v>
      </c>
      <c r="F1006" s="6">
        <v>31</v>
      </c>
      <c r="G1006" s="6" t="s">
        <v>60</v>
      </c>
      <c r="I1006" s="8">
        <v>87.060415347222204</v>
      </c>
      <c r="J1006" s="8">
        <v>15.215135763888901</v>
      </c>
      <c r="K1006" s="7" t="s">
        <v>2610</v>
      </c>
      <c r="L1006" s="9">
        <v>43905</v>
      </c>
      <c r="N1006" s="6">
        <v>24</v>
      </c>
      <c r="O1006" s="6" t="s">
        <v>4348</v>
      </c>
      <c r="Q1006" s="10">
        <v>500</v>
      </c>
      <c r="R1006" s="10"/>
      <c r="S1006" s="10">
        <v>500</v>
      </c>
      <c r="T1006" s="10">
        <f t="shared" si="61"/>
        <v>500</v>
      </c>
      <c r="U1006" s="11"/>
      <c r="V1006" s="8">
        <v>-1.738521491336823</v>
      </c>
      <c r="W1006" s="8">
        <v>-12.115200625419615</v>
      </c>
      <c r="X1006" s="8">
        <f t="shared" si="59"/>
        <v>1.7929713052749694</v>
      </c>
    </row>
    <row r="1007" spans="1:24" x14ac:dyDescent="0.35">
      <c r="A1007" s="6" t="s">
        <v>25</v>
      </c>
      <c r="B1007" s="6" t="s">
        <v>3451</v>
      </c>
      <c r="D1007" s="6" t="s">
        <v>3753</v>
      </c>
      <c r="E1007" s="6">
        <v>3</v>
      </c>
      <c r="F1007" s="6">
        <v>31</v>
      </c>
      <c r="G1007" s="6" t="s">
        <v>4055</v>
      </c>
      <c r="I1007" s="8">
        <v>87.060415347222204</v>
      </c>
      <c r="J1007" s="8">
        <v>15.215135763888901</v>
      </c>
      <c r="K1007" s="6" t="s">
        <v>2610</v>
      </c>
      <c r="L1007" s="9">
        <v>43905</v>
      </c>
      <c r="N1007" s="6">
        <v>25</v>
      </c>
      <c r="O1007" s="6" t="s">
        <v>4348</v>
      </c>
      <c r="V1007" s="8">
        <v>-1.648333740234375</v>
      </c>
      <c r="W1007" s="8">
        <v>-11.17626020050049</v>
      </c>
      <c r="X1007" s="27">
        <f t="shared" si="59"/>
        <v>2.0104097213745096</v>
      </c>
    </row>
    <row r="1008" spans="1:24" x14ac:dyDescent="0.35">
      <c r="A1008" s="6" t="s">
        <v>25</v>
      </c>
      <c r="B1008" s="7"/>
      <c r="D1008" s="6" t="s">
        <v>1128</v>
      </c>
      <c r="E1008" s="6">
        <v>3</v>
      </c>
      <c r="F1008" s="6">
        <v>31</v>
      </c>
      <c r="G1008" s="6" t="s">
        <v>1129</v>
      </c>
      <c r="I1008" s="8">
        <v>87.060415347222204</v>
      </c>
      <c r="J1008" s="8">
        <v>15.215135763888901</v>
      </c>
      <c r="K1008" s="6" t="s">
        <v>390</v>
      </c>
      <c r="L1008" s="9">
        <v>43905</v>
      </c>
      <c r="N1008" s="6">
        <v>24</v>
      </c>
      <c r="O1008" s="6" t="s">
        <v>4348</v>
      </c>
      <c r="R1008" s="6">
        <v>0</v>
      </c>
      <c r="S1008" s="6">
        <v>0</v>
      </c>
      <c r="T1008" s="10">
        <f>AVERAGE(R1008:S1008)</f>
        <v>0</v>
      </c>
      <c r="V1008" s="8">
        <v>-0.80908307867050189</v>
      </c>
      <c r="W1008" s="8">
        <v>-4.3091256666183471</v>
      </c>
      <c r="X1008" s="8">
        <f t="shared" si="59"/>
        <v>2.163538962745668</v>
      </c>
    </row>
    <row r="1009" spans="1:24" x14ac:dyDescent="0.35">
      <c r="A1009" s="6" t="s">
        <v>25</v>
      </c>
      <c r="B1009" s="7"/>
      <c r="D1009" s="6" t="s">
        <v>1130</v>
      </c>
      <c r="E1009" s="6">
        <v>3</v>
      </c>
      <c r="F1009" s="6">
        <v>31</v>
      </c>
      <c r="G1009" s="6" t="s">
        <v>1129</v>
      </c>
      <c r="I1009" s="8">
        <v>87.060415347222204</v>
      </c>
      <c r="J1009" s="8">
        <v>15.215135763888901</v>
      </c>
      <c r="K1009" s="6" t="s">
        <v>198</v>
      </c>
      <c r="L1009" s="9">
        <v>43905</v>
      </c>
      <c r="N1009" s="6">
        <v>24</v>
      </c>
      <c r="O1009" s="6" t="s">
        <v>4348</v>
      </c>
      <c r="R1009" s="6">
        <v>0</v>
      </c>
      <c r="S1009" s="6">
        <v>0</v>
      </c>
      <c r="T1009" s="10">
        <f>AVERAGE(R1009:S1009)</f>
        <v>0</v>
      </c>
      <c r="V1009" s="8">
        <v>-17.662931309509275</v>
      </c>
      <c r="W1009" s="8">
        <v>-136.34501815795898</v>
      </c>
      <c r="X1009" s="8">
        <f t="shared" si="59"/>
        <v>4.9584323181152286</v>
      </c>
    </row>
    <row r="1010" spans="1:24" x14ac:dyDescent="0.35">
      <c r="A1010" s="6" t="s">
        <v>25</v>
      </c>
      <c r="B1010" s="6" t="s">
        <v>3452</v>
      </c>
      <c r="D1010" s="6" t="s">
        <v>3754</v>
      </c>
      <c r="E1010" s="6">
        <v>3</v>
      </c>
      <c r="F1010" s="6">
        <v>32</v>
      </c>
      <c r="G1010" s="6" t="s">
        <v>4056</v>
      </c>
      <c r="I1010" s="8">
        <v>86.899737916666695</v>
      </c>
      <c r="J1010" s="8">
        <v>12.90849375</v>
      </c>
      <c r="K1010" s="6" t="s">
        <v>2610</v>
      </c>
      <c r="L1010" s="9">
        <v>43906</v>
      </c>
      <c r="N1010" s="6">
        <v>25</v>
      </c>
      <c r="O1010" s="6" t="s">
        <v>4258</v>
      </c>
      <c r="V1010" s="8">
        <v>-1.709918212890625</v>
      </c>
      <c r="W1010" s="8">
        <v>-11.095289646148682</v>
      </c>
      <c r="X1010" s="27">
        <f t="shared" si="59"/>
        <v>2.5840560569763174</v>
      </c>
    </row>
    <row r="1011" spans="1:24" x14ac:dyDescent="0.35">
      <c r="A1011" s="6" t="s">
        <v>25</v>
      </c>
      <c r="B1011" s="7"/>
      <c r="D1011" s="6" t="s">
        <v>1133</v>
      </c>
      <c r="E1011" s="6">
        <v>3</v>
      </c>
      <c r="F1011" s="6">
        <v>32</v>
      </c>
      <c r="G1011" s="6" t="s">
        <v>272</v>
      </c>
      <c r="I1011" s="8">
        <v>86.899737916666695</v>
      </c>
      <c r="J1011" s="8">
        <v>12.90849375</v>
      </c>
      <c r="K1011" s="6" t="s">
        <v>29</v>
      </c>
      <c r="L1011" s="9">
        <v>43906</v>
      </c>
      <c r="N1011" s="6">
        <v>25</v>
      </c>
      <c r="O1011" s="6" t="s">
        <v>4258</v>
      </c>
      <c r="R1011" s="6">
        <v>0</v>
      </c>
      <c r="S1011" s="6">
        <v>10</v>
      </c>
      <c r="T1011" s="10">
        <f t="shared" ref="T1011:T1028" si="62">AVERAGE(R1011:S1011)</f>
        <v>5</v>
      </c>
      <c r="V1011" s="8">
        <v>-6.9670442352294923</v>
      </c>
      <c r="W1011" s="8">
        <v>-52.90213577270508</v>
      </c>
      <c r="X1011" s="8">
        <f t="shared" si="59"/>
        <v>2.8342181091308589</v>
      </c>
    </row>
    <row r="1012" spans="1:24" x14ac:dyDescent="0.35">
      <c r="A1012" s="6" t="s">
        <v>25</v>
      </c>
      <c r="B1012" s="7"/>
      <c r="D1012" s="6" t="s">
        <v>1134</v>
      </c>
      <c r="E1012" s="6">
        <v>3</v>
      </c>
      <c r="F1012" s="6">
        <v>32</v>
      </c>
      <c r="G1012" s="6" t="s">
        <v>272</v>
      </c>
      <c r="I1012" s="8">
        <v>86.899737916666695</v>
      </c>
      <c r="J1012" s="8">
        <v>12.90849375</v>
      </c>
      <c r="K1012" s="6" t="s">
        <v>29</v>
      </c>
      <c r="L1012" s="9">
        <v>43906</v>
      </c>
      <c r="N1012" s="6">
        <v>25</v>
      </c>
      <c r="O1012" s="6" t="s">
        <v>4258</v>
      </c>
      <c r="R1012" s="6">
        <v>10</v>
      </c>
      <c r="S1012" s="6">
        <v>20</v>
      </c>
      <c r="T1012" s="10">
        <f t="shared" si="62"/>
        <v>15</v>
      </c>
      <c r="V1012" s="8">
        <v>-3.8178028335571295</v>
      </c>
      <c r="W1012" s="8">
        <v>-28.542946758270261</v>
      </c>
      <c r="X1012" s="8">
        <f t="shared" si="59"/>
        <v>1.9994759101867743</v>
      </c>
    </row>
    <row r="1013" spans="1:24" x14ac:dyDescent="0.35">
      <c r="A1013" s="6" t="s">
        <v>25</v>
      </c>
      <c r="B1013" s="7"/>
      <c r="D1013" s="6" t="s">
        <v>1135</v>
      </c>
      <c r="E1013" s="6">
        <v>3</v>
      </c>
      <c r="F1013" s="6">
        <v>32</v>
      </c>
      <c r="G1013" s="6" t="s">
        <v>272</v>
      </c>
      <c r="I1013" s="8">
        <v>86.899737916666695</v>
      </c>
      <c r="J1013" s="8">
        <v>12.90849375</v>
      </c>
      <c r="K1013" s="6" t="s">
        <v>29</v>
      </c>
      <c r="L1013" s="9">
        <v>43906</v>
      </c>
      <c r="N1013" s="6">
        <v>25</v>
      </c>
      <c r="O1013" s="6" t="s">
        <v>4258</v>
      </c>
      <c r="R1013" s="6">
        <v>20</v>
      </c>
      <c r="S1013" s="6">
        <v>30</v>
      </c>
      <c r="T1013" s="10">
        <f t="shared" si="62"/>
        <v>25</v>
      </c>
      <c r="V1013" s="8">
        <v>-5.323338012695312</v>
      </c>
      <c r="W1013" s="8">
        <v>-39.485479888916018</v>
      </c>
      <c r="X1013" s="8">
        <f t="shared" si="59"/>
        <v>3.1012242126464784</v>
      </c>
    </row>
    <row r="1014" spans="1:24" x14ac:dyDescent="0.35">
      <c r="A1014" s="6" t="s">
        <v>25</v>
      </c>
      <c r="B1014" s="7"/>
      <c r="D1014" s="6" t="s">
        <v>1136</v>
      </c>
      <c r="E1014" s="6">
        <v>3</v>
      </c>
      <c r="F1014" s="6">
        <v>32</v>
      </c>
      <c r="G1014" s="6" t="s">
        <v>272</v>
      </c>
      <c r="I1014" s="8">
        <v>86.899737916666695</v>
      </c>
      <c r="J1014" s="8">
        <v>12.90849375</v>
      </c>
      <c r="K1014" s="6" t="s">
        <v>29</v>
      </c>
      <c r="L1014" s="9">
        <v>43906</v>
      </c>
      <c r="N1014" s="6">
        <v>25</v>
      </c>
      <c r="O1014" s="6" t="s">
        <v>4258</v>
      </c>
      <c r="R1014" s="6">
        <v>30</v>
      </c>
      <c r="S1014" s="6">
        <v>40</v>
      </c>
      <c r="T1014" s="10">
        <f t="shared" si="62"/>
        <v>35</v>
      </c>
      <c r="V1014" s="8">
        <v>-5.6721097717285156</v>
      </c>
      <c r="W1014" s="8">
        <v>-42.324638481140127</v>
      </c>
      <c r="X1014" s="8">
        <f t="shared" si="59"/>
        <v>3.0522396926879978</v>
      </c>
    </row>
    <row r="1015" spans="1:24" x14ac:dyDescent="0.35">
      <c r="A1015" s="6" t="s">
        <v>25</v>
      </c>
      <c r="B1015" s="7"/>
      <c r="D1015" s="6" t="s">
        <v>1137</v>
      </c>
      <c r="E1015" s="6">
        <v>3</v>
      </c>
      <c r="F1015" s="6">
        <v>32</v>
      </c>
      <c r="G1015" s="6" t="s">
        <v>272</v>
      </c>
      <c r="I1015" s="8">
        <v>86.899737916666695</v>
      </c>
      <c r="J1015" s="8">
        <v>12.90849375</v>
      </c>
      <c r="K1015" s="6" t="s">
        <v>29</v>
      </c>
      <c r="L1015" s="9">
        <v>43906</v>
      </c>
      <c r="N1015" s="6">
        <v>25</v>
      </c>
      <c r="O1015" s="6" t="s">
        <v>4258</v>
      </c>
      <c r="R1015" s="6">
        <v>40</v>
      </c>
      <c r="S1015" s="6">
        <v>50</v>
      </c>
      <c r="T1015" s="10">
        <f t="shared" si="62"/>
        <v>45</v>
      </c>
      <c r="V1015" s="8">
        <v>-5.3407277374267581</v>
      </c>
      <c r="W1015" s="8">
        <v>-40.121047019958496</v>
      </c>
      <c r="X1015" s="8">
        <f t="shared" si="59"/>
        <v>2.6047748794555687</v>
      </c>
    </row>
    <row r="1016" spans="1:24" x14ac:dyDescent="0.35">
      <c r="A1016" s="6" t="s">
        <v>25</v>
      </c>
      <c r="B1016" s="7"/>
      <c r="D1016" s="6" t="s">
        <v>1138</v>
      </c>
      <c r="E1016" s="6">
        <v>3</v>
      </c>
      <c r="F1016" s="6">
        <v>32</v>
      </c>
      <c r="G1016" s="6" t="s">
        <v>272</v>
      </c>
      <c r="I1016" s="8">
        <v>86.899737916666695</v>
      </c>
      <c r="J1016" s="8">
        <v>12.90849375</v>
      </c>
      <c r="K1016" s="6" t="s">
        <v>29</v>
      </c>
      <c r="L1016" s="9">
        <v>43906</v>
      </c>
      <c r="N1016" s="6">
        <v>25</v>
      </c>
      <c r="O1016" s="6" t="s">
        <v>4258</v>
      </c>
      <c r="R1016" s="6">
        <v>50</v>
      </c>
      <c r="S1016" s="6">
        <v>60</v>
      </c>
      <c r="T1016" s="10">
        <f t="shared" si="62"/>
        <v>55</v>
      </c>
      <c r="V1016" s="8">
        <v>-1.0250397270043692</v>
      </c>
      <c r="W1016" s="8">
        <v>-7.1063754059076309</v>
      </c>
      <c r="X1016" s="8">
        <f t="shared" si="59"/>
        <v>1.0939424101273225</v>
      </c>
    </row>
    <row r="1017" spans="1:24" x14ac:dyDescent="0.35">
      <c r="A1017" s="6" t="s">
        <v>25</v>
      </c>
      <c r="B1017" s="7"/>
      <c r="D1017" s="6" t="s">
        <v>1139</v>
      </c>
      <c r="E1017" s="6">
        <v>3</v>
      </c>
      <c r="F1017" s="6">
        <v>32</v>
      </c>
      <c r="G1017" s="6" t="s">
        <v>272</v>
      </c>
      <c r="I1017" s="8">
        <v>86.899737916666695</v>
      </c>
      <c r="J1017" s="8">
        <v>12.90849375</v>
      </c>
      <c r="K1017" s="6" t="s">
        <v>29</v>
      </c>
      <c r="L1017" s="9">
        <v>43906</v>
      </c>
      <c r="N1017" s="6">
        <v>25</v>
      </c>
      <c r="O1017" s="6" t="s">
        <v>4258</v>
      </c>
      <c r="R1017" s="6">
        <v>60</v>
      </c>
      <c r="S1017" s="6">
        <v>70</v>
      </c>
      <c r="T1017" s="10">
        <f t="shared" si="62"/>
        <v>65</v>
      </c>
      <c r="V1017" s="8">
        <v>0.69630065155029297</v>
      </c>
      <c r="W1017" s="8">
        <v>6.1190917205810544</v>
      </c>
      <c r="X1017" s="8">
        <f t="shared" si="59"/>
        <v>0.54868650817871067</v>
      </c>
    </row>
    <row r="1018" spans="1:24" x14ac:dyDescent="0.35">
      <c r="A1018" s="6" t="s">
        <v>25</v>
      </c>
      <c r="B1018" s="7"/>
      <c r="D1018" s="6" t="s">
        <v>1140</v>
      </c>
      <c r="E1018" s="6">
        <v>3</v>
      </c>
      <c r="F1018" s="6">
        <v>32</v>
      </c>
      <c r="G1018" s="6" t="s">
        <v>272</v>
      </c>
      <c r="I1018" s="8">
        <v>86.899737916666695</v>
      </c>
      <c r="J1018" s="8">
        <v>12.90849375</v>
      </c>
      <c r="K1018" s="6" t="s">
        <v>29</v>
      </c>
      <c r="L1018" s="9">
        <v>43906</v>
      </c>
      <c r="N1018" s="6">
        <v>25</v>
      </c>
      <c r="O1018" s="6" t="s">
        <v>4258</v>
      </c>
      <c r="R1018" s="6">
        <v>70</v>
      </c>
      <c r="S1018" s="6">
        <v>80</v>
      </c>
      <c r="T1018" s="10">
        <f t="shared" si="62"/>
        <v>75</v>
      </c>
      <c r="V1018" s="8">
        <v>0.6555852432250977</v>
      </c>
      <c r="W1018" s="8">
        <v>5.6912199783325192</v>
      </c>
      <c r="X1018" s="8">
        <f t="shared" si="59"/>
        <v>0.44653803253173763</v>
      </c>
    </row>
    <row r="1019" spans="1:24" x14ac:dyDescent="0.35">
      <c r="A1019" s="6" t="s">
        <v>25</v>
      </c>
      <c r="B1019" s="7"/>
      <c r="D1019" s="6" t="s">
        <v>1141</v>
      </c>
      <c r="E1019" s="6">
        <v>3</v>
      </c>
      <c r="F1019" s="6">
        <v>32</v>
      </c>
      <c r="G1019" s="6" t="s">
        <v>272</v>
      </c>
      <c r="I1019" s="8">
        <v>86.899737916666695</v>
      </c>
      <c r="J1019" s="8">
        <v>12.90849375</v>
      </c>
      <c r="K1019" s="6" t="s">
        <v>29</v>
      </c>
      <c r="L1019" s="9">
        <v>43906</v>
      </c>
      <c r="N1019" s="6">
        <v>25</v>
      </c>
      <c r="O1019" s="6" t="s">
        <v>4258</v>
      </c>
      <c r="R1019" s="6">
        <v>80</v>
      </c>
      <c r="S1019" s="6">
        <v>90</v>
      </c>
      <c r="T1019" s="10">
        <f t="shared" si="62"/>
        <v>85</v>
      </c>
      <c r="V1019" s="8">
        <v>0.17539463758766694</v>
      </c>
      <c r="W1019" s="8">
        <v>2.8426615786552434</v>
      </c>
      <c r="X1019" s="8">
        <f t="shared" si="59"/>
        <v>1.4395044779539079</v>
      </c>
    </row>
    <row r="1020" spans="1:24" x14ac:dyDescent="0.35">
      <c r="A1020" s="6" t="s">
        <v>25</v>
      </c>
      <c r="B1020" s="7"/>
      <c r="D1020" s="6" t="s">
        <v>1142</v>
      </c>
      <c r="E1020" s="6">
        <v>3</v>
      </c>
      <c r="F1020" s="6">
        <v>32</v>
      </c>
      <c r="G1020" s="6" t="s">
        <v>272</v>
      </c>
      <c r="I1020" s="8">
        <v>86.899737916666695</v>
      </c>
      <c r="J1020" s="8">
        <v>12.90849375</v>
      </c>
      <c r="K1020" s="6" t="s">
        <v>29</v>
      </c>
      <c r="L1020" s="9">
        <v>43906</v>
      </c>
      <c r="N1020" s="6">
        <v>25</v>
      </c>
      <c r="O1020" s="6" t="s">
        <v>4258</v>
      </c>
      <c r="R1020" s="6">
        <v>90</v>
      </c>
      <c r="S1020" s="6">
        <v>100</v>
      </c>
      <c r="T1020" s="10">
        <f t="shared" si="62"/>
        <v>95</v>
      </c>
      <c r="V1020" s="8">
        <v>0.10142766168266515</v>
      </c>
      <c r="W1020" s="8">
        <v>1.7467783951759337</v>
      </c>
      <c r="X1020" s="8">
        <f t="shared" si="59"/>
        <v>0.9353571017146125</v>
      </c>
    </row>
    <row r="1021" spans="1:24" x14ac:dyDescent="0.35">
      <c r="A1021" s="6" t="s">
        <v>25</v>
      </c>
      <c r="B1021" s="7"/>
      <c r="D1021" s="6" t="s">
        <v>1143</v>
      </c>
      <c r="E1021" s="6">
        <v>3</v>
      </c>
      <c r="F1021" s="6">
        <v>32</v>
      </c>
      <c r="G1021" s="6" t="s">
        <v>272</v>
      </c>
      <c r="I1021" s="8">
        <v>86.899737916666695</v>
      </c>
      <c r="J1021" s="8">
        <v>12.90849375</v>
      </c>
      <c r="K1021" s="6" t="s">
        <v>29</v>
      </c>
      <c r="L1021" s="9">
        <v>43906</v>
      </c>
      <c r="N1021" s="6">
        <v>25</v>
      </c>
      <c r="O1021" s="6" t="s">
        <v>4258</v>
      </c>
      <c r="R1021" s="6">
        <v>100</v>
      </c>
      <c r="S1021" s="6">
        <v>110</v>
      </c>
      <c r="T1021" s="10">
        <f t="shared" si="62"/>
        <v>105</v>
      </c>
      <c r="V1021" s="8">
        <v>-0.35185461807996044</v>
      </c>
      <c r="W1021" s="8">
        <v>-1.1948248004913327</v>
      </c>
      <c r="X1021" s="8">
        <f t="shared" si="59"/>
        <v>1.6200121441483508</v>
      </c>
    </row>
    <row r="1022" spans="1:24" x14ac:dyDescent="0.35">
      <c r="A1022" s="6" t="s">
        <v>25</v>
      </c>
      <c r="B1022" s="7"/>
      <c r="D1022" s="6" t="s">
        <v>1144</v>
      </c>
      <c r="E1022" s="6">
        <v>3</v>
      </c>
      <c r="F1022" s="6">
        <v>32</v>
      </c>
      <c r="G1022" s="6" t="s">
        <v>272</v>
      </c>
      <c r="I1022" s="8">
        <v>86.899737916666695</v>
      </c>
      <c r="J1022" s="8">
        <v>12.90849375</v>
      </c>
      <c r="K1022" s="6" t="s">
        <v>29</v>
      </c>
      <c r="L1022" s="9">
        <v>43906</v>
      </c>
      <c r="N1022" s="6">
        <v>25</v>
      </c>
      <c r="O1022" s="6" t="s">
        <v>4258</v>
      </c>
      <c r="R1022" s="6">
        <v>110</v>
      </c>
      <c r="S1022" s="6">
        <v>120</v>
      </c>
      <c r="T1022" s="10">
        <f t="shared" si="62"/>
        <v>115</v>
      </c>
      <c r="V1022" s="8">
        <v>-0.29819860434234152</v>
      </c>
      <c r="W1022" s="8">
        <v>-1.9293737888336178</v>
      </c>
      <c r="X1022" s="8">
        <f t="shared" si="59"/>
        <v>0.45621504590511441</v>
      </c>
    </row>
    <row r="1023" spans="1:24" x14ac:dyDescent="0.35">
      <c r="A1023" s="6" t="s">
        <v>25</v>
      </c>
      <c r="B1023" s="7"/>
      <c r="D1023" s="6" t="s">
        <v>1145</v>
      </c>
      <c r="E1023" s="6">
        <v>3</v>
      </c>
      <c r="F1023" s="6">
        <v>32</v>
      </c>
      <c r="G1023" s="6" t="s">
        <v>272</v>
      </c>
      <c r="I1023" s="8">
        <v>86.899737916666695</v>
      </c>
      <c r="J1023" s="8">
        <v>12.90849375</v>
      </c>
      <c r="K1023" s="6" t="s">
        <v>29</v>
      </c>
      <c r="L1023" s="9">
        <v>43906</v>
      </c>
      <c r="N1023" s="6">
        <v>25</v>
      </c>
      <c r="O1023" s="6" t="s">
        <v>4258</v>
      </c>
      <c r="R1023" s="6">
        <v>120</v>
      </c>
      <c r="S1023" s="6">
        <v>130</v>
      </c>
      <c r="T1023" s="10">
        <f t="shared" si="62"/>
        <v>125</v>
      </c>
      <c r="V1023" s="8">
        <v>-0.29500841220915264</v>
      </c>
      <c r="W1023" s="8">
        <v>-2.0673928880691519</v>
      </c>
      <c r="X1023" s="8">
        <f t="shared" si="59"/>
        <v>0.29267440960406921</v>
      </c>
    </row>
    <row r="1024" spans="1:24" x14ac:dyDescent="0.35">
      <c r="A1024" s="6" t="s">
        <v>25</v>
      </c>
      <c r="B1024" s="7"/>
      <c r="D1024" s="6" t="s">
        <v>1146</v>
      </c>
      <c r="E1024" s="6">
        <v>3</v>
      </c>
      <c r="F1024" s="6">
        <v>32</v>
      </c>
      <c r="G1024" s="6" t="s">
        <v>272</v>
      </c>
      <c r="I1024" s="8">
        <v>86.899737916666695</v>
      </c>
      <c r="J1024" s="8">
        <v>12.90849375</v>
      </c>
      <c r="K1024" s="6" t="s">
        <v>29</v>
      </c>
      <c r="L1024" s="9">
        <v>43906</v>
      </c>
      <c r="N1024" s="6">
        <v>25</v>
      </c>
      <c r="O1024" s="6" t="s">
        <v>4258</v>
      </c>
      <c r="R1024" s="6">
        <v>130</v>
      </c>
      <c r="S1024" s="6">
        <v>140</v>
      </c>
      <c r="T1024" s="10">
        <f t="shared" si="62"/>
        <v>135</v>
      </c>
      <c r="V1024" s="8">
        <v>-5.0704918746650417E-2</v>
      </c>
      <c r="W1024" s="8">
        <v>0.13569210052490235</v>
      </c>
      <c r="X1024" s="8">
        <f t="shared" si="59"/>
        <v>0.54133145049810572</v>
      </c>
    </row>
    <row r="1025" spans="1:25" x14ac:dyDescent="0.35">
      <c r="A1025" s="6" t="s">
        <v>25</v>
      </c>
      <c r="B1025" s="7"/>
      <c r="D1025" s="6" t="s">
        <v>1147</v>
      </c>
      <c r="E1025" s="6">
        <v>3</v>
      </c>
      <c r="F1025" s="6">
        <v>32</v>
      </c>
      <c r="G1025" s="6" t="s">
        <v>272</v>
      </c>
      <c r="I1025" s="8">
        <v>86.899737916666695</v>
      </c>
      <c r="J1025" s="8">
        <v>12.90849375</v>
      </c>
      <c r="K1025" s="6" t="s">
        <v>29</v>
      </c>
      <c r="L1025" s="9">
        <v>43906</v>
      </c>
      <c r="N1025" s="6">
        <v>25</v>
      </c>
      <c r="O1025" s="6" t="s">
        <v>4258</v>
      </c>
      <c r="R1025" s="6">
        <v>140</v>
      </c>
      <c r="S1025" s="6">
        <v>156</v>
      </c>
      <c r="T1025" s="10">
        <f t="shared" si="62"/>
        <v>148</v>
      </c>
      <c r="V1025" s="8">
        <v>0.29611659379601485</v>
      </c>
      <c r="W1025" s="8">
        <v>2.7463432121276874</v>
      </c>
      <c r="X1025" s="8">
        <f t="shared" si="59"/>
        <v>0.37741046175956861</v>
      </c>
    </row>
    <row r="1026" spans="1:25" x14ac:dyDescent="0.35">
      <c r="A1026" s="6" t="s">
        <v>25</v>
      </c>
      <c r="B1026" s="7"/>
      <c r="D1026" s="6" t="s">
        <v>1148</v>
      </c>
      <c r="E1026" s="6">
        <v>3</v>
      </c>
      <c r="F1026" s="6">
        <v>32</v>
      </c>
      <c r="G1026" s="6" t="s">
        <v>1129</v>
      </c>
      <c r="I1026" s="8">
        <v>86.899737916666695</v>
      </c>
      <c r="J1026" s="8">
        <v>12.90849375</v>
      </c>
      <c r="K1026" s="6" t="s">
        <v>390</v>
      </c>
      <c r="L1026" s="9">
        <v>43906</v>
      </c>
      <c r="N1026" s="6">
        <v>25</v>
      </c>
      <c r="O1026" s="6" t="s">
        <v>4258</v>
      </c>
      <c r="R1026" s="6">
        <v>0</v>
      </c>
      <c r="S1026" s="6">
        <v>0</v>
      </c>
      <c r="T1026" s="10">
        <f t="shared" si="62"/>
        <v>0</v>
      </c>
      <c r="V1026" s="8">
        <v>-2.7378192367553713</v>
      </c>
      <c r="W1026" s="8">
        <v>-19.766453037261961</v>
      </c>
      <c r="X1026" s="8">
        <f t="shared" ref="X1026:X1089" si="63">W1026-(8*V1026)</f>
        <v>2.1361008567810096</v>
      </c>
    </row>
    <row r="1027" spans="1:25" x14ac:dyDescent="0.35">
      <c r="A1027" s="6" t="s">
        <v>25</v>
      </c>
      <c r="B1027" s="7"/>
      <c r="D1027" s="6" t="s">
        <v>1149</v>
      </c>
      <c r="E1027" s="6">
        <v>3</v>
      </c>
      <c r="F1027" s="6">
        <v>32</v>
      </c>
      <c r="G1027" s="6" t="s">
        <v>1129</v>
      </c>
      <c r="I1027" s="8">
        <v>86.899737916666695</v>
      </c>
      <c r="J1027" s="8">
        <v>12.90849375</v>
      </c>
      <c r="K1027" s="6" t="s">
        <v>198</v>
      </c>
      <c r="L1027" s="9">
        <v>43906</v>
      </c>
      <c r="N1027" s="6">
        <v>25</v>
      </c>
      <c r="O1027" s="6" t="s">
        <v>4258</v>
      </c>
      <c r="R1027" s="6">
        <v>0</v>
      </c>
      <c r="S1027" s="6">
        <v>0</v>
      </c>
      <c r="T1027" s="10">
        <f t="shared" si="62"/>
        <v>0</v>
      </c>
      <c r="V1027" s="8">
        <v>-29.72561915473938</v>
      </c>
      <c r="W1027" s="8">
        <v>-231.49656249999998</v>
      </c>
      <c r="X1027" s="8">
        <f t="shared" si="63"/>
        <v>6.3083907379150617</v>
      </c>
    </row>
    <row r="1028" spans="1:25" x14ac:dyDescent="0.35">
      <c r="A1028" s="6" t="s">
        <v>25</v>
      </c>
      <c r="B1028" s="7" t="s">
        <v>1150</v>
      </c>
      <c r="D1028" s="6" t="s">
        <v>1151</v>
      </c>
      <c r="E1028" s="6">
        <v>3</v>
      </c>
      <c r="F1028" s="6">
        <v>32</v>
      </c>
      <c r="G1028" s="6" t="s">
        <v>60</v>
      </c>
      <c r="I1028" s="8">
        <v>86.781501736111096</v>
      </c>
      <c r="J1028" s="8">
        <v>12.317016458333301</v>
      </c>
      <c r="K1028" s="7" t="s">
        <v>2610</v>
      </c>
      <c r="L1028" s="9">
        <v>43907</v>
      </c>
      <c r="N1028" s="6">
        <v>25</v>
      </c>
      <c r="O1028" s="6" t="s">
        <v>4349</v>
      </c>
      <c r="Q1028" s="10">
        <v>500</v>
      </c>
      <c r="R1028" s="10"/>
      <c r="S1028" s="10">
        <v>500</v>
      </c>
      <c r="T1028" s="10">
        <f t="shared" si="62"/>
        <v>500</v>
      </c>
      <c r="U1028" s="11"/>
      <c r="V1028" s="8">
        <v>-1.7400113155174253</v>
      </c>
      <c r="W1028" s="8">
        <v>-12.57444854736328</v>
      </c>
      <c r="X1028" s="8">
        <f t="shared" si="63"/>
        <v>1.3456419767761219</v>
      </c>
    </row>
    <row r="1029" spans="1:25" x14ac:dyDescent="0.35">
      <c r="A1029" s="6" t="s">
        <v>25</v>
      </c>
      <c r="B1029" s="6" t="s">
        <v>3453</v>
      </c>
      <c r="D1029" s="6" t="s">
        <v>3755</v>
      </c>
      <c r="E1029" s="6">
        <v>3</v>
      </c>
      <c r="F1029" s="6">
        <v>32</v>
      </c>
      <c r="G1029" s="6" t="s">
        <v>4057</v>
      </c>
      <c r="I1029" s="8">
        <v>86.689110833333302</v>
      </c>
      <c r="J1029" s="8">
        <v>12.1494461111111</v>
      </c>
      <c r="K1029" s="6" t="s">
        <v>2610</v>
      </c>
      <c r="L1029" s="9">
        <v>43908</v>
      </c>
      <c r="N1029" s="6">
        <v>25</v>
      </c>
      <c r="O1029" s="6" t="s">
        <v>4298</v>
      </c>
      <c r="V1029" s="8">
        <v>-1.7270312130355832</v>
      </c>
      <c r="W1029" s="8">
        <v>-12.036969405460358</v>
      </c>
      <c r="X1029" s="27">
        <f t="shared" si="63"/>
        <v>1.7792802988243075</v>
      </c>
    </row>
    <row r="1030" spans="1:25" x14ac:dyDescent="0.35">
      <c r="A1030" s="6" t="s">
        <v>25</v>
      </c>
      <c r="B1030" s="7"/>
      <c r="D1030" s="6" t="s">
        <v>1152</v>
      </c>
      <c r="E1030" s="6">
        <v>3</v>
      </c>
      <c r="F1030" s="6">
        <v>32</v>
      </c>
      <c r="G1030" s="6" t="s">
        <v>1153</v>
      </c>
      <c r="I1030" s="8">
        <v>86.689110833333302</v>
      </c>
      <c r="J1030" s="8">
        <v>12.1494461111111</v>
      </c>
      <c r="K1030" s="6" t="s">
        <v>897</v>
      </c>
      <c r="L1030" s="9">
        <v>43908</v>
      </c>
      <c r="N1030" s="6">
        <v>25</v>
      </c>
      <c r="O1030" s="6" t="s">
        <v>4298</v>
      </c>
      <c r="R1030" s="6">
        <v>0</v>
      </c>
      <c r="S1030" s="6">
        <v>0</v>
      </c>
      <c r="T1030" s="10">
        <f>AVERAGE(R1030:S1030)</f>
        <v>0</v>
      </c>
      <c r="V1030" s="8">
        <v>-7.4351538848876961</v>
      </c>
      <c r="W1030" s="8">
        <v>-60.19941131591797</v>
      </c>
      <c r="X1030" s="8">
        <f t="shared" si="63"/>
        <v>-0.71818023681640142</v>
      </c>
    </row>
    <row r="1031" spans="1:25" x14ac:dyDescent="0.35">
      <c r="A1031" s="6" t="s">
        <v>25</v>
      </c>
      <c r="B1031" s="7"/>
      <c r="D1031" s="6" t="s">
        <v>1154</v>
      </c>
      <c r="E1031" s="6">
        <v>3</v>
      </c>
      <c r="F1031" s="6">
        <v>32</v>
      </c>
      <c r="G1031" s="6" t="s">
        <v>1153</v>
      </c>
      <c r="I1031" s="8">
        <v>86.689110833333302</v>
      </c>
      <c r="J1031" s="8">
        <v>12.1494461111111</v>
      </c>
      <c r="K1031" s="6" t="s">
        <v>390</v>
      </c>
      <c r="L1031" s="9">
        <v>43908</v>
      </c>
      <c r="N1031" s="6">
        <v>25</v>
      </c>
      <c r="O1031" s="6" t="s">
        <v>4298</v>
      </c>
      <c r="R1031" s="6">
        <v>0</v>
      </c>
      <c r="S1031" s="6">
        <v>0</v>
      </c>
      <c r="T1031" s="10">
        <f>AVERAGE(R1031:S1031)</f>
        <v>0</v>
      </c>
      <c r="V1031" s="8">
        <v>-16.955620666503908</v>
      </c>
      <c r="W1031" s="8">
        <v>-120.52822059631347</v>
      </c>
      <c r="X1031" s="8">
        <f t="shared" si="63"/>
        <v>15.116744735717788</v>
      </c>
    </row>
    <row r="1032" spans="1:25" x14ac:dyDescent="0.35">
      <c r="A1032" s="6" t="s">
        <v>25</v>
      </c>
      <c r="B1032" s="7"/>
      <c r="D1032" s="6" t="s">
        <v>1155</v>
      </c>
      <c r="E1032" s="6">
        <v>3</v>
      </c>
      <c r="F1032" s="6">
        <v>32</v>
      </c>
      <c r="G1032" s="6" t="s">
        <v>1153</v>
      </c>
      <c r="I1032" s="8">
        <v>86.689110833333302</v>
      </c>
      <c r="J1032" s="8">
        <v>12.1494461111111</v>
      </c>
      <c r="K1032" s="6" t="s">
        <v>390</v>
      </c>
      <c r="L1032" s="9">
        <v>43908</v>
      </c>
      <c r="N1032" s="6">
        <v>25</v>
      </c>
      <c r="O1032" s="6" t="s">
        <v>4298</v>
      </c>
      <c r="R1032" s="6">
        <v>0</v>
      </c>
      <c r="S1032" s="6">
        <v>0</v>
      </c>
      <c r="V1032" s="8">
        <v>-0.76191253280639704</v>
      </c>
      <c r="W1032" s="8">
        <v>-3.9016084563732147</v>
      </c>
      <c r="X1032" s="8">
        <f t="shared" si="63"/>
        <v>2.1936918060779615</v>
      </c>
    </row>
    <row r="1033" spans="1:25" x14ac:dyDescent="0.35">
      <c r="A1033" s="6" t="s">
        <v>25</v>
      </c>
      <c r="B1033" s="6" t="s">
        <v>3454</v>
      </c>
      <c r="D1033" s="6" t="s">
        <v>3756</v>
      </c>
      <c r="E1033" s="6">
        <v>3</v>
      </c>
      <c r="F1033" s="6">
        <v>32</v>
      </c>
      <c r="G1033" s="6" t="s">
        <v>4058</v>
      </c>
      <c r="I1033" s="8">
        <v>86.535758611111135</v>
      </c>
      <c r="J1033" s="8">
        <v>13.313163263888894</v>
      </c>
      <c r="K1033" s="6" t="s">
        <v>2610</v>
      </c>
      <c r="L1033" s="9">
        <v>43909</v>
      </c>
      <c r="N1033" s="6">
        <v>25</v>
      </c>
      <c r="O1033" s="6" t="s">
        <v>4309</v>
      </c>
      <c r="V1033" s="8">
        <v>-1.6582761990213395</v>
      </c>
      <c r="W1033" s="8">
        <v>-10.813596173763274</v>
      </c>
      <c r="X1033" s="27">
        <f t="shared" si="63"/>
        <v>2.4526134184074415</v>
      </c>
    </row>
    <row r="1034" spans="1:25" x14ac:dyDescent="0.35">
      <c r="A1034" s="6" t="s">
        <v>25</v>
      </c>
      <c r="B1034" s="6" t="s">
        <v>3455</v>
      </c>
      <c r="D1034" s="6" t="s">
        <v>3757</v>
      </c>
      <c r="E1034" s="6">
        <v>3</v>
      </c>
      <c r="F1034" s="6">
        <v>32</v>
      </c>
      <c r="G1034" s="6" t="s">
        <v>4059</v>
      </c>
      <c r="I1034" s="8">
        <v>86.339075833333297</v>
      </c>
      <c r="J1034" s="8">
        <v>14.7309175</v>
      </c>
      <c r="K1034" s="6" t="s">
        <v>2610</v>
      </c>
      <c r="L1034" s="9">
        <v>43910</v>
      </c>
      <c r="N1034" s="6">
        <v>25</v>
      </c>
      <c r="O1034" s="6" t="s">
        <v>4350</v>
      </c>
      <c r="V1034" s="8">
        <v>-1.5622391508340838</v>
      </c>
      <c r="W1034" s="8">
        <v>-10.581316461372374</v>
      </c>
      <c r="X1034" s="27">
        <f t="shared" si="63"/>
        <v>1.9165967453002963</v>
      </c>
    </row>
    <row r="1035" spans="1:25" x14ac:dyDescent="0.35">
      <c r="A1035" s="6" t="s">
        <v>25</v>
      </c>
      <c r="B1035" s="7"/>
      <c r="D1035" s="6" t="s">
        <v>1156</v>
      </c>
      <c r="E1035" s="6">
        <v>3</v>
      </c>
      <c r="F1035" s="6">
        <v>32</v>
      </c>
      <c r="G1035" s="6" t="s">
        <v>179</v>
      </c>
      <c r="I1035" s="8">
        <v>86.339075833333297</v>
      </c>
      <c r="J1035" s="8">
        <v>14.7309175</v>
      </c>
      <c r="K1035" s="6" t="s">
        <v>29</v>
      </c>
      <c r="L1035" s="9">
        <v>43910</v>
      </c>
      <c r="N1035" s="6">
        <v>25</v>
      </c>
      <c r="O1035" s="6" t="s">
        <v>4350</v>
      </c>
      <c r="R1035" s="6">
        <v>0</v>
      </c>
      <c r="S1035" s="6">
        <v>10</v>
      </c>
      <c r="T1035" s="10">
        <f t="shared" ref="T1035:T1049" si="64">AVERAGE(R1035:S1035)</f>
        <v>5</v>
      </c>
      <c r="V1035" s="8">
        <v>-1.1990366361856457</v>
      </c>
      <c r="W1035" s="8">
        <v>-11.004680786132813</v>
      </c>
      <c r="X1035" s="8">
        <f t="shared" si="63"/>
        <v>-1.412387696647647</v>
      </c>
    </row>
    <row r="1036" spans="1:25" x14ac:dyDescent="0.35">
      <c r="A1036" s="6" t="s">
        <v>25</v>
      </c>
      <c r="B1036" s="7"/>
      <c r="D1036" s="6" t="s">
        <v>1157</v>
      </c>
      <c r="E1036" s="6">
        <v>3</v>
      </c>
      <c r="F1036" s="6">
        <v>32</v>
      </c>
      <c r="G1036" s="6" t="s">
        <v>179</v>
      </c>
      <c r="I1036" s="8">
        <v>86.339075833333297</v>
      </c>
      <c r="J1036" s="8">
        <v>14.7309175</v>
      </c>
      <c r="K1036" s="6" t="s">
        <v>29</v>
      </c>
      <c r="L1036" s="9">
        <v>43910</v>
      </c>
      <c r="N1036" s="6">
        <v>25</v>
      </c>
      <c r="O1036" s="6" t="s">
        <v>4350</v>
      </c>
      <c r="R1036" s="6">
        <v>10</v>
      </c>
      <c r="S1036" s="6">
        <v>20</v>
      </c>
      <c r="T1036" s="10">
        <f t="shared" si="64"/>
        <v>15</v>
      </c>
      <c r="V1036" s="8">
        <v>-1.7355262325525287</v>
      </c>
      <c r="W1036" s="8">
        <v>-12.996820173263549</v>
      </c>
      <c r="X1036" s="8">
        <f t="shared" si="63"/>
        <v>0.88738968715668065</v>
      </c>
    </row>
    <row r="1037" spans="1:25" x14ac:dyDescent="0.35">
      <c r="A1037" s="6" t="s">
        <v>25</v>
      </c>
      <c r="B1037" s="7"/>
      <c r="D1037" s="6" t="s">
        <v>1158</v>
      </c>
      <c r="E1037" s="6">
        <v>3</v>
      </c>
      <c r="F1037" s="6">
        <v>32</v>
      </c>
      <c r="G1037" s="6" t="s">
        <v>179</v>
      </c>
      <c r="I1037" s="8">
        <v>86.339075833333297</v>
      </c>
      <c r="J1037" s="8">
        <v>14.7309175</v>
      </c>
      <c r="K1037" s="6" t="s">
        <v>29</v>
      </c>
      <c r="L1037" s="9">
        <v>43910</v>
      </c>
      <c r="N1037" s="6">
        <v>25</v>
      </c>
      <c r="O1037" s="6" t="s">
        <v>4350</v>
      </c>
      <c r="R1037" s="6">
        <v>20</v>
      </c>
      <c r="S1037" s="6">
        <v>30</v>
      </c>
      <c r="T1037" s="10">
        <f t="shared" si="64"/>
        <v>25</v>
      </c>
      <c r="V1037" s="8">
        <v>1.2071543639183042</v>
      </c>
      <c r="W1037" s="8">
        <v>8.4707979679107659</v>
      </c>
      <c r="X1037" s="8">
        <f t="shared" si="63"/>
        <v>-1.1864369434356679</v>
      </c>
    </row>
    <row r="1038" spans="1:25" s="13" customFormat="1" x14ac:dyDescent="0.35">
      <c r="A1038" s="6" t="s">
        <v>25</v>
      </c>
      <c r="B1038" s="7"/>
      <c r="C1038" s="6"/>
      <c r="D1038" s="6" t="s">
        <v>1159</v>
      </c>
      <c r="E1038" s="6">
        <v>3</v>
      </c>
      <c r="F1038" s="6">
        <v>32</v>
      </c>
      <c r="G1038" s="6" t="s">
        <v>179</v>
      </c>
      <c r="H1038" s="6"/>
      <c r="I1038" s="8">
        <v>86.339075833333297</v>
      </c>
      <c r="J1038" s="8">
        <v>14.7309175</v>
      </c>
      <c r="K1038" s="6" t="s">
        <v>29</v>
      </c>
      <c r="L1038" s="9">
        <v>43910</v>
      </c>
      <c r="M1038" s="6"/>
      <c r="N1038" s="6">
        <v>25</v>
      </c>
      <c r="O1038" s="6" t="s">
        <v>4350</v>
      </c>
      <c r="P1038" s="6"/>
      <c r="Q1038" s="6"/>
      <c r="R1038" s="6">
        <v>30</v>
      </c>
      <c r="S1038" s="6">
        <v>40</v>
      </c>
      <c r="T1038" s="10">
        <f t="shared" si="64"/>
        <v>35</v>
      </c>
      <c r="U1038" s="6"/>
      <c r="V1038" s="8">
        <v>1.1448928512811665</v>
      </c>
      <c r="W1038" s="8">
        <v>8.1813592910766602</v>
      </c>
      <c r="X1038" s="8">
        <f t="shared" si="63"/>
        <v>-0.97778351917267159</v>
      </c>
      <c r="Y1038" s="6"/>
    </row>
    <row r="1039" spans="1:25" s="13" customFormat="1" x14ac:dyDescent="0.35">
      <c r="A1039" s="6" t="s">
        <v>25</v>
      </c>
      <c r="B1039" s="7"/>
      <c r="C1039" s="6"/>
      <c r="D1039" s="6" t="s">
        <v>1160</v>
      </c>
      <c r="E1039" s="6">
        <v>3</v>
      </c>
      <c r="F1039" s="6">
        <v>32</v>
      </c>
      <c r="G1039" s="6" t="s">
        <v>179</v>
      </c>
      <c r="H1039" s="6"/>
      <c r="I1039" s="8">
        <v>86.339075833333297</v>
      </c>
      <c r="J1039" s="8">
        <v>14.7309175</v>
      </c>
      <c r="K1039" s="6" t="s">
        <v>29</v>
      </c>
      <c r="L1039" s="9">
        <v>43910</v>
      </c>
      <c r="M1039" s="6"/>
      <c r="N1039" s="6">
        <v>25</v>
      </c>
      <c r="O1039" s="6" t="s">
        <v>4350</v>
      </c>
      <c r="P1039" s="6"/>
      <c r="Q1039" s="6"/>
      <c r="R1039" s="6">
        <v>40</v>
      </c>
      <c r="S1039" s="6">
        <v>50</v>
      </c>
      <c r="T1039" s="10">
        <f t="shared" si="64"/>
        <v>45</v>
      </c>
      <c r="U1039" s="6"/>
      <c r="V1039" s="8">
        <v>0.72382462658882174</v>
      </c>
      <c r="W1039" s="8">
        <v>6.2106196193695062</v>
      </c>
      <c r="X1039" s="8">
        <f t="shared" si="63"/>
        <v>0.42002260665893232</v>
      </c>
      <c r="Y1039" s="6"/>
    </row>
    <row r="1040" spans="1:25" s="13" customFormat="1" x14ac:dyDescent="0.35">
      <c r="A1040" s="6" t="s">
        <v>25</v>
      </c>
      <c r="B1040" s="7"/>
      <c r="C1040" s="6"/>
      <c r="D1040" s="6" t="s">
        <v>1161</v>
      </c>
      <c r="E1040" s="6">
        <v>3</v>
      </c>
      <c r="F1040" s="6">
        <v>32</v>
      </c>
      <c r="G1040" s="6" t="s">
        <v>179</v>
      </c>
      <c r="H1040" s="6"/>
      <c r="I1040" s="8">
        <v>86.339075833333297</v>
      </c>
      <c r="J1040" s="8">
        <v>14.7309175</v>
      </c>
      <c r="K1040" s="6" t="s">
        <v>29</v>
      </c>
      <c r="L1040" s="9">
        <v>43910</v>
      </c>
      <c r="M1040" s="6"/>
      <c r="N1040" s="6">
        <v>25</v>
      </c>
      <c r="O1040" s="6" t="s">
        <v>4350</v>
      </c>
      <c r="P1040" s="6"/>
      <c r="Q1040" s="6"/>
      <c r="R1040" s="6">
        <v>50</v>
      </c>
      <c r="S1040" s="6">
        <v>60</v>
      </c>
      <c r="T1040" s="10">
        <f t="shared" si="64"/>
        <v>55</v>
      </c>
      <c r="U1040" s="6"/>
      <c r="V1040" s="8">
        <v>0.83004530834555634</v>
      </c>
      <c r="W1040" s="8">
        <v>5.9088458089828482</v>
      </c>
      <c r="X1040" s="8">
        <f t="shared" si="63"/>
        <v>-0.73151665778160258</v>
      </c>
      <c r="Y1040" s="6"/>
    </row>
    <row r="1041" spans="1:25" s="13" customFormat="1" x14ac:dyDescent="0.35">
      <c r="A1041" s="6" t="s">
        <v>25</v>
      </c>
      <c r="B1041" s="7"/>
      <c r="C1041" s="6"/>
      <c r="D1041" s="6" t="s">
        <v>1162</v>
      </c>
      <c r="E1041" s="6">
        <v>3</v>
      </c>
      <c r="F1041" s="6">
        <v>32</v>
      </c>
      <c r="G1041" s="6" t="s">
        <v>179</v>
      </c>
      <c r="H1041" s="6"/>
      <c r="I1041" s="8">
        <v>86.339075833333297</v>
      </c>
      <c r="J1041" s="8">
        <v>14.7309175</v>
      </c>
      <c r="K1041" s="6" t="s">
        <v>29</v>
      </c>
      <c r="L1041" s="9">
        <v>43910</v>
      </c>
      <c r="M1041" s="6"/>
      <c r="N1041" s="6">
        <v>25</v>
      </c>
      <c r="O1041" s="6" t="s">
        <v>4350</v>
      </c>
      <c r="P1041" s="6"/>
      <c r="Q1041" s="6"/>
      <c r="R1041" s="6">
        <v>60</v>
      </c>
      <c r="S1041" s="6">
        <v>70</v>
      </c>
      <c r="T1041" s="10">
        <f t="shared" si="64"/>
        <v>65</v>
      </c>
      <c r="U1041" s="6"/>
      <c r="V1041" s="8">
        <v>0.64785400735735887</v>
      </c>
      <c r="W1041" s="8">
        <v>5.386146012306213</v>
      </c>
      <c r="X1041" s="8">
        <f t="shared" si="63"/>
        <v>0.20331395344734204</v>
      </c>
      <c r="Y1041" s="6"/>
    </row>
    <row r="1042" spans="1:25" s="13" customFormat="1" x14ac:dyDescent="0.35">
      <c r="A1042" s="6" t="s">
        <v>25</v>
      </c>
      <c r="B1042" s="7"/>
      <c r="C1042" s="6"/>
      <c r="D1042" s="6" t="s">
        <v>1163</v>
      </c>
      <c r="E1042" s="6">
        <v>3</v>
      </c>
      <c r="F1042" s="6">
        <v>32</v>
      </c>
      <c r="G1042" s="6" t="s">
        <v>179</v>
      </c>
      <c r="H1042" s="6"/>
      <c r="I1042" s="8">
        <v>86.339075833333297</v>
      </c>
      <c r="J1042" s="8">
        <v>14.7309175</v>
      </c>
      <c r="K1042" s="6" t="s">
        <v>29</v>
      </c>
      <c r="L1042" s="9">
        <v>43910</v>
      </c>
      <c r="M1042" s="6"/>
      <c r="N1042" s="6">
        <v>25</v>
      </c>
      <c r="O1042" s="6" t="s">
        <v>4350</v>
      </c>
      <c r="P1042" s="6"/>
      <c r="Q1042" s="6"/>
      <c r="R1042" s="6">
        <v>70</v>
      </c>
      <c r="S1042" s="6">
        <v>80</v>
      </c>
      <c r="T1042" s="10">
        <f t="shared" si="64"/>
        <v>75</v>
      </c>
      <c r="U1042" s="6"/>
      <c r="V1042" s="8">
        <v>0.13323960559964165</v>
      </c>
      <c r="W1042" s="8">
        <v>1.2641748571395888</v>
      </c>
      <c r="X1042" s="8">
        <f t="shared" si="63"/>
        <v>0.19825801234245555</v>
      </c>
      <c r="Y1042" s="6"/>
    </row>
    <row r="1043" spans="1:25" s="13" customFormat="1" x14ac:dyDescent="0.35">
      <c r="A1043" s="6" t="s">
        <v>25</v>
      </c>
      <c r="B1043" s="7"/>
      <c r="C1043" s="6"/>
      <c r="D1043" s="6" t="s">
        <v>1164</v>
      </c>
      <c r="E1043" s="6">
        <v>3</v>
      </c>
      <c r="F1043" s="6">
        <v>32</v>
      </c>
      <c r="G1043" s="6" t="s">
        <v>179</v>
      </c>
      <c r="H1043" s="6"/>
      <c r="I1043" s="8">
        <v>86.339075833333297</v>
      </c>
      <c r="J1043" s="8">
        <v>14.7309175</v>
      </c>
      <c r="K1043" s="6" t="s">
        <v>29</v>
      </c>
      <c r="L1043" s="9">
        <v>43910</v>
      </c>
      <c r="M1043" s="6"/>
      <c r="N1043" s="6">
        <v>25</v>
      </c>
      <c r="O1043" s="6" t="s">
        <v>4350</v>
      </c>
      <c r="P1043" s="6"/>
      <c r="Q1043" s="6"/>
      <c r="R1043" s="6">
        <v>80</v>
      </c>
      <c r="S1043" s="6">
        <v>90</v>
      </c>
      <c r="T1043" s="10">
        <f t="shared" si="64"/>
        <v>85</v>
      </c>
      <c r="U1043" s="6"/>
      <c r="V1043" s="8">
        <v>-5.1079697566479551E-2</v>
      </c>
      <c r="W1043" s="8">
        <v>2.3761900424957239E-2</v>
      </c>
      <c r="X1043" s="8">
        <f t="shared" si="63"/>
        <v>0.43239948095679365</v>
      </c>
      <c r="Y1043" s="6"/>
    </row>
    <row r="1044" spans="1:25" s="13" customFormat="1" x14ac:dyDescent="0.35">
      <c r="A1044" s="6" t="s">
        <v>25</v>
      </c>
      <c r="B1044" s="7"/>
      <c r="C1044" s="6"/>
      <c r="D1044" s="6" t="s">
        <v>1165</v>
      </c>
      <c r="E1044" s="6">
        <v>3</v>
      </c>
      <c r="F1044" s="6">
        <v>32</v>
      </c>
      <c r="G1044" s="6" t="s">
        <v>179</v>
      </c>
      <c r="H1044" s="6"/>
      <c r="I1044" s="8">
        <v>86.339075833333297</v>
      </c>
      <c r="J1044" s="8">
        <v>14.7309175</v>
      </c>
      <c r="K1044" s="6" t="s">
        <v>29</v>
      </c>
      <c r="L1044" s="9">
        <v>43910</v>
      </c>
      <c r="M1044" s="6"/>
      <c r="N1044" s="6">
        <v>25</v>
      </c>
      <c r="O1044" s="6" t="s">
        <v>4350</v>
      </c>
      <c r="P1044" s="6"/>
      <c r="Q1044" s="6"/>
      <c r="R1044" s="6">
        <v>90</v>
      </c>
      <c r="S1044" s="6">
        <v>100</v>
      </c>
      <c r="T1044" s="10">
        <f t="shared" si="64"/>
        <v>95</v>
      </c>
      <c r="U1044" s="6"/>
      <c r="V1044" s="8">
        <v>-0.23067807837054155</v>
      </c>
      <c r="W1044" s="8">
        <v>-1.6736518390178676</v>
      </c>
      <c r="X1044" s="8">
        <f t="shared" si="63"/>
        <v>0.17177278794646478</v>
      </c>
      <c r="Y1044" s="6"/>
    </row>
    <row r="1045" spans="1:25" s="13" customFormat="1" x14ac:dyDescent="0.35">
      <c r="A1045" s="6" t="s">
        <v>25</v>
      </c>
      <c r="B1045" s="7"/>
      <c r="C1045" s="6"/>
      <c r="D1045" s="6" t="s">
        <v>1166</v>
      </c>
      <c r="E1045" s="6">
        <v>3</v>
      </c>
      <c r="F1045" s="6">
        <v>32</v>
      </c>
      <c r="G1045" s="6" t="s">
        <v>179</v>
      </c>
      <c r="H1045" s="6"/>
      <c r="I1045" s="8">
        <v>86.339075833333297</v>
      </c>
      <c r="J1045" s="8">
        <v>14.7309175</v>
      </c>
      <c r="K1045" s="6" t="s">
        <v>29</v>
      </c>
      <c r="L1045" s="9">
        <v>43910</v>
      </c>
      <c r="M1045" s="6"/>
      <c r="N1045" s="6">
        <v>25</v>
      </c>
      <c r="O1045" s="6" t="s">
        <v>4350</v>
      </c>
      <c r="P1045" s="6"/>
      <c r="Q1045" s="6"/>
      <c r="R1045" s="6">
        <v>100</v>
      </c>
      <c r="S1045" s="6">
        <v>110</v>
      </c>
      <c r="T1045" s="10">
        <f t="shared" si="64"/>
        <v>105</v>
      </c>
      <c r="U1045" s="6"/>
      <c r="V1045" s="8">
        <v>-0.40219087224304706</v>
      </c>
      <c r="W1045" s="8">
        <v>-2.943660043954849</v>
      </c>
      <c r="X1045" s="8">
        <f t="shared" si="63"/>
        <v>0.27386693398952744</v>
      </c>
      <c r="Y1045" s="6"/>
    </row>
    <row r="1046" spans="1:25" s="13" customFormat="1" x14ac:dyDescent="0.35">
      <c r="A1046" s="6" t="s">
        <v>25</v>
      </c>
      <c r="B1046" s="7"/>
      <c r="C1046" s="6"/>
      <c r="D1046" s="6" t="s">
        <v>1167</v>
      </c>
      <c r="E1046" s="6">
        <v>3</v>
      </c>
      <c r="F1046" s="6">
        <v>32</v>
      </c>
      <c r="G1046" s="6" t="s">
        <v>179</v>
      </c>
      <c r="H1046" s="6"/>
      <c r="I1046" s="8">
        <v>86.339075833333297</v>
      </c>
      <c r="J1046" s="8">
        <v>14.7309175</v>
      </c>
      <c r="K1046" s="6" t="s">
        <v>29</v>
      </c>
      <c r="L1046" s="9">
        <v>43910</v>
      </c>
      <c r="M1046" s="6"/>
      <c r="N1046" s="6">
        <v>25</v>
      </c>
      <c r="O1046" s="6" t="s">
        <v>4350</v>
      </c>
      <c r="P1046" s="6"/>
      <c r="Q1046" s="6"/>
      <c r="R1046" s="6">
        <v>110</v>
      </c>
      <c r="S1046" s="6">
        <v>120</v>
      </c>
      <c r="T1046" s="10">
        <f t="shared" si="64"/>
        <v>115</v>
      </c>
      <c r="U1046" s="6"/>
      <c r="V1046" s="8">
        <v>-0.22965508386343708</v>
      </c>
      <c r="W1046" s="8">
        <v>-1.8160184276103972</v>
      </c>
      <c r="X1046" s="8">
        <f t="shared" si="63"/>
        <v>2.122224329709943E-2</v>
      </c>
      <c r="Y1046" s="6"/>
    </row>
    <row r="1047" spans="1:25" s="13" customFormat="1" x14ac:dyDescent="0.35">
      <c r="A1047" s="6" t="s">
        <v>25</v>
      </c>
      <c r="B1047" s="7"/>
      <c r="C1047" s="6"/>
      <c r="D1047" s="6" t="s">
        <v>1168</v>
      </c>
      <c r="E1047" s="6">
        <v>3</v>
      </c>
      <c r="F1047" s="6">
        <v>32</v>
      </c>
      <c r="G1047" s="6" t="s">
        <v>179</v>
      </c>
      <c r="H1047" s="6"/>
      <c r="I1047" s="8">
        <v>86.339075833333297</v>
      </c>
      <c r="J1047" s="8">
        <v>14.7309175</v>
      </c>
      <c r="K1047" s="6" t="s">
        <v>29</v>
      </c>
      <c r="L1047" s="9">
        <v>43910</v>
      </c>
      <c r="M1047" s="6"/>
      <c r="N1047" s="6">
        <v>25</v>
      </c>
      <c r="O1047" s="6" t="s">
        <v>4350</v>
      </c>
      <c r="P1047" s="6"/>
      <c r="Q1047" s="6"/>
      <c r="R1047" s="6">
        <v>120</v>
      </c>
      <c r="S1047" s="6">
        <v>130</v>
      </c>
      <c r="T1047" s="10">
        <f t="shared" si="64"/>
        <v>125</v>
      </c>
      <c r="U1047" s="6"/>
      <c r="V1047" s="8">
        <v>5.4519687730074255E-2</v>
      </c>
      <c r="W1047" s="8">
        <v>0.51826992988586507</v>
      </c>
      <c r="X1047" s="8">
        <f t="shared" si="63"/>
        <v>8.2112428045271024E-2</v>
      </c>
      <c r="Y1047" s="6"/>
    </row>
    <row r="1048" spans="1:25" s="13" customFormat="1" x14ac:dyDescent="0.35">
      <c r="A1048" s="6" t="s">
        <v>25</v>
      </c>
      <c r="B1048" s="7"/>
      <c r="C1048" s="6"/>
      <c r="D1048" s="6" t="s">
        <v>1169</v>
      </c>
      <c r="E1048" s="6">
        <v>3</v>
      </c>
      <c r="F1048" s="6">
        <v>32</v>
      </c>
      <c r="G1048" s="6" t="s">
        <v>179</v>
      </c>
      <c r="H1048" s="6"/>
      <c r="I1048" s="8">
        <v>86.339075833333297</v>
      </c>
      <c r="J1048" s="8">
        <v>14.7309175</v>
      </c>
      <c r="K1048" s="6" t="s">
        <v>29</v>
      </c>
      <c r="L1048" s="9">
        <v>43910</v>
      </c>
      <c r="M1048" s="6"/>
      <c r="N1048" s="6">
        <v>25</v>
      </c>
      <c r="O1048" s="6" t="s">
        <v>4350</v>
      </c>
      <c r="P1048" s="6"/>
      <c r="Q1048" s="6"/>
      <c r="R1048" s="6">
        <v>130</v>
      </c>
      <c r="S1048" s="6">
        <v>140</v>
      </c>
      <c r="T1048" s="10">
        <f t="shared" si="64"/>
        <v>135</v>
      </c>
      <c r="U1048" s="6"/>
      <c r="V1048" s="8">
        <v>0.29477364788353438</v>
      </c>
      <c r="W1048" s="8">
        <v>1.884349364280701</v>
      </c>
      <c r="X1048" s="8">
        <f t="shared" si="63"/>
        <v>-0.47383981878757409</v>
      </c>
      <c r="Y1048" s="6"/>
    </row>
    <row r="1049" spans="1:25" s="13" customFormat="1" x14ac:dyDescent="0.35">
      <c r="A1049" s="6" t="s">
        <v>25</v>
      </c>
      <c r="B1049" s="7"/>
      <c r="C1049" s="6"/>
      <c r="D1049" s="6" t="s">
        <v>1170</v>
      </c>
      <c r="E1049" s="6">
        <v>3</v>
      </c>
      <c r="F1049" s="6">
        <v>32</v>
      </c>
      <c r="G1049" s="6" t="s">
        <v>179</v>
      </c>
      <c r="H1049" s="6"/>
      <c r="I1049" s="8">
        <v>86.339075833333297</v>
      </c>
      <c r="J1049" s="8">
        <v>14.7309175</v>
      </c>
      <c r="K1049" s="6" t="s">
        <v>29</v>
      </c>
      <c r="L1049" s="9">
        <v>43910</v>
      </c>
      <c r="M1049" s="6"/>
      <c r="N1049" s="6">
        <v>25</v>
      </c>
      <c r="O1049" s="6" t="s">
        <v>4350</v>
      </c>
      <c r="P1049" s="6"/>
      <c r="Q1049" s="6"/>
      <c r="R1049" s="6">
        <v>140</v>
      </c>
      <c r="S1049" s="6">
        <v>151</v>
      </c>
      <c r="T1049" s="10">
        <f t="shared" si="64"/>
        <v>145.5</v>
      </c>
      <c r="U1049" s="6"/>
      <c r="V1049" s="8">
        <v>0.40877219026804013</v>
      </c>
      <c r="W1049" s="8">
        <v>3.9790455972671506</v>
      </c>
      <c r="X1049" s="8">
        <f t="shared" si="63"/>
        <v>0.70886807512282957</v>
      </c>
      <c r="Y1049" s="6"/>
    </row>
    <row r="1050" spans="1:25" s="13" customFormat="1" x14ac:dyDescent="0.35">
      <c r="A1050" s="6" t="s">
        <v>25</v>
      </c>
      <c r="B1050" s="6" t="s">
        <v>3456</v>
      </c>
      <c r="C1050" s="6"/>
      <c r="D1050" s="6" t="s">
        <v>3758</v>
      </c>
      <c r="E1050" s="6">
        <v>3</v>
      </c>
      <c r="F1050" s="6">
        <v>32</v>
      </c>
      <c r="G1050" s="6" t="s">
        <v>4060</v>
      </c>
      <c r="H1050" s="6"/>
      <c r="I1050" s="8">
        <v>86.257643333333306</v>
      </c>
      <c r="J1050" s="8">
        <v>15.261599722222201</v>
      </c>
      <c r="K1050" s="6" t="s">
        <v>2610</v>
      </c>
      <c r="L1050" s="9">
        <v>43911</v>
      </c>
      <c r="M1050" s="6"/>
      <c r="N1050" s="6">
        <v>25</v>
      </c>
      <c r="O1050" s="6" t="s">
        <v>4351</v>
      </c>
      <c r="P1050" s="6"/>
      <c r="Q1050" s="6"/>
      <c r="R1050" s="6"/>
      <c r="S1050" s="6"/>
      <c r="T1050" s="6"/>
      <c r="U1050" s="6"/>
      <c r="V1050" s="8">
        <v>-1.479406476020813</v>
      </c>
      <c r="W1050" s="8">
        <v>-12.381242519378661</v>
      </c>
      <c r="X1050" s="27">
        <f t="shared" si="63"/>
        <v>-0.54599071121215736</v>
      </c>
      <c r="Y1050" s="6"/>
    </row>
    <row r="1051" spans="1:25" s="13" customFormat="1" x14ac:dyDescent="0.35">
      <c r="A1051" s="6" t="s">
        <v>25</v>
      </c>
      <c r="B1051" s="7"/>
      <c r="C1051" s="6"/>
      <c r="D1051" s="6" t="s">
        <v>1171</v>
      </c>
      <c r="E1051" s="6">
        <v>3</v>
      </c>
      <c r="F1051" s="6">
        <v>32</v>
      </c>
      <c r="G1051" s="6" t="s">
        <v>1172</v>
      </c>
      <c r="H1051" s="6"/>
      <c r="I1051" s="8">
        <v>86.257643333333306</v>
      </c>
      <c r="J1051" s="8">
        <v>15.261599722222201</v>
      </c>
      <c r="K1051" s="6" t="s">
        <v>897</v>
      </c>
      <c r="L1051" s="9">
        <v>43911</v>
      </c>
      <c r="M1051" s="6"/>
      <c r="N1051" s="6">
        <v>25</v>
      </c>
      <c r="O1051" s="6" t="s">
        <v>4351</v>
      </c>
      <c r="P1051" s="6"/>
      <c r="Q1051" s="6"/>
      <c r="R1051" s="6">
        <v>0</v>
      </c>
      <c r="S1051" s="6">
        <v>0</v>
      </c>
      <c r="T1051" s="10">
        <f t="shared" ref="T1051:T1073" si="65">AVERAGE(R1051:S1051)</f>
        <v>0</v>
      </c>
      <c r="U1051" s="6"/>
      <c r="V1051" s="8">
        <v>-31.118119954299928</v>
      </c>
      <c r="W1051" s="8">
        <v>-235.01976898193357</v>
      </c>
      <c r="X1051" s="8">
        <f t="shared" si="63"/>
        <v>13.925190652465858</v>
      </c>
      <c r="Y1051" s="6"/>
    </row>
    <row r="1052" spans="1:25" s="13" customFormat="1" x14ac:dyDescent="0.35">
      <c r="A1052" s="6" t="s">
        <v>25</v>
      </c>
      <c r="B1052" s="7"/>
      <c r="C1052" s="6"/>
      <c r="D1052" s="6" t="s">
        <v>1173</v>
      </c>
      <c r="E1052" s="6">
        <v>3</v>
      </c>
      <c r="F1052" s="6">
        <v>32</v>
      </c>
      <c r="G1052" s="6" t="s">
        <v>1172</v>
      </c>
      <c r="H1052" s="6"/>
      <c r="I1052" s="8">
        <v>86.257643333333306</v>
      </c>
      <c r="J1052" s="8">
        <v>15.261599722222201</v>
      </c>
      <c r="K1052" s="6" t="s">
        <v>897</v>
      </c>
      <c r="L1052" s="9">
        <v>43911</v>
      </c>
      <c r="M1052" s="6"/>
      <c r="N1052" s="6">
        <v>25</v>
      </c>
      <c r="O1052" s="6" t="s">
        <v>4351</v>
      </c>
      <c r="P1052" s="6"/>
      <c r="Q1052" s="6"/>
      <c r="R1052" s="6">
        <v>0</v>
      </c>
      <c r="S1052" s="6">
        <v>0</v>
      </c>
      <c r="T1052" s="10">
        <f t="shared" si="65"/>
        <v>0</v>
      </c>
      <c r="U1052" s="6"/>
      <c r="V1052" s="8">
        <v>-4.4429737345695495</v>
      </c>
      <c r="W1052" s="8">
        <v>-32.273413848876949</v>
      </c>
      <c r="X1052" s="8">
        <f t="shared" si="63"/>
        <v>3.2703760276794469</v>
      </c>
      <c r="Y1052" s="6"/>
    </row>
    <row r="1053" spans="1:25" s="13" customFormat="1" x14ac:dyDescent="0.35">
      <c r="A1053" s="6" t="s">
        <v>25</v>
      </c>
      <c r="B1053" s="7"/>
      <c r="C1053" s="6"/>
      <c r="D1053" s="6" t="s">
        <v>1174</v>
      </c>
      <c r="E1053" s="6">
        <v>3</v>
      </c>
      <c r="F1053" s="6">
        <v>32</v>
      </c>
      <c r="G1053" s="6" t="s">
        <v>1172</v>
      </c>
      <c r="H1053" s="6"/>
      <c r="I1053" s="8">
        <v>86.257643333333306</v>
      </c>
      <c r="J1053" s="8">
        <v>15.261599722222201</v>
      </c>
      <c r="K1053" s="6" t="s">
        <v>897</v>
      </c>
      <c r="L1053" s="9">
        <v>43911</v>
      </c>
      <c r="M1053" s="6"/>
      <c r="N1053" s="6">
        <v>25</v>
      </c>
      <c r="O1053" s="6" t="s">
        <v>4351</v>
      </c>
      <c r="P1053" s="6"/>
      <c r="Q1053" s="6"/>
      <c r="R1053" s="6">
        <v>0</v>
      </c>
      <c r="S1053" s="6">
        <v>0</v>
      </c>
      <c r="T1053" s="10">
        <f t="shared" si="65"/>
        <v>0</v>
      </c>
      <c r="U1053" s="6"/>
      <c r="V1053" s="8">
        <v>-2.9762654726028446</v>
      </c>
      <c r="W1053" s="8">
        <v>-26.728106079101558</v>
      </c>
      <c r="X1053" s="8">
        <f t="shared" si="63"/>
        <v>-2.9179822982788011</v>
      </c>
      <c r="Y1053" s="6"/>
    </row>
    <row r="1054" spans="1:25" s="13" customFormat="1" x14ac:dyDescent="0.35">
      <c r="A1054" s="6" t="s">
        <v>25</v>
      </c>
      <c r="B1054" s="7"/>
      <c r="C1054" s="6"/>
      <c r="D1054" s="6" t="s">
        <v>1175</v>
      </c>
      <c r="E1054" s="6">
        <v>3</v>
      </c>
      <c r="F1054" s="6">
        <v>32</v>
      </c>
      <c r="G1054" s="6" t="s">
        <v>202</v>
      </c>
      <c r="H1054" s="6"/>
      <c r="I1054" s="8">
        <v>86.257643333333306</v>
      </c>
      <c r="J1054" s="8">
        <v>15.261599722222201</v>
      </c>
      <c r="K1054" s="6" t="s">
        <v>29</v>
      </c>
      <c r="L1054" s="9">
        <v>43911</v>
      </c>
      <c r="M1054" s="6"/>
      <c r="N1054" s="6">
        <v>25</v>
      </c>
      <c r="O1054" s="6" t="s">
        <v>4351</v>
      </c>
      <c r="P1054" s="6"/>
      <c r="Q1054" s="6"/>
      <c r="R1054" s="6">
        <v>0</v>
      </c>
      <c r="S1054" s="6">
        <v>5</v>
      </c>
      <c r="T1054" s="10">
        <f t="shared" si="65"/>
        <v>2.5</v>
      </c>
      <c r="U1054" s="6"/>
      <c r="V1054" s="8">
        <v>-5.7094304860687268</v>
      </c>
      <c r="W1054" s="8">
        <v>-46.820627160644527</v>
      </c>
      <c r="X1054" s="8">
        <f t="shared" si="63"/>
        <v>-1.1451832720947124</v>
      </c>
      <c r="Y1054" s="6"/>
    </row>
    <row r="1055" spans="1:25" s="13" customFormat="1" x14ac:dyDescent="0.35">
      <c r="A1055" s="6" t="s">
        <v>25</v>
      </c>
      <c r="B1055" s="7"/>
      <c r="C1055" s="6"/>
      <c r="D1055" s="6" t="s">
        <v>1176</v>
      </c>
      <c r="E1055" s="6">
        <v>3</v>
      </c>
      <c r="F1055" s="6">
        <v>32</v>
      </c>
      <c r="G1055" s="6" t="s">
        <v>202</v>
      </c>
      <c r="H1055" s="6"/>
      <c r="I1055" s="8">
        <v>86.257643333333306</v>
      </c>
      <c r="J1055" s="8">
        <v>15.261599722222201</v>
      </c>
      <c r="K1055" s="6" t="s">
        <v>29</v>
      </c>
      <c r="L1055" s="9">
        <v>43911</v>
      </c>
      <c r="M1055" s="6"/>
      <c r="N1055" s="6">
        <v>25</v>
      </c>
      <c r="O1055" s="6" t="s">
        <v>4351</v>
      </c>
      <c r="P1055" s="6"/>
      <c r="Q1055" s="6"/>
      <c r="R1055" s="6">
        <v>5</v>
      </c>
      <c r="S1055" s="6">
        <v>10</v>
      </c>
      <c r="T1055" s="10">
        <f t="shared" si="65"/>
        <v>7.5</v>
      </c>
      <c r="U1055" s="6"/>
      <c r="V1055" s="8">
        <v>-3.6289937656974796</v>
      </c>
      <c r="W1055" s="8">
        <v>-28.114122972106934</v>
      </c>
      <c r="X1055" s="8">
        <f t="shared" si="63"/>
        <v>0.91782715347290278</v>
      </c>
      <c r="Y1055" s="6"/>
    </row>
    <row r="1056" spans="1:25" s="13" customFormat="1" x14ac:dyDescent="0.35">
      <c r="A1056" s="6" t="s">
        <v>25</v>
      </c>
      <c r="B1056" s="7"/>
      <c r="C1056" s="6"/>
      <c r="D1056" s="6" t="s">
        <v>1177</v>
      </c>
      <c r="E1056" s="6">
        <v>3</v>
      </c>
      <c r="F1056" s="6">
        <v>32</v>
      </c>
      <c r="G1056" s="6" t="s">
        <v>202</v>
      </c>
      <c r="H1056" s="6"/>
      <c r="I1056" s="8">
        <v>86.257643333333306</v>
      </c>
      <c r="J1056" s="8">
        <v>15.261599722222201</v>
      </c>
      <c r="K1056" s="6" t="s">
        <v>29</v>
      </c>
      <c r="L1056" s="9">
        <v>43911</v>
      </c>
      <c r="M1056" s="6"/>
      <c r="N1056" s="6">
        <v>25</v>
      </c>
      <c r="O1056" s="6" t="s">
        <v>4351</v>
      </c>
      <c r="P1056" s="6"/>
      <c r="Q1056" s="6"/>
      <c r="R1056" s="6">
        <v>10</v>
      </c>
      <c r="S1056" s="6">
        <v>20</v>
      </c>
      <c r="T1056" s="10">
        <f t="shared" si="65"/>
        <v>15</v>
      </c>
      <c r="U1056" s="6"/>
      <c r="V1056" s="8">
        <v>-3.1004280766105654</v>
      </c>
      <c r="W1056" s="8">
        <v>-23.880140153503419</v>
      </c>
      <c r="X1056" s="8">
        <f t="shared" si="63"/>
        <v>0.92328445938110448</v>
      </c>
      <c r="Y1056" s="6"/>
    </row>
    <row r="1057" spans="1:25" s="13" customFormat="1" x14ac:dyDescent="0.35">
      <c r="A1057" s="6" t="s">
        <v>25</v>
      </c>
      <c r="B1057" s="7"/>
      <c r="C1057" s="6"/>
      <c r="D1057" s="6" t="s">
        <v>1178</v>
      </c>
      <c r="E1057" s="6">
        <v>3</v>
      </c>
      <c r="F1057" s="6">
        <v>32</v>
      </c>
      <c r="G1057" s="6" t="s">
        <v>202</v>
      </c>
      <c r="H1057" s="6"/>
      <c r="I1057" s="8">
        <v>86.257643333333306</v>
      </c>
      <c r="J1057" s="8">
        <v>15.261599722222201</v>
      </c>
      <c r="K1057" s="6" t="s">
        <v>29</v>
      </c>
      <c r="L1057" s="9">
        <v>43911</v>
      </c>
      <c r="M1057" s="6"/>
      <c r="N1057" s="6">
        <v>25</v>
      </c>
      <c r="O1057" s="6" t="s">
        <v>4351</v>
      </c>
      <c r="P1057" s="6"/>
      <c r="Q1057" s="6"/>
      <c r="R1057" s="6">
        <v>20</v>
      </c>
      <c r="S1057" s="6">
        <v>30</v>
      </c>
      <c r="T1057" s="10">
        <f t="shared" si="65"/>
        <v>25</v>
      </c>
      <c r="U1057" s="6"/>
      <c r="V1057" s="8">
        <v>-0.12551770014375502</v>
      </c>
      <c r="W1057" s="8">
        <v>-0.76374363098144515</v>
      </c>
      <c r="X1057" s="8">
        <f t="shared" si="63"/>
        <v>0.24039797016859499</v>
      </c>
      <c r="Y1057" s="6"/>
    </row>
    <row r="1058" spans="1:25" s="13" customFormat="1" x14ac:dyDescent="0.35">
      <c r="A1058" s="6" t="s">
        <v>25</v>
      </c>
      <c r="B1058" s="7"/>
      <c r="C1058" s="6"/>
      <c r="D1058" s="6" t="s">
        <v>1179</v>
      </c>
      <c r="E1058" s="6">
        <v>3</v>
      </c>
      <c r="F1058" s="6">
        <v>32</v>
      </c>
      <c r="G1058" s="6" t="s">
        <v>202</v>
      </c>
      <c r="H1058" s="6"/>
      <c r="I1058" s="8">
        <v>86.257643333333306</v>
      </c>
      <c r="J1058" s="8">
        <v>15.261599722222201</v>
      </c>
      <c r="K1058" s="6" t="s">
        <v>29</v>
      </c>
      <c r="L1058" s="9">
        <v>43911</v>
      </c>
      <c r="M1058" s="6"/>
      <c r="N1058" s="6">
        <v>25</v>
      </c>
      <c r="O1058" s="6" t="s">
        <v>4351</v>
      </c>
      <c r="P1058" s="6"/>
      <c r="Q1058" s="6"/>
      <c r="R1058" s="6">
        <v>30</v>
      </c>
      <c r="S1058" s="6">
        <v>40</v>
      </c>
      <c r="T1058" s="10">
        <f t="shared" si="65"/>
        <v>35</v>
      </c>
      <c r="U1058" s="6"/>
      <c r="V1058" s="8">
        <v>0.54360038782596565</v>
      </c>
      <c r="W1058" s="8">
        <v>5.1034692329406735</v>
      </c>
      <c r="X1058" s="8">
        <f t="shared" si="63"/>
        <v>0.75466613033294827</v>
      </c>
      <c r="Y1058" s="6"/>
    </row>
    <row r="1059" spans="1:25" s="13" customFormat="1" x14ac:dyDescent="0.35">
      <c r="A1059" s="6" t="s">
        <v>25</v>
      </c>
      <c r="B1059" s="7"/>
      <c r="C1059" s="6"/>
      <c r="D1059" s="6" t="s">
        <v>1180</v>
      </c>
      <c r="E1059" s="6">
        <v>3</v>
      </c>
      <c r="F1059" s="6">
        <v>32</v>
      </c>
      <c r="G1059" s="6" t="s">
        <v>202</v>
      </c>
      <c r="H1059" s="6"/>
      <c r="I1059" s="8">
        <v>86.257643333333306</v>
      </c>
      <c r="J1059" s="8">
        <v>15.261599722222201</v>
      </c>
      <c r="K1059" s="6" t="s">
        <v>29</v>
      </c>
      <c r="L1059" s="9">
        <v>43911</v>
      </c>
      <c r="M1059" s="6"/>
      <c r="N1059" s="6">
        <v>25</v>
      </c>
      <c r="O1059" s="6" t="s">
        <v>4351</v>
      </c>
      <c r="P1059" s="6"/>
      <c r="Q1059" s="6"/>
      <c r="R1059" s="6">
        <v>40</v>
      </c>
      <c r="S1059" s="6">
        <v>50</v>
      </c>
      <c r="T1059" s="10">
        <f t="shared" si="65"/>
        <v>45</v>
      </c>
      <c r="U1059" s="6"/>
      <c r="V1059" s="8">
        <v>0.52373118163585675</v>
      </c>
      <c r="W1059" s="8">
        <v>4.3535715888977053</v>
      </c>
      <c r="X1059" s="8">
        <f t="shared" si="63"/>
        <v>0.16372213581085138</v>
      </c>
      <c r="Y1059" s="6"/>
    </row>
    <row r="1060" spans="1:25" s="13" customFormat="1" x14ac:dyDescent="0.35">
      <c r="A1060" s="6" t="s">
        <v>25</v>
      </c>
      <c r="B1060" s="7"/>
      <c r="C1060" s="6"/>
      <c r="D1060" s="6" t="s">
        <v>1181</v>
      </c>
      <c r="E1060" s="6">
        <v>3</v>
      </c>
      <c r="F1060" s="6">
        <v>32</v>
      </c>
      <c r="G1060" s="6" t="s">
        <v>202</v>
      </c>
      <c r="H1060" s="6"/>
      <c r="I1060" s="8">
        <v>86.257643333333306</v>
      </c>
      <c r="J1060" s="8">
        <v>15.261599722222201</v>
      </c>
      <c r="K1060" s="6" t="s">
        <v>29</v>
      </c>
      <c r="L1060" s="9">
        <v>43911</v>
      </c>
      <c r="M1060" s="6"/>
      <c r="N1060" s="6">
        <v>25</v>
      </c>
      <c r="O1060" s="6" t="s">
        <v>4351</v>
      </c>
      <c r="P1060" s="6"/>
      <c r="Q1060" s="6"/>
      <c r="R1060" s="6">
        <v>50</v>
      </c>
      <c r="S1060" s="6">
        <v>60</v>
      </c>
      <c r="T1060" s="10">
        <f t="shared" si="65"/>
        <v>55</v>
      </c>
      <c r="U1060" s="6"/>
      <c r="V1060" s="8">
        <v>0.66374520386695879</v>
      </c>
      <c r="W1060" s="8">
        <v>5.6729800895690916</v>
      </c>
      <c r="X1060" s="8">
        <f t="shared" si="63"/>
        <v>0.3630184586334213</v>
      </c>
      <c r="Y1060" s="6"/>
    </row>
    <row r="1061" spans="1:25" s="13" customFormat="1" x14ac:dyDescent="0.35">
      <c r="A1061" s="6" t="s">
        <v>25</v>
      </c>
      <c r="B1061" s="7"/>
      <c r="C1061" s="6"/>
      <c r="D1061" s="6" t="s">
        <v>1182</v>
      </c>
      <c r="E1061" s="6">
        <v>3</v>
      </c>
      <c r="F1061" s="6">
        <v>32</v>
      </c>
      <c r="G1061" s="6" t="s">
        <v>202</v>
      </c>
      <c r="H1061" s="6"/>
      <c r="I1061" s="8">
        <v>86.257643333333306</v>
      </c>
      <c r="J1061" s="8">
        <v>15.261599722222201</v>
      </c>
      <c r="K1061" s="6" t="s">
        <v>29</v>
      </c>
      <c r="L1061" s="9">
        <v>43911</v>
      </c>
      <c r="M1061" s="6"/>
      <c r="N1061" s="6">
        <v>25</v>
      </c>
      <c r="O1061" s="6" t="s">
        <v>4351</v>
      </c>
      <c r="P1061" s="6"/>
      <c r="Q1061" s="6"/>
      <c r="R1061" s="6">
        <v>60</v>
      </c>
      <c r="S1061" s="6">
        <v>70</v>
      </c>
      <c r="T1061" s="10">
        <f t="shared" si="65"/>
        <v>65</v>
      </c>
      <c r="U1061" s="6"/>
      <c r="V1061" s="8">
        <v>0.77928174344301282</v>
      </c>
      <c r="W1061" s="8">
        <v>6.1750081443786602</v>
      </c>
      <c r="X1061" s="8">
        <f t="shared" si="63"/>
        <v>-5.9245803165442368E-2</v>
      </c>
      <c r="Y1061" s="6"/>
    </row>
    <row r="1062" spans="1:25" s="13" customFormat="1" x14ac:dyDescent="0.35">
      <c r="A1062" s="6" t="s">
        <v>25</v>
      </c>
      <c r="B1062" s="7"/>
      <c r="C1062" s="6"/>
      <c r="D1062" s="6" t="s">
        <v>1183</v>
      </c>
      <c r="E1062" s="6">
        <v>3</v>
      </c>
      <c r="F1062" s="6">
        <v>32</v>
      </c>
      <c r="G1062" s="6" t="s">
        <v>202</v>
      </c>
      <c r="H1062" s="6"/>
      <c r="I1062" s="8">
        <v>86.257643333333306</v>
      </c>
      <c r="J1062" s="8">
        <v>15.261599722222201</v>
      </c>
      <c r="K1062" s="6" t="s">
        <v>29</v>
      </c>
      <c r="L1062" s="9">
        <v>43911</v>
      </c>
      <c r="M1062" s="6"/>
      <c r="N1062" s="6">
        <v>25</v>
      </c>
      <c r="O1062" s="6" t="s">
        <v>4351</v>
      </c>
      <c r="P1062" s="6"/>
      <c r="Q1062" s="6"/>
      <c r="R1062" s="6">
        <v>70</v>
      </c>
      <c r="S1062" s="6">
        <v>80</v>
      </c>
      <c r="T1062" s="10">
        <f t="shared" si="65"/>
        <v>75</v>
      </c>
      <c r="U1062" s="6"/>
      <c r="V1062" s="8">
        <v>0.52617042592763941</v>
      </c>
      <c r="W1062" s="8">
        <v>5.1199827289581297</v>
      </c>
      <c r="X1062" s="8">
        <f t="shared" si="63"/>
        <v>0.91061932153701441</v>
      </c>
      <c r="Y1062" s="6"/>
    </row>
    <row r="1063" spans="1:25" s="13" customFormat="1" x14ac:dyDescent="0.35">
      <c r="A1063" s="6" t="s">
        <v>25</v>
      </c>
      <c r="B1063" s="7"/>
      <c r="C1063" s="6"/>
      <c r="D1063" s="6" t="s">
        <v>1184</v>
      </c>
      <c r="E1063" s="6">
        <v>3</v>
      </c>
      <c r="F1063" s="6">
        <v>32</v>
      </c>
      <c r="G1063" s="6" t="s">
        <v>202</v>
      </c>
      <c r="H1063" s="6"/>
      <c r="I1063" s="8">
        <v>86.257643333333306</v>
      </c>
      <c r="J1063" s="8">
        <v>15.261599722222201</v>
      </c>
      <c r="K1063" s="6" t="s">
        <v>29</v>
      </c>
      <c r="L1063" s="9">
        <v>43911</v>
      </c>
      <c r="M1063" s="6"/>
      <c r="N1063" s="6">
        <v>25</v>
      </c>
      <c r="O1063" s="6" t="s">
        <v>4351</v>
      </c>
      <c r="P1063" s="6"/>
      <c r="Q1063" s="6"/>
      <c r="R1063" s="6">
        <v>80</v>
      </c>
      <c r="S1063" s="6">
        <v>90</v>
      </c>
      <c r="T1063" s="10">
        <f t="shared" si="65"/>
        <v>85</v>
      </c>
      <c r="U1063" s="6"/>
      <c r="V1063" s="8">
        <v>-8.6330446414276452E-2</v>
      </c>
      <c r="W1063" s="8">
        <v>-0.13328415870666419</v>
      </c>
      <c r="X1063" s="8">
        <f t="shared" si="63"/>
        <v>0.5573594126075474</v>
      </c>
      <c r="Y1063" s="6"/>
    </row>
    <row r="1064" spans="1:25" s="13" customFormat="1" x14ac:dyDescent="0.35">
      <c r="A1064" s="6" t="s">
        <v>25</v>
      </c>
      <c r="B1064" s="7"/>
      <c r="C1064" s="6"/>
      <c r="D1064" s="6" t="s">
        <v>1185</v>
      </c>
      <c r="E1064" s="6">
        <v>3</v>
      </c>
      <c r="F1064" s="6">
        <v>32</v>
      </c>
      <c r="G1064" s="6" t="s">
        <v>202</v>
      </c>
      <c r="H1064" s="6"/>
      <c r="I1064" s="8">
        <v>86.257643333333306</v>
      </c>
      <c r="J1064" s="8">
        <v>15.261599722222201</v>
      </c>
      <c r="K1064" s="6" t="s">
        <v>29</v>
      </c>
      <c r="L1064" s="9">
        <v>43911</v>
      </c>
      <c r="M1064" s="6"/>
      <c r="N1064" s="6">
        <v>25</v>
      </c>
      <c r="O1064" s="6" t="s">
        <v>4351</v>
      </c>
      <c r="P1064" s="6"/>
      <c r="Q1064" s="6"/>
      <c r="R1064" s="6">
        <v>90</v>
      </c>
      <c r="S1064" s="6">
        <v>100</v>
      </c>
      <c r="T1064" s="10">
        <f t="shared" si="65"/>
        <v>95</v>
      </c>
      <c r="U1064" s="6"/>
      <c r="V1064" s="8">
        <v>-0.15328411951437557</v>
      </c>
      <c r="W1064" s="8">
        <v>-0.86852093219756987</v>
      </c>
      <c r="X1064" s="8">
        <f t="shared" si="63"/>
        <v>0.35775202391743466</v>
      </c>
      <c r="Y1064" s="6"/>
    </row>
    <row r="1065" spans="1:25" s="13" customFormat="1" x14ac:dyDescent="0.35">
      <c r="A1065" s="6" t="s">
        <v>25</v>
      </c>
      <c r="B1065" s="7"/>
      <c r="C1065" s="6"/>
      <c r="D1065" s="6" t="s">
        <v>1186</v>
      </c>
      <c r="E1065" s="6">
        <v>3</v>
      </c>
      <c r="F1065" s="6">
        <v>32</v>
      </c>
      <c r="G1065" s="6" t="s">
        <v>202</v>
      </c>
      <c r="H1065" s="6"/>
      <c r="I1065" s="8">
        <v>86.257643333333306</v>
      </c>
      <c r="J1065" s="8">
        <v>15.261599722222201</v>
      </c>
      <c r="K1065" s="6" t="s">
        <v>29</v>
      </c>
      <c r="L1065" s="9">
        <v>43911</v>
      </c>
      <c r="M1065" s="6"/>
      <c r="N1065" s="6">
        <v>25</v>
      </c>
      <c r="O1065" s="6" t="s">
        <v>4351</v>
      </c>
      <c r="P1065" s="6"/>
      <c r="Q1065" s="6"/>
      <c r="R1065" s="6">
        <v>100</v>
      </c>
      <c r="S1065" s="6">
        <v>110</v>
      </c>
      <c r="T1065" s="10">
        <f t="shared" si="65"/>
        <v>105</v>
      </c>
      <c r="U1065" s="6"/>
      <c r="V1065" s="8">
        <v>-0.35104514029025996</v>
      </c>
      <c r="W1065" s="8">
        <v>-2.1179036998748777</v>
      </c>
      <c r="X1065" s="8">
        <f t="shared" si="63"/>
        <v>0.69045742244720198</v>
      </c>
      <c r="Y1065" s="6"/>
    </row>
    <row r="1066" spans="1:25" s="13" customFormat="1" x14ac:dyDescent="0.35">
      <c r="A1066" s="6" t="s">
        <v>25</v>
      </c>
      <c r="B1066" s="7"/>
      <c r="C1066" s="6"/>
      <c r="D1066" s="6" t="s">
        <v>1187</v>
      </c>
      <c r="E1066" s="6">
        <v>3</v>
      </c>
      <c r="F1066" s="6">
        <v>32</v>
      </c>
      <c r="G1066" s="6" t="s">
        <v>202</v>
      </c>
      <c r="H1066" s="6"/>
      <c r="I1066" s="8">
        <v>86.257643333333306</v>
      </c>
      <c r="J1066" s="8">
        <v>15.261599722222201</v>
      </c>
      <c r="K1066" s="6" t="s">
        <v>29</v>
      </c>
      <c r="L1066" s="9">
        <v>43911</v>
      </c>
      <c r="M1066" s="6"/>
      <c r="N1066" s="6">
        <v>25</v>
      </c>
      <c r="O1066" s="6" t="s">
        <v>4351</v>
      </c>
      <c r="P1066" s="6"/>
      <c r="Q1066" s="6"/>
      <c r="R1066" s="6">
        <v>110</v>
      </c>
      <c r="S1066" s="6">
        <v>120</v>
      </c>
      <c r="T1066" s="10">
        <f t="shared" si="65"/>
        <v>115</v>
      </c>
      <c r="U1066" s="6"/>
      <c r="V1066" s="8">
        <v>-0.49075935974121149</v>
      </c>
      <c r="W1066" s="8">
        <v>-1.8934394431114192</v>
      </c>
      <c r="X1066" s="8">
        <f t="shared" si="63"/>
        <v>2.0326354348182729</v>
      </c>
      <c r="Y1066" s="6"/>
    </row>
    <row r="1067" spans="1:25" s="13" customFormat="1" x14ac:dyDescent="0.35">
      <c r="A1067" s="6" t="s">
        <v>25</v>
      </c>
      <c r="B1067" s="7"/>
      <c r="C1067" s="6"/>
      <c r="D1067" s="6" t="s">
        <v>1188</v>
      </c>
      <c r="E1067" s="6">
        <v>3</v>
      </c>
      <c r="F1067" s="6">
        <v>32</v>
      </c>
      <c r="G1067" s="6" t="s">
        <v>202</v>
      </c>
      <c r="H1067" s="6"/>
      <c r="I1067" s="8">
        <v>86.257643333333306</v>
      </c>
      <c r="J1067" s="8">
        <v>15.261599722222201</v>
      </c>
      <c r="K1067" s="6" t="s">
        <v>29</v>
      </c>
      <c r="L1067" s="9">
        <v>43911</v>
      </c>
      <c r="M1067" s="6"/>
      <c r="N1067" s="6">
        <v>25</v>
      </c>
      <c r="O1067" s="6" t="s">
        <v>4351</v>
      </c>
      <c r="P1067" s="6"/>
      <c r="Q1067" s="6"/>
      <c r="R1067" s="6">
        <v>120</v>
      </c>
      <c r="S1067" s="6">
        <v>130</v>
      </c>
      <c r="T1067" s="10">
        <f t="shared" si="65"/>
        <v>125</v>
      </c>
      <c r="U1067" s="6"/>
      <c r="V1067" s="8">
        <v>-0.30902020106613626</v>
      </c>
      <c r="W1067" s="8">
        <v>-2.2912951683998104</v>
      </c>
      <c r="X1067" s="8">
        <f t="shared" si="63"/>
        <v>0.18086644012927966</v>
      </c>
      <c r="Y1067" s="6"/>
    </row>
    <row r="1068" spans="1:25" s="13" customFormat="1" x14ac:dyDescent="0.35">
      <c r="A1068" s="6" t="s">
        <v>25</v>
      </c>
      <c r="B1068" s="7"/>
      <c r="C1068" s="6"/>
      <c r="D1068" s="6" t="s">
        <v>1189</v>
      </c>
      <c r="E1068" s="6">
        <v>3</v>
      </c>
      <c r="F1068" s="6">
        <v>32</v>
      </c>
      <c r="G1068" s="6" t="s">
        <v>202</v>
      </c>
      <c r="H1068" s="6"/>
      <c r="I1068" s="8">
        <v>86.257643333333306</v>
      </c>
      <c r="J1068" s="8">
        <v>15.261599722222201</v>
      </c>
      <c r="K1068" s="6" t="s">
        <v>29</v>
      </c>
      <c r="L1068" s="9">
        <v>43911</v>
      </c>
      <c r="M1068" s="6"/>
      <c r="N1068" s="6">
        <v>25</v>
      </c>
      <c r="O1068" s="6" t="s">
        <v>4351</v>
      </c>
      <c r="P1068" s="6"/>
      <c r="Q1068" s="6"/>
      <c r="R1068" s="6">
        <v>130</v>
      </c>
      <c r="S1068" s="6">
        <v>140</v>
      </c>
      <c r="T1068" s="10">
        <f t="shared" si="65"/>
        <v>135</v>
      </c>
      <c r="U1068" s="6"/>
      <c r="V1068" s="8">
        <v>-0.28983929967284205</v>
      </c>
      <c r="W1068" s="8">
        <v>-2.669947025775909</v>
      </c>
      <c r="X1068" s="8">
        <f t="shared" si="63"/>
        <v>-0.3512326283931726</v>
      </c>
      <c r="Y1068" s="6"/>
    </row>
    <row r="1069" spans="1:25" s="13" customFormat="1" x14ac:dyDescent="0.35">
      <c r="A1069" s="6" t="s">
        <v>25</v>
      </c>
      <c r="B1069" s="7"/>
      <c r="C1069" s="6"/>
      <c r="D1069" s="6" t="s">
        <v>1190</v>
      </c>
      <c r="E1069" s="6">
        <v>3</v>
      </c>
      <c r="F1069" s="6">
        <v>32</v>
      </c>
      <c r="G1069" s="6" t="s">
        <v>202</v>
      </c>
      <c r="H1069" s="6"/>
      <c r="I1069" s="8">
        <v>86.257643333333306</v>
      </c>
      <c r="J1069" s="8">
        <v>15.261599722222201</v>
      </c>
      <c r="K1069" s="6" t="s">
        <v>29</v>
      </c>
      <c r="L1069" s="9">
        <v>43911</v>
      </c>
      <c r="M1069" s="6"/>
      <c r="N1069" s="6">
        <v>25</v>
      </c>
      <c r="O1069" s="6" t="s">
        <v>4351</v>
      </c>
      <c r="P1069" s="6"/>
      <c r="Q1069" s="6"/>
      <c r="R1069" s="6">
        <v>140</v>
      </c>
      <c r="S1069" s="6">
        <v>150</v>
      </c>
      <c r="T1069" s="10">
        <f t="shared" si="65"/>
        <v>145</v>
      </c>
      <c r="U1069" s="6"/>
      <c r="V1069" s="8">
        <v>-9.3278015160095373E-2</v>
      </c>
      <c r="W1069" s="8">
        <v>-0.62470502853393461</v>
      </c>
      <c r="X1069" s="8">
        <f t="shared" si="63"/>
        <v>0.12151909274682837</v>
      </c>
      <c r="Y1069" s="6"/>
    </row>
    <row r="1070" spans="1:25" s="13" customFormat="1" x14ac:dyDescent="0.35">
      <c r="A1070" s="6" t="s">
        <v>25</v>
      </c>
      <c r="B1070" s="7"/>
      <c r="C1070" s="6"/>
      <c r="D1070" s="6" t="s">
        <v>1191</v>
      </c>
      <c r="E1070" s="6">
        <v>3</v>
      </c>
      <c r="F1070" s="6">
        <v>32</v>
      </c>
      <c r="G1070" s="6" t="s">
        <v>202</v>
      </c>
      <c r="H1070" s="6"/>
      <c r="I1070" s="8">
        <v>86.257643333333306</v>
      </c>
      <c r="J1070" s="8">
        <v>15.261599722222201</v>
      </c>
      <c r="K1070" s="6" t="s">
        <v>29</v>
      </c>
      <c r="L1070" s="9">
        <v>43911</v>
      </c>
      <c r="M1070" s="6"/>
      <c r="N1070" s="6">
        <v>25</v>
      </c>
      <c r="O1070" s="6" t="s">
        <v>4351</v>
      </c>
      <c r="P1070" s="6"/>
      <c r="Q1070" s="6"/>
      <c r="R1070" s="6">
        <v>150</v>
      </c>
      <c r="S1070" s="6">
        <v>160</v>
      </c>
      <c r="T1070" s="10">
        <f t="shared" si="65"/>
        <v>155</v>
      </c>
      <c r="U1070" s="6"/>
      <c r="V1070" s="8">
        <v>-0.11784142300263099</v>
      </c>
      <c r="W1070" s="8">
        <v>-0.51507568359375</v>
      </c>
      <c r="X1070" s="8">
        <f t="shared" si="63"/>
        <v>0.42765570042729795</v>
      </c>
      <c r="Y1070" s="6"/>
    </row>
    <row r="1071" spans="1:25" s="13" customFormat="1" x14ac:dyDescent="0.35">
      <c r="A1071" s="6" t="s">
        <v>25</v>
      </c>
      <c r="B1071" s="7"/>
      <c r="C1071" s="6"/>
      <c r="D1071" s="6" t="s">
        <v>1192</v>
      </c>
      <c r="E1071" s="6">
        <v>3</v>
      </c>
      <c r="F1071" s="6">
        <v>32</v>
      </c>
      <c r="G1071" s="6" t="s">
        <v>202</v>
      </c>
      <c r="H1071" s="6"/>
      <c r="I1071" s="8">
        <v>86.257643333333306</v>
      </c>
      <c r="J1071" s="8">
        <v>15.261599722222201</v>
      </c>
      <c r="K1071" s="6" t="s">
        <v>29</v>
      </c>
      <c r="L1071" s="9">
        <v>43911</v>
      </c>
      <c r="M1071" s="6"/>
      <c r="N1071" s="6">
        <v>25</v>
      </c>
      <c r="O1071" s="6" t="s">
        <v>4351</v>
      </c>
      <c r="P1071" s="6"/>
      <c r="Q1071" s="6"/>
      <c r="R1071" s="6">
        <v>160</v>
      </c>
      <c r="S1071" s="6">
        <v>170</v>
      </c>
      <c r="T1071" s="10">
        <f t="shared" si="65"/>
        <v>165</v>
      </c>
      <c r="U1071" s="6"/>
      <c r="V1071" s="8">
        <v>0.17469037461876835</v>
      </c>
      <c r="W1071" s="8">
        <v>1.4876390361785887</v>
      </c>
      <c r="X1071" s="8">
        <f t="shared" si="63"/>
        <v>9.0116039228441913E-2</v>
      </c>
      <c r="Y1071" s="6"/>
    </row>
    <row r="1072" spans="1:25" s="13" customFormat="1" x14ac:dyDescent="0.35">
      <c r="A1072" s="6" t="s">
        <v>25</v>
      </c>
      <c r="B1072" s="7"/>
      <c r="C1072" s="6"/>
      <c r="D1072" s="6" t="s">
        <v>1193</v>
      </c>
      <c r="E1072" s="6">
        <v>3</v>
      </c>
      <c r="F1072" s="6">
        <v>32</v>
      </c>
      <c r="G1072" s="6" t="s">
        <v>202</v>
      </c>
      <c r="H1072" s="6"/>
      <c r="I1072" s="8">
        <v>86.257643333333306</v>
      </c>
      <c r="J1072" s="8">
        <v>15.261599722222201</v>
      </c>
      <c r="K1072" s="6" t="s">
        <v>29</v>
      </c>
      <c r="L1072" s="9">
        <v>43911</v>
      </c>
      <c r="M1072" s="6"/>
      <c r="N1072" s="6">
        <v>25</v>
      </c>
      <c r="O1072" s="6" t="s">
        <v>4351</v>
      </c>
      <c r="P1072" s="6"/>
      <c r="Q1072" s="6"/>
      <c r="R1072" s="6">
        <v>170</v>
      </c>
      <c r="S1072" s="6">
        <v>179</v>
      </c>
      <c r="T1072" s="10">
        <f t="shared" si="65"/>
        <v>174.5</v>
      </c>
      <c r="U1072" s="6"/>
      <c r="V1072" s="8">
        <v>-0.24891786401867827</v>
      </c>
      <c r="W1072" s="8">
        <v>-1.4746275472640986</v>
      </c>
      <c r="X1072" s="8">
        <f t="shared" si="63"/>
        <v>0.51671536488532754</v>
      </c>
      <c r="Y1072" s="6"/>
    </row>
    <row r="1073" spans="1:25" s="13" customFormat="1" x14ac:dyDescent="0.35">
      <c r="A1073" s="6" t="s">
        <v>25</v>
      </c>
      <c r="B1073" s="7"/>
      <c r="C1073" s="6"/>
      <c r="D1073" s="6" t="s">
        <v>1194</v>
      </c>
      <c r="E1073" s="6">
        <v>3</v>
      </c>
      <c r="F1073" s="6">
        <v>32</v>
      </c>
      <c r="G1073" s="6" t="s">
        <v>202</v>
      </c>
      <c r="H1073" s="6"/>
      <c r="I1073" s="8">
        <v>86.257643333333306</v>
      </c>
      <c r="J1073" s="8">
        <v>15.261599722222201</v>
      </c>
      <c r="K1073" s="6" t="s">
        <v>29</v>
      </c>
      <c r="L1073" s="9">
        <v>43911</v>
      </c>
      <c r="M1073" s="6"/>
      <c r="N1073" s="6">
        <v>25</v>
      </c>
      <c r="O1073" s="6" t="s">
        <v>4351</v>
      </c>
      <c r="P1073" s="6"/>
      <c r="Q1073" s="6"/>
      <c r="R1073" s="6">
        <v>190.5</v>
      </c>
      <c r="S1073" s="6">
        <v>220.5</v>
      </c>
      <c r="T1073" s="10">
        <f t="shared" si="65"/>
        <v>205.5</v>
      </c>
      <c r="U1073" s="6"/>
      <c r="V1073" s="8">
        <v>-1.2063368366408351</v>
      </c>
      <c r="W1073" s="8">
        <v>-7.4867801785945893</v>
      </c>
      <c r="X1073" s="8">
        <f t="shared" si="63"/>
        <v>2.1639145145320917</v>
      </c>
      <c r="Y1073" s="6"/>
    </row>
    <row r="1074" spans="1:25" s="13" customFormat="1" x14ac:dyDescent="0.35">
      <c r="A1074" s="6" t="s">
        <v>25</v>
      </c>
      <c r="B1074" s="6" t="s">
        <v>3457</v>
      </c>
      <c r="C1074" s="6"/>
      <c r="D1074" s="6" t="s">
        <v>3759</v>
      </c>
      <c r="E1074" s="6">
        <v>3</v>
      </c>
      <c r="F1074" s="6">
        <v>32</v>
      </c>
      <c r="G1074" s="6" t="s">
        <v>4061</v>
      </c>
      <c r="H1074" s="6"/>
      <c r="I1074" s="8">
        <v>86.228210555555506</v>
      </c>
      <c r="J1074" s="8">
        <v>15.7194244444444</v>
      </c>
      <c r="K1074" s="6" t="s">
        <v>2610</v>
      </c>
      <c r="L1074" s="9">
        <v>43912</v>
      </c>
      <c r="M1074" s="6"/>
      <c r="N1074" s="6">
        <v>25</v>
      </c>
      <c r="O1074" s="6" t="s">
        <v>4315</v>
      </c>
      <c r="P1074" s="6"/>
      <c r="Q1074" s="6"/>
      <c r="R1074" s="6"/>
      <c r="S1074" s="6"/>
      <c r="T1074" s="6"/>
      <c r="U1074" s="6"/>
      <c r="V1074" s="8">
        <v>-1.499942421913147</v>
      </c>
      <c r="W1074" s="8">
        <v>-8.5403786487579332</v>
      </c>
      <c r="X1074" s="27">
        <f t="shared" si="63"/>
        <v>3.4591607265472426</v>
      </c>
      <c r="Y1074" s="6"/>
    </row>
    <row r="1075" spans="1:25" s="13" customFormat="1" x14ac:dyDescent="0.35">
      <c r="A1075" s="6" t="s">
        <v>25</v>
      </c>
      <c r="B1075" s="6" t="s">
        <v>2854</v>
      </c>
      <c r="C1075" s="6"/>
      <c r="D1075" s="6" t="s">
        <v>3133</v>
      </c>
      <c r="E1075" s="6">
        <v>3</v>
      </c>
      <c r="F1075" s="6">
        <v>32</v>
      </c>
      <c r="G1075" s="6" t="s">
        <v>3311</v>
      </c>
      <c r="H1075" s="6"/>
      <c r="I1075" s="8">
        <v>86.228210555555506</v>
      </c>
      <c r="J1075" s="8">
        <v>15.7194244444444</v>
      </c>
      <c r="K1075" s="6" t="s">
        <v>198</v>
      </c>
      <c r="L1075" s="9">
        <v>43912</v>
      </c>
      <c r="M1075" s="18">
        <v>0.33333333333333331</v>
      </c>
      <c r="N1075" s="6">
        <v>25</v>
      </c>
      <c r="O1075" s="6" t="s">
        <v>4315</v>
      </c>
      <c r="P1075" s="6"/>
      <c r="Q1075" s="6"/>
      <c r="R1075" s="6">
        <v>10</v>
      </c>
      <c r="S1075" s="6">
        <v>13</v>
      </c>
      <c r="T1075" s="6"/>
      <c r="U1075" s="6"/>
      <c r="V1075" s="8">
        <v>-32.883638454895021</v>
      </c>
      <c r="W1075" s="8">
        <v>-253.79610571289064</v>
      </c>
      <c r="X1075" s="8">
        <f t="shared" si="63"/>
        <v>9.2730019262695293</v>
      </c>
      <c r="Y1075" s="6"/>
    </row>
    <row r="1076" spans="1:25" s="13" customFormat="1" x14ac:dyDescent="0.35">
      <c r="A1076" s="6" t="s">
        <v>25</v>
      </c>
      <c r="B1076" s="6" t="s">
        <v>2855</v>
      </c>
      <c r="C1076" s="6"/>
      <c r="D1076" s="6" t="s">
        <v>3133</v>
      </c>
      <c r="E1076" s="6">
        <v>3</v>
      </c>
      <c r="F1076" s="6">
        <v>32</v>
      </c>
      <c r="G1076" s="6" t="s">
        <v>3311</v>
      </c>
      <c r="H1076" s="6"/>
      <c r="I1076" s="8">
        <v>86.228210555555506</v>
      </c>
      <c r="J1076" s="8">
        <v>15.7194244444444</v>
      </c>
      <c r="K1076" s="6" t="s">
        <v>198</v>
      </c>
      <c r="L1076" s="9">
        <v>43912</v>
      </c>
      <c r="M1076" s="18">
        <v>0.33333333333333331</v>
      </c>
      <c r="N1076" s="6">
        <v>25</v>
      </c>
      <c r="O1076" s="6" t="s">
        <v>4315</v>
      </c>
      <c r="P1076" s="6"/>
      <c r="Q1076" s="6"/>
      <c r="R1076" s="6">
        <v>8</v>
      </c>
      <c r="S1076" s="6">
        <v>4</v>
      </c>
      <c r="T1076" s="6"/>
      <c r="U1076" s="6"/>
      <c r="V1076" s="8">
        <v>-23.379174839401244</v>
      </c>
      <c r="W1076" s="8">
        <v>-173.54769047546387</v>
      </c>
      <c r="X1076" s="8">
        <f t="shared" si="63"/>
        <v>13.485708239746089</v>
      </c>
      <c r="Y1076" s="6"/>
    </row>
    <row r="1077" spans="1:25" s="13" customFormat="1" x14ac:dyDescent="0.35">
      <c r="A1077" s="6" t="s">
        <v>25</v>
      </c>
      <c r="B1077" s="6" t="s">
        <v>2856</v>
      </c>
      <c r="C1077" s="6"/>
      <c r="D1077" s="6" t="s">
        <v>3133</v>
      </c>
      <c r="E1077" s="6">
        <v>3</v>
      </c>
      <c r="F1077" s="6">
        <v>32</v>
      </c>
      <c r="G1077" s="6" t="s">
        <v>3311</v>
      </c>
      <c r="H1077" s="6"/>
      <c r="I1077" s="8">
        <v>86.228210555555506</v>
      </c>
      <c r="J1077" s="8">
        <v>15.7194244444444</v>
      </c>
      <c r="K1077" s="6" t="s">
        <v>198</v>
      </c>
      <c r="L1077" s="9">
        <v>43912</v>
      </c>
      <c r="M1077" s="18">
        <v>0.33333333333333331</v>
      </c>
      <c r="N1077" s="6">
        <v>25</v>
      </c>
      <c r="O1077" s="6" t="s">
        <v>4315</v>
      </c>
      <c r="P1077" s="6"/>
      <c r="Q1077" s="6"/>
      <c r="R1077" s="6">
        <v>4</v>
      </c>
      <c r="S1077" s="6">
        <v>0.5</v>
      </c>
      <c r="T1077" s="6"/>
      <c r="U1077" s="6"/>
      <c r="V1077" s="8">
        <v>-5.2135032829284667</v>
      </c>
      <c r="W1077" s="8">
        <v>-44.016767414093017</v>
      </c>
      <c r="X1077" s="8">
        <f t="shared" si="63"/>
        <v>-2.3087411506652842</v>
      </c>
      <c r="Y1077" s="6"/>
    </row>
    <row r="1078" spans="1:25" s="13" customFormat="1" x14ac:dyDescent="0.35">
      <c r="A1078" s="6" t="s">
        <v>25</v>
      </c>
      <c r="B1078" s="6" t="s">
        <v>2857</v>
      </c>
      <c r="C1078" s="6"/>
      <c r="D1078" s="6" t="s">
        <v>3134</v>
      </c>
      <c r="E1078" s="6">
        <v>3</v>
      </c>
      <c r="F1078" s="6">
        <v>32</v>
      </c>
      <c r="G1078" s="6" t="s">
        <v>3312</v>
      </c>
      <c r="H1078" s="6"/>
      <c r="I1078" s="8">
        <v>86.228210555555506</v>
      </c>
      <c r="J1078" s="8">
        <v>15.7194244444444</v>
      </c>
      <c r="K1078" s="6" t="s">
        <v>198</v>
      </c>
      <c r="L1078" s="9">
        <v>43912</v>
      </c>
      <c r="M1078" s="18">
        <v>0.44791666666666669</v>
      </c>
      <c r="N1078" s="6">
        <v>25</v>
      </c>
      <c r="O1078" s="6" t="s">
        <v>4315</v>
      </c>
      <c r="P1078" s="6"/>
      <c r="Q1078" s="6"/>
      <c r="R1078" s="6">
        <v>21</v>
      </c>
      <c r="S1078" s="6">
        <v>18</v>
      </c>
      <c r="T1078" s="6"/>
      <c r="U1078" s="6"/>
      <c r="V1078" s="8">
        <v>-30.129703421096799</v>
      </c>
      <c r="W1078" s="8">
        <v>-232.21615026855468</v>
      </c>
      <c r="X1078" s="8">
        <f t="shared" si="63"/>
        <v>8.8214771002197097</v>
      </c>
      <c r="Y1078" s="6"/>
    </row>
    <row r="1079" spans="1:25" s="13" customFormat="1" x14ac:dyDescent="0.35">
      <c r="A1079" s="6" t="s">
        <v>25</v>
      </c>
      <c r="B1079" s="6" t="s">
        <v>2858</v>
      </c>
      <c r="C1079" s="6"/>
      <c r="D1079" s="6" t="s">
        <v>3134</v>
      </c>
      <c r="E1079" s="6">
        <v>3</v>
      </c>
      <c r="F1079" s="6">
        <v>32</v>
      </c>
      <c r="G1079" s="6" t="s">
        <v>3312</v>
      </c>
      <c r="H1079" s="6"/>
      <c r="I1079" s="8">
        <v>86.228210555555506</v>
      </c>
      <c r="J1079" s="8">
        <v>15.7194244444444</v>
      </c>
      <c r="K1079" s="6" t="s">
        <v>198</v>
      </c>
      <c r="L1079" s="9">
        <v>43912</v>
      </c>
      <c r="M1079" s="18">
        <v>0.44791666666666669</v>
      </c>
      <c r="N1079" s="6">
        <v>25</v>
      </c>
      <c r="O1079" s="6" t="s">
        <v>4315</v>
      </c>
      <c r="P1079" s="6"/>
      <c r="Q1079" s="6"/>
      <c r="R1079" s="6">
        <v>14</v>
      </c>
      <c r="S1079" s="6">
        <v>11</v>
      </c>
      <c r="T1079" s="6"/>
      <c r="U1079" s="6"/>
      <c r="V1079" s="8">
        <v>-31.028160973052977</v>
      </c>
      <c r="W1079" s="8">
        <v>-244.73093344116211</v>
      </c>
      <c r="X1079" s="8">
        <f t="shared" si="63"/>
        <v>3.4943543432617048</v>
      </c>
      <c r="Y1079" s="6"/>
    </row>
    <row r="1080" spans="1:25" s="13" customFormat="1" x14ac:dyDescent="0.35">
      <c r="A1080" s="6" t="s">
        <v>25</v>
      </c>
      <c r="B1080" s="6" t="s">
        <v>2859</v>
      </c>
      <c r="C1080" s="6"/>
      <c r="D1080" s="6" t="s">
        <v>3134</v>
      </c>
      <c r="E1080" s="6">
        <v>3</v>
      </c>
      <c r="F1080" s="6">
        <v>32</v>
      </c>
      <c r="G1080" s="6" t="s">
        <v>3312</v>
      </c>
      <c r="H1080" s="6"/>
      <c r="I1080" s="8">
        <v>86.228210555555506</v>
      </c>
      <c r="J1080" s="8">
        <v>15.7194244444444</v>
      </c>
      <c r="K1080" s="6" t="s">
        <v>198</v>
      </c>
      <c r="L1080" s="9">
        <v>43912</v>
      </c>
      <c r="M1080" s="18">
        <v>0.44791666666666669</v>
      </c>
      <c r="N1080" s="6">
        <v>25</v>
      </c>
      <c r="O1080" s="6" t="s">
        <v>4315</v>
      </c>
      <c r="P1080" s="6"/>
      <c r="Q1080" s="6"/>
      <c r="R1080" s="6">
        <v>3</v>
      </c>
      <c r="S1080" s="6">
        <v>1</v>
      </c>
      <c r="T1080" s="6"/>
      <c r="U1080" s="6"/>
      <c r="V1080" s="8">
        <v>-8.3254240230560317</v>
      </c>
      <c r="W1080" s="8">
        <v>-63.975616233825683</v>
      </c>
      <c r="X1080" s="8">
        <f t="shared" si="63"/>
        <v>2.6277759506225706</v>
      </c>
      <c r="Y1080" s="6"/>
    </row>
    <row r="1081" spans="1:25" s="13" customFormat="1" x14ac:dyDescent="0.35">
      <c r="A1081" s="6" t="s">
        <v>25</v>
      </c>
      <c r="B1081" s="6"/>
      <c r="C1081" s="6"/>
      <c r="D1081" s="6" t="s">
        <v>1195</v>
      </c>
      <c r="E1081" s="6">
        <v>3</v>
      </c>
      <c r="F1081" s="6">
        <v>32</v>
      </c>
      <c r="G1081" s="6" t="s">
        <v>60</v>
      </c>
      <c r="H1081" s="6"/>
      <c r="I1081" s="8">
        <v>86.228210555555506</v>
      </c>
      <c r="J1081" s="8">
        <v>15.7194244444444</v>
      </c>
      <c r="K1081" s="7" t="s">
        <v>2610</v>
      </c>
      <c r="L1081" s="9">
        <v>43912</v>
      </c>
      <c r="M1081" s="6"/>
      <c r="N1081" s="6">
        <v>25</v>
      </c>
      <c r="O1081" s="6" t="s">
        <v>4315</v>
      </c>
      <c r="P1081" s="6"/>
      <c r="Q1081" s="6">
        <v>500</v>
      </c>
      <c r="R1081" s="6"/>
      <c r="S1081" s="6">
        <v>500</v>
      </c>
      <c r="T1081" s="10">
        <f t="shared" ref="T1081:T1088" si="66">AVERAGE(R1081:S1081)</f>
        <v>500</v>
      </c>
      <c r="U1081" s="6"/>
      <c r="V1081" s="8">
        <v>-1.6176630735397342</v>
      </c>
      <c r="W1081" s="8">
        <v>-10.63837397646904</v>
      </c>
      <c r="X1081" s="8">
        <f t="shared" si="63"/>
        <v>2.3029306118488329</v>
      </c>
      <c r="Y1081" s="6"/>
    </row>
    <row r="1082" spans="1:25" s="13" customFormat="1" x14ac:dyDescent="0.35">
      <c r="A1082" s="6" t="s">
        <v>25</v>
      </c>
      <c r="B1082" s="6"/>
      <c r="C1082" s="6"/>
      <c r="D1082" s="6" t="s">
        <v>1195</v>
      </c>
      <c r="E1082" s="6">
        <v>3</v>
      </c>
      <c r="F1082" s="6">
        <v>32</v>
      </c>
      <c r="G1082" s="6" t="s">
        <v>60</v>
      </c>
      <c r="H1082" s="6"/>
      <c r="I1082" s="8">
        <v>86.228210555555506</v>
      </c>
      <c r="J1082" s="8">
        <v>15.7194244444444</v>
      </c>
      <c r="K1082" s="7" t="s">
        <v>2610</v>
      </c>
      <c r="L1082" s="9">
        <v>43912</v>
      </c>
      <c r="M1082" s="6"/>
      <c r="N1082" s="6">
        <v>25</v>
      </c>
      <c r="O1082" s="6" t="s">
        <v>4315</v>
      </c>
      <c r="P1082" s="6"/>
      <c r="Q1082" s="6">
        <v>2000</v>
      </c>
      <c r="R1082" s="6"/>
      <c r="S1082" s="6">
        <v>2000</v>
      </c>
      <c r="T1082" s="10">
        <f t="shared" si="66"/>
        <v>2000</v>
      </c>
      <c r="U1082" s="6"/>
      <c r="V1082" s="8">
        <v>-1.5399844047546387</v>
      </c>
      <c r="W1082" s="8">
        <v>-10.726301669883728</v>
      </c>
      <c r="X1082" s="8">
        <f t="shared" si="63"/>
        <v>1.5935735681533814</v>
      </c>
      <c r="Y1082" s="6"/>
    </row>
    <row r="1083" spans="1:25" s="13" customFormat="1" x14ac:dyDescent="0.35">
      <c r="A1083" s="6" t="s">
        <v>25</v>
      </c>
      <c r="B1083" s="6"/>
      <c r="C1083" s="6"/>
      <c r="D1083" s="6" t="s">
        <v>1195</v>
      </c>
      <c r="E1083" s="6">
        <v>3</v>
      </c>
      <c r="F1083" s="6">
        <v>32</v>
      </c>
      <c r="G1083" s="6" t="s">
        <v>60</v>
      </c>
      <c r="H1083" s="6"/>
      <c r="I1083" s="8">
        <v>86.228210555555506</v>
      </c>
      <c r="J1083" s="8">
        <v>15.7194244444444</v>
      </c>
      <c r="K1083" s="7" t="s">
        <v>2610</v>
      </c>
      <c r="L1083" s="9">
        <v>43912</v>
      </c>
      <c r="M1083" s="6"/>
      <c r="N1083" s="6">
        <v>25</v>
      </c>
      <c r="O1083" s="6" t="s">
        <v>4315</v>
      </c>
      <c r="P1083" s="6"/>
      <c r="Q1083" s="6">
        <v>4000</v>
      </c>
      <c r="R1083" s="6"/>
      <c r="S1083" s="6">
        <v>4000</v>
      </c>
      <c r="T1083" s="10">
        <f t="shared" si="66"/>
        <v>4000</v>
      </c>
      <c r="U1083" s="6"/>
      <c r="V1083" s="8">
        <v>-1.3971147419214252</v>
      </c>
      <c r="W1083" s="8">
        <v>-11.639055476760864</v>
      </c>
      <c r="X1083" s="8">
        <f t="shared" si="63"/>
        <v>-0.46213754138946328</v>
      </c>
      <c r="Y1083" s="6"/>
    </row>
    <row r="1084" spans="1:25" s="13" customFormat="1" x14ac:dyDescent="0.35">
      <c r="A1084" s="6" t="s">
        <v>25</v>
      </c>
      <c r="B1084" s="6"/>
      <c r="C1084" s="6"/>
      <c r="D1084" s="6" t="s">
        <v>1195</v>
      </c>
      <c r="E1084" s="6">
        <v>3</v>
      </c>
      <c r="F1084" s="6">
        <v>32</v>
      </c>
      <c r="G1084" s="6" t="s">
        <v>60</v>
      </c>
      <c r="H1084" s="6"/>
      <c r="I1084" s="8">
        <v>86.228210555555506</v>
      </c>
      <c r="J1084" s="8">
        <v>15.7194244444444</v>
      </c>
      <c r="K1084" s="7" t="s">
        <v>2610</v>
      </c>
      <c r="L1084" s="9">
        <v>43912</v>
      </c>
      <c r="M1084" s="6"/>
      <c r="N1084" s="6">
        <v>25</v>
      </c>
      <c r="O1084" s="6" t="s">
        <v>4315</v>
      </c>
      <c r="P1084" s="6"/>
      <c r="Q1084" s="6">
        <v>5000</v>
      </c>
      <c r="R1084" s="6"/>
      <c r="S1084" s="6">
        <v>5000</v>
      </c>
      <c r="T1084" s="10">
        <f t="shared" si="66"/>
        <v>5000</v>
      </c>
      <c r="U1084" s="6"/>
      <c r="V1084" s="8">
        <v>-1.4776446540355681</v>
      </c>
      <c r="W1084" s="8">
        <v>-10.220931007003784</v>
      </c>
      <c r="X1084" s="8">
        <f t="shared" si="63"/>
        <v>1.6002262252807604</v>
      </c>
      <c r="Y1084" s="6"/>
    </row>
    <row r="1085" spans="1:25" s="13" customFormat="1" x14ac:dyDescent="0.35">
      <c r="A1085" s="6" t="s">
        <v>25</v>
      </c>
      <c r="B1085" s="6"/>
      <c r="C1085" s="6"/>
      <c r="D1085" s="6" t="s">
        <v>1195</v>
      </c>
      <c r="E1085" s="6">
        <v>3</v>
      </c>
      <c r="F1085" s="6">
        <v>32</v>
      </c>
      <c r="G1085" s="6" t="s">
        <v>60</v>
      </c>
      <c r="H1085" s="6"/>
      <c r="I1085" s="8">
        <v>86.228210555555506</v>
      </c>
      <c r="J1085" s="8">
        <v>15.7194244444444</v>
      </c>
      <c r="K1085" s="7" t="s">
        <v>2610</v>
      </c>
      <c r="L1085" s="9">
        <v>43912</v>
      </c>
      <c r="M1085" s="6"/>
      <c r="N1085" s="6">
        <v>25</v>
      </c>
      <c r="O1085" s="6" t="s">
        <v>4315</v>
      </c>
      <c r="P1085" s="6"/>
      <c r="Q1085" s="6">
        <v>5500</v>
      </c>
      <c r="R1085" s="6"/>
      <c r="S1085" s="6">
        <v>5500</v>
      </c>
      <c r="T1085" s="10">
        <f t="shared" si="66"/>
        <v>5500</v>
      </c>
      <c r="U1085" s="6"/>
      <c r="V1085" s="8">
        <v>-1.4024293066263194</v>
      </c>
      <c r="W1085" s="8">
        <v>-10.746462630844116</v>
      </c>
      <c r="X1085" s="8">
        <f t="shared" si="63"/>
        <v>0.47297182216643918</v>
      </c>
      <c r="Y1085" s="6"/>
    </row>
    <row r="1086" spans="1:25" s="13" customFormat="1" x14ac:dyDescent="0.35">
      <c r="A1086" s="6" t="s">
        <v>25</v>
      </c>
      <c r="B1086" s="6"/>
      <c r="C1086" s="6"/>
      <c r="D1086" s="6" t="s">
        <v>1195</v>
      </c>
      <c r="E1086" s="6">
        <v>3</v>
      </c>
      <c r="F1086" s="6">
        <v>32</v>
      </c>
      <c r="G1086" s="6" t="s">
        <v>60</v>
      </c>
      <c r="H1086" s="6"/>
      <c r="I1086" s="8">
        <v>86.228210555555506</v>
      </c>
      <c r="J1086" s="8">
        <v>15.7194244444444</v>
      </c>
      <c r="K1086" s="7" t="s">
        <v>2610</v>
      </c>
      <c r="L1086" s="9">
        <v>43912</v>
      </c>
      <c r="M1086" s="6"/>
      <c r="N1086" s="6">
        <v>25</v>
      </c>
      <c r="O1086" s="6" t="s">
        <v>4315</v>
      </c>
      <c r="P1086" s="6"/>
      <c r="Q1086" s="6">
        <v>6000</v>
      </c>
      <c r="R1086" s="6"/>
      <c r="S1086" s="6">
        <v>6000</v>
      </c>
      <c r="T1086" s="10">
        <f t="shared" si="66"/>
        <v>6000</v>
      </c>
      <c r="U1086" s="6"/>
      <c r="V1086" s="8">
        <v>-1.4834372282028201</v>
      </c>
      <c r="W1086" s="8">
        <v>-10.209190650749207</v>
      </c>
      <c r="X1086" s="8">
        <f t="shared" si="63"/>
        <v>1.6583071748733538</v>
      </c>
      <c r="Y1086" s="6"/>
    </row>
    <row r="1087" spans="1:25" s="13" customFormat="1" x14ac:dyDescent="0.35">
      <c r="A1087" s="6" t="s">
        <v>25</v>
      </c>
      <c r="B1087" s="6"/>
      <c r="C1087" s="6"/>
      <c r="D1087" s="6" t="s">
        <v>1195</v>
      </c>
      <c r="E1087" s="6">
        <v>3</v>
      </c>
      <c r="F1087" s="6">
        <v>32</v>
      </c>
      <c r="G1087" s="6" t="s">
        <v>60</v>
      </c>
      <c r="H1087" s="6"/>
      <c r="I1087" s="8">
        <v>86.228210555555506</v>
      </c>
      <c r="J1087" s="8">
        <v>15.7194244444444</v>
      </c>
      <c r="K1087" s="7" t="s">
        <v>2610</v>
      </c>
      <c r="L1087" s="9">
        <v>43912</v>
      </c>
      <c r="M1087" s="6"/>
      <c r="N1087" s="6">
        <v>25</v>
      </c>
      <c r="O1087" s="6" t="s">
        <v>4315</v>
      </c>
      <c r="P1087" s="6"/>
      <c r="Q1087" s="6">
        <v>6500</v>
      </c>
      <c r="R1087" s="6"/>
      <c r="S1087" s="6">
        <v>6500</v>
      </c>
      <c r="T1087" s="10">
        <f t="shared" si="66"/>
        <v>6500</v>
      </c>
      <c r="U1087" s="6"/>
      <c r="V1087" s="8">
        <v>-1.2423889060020443</v>
      </c>
      <c r="W1087" s="8">
        <v>-8.3457665153503431</v>
      </c>
      <c r="X1087" s="8">
        <f t="shared" si="63"/>
        <v>1.5933447326660115</v>
      </c>
      <c r="Y1087" s="6"/>
    </row>
    <row r="1088" spans="1:25" s="13" customFormat="1" x14ac:dyDescent="0.35">
      <c r="A1088" s="6" t="s">
        <v>25</v>
      </c>
      <c r="B1088" s="6"/>
      <c r="C1088" s="6"/>
      <c r="D1088" s="6" t="s">
        <v>1195</v>
      </c>
      <c r="E1088" s="6">
        <v>3</v>
      </c>
      <c r="F1088" s="6">
        <v>32</v>
      </c>
      <c r="G1088" s="6" t="s">
        <v>60</v>
      </c>
      <c r="H1088" s="6"/>
      <c r="I1088" s="8">
        <v>86.228210555555506</v>
      </c>
      <c r="J1088" s="8">
        <v>15.7194244444444</v>
      </c>
      <c r="K1088" s="7" t="s">
        <v>2610</v>
      </c>
      <c r="L1088" s="9">
        <v>43912</v>
      </c>
      <c r="M1088" s="6"/>
      <c r="N1088" s="6">
        <v>25</v>
      </c>
      <c r="O1088" s="6" t="s">
        <v>4315</v>
      </c>
      <c r="P1088" s="6"/>
      <c r="Q1088" s="6">
        <v>7500</v>
      </c>
      <c r="R1088" s="6"/>
      <c r="S1088" s="6">
        <v>7500</v>
      </c>
      <c r="T1088" s="10">
        <f t="shared" si="66"/>
        <v>7500</v>
      </c>
      <c r="U1088" s="6"/>
      <c r="V1088" s="8">
        <v>-0.89675560337305038</v>
      </c>
      <c r="W1088" s="8">
        <v>-5.3850862024784085</v>
      </c>
      <c r="X1088" s="8">
        <f t="shared" si="63"/>
        <v>1.7889586245059945</v>
      </c>
      <c r="Y1088" s="6"/>
    </row>
    <row r="1089" spans="1:25" s="13" customFormat="1" x14ac:dyDescent="0.35">
      <c r="A1089" s="6" t="s">
        <v>25</v>
      </c>
      <c r="B1089" s="6" t="s">
        <v>3458</v>
      </c>
      <c r="C1089" s="6"/>
      <c r="D1089" s="6" t="s">
        <v>3760</v>
      </c>
      <c r="E1089" s="6">
        <v>3</v>
      </c>
      <c r="F1089" s="6">
        <v>33</v>
      </c>
      <c r="G1089" s="6" t="s">
        <v>4062</v>
      </c>
      <c r="H1089" s="6"/>
      <c r="I1089" s="8">
        <v>86.211634027777805</v>
      </c>
      <c r="J1089" s="8">
        <v>15.8018358333333</v>
      </c>
      <c r="K1089" s="6" t="s">
        <v>2610</v>
      </c>
      <c r="L1089" s="9">
        <v>43913</v>
      </c>
      <c r="M1089" s="6"/>
      <c r="N1089" s="6">
        <v>26</v>
      </c>
      <c r="O1089" s="6" t="s">
        <v>4280</v>
      </c>
      <c r="P1089" s="6"/>
      <c r="Q1089" s="6"/>
      <c r="R1089" s="6"/>
      <c r="S1089" s="6"/>
      <c r="T1089" s="6"/>
      <c r="U1089" s="6"/>
      <c r="V1089" s="8">
        <v>-1.4364020824432371</v>
      </c>
      <c r="W1089" s="8">
        <v>-8.0991782503128054</v>
      </c>
      <c r="X1089" s="27">
        <f t="shared" si="63"/>
        <v>3.3920384092330913</v>
      </c>
      <c r="Y1089" s="6"/>
    </row>
    <row r="1090" spans="1:25" s="13" customFormat="1" x14ac:dyDescent="0.35">
      <c r="A1090" s="6" t="s">
        <v>25</v>
      </c>
      <c r="B1090" s="7"/>
      <c r="C1090" s="6"/>
      <c r="D1090" s="6" t="s">
        <v>1196</v>
      </c>
      <c r="E1090" s="6">
        <v>3</v>
      </c>
      <c r="F1090" s="6">
        <v>32</v>
      </c>
      <c r="G1090" s="6" t="s">
        <v>1172</v>
      </c>
      <c r="H1090" s="6"/>
      <c r="I1090" s="8">
        <v>86.211634027777805</v>
      </c>
      <c r="J1090" s="8">
        <v>15.8018358333333</v>
      </c>
      <c r="K1090" s="6" t="s">
        <v>897</v>
      </c>
      <c r="L1090" s="9">
        <v>43913</v>
      </c>
      <c r="M1090" s="6"/>
      <c r="N1090" s="6">
        <v>26</v>
      </c>
      <c r="O1090" s="6" t="s">
        <v>4280</v>
      </c>
      <c r="P1090" s="6"/>
      <c r="Q1090" s="6"/>
      <c r="R1090" s="6">
        <v>0</v>
      </c>
      <c r="S1090" s="6">
        <v>0</v>
      </c>
      <c r="T1090" s="10">
        <f>AVERAGE(R1090:S1090)</f>
        <v>0</v>
      </c>
      <c r="U1090" s="6"/>
      <c r="V1090" s="8">
        <v>-4.0645832554817201</v>
      </c>
      <c r="W1090" s="8">
        <v>-24.723810424804689</v>
      </c>
      <c r="X1090" s="8">
        <f t="shared" ref="X1090:X1153" si="67">W1090-(8*V1090)</f>
        <v>7.792855619049071</v>
      </c>
      <c r="Y1090" s="6"/>
    </row>
    <row r="1091" spans="1:25" s="13" customFormat="1" x14ac:dyDescent="0.35">
      <c r="A1091" s="6" t="s">
        <v>25</v>
      </c>
      <c r="B1091" s="7"/>
      <c r="C1091" s="6"/>
      <c r="D1091" s="6" t="s">
        <v>1197</v>
      </c>
      <c r="E1091" s="6">
        <v>3</v>
      </c>
      <c r="F1091" s="6">
        <v>32</v>
      </c>
      <c r="G1091" s="6" t="s">
        <v>1172</v>
      </c>
      <c r="H1091" s="6"/>
      <c r="I1091" s="8">
        <v>86.211634027777805</v>
      </c>
      <c r="J1091" s="8">
        <v>15.8018358333333</v>
      </c>
      <c r="K1091" s="6" t="s">
        <v>390</v>
      </c>
      <c r="L1091" s="9">
        <v>43913</v>
      </c>
      <c r="M1091" s="6"/>
      <c r="N1091" s="6">
        <v>26</v>
      </c>
      <c r="O1091" s="6" t="s">
        <v>4280</v>
      </c>
      <c r="P1091" s="6"/>
      <c r="Q1091" s="6"/>
      <c r="R1091" s="6">
        <v>0</v>
      </c>
      <c r="S1091" s="6">
        <v>0</v>
      </c>
      <c r="T1091" s="10">
        <f>AVERAGE(R1091:S1091)</f>
        <v>0</v>
      </c>
      <c r="U1091" s="6"/>
      <c r="V1091" s="8">
        <v>-0.37029204486012474</v>
      </c>
      <c r="W1091" s="8">
        <v>-2.6027993988990783</v>
      </c>
      <c r="X1091" s="8">
        <f t="shared" si="67"/>
        <v>0.35953695998191959</v>
      </c>
      <c r="Y1091" s="6"/>
    </row>
    <row r="1092" spans="1:25" s="13" customFormat="1" x14ac:dyDescent="0.35">
      <c r="A1092" s="6" t="s">
        <v>25</v>
      </c>
      <c r="B1092" s="7"/>
      <c r="C1092" s="6"/>
      <c r="D1092" s="6" t="s">
        <v>1198</v>
      </c>
      <c r="E1092" s="6">
        <v>3</v>
      </c>
      <c r="F1092" s="6">
        <v>32</v>
      </c>
      <c r="G1092" s="6" t="s">
        <v>1172</v>
      </c>
      <c r="H1092" s="6"/>
      <c r="I1092" s="8">
        <v>86.211634027777805</v>
      </c>
      <c r="J1092" s="8">
        <v>15.8018358333333</v>
      </c>
      <c r="K1092" s="6" t="s">
        <v>1199</v>
      </c>
      <c r="L1092" s="9">
        <v>43913</v>
      </c>
      <c r="M1092" s="6"/>
      <c r="N1092" s="6">
        <v>26</v>
      </c>
      <c r="O1092" s="6" t="s">
        <v>4280</v>
      </c>
      <c r="P1092" s="6"/>
      <c r="Q1092" s="6"/>
      <c r="R1092" s="6">
        <v>0</v>
      </c>
      <c r="S1092" s="6">
        <v>0</v>
      </c>
      <c r="T1092" s="10">
        <f>AVERAGE(R1092:S1092)</f>
        <v>0</v>
      </c>
      <c r="U1092" s="6"/>
      <c r="V1092" s="8">
        <v>-1.2630163822889331</v>
      </c>
      <c r="W1092" s="8">
        <v>-11.5321107006073</v>
      </c>
      <c r="X1092" s="8">
        <f t="shared" si="67"/>
        <v>-1.4279796422958349</v>
      </c>
      <c r="Y1092" s="6"/>
    </row>
    <row r="1093" spans="1:25" s="13" customFormat="1" x14ac:dyDescent="0.35">
      <c r="A1093" s="6" t="s">
        <v>25</v>
      </c>
      <c r="B1093" s="6" t="s">
        <v>3459</v>
      </c>
      <c r="C1093" s="6"/>
      <c r="D1093" s="6" t="s">
        <v>3761</v>
      </c>
      <c r="E1093" s="6">
        <v>3</v>
      </c>
      <c r="F1093" s="6">
        <v>33</v>
      </c>
      <c r="G1093" s="6" t="s">
        <v>4063</v>
      </c>
      <c r="H1093" s="6"/>
      <c r="I1093" s="8">
        <v>86.189197986111097</v>
      </c>
      <c r="J1093" s="8">
        <v>15.473053055555599</v>
      </c>
      <c r="K1093" s="6" t="s">
        <v>2610</v>
      </c>
      <c r="L1093" s="9">
        <v>43914</v>
      </c>
      <c r="M1093" s="6"/>
      <c r="N1093" s="6">
        <v>26</v>
      </c>
      <c r="O1093" s="6" t="s">
        <v>4352</v>
      </c>
      <c r="P1093" s="6"/>
      <c r="Q1093" s="6"/>
      <c r="R1093" s="6"/>
      <c r="S1093" s="6"/>
      <c r="T1093" s="6"/>
      <c r="U1093" s="6"/>
      <c r="V1093" s="8">
        <v>-1.4889596700668339</v>
      </c>
      <c r="W1093" s="8">
        <v>-8.3710922193527217</v>
      </c>
      <c r="X1093" s="27">
        <f t="shared" si="67"/>
        <v>3.5405851411819498</v>
      </c>
      <c r="Y1093" s="6"/>
    </row>
    <row r="1094" spans="1:25" s="13" customFormat="1" x14ac:dyDescent="0.35">
      <c r="A1094" s="6" t="s">
        <v>25</v>
      </c>
      <c r="B1094" s="7"/>
      <c r="C1094" s="6"/>
      <c r="D1094" s="6" t="s">
        <v>1200</v>
      </c>
      <c r="E1094" s="6">
        <v>3</v>
      </c>
      <c r="F1094" s="6">
        <v>33</v>
      </c>
      <c r="G1094" s="6" t="s">
        <v>210</v>
      </c>
      <c r="H1094" s="6"/>
      <c r="I1094" s="8">
        <v>86.189197986111097</v>
      </c>
      <c r="J1094" s="8">
        <v>15.473053055555599</v>
      </c>
      <c r="K1094" s="6" t="s">
        <v>29</v>
      </c>
      <c r="L1094" s="9">
        <v>43914</v>
      </c>
      <c r="M1094" s="6"/>
      <c r="N1094" s="6">
        <v>26</v>
      </c>
      <c r="O1094" s="6" t="s">
        <v>4352</v>
      </c>
      <c r="P1094" s="6"/>
      <c r="Q1094" s="6"/>
      <c r="R1094" s="6">
        <v>0</v>
      </c>
      <c r="S1094" s="6">
        <v>10</v>
      </c>
      <c r="T1094" s="10">
        <f t="shared" ref="T1094:T1114" si="68">AVERAGE(R1094:S1094)</f>
        <v>5</v>
      </c>
      <c r="U1094" s="6"/>
      <c r="V1094" s="8">
        <v>-5.689063742256165</v>
      </c>
      <c r="W1094" s="8">
        <v>-45.440210540771481</v>
      </c>
      <c r="X1094" s="8">
        <f t="shared" si="67"/>
        <v>7.2299397277838295E-2</v>
      </c>
      <c r="Y1094" s="6"/>
    </row>
    <row r="1095" spans="1:25" s="13" customFormat="1" x14ac:dyDescent="0.35">
      <c r="A1095" s="6" t="s">
        <v>25</v>
      </c>
      <c r="B1095" s="7"/>
      <c r="C1095" s="6"/>
      <c r="D1095" s="6" t="s">
        <v>1201</v>
      </c>
      <c r="E1095" s="6">
        <v>3</v>
      </c>
      <c r="F1095" s="6">
        <v>33</v>
      </c>
      <c r="G1095" s="6" t="s">
        <v>210</v>
      </c>
      <c r="H1095" s="6"/>
      <c r="I1095" s="8">
        <v>86.189197986111097</v>
      </c>
      <c r="J1095" s="8">
        <v>15.473053055555599</v>
      </c>
      <c r="K1095" s="6" t="s">
        <v>29</v>
      </c>
      <c r="L1095" s="9">
        <v>43914</v>
      </c>
      <c r="M1095" s="6"/>
      <c r="N1095" s="6">
        <v>26</v>
      </c>
      <c r="O1095" s="6" t="s">
        <v>4352</v>
      </c>
      <c r="P1095" s="6"/>
      <c r="Q1095" s="6"/>
      <c r="R1095" s="6">
        <v>10</v>
      </c>
      <c r="S1095" s="6">
        <v>20</v>
      </c>
      <c r="T1095" s="10">
        <f t="shared" si="68"/>
        <v>15</v>
      </c>
      <c r="U1095" s="6"/>
      <c r="V1095" s="8">
        <v>-5.9231715651512156</v>
      </c>
      <c r="W1095" s="8">
        <v>-46.018434082031249</v>
      </c>
      <c r="X1095" s="8">
        <f t="shared" si="67"/>
        <v>1.366938439178476</v>
      </c>
      <c r="Y1095" s="6"/>
    </row>
    <row r="1096" spans="1:25" s="13" customFormat="1" x14ac:dyDescent="0.35">
      <c r="A1096" s="6" t="s">
        <v>25</v>
      </c>
      <c r="B1096" s="7"/>
      <c r="C1096" s="6"/>
      <c r="D1096" s="6" t="s">
        <v>1202</v>
      </c>
      <c r="E1096" s="6">
        <v>3</v>
      </c>
      <c r="F1096" s="6">
        <v>33</v>
      </c>
      <c r="G1096" s="6" t="s">
        <v>210</v>
      </c>
      <c r="H1096" s="6"/>
      <c r="I1096" s="8">
        <v>86.189197986111097</v>
      </c>
      <c r="J1096" s="8">
        <v>15.473053055555599</v>
      </c>
      <c r="K1096" s="6" t="s">
        <v>29</v>
      </c>
      <c r="L1096" s="9">
        <v>43914</v>
      </c>
      <c r="M1096" s="6"/>
      <c r="N1096" s="6">
        <v>26</v>
      </c>
      <c r="O1096" s="6" t="s">
        <v>4352</v>
      </c>
      <c r="P1096" s="6"/>
      <c r="Q1096" s="6"/>
      <c r="R1096" s="6">
        <v>20</v>
      </c>
      <c r="S1096" s="6">
        <v>30</v>
      </c>
      <c r="T1096" s="10">
        <f t="shared" si="68"/>
        <v>25</v>
      </c>
      <c r="U1096" s="6"/>
      <c r="V1096" s="8">
        <v>-5.9410283142089853</v>
      </c>
      <c r="W1096" s="8">
        <v>-46.381501483917233</v>
      </c>
      <c r="X1096" s="8">
        <f t="shared" si="67"/>
        <v>1.1467250297546485</v>
      </c>
      <c r="Y1096" s="6"/>
    </row>
    <row r="1097" spans="1:25" s="13" customFormat="1" x14ac:dyDescent="0.35">
      <c r="A1097" s="6" t="s">
        <v>25</v>
      </c>
      <c r="B1097" s="7"/>
      <c r="C1097" s="6"/>
      <c r="D1097" s="6" t="s">
        <v>1203</v>
      </c>
      <c r="E1097" s="6">
        <v>3</v>
      </c>
      <c r="F1097" s="6">
        <v>33</v>
      </c>
      <c r="G1097" s="6" t="s">
        <v>210</v>
      </c>
      <c r="H1097" s="6"/>
      <c r="I1097" s="8">
        <v>86.189197986111097</v>
      </c>
      <c r="J1097" s="8">
        <v>15.473053055555599</v>
      </c>
      <c r="K1097" s="6" t="s">
        <v>29</v>
      </c>
      <c r="L1097" s="9">
        <v>43914</v>
      </c>
      <c r="M1097" s="6"/>
      <c r="N1097" s="6">
        <v>26</v>
      </c>
      <c r="O1097" s="6" t="s">
        <v>4352</v>
      </c>
      <c r="P1097" s="6"/>
      <c r="Q1097" s="6"/>
      <c r="R1097" s="6">
        <v>30</v>
      </c>
      <c r="S1097" s="6">
        <v>40</v>
      </c>
      <c r="T1097" s="10">
        <f t="shared" si="68"/>
        <v>35</v>
      </c>
      <c r="U1097" s="6"/>
      <c r="V1097" s="8">
        <v>-5.6719386440277102</v>
      </c>
      <c r="W1097" s="8">
        <v>-43.9382264175415</v>
      </c>
      <c r="X1097" s="8">
        <f t="shared" si="67"/>
        <v>1.4372827346801813</v>
      </c>
      <c r="Y1097" s="6"/>
    </row>
    <row r="1098" spans="1:25" s="13" customFormat="1" x14ac:dyDescent="0.35">
      <c r="A1098" s="6" t="s">
        <v>25</v>
      </c>
      <c r="B1098" s="7"/>
      <c r="C1098" s="6"/>
      <c r="D1098" s="6" t="s">
        <v>1204</v>
      </c>
      <c r="E1098" s="6">
        <v>3</v>
      </c>
      <c r="F1098" s="6">
        <v>33</v>
      </c>
      <c r="G1098" s="6" t="s">
        <v>210</v>
      </c>
      <c r="H1098" s="6"/>
      <c r="I1098" s="8">
        <v>86.189197986111097</v>
      </c>
      <c r="J1098" s="8">
        <v>15.473053055555599</v>
      </c>
      <c r="K1098" s="6" t="s">
        <v>29</v>
      </c>
      <c r="L1098" s="9">
        <v>43914</v>
      </c>
      <c r="M1098" s="6"/>
      <c r="N1098" s="6">
        <v>26</v>
      </c>
      <c r="O1098" s="6" t="s">
        <v>4352</v>
      </c>
      <c r="P1098" s="6"/>
      <c r="Q1098" s="6"/>
      <c r="R1098" s="6">
        <v>40</v>
      </c>
      <c r="S1098" s="6">
        <v>50</v>
      </c>
      <c r="T1098" s="10">
        <f t="shared" si="68"/>
        <v>45</v>
      </c>
      <c r="U1098" s="6"/>
      <c r="V1098" s="8">
        <v>-5.1397513290405277</v>
      </c>
      <c r="W1098" s="8">
        <v>-39.636335914611813</v>
      </c>
      <c r="X1098" s="8">
        <f t="shared" si="67"/>
        <v>1.4816747177124086</v>
      </c>
      <c r="Y1098" s="6"/>
    </row>
    <row r="1099" spans="1:25" s="13" customFormat="1" x14ac:dyDescent="0.35">
      <c r="A1099" s="6" t="s">
        <v>25</v>
      </c>
      <c r="B1099" s="7"/>
      <c r="C1099" s="6"/>
      <c r="D1099" s="6" t="s">
        <v>1205</v>
      </c>
      <c r="E1099" s="6">
        <v>3</v>
      </c>
      <c r="F1099" s="6">
        <v>33</v>
      </c>
      <c r="G1099" s="6" t="s">
        <v>210</v>
      </c>
      <c r="H1099" s="6"/>
      <c r="I1099" s="8">
        <v>86.189197986111097</v>
      </c>
      <c r="J1099" s="8">
        <v>15.473053055555599</v>
      </c>
      <c r="K1099" s="6" t="s">
        <v>29</v>
      </c>
      <c r="L1099" s="9">
        <v>43914</v>
      </c>
      <c r="M1099" s="6"/>
      <c r="N1099" s="6">
        <v>26</v>
      </c>
      <c r="O1099" s="6" t="s">
        <v>4352</v>
      </c>
      <c r="P1099" s="6"/>
      <c r="Q1099" s="6"/>
      <c r="R1099" s="6">
        <v>50</v>
      </c>
      <c r="S1099" s="6">
        <v>60</v>
      </c>
      <c r="T1099" s="10">
        <f t="shared" si="68"/>
        <v>55</v>
      </c>
      <c r="U1099" s="6"/>
      <c r="V1099" s="8">
        <v>-4.621206283187866</v>
      </c>
      <c r="W1099" s="8">
        <v>-34.32253936767578</v>
      </c>
      <c r="X1099" s="8">
        <f t="shared" si="67"/>
        <v>2.6471108978271474</v>
      </c>
      <c r="Y1099" s="6"/>
    </row>
    <row r="1100" spans="1:25" s="13" customFormat="1" x14ac:dyDescent="0.35">
      <c r="A1100" s="6" t="s">
        <v>25</v>
      </c>
      <c r="B1100" s="7"/>
      <c r="C1100" s="6"/>
      <c r="D1100" s="6" t="s">
        <v>1206</v>
      </c>
      <c r="E1100" s="6">
        <v>3</v>
      </c>
      <c r="F1100" s="6">
        <v>33</v>
      </c>
      <c r="G1100" s="6" t="s">
        <v>210</v>
      </c>
      <c r="H1100" s="6"/>
      <c r="I1100" s="8">
        <v>86.189197986111097</v>
      </c>
      <c r="J1100" s="8">
        <v>15.473053055555599</v>
      </c>
      <c r="K1100" s="6" t="s">
        <v>29</v>
      </c>
      <c r="L1100" s="9">
        <v>43914</v>
      </c>
      <c r="M1100" s="6"/>
      <c r="N1100" s="6">
        <v>26</v>
      </c>
      <c r="O1100" s="6" t="s">
        <v>4352</v>
      </c>
      <c r="P1100" s="6"/>
      <c r="Q1100" s="6"/>
      <c r="R1100" s="6">
        <v>60</v>
      </c>
      <c r="S1100" s="6">
        <v>70</v>
      </c>
      <c r="T1100" s="10">
        <f t="shared" si="68"/>
        <v>65</v>
      </c>
      <c r="U1100" s="6"/>
      <c r="V1100" s="8">
        <v>-4.0577096372604373</v>
      </c>
      <c r="W1100" s="8">
        <v>-31.396446308135985</v>
      </c>
      <c r="X1100" s="8">
        <f t="shared" si="67"/>
        <v>1.0652307899475133</v>
      </c>
      <c r="Y1100" s="6"/>
    </row>
    <row r="1101" spans="1:25" s="13" customFormat="1" x14ac:dyDescent="0.35">
      <c r="A1101" s="6" t="s">
        <v>25</v>
      </c>
      <c r="B1101" s="7"/>
      <c r="C1101" s="6"/>
      <c r="D1101" s="6" t="s">
        <v>1207</v>
      </c>
      <c r="E1101" s="6">
        <v>3</v>
      </c>
      <c r="F1101" s="6">
        <v>33</v>
      </c>
      <c r="G1101" s="6" t="s">
        <v>210</v>
      </c>
      <c r="H1101" s="6"/>
      <c r="I1101" s="8">
        <v>86.189197986111097</v>
      </c>
      <c r="J1101" s="8">
        <v>15.473053055555599</v>
      </c>
      <c r="K1101" s="6" t="s">
        <v>29</v>
      </c>
      <c r="L1101" s="9">
        <v>43914</v>
      </c>
      <c r="M1101" s="6"/>
      <c r="N1101" s="6">
        <v>26</v>
      </c>
      <c r="O1101" s="6" t="s">
        <v>4352</v>
      </c>
      <c r="P1101" s="6"/>
      <c r="Q1101" s="6"/>
      <c r="R1101" s="6">
        <v>70</v>
      </c>
      <c r="S1101" s="6">
        <v>80</v>
      </c>
      <c r="T1101" s="10">
        <f t="shared" si="68"/>
        <v>75</v>
      </c>
      <c r="U1101" s="6"/>
      <c r="V1101" s="8">
        <v>-3.6711267798900606</v>
      </c>
      <c r="W1101" s="8">
        <v>-28.193772178649901</v>
      </c>
      <c r="X1101" s="8">
        <f t="shared" si="67"/>
        <v>1.175242060470584</v>
      </c>
      <c r="Y1101" s="6"/>
    </row>
    <row r="1102" spans="1:25" s="13" customFormat="1" x14ac:dyDescent="0.35">
      <c r="A1102" s="6" t="s">
        <v>25</v>
      </c>
      <c r="B1102" s="7"/>
      <c r="C1102" s="6"/>
      <c r="D1102" s="6" t="s">
        <v>1208</v>
      </c>
      <c r="E1102" s="6">
        <v>3</v>
      </c>
      <c r="F1102" s="6">
        <v>33</v>
      </c>
      <c r="G1102" s="6" t="s">
        <v>210</v>
      </c>
      <c r="H1102" s="6"/>
      <c r="I1102" s="8">
        <v>86.189197986111097</v>
      </c>
      <c r="J1102" s="8">
        <v>15.473053055555599</v>
      </c>
      <c r="K1102" s="6" t="s">
        <v>29</v>
      </c>
      <c r="L1102" s="9">
        <v>43914</v>
      </c>
      <c r="M1102" s="6"/>
      <c r="N1102" s="6">
        <v>26</v>
      </c>
      <c r="O1102" s="6" t="s">
        <v>4352</v>
      </c>
      <c r="P1102" s="6"/>
      <c r="Q1102" s="6"/>
      <c r="R1102" s="6">
        <v>80</v>
      </c>
      <c r="S1102" s="6">
        <v>88</v>
      </c>
      <c r="T1102" s="10">
        <f t="shared" si="68"/>
        <v>84</v>
      </c>
      <c r="U1102" s="6"/>
      <c r="V1102" s="8">
        <v>-3.7826010812282562</v>
      </c>
      <c r="W1102" s="8">
        <v>-29.566475919723509</v>
      </c>
      <c r="X1102" s="8">
        <f t="shared" si="67"/>
        <v>0.69433273010254126</v>
      </c>
      <c r="Y1102" s="6"/>
    </row>
    <row r="1103" spans="1:25" s="13" customFormat="1" x14ac:dyDescent="0.35">
      <c r="A1103" s="6" t="s">
        <v>25</v>
      </c>
      <c r="B1103" s="7"/>
      <c r="C1103" s="6"/>
      <c r="D1103" s="6" t="s">
        <v>1209</v>
      </c>
      <c r="E1103" s="6">
        <v>3</v>
      </c>
      <c r="F1103" s="6">
        <v>33</v>
      </c>
      <c r="G1103" s="6" t="s">
        <v>210</v>
      </c>
      <c r="H1103" s="6"/>
      <c r="I1103" s="8">
        <v>86.189197986111097</v>
      </c>
      <c r="J1103" s="8">
        <v>15.473053055555599</v>
      </c>
      <c r="K1103" s="6" t="s">
        <v>29</v>
      </c>
      <c r="L1103" s="9">
        <v>43914</v>
      </c>
      <c r="M1103" s="6"/>
      <c r="N1103" s="6">
        <v>26</v>
      </c>
      <c r="O1103" s="6" t="s">
        <v>4352</v>
      </c>
      <c r="P1103" s="6"/>
      <c r="Q1103" s="6"/>
      <c r="R1103" s="6">
        <v>88</v>
      </c>
      <c r="S1103" s="6">
        <v>96</v>
      </c>
      <c r="T1103" s="10">
        <f t="shared" si="68"/>
        <v>92</v>
      </c>
      <c r="U1103" s="6"/>
      <c r="V1103" s="8">
        <v>-3.7321273952484129</v>
      </c>
      <c r="W1103" s="8">
        <v>-29.267555980682371</v>
      </c>
      <c r="X1103" s="8">
        <f t="shared" si="67"/>
        <v>0.58946318130493225</v>
      </c>
      <c r="Y1103" s="6"/>
    </row>
    <row r="1104" spans="1:25" s="13" customFormat="1" x14ac:dyDescent="0.35">
      <c r="A1104" s="6" t="s">
        <v>25</v>
      </c>
      <c r="B1104" s="7"/>
      <c r="C1104" s="6"/>
      <c r="D1104" s="6" t="s">
        <v>1210</v>
      </c>
      <c r="E1104" s="6">
        <v>3</v>
      </c>
      <c r="F1104" s="6">
        <v>33</v>
      </c>
      <c r="G1104" s="6" t="s">
        <v>210</v>
      </c>
      <c r="H1104" s="6"/>
      <c r="I1104" s="8">
        <v>86.189197986111097</v>
      </c>
      <c r="J1104" s="8">
        <v>15.473053055555599</v>
      </c>
      <c r="K1104" s="6" t="s">
        <v>29</v>
      </c>
      <c r="L1104" s="9">
        <v>43914</v>
      </c>
      <c r="M1104" s="6"/>
      <c r="N1104" s="6">
        <v>26</v>
      </c>
      <c r="O1104" s="6" t="s">
        <v>4352</v>
      </c>
      <c r="P1104" s="6"/>
      <c r="Q1104" s="6"/>
      <c r="R1104" s="6">
        <v>96</v>
      </c>
      <c r="S1104" s="6">
        <v>106</v>
      </c>
      <c r="T1104" s="10">
        <f t="shared" si="68"/>
        <v>101</v>
      </c>
      <c r="U1104" s="6"/>
      <c r="V1104" s="8">
        <v>-3.0237881308555603</v>
      </c>
      <c r="W1104" s="8">
        <v>-23.225139646530153</v>
      </c>
      <c r="X1104" s="8">
        <f t="shared" si="67"/>
        <v>0.96516540031432996</v>
      </c>
      <c r="Y1104" s="6"/>
    </row>
    <row r="1105" spans="1:25" s="13" customFormat="1" x14ac:dyDescent="0.35">
      <c r="A1105" s="6" t="s">
        <v>25</v>
      </c>
      <c r="B1105" s="7"/>
      <c r="C1105" s="6"/>
      <c r="D1105" s="6" t="s">
        <v>1211</v>
      </c>
      <c r="E1105" s="6">
        <v>3</v>
      </c>
      <c r="F1105" s="6">
        <v>33</v>
      </c>
      <c r="G1105" s="6" t="s">
        <v>210</v>
      </c>
      <c r="H1105" s="6"/>
      <c r="I1105" s="8">
        <v>86.189197986111097</v>
      </c>
      <c r="J1105" s="8">
        <v>15.473053055555599</v>
      </c>
      <c r="K1105" s="6" t="s">
        <v>29</v>
      </c>
      <c r="L1105" s="9">
        <v>43914</v>
      </c>
      <c r="M1105" s="6"/>
      <c r="N1105" s="6">
        <v>26</v>
      </c>
      <c r="O1105" s="6" t="s">
        <v>4352</v>
      </c>
      <c r="P1105" s="6"/>
      <c r="Q1105" s="6"/>
      <c r="R1105" s="6">
        <v>106</v>
      </c>
      <c r="S1105" s="6">
        <v>116</v>
      </c>
      <c r="T1105" s="10">
        <f t="shared" si="68"/>
        <v>111</v>
      </c>
      <c r="U1105" s="6"/>
      <c r="V1105" s="8">
        <v>-1.9395460669517515</v>
      </c>
      <c r="W1105" s="8">
        <v>-13.911396883964539</v>
      </c>
      <c r="X1105" s="8">
        <f t="shared" si="67"/>
        <v>1.604971651649473</v>
      </c>
      <c r="Y1105" s="6"/>
    </row>
    <row r="1106" spans="1:25" s="13" customFormat="1" x14ac:dyDescent="0.35">
      <c r="A1106" s="6" t="s">
        <v>25</v>
      </c>
      <c r="B1106" s="7"/>
      <c r="C1106" s="6"/>
      <c r="D1106" s="6" t="s">
        <v>1212</v>
      </c>
      <c r="E1106" s="6">
        <v>3</v>
      </c>
      <c r="F1106" s="6">
        <v>33</v>
      </c>
      <c r="G1106" s="6" t="s">
        <v>210</v>
      </c>
      <c r="H1106" s="6"/>
      <c r="I1106" s="8">
        <v>86.189197986111097</v>
      </c>
      <c r="J1106" s="8">
        <v>15.473053055555599</v>
      </c>
      <c r="K1106" s="6" t="s">
        <v>29</v>
      </c>
      <c r="L1106" s="9">
        <v>43914</v>
      </c>
      <c r="M1106" s="6"/>
      <c r="N1106" s="6">
        <v>26</v>
      </c>
      <c r="O1106" s="6" t="s">
        <v>4352</v>
      </c>
      <c r="P1106" s="6"/>
      <c r="Q1106" s="6"/>
      <c r="R1106" s="6">
        <v>116</v>
      </c>
      <c r="S1106" s="6">
        <v>126</v>
      </c>
      <c r="T1106" s="10">
        <f t="shared" si="68"/>
        <v>121</v>
      </c>
      <c r="U1106" s="6"/>
      <c r="V1106" s="8">
        <v>-0.79963520396947896</v>
      </c>
      <c r="W1106" s="8">
        <v>-6.2879630098454653</v>
      </c>
      <c r="X1106" s="8">
        <f t="shared" si="67"/>
        <v>0.10911862191036636</v>
      </c>
      <c r="Y1106" s="6"/>
    </row>
    <row r="1107" spans="1:25" s="13" customFormat="1" x14ac:dyDescent="0.35">
      <c r="A1107" s="6" t="s">
        <v>25</v>
      </c>
      <c r="B1107" s="7"/>
      <c r="C1107" s="6"/>
      <c r="D1107" s="6" t="s">
        <v>1213</v>
      </c>
      <c r="E1107" s="6">
        <v>3</v>
      </c>
      <c r="F1107" s="6">
        <v>33</v>
      </c>
      <c r="G1107" s="6" t="s">
        <v>210</v>
      </c>
      <c r="H1107" s="6"/>
      <c r="I1107" s="8">
        <v>86.189197986111097</v>
      </c>
      <c r="J1107" s="8">
        <v>15.473053055555599</v>
      </c>
      <c r="K1107" s="6" t="s">
        <v>29</v>
      </c>
      <c r="L1107" s="9">
        <v>43914</v>
      </c>
      <c r="M1107" s="6"/>
      <c r="N1107" s="6">
        <v>26</v>
      </c>
      <c r="O1107" s="6" t="s">
        <v>4352</v>
      </c>
      <c r="P1107" s="6"/>
      <c r="Q1107" s="6"/>
      <c r="R1107" s="6">
        <v>126</v>
      </c>
      <c r="S1107" s="6">
        <v>136</v>
      </c>
      <c r="T1107" s="10">
        <f t="shared" si="68"/>
        <v>131</v>
      </c>
      <c r="U1107" s="6"/>
      <c r="V1107" s="8">
        <v>1.0936264247179031</v>
      </c>
      <c r="W1107" s="8">
        <v>8.009632387161254</v>
      </c>
      <c r="X1107" s="8">
        <f t="shared" si="67"/>
        <v>-0.73937901058197042</v>
      </c>
      <c r="Y1107" s="6"/>
    </row>
    <row r="1108" spans="1:25" s="13" customFormat="1" x14ac:dyDescent="0.35">
      <c r="A1108" s="6" t="s">
        <v>25</v>
      </c>
      <c r="B1108" s="7"/>
      <c r="C1108" s="6"/>
      <c r="D1108" s="6" t="s">
        <v>1214</v>
      </c>
      <c r="E1108" s="6">
        <v>3</v>
      </c>
      <c r="F1108" s="6">
        <v>33</v>
      </c>
      <c r="G1108" s="6" t="s">
        <v>210</v>
      </c>
      <c r="H1108" s="6"/>
      <c r="I1108" s="8">
        <v>86.189197986111097</v>
      </c>
      <c r="J1108" s="8">
        <v>15.473053055555599</v>
      </c>
      <c r="K1108" s="6" t="s">
        <v>29</v>
      </c>
      <c r="L1108" s="9">
        <v>43914</v>
      </c>
      <c r="M1108" s="6"/>
      <c r="N1108" s="6">
        <v>26</v>
      </c>
      <c r="O1108" s="6" t="s">
        <v>4352</v>
      </c>
      <c r="P1108" s="6"/>
      <c r="Q1108" s="6"/>
      <c r="R1108" s="6">
        <v>136</v>
      </c>
      <c r="S1108" s="6">
        <v>146</v>
      </c>
      <c r="T1108" s="10">
        <f t="shared" si="68"/>
        <v>141</v>
      </c>
      <c r="U1108" s="6"/>
      <c r="V1108" s="8">
        <v>0.63277025209665283</v>
      </c>
      <c r="W1108" s="8">
        <v>4.8602906799316408</v>
      </c>
      <c r="X1108" s="8">
        <f t="shared" si="67"/>
        <v>-0.20187133684158187</v>
      </c>
      <c r="Y1108" s="6"/>
    </row>
    <row r="1109" spans="1:25" s="13" customFormat="1" x14ac:dyDescent="0.35">
      <c r="A1109" s="6" t="s">
        <v>25</v>
      </c>
      <c r="B1109" s="7"/>
      <c r="C1109" s="6"/>
      <c r="D1109" s="6" t="s">
        <v>1215</v>
      </c>
      <c r="E1109" s="6">
        <v>3</v>
      </c>
      <c r="F1109" s="6">
        <v>33</v>
      </c>
      <c r="G1109" s="6" t="s">
        <v>210</v>
      </c>
      <c r="H1109" s="6"/>
      <c r="I1109" s="8">
        <v>86.189197986111097</v>
      </c>
      <c r="J1109" s="8">
        <v>15.473053055555599</v>
      </c>
      <c r="K1109" s="6" t="s">
        <v>29</v>
      </c>
      <c r="L1109" s="9">
        <v>43914</v>
      </c>
      <c r="M1109" s="6"/>
      <c r="N1109" s="6">
        <v>26</v>
      </c>
      <c r="O1109" s="6" t="s">
        <v>4352</v>
      </c>
      <c r="P1109" s="6"/>
      <c r="Q1109" s="6"/>
      <c r="R1109" s="6">
        <v>146</v>
      </c>
      <c r="S1109" s="6">
        <v>156</v>
      </c>
      <c r="T1109" s="10">
        <f t="shared" si="68"/>
        <v>151</v>
      </c>
      <c r="U1109" s="6"/>
      <c r="V1109" s="8">
        <v>0.28056497045159373</v>
      </c>
      <c r="W1109" s="8">
        <v>1.1266525354385375</v>
      </c>
      <c r="X1109" s="8">
        <f t="shared" si="67"/>
        <v>-1.1178672281742124</v>
      </c>
      <c r="Y1109" s="6"/>
    </row>
    <row r="1110" spans="1:25" s="13" customFormat="1" x14ac:dyDescent="0.35">
      <c r="A1110" s="6" t="s">
        <v>25</v>
      </c>
      <c r="B1110" s="7"/>
      <c r="C1110" s="6"/>
      <c r="D1110" s="6" t="s">
        <v>1216</v>
      </c>
      <c r="E1110" s="6">
        <v>3</v>
      </c>
      <c r="F1110" s="6">
        <v>33</v>
      </c>
      <c r="G1110" s="6" t="s">
        <v>210</v>
      </c>
      <c r="H1110" s="6"/>
      <c r="I1110" s="8">
        <v>86.189197986111097</v>
      </c>
      <c r="J1110" s="8">
        <v>15.473053055555599</v>
      </c>
      <c r="K1110" s="6" t="s">
        <v>29</v>
      </c>
      <c r="L1110" s="9">
        <v>43914</v>
      </c>
      <c r="M1110" s="6"/>
      <c r="N1110" s="6">
        <v>26</v>
      </c>
      <c r="O1110" s="6" t="s">
        <v>4352</v>
      </c>
      <c r="P1110" s="6"/>
      <c r="Q1110" s="6"/>
      <c r="R1110" s="6">
        <v>166</v>
      </c>
      <c r="S1110" s="6">
        <v>176</v>
      </c>
      <c r="T1110" s="10">
        <f t="shared" si="68"/>
        <v>171</v>
      </c>
      <c r="U1110" s="6"/>
      <c r="V1110" s="8">
        <v>-0.18900069650709622</v>
      </c>
      <c r="W1110" s="8">
        <v>-1.9395887918472281</v>
      </c>
      <c r="X1110" s="8">
        <f t="shared" si="67"/>
        <v>-0.42758321979045832</v>
      </c>
      <c r="Y1110" s="6"/>
    </row>
    <row r="1111" spans="1:25" s="13" customFormat="1" x14ac:dyDescent="0.35">
      <c r="A1111" s="6" t="s">
        <v>25</v>
      </c>
      <c r="B1111" s="7"/>
      <c r="C1111" s="6"/>
      <c r="D1111" s="6" t="s">
        <v>1217</v>
      </c>
      <c r="E1111" s="6">
        <v>3</v>
      </c>
      <c r="F1111" s="6">
        <v>33</v>
      </c>
      <c r="G1111" s="6" t="s">
        <v>210</v>
      </c>
      <c r="H1111" s="6"/>
      <c r="I1111" s="8">
        <v>86.189197986111097</v>
      </c>
      <c r="J1111" s="8">
        <v>15.473053055555599</v>
      </c>
      <c r="K1111" s="6" t="s">
        <v>29</v>
      </c>
      <c r="L1111" s="9">
        <v>43914</v>
      </c>
      <c r="M1111" s="6"/>
      <c r="N1111" s="6">
        <v>26</v>
      </c>
      <c r="O1111" s="6" t="s">
        <v>4352</v>
      </c>
      <c r="P1111" s="6"/>
      <c r="Q1111" s="6"/>
      <c r="R1111" s="6">
        <v>176</v>
      </c>
      <c r="S1111" s="6">
        <v>186</v>
      </c>
      <c r="T1111" s="10">
        <f t="shared" si="68"/>
        <v>181</v>
      </c>
      <c r="U1111" s="6"/>
      <c r="V1111" s="8">
        <v>-4.3860317488014618E-2</v>
      </c>
      <c r="W1111" s="8">
        <v>-0.79560110664367678</v>
      </c>
      <c r="X1111" s="8">
        <f t="shared" si="67"/>
        <v>-0.44471856673955984</v>
      </c>
      <c r="Y1111" s="6"/>
    </row>
    <row r="1112" spans="1:25" s="13" customFormat="1" x14ac:dyDescent="0.35">
      <c r="A1112" s="6" t="s">
        <v>25</v>
      </c>
      <c r="B1112" s="7"/>
      <c r="C1112" s="6"/>
      <c r="D1112" s="6" t="s">
        <v>1218</v>
      </c>
      <c r="E1112" s="6">
        <v>3</v>
      </c>
      <c r="F1112" s="6">
        <v>33</v>
      </c>
      <c r="G1112" s="6" t="s">
        <v>210</v>
      </c>
      <c r="H1112" s="6"/>
      <c r="I1112" s="8">
        <v>86.189197986111097</v>
      </c>
      <c r="J1112" s="8">
        <v>15.473053055555599</v>
      </c>
      <c r="K1112" s="6" t="s">
        <v>29</v>
      </c>
      <c r="L1112" s="9">
        <v>43914</v>
      </c>
      <c r="M1112" s="6"/>
      <c r="N1112" s="6">
        <v>26</v>
      </c>
      <c r="O1112" s="6" t="s">
        <v>4352</v>
      </c>
      <c r="P1112" s="6"/>
      <c r="Q1112" s="6"/>
      <c r="R1112" s="6">
        <v>186</v>
      </c>
      <c r="S1112" s="6">
        <v>196</v>
      </c>
      <c r="T1112" s="10">
        <f t="shared" si="68"/>
        <v>191</v>
      </c>
      <c r="U1112" s="6"/>
      <c r="V1112" s="8">
        <v>0.26017106525897971</v>
      </c>
      <c r="W1112" s="8">
        <v>0.80485367488861081</v>
      </c>
      <c r="X1112" s="8">
        <f t="shared" si="67"/>
        <v>-1.2765148471832268</v>
      </c>
      <c r="Y1112" s="6"/>
    </row>
    <row r="1113" spans="1:25" s="13" customFormat="1" x14ac:dyDescent="0.35">
      <c r="A1113" s="6" t="s">
        <v>25</v>
      </c>
      <c r="B1113" s="7"/>
      <c r="C1113" s="6"/>
      <c r="D1113" s="6" t="s">
        <v>1219</v>
      </c>
      <c r="E1113" s="6">
        <v>3</v>
      </c>
      <c r="F1113" s="6">
        <v>33</v>
      </c>
      <c r="G1113" s="6" t="s">
        <v>210</v>
      </c>
      <c r="H1113" s="6"/>
      <c r="I1113" s="8">
        <v>86.189197986111097</v>
      </c>
      <c r="J1113" s="8">
        <v>15.473053055555599</v>
      </c>
      <c r="K1113" s="6" t="s">
        <v>29</v>
      </c>
      <c r="L1113" s="9">
        <v>43914</v>
      </c>
      <c r="M1113" s="6"/>
      <c r="N1113" s="6">
        <v>26</v>
      </c>
      <c r="O1113" s="6" t="s">
        <v>4352</v>
      </c>
      <c r="P1113" s="6"/>
      <c r="Q1113" s="6"/>
      <c r="R1113" s="6">
        <v>196</v>
      </c>
      <c r="S1113" s="6">
        <v>206</v>
      </c>
      <c r="T1113" s="10">
        <f t="shared" si="68"/>
        <v>201</v>
      </c>
      <c r="U1113" s="6"/>
      <c r="V1113" s="8">
        <v>0.42557109909057589</v>
      </c>
      <c r="W1113" s="8">
        <v>2.1146598014831559</v>
      </c>
      <c r="X1113" s="8">
        <f t="shared" si="67"/>
        <v>-1.2899089912414512</v>
      </c>
      <c r="Y1113" s="6"/>
    </row>
    <row r="1114" spans="1:25" s="13" customFormat="1" x14ac:dyDescent="0.35">
      <c r="A1114" s="6" t="s">
        <v>25</v>
      </c>
      <c r="B1114" s="7"/>
      <c r="C1114" s="6"/>
      <c r="D1114" s="6" t="s">
        <v>1220</v>
      </c>
      <c r="E1114" s="6">
        <v>3</v>
      </c>
      <c r="F1114" s="6">
        <v>33</v>
      </c>
      <c r="G1114" s="6" t="s">
        <v>1221</v>
      </c>
      <c r="H1114" s="6"/>
      <c r="I1114" s="8">
        <v>86.189197986111097</v>
      </c>
      <c r="J1114" s="8">
        <v>15.473053055555599</v>
      </c>
      <c r="K1114" s="6" t="s">
        <v>390</v>
      </c>
      <c r="L1114" s="9">
        <v>43914</v>
      </c>
      <c r="M1114" s="6"/>
      <c r="N1114" s="6">
        <v>26</v>
      </c>
      <c r="O1114" s="6" t="s">
        <v>4352</v>
      </c>
      <c r="P1114" s="6"/>
      <c r="Q1114" s="6"/>
      <c r="R1114" s="6">
        <v>0</v>
      </c>
      <c r="S1114" s="6">
        <v>0</v>
      </c>
      <c r="T1114" s="10">
        <f t="shared" si="68"/>
        <v>0</v>
      </c>
      <c r="U1114" s="6"/>
      <c r="V1114" s="8">
        <v>-1.944051567053795</v>
      </c>
      <c r="W1114" s="8">
        <v>-13.217919236183166</v>
      </c>
      <c r="X1114" s="8">
        <f t="shared" si="67"/>
        <v>2.3344933002471944</v>
      </c>
      <c r="Y1114" s="6"/>
    </row>
    <row r="1115" spans="1:25" s="13" customFormat="1" x14ac:dyDescent="0.35">
      <c r="A1115" s="6" t="s">
        <v>25</v>
      </c>
      <c r="B1115" s="6" t="s">
        <v>3460</v>
      </c>
      <c r="C1115" s="6"/>
      <c r="D1115" s="6" t="s">
        <v>3762</v>
      </c>
      <c r="E1115" s="6">
        <v>3</v>
      </c>
      <c r="F1115" s="6">
        <v>33</v>
      </c>
      <c r="G1115" s="6" t="s">
        <v>4064</v>
      </c>
      <c r="H1115" s="6"/>
      <c r="I1115" s="8">
        <v>86.113709</v>
      </c>
      <c r="J1115" s="8">
        <v>13.978304</v>
      </c>
      <c r="K1115" s="6" t="s">
        <v>2610</v>
      </c>
      <c r="L1115" s="9">
        <v>43915</v>
      </c>
      <c r="M1115" s="6"/>
      <c r="N1115" s="6">
        <v>26</v>
      </c>
      <c r="O1115" s="6" t="s">
        <v>4304</v>
      </c>
      <c r="P1115" s="6"/>
      <c r="Q1115" s="6"/>
      <c r="R1115" s="6"/>
      <c r="S1115" s="6"/>
      <c r="T1115" s="6"/>
      <c r="U1115" s="6"/>
      <c r="V1115" s="8">
        <v>-1.497627973556519</v>
      </c>
      <c r="W1115" s="8">
        <v>-8.5770782766342162</v>
      </c>
      <c r="X1115" s="27">
        <f t="shared" si="67"/>
        <v>3.4039455118179358</v>
      </c>
      <c r="Y1115" s="6"/>
    </row>
    <row r="1116" spans="1:25" s="13" customFormat="1" x14ac:dyDescent="0.35">
      <c r="A1116" s="6" t="s">
        <v>25</v>
      </c>
      <c r="B1116" s="6" t="s">
        <v>2860</v>
      </c>
      <c r="C1116" s="6"/>
      <c r="D1116" s="6" t="s">
        <v>3135</v>
      </c>
      <c r="E1116" s="6">
        <v>3</v>
      </c>
      <c r="F1116" s="6">
        <v>33</v>
      </c>
      <c r="G1116" s="6" t="s">
        <v>3314</v>
      </c>
      <c r="H1116" s="6"/>
      <c r="I1116" s="8">
        <v>86.113709</v>
      </c>
      <c r="J1116" s="8">
        <v>13.978304</v>
      </c>
      <c r="K1116" s="6" t="s">
        <v>198</v>
      </c>
      <c r="L1116" s="9">
        <v>43915</v>
      </c>
      <c r="M1116" s="18">
        <v>0.47916666666666669</v>
      </c>
      <c r="N1116" s="6">
        <v>26</v>
      </c>
      <c r="O1116" s="6" t="s">
        <v>4304</v>
      </c>
      <c r="P1116" s="6"/>
      <c r="Q1116" s="6"/>
      <c r="R1116" s="6">
        <v>7.5</v>
      </c>
      <c r="S1116" s="6">
        <v>4.5</v>
      </c>
      <c r="T1116" s="6"/>
      <c r="U1116" s="6"/>
      <c r="V1116" s="8">
        <v>-31.776075056533813</v>
      </c>
      <c r="W1116" s="8">
        <v>-243.0167423477173</v>
      </c>
      <c r="X1116" s="8">
        <f t="shared" si="67"/>
        <v>11.191858104553205</v>
      </c>
      <c r="Y1116" s="6" t="s">
        <v>3185</v>
      </c>
    </row>
    <row r="1117" spans="1:25" s="13" customFormat="1" x14ac:dyDescent="0.35">
      <c r="A1117" s="6" t="s">
        <v>25</v>
      </c>
      <c r="B1117" s="6" t="s">
        <v>2861</v>
      </c>
      <c r="C1117" s="6"/>
      <c r="D1117" s="6" t="s">
        <v>3136</v>
      </c>
      <c r="E1117" s="6">
        <v>3</v>
      </c>
      <c r="F1117" s="6">
        <v>33</v>
      </c>
      <c r="G1117" s="6" t="s">
        <v>3314</v>
      </c>
      <c r="H1117" s="6"/>
      <c r="I1117" s="8">
        <v>86.113709</v>
      </c>
      <c r="J1117" s="8">
        <v>13.978304</v>
      </c>
      <c r="K1117" s="6" t="s">
        <v>198</v>
      </c>
      <c r="L1117" s="9">
        <v>43915</v>
      </c>
      <c r="M1117" s="18">
        <v>0.47916666666666669</v>
      </c>
      <c r="N1117" s="6">
        <v>26</v>
      </c>
      <c r="O1117" s="6" t="s">
        <v>4304</v>
      </c>
      <c r="P1117" s="6"/>
      <c r="Q1117" s="6"/>
      <c r="R1117" s="6">
        <v>80</v>
      </c>
      <c r="S1117" s="6">
        <v>83</v>
      </c>
      <c r="T1117" s="6"/>
      <c r="U1117" s="6"/>
      <c r="V1117" s="8">
        <v>-31.223435558776856</v>
      </c>
      <c r="W1117" s="8">
        <v>-238.16764166259765</v>
      </c>
      <c r="X1117" s="8">
        <f t="shared" si="67"/>
        <v>11.619842807617204</v>
      </c>
      <c r="Y1117" s="6"/>
    </row>
    <row r="1118" spans="1:25" s="13" customFormat="1" x14ac:dyDescent="0.35">
      <c r="A1118" s="6" t="s">
        <v>25</v>
      </c>
      <c r="B1118" s="6" t="s">
        <v>3461</v>
      </c>
      <c r="C1118" s="6"/>
      <c r="D1118" s="6" t="s">
        <v>3763</v>
      </c>
      <c r="E1118" s="6">
        <v>3</v>
      </c>
      <c r="F1118" s="6">
        <v>33</v>
      </c>
      <c r="G1118" s="6" t="s">
        <v>4065</v>
      </c>
      <c r="H1118" s="6"/>
      <c r="I1118" s="8">
        <v>85.996673472222199</v>
      </c>
      <c r="J1118" s="8">
        <v>13.1391688888889</v>
      </c>
      <c r="K1118" s="6" t="s">
        <v>2610</v>
      </c>
      <c r="L1118" s="9">
        <v>43916</v>
      </c>
      <c r="M1118" s="6"/>
      <c r="N1118" s="6">
        <v>26</v>
      </c>
      <c r="O1118" s="6" t="s">
        <v>4305</v>
      </c>
      <c r="P1118" s="6"/>
      <c r="Q1118" s="6"/>
      <c r="R1118" s="6"/>
      <c r="S1118" s="6"/>
      <c r="T1118" s="6"/>
      <c r="U1118" s="6"/>
      <c r="V1118" s="8">
        <v>-1.446398258209229</v>
      </c>
      <c r="W1118" s="8">
        <v>-10.145324611663817</v>
      </c>
      <c r="X1118" s="27">
        <f t="shared" si="67"/>
        <v>1.4258614540100147</v>
      </c>
      <c r="Y1118" s="6"/>
    </row>
    <row r="1119" spans="1:25" s="13" customFormat="1" x14ac:dyDescent="0.35">
      <c r="A1119" s="6" t="s">
        <v>25</v>
      </c>
      <c r="B1119" s="7"/>
      <c r="C1119" s="6"/>
      <c r="D1119" s="6" t="s">
        <v>1222</v>
      </c>
      <c r="E1119" s="6">
        <v>3</v>
      </c>
      <c r="F1119" s="6">
        <v>33</v>
      </c>
      <c r="G1119" s="6" t="s">
        <v>1221</v>
      </c>
      <c r="H1119" s="6"/>
      <c r="I1119" s="8">
        <v>85.996673472222199</v>
      </c>
      <c r="J1119" s="8">
        <v>13.1391688888889</v>
      </c>
      <c r="K1119" s="6" t="s">
        <v>390</v>
      </c>
      <c r="L1119" s="9">
        <v>43916</v>
      </c>
      <c r="M1119" s="6"/>
      <c r="N1119" s="6">
        <v>26</v>
      </c>
      <c r="O1119" s="6" t="s">
        <v>4305</v>
      </c>
      <c r="P1119" s="6"/>
      <c r="Q1119" s="6"/>
      <c r="R1119" s="6">
        <v>0</v>
      </c>
      <c r="S1119" s="6">
        <v>0</v>
      </c>
      <c r="T1119" s="10">
        <f>AVERAGE(R1119:S1119)</f>
        <v>0</v>
      </c>
      <c r="U1119" s="6"/>
      <c r="V1119" s="8">
        <v>-0.96678179862499236</v>
      </c>
      <c r="W1119" s="8">
        <v>-15.43840648317337</v>
      </c>
      <c r="X1119" s="8">
        <f t="shared" si="67"/>
        <v>-7.7041520941734314</v>
      </c>
      <c r="Y1119" s="6"/>
    </row>
    <row r="1120" spans="1:25" s="13" customFormat="1" x14ac:dyDescent="0.35">
      <c r="A1120" s="6" t="s">
        <v>25</v>
      </c>
      <c r="B1120" s="7"/>
      <c r="C1120" s="6"/>
      <c r="D1120" s="6" t="s">
        <v>1223</v>
      </c>
      <c r="E1120" s="6">
        <v>3</v>
      </c>
      <c r="F1120" s="6">
        <v>33</v>
      </c>
      <c r="G1120" s="6" t="s">
        <v>1221</v>
      </c>
      <c r="H1120" s="6"/>
      <c r="I1120" s="8">
        <v>85.996673472222199</v>
      </c>
      <c r="J1120" s="8">
        <v>13.1391688888889</v>
      </c>
      <c r="K1120" s="6" t="s">
        <v>390</v>
      </c>
      <c r="L1120" s="9">
        <v>43916</v>
      </c>
      <c r="M1120" s="6"/>
      <c r="N1120" s="6">
        <v>26</v>
      </c>
      <c r="O1120" s="6" t="s">
        <v>4305</v>
      </c>
      <c r="P1120" s="6"/>
      <c r="Q1120" s="6"/>
      <c r="R1120" s="6">
        <v>0</v>
      </c>
      <c r="S1120" s="6">
        <v>0</v>
      </c>
      <c r="T1120" s="10">
        <f>AVERAGE(R1120:S1120)</f>
        <v>0</v>
      </c>
      <c r="U1120" s="6"/>
      <c r="V1120" s="8">
        <v>-6.662277864122391</v>
      </c>
      <c r="W1120" s="8">
        <v>-48.398236640930179</v>
      </c>
      <c r="X1120" s="8">
        <f t="shared" si="67"/>
        <v>4.8999862720489489</v>
      </c>
      <c r="Y1120" s="6"/>
    </row>
    <row r="1121" spans="1:25" s="13" customFormat="1" x14ac:dyDescent="0.35">
      <c r="A1121" s="6" t="s">
        <v>25</v>
      </c>
      <c r="B1121" s="7"/>
      <c r="C1121" s="6"/>
      <c r="D1121" s="6" t="s">
        <v>1224</v>
      </c>
      <c r="E1121" s="6">
        <v>3</v>
      </c>
      <c r="F1121" s="6">
        <v>33</v>
      </c>
      <c r="G1121" s="6" t="s">
        <v>1221</v>
      </c>
      <c r="H1121" s="6"/>
      <c r="I1121" s="8">
        <v>85.996673472222199</v>
      </c>
      <c r="J1121" s="8">
        <v>13.1391688888889</v>
      </c>
      <c r="K1121" s="6" t="s">
        <v>198</v>
      </c>
      <c r="L1121" s="9">
        <v>43916</v>
      </c>
      <c r="M1121" s="6"/>
      <c r="N1121" s="6">
        <v>26</v>
      </c>
      <c r="O1121" s="6" t="s">
        <v>4305</v>
      </c>
      <c r="P1121" s="6"/>
      <c r="Q1121" s="6"/>
      <c r="R1121" s="6">
        <v>0</v>
      </c>
      <c r="S1121" s="6">
        <v>0</v>
      </c>
      <c r="T1121" s="10">
        <f>AVERAGE(R1121:S1121)</f>
        <v>0</v>
      </c>
      <c r="U1121" s="6"/>
      <c r="V1121" s="8">
        <v>-17.021241082572935</v>
      </c>
      <c r="W1121" s="8">
        <v>-111.64523358917236</v>
      </c>
      <c r="X1121" s="8">
        <f t="shared" si="67"/>
        <v>24.524695071411116</v>
      </c>
      <c r="Y1121" s="6"/>
    </row>
    <row r="1122" spans="1:25" s="13" customFormat="1" x14ac:dyDescent="0.35">
      <c r="A1122" s="6" t="s">
        <v>25</v>
      </c>
      <c r="B1122" s="6" t="s">
        <v>3462</v>
      </c>
      <c r="C1122" s="6"/>
      <c r="D1122" s="6" t="s">
        <v>3764</v>
      </c>
      <c r="E1122" s="6">
        <v>3</v>
      </c>
      <c r="F1122" s="6">
        <v>33</v>
      </c>
      <c r="G1122" s="6" t="s">
        <v>4066</v>
      </c>
      <c r="H1122" s="6"/>
      <c r="I1122" s="8">
        <v>85.824596597222211</v>
      </c>
      <c r="J1122" s="8">
        <v>13.34629986111111</v>
      </c>
      <c r="K1122" s="6" t="s">
        <v>2610</v>
      </c>
      <c r="L1122" s="9">
        <v>43917</v>
      </c>
      <c r="M1122" s="6"/>
      <c r="N1122" s="6">
        <v>26</v>
      </c>
      <c r="O1122" s="6" t="s">
        <v>4353</v>
      </c>
      <c r="P1122" s="6"/>
      <c r="Q1122" s="6"/>
      <c r="R1122" s="6"/>
      <c r="S1122" s="6"/>
      <c r="T1122" s="6"/>
      <c r="U1122" s="6"/>
      <c r="V1122" s="8">
        <v>-1.427850127220154</v>
      </c>
      <c r="W1122" s="8">
        <v>-8.0523917169570911</v>
      </c>
      <c r="X1122" s="27">
        <f t="shared" si="67"/>
        <v>3.3704093008041411</v>
      </c>
      <c r="Y1122" s="6"/>
    </row>
    <row r="1123" spans="1:25" s="13" customFormat="1" x14ac:dyDescent="0.35">
      <c r="A1123" s="6" t="s">
        <v>25</v>
      </c>
      <c r="B1123" s="7" t="s">
        <v>1225</v>
      </c>
      <c r="C1123" s="6"/>
      <c r="D1123" s="6" t="s">
        <v>1226</v>
      </c>
      <c r="E1123" s="6">
        <v>3</v>
      </c>
      <c r="F1123" s="6">
        <v>33</v>
      </c>
      <c r="G1123" s="6" t="s">
        <v>60</v>
      </c>
      <c r="H1123" s="6"/>
      <c r="I1123" s="8">
        <v>85.594914166666697</v>
      </c>
      <c r="J1123" s="8">
        <v>13.3017425694444</v>
      </c>
      <c r="K1123" s="7" t="s">
        <v>2610</v>
      </c>
      <c r="L1123" s="9">
        <v>43918</v>
      </c>
      <c r="M1123" s="6"/>
      <c r="N1123" s="6">
        <v>26</v>
      </c>
      <c r="O1123" s="6" t="s">
        <v>4257</v>
      </c>
      <c r="P1123" s="6"/>
      <c r="Q1123" s="10">
        <v>500</v>
      </c>
      <c r="R1123" s="10"/>
      <c r="S1123" s="10">
        <v>500</v>
      </c>
      <c r="T1123" s="10">
        <f>AVERAGE(R1123:S1123)</f>
        <v>500</v>
      </c>
      <c r="U1123" s="11"/>
      <c r="V1123" s="8">
        <v>-1.4140601814270015</v>
      </c>
      <c r="W1123" s="8">
        <v>-9.5253091640472416</v>
      </c>
      <c r="X1123" s="8">
        <f t="shared" si="67"/>
        <v>1.7871722873687705</v>
      </c>
      <c r="Y1123" s="6"/>
    </row>
    <row r="1124" spans="1:25" s="13" customFormat="1" x14ac:dyDescent="0.35">
      <c r="A1124" s="6" t="s">
        <v>25</v>
      </c>
      <c r="B1124" s="6" t="s">
        <v>3463</v>
      </c>
      <c r="C1124" s="6"/>
      <c r="D1124" s="6" t="s">
        <v>3765</v>
      </c>
      <c r="E1124" s="6">
        <v>3</v>
      </c>
      <c r="F1124" s="6">
        <v>33</v>
      </c>
      <c r="G1124" s="6" t="s">
        <v>4067</v>
      </c>
      <c r="H1124" s="6"/>
      <c r="I1124" s="8">
        <v>85.594914166666697</v>
      </c>
      <c r="J1124" s="8">
        <v>13.3017425694444</v>
      </c>
      <c r="K1124" s="7" t="s">
        <v>2610</v>
      </c>
      <c r="L1124" s="9">
        <v>43918</v>
      </c>
      <c r="M1124" s="6"/>
      <c r="N1124" s="6">
        <v>26</v>
      </c>
      <c r="O1124" s="6" t="s">
        <v>4257</v>
      </c>
      <c r="P1124" s="6"/>
      <c r="Q1124" s="6"/>
      <c r="R1124" s="6"/>
      <c r="S1124" s="6"/>
      <c r="T1124" s="6"/>
      <c r="U1124" s="6"/>
      <c r="V1124" s="8">
        <v>-1.3013761189699178</v>
      </c>
      <c r="W1124" s="8">
        <v>-9.7699631408691392</v>
      </c>
      <c r="X1124" s="27">
        <f t="shared" si="67"/>
        <v>0.64104581089020307</v>
      </c>
      <c r="Y1124" s="6"/>
    </row>
    <row r="1125" spans="1:25" s="13" customFormat="1" x14ac:dyDescent="0.35">
      <c r="A1125" s="6" t="s">
        <v>25</v>
      </c>
      <c r="B1125" s="6" t="s">
        <v>3464</v>
      </c>
      <c r="C1125" s="6"/>
      <c r="D1125" s="6" t="s">
        <v>3766</v>
      </c>
      <c r="E1125" s="6">
        <v>3</v>
      </c>
      <c r="F1125" s="6">
        <v>33</v>
      </c>
      <c r="G1125" s="6" t="s">
        <v>4068</v>
      </c>
      <c r="H1125" s="6"/>
      <c r="I1125" s="8">
        <v>85.430369444444466</v>
      </c>
      <c r="J1125" s="8">
        <v>13.204287986111114</v>
      </c>
      <c r="K1125" s="7" t="s">
        <v>2610</v>
      </c>
      <c r="L1125" s="9">
        <v>43919</v>
      </c>
      <c r="M1125" s="6"/>
      <c r="N1125" s="6">
        <v>27</v>
      </c>
      <c r="O1125" s="6" t="s">
        <v>4286</v>
      </c>
      <c r="P1125" s="6"/>
      <c r="Q1125" s="6"/>
      <c r="R1125" s="6"/>
      <c r="S1125" s="6"/>
      <c r="T1125" s="6"/>
      <c r="U1125" s="6"/>
      <c r="V1125" s="8">
        <v>-1.2303299532651897</v>
      </c>
      <c r="W1125" s="8">
        <v>-8.5226085876464843</v>
      </c>
      <c r="X1125" s="27">
        <f t="shared" si="67"/>
        <v>1.3200310384750331</v>
      </c>
      <c r="Y1125" s="6"/>
    </row>
    <row r="1126" spans="1:25" s="13" customFormat="1" x14ac:dyDescent="0.35">
      <c r="A1126" s="6" t="s">
        <v>25</v>
      </c>
      <c r="B1126" s="6" t="s">
        <v>3465</v>
      </c>
      <c r="C1126" s="6"/>
      <c r="D1126" s="6" t="s">
        <v>3767</v>
      </c>
      <c r="E1126" s="6">
        <v>3</v>
      </c>
      <c r="F1126" s="6">
        <v>34</v>
      </c>
      <c r="G1126" s="6" t="s">
        <v>4069</v>
      </c>
      <c r="H1126" s="6"/>
      <c r="I1126" s="8">
        <v>85.373386875000008</v>
      </c>
      <c r="J1126" s="8">
        <v>13.246353541666668</v>
      </c>
      <c r="K1126" s="7" t="s">
        <v>2610</v>
      </c>
      <c r="L1126" s="9">
        <v>43920</v>
      </c>
      <c r="M1126" s="6"/>
      <c r="N1126" s="6">
        <v>27</v>
      </c>
      <c r="O1126" s="6" t="s">
        <v>4354</v>
      </c>
      <c r="P1126" s="6"/>
      <c r="Q1126" s="6"/>
      <c r="R1126" s="6"/>
      <c r="S1126" s="6"/>
      <c r="T1126" s="6"/>
      <c r="U1126" s="6"/>
      <c r="V1126" s="8">
        <v>-1.1563621715664867</v>
      </c>
      <c r="W1126" s="8">
        <v>-7.915347353649139</v>
      </c>
      <c r="X1126" s="27">
        <f t="shared" si="67"/>
        <v>1.3355500188827545</v>
      </c>
      <c r="Y1126" s="6"/>
    </row>
    <row r="1127" spans="1:25" s="13" customFormat="1" x14ac:dyDescent="0.35">
      <c r="A1127" s="6" t="s">
        <v>25</v>
      </c>
      <c r="B1127" s="6" t="s">
        <v>3466</v>
      </c>
      <c r="C1127" s="6"/>
      <c r="D1127" s="6" t="s">
        <v>3768</v>
      </c>
      <c r="E1127" s="6">
        <v>3</v>
      </c>
      <c r="F1127" s="6">
        <v>34</v>
      </c>
      <c r="G1127" s="6" t="s">
        <v>4070</v>
      </c>
      <c r="H1127" s="6"/>
      <c r="I1127" s="8">
        <v>85.291250347222203</v>
      </c>
      <c r="J1127" s="8">
        <v>14.095097916666701</v>
      </c>
      <c r="K1127" s="7" t="s">
        <v>2610</v>
      </c>
      <c r="L1127" s="9">
        <v>43921</v>
      </c>
      <c r="M1127" s="6"/>
      <c r="N1127" s="6">
        <v>27</v>
      </c>
      <c r="O1127" s="6" t="s">
        <v>4293</v>
      </c>
      <c r="P1127" s="6"/>
      <c r="Q1127" s="6"/>
      <c r="R1127" s="6"/>
      <c r="S1127" s="6"/>
      <c r="T1127" s="6"/>
      <c r="U1127" s="6"/>
      <c r="V1127" s="8">
        <v>-1.1443865176677703</v>
      </c>
      <c r="W1127" s="8">
        <v>-8.5157009998321538</v>
      </c>
      <c r="X1127" s="27">
        <f t="shared" si="67"/>
        <v>0.63939114151000886</v>
      </c>
      <c r="Y1127" s="6"/>
    </row>
    <row r="1128" spans="1:25" s="13" customFormat="1" x14ac:dyDescent="0.35">
      <c r="A1128" s="6" t="s">
        <v>25</v>
      </c>
      <c r="B1128" s="6"/>
      <c r="C1128" s="6"/>
      <c r="D1128" s="6" t="s">
        <v>1227</v>
      </c>
      <c r="E1128" s="6">
        <v>3</v>
      </c>
      <c r="F1128" s="6">
        <v>34</v>
      </c>
      <c r="G1128" s="6" t="s">
        <v>60</v>
      </c>
      <c r="H1128" s="6"/>
      <c r="I1128" s="8">
        <v>85.291250347222203</v>
      </c>
      <c r="J1128" s="8">
        <v>14.095097916666701</v>
      </c>
      <c r="K1128" s="7" t="s">
        <v>2610</v>
      </c>
      <c r="L1128" s="9">
        <v>43921</v>
      </c>
      <c r="M1128" s="6"/>
      <c r="N1128" s="6">
        <v>27</v>
      </c>
      <c r="O1128" s="6" t="s">
        <v>4293</v>
      </c>
      <c r="P1128" s="6"/>
      <c r="Q1128" s="6">
        <v>500</v>
      </c>
      <c r="R1128" s="6"/>
      <c r="S1128" s="6">
        <v>500</v>
      </c>
      <c r="T1128" s="10">
        <f t="shared" ref="T1128:T1133" si="69">AVERAGE(R1128:S1128)</f>
        <v>500</v>
      </c>
      <c r="U1128" s="6"/>
      <c r="V1128" s="8">
        <v>-1.0160881276130671</v>
      </c>
      <c r="W1128" s="8">
        <v>-9.7548963495254526</v>
      </c>
      <c r="X1128" s="8">
        <f t="shared" si="67"/>
        <v>-1.6261913286209158</v>
      </c>
      <c r="Y1128" s="6"/>
    </row>
    <row r="1129" spans="1:25" s="13" customFormat="1" x14ac:dyDescent="0.35">
      <c r="A1129" s="6" t="s">
        <v>25</v>
      </c>
      <c r="B1129" s="6"/>
      <c r="C1129" s="6"/>
      <c r="D1129" s="6" t="s">
        <v>1227</v>
      </c>
      <c r="E1129" s="6">
        <v>3</v>
      </c>
      <c r="F1129" s="6">
        <v>34</v>
      </c>
      <c r="G1129" s="6" t="s">
        <v>60</v>
      </c>
      <c r="H1129" s="6"/>
      <c r="I1129" s="8">
        <v>85.291250347222203</v>
      </c>
      <c r="J1129" s="8">
        <v>14.095097916666701</v>
      </c>
      <c r="K1129" s="7" t="s">
        <v>2610</v>
      </c>
      <c r="L1129" s="9">
        <v>43921</v>
      </c>
      <c r="M1129" s="6"/>
      <c r="N1129" s="6">
        <v>27</v>
      </c>
      <c r="O1129" s="6" t="s">
        <v>4293</v>
      </c>
      <c r="P1129" s="6"/>
      <c r="Q1129" s="6">
        <v>2000</v>
      </c>
      <c r="R1129" s="6"/>
      <c r="S1129" s="6">
        <v>2000</v>
      </c>
      <c r="T1129" s="10">
        <f t="shared" si="69"/>
        <v>2000</v>
      </c>
      <c r="U1129" s="6"/>
      <c r="V1129" s="8">
        <v>-1.0022641493082043</v>
      </c>
      <c r="W1129" s="8">
        <v>-7.9900115638732911</v>
      </c>
      <c r="X1129" s="8">
        <f t="shared" si="67"/>
        <v>2.8101630592343163E-2</v>
      </c>
      <c r="Y1129" s="6"/>
    </row>
    <row r="1130" spans="1:25" s="13" customFormat="1" x14ac:dyDescent="0.35">
      <c r="A1130" s="6" t="s">
        <v>25</v>
      </c>
      <c r="B1130" s="6"/>
      <c r="C1130" s="6"/>
      <c r="D1130" s="6" t="s">
        <v>1227</v>
      </c>
      <c r="E1130" s="6">
        <v>3</v>
      </c>
      <c r="F1130" s="6">
        <v>34</v>
      </c>
      <c r="G1130" s="6" t="s">
        <v>60</v>
      </c>
      <c r="H1130" s="6"/>
      <c r="I1130" s="8">
        <v>85.291250347222203</v>
      </c>
      <c r="J1130" s="8">
        <v>14.095097916666701</v>
      </c>
      <c r="K1130" s="7" t="s">
        <v>2610</v>
      </c>
      <c r="L1130" s="9">
        <v>43921</v>
      </c>
      <c r="M1130" s="6"/>
      <c r="N1130" s="6">
        <v>27</v>
      </c>
      <c r="O1130" s="6" t="s">
        <v>4293</v>
      </c>
      <c r="P1130" s="6"/>
      <c r="Q1130" s="6">
        <v>5000</v>
      </c>
      <c r="R1130" s="6"/>
      <c r="S1130" s="6">
        <v>5000</v>
      </c>
      <c r="T1130" s="10">
        <f t="shared" si="69"/>
        <v>5000</v>
      </c>
      <c r="U1130" s="6"/>
      <c r="V1130" s="8">
        <v>-1.0651656646728518</v>
      </c>
      <c r="W1130" s="8">
        <v>-8.0123219123840332</v>
      </c>
      <c r="X1130" s="8">
        <f t="shared" si="67"/>
        <v>0.50900340499878105</v>
      </c>
      <c r="Y1130" s="6"/>
    </row>
    <row r="1131" spans="1:25" s="13" customFormat="1" x14ac:dyDescent="0.35">
      <c r="A1131" s="6" t="s">
        <v>25</v>
      </c>
      <c r="B1131" s="6"/>
      <c r="C1131" s="6"/>
      <c r="D1131" s="6" t="s">
        <v>1227</v>
      </c>
      <c r="E1131" s="6">
        <v>3</v>
      </c>
      <c r="F1131" s="6">
        <v>34</v>
      </c>
      <c r="G1131" s="6" t="s">
        <v>60</v>
      </c>
      <c r="H1131" s="6"/>
      <c r="I1131" s="8">
        <v>85.291250347222203</v>
      </c>
      <c r="J1131" s="8">
        <v>14.095097916666701</v>
      </c>
      <c r="K1131" s="7" t="s">
        <v>2610</v>
      </c>
      <c r="L1131" s="9">
        <v>43921</v>
      </c>
      <c r="M1131" s="6"/>
      <c r="N1131" s="6">
        <v>27</v>
      </c>
      <c r="O1131" s="6" t="s">
        <v>4293</v>
      </c>
      <c r="P1131" s="6"/>
      <c r="Q1131" s="6">
        <v>6000</v>
      </c>
      <c r="R1131" s="6"/>
      <c r="S1131" s="6">
        <v>6000</v>
      </c>
      <c r="T1131" s="10">
        <f t="shared" si="69"/>
        <v>6000</v>
      </c>
      <c r="U1131" s="6"/>
      <c r="V1131" s="8">
        <v>-0.9755945230722427</v>
      </c>
      <c r="W1131" s="8">
        <v>-8.1356821123123151</v>
      </c>
      <c r="X1131" s="8">
        <f t="shared" si="67"/>
        <v>-0.33092592773437346</v>
      </c>
      <c r="Y1131" s="6"/>
    </row>
    <row r="1132" spans="1:25" s="13" customFormat="1" x14ac:dyDescent="0.35">
      <c r="A1132" s="6" t="s">
        <v>25</v>
      </c>
      <c r="B1132" s="6"/>
      <c r="C1132" s="6"/>
      <c r="D1132" s="6" t="s">
        <v>1227</v>
      </c>
      <c r="E1132" s="6">
        <v>3</v>
      </c>
      <c r="F1132" s="6">
        <v>34</v>
      </c>
      <c r="G1132" s="6" t="s">
        <v>60</v>
      </c>
      <c r="H1132" s="6"/>
      <c r="I1132" s="8">
        <v>85.291250347222203</v>
      </c>
      <c r="J1132" s="8">
        <v>14.095097916666701</v>
      </c>
      <c r="K1132" s="7" t="s">
        <v>2610</v>
      </c>
      <c r="L1132" s="9">
        <v>43921</v>
      </c>
      <c r="M1132" s="6"/>
      <c r="N1132" s="6">
        <v>27</v>
      </c>
      <c r="O1132" s="6" t="s">
        <v>4293</v>
      </c>
      <c r="P1132" s="6"/>
      <c r="Q1132" s="6">
        <v>6500</v>
      </c>
      <c r="R1132" s="6"/>
      <c r="S1132" s="6">
        <v>6500</v>
      </c>
      <c r="T1132" s="10">
        <f t="shared" si="69"/>
        <v>6500</v>
      </c>
      <c r="U1132" s="6"/>
      <c r="V1132" s="8">
        <v>-0.35813273595571471</v>
      </c>
      <c r="W1132" s="8">
        <v>-1.7829569547653192</v>
      </c>
      <c r="X1132" s="8">
        <f t="shared" si="67"/>
        <v>1.0821049328803984</v>
      </c>
      <c r="Y1132" s="6"/>
    </row>
    <row r="1133" spans="1:25" s="13" customFormat="1" x14ac:dyDescent="0.35">
      <c r="A1133" s="6" t="s">
        <v>25</v>
      </c>
      <c r="B1133" s="6"/>
      <c r="C1133" s="6"/>
      <c r="D1133" s="6" t="s">
        <v>1227</v>
      </c>
      <c r="E1133" s="6">
        <v>3</v>
      </c>
      <c r="F1133" s="6">
        <v>34</v>
      </c>
      <c r="G1133" s="6" t="s">
        <v>60</v>
      </c>
      <c r="H1133" s="6"/>
      <c r="I1133" s="8">
        <v>85.291250347222203</v>
      </c>
      <c r="J1133" s="8">
        <v>14.095097916666701</v>
      </c>
      <c r="K1133" s="7" t="s">
        <v>2610</v>
      </c>
      <c r="L1133" s="9">
        <v>43921</v>
      </c>
      <c r="M1133" s="6"/>
      <c r="N1133" s="6">
        <v>27</v>
      </c>
      <c r="O1133" s="6" t="s">
        <v>4293</v>
      </c>
      <c r="P1133" s="6"/>
      <c r="Q1133" s="6">
        <v>7000</v>
      </c>
      <c r="R1133" s="6"/>
      <c r="S1133" s="6">
        <v>7000</v>
      </c>
      <c r="T1133" s="10">
        <f t="shared" si="69"/>
        <v>7000</v>
      </c>
      <c r="U1133" s="6"/>
      <c r="V1133" s="8">
        <v>0.16639268770068885</v>
      </c>
      <c r="W1133" s="8">
        <v>0.54394609680175798</v>
      </c>
      <c r="X1133" s="8">
        <f t="shared" si="67"/>
        <v>-0.78719540480375283</v>
      </c>
      <c r="Y1133" s="6"/>
    </row>
    <row r="1134" spans="1:25" s="13" customFormat="1" x14ac:dyDescent="0.35">
      <c r="A1134" s="6" t="s">
        <v>25</v>
      </c>
      <c r="B1134" s="6" t="s">
        <v>3467</v>
      </c>
      <c r="C1134" s="6"/>
      <c r="D1134" s="6" t="s">
        <v>3769</v>
      </c>
      <c r="E1134" s="6">
        <v>3</v>
      </c>
      <c r="F1134" s="6">
        <v>34</v>
      </c>
      <c r="G1134" s="6" t="s">
        <v>4071</v>
      </c>
      <c r="H1134" s="6"/>
      <c r="I1134" s="8">
        <v>85.115593333333365</v>
      </c>
      <c r="J1134" s="8">
        <v>15.404498611111112</v>
      </c>
      <c r="K1134" s="7" t="s">
        <v>2610</v>
      </c>
      <c r="L1134" s="9">
        <v>43922</v>
      </c>
      <c r="M1134" s="6"/>
      <c r="N1134" s="6">
        <v>27</v>
      </c>
      <c r="O1134" s="6" t="s">
        <v>4355</v>
      </c>
      <c r="P1134" s="6"/>
      <c r="Q1134" s="6"/>
      <c r="R1134" s="6"/>
      <c r="S1134" s="6"/>
      <c r="T1134" s="6"/>
      <c r="U1134" s="6"/>
      <c r="V1134" s="8">
        <v>-1.0306691938877106</v>
      </c>
      <c r="W1134" s="8">
        <v>-7.903527817344667</v>
      </c>
      <c r="X1134" s="27">
        <f t="shared" si="67"/>
        <v>0.34182573375701786</v>
      </c>
      <c r="Y1134" s="6"/>
    </row>
    <row r="1135" spans="1:25" s="13" customFormat="1" x14ac:dyDescent="0.35">
      <c r="A1135" s="6" t="s">
        <v>25</v>
      </c>
      <c r="B1135" s="6" t="s">
        <v>3468</v>
      </c>
      <c r="C1135" s="6"/>
      <c r="D1135" s="6" t="s">
        <v>3770</v>
      </c>
      <c r="E1135" s="6">
        <v>3</v>
      </c>
      <c r="F1135" s="6">
        <v>34</v>
      </c>
      <c r="G1135" s="6" t="s">
        <v>4072</v>
      </c>
      <c r="H1135" s="6"/>
      <c r="I1135" s="8">
        <v>84.971907999999999</v>
      </c>
      <c r="J1135" s="8">
        <v>15.12961</v>
      </c>
      <c r="K1135" s="6" t="s">
        <v>2610</v>
      </c>
      <c r="L1135" s="9">
        <v>43923</v>
      </c>
      <c r="M1135" s="6"/>
      <c r="N1135" s="6">
        <v>27</v>
      </c>
      <c r="O1135" s="6" t="s">
        <v>4356</v>
      </c>
      <c r="P1135" s="6"/>
      <c r="Q1135" s="6"/>
      <c r="R1135" s="6"/>
      <c r="S1135" s="6"/>
      <c r="T1135" s="6"/>
      <c r="U1135" s="6"/>
      <c r="V1135" s="8">
        <v>-0.97284838070869395</v>
      </c>
      <c r="W1135" s="8">
        <v>-6.3506662345886244</v>
      </c>
      <c r="X1135" s="27">
        <f t="shared" si="67"/>
        <v>1.4321208110809271</v>
      </c>
      <c r="Y1135" s="6"/>
    </row>
    <row r="1136" spans="1:25" s="13" customFormat="1" x14ac:dyDescent="0.35">
      <c r="A1136" s="6" t="s">
        <v>25</v>
      </c>
      <c r="B1136" s="6" t="s">
        <v>2868</v>
      </c>
      <c r="C1136" s="6"/>
      <c r="D1136" s="6" t="s">
        <v>3139</v>
      </c>
      <c r="E1136" s="6">
        <v>3</v>
      </c>
      <c r="F1136" s="6">
        <v>34</v>
      </c>
      <c r="G1136" s="6" t="s">
        <v>3317</v>
      </c>
      <c r="H1136" s="6"/>
      <c r="I1136" s="8">
        <v>84.971907999999999</v>
      </c>
      <c r="J1136" s="8">
        <v>15.12961</v>
      </c>
      <c r="K1136" s="6" t="s">
        <v>198</v>
      </c>
      <c r="L1136" s="9">
        <v>43923</v>
      </c>
      <c r="M1136" s="18">
        <v>0.35416666666666669</v>
      </c>
      <c r="N1136" s="6">
        <v>27</v>
      </c>
      <c r="O1136" s="6" t="s">
        <v>4356</v>
      </c>
      <c r="P1136" s="6"/>
      <c r="Q1136" s="6"/>
      <c r="R1136" s="6">
        <v>9.5</v>
      </c>
      <c r="S1136" s="6">
        <v>6</v>
      </c>
      <c r="T1136" s="6"/>
      <c r="U1136" s="6"/>
      <c r="V1136" s="8">
        <v>-28.186686488914493</v>
      </c>
      <c r="W1136" s="8">
        <v>-217.04070102844238</v>
      </c>
      <c r="X1136" s="8">
        <f t="shared" si="67"/>
        <v>8.4527908828735576</v>
      </c>
      <c r="Y1136" s="6"/>
    </row>
    <row r="1137" spans="1:25" s="13" customFormat="1" x14ac:dyDescent="0.35">
      <c r="A1137" s="6" t="s">
        <v>25</v>
      </c>
      <c r="B1137" s="6" t="s">
        <v>2869</v>
      </c>
      <c r="C1137" s="6"/>
      <c r="D1137" s="6" t="s">
        <v>3139</v>
      </c>
      <c r="E1137" s="6">
        <v>3</v>
      </c>
      <c r="F1137" s="6">
        <v>34</v>
      </c>
      <c r="G1137" s="6" t="s">
        <v>3317</v>
      </c>
      <c r="H1137" s="6"/>
      <c r="I1137" s="8">
        <v>84.971907999999999</v>
      </c>
      <c r="J1137" s="8">
        <v>15.12961</v>
      </c>
      <c r="K1137" s="6" t="s">
        <v>198</v>
      </c>
      <c r="L1137" s="9">
        <v>43923</v>
      </c>
      <c r="M1137" s="18">
        <v>0.35416666666666669</v>
      </c>
      <c r="N1137" s="6">
        <v>27</v>
      </c>
      <c r="O1137" s="6" t="s">
        <v>4356</v>
      </c>
      <c r="P1137" s="6"/>
      <c r="Q1137" s="6"/>
      <c r="R1137" s="6">
        <v>6</v>
      </c>
      <c r="S1137" s="6">
        <v>3</v>
      </c>
      <c r="T1137" s="6"/>
      <c r="U1137" s="6"/>
      <c r="V1137" s="8">
        <v>-16.794606223869323</v>
      </c>
      <c r="W1137" s="8">
        <v>-124.30544153747559</v>
      </c>
      <c r="X1137" s="8">
        <f t="shared" si="67"/>
        <v>10.051408253478996</v>
      </c>
      <c r="Y1137" s="6"/>
    </row>
    <row r="1138" spans="1:25" s="13" customFormat="1" x14ac:dyDescent="0.35">
      <c r="A1138" s="6" t="s">
        <v>25</v>
      </c>
      <c r="B1138" s="6" t="s">
        <v>2870</v>
      </c>
      <c r="C1138" s="6"/>
      <c r="D1138" s="6" t="s">
        <v>3139</v>
      </c>
      <c r="E1138" s="6">
        <v>3</v>
      </c>
      <c r="F1138" s="6">
        <v>34</v>
      </c>
      <c r="G1138" s="6" t="s">
        <v>3317</v>
      </c>
      <c r="H1138" s="6"/>
      <c r="I1138" s="8">
        <v>84.971907999999999</v>
      </c>
      <c r="J1138" s="8">
        <v>15.12961</v>
      </c>
      <c r="K1138" s="6" t="s">
        <v>198</v>
      </c>
      <c r="L1138" s="9">
        <v>43923</v>
      </c>
      <c r="M1138" s="18">
        <v>0.35416666666666669</v>
      </c>
      <c r="N1138" s="6">
        <v>27</v>
      </c>
      <c r="O1138" s="6" t="s">
        <v>4356</v>
      </c>
      <c r="P1138" s="6"/>
      <c r="Q1138" s="6"/>
      <c r="R1138" s="6">
        <v>3</v>
      </c>
      <c r="S1138" s="6">
        <v>0</v>
      </c>
      <c r="T1138" s="6"/>
      <c r="U1138" s="6"/>
      <c r="V1138" s="8">
        <v>-5.3377902656078344</v>
      </c>
      <c r="W1138" s="8">
        <v>-50.289186933135987</v>
      </c>
      <c r="X1138" s="8">
        <f t="shared" si="67"/>
        <v>-7.5868648082733117</v>
      </c>
      <c r="Y1138" s="6"/>
    </row>
    <row r="1139" spans="1:25" s="13" customFormat="1" x14ac:dyDescent="0.35">
      <c r="A1139" s="6" t="s">
        <v>25</v>
      </c>
      <c r="B1139" s="6" t="s">
        <v>3469</v>
      </c>
      <c r="C1139" s="6"/>
      <c r="D1139" s="6" t="s">
        <v>3771</v>
      </c>
      <c r="E1139" s="6">
        <v>3</v>
      </c>
      <c r="F1139" s="6">
        <v>34</v>
      </c>
      <c r="G1139" s="6" t="s">
        <v>4073</v>
      </c>
      <c r="H1139" s="6"/>
      <c r="I1139" s="8">
        <v>84.790019444444454</v>
      </c>
      <c r="J1139" s="8">
        <v>13.519051111111102</v>
      </c>
      <c r="K1139" s="6" t="s">
        <v>2610</v>
      </c>
      <c r="L1139" s="9">
        <v>43924</v>
      </c>
      <c r="M1139" s="6"/>
      <c r="N1139" s="6">
        <v>27</v>
      </c>
      <c r="O1139" s="6" t="s">
        <v>4357</v>
      </c>
      <c r="P1139" s="6"/>
      <c r="Q1139" s="6"/>
      <c r="R1139" s="6"/>
      <c r="S1139" s="6"/>
      <c r="T1139" s="6"/>
      <c r="U1139" s="6"/>
      <c r="V1139" s="8">
        <v>-0.87159859063625289</v>
      </c>
      <c r="W1139" s="8">
        <v>-5.3770547872543348</v>
      </c>
      <c r="X1139" s="27">
        <f t="shared" si="67"/>
        <v>1.5957339378356883</v>
      </c>
      <c r="Y1139" s="6"/>
    </row>
    <row r="1140" spans="1:25" s="13" customFormat="1" x14ac:dyDescent="0.35">
      <c r="A1140" s="6" t="s">
        <v>25</v>
      </c>
      <c r="B1140" s="7" t="s">
        <v>1228</v>
      </c>
      <c r="C1140" s="6">
        <v>512692</v>
      </c>
      <c r="D1140" s="6" t="s">
        <v>1229</v>
      </c>
      <c r="E1140" s="6">
        <v>3</v>
      </c>
      <c r="F1140" s="6">
        <v>34</v>
      </c>
      <c r="G1140" s="6" t="s">
        <v>393</v>
      </c>
      <c r="H1140" s="6"/>
      <c r="I1140" s="8">
        <v>84.661417569444396</v>
      </c>
      <c r="J1140" s="8">
        <v>12.9560586111111</v>
      </c>
      <c r="K1140" s="6" t="s">
        <v>390</v>
      </c>
      <c r="L1140" s="9">
        <v>43925</v>
      </c>
      <c r="M1140" s="6"/>
      <c r="N1140" s="6">
        <v>27</v>
      </c>
      <c r="O1140" s="6" t="s">
        <v>4273</v>
      </c>
      <c r="P1140" s="6"/>
      <c r="Q1140" s="10"/>
      <c r="R1140" s="10"/>
      <c r="S1140" s="10"/>
      <c r="T1140" s="10"/>
      <c r="U1140" s="11"/>
      <c r="V1140" s="8">
        <v>-1.9683154874801638</v>
      </c>
      <c r="W1140" s="8">
        <v>-14.121195188522339</v>
      </c>
      <c r="X1140" s="8">
        <f t="shared" si="67"/>
        <v>1.6253287113189714</v>
      </c>
      <c r="Y1140" s="6"/>
    </row>
    <row r="1141" spans="1:25" s="13" customFormat="1" x14ac:dyDescent="0.35">
      <c r="A1141" s="6" t="s">
        <v>25</v>
      </c>
      <c r="B1141" s="6" t="s">
        <v>3470</v>
      </c>
      <c r="C1141" s="6"/>
      <c r="D1141" s="6" t="s">
        <v>3772</v>
      </c>
      <c r="E1141" s="6">
        <v>3</v>
      </c>
      <c r="F1141" s="6">
        <v>34</v>
      </c>
      <c r="G1141" s="6" t="s">
        <v>4074</v>
      </c>
      <c r="H1141" s="6"/>
      <c r="I1141" s="8">
        <v>84.661417569444396</v>
      </c>
      <c r="J1141" s="8">
        <v>12.9560586111111</v>
      </c>
      <c r="K1141" s="6" t="s">
        <v>2610</v>
      </c>
      <c r="L1141" s="9">
        <v>43925</v>
      </c>
      <c r="M1141" s="6"/>
      <c r="N1141" s="6">
        <v>27</v>
      </c>
      <c r="O1141" s="6" t="s">
        <v>4273</v>
      </c>
      <c r="P1141" s="6"/>
      <c r="Q1141" s="6"/>
      <c r="R1141" s="6"/>
      <c r="S1141" s="6"/>
      <c r="T1141" s="6"/>
      <c r="U1141" s="6"/>
      <c r="V1141" s="8">
        <v>-0.73138167335987092</v>
      </c>
      <c r="W1141" s="8">
        <v>-5.1956370578765876</v>
      </c>
      <c r="X1141" s="27">
        <f t="shared" si="67"/>
        <v>0.65541632900237978</v>
      </c>
      <c r="Y1141" s="6"/>
    </row>
    <row r="1142" spans="1:25" s="13" customFormat="1" x14ac:dyDescent="0.35">
      <c r="A1142" s="6" t="s">
        <v>25</v>
      </c>
      <c r="B1142" s="7"/>
      <c r="C1142" s="6"/>
      <c r="D1142" s="6" t="s">
        <v>1230</v>
      </c>
      <c r="E1142" s="6">
        <v>3</v>
      </c>
      <c r="F1142" s="6">
        <v>34</v>
      </c>
      <c r="G1142" s="6" t="s">
        <v>1221</v>
      </c>
      <c r="H1142" s="6"/>
      <c r="I1142" s="8">
        <v>84.661417569444396</v>
      </c>
      <c r="J1142" s="8">
        <v>12.9560586111111</v>
      </c>
      <c r="K1142" s="6" t="s">
        <v>390</v>
      </c>
      <c r="L1142" s="9">
        <v>43925</v>
      </c>
      <c r="M1142" s="6"/>
      <c r="N1142" s="6">
        <v>27</v>
      </c>
      <c r="O1142" s="6" t="s">
        <v>4273</v>
      </c>
      <c r="P1142" s="6"/>
      <c r="Q1142" s="6"/>
      <c r="R1142" s="6">
        <v>0</v>
      </c>
      <c r="S1142" s="6">
        <v>3</v>
      </c>
      <c r="T1142" s="10">
        <f t="shared" ref="T1142:T1148" si="70">AVERAGE(R1142:S1142)</f>
        <v>1.5</v>
      </c>
      <c r="U1142" s="6"/>
      <c r="V1142" s="8">
        <v>0.17442794068455655</v>
      </c>
      <c r="W1142" s="8">
        <v>1.0589549846649178</v>
      </c>
      <c r="X1142" s="8">
        <f t="shared" si="67"/>
        <v>-0.33646854081153466</v>
      </c>
      <c r="Y1142" s="6"/>
    </row>
    <row r="1143" spans="1:25" s="13" customFormat="1" x14ac:dyDescent="0.35">
      <c r="A1143" s="6" t="s">
        <v>25</v>
      </c>
      <c r="B1143" s="7"/>
      <c r="C1143" s="6"/>
      <c r="D1143" s="6" t="s">
        <v>1231</v>
      </c>
      <c r="E1143" s="6">
        <v>3</v>
      </c>
      <c r="F1143" s="6">
        <v>34</v>
      </c>
      <c r="G1143" s="6" t="s">
        <v>1221</v>
      </c>
      <c r="H1143" s="6"/>
      <c r="I1143" s="8">
        <v>84.661417569444396</v>
      </c>
      <c r="J1143" s="8">
        <v>12.9560586111111</v>
      </c>
      <c r="K1143" s="6" t="s">
        <v>390</v>
      </c>
      <c r="L1143" s="9">
        <v>43925</v>
      </c>
      <c r="M1143" s="6"/>
      <c r="N1143" s="6">
        <v>27</v>
      </c>
      <c r="O1143" s="6" t="s">
        <v>4273</v>
      </c>
      <c r="P1143" s="6"/>
      <c r="Q1143" s="6"/>
      <c r="R1143" s="6">
        <v>3</v>
      </c>
      <c r="S1143" s="6">
        <v>5.5</v>
      </c>
      <c r="T1143" s="10">
        <f t="shared" si="70"/>
        <v>4.25</v>
      </c>
      <c r="U1143" s="6"/>
      <c r="V1143" s="8">
        <v>0.20019227706193879</v>
      </c>
      <c r="W1143" s="8">
        <v>1.1783231105804444</v>
      </c>
      <c r="X1143" s="8">
        <f t="shared" si="67"/>
        <v>-0.42321510591506595</v>
      </c>
      <c r="Y1143" s="6"/>
    </row>
    <row r="1144" spans="1:25" s="13" customFormat="1" x14ac:dyDescent="0.35">
      <c r="A1144" s="6" t="s">
        <v>25</v>
      </c>
      <c r="B1144" s="7"/>
      <c r="C1144" s="6"/>
      <c r="D1144" s="6" t="s">
        <v>1232</v>
      </c>
      <c r="E1144" s="6">
        <v>3</v>
      </c>
      <c r="F1144" s="6">
        <v>34</v>
      </c>
      <c r="G1144" s="6" t="s">
        <v>1221</v>
      </c>
      <c r="H1144" s="6"/>
      <c r="I1144" s="8">
        <v>84.661417569444396</v>
      </c>
      <c r="J1144" s="8">
        <v>12.9560586111111</v>
      </c>
      <c r="K1144" s="6" t="s">
        <v>390</v>
      </c>
      <c r="L1144" s="9">
        <v>43925</v>
      </c>
      <c r="M1144" s="6"/>
      <c r="N1144" s="6">
        <v>27</v>
      </c>
      <c r="O1144" s="6" t="s">
        <v>4273</v>
      </c>
      <c r="P1144" s="6"/>
      <c r="Q1144" s="6"/>
      <c r="R1144" s="6">
        <v>0</v>
      </c>
      <c r="S1144" s="6">
        <v>0</v>
      </c>
      <c r="T1144" s="10">
        <f t="shared" si="70"/>
        <v>0</v>
      </c>
      <c r="U1144" s="6"/>
      <c r="V1144" s="8">
        <v>-1.7569364254176954E-2</v>
      </c>
      <c r="W1144" s="8">
        <v>-7.0847089973688124</v>
      </c>
      <c r="X1144" s="8">
        <f t="shared" si="67"/>
        <v>-6.9441540833353965</v>
      </c>
      <c r="Y1144" s="6"/>
    </row>
    <row r="1145" spans="1:25" s="13" customFormat="1" x14ac:dyDescent="0.35">
      <c r="A1145" s="6" t="s">
        <v>25</v>
      </c>
      <c r="B1145" s="7"/>
      <c r="C1145" s="6"/>
      <c r="D1145" s="6" t="s">
        <v>1233</v>
      </c>
      <c r="E1145" s="6">
        <v>3</v>
      </c>
      <c r="F1145" s="6">
        <v>34</v>
      </c>
      <c r="G1145" s="6" t="s">
        <v>1234</v>
      </c>
      <c r="H1145" s="6"/>
      <c r="I1145" s="8">
        <v>84.661417569444396</v>
      </c>
      <c r="J1145" s="8">
        <v>12.9560586111111</v>
      </c>
      <c r="K1145" s="6" t="s">
        <v>390</v>
      </c>
      <c r="L1145" s="9">
        <v>43925</v>
      </c>
      <c r="M1145" s="6"/>
      <c r="N1145" s="6">
        <v>27</v>
      </c>
      <c r="O1145" s="6" t="s">
        <v>4273</v>
      </c>
      <c r="P1145" s="6"/>
      <c r="Q1145" s="6"/>
      <c r="R1145" s="6">
        <v>0</v>
      </c>
      <c r="S1145" s="6">
        <v>6</v>
      </c>
      <c r="T1145" s="10">
        <f t="shared" si="70"/>
        <v>3</v>
      </c>
      <c r="U1145" s="6"/>
      <c r="V1145" s="8">
        <v>-2.6996242868900304</v>
      </c>
      <c r="W1145" s="8">
        <v>-21.555353500366209</v>
      </c>
      <c r="X1145" s="8">
        <f t="shared" si="67"/>
        <v>4.164079475403426E-2</v>
      </c>
      <c r="Y1145" s="6"/>
    </row>
    <row r="1146" spans="1:25" s="13" customFormat="1" x14ac:dyDescent="0.35">
      <c r="A1146" s="6" t="s">
        <v>25</v>
      </c>
      <c r="B1146" s="7"/>
      <c r="C1146" s="6"/>
      <c r="D1146" s="6" t="s">
        <v>1235</v>
      </c>
      <c r="E1146" s="6">
        <v>3</v>
      </c>
      <c r="F1146" s="6">
        <v>34</v>
      </c>
      <c r="G1146" s="6" t="s">
        <v>1234</v>
      </c>
      <c r="H1146" s="6"/>
      <c r="I1146" s="8">
        <v>84.661417569444396</v>
      </c>
      <c r="J1146" s="8">
        <v>12.9560586111111</v>
      </c>
      <c r="K1146" s="6" t="s">
        <v>390</v>
      </c>
      <c r="L1146" s="9">
        <v>43925</v>
      </c>
      <c r="M1146" s="6"/>
      <c r="N1146" s="6">
        <v>27</v>
      </c>
      <c r="O1146" s="6" t="s">
        <v>4273</v>
      </c>
      <c r="P1146" s="6"/>
      <c r="Q1146" s="6"/>
      <c r="R1146" s="6">
        <v>6</v>
      </c>
      <c r="S1146" s="6">
        <v>12</v>
      </c>
      <c r="T1146" s="10">
        <f t="shared" si="70"/>
        <v>9</v>
      </c>
      <c r="U1146" s="6"/>
      <c r="V1146" s="8">
        <v>-2.5927898240089418</v>
      </c>
      <c r="W1146" s="8">
        <v>-21.613961029052735</v>
      </c>
      <c r="X1146" s="8">
        <f t="shared" si="67"/>
        <v>-0.87164243698120103</v>
      </c>
      <c r="Y1146" s="6"/>
    </row>
    <row r="1147" spans="1:25" s="13" customFormat="1" x14ac:dyDescent="0.35">
      <c r="A1147" s="6" t="s">
        <v>25</v>
      </c>
      <c r="B1147" s="7"/>
      <c r="C1147" s="6"/>
      <c r="D1147" s="6" t="s">
        <v>1236</v>
      </c>
      <c r="E1147" s="6">
        <v>3</v>
      </c>
      <c r="F1147" s="6">
        <v>34</v>
      </c>
      <c r="G1147" s="6" t="s">
        <v>1234</v>
      </c>
      <c r="H1147" s="6"/>
      <c r="I1147" s="8">
        <v>84.661417569444396</v>
      </c>
      <c r="J1147" s="8">
        <v>12.9560586111111</v>
      </c>
      <c r="K1147" s="6" t="s">
        <v>390</v>
      </c>
      <c r="L1147" s="9">
        <v>43925</v>
      </c>
      <c r="M1147" s="6"/>
      <c r="N1147" s="6">
        <v>27</v>
      </c>
      <c r="O1147" s="6" t="s">
        <v>4273</v>
      </c>
      <c r="P1147" s="6"/>
      <c r="Q1147" s="6"/>
      <c r="R1147" s="6">
        <v>12</v>
      </c>
      <c r="S1147" s="6">
        <v>16</v>
      </c>
      <c r="T1147" s="10">
        <f t="shared" si="70"/>
        <v>14</v>
      </c>
      <c r="U1147" s="6"/>
      <c r="V1147" s="8">
        <v>-2.348025489091873</v>
      </c>
      <c r="W1147" s="8">
        <v>-18.64910838317871</v>
      </c>
      <c r="X1147" s="8">
        <f t="shared" si="67"/>
        <v>0.13509552955627413</v>
      </c>
      <c r="Y1147" s="6"/>
    </row>
    <row r="1148" spans="1:25" s="13" customFormat="1" x14ac:dyDescent="0.35">
      <c r="A1148" s="6" t="s">
        <v>25</v>
      </c>
      <c r="B1148" s="7" t="s">
        <v>1237</v>
      </c>
      <c r="C1148" s="6"/>
      <c r="D1148" s="6" t="s">
        <v>1238</v>
      </c>
      <c r="E1148" s="6">
        <v>3</v>
      </c>
      <c r="F1148" s="6">
        <v>34</v>
      </c>
      <c r="G1148" s="6" t="s">
        <v>60</v>
      </c>
      <c r="H1148" s="6"/>
      <c r="I1148" s="8">
        <v>84.579098611111107</v>
      </c>
      <c r="J1148" s="8">
        <v>13.4521381944444</v>
      </c>
      <c r="K1148" s="7" t="s">
        <v>2610</v>
      </c>
      <c r="L1148" s="9">
        <v>43926</v>
      </c>
      <c r="M1148" s="6"/>
      <c r="N1148" s="6">
        <v>27</v>
      </c>
      <c r="O1148" s="6" t="s">
        <v>4358</v>
      </c>
      <c r="P1148" s="6"/>
      <c r="Q1148" s="10">
        <v>500</v>
      </c>
      <c r="R1148" s="10"/>
      <c r="S1148" s="10">
        <v>500</v>
      </c>
      <c r="T1148" s="10">
        <f t="shared" si="70"/>
        <v>500</v>
      </c>
      <c r="U1148" s="11"/>
      <c r="V1148" s="8">
        <v>-0.85299099683761592</v>
      </c>
      <c r="W1148" s="8">
        <v>-4.2631548475265495</v>
      </c>
      <c r="X1148" s="8">
        <f t="shared" si="67"/>
        <v>2.5607731271743779</v>
      </c>
      <c r="Y1148" s="6"/>
    </row>
    <row r="1149" spans="1:25" s="13" customFormat="1" x14ac:dyDescent="0.35">
      <c r="A1149" s="6" t="s">
        <v>25</v>
      </c>
      <c r="B1149" s="6" t="s">
        <v>3471</v>
      </c>
      <c r="C1149" s="6"/>
      <c r="D1149" s="6" t="s">
        <v>3773</v>
      </c>
      <c r="E1149" s="6">
        <v>3</v>
      </c>
      <c r="F1149" s="6">
        <v>34</v>
      </c>
      <c r="G1149" s="6" t="s">
        <v>4075</v>
      </c>
      <c r="H1149" s="6"/>
      <c r="I1149" s="8">
        <v>84.579098611111107</v>
      </c>
      <c r="J1149" s="8">
        <v>13.4521381944444</v>
      </c>
      <c r="K1149" s="6" t="s">
        <v>2610</v>
      </c>
      <c r="L1149" s="9">
        <v>43926</v>
      </c>
      <c r="M1149" s="6"/>
      <c r="N1149" s="6">
        <v>27</v>
      </c>
      <c r="O1149" s="6" t="s">
        <v>4358</v>
      </c>
      <c r="P1149" s="6"/>
      <c r="Q1149" s="6"/>
      <c r="R1149" s="6"/>
      <c r="S1149" s="6"/>
      <c r="T1149" s="6"/>
      <c r="U1149" s="6"/>
      <c r="V1149" s="8">
        <v>-0.68560304059982269</v>
      </c>
      <c r="W1149" s="8">
        <v>-5.0838491722106935</v>
      </c>
      <c r="X1149" s="27">
        <f t="shared" si="67"/>
        <v>0.40097515258788796</v>
      </c>
      <c r="Y1149" s="6"/>
    </row>
    <row r="1150" spans="1:25" s="13" customFormat="1" x14ac:dyDescent="0.35">
      <c r="A1150" s="6" t="s">
        <v>25</v>
      </c>
      <c r="B1150" s="7" t="s">
        <v>1258</v>
      </c>
      <c r="C1150" s="6"/>
      <c r="D1150" s="6" t="s">
        <v>1259</v>
      </c>
      <c r="E1150" s="6">
        <v>3</v>
      </c>
      <c r="F1150" s="6">
        <v>34</v>
      </c>
      <c r="G1150" s="6" t="s">
        <v>1260</v>
      </c>
      <c r="H1150" s="6"/>
      <c r="I1150" s="8">
        <v>84.533711805555598</v>
      </c>
      <c r="J1150" s="8">
        <v>14.277858402777801</v>
      </c>
      <c r="K1150" s="6" t="s">
        <v>390</v>
      </c>
      <c r="L1150" s="9">
        <v>43927</v>
      </c>
      <c r="M1150" s="6"/>
      <c r="N1150" s="6">
        <v>28</v>
      </c>
      <c r="O1150" s="6" t="s">
        <v>4359</v>
      </c>
      <c r="P1150" s="6"/>
      <c r="Q1150" s="10"/>
      <c r="R1150" s="10"/>
      <c r="S1150" s="10"/>
      <c r="T1150" s="10"/>
      <c r="U1150" s="11"/>
      <c r="V1150" s="8">
        <v>-0.53867972266077979</v>
      </c>
      <c r="W1150" s="8">
        <v>-11.147708366394042</v>
      </c>
      <c r="X1150" s="8">
        <f t="shared" si="67"/>
        <v>-6.8382705851078036</v>
      </c>
      <c r="Y1150" s="6"/>
    </row>
    <row r="1151" spans="1:25" s="13" customFormat="1" x14ac:dyDescent="0.35">
      <c r="A1151" s="6" t="s">
        <v>25</v>
      </c>
      <c r="B1151" s="7" t="s">
        <v>1261</v>
      </c>
      <c r="C1151" s="6"/>
      <c r="D1151" s="6" t="s">
        <v>1262</v>
      </c>
      <c r="E1151" s="6">
        <v>3</v>
      </c>
      <c r="F1151" s="6">
        <v>34</v>
      </c>
      <c r="G1151" s="6" t="s">
        <v>1260</v>
      </c>
      <c r="H1151" s="6"/>
      <c r="I1151" s="8">
        <v>84.533711805555598</v>
      </c>
      <c r="J1151" s="8">
        <v>14.277858402777801</v>
      </c>
      <c r="K1151" s="6" t="s">
        <v>390</v>
      </c>
      <c r="L1151" s="9">
        <v>43927</v>
      </c>
      <c r="M1151" s="6"/>
      <c r="N1151" s="6">
        <v>28</v>
      </c>
      <c r="O1151" s="6" t="s">
        <v>4359</v>
      </c>
      <c r="P1151" s="6"/>
      <c r="Q1151" s="10"/>
      <c r="R1151" s="10"/>
      <c r="S1151" s="10"/>
      <c r="T1151" s="10"/>
      <c r="U1151" s="11"/>
      <c r="V1151" s="8">
        <v>-6.091053958320618</v>
      </c>
      <c r="W1151" s="8">
        <v>-42.939918624877926</v>
      </c>
      <c r="X1151" s="8">
        <f t="shared" si="67"/>
        <v>5.7885130416870183</v>
      </c>
      <c r="Y1151" s="6"/>
    </row>
    <row r="1152" spans="1:25" s="13" customFormat="1" x14ac:dyDescent="0.35">
      <c r="A1152" s="6" t="s">
        <v>25</v>
      </c>
      <c r="B1152" s="7" t="s">
        <v>1263</v>
      </c>
      <c r="C1152" s="6"/>
      <c r="D1152" s="6" t="s">
        <v>1264</v>
      </c>
      <c r="E1152" s="6">
        <v>3</v>
      </c>
      <c r="F1152" s="6">
        <v>34</v>
      </c>
      <c r="G1152" s="6" t="s">
        <v>1260</v>
      </c>
      <c r="H1152" s="6"/>
      <c r="I1152" s="8">
        <v>84.533711805555598</v>
      </c>
      <c r="J1152" s="8">
        <v>14.277858402777801</v>
      </c>
      <c r="K1152" s="6" t="s">
        <v>390</v>
      </c>
      <c r="L1152" s="9">
        <v>43927</v>
      </c>
      <c r="M1152" s="6"/>
      <c r="N1152" s="6">
        <v>28</v>
      </c>
      <c r="O1152" s="6" t="s">
        <v>4359</v>
      </c>
      <c r="P1152" s="6"/>
      <c r="Q1152" s="10">
        <v>4</v>
      </c>
      <c r="R1152" s="10"/>
      <c r="S1152" s="10">
        <v>4</v>
      </c>
      <c r="T1152" s="10">
        <f>AVERAGE(R1152:S1152)</f>
        <v>4</v>
      </c>
      <c r="U1152" s="11"/>
      <c r="V1152" s="8">
        <v>0.22781978492140761</v>
      </c>
      <c r="W1152" s="8">
        <v>2.8035321092605594</v>
      </c>
      <c r="X1152" s="8">
        <f t="shared" si="67"/>
        <v>0.98097382988929849</v>
      </c>
      <c r="Y1152" s="6"/>
    </row>
    <row r="1153" spans="1:25" s="13" customFormat="1" x14ac:dyDescent="0.35">
      <c r="A1153" s="6" t="s">
        <v>25</v>
      </c>
      <c r="B1153" s="7" t="s">
        <v>1265</v>
      </c>
      <c r="C1153" s="6"/>
      <c r="D1153" s="6" t="s">
        <v>1266</v>
      </c>
      <c r="E1153" s="6">
        <v>3</v>
      </c>
      <c r="F1153" s="6">
        <v>34</v>
      </c>
      <c r="G1153" s="6" t="s">
        <v>1172</v>
      </c>
      <c r="H1153" s="6"/>
      <c r="I1153" s="8">
        <v>84.533711805555598</v>
      </c>
      <c r="J1153" s="8">
        <v>14.277858402777801</v>
      </c>
      <c r="K1153" s="6" t="s">
        <v>390</v>
      </c>
      <c r="L1153" s="9">
        <v>43927</v>
      </c>
      <c r="M1153" s="6"/>
      <c r="N1153" s="6">
        <v>28</v>
      </c>
      <c r="O1153" s="6" t="s">
        <v>4359</v>
      </c>
      <c r="P1153" s="6"/>
      <c r="Q1153" s="10"/>
      <c r="R1153" s="10"/>
      <c r="S1153" s="10"/>
      <c r="T1153" s="10"/>
      <c r="U1153" s="11"/>
      <c r="V1153" s="8">
        <v>-2.5946204374313364</v>
      </c>
      <c r="W1153" s="8">
        <v>-19.673243480682373</v>
      </c>
      <c r="X1153" s="8">
        <f t="shared" si="67"/>
        <v>1.083720018768318</v>
      </c>
      <c r="Y1153" s="6"/>
    </row>
    <row r="1154" spans="1:25" s="13" customFormat="1" x14ac:dyDescent="0.35">
      <c r="A1154" s="6" t="s">
        <v>25</v>
      </c>
      <c r="B1154" s="7" t="s">
        <v>1267</v>
      </c>
      <c r="C1154" s="6"/>
      <c r="D1154" s="6" t="s">
        <v>1268</v>
      </c>
      <c r="E1154" s="6">
        <v>3</v>
      </c>
      <c r="F1154" s="6">
        <v>34</v>
      </c>
      <c r="G1154" s="6" t="s">
        <v>1172</v>
      </c>
      <c r="H1154" s="6"/>
      <c r="I1154" s="8">
        <v>84.533711805555598</v>
      </c>
      <c r="J1154" s="8">
        <v>14.277858402777801</v>
      </c>
      <c r="K1154" s="6" t="s">
        <v>390</v>
      </c>
      <c r="L1154" s="9">
        <v>43927</v>
      </c>
      <c r="M1154" s="6"/>
      <c r="N1154" s="6">
        <v>28</v>
      </c>
      <c r="O1154" s="6" t="s">
        <v>4359</v>
      </c>
      <c r="P1154" s="6"/>
      <c r="Q1154" s="10"/>
      <c r="R1154" s="10"/>
      <c r="S1154" s="10"/>
      <c r="T1154" s="10"/>
      <c r="U1154" s="11"/>
      <c r="V1154" s="8">
        <v>-2.4127937524795535</v>
      </c>
      <c r="W1154" s="8">
        <v>-18.252531792640685</v>
      </c>
      <c r="X1154" s="8">
        <f t="shared" ref="X1154:X1217" si="71">W1154-(8*V1154)</f>
        <v>1.0498182271957432</v>
      </c>
      <c r="Y1154" s="6"/>
    </row>
    <row r="1155" spans="1:25" s="13" customFormat="1" x14ac:dyDescent="0.35">
      <c r="A1155" s="6" t="s">
        <v>25</v>
      </c>
      <c r="B1155" s="7" t="s">
        <v>1269</v>
      </c>
      <c r="C1155" s="6"/>
      <c r="D1155" s="6" t="s">
        <v>1270</v>
      </c>
      <c r="E1155" s="6">
        <v>3</v>
      </c>
      <c r="F1155" s="6">
        <v>34</v>
      </c>
      <c r="G1155" s="6" t="s">
        <v>1172</v>
      </c>
      <c r="H1155" s="6"/>
      <c r="I1155" s="8">
        <v>84.533711805555598</v>
      </c>
      <c r="J1155" s="8">
        <v>14.277858402777801</v>
      </c>
      <c r="K1155" s="6" t="s">
        <v>390</v>
      </c>
      <c r="L1155" s="9">
        <v>43927</v>
      </c>
      <c r="M1155" s="6"/>
      <c r="N1155" s="6">
        <v>28</v>
      </c>
      <c r="O1155" s="6" t="s">
        <v>4359</v>
      </c>
      <c r="P1155" s="6"/>
      <c r="Q1155" s="10"/>
      <c r="R1155" s="10"/>
      <c r="S1155" s="10"/>
      <c r="T1155" s="10"/>
      <c r="U1155" s="11"/>
      <c r="V1155" s="8">
        <v>-2.4707503231048586</v>
      </c>
      <c r="W1155" s="8">
        <v>-19.509173622131346</v>
      </c>
      <c r="X1155" s="8">
        <f t="shared" si="71"/>
        <v>0.25682896270752309</v>
      </c>
      <c r="Y1155" s="6"/>
    </row>
    <row r="1156" spans="1:25" s="13" customFormat="1" x14ac:dyDescent="0.35">
      <c r="A1156" s="6" t="s">
        <v>25</v>
      </c>
      <c r="B1156" s="7" t="s">
        <v>1271</v>
      </c>
      <c r="C1156" s="6"/>
      <c r="D1156" s="6" t="s">
        <v>1272</v>
      </c>
      <c r="E1156" s="6">
        <v>3</v>
      </c>
      <c r="F1156" s="6">
        <v>34</v>
      </c>
      <c r="G1156" s="6" t="s">
        <v>1172</v>
      </c>
      <c r="H1156" s="6"/>
      <c r="I1156" s="8">
        <v>84.533711805555598</v>
      </c>
      <c r="J1156" s="8">
        <v>14.277858402777801</v>
      </c>
      <c r="K1156" s="6" t="s">
        <v>390</v>
      </c>
      <c r="L1156" s="9">
        <v>43927</v>
      </c>
      <c r="M1156" s="6"/>
      <c r="N1156" s="6">
        <v>28</v>
      </c>
      <c r="O1156" s="6" t="s">
        <v>4359</v>
      </c>
      <c r="P1156" s="6"/>
      <c r="Q1156" s="10"/>
      <c r="R1156" s="10"/>
      <c r="S1156" s="10"/>
      <c r="T1156" s="10"/>
      <c r="U1156" s="11"/>
      <c r="V1156" s="8">
        <v>0.35048111240565738</v>
      </c>
      <c r="W1156" s="8">
        <v>2.9805546665191649</v>
      </c>
      <c r="X1156" s="8">
        <f t="shared" si="71"/>
        <v>0.17670576727390586</v>
      </c>
      <c r="Y1156" s="6"/>
    </row>
    <row r="1157" spans="1:25" s="13" customFormat="1" x14ac:dyDescent="0.35">
      <c r="A1157" s="6" t="s">
        <v>25</v>
      </c>
      <c r="B1157" s="7" t="s">
        <v>1273</v>
      </c>
      <c r="C1157" s="6"/>
      <c r="D1157" s="6" t="s">
        <v>1274</v>
      </c>
      <c r="E1157" s="6">
        <v>3</v>
      </c>
      <c r="F1157" s="6">
        <v>34</v>
      </c>
      <c r="G1157" s="6" t="s">
        <v>719</v>
      </c>
      <c r="H1157" s="6"/>
      <c r="I1157" s="8">
        <v>84.533711805555598</v>
      </c>
      <c r="J1157" s="8">
        <v>14.277858402777801</v>
      </c>
      <c r="K1157" s="6" t="s">
        <v>719</v>
      </c>
      <c r="L1157" s="9">
        <v>43927</v>
      </c>
      <c r="M1157" s="6"/>
      <c r="N1157" s="6">
        <v>28</v>
      </c>
      <c r="O1157" s="6" t="s">
        <v>4359</v>
      </c>
      <c r="P1157" s="6"/>
      <c r="Q1157" s="10"/>
      <c r="R1157" s="10">
        <v>10</v>
      </c>
      <c r="S1157" s="10">
        <v>15</v>
      </c>
      <c r="T1157" s="10">
        <f t="shared" ref="T1157:T1180" si="72">AVERAGE(R1157:S1157)</f>
        <v>12.5</v>
      </c>
      <c r="U1157" s="11"/>
      <c r="V1157" s="8">
        <v>-2.9814414594173435</v>
      </c>
      <c r="W1157" s="8">
        <v>-23.37803039550781</v>
      </c>
      <c r="X1157" s="8">
        <f t="shared" si="71"/>
        <v>0.4735012798309377</v>
      </c>
      <c r="Y1157" s="6"/>
    </row>
    <row r="1158" spans="1:25" x14ac:dyDescent="0.35">
      <c r="A1158" s="6" t="s">
        <v>25</v>
      </c>
      <c r="B1158" s="7" t="s">
        <v>1275</v>
      </c>
      <c r="D1158" s="6" t="s">
        <v>1276</v>
      </c>
      <c r="E1158" s="6">
        <v>3</v>
      </c>
      <c r="F1158" s="6">
        <v>34</v>
      </c>
      <c r="G1158" s="6" t="s">
        <v>719</v>
      </c>
      <c r="I1158" s="8">
        <v>84.533711805555598</v>
      </c>
      <c r="J1158" s="8">
        <v>14.277858402777801</v>
      </c>
      <c r="K1158" s="6" t="s">
        <v>719</v>
      </c>
      <c r="L1158" s="9">
        <v>43927</v>
      </c>
      <c r="N1158" s="6">
        <v>28</v>
      </c>
      <c r="O1158" s="6" t="s">
        <v>4359</v>
      </c>
      <c r="Q1158" s="10"/>
      <c r="R1158" s="10">
        <v>5</v>
      </c>
      <c r="S1158" s="10">
        <v>10</v>
      </c>
      <c r="T1158" s="10">
        <f t="shared" si="72"/>
        <v>7.5</v>
      </c>
      <c r="U1158" s="11"/>
      <c r="V1158" s="8">
        <v>-2.4457040610313419</v>
      </c>
      <c r="W1158" s="8">
        <v>-19.159216079711914</v>
      </c>
      <c r="X1158" s="8">
        <f t="shared" si="71"/>
        <v>0.40641640853882066</v>
      </c>
    </row>
    <row r="1159" spans="1:25" x14ac:dyDescent="0.35">
      <c r="A1159" s="6" t="s">
        <v>25</v>
      </c>
      <c r="B1159" s="7" t="s">
        <v>1277</v>
      </c>
      <c r="D1159" s="6" t="s">
        <v>1278</v>
      </c>
      <c r="E1159" s="6">
        <v>3</v>
      </c>
      <c r="F1159" s="6">
        <v>34</v>
      </c>
      <c r="G1159" s="6" t="s">
        <v>719</v>
      </c>
      <c r="I1159" s="8">
        <v>84.533711805555598</v>
      </c>
      <c r="J1159" s="8">
        <v>14.277858402777801</v>
      </c>
      <c r="K1159" s="6" t="s">
        <v>719</v>
      </c>
      <c r="L1159" s="9">
        <v>43927</v>
      </c>
      <c r="N1159" s="6">
        <v>28</v>
      </c>
      <c r="O1159" s="6" t="s">
        <v>4359</v>
      </c>
      <c r="Q1159" s="10"/>
      <c r="R1159" s="10">
        <v>0</v>
      </c>
      <c r="S1159" s="10">
        <v>5</v>
      </c>
      <c r="T1159" s="10">
        <f t="shared" si="72"/>
        <v>2.5</v>
      </c>
      <c r="U1159" s="11"/>
      <c r="V1159" s="8">
        <v>-2.9609249600172047</v>
      </c>
      <c r="W1159" s="8">
        <v>-23.870099601745604</v>
      </c>
      <c r="X1159" s="8">
        <f t="shared" si="71"/>
        <v>-0.18269992160796633</v>
      </c>
    </row>
    <row r="1160" spans="1:25" x14ac:dyDescent="0.35">
      <c r="A1160" s="6" t="s">
        <v>25</v>
      </c>
      <c r="B1160" s="7" t="s">
        <v>1279</v>
      </c>
      <c r="D1160" s="6" t="s">
        <v>1280</v>
      </c>
      <c r="E1160" s="6">
        <v>3</v>
      </c>
      <c r="F1160" s="6">
        <v>34</v>
      </c>
      <c r="G1160" s="6" t="s">
        <v>719</v>
      </c>
      <c r="I1160" s="8">
        <v>84.533711805555598</v>
      </c>
      <c r="J1160" s="8">
        <v>14.277858402777801</v>
      </c>
      <c r="K1160" s="6" t="s">
        <v>719</v>
      </c>
      <c r="L1160" s="9">
        <v>43927</v>
      </c>
      <c r="N1160" s="6">
        <v>28</v>
      </c>
      <c r="O1160" s="6" t="s">
        <v>4359</v>
      </c>
      <c r="Q1160" s="10"/>
      <c r="R1160" s="10">
        <v>0</v>
      </c>
      <c r="S1160" s="10">
        <v>5</v>
      </c>
      <c r="T1160" s="10">
        <f t="shared" si="72"/>
        <v>2.5</v>
      </c>
      <c r="U1160" s="11"/>
      <c r="V1160" s="8">
        <v>-0.59684273469448113</v>
      </c>
      <c r="W1160" s="8">
        <v>-4.4265270137786867</v>
      </c>
      <c r="X1160" s="8">
        <f t="shared" si="71"/>
        <v>0.34821486377716226</v>
      </c>
    </row>
    <row r="1161" spans="1:25" x14ac:dyDescent="0.35">
      <c r="A1161" s="6" t="s">
        <v>25</v>
      </c>
      <c r="B1161" s="7" t="s">
        <v>1281</v>
      </c>
      <c r="D1161" s="6" t="s">
        <v>1282</v>
      </c>
      <c r="E1161" s="6">
        <v>3</v>
      </c>
      <c r="F1161" s="6">
        <v>34</v>
      </c>
      <c r="G1161" s="6" t="s">
        <v>719</v>
      </c>
      <c r="I1161" s="8">
        <v>84.533711805555598</v>
      </c>
      <c r="J1161" s="8">
        <v>14.277858402777801</v>
      </c>
      <c r="K1161" s="6" t="s">
        <v>719</v>
      </c>
      <c r="L1161" s="9">
        <v>43927</v>
      </c>
      <c r="N1161" s="6">
        <v>28</v>
      </c>
      <c r="O1161" s="6" t="s">
        <v>4359</v>
      </c>
      <c r="Q1161" s="10"/>
      <c r="R1161" s="10">
        <v>5</v>
      </c>
      <c r="S1161" s="10">
        <v>10</v>
      </c>
      <c r="T1161" s="10">
        <f t="shared" si="72"/>
        <v>7.5</v>
      </c>
      <c r="U1161" s="11"/>
      <c r="V1161" s="8">
        <v>-0.68259917539358184</v>
      </c>
      <c r="W1161" s="8">
        <v>-4.6465058803558348</v>
      </c>
      <c r="X1161" s="8">
        <f t="shared" si="71"/>
        <v>0.81428752279281991</v>
      </c>
    </row>
    <row r="1162" spans="1:25" x14ac:dyDescent="0.35">
      <c r="A1162" s="6" t="s">
        <v>25</v>
      </c>
      <c r="B1162" s="7" t="s">
        <v>1283</v>
      </c>
      <c r="D1162" s="6" t="s">
        <v>1284</v>
      </c>
      <c r="E1162" s="6">
        <v>3</v>
      </c>
      <c r="F1162" s="6">
        <v>34</v>
      </c>
      <c r="G1162" s="6" t="s">
        <v>719</v>
      </c>
      <c r="I1162" s="8">
        <v>84.533711805555598</v>
      </c>
      <c r="J1162" s="8">
        <v>14.277858402777801</v>
      </c>
      <c r="K1162" s="6" t="s">
        <v>719</v>
      </c>
      <c r="L1162" s="9">
        <v>43927</v>
      </c>
      <c r="N1162" s="6">
        <v>28</v>
      </c>
      <c r="O1162" s="6" t="s">
        <v>4359</v>
      </c>
      <c r="Q1162" s="10"/>
      <c r="R1162" s="10">
        <v>10</v>
      </c>
      <c r="S1162" s="10">
        <v>13</v>
      </c>
      <c r="T1162" s="10">
        <f t="shared" si="72"/>
        <v>11.5</v>
      </c>
      <c r="U1162" s="11"/>
      <c r="V1162" s="8">
        <v>-0.26326205091178434</v>
      </c>
      <c r="W1162" s="8">
        <v>-1.8046175885200497</v>
      </c>
      <c r="X1162" s="8">
        <f t="shared" si="71"/>
        <v>0.301478818774225</v>
      </c>
    </row>
    <row r="1163" spans="1:25" x14ac:dyDescent="0.35">
      <c r="A1163" s="6" t="s">
        <v>25</v>
      </c>
      <c r="B1163" s="6" t="s">
        <v>1239</v>
      </c>
      <c r="D1163" s="6" t="s">
        <v>1240</v>
      </c>
      <c r="E1163" s="6">
        <v>3</v>
      </c>
      <c r="F1163" s="6">
        <v>34</v>
      </c>
      <c r="G1163" s="6" t="s">
        <v>202</v>
      </c>
      <c r="I1163" s="8">
        <v>84.533711805555598</v>
      </c>
      <c r="J1163" s="8">
        <v>14.277858402777801</v>
      </c>
      <c r="K1163" s="6" t="s">
        <v>29</v>
      </c>
      <c r="L1163" s="9">
        <v>43927</v>
      </c>
      <c r="N1163" s="6">
        <v>28</v>
      </c>
      <c r="O1163" s="6" t="s">
        <v>4359</v>
      </c>
      <c r="Q1163" s="6">
        <v>0</v>
      </c>
      <c r="R1163" s="6">
        <v>0</v>
      </c>
      <c r="S1163" s="6">
        <v>5</v>
      </c>
      <c r="T1163" s="10">
        <f t="shared" si="72"/>
        <v>2.5</v>
      </c>
      <c r="V1163" s="8">
        <v>-2.078482134914398</v>
      </c>
      <c r="W1163" s="8">
        <v>-19.223417736053463</v>
      </c>
      <c r="X1163" s="8">
        <f t="shared" si="71"/>
        <v>-2.5955606567382787</v>
      </c>
    </row>
    <row r="1164" spans="1:25" x14ac:dyDescent="0.35">
      <c r="A1164" s="6" t="s">
        <v>25</v>
      </c>
      <c r="B1164" s="6" t="s">
        <v>1241</v>
      </c>
      <c r="D1164" s="6" t="s">
        <v>1240</v>
      </c>
      <c r="E1164" s="6">
        <v>3</v>
      </c>
      <c r="F1164" s="6">
        <v>34</v>
      </c>
      <c r="G1164" s="6" t="s">
        <v>202</v>
      </c>
      <c r="I1164" s="8">
        <v>84.533711805555598</v>
      </c>
      <c r="J1164" s="8">
        <v>14.277858402777801</v>
      </c>
      <c r="K1164" s="6" t="s">
        <v>29</v>
      </c>
      <c r="L1164" s="9">
        <v>43927</v>
      </c>
      <c r="N1164" s="6">
        <v>28</v>
      </c>
      <c r="O1164" s="6" t="s">
        <v>4359</v>
      </c>
      <c r="Q1164" s="6">
        <v>5</v>
      </c>
      <c r="R1164" s="6">
        <v>5</v>
      </c>
      <c r="S1164" s="6">
        <v>10</v>
      </c>
      <c r="T1164" s="10">
        <f t="shared" si="72"/>
        <v>7.5</v>
      </c>
      <c r="V1164" s="8">
        <v>-1.8808735317945482</v>
      </c>
      <c r="W1164" s="8">
        <v>-14.646994300842284</v>
      </c>
      <c r="X1164" s="8">
        <f t="shared" si="71"/>
        <v>0.39999395351410172</v>
      </c>
    </row>
    <row r="1165" spans="1:25" x14ac:dyDescent="0.35">
      <c r="A1165" s="6" t="s">
        <v>25</v>
      </c>
      <c r="B1165" s="6" t="s">
        <v>1242</v>
      </c>
      <c r="D1165" s="6" t="s">
        <v>1240</v>
      </c>
      <c r="E1165" s="6">
        <v>3</v>
      </c>
      <c r="F1165" s="6">
        <v>34</v>
      </c>
      <c r="G1165" s="6" t="s">
        <v>202</v>
      </c>
      <c r="I1165" s="8">
        <v>84.533711805555598</v>
      </c>
      <c r="J1165" s="8">
        <v>14.277858402777801</v>
      </c>
      <c r="K1165" s="6" t="s">
        <v>29</v>
      </c>
      <c r="L1165" s="9">
        <v>43927</v>
      </c>
      <c r="N1165" s="6">
        <v>28</v>
      </c>
      <c r="O1165" s="6" t="s">
        <v>4359</v>
      </c>
      <c r="Q1165" s="6">
        <v>10</v>
      </c>
      <c r="R1165" s="6">
        <v>10</v>
      </c>
      <c r="S1165" s="6">
        <v>20</v>
      </c>
      <c r="T1165" s="10">
        <f t="shared" si="72"/>
        <v>15</v>
      </c>
      <c r="V1165" s="8">
        <v>-3.2364069028854372</v>
      </c>
      <c r="W1165" s="8">
        <v>-24.635982738494871</v>
      </c>
      <c r="X1165" s="8">
        <f t="shared" si="71"/>
        <v>1.2552724845886267</v>
      </c>
    </row>
    <row r="1166" spans="1:25" x14ac:dyDescent="0.35">
      <c r="A1166" s="6" t="s">
        <v>25</v>
      </c>
      <c r="B1166" s="6" t="s">
        <v>1243</v>
      </c>
      <c r="D1166" s="6" t="s">
        <v>1240</v>
      </c>
      <c r="E1166" s="6">
        <v>3</v>
      </c>
      <c r="F1166" s="6">
        <v>34</v>
      </c>
      <c r="G1166" s="6" t="s">
        <v>202</v>
      </c>
      <c r="I1166" s="8">
        <v>84.533711805555598</v>
      </c>
      <c r="J1166" s="8">
        <v>14.277858402777801</v>
      </c>
      <c r="K1166" s="6" t="s">
        <v>29</v>
      </c>
      <c r="L1166" s="9">
        <v>43927</v>
      </c>
      <c r="N1166" s="6">
        <v>28</v>
      </c>
      <c r="O1166" s="6" t="s">
        <v>4359</v>
      </c>
      <c r="Q1166" s="6">
        <v>20</v>
      </c>
      <c r="R1166" s="6">
        <v>20</v>
      </c>
      <c r="S1166" s="6">
        <v>30</v>
      </c>
      <c r="T1166" s="10">
        <f t="shared" si="72"/>
        <v>25</v>
      </c>
      <c r="V1166" s="8">
        <v>2.647956901937689E-2</v>
      </c>
      <c r="W1166" s="8">
        <v>0.95479580163955713</v>
      </c>
      <c r="X1166" s="8">
        <f t="shared" si="71"/>
        <v>0.74295924948454206</v>
      </c>
    </row>
    <row r="1167" spans="1:25" x14ac:dyDescent="0.35">
      <c r="A1167" s="6" t="s">
        <v>25</v>
      </c>
      <c r="B1167" s="6" t="s">
        <v>1244</v>
      </c>
      <c r="D1167" s="6" t="s">
        <v>1240</v>
      </c>
      <c r="E1167" s="6">
        <v>3</v>
      </c>
      <c r="F1167" s="6">
        <v>34</v>
      </c>
      <c r="G1167" s="6" t="s">
        <v>202</v>
      </c>
      <c r="I1167" s="8">
        <v>84.533711805555598</v>
      </c>
      <c r="J1167" s="8">
        <v>14.277858402777801</v>
      </c>
      <c r="K1167" s="6" t="s">
        <v>29</v>
      </c>
      <c r="L1167" s="9">
        <v>43927</v>
      </c>
      <c r="N1167" s="6">
        <v>28</v>
      </c>
      <c r="O1167" s="6" t="s">
        <v>4359</v>
      </c>
      <c r="Q1167" s="6">
        <v>30</v>
      </c>
      <c r="R1167" s="6">
        <v>30</v>
      </c>
      <c r="S1167" s="6">
        <v>40</v>
      </c>
      <c r="T1167" s="10">
        <f t="shared" si="72"/>
        <v>35</v>
      </c>
      <c r="V1167" s="8">
        <v>0.31401469733715009</v>
      </c>
      <c r="W1167" s="8">
        <v>2.719219946861267</v>
      </c>
      <c r="X1167" s="8">
        <f t="shared" si="71"/>
        <v>0.20710236816406624</v>
      </c>
    </row>
    <row r="1168" spans="1:25" x14ac:dyDescent="0.35">
      <c r="A1168" s="6" t="s">
        <v>25</v>
      </c>
      <c r="B1168" s="6" t="s">
        <v>1245</v>
      </c>
      <c r="D1168" s="6" t="s">
        <v>1240</v>
      </c>
      <c r="E1168" s="6">
        <v>3</v>
      </c>
      <c r="F1168" s="6">
        <v>34</v>
      </c>
      <c r="G1168" s="6" t="s">
        <v>202</v>
      </c>
      <c r="I1168" s="8">
        <v>84.533711805555598</v>
      </c>
      <c r="J1168" s="8">
        <v>14.277858402777801</v>
      </c>
      <c r="K1168" s="6" t="s">
        <v>29</v>
      </c>
      <c r="L1168" s="9">
        <v>43927</v>
      </c>
      <c r="N1168" s="6">
        <v>28</v>
      </c>
      <c r="O1168" s="6" t="s">
        <v>4359</v>
      </c>
      <c r="Q1168" s="6">
        <v>40</v>
      </c>
      <c r="R1168" s="6">
        <v>40</v>
      </c>
      <c r="S1168" s="6">
        <v>50</v>
      </c>
      <c r="T1168" s="10">
        <f t="shared" si="72"/>
        <v>45</v>
      </c>
      <c r="V1168" s="8">
        <v>0.4267754772245882</v>
      </c>
      <c r="W1168" s="8">
        <v>3.6277334976196296</v>
      </c>
      <c r="X1168" s="8">
        <f t="shared" si="71"/>
        <v>0.21352967982292403</v>
      </c>
    </row>
    <row r="1169" spans="1:25" x14ac:dyDescent="0.35">
      <c r="A1169" s="6" t="s">
        <v>25</v>
      </c>
      <c r="B1169" s="6" t="s">
        <v>1246</v>
      </c>
      <c r="D1169" s="6" t="s">
        <v>1240</v>
      </c>
      <c r="E1169" s="6">
        <v>3</v>
      </c>
      <c r="F1169" s="6">
        <v>34</v>
      </c>
      <c r="G1169" s="6" t="s">
        <v>202</v>
      </c>
      <c r="I1169" s="8">
        <v>84.533711805555598</v>
      </c>
      <c r="J1169" s="8">
        <v>14.277858402777801</v>
      </c>
      <c r="K1169" s="6" t="s">
        <v>29</v>
      </c>
      <c r="L1169" s="9">
        <v>43927</v>
      </c>
      <c r="N1169" s="6">
        <v>28</v>
      </c>
      <c r="O1169" s="6" t="s">
        <v>4359</v>
      </c>
      <c r="Q1169" s="6">
        <v>50</v>
      </c>
      <c r="R1169" s="6">
        <v>50</v>
      </c>
      <c r="S1169" s="6">
        <v>60</v>
      </c>
      <c r="T1169" s="10">
        <f t="shared" si="72"/>
        <v>55</v>
      </c>
      <c r="V1169" s="8">
        <v>0.74938205596208574</v>
      </c>
      <c r="W1169" s="8">
        <v>6.1088734626770016</v>
      </c>
      <c r="X1169" s="8">
        <f t="shared" si="71"/>
        <v>0.11381701498031571</v>
      </c>
    </row>
    <row r="1170" spans="1:25" x14ac:dyDescent="0.35">
      <c r="A1170" s="6" t="s">
        <v>25</v>
      </c>
      <c r="B1170" s="6" t="s">
        <v>1247</v>
      </c>
      <c r="D1170" s="6" t="s">
        <v>1240</v>
      </c>
      <c r="E1170" s="6">
        <v>3</v>
      </c>
      <c r="F1170" s="6">
        <v>34</v>
      </c>
      <c r="G1170" s="6" t="s">
        <v>202</v>
      </c>
      <c r="I1170" s="8">
        <v>84.533711805555598</v>
      </c>
      <c r="J1170" s="8">
        <v>14.277858402777801</v>
      </c>
      <c r="K1170" s="6" t="s">
        <v>29</v>
      </c>
      <c r="L1170" s="9">
        <v>43927</v>
      </c>
      <c r="N1170" s="6">
        <v>28</v>
      </c>
      <c r="O1170" s="6" t="s">
        <v>4359</v>
      </c>
      <c r="Q1170" s="6">
        <v>60</v>
      </c>
      <c r="R1170" s="6">
        <v>60</v>
      </c>
      <c r="S1170" s="6">
        <v>70</v>
      </c>
      <c r="T1170" s="10">
        <f t="shared" si="72"/>
        <v>65</v>
      </c>
      <c r="V1170" s="8">
        <v>0.84054979785680728</v>
      </c>
      <c r="W1170" s="8">
        <v>6.9819238185882577</v>
      </c>
      <c r="X1170" s="8">
        <f t="shared" si="71"/>
        <v>0.25752543573379949</v>
      </c>
    </row>
    <row r="1171" spans="1:25" x14ac:dyDescent="0.35">
      <c r="A1171" s="6" t="s">
        <v>25</v>
      </c>
      <c r="B1171" s="6" t="s">
        <v>1248</v>
      </c>
      <c r="D1171" s="6" t="s">
        <v>1240</v>
      </c>
      <c r="E1171" s="6">
        <v>3</v>
      </c>
      <c r="F1171" s="6">
        <v>34</v>
      </c>
      <c r="G1171" s="6" t="s">
        <v>202</v>
      </c>
      <c r="I1171" s="8">
        <v>84.533711805555598</v>
      </c>
      <c r="J1171" s="8">
        <v>14.277858402777801</v>
      </c>
      <c r="K1171" s="6" t="s">
        <v>29</v>
      </c>
      <c r="L1171" s="9">
        <v>43927</v>
      </c>
      <c r="N1171" s="6">
        <v>28</v>
      </c>
      <c r="O1171" s="6" t="s">
        <v>4359</v>
      </c>
      <c r="Q1171" s="6">
        <v>70</v>
      </c>
      <c r="R1171" s="6">
        <v>70</v>
      </c>
      <c r="S1171" s="6">
        <v>80</v>
      </c>
      <c r="T1171" s="10">
        <f t="shared" si="72"/>
        <v>75</v>
      </c>
      <c r="V1171" s="8">
        <v>0.75333284583091764</v>
      </c>
      <c r="W1171" s="8">
        <v>6.5501335620880123</v>
      </c>
      <c r="X1171" s="8">
        <f t="shared" si="71"/>
        <v>0.52347079544067121</v>
      </c>
    </row>
    <row r="1172" spans="1:25" x14ac:dyDescent="0.35">
      <c r="A1172" s="6" t="s">
        <v>25</v>
      </c>
      <c r="B1172" s="6" t="s">
        <v>1249</v>
      </c>
      <c r="D1172" s="6" t="s">
        <v>1240</v>
      </c>
      <c r="E1172" s="6">
        <v>3</v>
      </c>
      <c r="F1172" s="6">
        <v>34</v>
      </c>
      <c r="G1172" s="6" t="s">
        <v>202</v>
      </c>
      <c r="I1172" s="8">
        <v>84.533711805555598</v>
      </c>
      <c r="J1172" s="8">
        <v>14.277858402777801</v>
      </c>
      <c r="K1172" s="6" t="s">
        <v>29</v>
      </c>
      <c r="L1172" s="9">
        <v>43927</v>
      </c>
      <c r="N1172" s="6">
        <v>28</v>
      </c>
      <c r="O1172" s="6" t="s">
        <v>4359</v>
      </c>
      <c r="Q1172" s="6">
        <v>80</v>
      </c>
      <c r="R1172" s="6">
        <v>80</v>
      </c>
      <c r="S1172" s="6">
        <v>90</v>
      </c>
      <c r="T1172" s="10">
        <f t="shared" si="72"/>
        <v>85</v>
      </c>
      <c r="V1172" s="8">
        <v>0.36195197402834861</v>
      </c>
      <c r="W1172" s="8">
        <v>3.5549897766113281</v>
      </c>
      <c r="X1172" s="8">
        <f t="shared" si="71"/>
        <v>0.6593739843845392</v>
      </c>
    </row>
    <row r="1173" spans="1:25" x14ac:dyDescent="0.35">
      <c r="A1173" s="6" t="s">
        <v>25</v>
      </c>
      <c r="B1173" s="6" t="s">
        <v>1250</v>
      </c>
      <c r="D1173" s="6" t="s">
        <v>1240</v>
      </c>
      <c r="E1173" s="6">
        <v>3</v>
      </c>
      <c r="F1173" s="6">
        <v>34</v>
      </c>
      <c r="G1173" s="6" t="s">
        <v>202</v>
      </c>
      <c r="I1173" s="8">
        <v>84.533711805555598</v>
      </c>
      <c r="J1173" s="8">
        <v>14.277858402777801</v>
      </c>
      <c r="K1173" s="6" t="s">
        <v>29</v>
      </c>
      <c r="L1173" s="9">
        <v>43927</v>
      </c>
      <c r="N1173" s="6">
        <v>28</v>
      </c>
      <c r="O1173" s="6" t="s">
        <v>4359</v>
      </c>
      <c r="Q1173" s="6">
        <v>90</v>
      </c>
      <c r="R1173" s="6">
        <v>90</v>
      </c>
      <c r="S1173" s="6">
        <v>100</v>
      </c>
      <c r="T1173" s="10">
        <f t="shared" si="72"/>
        <v>95</v>
      </c>
      <c r="V1173" s="8">
        <v>0.11317237704396212</v>
      </c>
      <c r="W1173" s="8">
        <v>1.5427320384979248</v>
      </c>
      <c r="X1173" s="8">
        <f t="shared" si="71"/>
        <v>0.63735302214622791</v>
      </c>
    </row>
    <row r="1174" spans="1:25" x14ac:dyDescent="0.35">
      <c r="A1174" s="6" t="s">
        <v>25</v>
      </c>
      <c r="B1174" s="6" t="s">
        <v>1251</v>
      </c>
      <c r="D1174" s="6" t="s">
        <v>1240</v>
      </c>
      <c r="E1174" s="6">
        <v>3</v>
      </c>
      <c r="F1174" s="6">
        <v>34</v>
      </c>
      <c r="G1174" s="6" t="s">
        <v>202</v>
      </c>
      <c r="I1174" s="8">
        <v>84.533711805555598</v>
      </c>
      <c r="J1174" s="8">
        <v>14.277858402777801</v>
      </c>
      <c r="K1174" s="6" t="s">
        <v>29</v>
      </c>
      <c r="L1174" s="9">
        <v>43927</v>
      </c>
      <c r="N1174" s="6">
        <v>28</v>
      </c>
      <c r="O1174" s="6" t="s">
        <v>4359</v>
      </c>
      <c r="Q1174" s="6">
        <v>100</v>
      </c>
      <c r="R1174" s="6">
        <v>100</v>
      </c>
      <c r="S1174" s="6">
        <v>110</v>
      </c>
      <c r="T1174" s="10">
        <f t="shared" si="72"/>
        <v>105</v>
      </c>
      <c r="V1174" s="8">
        <v>-3.9374892449379348E-2</v>
      </c>
      <c r="W1174" s="8">
        <v>0.12861275672912587</v>
      </c>
      <c r="X1174" s="8">
        <f t="shared" si="71"/>
        <v>0.44361189632416065</v>
      </c>
    </row>
    <row r="1175" spans="1:25" x14ac:dyDescent="0.35">
      <c r="A1175" s="6" t="s">
        <v>25</v>
      </c>
      <c r="B1175" s="6" t="s">
        <v>1252</v>
      </c>
      <c r="D1175" s="6" t="s">
        <v>1240</v>
      </c>
      <c r="E1175" s="6">
        <v>3</v>
      </c>
      <c r="F1175" s="6">
        <v>34</v>
      </c>
      <c r="G1175" s="6" t="s">
        <v>202</v>
      </c>
      <c r="I1175" s="8">
        <v>84.533711805555598</v>
      </c>
      <c r="J1175" s="8">
        <v>14.277858402777801</v>
      </c>
      <c r="K1175" s="6" t="s">
        <v>29</v>
      </c>
      <c r="L1175" s="9">
        <v>43927</v>
      </c>
      <c r="N1175" s="6">
        <v>28</v>
      </c>
      <c r="O1175" s="6" t="s">
        <v>4359</v>
      </c>
      <c r="Q1175" s="6">
        <v>110</v>
      </c>
      <c r="R1175" s="6">
        <v>110</v>
      </c>
      <c r="S1175" s="6">
        <v>120</v>
      </c>
      <c r="T1175" s="10">
        <f t="shared" si="72"/>
        <v>115</v>
      </c>
      <c r="V1175" s="8">
        <v>-0.10006457871794699</v>
      </c>
      <c r="W1175" s="8">
        <v>-0.93801556944847153</v>
      </c>
      <c r="X1175" s="8">
        <f t="shared" si="71"/>
        <v>-0.13749893970489557</v>
      </c>
    </row>
    <row r="1176" spans="1:25" x14ac:dyDescent="0.35">
      <c r="A1176" s="6" t="s">
        <v>25</v>
      </c>
      <c r="B1176" s="6" t="s">
        <v>1253</v>
      </c>
      <c r="D1176" s="6" t="s">
        <v>1240</v>
      </c>
      <c r="E1176" s="6">
        <v>3</v>
      </c>
      <c r="F1176" s="6">
        <v>34</v>
      </c>
      <c r="G1176" s="6" t="s">
        <v>202</v>
      </c>
      <c r="I1176" s="8">
        <v>84.533711805555598</v>
      </c>
      <c r="J1176" s="8">
        <v>14.277858402777801</v>
      </c>
      <c r="K1176" s="6" t="s">
        <v>29</v>
      </c>
      <c r="L1176" s="9">
        <v>43927</v>
      </c>
      <c r="N1176" s="6">
        <v>28</v>
      </c>
      <c r="O1176" s="6" t="s">
        <v>4359</v>
      </c>
      <c r="Q1176" s="6">
        <v>120</v>
      </c>
      <c r="R1176" s="6">
        <v>120</v>
      </c>
      <c r="S1176" s="6">
        <v>130</v>
      </c>
      <c r="T1176" s="10">
        <f t="shared" si="72"/>
        <v>125</v>
      </c>
      <c r="V1176" s="8">
        <v>-0.12746951048672239</v>
      </c>
      <c r="W1176" s="8">
        <v>-0.84778154377639303</v>
      </c>
      <c r="X1176" s="8">
        <f t="shared" si="71"/>
        <v>0.17197454011738611</v>
      </c>
    </row>
    <row r="1177" spans="1:25" x14ac:dyDescent="0.35">
      <c r="A1177" s="6" t="s">
        <v>25</v>
      </c>
      <c r="B1177" s="6" t="s">
        <v>1254</v>
      </c>
      <c r="D1177" s="6" t="s">
        <v>1240</v>
      </c>
      <c r="E1177" s="6">
        <v>3</v>
      </c>
      <c r="F1177" s="6">
        <v>34</v>
      </c>
      <c r="G1177" s="6" t="s">
        <v>202</v>
      </c>
      <c r="I1177" s="8">
        <v>84.533711805555598</v>
      </c>
      <c r="J1177" s="8">
        <v>14.277858402777801</v>
      </c>
      <c r="K1177" s="6" t="s">
        <v>29</v>
      </c>
      <c r="L1177" s="9">
        <v>43927</v>
      </c>
      <c r="N1177" s="6">
        <v>28</v>
      </c>
      <c r="O1177" s="6" t="s">
        <v>4359</v>
      </c>
      <c r="Q1177" s="6">
        <v>130</v>
      </c>
      <c r="R1177" s="6">
        <v>130</v>
      </c>
      <c r="S1177" s="6">
        <v>140</v>
      </c>
      <c r="T1177" s="10">
        <f t="shared" si="72"/>
        <v>135</v>
      </c>
      <c r="V1177" s="8">
        <v>0.1615549732461567</v>
      </c>
      <c r="W1177" s="8">
        <v>1.3553138236999511</v>
      </c>
      <c r="X1177" s="8">
        <f t="shared" si="71"/>
        <v>6.2874037730697552E-2</v>
      </c>
    </row>
    <row r="1178" spans="1:25" x14ac:dyDescent="0.35">
      <c r="A1178" s="6" t="s">
        <v>25</v>
      </c>
      <c r="B1178" s="6" t="s">
        <v>1255</v>
      </c>
      <c r="D1178" s="6" t="s">
        <v>1240</v>
      </c>
      <c r="E1178" s="6">
        <v>3</v>
      </c>
      <c r="F1178" s="6">
        <v>34</v>
      </c>
      <c r="G1178" s="6" t="s">
        <v>202</v>
      </c>
      <c r="I1178" s="8">
        <v>84.533711805555598</v>
      </c>
      <c r="J1178" s="8">
        <v>14.277858402777801</v>
      </c>
      <c r="K1178" s="6" t="s">
        <v>29</v>
      </c>
      <c r="L1178" s="9">
        <v>43927</v>
      </c>
      <c r="N1178" s="6">
        <v>28</v>
      </c>
      <c r="O1178" s="6" t="s">
        <v>4359</v>
      </c>
      <c r="Q1178" s="6">
        <v>140</v>
      </c>
      <c r="R1178" s="6">
        <v>140</v>
      </c>
      <c r="S1178" s="6">
        <v>150</v>
      </c>
      <c r="T1178" s="10">
        <f t="shared" si="72"/>
        <v>145</v>
      </c>
      <c r="V1178" s="8">
        <v>0.4264890546739098</v>
      </c>
      <c r="W1178" s="8">
        <v>3.934829404830932</v>
      </c>
      <c r="X1178" s="8">
        <f t="shared" si="71"/>
        <v>0.52291696743965366</v>
      </c>
    </row>
    <row r="1179" spans="1:25" x14ac:dyDescent="0.35">
      <c r="A1179" s="6" t="s">
        <v>25</v>
      </c>
      <c r="B1179" s="6" t="s">
        <v>1256</v>
      </c>
      <c r="D1179" s="6" t="s">
        <v>1240</v>
      </c>
      <c r="E1179" s="6">
        <v>3</v>
      </c>
      <c r="F1179" s="6">
        <v>34</v>
      </c>
      <c r="G1179" s="6" t="s">
        <v>202</v>
      </c>
      <c r="I1179" s="8">
        <v>84.533711805555598</v>
      </c>
      <c r="J1179" s="8">
        <v>14.277858402777801</v>
      </c>
      <c r="K1179" s="6" t="s">
        <v>29</v>
      </c>
      <c r="L1179" s="9">
        <v>43927</v>
      </c>
      <c r="N1179" s="6">
        <v>28</v>
      </c>
      <c r="O1179" s="6" t="s">
        <v>4359</v>
      </c>
      <c r="Q1179" s="6">
        <v>150</v>
      </c>
      <c r="R1179" s="6">
        <v>150</v>
      </c>
      <c r="S1179" s="6">
        <v>160</v>
      </c>
      <c r="T1179" s="10">
        <f t="shared" si="72"/>
        <v>155</v>
      </c>
      <c r="V1179" s="8">
        <v>0.69872890641689267</v>
      </c>
      <c r="W1179" s="8">
        <v>5.7196599750518802</v>
      </c>
      <c r="X1179" s="8">
        <f t="shared" si="71"/>
        <v>0.12982872371673881</v>
      </c>
    </row>
    <row r="1180" spans="1:25" x14ac:dyDescent="0.35">
      <c r="A1180" s="6" t="s">
        <v>25</v>
      </c>
      <c r="B1180" s="6" t="s">
        <v>1257</v>
      </c>
      <c r="D1180" s="6" t="s">
        <v>1240</v>
      </c>
      <c r="E1180" s="6">
        <v>3</v>
      </c>
      <c r="F1180" s="6">
        <v>34</v>
      </c>
      <c r="G1180" s="6" t="s">
        <v>202</v>
      </c>
      <c r="I1180" s="8">
        <v>84.533711805555598</v>
      </c>
      <c r="J1180" s="8">
        <v>14.277858402777801</v>
      </c>
      <c r="K1180" s="6" t="s">
        <v>29</v>
      </c>
      <c r="L1180" s="9">
        <v>43927</v>
      </c>
      <c r="N1180" s="6">
        <v>28</v>
      </c>
      <c r="O1180" s="6" t="s">
        <v>4359</v>
      </c>
      <c r="Q1180" s="6">
        <v>160</v>
      </c>
      <c r="R1180" s="6">
        <v>160</v>
      </c>
      <c r="S1180" s="6">
        <v>163</v>
      </c>
      <c r="T1180" s="10">
        <f t="shared" si="72"/>
        <v>161.5</v>
      </c>
      <c r="V1180" s="8">
        <v>1.1466270573377606</v>
      </c>
      <c r="W1180" s="8">
        <v>9.479408176422119</v>
      </c>
      <c r="X1180" s="8">
        <f t="shared" si="71"/>
        <v>0.30639171772003415</v>
      </c>
    </row>
    <row r="1181" spans="1:25" x14ac:dyDescent="0.35">
      <c r="A1181" s="6" t="s">
        <v>25</v>
      </c>
      <c r="B1181" s="6" t="s">
        <v>3472</v>
      </c>
      <c r="D1181" s="6" t="s">
        <v>3774</v>
      </c>
      <c r="E1181" s="6">
        <v>3</v>
      </c>
      <c r="F1181" s="6">
        <v>35</v>
      </c>
      <c r="G1181" s="6" t="s">
        <v>4076</v>
      </c>
      <c r="I1181" s="8">
        <v>84.533711805555598</v>
      </c>
      <c r="J1181" s="8">
        <v>14.277858402777801</v>
      </c>
      <c r="K1181" s="6" t="s">
        <v>2610</v>
      </c>
      <c r="L1181" s="9">
        <v>43927</v>
      </c>
      <c r="N1181" s="6">
        <v>28</v>
      </c>
      <c r="O1181" s="6" t="s">
        <v>4359</v>
      </c>
      <c r="V1181" s="8">
        <v>-0.65347429468631746</v>
      </c>
      <c r="W1181" s="8">
        <v>-4.3559687276840213</v>
      </c>
      <c r="X1181" s="27">
        <f t="shared" si="71"/>
        <v>0.87182562980651834</v>
      </c>
    </row>
    <row r="1182" spans="1:25" x14ac:dyDescent="0.35">
      <c r="A1182" s="6" t="s">
        <v>25</v>
      </c>
      <c r="B1182" s="6" t="s">
        <v>2865</v>
      </c>
      <c r="D1182" s="6" t="s">
        <v>3138</v>
      </c>
      <c r="E1182" s="6">
        <v>3</v>
      </c>
      <c r="F1182" s="6">
        <v>35</v>
      </c>
      <c r="G1182" s="6" t="s">
        <v>3316</v>
      </c>
      <c r="I1182" s="8">
        <v>84.533711805555598</v>
      </c>
      <c r="J1182" s="8">
        <v>14.277858402777801</v>
      </c>
      <c r="K1182" s="6" t="s">
        <v>198</v>
      </c>
      <c r="L1182" s="9">
        <v>43927</v>
      </c>
      <c r="M1182" s="18">
        <v>0.33333333333333331</v>
      </c>
      <c r="N1182" s="6">
        <v>28</v>
      </c>
      <c r="O1182" s="6" t="s">
        <v>4359</v>
      </c>
      <c r="R1182" s="6">
        <v>14</v>
      </c>
      <c r="S1182" s="6">
        <v>11</v>
      </c>
      <c r="V1182" s="8">
        <v>-20.025091714668275</v>
      </c>
      <c r="W1182" s="8">
        <v>-144.07896752319337</v>
      </c>
      <c r="X1182" s="8">
        <f t="shared" si="71"/>
        <v>16.121766194152826</v>
      </c>
    </row>
    <row r="1183" spans="1:25" x14ac:dyDescent="0.35">
      <c r="A1183" s="6" t="s">
        <v>25</v>
      </c>
      <c r="B1183" s="6" t="s">
        <v>2866</v>
      </c>
      <c r="D1183" s="6" t="s">
        <v>3138</v>
      </c>
      <c r="E1183" s="6">
        <v>3</v>
      </c>
      <c r="F1183" s="6">
        <v>35</v>
      </c>
      <c r="G1183" s="6" t="s">
        <v>3316</v>
      </c>
      <c r="I1183" s="8">
        <v>84.533711805555598</v>
      </c>
      <c r="J1183" s="8">
        <v>14.277858402777801</v>
      </c>
      <c r="K1183" s="6" t="s">
        <v>198</v>
      </c>
      <c r="L1183" s="9">
        <v>43927</v>
      </c>
      <c r="M1183" s="18">
        <v>0.33333333333333331</v>
      </c>
      <c r="N1183" s="6">
        <v>28</v>
      </c>
      <c r="O1183" s="6" t="s">
        <v>4359</v>
      </c>
      <c r="R1183" s="6">
        <v>11</v>
      </c>
      <c r="S1183" s="6">
        <v>7</v>
      </c>
      <c r="V1183" s="8">
        <v>-7.9450093226909644</v>
      </c>
      <c r="W1183" s="8">
        <v>-60.249273042297361</v>
      </c>
      <c r="X1183" s="8">
        <f t="shared" si="71"/>
        <v>3.3108015392303543</v>
      </c>
    </row>
    <row r="1184" spans="1:25" x14ac:dyDescent="0.35">
      <c r="A1184" s="6" t="s">
        <v>25</v>
      </c>
      <c r="B1184" s="6" t="s">
        <v>2867</v>
      </c>
      <c r="D1184" s="6" t="s">
        <v>3138</v>
      </c>
      <c r="E1184" s="6">
        <v>3</v>
      </c>
      <c r="F1184" s="6">
        <v>35</v>
      </c>
      <c r="G1184" s="6" t="s">
        <v>3316</v>
      </c>
      <c r="I1184" s="8">
        <v>84.533711805555598</v>
      </c>
      <c r="J1184" s="8">
        <v>14.277858402777801</v>
      </c>
      <c r="K1184" s="6" t="s">
        <v>198</v>
      </c>
      <c r="L1184" s="9">
        <v>43927</v>
      </c>
      <c r="M1184" s="18">
        <v>0.33333333333333331</v>
      </c>
      <c r="N1184" s="6">
        <v>28</v>
      </c>
      <c r="O1184" s="6" t="s">
        <v>4359</v>
      </c>
      <c r="R1184" s="6">
        <v>7</v>
      </c>
      <c r="S1184" s="6">
        <v>3</v>
      </c>
      <c r="V1184" s="8">
        <v>-5.2590227210998544</v>
      </c>
      <c r="W1184" s="8">
        <v>-43.631719609832764</v>
      </c>
      <c r="X1184" s="8">
        <f t="shared" si="71"/>
        <v>-1.5595378410339293</v>
      </c>
      <c r="Y1184" s="6" t="s">
        <v>3186</v>
      </c>
    </row>
    <row r="1185" spans="1:25" x14ac:dyDescent="0.35">
      <c r="A1185" s="6" t="s">
        <v>25</v>
      </c>
      <c r="B1185" s="7" t="s">
        <v>1285</v>
      </c>
      <c r="D1185" s="6" t="s">
        <v>1286</v>
      </c>
      <c r="E1185" s="6">
        <v>3</v>
      </c>
      <c r="F1185" s="6">
        <v>34</v>
      </c>
      <c r="G1185" s="6" t="s">
        <v>60</v>
      </c>
      <c r="I1185" s="8">
        <v>84.499290694444397</v>
      </c>
      <c r="J1185" s="8">
        <v>14.534291805555601</v>
      </c>
      <c r="K1185" s="7" t="s">
        <v>2610</v>
      </c>
      <c r="L1185" s="9">
        <v>43928</v>
      </c>
      <c r="N1185" s="6">
        <v>28</v>
      </c>
      <c r="O1185" s="6" t="s">
        <v>4360</v>
      </c>
      <c r="Q1185" s="10">
        <v>500</v>
      </c>
      <c r="R1185" s="10"/>
      <c r="S1185" s="10">
        <v>500</v>
      </c>
      <c r="T1185" s="10">
        <f>AVERAGE(R1185:S1185)</f>
        <v>500</v>
      </c>
      <c r="U1185" s="11"/>
      <c r="V1185" s="8">
        <v>-0.68478795604705833</v>
      </c>
      <c r="W1185" s="8">
        <v>-4.0511530017852788</v>
      </c>
      <c r="X1185" s="8">
        <f t="shared" si="71"/>
        <v>1.4271506465911878</v>
      </c>
    </row>
    <row r="1186" spans="1:25" x14ac:dyDescent="0.35">
      <c r="A1186" s="6" t="s">
        <v>25</v>
      </c>
      <c r="B1186" s="6" t="s">
        <v>3473</v>
      </c>
      <c r="D1186" s="6" t="s">
        <v>3775</v>
      </c>
      <c r="E1186" s="6">
        <v>3</v>
      </c>
      <c r="F1186" s="6">
        <v>35</v>
      </c>
      <c r="G1186" s="6" t="s">
        <v>4077</v>
      </c>
      <c r="I1186" s="8">
        <v>84.499290694444397</v>
      </c>
      <c r="J1186" s="8">
        <v>14.534291805555601</v>
      </c>
      <c r="K1186" s="6" t="s">
        <v>2610</v>
      </c>
      <c r="L1186" s="9">
        <v>43928</v>
      </c>
      <c r="N1186" s="6">
        <v>28</v>
      </c>
      <c r="O1186" s="6" t="s">
        <v>4360</v>
      </c>
      <c r="V1186" s="8">
        <v>-0.71293345263004304</v>
      </c>
      <c r="W1186" s="8">
        <v>-3.5407950721740726</v>
      </c>
      <c r="X1186" s="27">
        <f t="shared" si="71"/>
        <v>2.1626725488662717</v>
      </c>
    </row>
    <row r="1187" spans="1:25" x14ac:dyDescent="0.35">
      <c r="A1187" s="6" t="s">
        <v>25</v>
      </c>
      <c r="B1187" s="6" t="s">
        <v>3474</v>
      </c>
      <c r="D1187" s="6" t="s">
        <v>3776</v>
      </c>
      <c r="E1187" s="6">
        <v>3</v>
      </c>
      <c r="F1187" s="6">
        <v>35</v>
      </c>
      <c r="G1187" s="6" t="s">
        <v>4078</v>
      </c>
      <c r="I1187" s="8">
        <v>84.483007000000001</v>
      </c>
      <c r="J1187" s="8">
        <v>14.628226</v>
      </c>
      <c r="K1187" s="6" t="s">
        <v>2610</v>
      </c>
      <c r="L1187" s="9">
        <v>43929</v>
      </c>
      <c r="N1187" s="6">
        <v>28</v>
      </c>
      <c r="O1187" s="6" t="s">
        <v>4357</v>
      </c>
      <c r="V1187" s="8">
        <v>-0.61429413249492681</v>
      </c>
      <c r="W1187" s="8">
        <v>-3.6751893268585207</v>
      </c>
      <c r="X1187" s="27">
        <f t="shared" si="71"/>
        <v>1.2391637331008938</v>
      </c>
    </row>
    <row r="1188" spans="1:25" x14ac:dyDescent="0.35">
      <c r="A1188" s="6" t="s">
        <v>25</v>
      </c>
      <c r="B1188" s="6" t="s">
        <v>2871</v>
      </c>
      <c r="D1188" s="6" t="s">
        <v>3140</v>
      </c>
      <c r="E1188" s="6">
        <v>3</v>
      </c>
      <c r="F1188" s="6">
        <v>35</v>
      </c>
      <c r="G1188" s="6" t="s">
        <v>3318</v>
      </c>
      <c r="I1188" s="8">
        <v>84.483007000000001</v>
      </c>
      <c r="J1188" s="8">
        <v>14.628226</v>
      </c>
      <c r="K1188" s="6" t="s">
        <v>198</v>
      </c>
      <c r="L1188" s="9">
        <v>43929</v>
      </c>
      <c r="M1188" s="18">
        <v>0.31944444444444448</v>
      </c>
      <c r="N1188" s="6">
        <v>28</v>
      </c>
      <c r="O1188" s="6" t="s">
        <v>4357</v>
      </c>
      <c r="R1188" s="6">
        <v>16</v>
      </c>
      <c r="S1188" s="6">
        <v>13</v>
      </c>
      <c r="V1188" s="8">
        <v>-28.298536950874329</v>
      </c>
      <c r="W1188" s="8">
        <v>-210.49671004638671</v>
      </c>
      <c r="X1188" s="8">
        <f t="shared" si="71"/>
        <v>15.891585560607922</v>
      </c>
      <c r="Y1188" s="6" t="s">
        <v>3187</v>
      </c>
    </row>
    <row r="1189" spans="1:25" x14ac:dyDescent="0.35">
      <c r="A1189" s="6" t="s">
        <v>25</v>
      </c>
      <c r="B1189" s="6" t="s">
        <v>2872</v>
      </c>
      <c r="D1189" s="6" t="s">
        <v>3140</v>
      </c>
      <c r="E1189" s="6">
        <v>3</v>
      </c>
      <c r="F1189" s="6">
        <v>35</v>
      </c>
      <c r="G1189" s="6" t="s">
        <v>3318</v>
      </c>
      <c r="I1189" s="8">
        <v>84.483007000000001</v>
      </c>
      <c r="J1189" s="8">
        <v>14.628226</v>
      </c>
      <c r="K1189" s="6" t="s">
        <v>198</v>
      </c>
      <c r="L1189" s="9">
        <v>43929</v>
      </c>
      <c r="M1189" s="18">
        <v>0.31944444444444448</v>
      </c>
      <c r="N1189" s="6">
        <v>28</v>
      </c>
      <c r="O1189" s="6" t="s">
        <v>4357</v>
      </c>
      <c r="R1189" s="6">
        <v>10</v>
      </c>
      <c r="S1189" s="6">
        <v>7</v>
      </c>
      <c r="V1189" s="8">
        <v>-13.7413110039711</v>
      </c>
      <c r="W1189" s="8">
        <v>-105.21705942687989</v>
      </c>
      <c r="X1189" s="8">
        <f t="shared" si="71"/>
        <v>4.713428604888918</v>
      </c>
      <c r="Y1189" s="6" t="s">
        <v>3187</v>
      </c>
    </row>
    <row r="1190" spans="1:25" x14ac:dyDescent="0.35">
      <c r="A1190" s="6" t="s">
        <v>25</v>
      </c>
      <c r="B1190" s="6" t="s">
        <v>2873</v>
      </c>
      <c r="D1190" s="6" t="s">
        <v>3140</v>
      </c>
      <c r="E1190" s="6">
        <v>3</v>
      </c>
      <c r="F1190" s="6">
        <v>35</v>
      </c>
      <c r="G1190" s="6" t="s">
        <v>3318</v>
      </c>
      <c r="I1190" s="8">
        <v>84.483007000000001</v>
      </c>
      <c r="J1190" s="8">
        <v>14.628226</v>
      </c>
      <c r="K1190" s="6" t="s">
        <v>198</v>
      </c>
      <c r="L1190" s="9">
        <v>43929</v>
      </c>
      <c r="M1190" s="18">
        <v>0.31944444444444448</v>
      </c>
      <c r="N1190" s="6">
        <v>28</v>
      </c>
      <c r="O1190" s="6" t="s">
        <v>4357</v>
      </c>
      <c r="R1190" s="6">
        <v>5</v>
      </c>
      <c r="S1190" s="6">
        <v>1</v>
      </c>
      <c r="V1190" s="8">
        <v>-6.9968388622283957</v>
      </c>
      <c r="W1190" s="8">
        <v>-59.36745646057129</v>
      </c>
      <c r="X1190" s="8">
        <f t="shared" si="71"/>
        <v>-3.3927455627441248</v>
      </c>
      <c r="Y1190" s="6" t="s">
        <v>3187</v>
      </c>
    </row>
    <row r="1191" spans="1:25" x14ac:dyDescent="0.35">
      <c r="A1191" s="6" t="s">
        <v>25</v>
      </c>
      <c r="B1191" s="6" t="s">
        <v>2874</v>
      </c>
      <c r="D1191" s="6" t="s">
        <v>3141</v>
      </c>
      <c r="E1191" s="6">
        <v>3</v>
      </c>
      <c r="F1191" s="6">
        <v>35</v>
      </c>
      <c r="G1191" s="6" t="s">
        <v>3313</v>
      </c>
      <c r="I1191" s="8">
        <v>84.483007000000001</v>
      </c>
      <c r="J1191" s="8">
        <v>14.628226</v>
      </c>
      <c r="K1191" s="6" t="s">
        <v>198</v>
      </c>
      <c r="L1191" s="9">
        <v>43929</v>
      </c>
      <c r="M1191" s="18">
        <v>0.49652777777777773</v>
      </c>
      <c r="N1191" s="6">
        <v>28</v>
      </c>
      <c r="O1191" s="6" t="s">
        <v>4357</v>
      </c>
      <c r="R1191" s="6">
        <v>32</v>
      </c>
      <c r="S1191" s="6">
        <v>29</v>
      </c>
      <c r="V1191" s="8">
        <v>-29.439300746002196</v>
      </c>
      <c r="W1191" s="8">
        <v>-224.68141941375734</v>
      </c>
      <c r="X1191" s="8">
        <f t="shared" si="71"/>
        <v>10.832986554260231</v>
      </c>
    </row>
    <row r="1192" spans="1:25" x14ac:dyDescent="0.35">
      <c r="A1192" s="6" t="s">
        <v>25</v>
      </c>
      <c r="B1192" s="6" t="s">
        <v>2875</v>
      </c>
      <c r="D1192" s="6" t="s">
        <v>3141</v>
      </c>
      <c r="E1192" s="6">
        <v>3</v>
      </c>
      <c r="F1192" s="6">
        <v>35</v>
      </c>
      <c r="G1192" s="6" t="s">
        <v>3313</v>
      </c>
      <c r="I1192" s="8">
        <v>84.483007000000001</v>
      </c>
      <c r="J1192" s="8">
        <v>14.628226</v>
      </c>
      <c r="K1192" s="6" t="s">
        <v>198</v>
      </c>
      <c r="L1192" s="9">
        <v>43929</v>
      </c>
      <c r="M1192" s="18">
        <v>0.49652777777777773</v>
      </c>
      <c r="N1192" s="6">
        <v>28</v>
      </c>
      <c r="O1192" s="6" t="s">
        <v>4357</v>
      </c>
      <c r="R1192" s="6">
        <v>18</v>
      </c>
      <c r="S1192" s="6">
        <v>14</v>
      </c>
      <c r="V1192" s="8">
        <v>-27.208239281692506</v>
      </c>
      <c r="W1192" s="8">
        <v>-209.23723521728516</v>
      </c>
      <c r="X1192" s="8">
        <f t="shared" si="71"/>
        <v>8.4286790362548913</v>
      </c>
    </row>
    <row r="1193" spans="1:25" x14ac:dyDescent="0.35">
      <c r="A1193" s="6" t="s">
        <v>25</v>
      </c>
      <c r="B1193" s="6" t="s">
        <v>2876</v>
      </c>
      <c r="D1193" s="6" t="s">
        <v>3141</v>
      </c>
      <c r="E1193" s="6">
        <v>3</v>
      </c>
      <c r="F1193" s="6">
        <v>35</v>
      </c>
      <c r="G1193" s="6" t="s">
        <v>3313</v>
      </c>
      <c r="I1193" s="8">
        <v>84.483007000000001</v>
      </c>
      <c r="J1193" s="8">
        <v>14.628226</v>
      </c>
      <c r="K1193" s="6" t="s">
        <v>198</v>
      </c>
      <c r="L1193" s="9">
        <v>43929</v>
      </c>
      <c r="M1193" s="18">
        <v>0.49652777777777773</v>
      </c>
      <c r="N1193" s="6">
        <v>28</v>
      </c>
      <c r="O1193" s="6" t="s">
        <v>4357</v>
      </c>
      <c r="R1193" s="6">
        <v>5</v>
      </c>
      <c r="S1193" s="6">
        <v>2</v>
      </c>
      <c r="V1193" s="8">
        <v>-15.246514566459656</v>
      </c>
      <c r="W1193" s="8">
        <v>-114.55522922821045</v>
      </c>
      <c r="X1193" s="8">
        <f t="shared" si="71"/>
        <v>7.4168873034667939</v>
      </c>
    </row>
    <row r="1194" spans="1:25" x14ac:dyDescent="0.35">
      <c r="A1194" s="6" t="s">
        <v>25</v>
      </c>
      <c r="B1194" s="6" t="s">
        <v>3475</v>
      </c>
      <c r="D1194" s="6" t="s">
        <v>3777</v>
      </c>
      <c r="E1194" s="6">
        <v>3</v>
      </c>
      <c r="F1194" s="6">
        <v>35</v>
      </c>
      <c r="G1194" s="6" t="s">
        <v>4079</v>
      </c>
      <c r="I1194" s="8">
        <v>84.430049027777883</v>
      </c>
      <c r="J1194" s="8">
        <v>14.79344354166666</v>
      </c>
      <c r="K1194" s="6" t="s">
        <v>2610</v>
      </c>
      <c r="L1194" s="9">
        <v>43930</v>
      </c>
      <c r="N1194" s="6">
        <v>28</v>
      </c>
      <c r="O1194" s="6" t="s">
        <v>4259</v>
      </c>
      <c r="V1194" s="8">
        <v>-0.64125933315753947</v>
      </c>
      <c r="W1194" s="8">
        <v>-4.7599114776611327</v>
      </c>
      <c r="X1194" s="27">
        <f t="shared" si="71"/>
        <v>0.3701631875991831</v>
      </c>
    </row>
    <row r="1195" spans="1:25" x14ac:dyDescent="0.35">
      <c r="A1195" s="6" t="s">
        <v>25</v>
      </c>
      <c r="B1195" s="7" t="s">
        <v>1287</v>
      </c>
      <c r="D1195" s="6" t="s">
        <v>1288</v>
      </c>
      <c r="E1195" s="6">
        <v>3</v>
      </c>
      <c r="F1195" s="6">
        <v>34</v>
      </c>
      <c r="G1195" s="6" t="s">
        <v>1289</v>
      </c>
      <c r="I1195" s="8">
        <v>84.378877986111107</v>
      </c>
      <c r="J1195" s="8">
        <v>14.649121388888901</v>
      </c>
      <c r="K1195" s="6" t="s">
        <v>390</v>
      </c>
      <c r="L1195" s="9">
        <v>43931</v>
      </c>
      <c r="N1195" s="6">
        <v>28</v>
      </c>
      <c r="O1195" s="6" t="s">
        <v>4361</v>
      </c>
      <c r="Q1195" s="10"/>
      <c r="R1195" s="10"/>
      <c r="S1195" s="10"/>
      <c r="T1195" s="10"/>
      <c r="U1195" s="11"/>
      <c r="V1195" s="8">
        <v>-3.9356722193717966</v>
      </c>
      <c r="W1195" s="8">
        <v>-31.147115089416502</v>
      </c>
      <c r="X1195" s="8">
        <f t="shared" si="71"/>
        <v>0.33826266555787043</v>
      </c>
    </row>
    <row r="1196" spans="1:25" x14ac:dyDescent="0.35">
      <c r="A1196" s="6" t="s">
        <v>25</v>
      </c>
      <c r="B1196" s="6" t="s">
        <v>3476</v>
      </c>
      <c r="D1196" s="6" t="s">
        <v>3778</v>
      </c>
      <c r="E1196" s="6">
        <v>3</v>
      </c>
      <c r="F1196" s="6">
        <v>35</v>
      </c>
      <c r="G1196" s="6" t="s">
        <v>4080</v>
      </c>
      <c r="I1196" s="8">
        <v>84.378877986111107</v>
      </c>
      <c r="J1196" s="8">
        <v>14.649121388888901</v>
      </c>
      <c r="K1196" s="6" t="s">
        <v>2610</v>
      </c>
      <c r="L1196" s="9">
        <v>43931</v>
      </c>
      <c r="N1196" s="6">
        <v>28</v>
      </c>
      <c r="O1196" s="6" t="s">
        <v>4361</v>
      </c>
      <c r="V1196" s="8">
        <v>-0.66851410138010969</v>
      </c>
      <c r="W1196" s="8">
        <v>-3.2313579611063008</v>
      </c>
      <c r="X1196" s="27">
        <f t="shared" si="71"/>
        <v>2.1167548499345767</v>
      </c>
    </row>
    <row r="1197" spans="1:25" x14ac:dyDescent="0.35">
      <c r="A1197" s="6" t="s">
        <v>25</v>
      </c>
      <c r="B1197" s="7" t="s">
        <v>1307</v>
      </c>
      <c r="D1197" s="6" t="s">
        <v>1308</v>
      </c>
      <c r="E1197" s="6">
        <v>3</v>
      </c>
      <c r="F1197" s="6">
        <v>35</v>
      </c>
      <c r="G1197" s="6" t="s">
        <v>1199</v>
      </c>
      <c r="I1197" s="8">
        <v>84.322834374999999</v>
      </c>
      <c r="J1197" s="8">
        <v>14.725811041666701</v>
      </c>
      <c r="K1197" s="6" t="s">
        <v>390</v>
      </c>
      <c r="L1197" s="9">
        <v>43932</v>
      </c>
      <c r="N1197" s="6">
        <v>28</v>
      </c>
      <c r="O1197" s="6" t="s">
        <v>4362</v>
      </c>
      <c r="Q1197" s="10"/>
      <c r="R1197" s="10"/>
      <c r="S1197" s="10"/>
      <c r="T1197" s="10"/>
      <c r="U1197" s="11"/>
      <c r="V1197" s="8">
        <v>-7.8391235023498531</v>
      </c>
      <c r="W1197" s="8">
        <v>-68.036068374633786</v>
      </c>
      <c r="X1197" s="8">
        <f t="shared" si="71"/>
        <v>-5.3230803558349606</v>
      </c>
    </row>
    <row r="1198" spans="1:25" x14ac:dyDescent="0.35">
      <c r="A1198" s="6" t="s">
        <v>25</v>
      </c>
      <c r="B1198" s="7" t="s">
        <v>1309</v>
      </c>
      <c r="D1198" s="6" t="s">
        <v>1310</v>
      </c>
      <c r="E1198" s="6">
        <v>3</v>
      </c>
      <c r="F1198" s="6">
        <v>35</v>
      </c>
      <c r="G1198" s="6" t="s">
        <v>1311</v>
      </c>
      <c r="I1198" s="8">
        <v>84.322834374999999</v>
      </c>
      <c r="J1198" s="8">
        <v>14.725811041666701</v>
      </c>
      <c r="K1198" s="6" t="s">
        <v>390</v>
      </c>
      <c r="L1198" s="9">
        <v>43932</v>
      </c>
      <c r="N1198" s="6">
        <v>28</v>
      </c>
      <c r="O1198" s="6" t="s">
        <v>4362</v>
      </c>
      <c r="Q1198" s="10"/>
      <c r="R1198" s="10">
        <v>0</v>
      </c>
      <c r="S1198" s="10">
        <v>10</v>
      </c>
      <c r="T1198" s="10">
        <f t="shared" ref="T1198:T1219" si="73">AVERAGE(R1198:S1198)</f>
        <v>5</v>
      </c>
      <c r="U1198" s="11"/>
      <c r="V1198" s="8">
        <v>-0.48698993544578523</v>
      </c>
      <c r="W1198" s="8">
        <v>-2.7671056828498841</v>
      </c>
      <c r="X1198" s="8">
        <f t="shared" si="71"/>
        <v>1.1288138007163977</v>
      </c>
    </row>
    <row r="1199" spans="1:25" x14ac:dyDescent="0.35">
      <c r="A1199" s="6" t="s">
        <v>25</v>
      </c>
      <c r="B1199" s="7" t="s">
        <v>1312</v>
      </c>
      <c r="D1199" s="6" t="s">
        <v>1313</v>
      </c>
      <c r="E1199" s="6">
        <v>3</v>
      </c>
      <c r="F1199" s="6">
        <v>35</v>
      </c>
      <c r="G1199" s="6" t="s">
        <v>1311</v>
      </c>
      <c r="I1199" s="8">
        <v>84.322834374999999</v>
      </c>
      <c r="J1199" s="8">
        <v>14.725811041666701</v>
      </c>
      <c r="K1199" s="6" t="s">
        <v>390</v>
      </c>
      <c r="L1199" s="9">
        <v>43932</v>
      </c>
      <c r="N1199" s="6">
        <v>28</v>
      </c>
      <c r="O1199" s="6" t="s">
        <v>4362</v>
      </c>
      <c r="Q1199" s="10"/>
      <c r="R1199" s="10">
        <v>10</v>
      </c>
      <c r="S1199" s="10">
        <v>20</v>
      </c>
      <c r="T1199" s="10">
        <f t="shared" si="73"/>
        <v>15</v>
      </c>
      <c r="U1199" s="11"/>
      <c r="V1199" s="8">
        <v>-1.7261785004615788</v>
      </c>
      <c r="W1199" s="8">
        <v>-12.30702733039856</v>
      </c>
      <c r="X1199" s="8">
        <f t="shared" si="71"/>
        <v>1.5024006732940709</v>
      </c>
    </row>
    <row r="1200" spans="1:25" x14ac:dyDescent="0.35">
      <c r="A1200" s="6" t="s">
        <v>25</v>
      </c>
      <c r="B1200" s="7" t="s">
        <v>1314</v>
      </c>
      <c r="D1200" s="6" t="s">
        <v>1315</v>
      </c>
      <c r="E1200" s="6">
        <v>3</v>
      </c>
      <c r="F1200" s="6">
        <v>35</v>
      </c>
      <c r="G1200" s="6" t="s">
        <v>1311</v>
      </c>
      <c r="I1200" s="8">
        <v>84.322834374999999</v>
      </c>
      <c r="J1200" s="8">
        <v>14.725811041666701</v>
      </c>
      <c r="K1200" s="6" t="s">
        <v>390</v>
      </c>
      <c r="L1200" s="9">
        <v>43932</v>
      </c>
      <c r="N1200" s="6">
        <v>28</v>
      </c>
      <c r="O1200" s="6" t="s">
        <v>4362</v>
      </c>
      <c r="Q1200" s="10"/>
      <c r="R1200" s="10">
        <v>20</v>
      </c>
      <c r="S1200" s="10">
        <v>30</v>
      </c>
      <c r="T1200" s="10">
        <f t="shared" si="73"/>
        <v>25</v>
      </c>
      <c r="U1200" s="11"/>
      <c r="V1200" s="8">
        <v>0.60297983140945477</v>
      </c>
      <c r="W1200" s="8">
        <v>5.8228099346160889</v>
      </c>
      <c r="X1200" s="8">
        <f t="shared" si="71"/>
        <v>0.99897128334045071</v>
      </c>
    </row>
    <row r="1201" spans="1:24" x14ac:dyDescent="0.35">
      <c r="A1201" s="6" t="s">
        <v>25</v>
      </c>
      <c r="B1201" s="7" t="s">
        <v>1316</v>
      </c>
      <c r="D1201" s="6" t="s">
        <v>1317</v>
      </c>
      <c r="E1201" s="6">
        <v>3</v>
      </c>
      <c r="F1201" s="6">
        <v>35</v>
      </c>
      <c r="G1201" s="6" t="s">
        <v>1311</v>
      </c>
      <c r="I1201" s="8">
        <v>84.322834374999999</v>
      </c>
      <c r="J1201" s="8">
        <v>14.725811041666701</v>
      </c>
      <c r="K1201" s="6" t="s">
        <v>390</v>
      </c>
      <c r="L1201" s="9">
        <v>43932</v>
      </c>
      <c r="N1201" s="6">
        <v>28</v>
      </c>
      <c r="O1201" s="6" t="s">
        <v>4362</v>
      </c>
      <c r="Q1201" s="10"/>
      <c r="R1201" s="10">
        <v>30</v>
      </c>
      <c r="S1201" s="10">
        <v>40</v>
      </c>
      <c r="T1201" s="10">
        <f t="shared" si="73"/>
        <v>35</v>
      </c>
      <c r="U1201" s="11"/>
      <c r="V1201" s="8">
        <v>0.96269085998535175</v>
      </c>
      <c r="W1201" s="8">
        <v>8.4063366813659659</v>
      </c>
      <c r="X1201" s="8">
        <f t="shared" si="71"/>
        <v>0.70480980148315187</v>
      </c>
    </row>
    <row r="1202" spans="1:24" x14ac:dyDescent="0.35">
      <c r="A1202" s="6" t="s">
        <v>25</v>
      </c>
      <c r="B1202" s="7" t="s">
        <v>1318</v>
      </c>
      <c r="D1202" s="6" t="s">
        <v>1319</v>
      </c>
      <c r="E1202" s="6">
        <v>3</v>
      </c>
      <c r="F1202" s="6">
        <v>35</v>
      </c>
      <c r="G1202" s="6" t="s">
        <v>1311</v>
      </c>
      <c r="I1202" s="8">
        <v>84.322834374999999</v>
      </c>
      <c r="J1202" s="8">
        <v>14.725811041666701</v>
      </c>
      <c r="K1202" s="6" t="s">
        <v>390</v>
      </c>
      <c r="L1202" s="9">
        <v>43932</v>
      </c>
      <c r="N1202" s="6">
        <v>28</v>
      </c>
      <c r="O1202" s="6" t="s">
        <v>4362</v>
      </c>
      <c r="Q1202" s="10"/>
      <c r="R1202" s="10">
        <v>40</v>
      </c>
      <c r="S1202" s="10">
        <v>50</v>
      </c>
      <c r="T1202" s="10">
        <f t="shared" si="73"/>
        <v>45</v>
      </c>
      <c r="U1202" s="11"/>
      <c r="V1202" s="8">
        <v>0.7694339105606085</v>
      </c>
      <c r="W1202" s="8">
        <v>7.3171133475303645</v>
      </c>
      <c r="X1202" s="8">
        <f t="shared" si="71"/>
        <v>1.1616420630454964</v>
      </c>
    </row>
    <row r="1203" spans="1:24" x14ac:dyDescent="0.35">
      <c r="A1203" s="6" t="s">
        <v>25</v>
      </c>
      <c r="B1203" s="7" t="s">
        <v>1320</v>
      </c>
      <c r="D1203" s="6" t="s">
        <v>1321</v>
      </c>
      <c r="E1203" s="6">
        <v>3</v>
      </c>
      <c r="F1203" s="6">
        <v>35</v>
      </c>
      <c r="G1203" s="6" t="s">
        <v>60</v>
      </c>
      <c r="I1203" s="8">
        <v>84.322834374999999</v>
      </c>
      <c r="J1203" s="8">
        <v>14.725811041666701</v>
      </c>
      <c r="K1203" s="7" t="s">
        <v>2610</v>
      </c>
      <c r="L1203" s="9">
        <v>43932</v>
      </c>
      <c r="N1203" s="6">
        <v>28</v>
      </c>
      <c r="O1203" s="6" t="s">
        <v>4362</v>
      </c>
      <c r="Q1203" s="10">
        <v>500</v>
      </c>
      <c r="R1203" s="10"/>
      <c r="S1203" s="10">
        <v>500</v>
      </c>
      <c r="T1203" s="10">
        <f t="shared" si="73"/>
        <v>500</v>
      </c>
      <c r="U1203" s="11"/>
      <c r="V1203" s="8">
        <v>-0.65422757094383277</v>
      </c>
      <c r="W1203" s="8">
        <v>-3.7561219501495362</v>
      </c>
      <c r="X1203" s="8">
        <f t="shared" si="71"/>
        <v>1.477698617401126</v>
      </c>
    </row>
    <row r="1204" spans="1:24" x14ac:dyDescent="0.35">
      <c r="A1204" s="6" t="s">
        <v>25</v>
      </c>
      <c r="B1204" s="6" t="s">
        <v>1290</v>
      </c>
      <c r="D1204" s="6" t="s">
        <v>1291</v>
      </c>
      <c r="E1204" s="6">
        <v>3</v>
      </c>
      <c r="F1204" s="6">
        <v>35</v>
      </c>
      <c r="G1204" s="6" t="s">
        <v>345</v>
      </c>
      <c r="I1204" s="8">
        <v>84.322834374999999</v>
      </c>
      <c r="J1204" s="8">
        <v>14.725811041666701</v>
      </c>
      <c r="K1204" s="6" t="s">
        <v>29</v>
      </c>
      <c r="L1204" s="9">
        <v>43932</v>
      </c>
      <c r="N1204" s="6">
        <v>28</v>
      </c>
      <c r="O1204" s="6" t="s">
        <v>4362</v>
      </c>
      <c r="Q1204" s="6">
        <v>0</v>
      </c>
      <c r="R1204" s="6">
        <v>0</v>
      </c>
      <c r="S1204" s="6">
        <v>10</v>
      </c>
      <c r="T1204" s="10">
        <f t="shared" si="73"/>
        <v>5</v>
      </c>
      <c r="V1204" s="8">
        <v>-0.4035621675312519</v>
      </c>
      <c r="W1204" s="8">
        <v>-4.6784298655986785</v>
      </c>
      <c r="X1204" s="8">
        <f t="shared" si="71"/>
        <v>-1.4499325253486632</v>
      </c>
    </row>
    <row r="1205" spans="1:24" x14ac:dyDescent="0.35">
      <c r="A1205" s="6" t="s">
        <v>25</v>
      </c>
      <c r="B1205" s="6" t="s">
        <v>1292</v>
      </c>
      <c r="D1205" s="6" t="s">
        <v>1291</v>
      </c>
      <c r="E1205" s="6">
        <v>3</v>
      </c>
      <c r="F1205" s="6">
        <v>35</v>
      </c>
      <c r="G1205" s="6" t="s">
        <v>345</v>
      </c>
      <c r="I1205" s="8">
        <v>84.322834374999999</v>
      </c>
      <c r="J1205" s="8">
        <v>14.725811041666701</v>
      </c>
      <c r="K1205" s="6" t="s">
        <v>29</v>
      </c>
      <c r="L1205" s="9">
        <v>43932</v>
      </c>
      <c r="N1205" s="6">
        <v>28</v>
      </c>
      <c r="O1205" s="6" t="s">
        <v>4362</v>
      </c>
      <c r="Q1205" s="6">
        <v>10</v>
      </c>
      <c r="R1205" s="6">
        <v>10</v>
      </c>
      <c r="S1205" s="6">
        <v>20</v>
      </c>
      <c r="T1205" s="10">
        <f t="shared" si="73"/>
        <v>15</v>
      </c>
      <c r="V1205" s="8">
        <v>-0.29743518011867998</v>
      </c>
      <c r="W1205" s="8">
        <v>-2.4941946256160734</v>
      </c>
      <c r="X1205" s="8">
        <f t="shared" si="71"/>
        <v>-0.11471318466663361</v>
      </c>
    </row>
    <row r="1206" spans="1:24" x14ac:dyDescent="0.35">
      <c r="A1206" s="6" t="s">
        <v>25</v>
      </c>
      <c r="B1206" s="6" t="s">
        <v>1293</v>
      </c>
      <c r="D1206" s="6" t="s">
        <v>1291</v>
      </c>
      <c r="E1206" s="6">
        <v>3</v>
      </c>
      <c r="F1206" s="6">
        <v>35</v>
      </c>
      <c r="G1206" s="6" t="s">
        <v>345</v>
      </c>
      <c r="I1206" s="8">
        <v>84.322834374999999</v>
      </c>
      <c r="J1206" s="8">
        <v>14.725811041666701</v>
      </c>
      <c r="K1206" s="6" t="s">
        <v>29</v>
      </c>
      <c r="L1206" s="9">
        <v>43932</v>
      </c>
      <c r="N1206" s="6">
        <v>28</v>
      </c>
      <c r="O1206" s="6" t="s">
        <v>4362</v>
      </c>
      <c r="Q1206" s="6">
        <v>20</v>
      </c>
      <c r="R1206" s="6">
        <v>20</v>
      </c>
      <c r="S1206" s="6">
        <v>30</v>
      </c>
      <c r="T1206" s="10">
        <f t="shared" si="73"/>
        <v>25</v>
      </c>
      <c r="V1206" s="8">
        <v>0.67485944037437418</v>
      </c>
      <c r="W1206" s="8">
        <v>5.2254140815734864</v>
      </c>
      <c r="X1206" s="8">
        <f t="shared" si="71"/>
        <v>-0.17346144142150699</v>
      </c>
    </row>
    <row r="1207" spans="1:24" x14ac:dyDescent="0.35">
      <c r="A1207" s="6" t="s">
        <v>25</v>
      </c>
      <c r="B1207" s="6" t="s">
        <v>1294</v>
      </c>
      <c r="D1207" s="6" t="s">
        <v>1291</v>
      </c>
      <c r="E1207" s="6">
        <v>3</v>
      </c>
      <c r="F1207" s="6">
        <v>35</v>
      </c>
      <c r="G1207" s="6" t="s">
        <v>345</v>
      </c>
      <c r="I1207" s="8">
        <v>84.322834374999999</v>
      </c>
      <c r="J1207" s="8">
        <v>14.725811041666701</v>
      </c>
      <c r="K1207" s="6" t="s">
        <v>29</v>
      </c>
      <c r="L1207" s="9">
        <v>43932</v>
      </c>
      <c r="N1207" s="6">
        <v>28</v>
      </c>
      <c r="O1207" s="6" t="s">
        <v>4362</v>
      </c>
      <c r="Q1207" s="6">
        <v>30</v>
      </c>
      <c r="R1207" s="6">
        <v>30</v>
      </c>
      <c r="S1207" s="6">
        <v>40</v>
      </c>
      <c r="T1207" s="10">
        <f t="shared" si="73"/>
        <v>35</v>
      </c>
      <c r="V1207" s="8">
        <v>1.1045938758850096</v>
      </c>
      <c r="W1207" s="8">
        <v>7.6948680744171138</v>
      </c>
      <c r="X1207" s="8">
        <f t="shared" si="71"/>
        <v>-1.1418829326629627</v>
      </c>
    </row>
    <row r="1208" spans="1:24" x14ac:dyDescent="0.35">
      <c r="A1208" s="6" t="s">
        <v>25</v>
      </c>
      <c r="B1208" s="6" t="s">
        <v>1295</v>
      </c>
      <c r="D1208" s="6" t="s">
        <v>1291</v>
      </c>
      <c r="E1208" s="6">
        <v>3</v>
      </c>
      <c r="F1208" s="6">
        <v>35</v>
      </c>
      <c r="G1208" s="6" t="s">
        <v>345</v>
      </c>
      <c r="I1208" s="8">
        <v>84.322834374999999</v>
      </c>
      <c r="J1208" s="8">
        <v>14.725811041666701</v>
      </c>
      <c r="K1208" s="6" t="s">
        <v>29</v>
      </c>
      <c r="L1208" s="9">
        <v>43932</v>
      </c>
      <c r="N1208" s="6">
        <v>28</v>
      </c>
      <c r="O1208" s="6" t="s">
        <v>4362</v>
      </c>
      <c r="Q1208" s="6">
        <v>40</v>
      </c>
      <c r="R1208" s="6">
        <v>40</v>
      </c>
      <c r="S1208" s="6">
        <v>50</v>
      </c>
      <c r="T1208" s="10">
        <f t="shared" si="73"/>
        <v>45</v>
      </c>
      <c r="V1208" s="8">
        <v>0.85008371460437759</v>
      </c>
      <c r="W1208" s="8">
        <v>6.3279973993301395</v>
      </c>
      <c r="X1208" s="8">
        <f t="shared" si="71"/>
        <v>-0.47267231750488126</v>
      </c>
    </row>
    <row r="1209" spans="1:24" x14ac:dyDescent="0.35">
      <c r="A1209" s="6" t="s">
        <v>25</v>
      </c>
      <c r="B1209" s="6" t="s">
        <v>1296</v>
      </c>
      <c r="D1209" s="6" t="s">
        <v>1291</v>
      </c>
      <c r="E1209" s="6">
        <v>3</v>
      </c>
      <c r="F1209" s="6">
        <v>35</v>
      </c>
      <c r="G1209" s="6" t="s">
        <v>345</v>
      </c>
      <c r="I1209" s="8">
        <v>84.322834374999999</v>
      </c>
      <c r="J1209" s="8">
        <v>14.725811041666701</v>
      </c>
      <c r="K1209" s="6" t="s">
        <v>29</v>
      </c>
      <c r="L1209" s="9">
        <v>43932</v>
      </c>
      <c r="N1209" s="6">
        <v>28</v>
      </c>
      <c r="O1209" s="6" t="s">
        <v>4362</v>
      </c>
      <c r="Q1209" s="6">
        <v>50</v>
      </c>
      <c r="R1209" s="6">
        <v>50</v>
      </c>
      <c r="S1209" s="6">
        <v>60</v>
      </c>
      <c r="T1209" s="10">
        <f t="shared" si="73"/>
        <v>55</v>
      </c>
      <c r="V1209" s="8">
        <v>0.77770562756061601</v>
      </c>
      <c r="W1209" s="8">
        <v>6.0129114980697631</v>
      </c>
      <c r="X1209" s="8">
        <f t="shared" si="71"/>
        <v>-0.20873352241516496</v>
      </c>
    </row>
    <row r="1210" spans="1:24" x14ac:dyDescent="0.35">
      <c r="A1210" s="6" t="s">
        <v>25</v>
      </c>
      <c r="B1210" s="6" t="s">
        <v>1297</v>
      </c>
      <c r="D1210" s="6" t="s">
        <v>1291</v>
      </c>
      <c r="E1210" s="6">
        <v>3</v>
      </c>
      <c r="F1210" s="6">
        <v>35</v>
      </c>
      <c r="G1210" s="6" t="s">
        <v>345</v>
      </c>
      <c r="I1210" s="8">
        <v>84.322834374999999</v>
      </c>
      <c r="J1210" s="8">
        <v>14.725811041666701</v>
      </c>
      <c r="K1210" s="6" t="s">
        <v>29</v>
      </c>
      <c r="L1210" s="9">
        <v>43932</v>
      </c>
      <c r="N1210" s="6">
        <v>28</v>
      </c>
      <c r="O1210" s="6" t="s">
        <v>4362</v>
      </c>
      <c r="Q1210" s="6">
        <v>60</v>
      </c>
      <c r="R1210" s="6">
        <v>60</v>
      </c>
      <c r="S1210" s="6">
        <v>70</v>
      </c>
      <c r="T1210" s="10">
        <f t="shared" si="73"/>
        <v>65</v>
      </c>
      <c r="V1210" s="8">
        <v>0.62020063269138304</v>
      </c>
      <c r="W1210" s="8">
        <v>5.0760448207855235</v>
      </c>
      <c r="X1210" s="8">
        <f t="shared" si="71"/>
        <v>0.11443975925445926</v>
      </c>
    </row>
    <row r="1211" spans="1:24" x14ac:dyDescent="0.35">
      <c r="A1211" s="6" t="s">
        <v>25</v>
      </c>
      <c r="B1211" s="6" t="s">
        <v>1298</v>
      </c>
      <c r="D1211" s="6" t="s">
        <v>1291</v>
      </c>
      <c r="E1211" s="6">
        <v>3</v>
      </c>
      <c r="F1211" s="6">
        <v>35</v>
      </c>
      <c r="G1211" s="6" t="s">
        <v>345</v>
      </c>
      <c r="I1211" s="8">
        <v>84.322834374999999</v>
      </c>
      <c r="J1211" s="8">
        <v>14.725811041666701</v>
      </c>
      <c r="K1211" s="6" t="s">
        <v>29</v>
      </c>
      <c r="L1211" s="9">
        <v>43932</v>
      </c>
      <c r="N1211" s="6">
        <v>28</v>
      </c>
      <c r="O1211" s="6" t="s">
        <v>4362</v>
      </c>
      <c r="Q1211" s="6">
        <v>70</v>
      </c>
      <c r="R1211" s="6">
        <v>70</v>
      </c>
      <c r="S1211" s="6">
        <v>80</v>
      </c>
      <c r="T1211" s="10">
        <f t="shared" si="73"/>
        <v>75</v>
      </c>
      <c r="V1211" s="8">
        <v>0.17147112178802537</v>
      </c>
      <c r="W1211" s="8">
        <v>1.0719911384582519</v>
      </c>
      <c r="X1211" s="8">
        <f t="shared" si="71"/>
        <v>-0.29977783584595108</v>
      </c>
    </row>
    <row r="1212" spans="1:24" x14ac:dyDescent="0.35">
      <c r="A1212" s="6" t="s">
        <v>25</v>
      </c>
      <c r="B1212" s="6" t="s">
        <v>1299</v>
      </c>
      <c r="D1212" s="6" t="s">
        <v>1291</v>
      </c>
      <c r="E1212" s="6">
        <v>3</v>
      </c>
      <c r="F1212" s="6">
        <v>35</v>
      </c>
      <c r="G1212" s="6" t="s">
        <v>345</v>
      </c>
      <c r="I1212" s="8">
        <v>84.322834374999999</v>
      </c>
      <c r="J1212" s="8">
        <v>14.725811041666701</v>
      </c>
      <c r="K1212" s="6" t="s">
        <v>29</v>
      </c>
      <c r="L1212" s="9">
        <v>43932</v>
      </c>
      <c r="N1212" s="6">
        <v>28</v>
      </c>
      <c r="O1212" s="6" t="s">
        <v>4362</v>
      </c>
      <c r="Q1212" s="6">
        <v>80</v>
      </c>
      <c r="R1212" s="6">
        <v>80</v>
      </c>
      <c r="S1212" s="6">
        <v>90</v>
      </c>
      <c r="T1212" s="10">
        <f t="shared" si="73"/>
        <v>85</v>
      </c>
      <c r="V1212" s="8">
        <v>9.919571906327973E-3</v>
      </c>
      <c r="W1212" s="8">
        <v>-1.9272493124007747E-2</v>
      </c>
      <c r="X1212" s="8">
        <f t="shared" si="71"/>
        <v>-9.8629068374631534E-2</v>
      </c>
    </row>
    <row r="1213" spans="1:24" x14ac:dyDescent="0.35">
      <c r="A1213" s="6" t="s">
        <v>25</v>
      </c>
      <c r="B1213" s="6" t="s">
        <v>1300</v>
      </c>
      <c r="D1213" s="6" t="s">
        <v>1291</v>
      </c>
      <c r="E1213" s="6">
        <v>3</v>
      </c>
      <c r="F1213" s="6">
        <v>35</v>
      </c>
      <c r="G1213" s="6" t="s">
        <v>345</v>
      </c>
      <c r="I1213" s="8">
        <v>84.322834374999999</v>
      </c>
      <c r="J1213" s="8">
        <v>14.725811041666701</v>
      </c>
      <c r="K1213" s="6" t="s">
        <v>29</v>
      </c>
      <c r="L1213" s="9">
        <v>43932</v>
      </c>
      <c r="N1213" s="6">
        <v>28</v>
      </c>
      <c r="O1213" s="6" t="s">
        <v>4362</v>
      </c>
      <c r="Q1213" s="6">
        <v>90</v>
      </c>
      <c r="R1213" s="6">
        <v>90</v>
      </c>
      <c r="S1213" s="6">
        <v>100</v>
      </c>
      <c r="T1213" s="10">
        <f t="shared" si="73"/>
        <v>95</v>
      </c>
      <c r="V1213" s="8">
        <v>-0.22100803714990583</v>
      </c>
      <c r="W1213" s="8">
        <v>-2.2767839605808255</v>
      </c>
      <c r="X1213" s="8">
        <f t="shared" si="71"/>
        <v>-0.50871966338157892</v>
      </c>
    </row>
    <row r="1214" spans="1:24" x14ac:dyDescent="0.35">
      <c r="A1214" s="6" t="s">
        <v>25</v>
      </c>
      <c r="B1214" s="6" t="s">
        <v>1301</v>
      </c>
      <c r="D1214" s="6" t="s">
        <v>1291</v>
      </c>
      <c r="E1214" s="6">
        <v>3</v>
      </c>
      <c r="F1214" s="6">
        <v>35</v>
      </c>
      <c r="G1214" s="6" t="s">
        <v>345</v>
      </c>
      <c r="I1214" s="8">
        <v>84.322834374999999</v>
      </c>
      <c r="J1214" s="8">
        <v>14.725811041666701</v>
      </c>
      <c r="K1214" s="6" t="s">
        <v>29</v>
      </c>
      <c r="L1214" s="9">
        <v>43932</v>
      </c>
      <c r="N1214" s="6">
        <v>28</v>
      </c>
      <c r="O1214" s="6" t="s">
        <v>4362</v>
      </c>
      <c r="Q1214" s="6">
        <v>100</v>
      </c>
      <c r="R1214" s="6">
        <v>100</v>
      </c>
      <c r="S1214" s="6">
        <v>110</v>
      </c>
      <c r="T1214" s="10">
        <f t="shared" si="73"/>
        <v>105</v>
      </c>
      <c r="V1214" s="8">
        <v>-0.19674165022373205</v>
      </c>
      <c r="W1214" s="8">
        <v>-1.5199945356994868</v>
      </c>
      <c r="X1214" s="8">
        <f t="shared" si="71"/>
        <v>5.3938666090369569E-2</v>
      </c>
    </row>
    <row r="1215" spans="1:24" x14ac:dyDescent="0.35">
      <c r="A1215" s="6" t="s">
        <v>25</v>
      </c>
      <c r="B1215" s="6" t="s">
        <v>1302</v>
      </c>
      <c r="D1215" s="6" t="s">
        <v>1291</v>
      </c>
      <c r="E1215" s="6">
        <v>3</v>
      </c>
      <c r="F1215" s="6">
        <v>35</v>
      </c>
      <c r="G1215" s="6" t="s">
        <v>345</v>
      </c>
      <c r="I1215" s="8">
        <v>84.322834374999999</v>
      </c>
      <c r="J1215" s="8">
        <v>14.725811041666701</v>
      </c>
      <c r="K1215" s="6" t="s">
        <v>29</v>
      </c>
      <c r="L1215" s="9">
        <v>43932</v>
      </c>
      <c r="N1215" s="6">
        <v>28</v>
      </c>
      <c r="O1215" s="6" t="s">
        <v>4362</v>
      </c>
      <c r="Q1215" s="6">
        <v>110</v>
      </c>
      <c r="R1215" s="6">
        <v>110</v>
      </c>
      <c r="S1215" s="6">
        <v>120</v>
      </c>
      <c r="T1215" s="10">
        <f t="shared" si="73"/>
        <v>115</v>
      </c>
      <c r="V1215" s="8">
        <v>-0.18709924530982983</v>
      </c>
      <c r="W1215" s="8">
        <v>-1.490554967187345</v>
      </c>
      <c r="X1215" s="8">
        <f t="shared" si="71"/>
        <v>6.2389952912935698E-3</v>
      </c>
    </row>
    <row r="1216" spans="1:24" x14ac:dyDescent="0.35">
      <c r="A1216" s="6" t="s">
        <v>25</v>
      </c>
      <c r="B1216" s="6" t="s">
        <v>1303</v>
      </c>
      <c r="D1216" s="6" t="s">
        <v>1291</v>
      </c>
      <c r="E1216" s="6">
        <v>3</v>
      </c>
      <c r="F1216" s="6">
        <v>35</v>
      </c>
      <c r="G1216" s="6" t="s">
        <v>345</v>
      </c>
      <c r="I1216" s="8">
        <v>84.322834374999999</v>
      </c>
      <c r="J1216" s="8">
        <v>14.725811041666701</v>
      </c>
      <c r="K1216" s="6" t="s">
        <v>29</v>
      </c>
      <c r="L1216" s="9">
        <v>43932</v>
      </c>
      <c r="N1216" s="6">
        <v>28</v>
      </c>
      <c r="O1216" s="6" t="s">
        <v>4362</v>
      </c>
      <c r="Q1216" s="6">
        <v>120</v>
      </c>
      <c r="R1216" s="6">
        <v>120</v>
      </c>
      <c r="S1216" s="6">
        <v>130</v>
      </c>
      <c r="T1216" s="10">
        <f t="shared" si="73"/>
        <v>125</v>
      </c>
      <c r="V1216" s="8">
        <v>3.6321276409551372E-2</v>
      </c>
      <c r="W1216" s="8">
        <v>0.51639738798141477</v>
      </c>
      <c r="X1216" s="8">
        <f t="shared" si="71"/>
        <v>0.2258271767050038</v>
      </c>
    </row>
    <row r="1217" spans="1:24" x14ac:dyDescent="0.35">
      <c r="A1217" s="6" t="s">
        <v>25</v>
      </c>
      <c r="B1217" s="6" t="s">
        <v>1304</v>
      </c>
      <c r="D1217" s="6" t="s">
        <v>1291</v>
      </c>
      <c r="E1217" s="6">
        <v>3</v>
      </c>
      <c r="F1217" s="6">
        <v>35</v>
      </c>
      <c r="G1217" s="6" t="s">
        <v>345</v>
      </c>
      <c r="I1217" s="8">
        <v>84.322834374999999</v>
      </c>
      <c r="J1217" s="8">
        <v>14.725811041666701</v>
      </c>
      <c r="K1217" s="6" t="s">
        <v>29</v>
      </c>
      <c r="L1217" s="9">
        <v>43932</v>
      </c>
      <c r="N1217" s="6">
        <v>28</v>
      </c>
      <c r="O1217" s="6" t="s">
        <v>4362</v>
      </c>
      <c r="Q1217" s="6">
        <v>130</v>
      </c>
      <c r="R1217" s="6">
        <v>130</v>
      </c>
      <c r="S1217" s="6">
        <v>140</v>
      </c>
      <c r="T1217" s="10">
        <f t="shared" si="73"/>
        <v>135</v>
      </c>
      <c r="V1217" s="8">
        <v>0.38615735191106837</v>
      </c>
      <c r="W1217" s="8">
        <v>2.9610918636322028</v>
      </c>
      <c r="X1217" s="8">
        <f t="shared" si="71"/>
        <v>-0.12816695165634417</v>
      </c>
    </row>
    <row r="1218" spans="1:24" x14ac:dyDescent="0.35">
      <c r="A1218" s="6" t="s">
        <v>25</v>
      </c>
      <c r="B1218" s="6" t="s">
        <v>1305</v>
      </c>
      <c r="D1218" s="6" t="s">
        <v>1291</v>
      </c>
      <c r="E1218" s="6">
        <v>3</v>
      </c>
      <c r="F1218" s="6">
        <v>35</v>
      </c>
      <c r="G1218" s="6" t="s">
        <v>345</v>
      </c>
      <c r="I1218" s="8">
        <v>84.322834374999999</v>
      </c>
      <c r="J1218" s="8">
        <v>14.725811041666701</v>
      </c>
      <c r="K1218" s="6" t="s">
        <v>29</v>
      </c>
      <c r="L1218" s="9">
        <v>43932</v>
      </c>
      <c r="N1218" s="6">
        <v>28</v>
      </c>
      <c r="O1218" s="6" t="s">
        <v>4362</v>
      </c>
      <c r="Q1218" s="6">
        <v>140</v>
      </c>
      <c r="R1218" s="6">
        <v>140</v>
      </c>
      <c r="S1218" s="6">
        <v>150</v>
      </c>
      <c r="T1218" s="10">
        <f t="shared" si="73"/>
        <v>145</v>
      </c>
      <c r="V1218" s="8">
        <v>0.50790722984075587</v>
      </c>
      <c r="W1218" s="8">
        <v>4.0992637577056872</v>
      </c>
      <c r="X1218" s="8">
        <f t="shared" ref="X1218:X1281" si="74">W1218-(8*V1218)</f>
        <v>3.6005918979640228E-2</v>
      </c>
    </row>
    <row r="1219" spans="1:24" x14ac:dyDescent="0.35">
      <c r="A1219" s="6" t="s">
        <v>25</v>
      </c>
      <c r="B1219" s="6" t="s">
        <v>1306</v>
      </c>
      <c r="D1219" s="6" t="s">
        <v>1291</v>
      </c>
      <c r="E1219" s="6">
        <v>3</v>
      </c>
      <c r="F1219" s="6">
        <v>35</v>
      </c>
      <c r="G1219" s="6" t="s">
        <v>345</v>
      </c>
      <c r="I1219" s="8">
        <v>84.322834374999999</v>
      </c>
      <c r="J1219" s="8">
        <v>14.725811041666701</v>
      </c>
      <c r="K1219" s="6" t="s">
        <v>29</v>
      </c>
      <c r="L1219" s="9">
        <v>43932</v>
      </c>
      <c r="N1219" s="6">
        <v>28</v>
      </c>
      <c r="O1219" s="6" t="s">
        <v>4362</v>
      </c>
      <c r="Q1219" s="6">
        <v>150</v>
      </c>
      <c r="R1219" s="6">
        <v>150</v>
      </c>
      <c r="S1219" s="6">
        <v>162</v>
      </c>
      <c r="T1219" s="10">
        <f t="shared" si="73"/>
        <v>156</v>
      </c>
      <c r="V1219" s="8">
        <v>1.0836366036415097</v>
      </c>
      <c r="W1219" s="8">
        <v>8.5688925018310549</v>
      </c>
      <c r="X1219" s="8">
        <f t="shared" si="74"/>
        <v>-0.1002003273010228</v>
      </c>
    </row>
    <row r="1220" spans="1:24" x14ac:dyDescent="0.35">
      <c r="A1220" s="6" t="s">
        <v>25</v>
      </c>
      <c r="B1220" s="6" t="s">
        <v>3477</v>
      </c>
      <c r="D1220" s="6" t="s">
        <v>3779</v>
      </c>
      <c r="E1220" s="6">
        <v>3</v>
      </c>
      <c r="F1220" s="6">
        <v>35</v>
      </c>
      <c r="G1220" s="6" t="s">
        <v>4081</v>
      </c>
      <c r="I1220" s="8">
        <v>84.322834374999999</v>
      </c>
      <c r="J1220" s="8">
        <v>14.725811041666701</v>
      </c>
      <c r="K1220" s="6" t="s">
        <v>2610</v>
      </c>
      <c r="L1220" s="9">
        <v>43932</v>
      </c>
      <c r="N1220" s="6">
        <v>28</v>
      </c>
      <c r="O1220" s="6" t="s">
        <v>4362</v>
      </c>
      <c r="V1220" s="8">
        <v>-0.63666107675790828</v>
      </c>
      <c r="W1220" s="8">
        <v>-3.396346043515206</v>
      </c>
      <c r="X1220" s="27">
        <f t="shared" si="74"/>
        <v>1.6969425705480603</v>
      </c>
    </row>
    <row r="1221" spans="1:24" x14ac:dyDescent="0.35">
      <c r="A1221" s="6" t="s">
        <v>25</v>
      </c>
      <c r="B1221" s="6" t="s">
        <v>2862</v>
      </c>
      <c r="D1221" s="6" t="s">
        <v>3137</v>
      </c>
      <c r="E1221" s="6">
        <v>3</v>
      </c>
      <c r="F1221" s="6">
        <v>34</v>
      </c>
      <c r="G1221" s="6" t="s">
        <v>3315</v>
      </c>
      <c r="I1221" s="8">
        <v>84.322834374999999</v>
      </c>
      <c r="J1221" s="8">
        <v>14.725811041666701</v>
      </c>
      <c r="K1221" s="6" t="s">
        <v>198</v>
      </c>
      <c r="L1221" s="9">
        <v>43932</v>
      </c>
      <c r="M1221" s="18">
        <v>0.45833333333333331</v>
      </c>
      <c r="N1221" s="6">
        <v>28</v>
      </c>
      <c r="O1221" s="6" t="s">
        <v>4362</v>
      </c>
      <c r="R1221" s="6">
        <v>14</v>
      </c>
      <c r="S1221" s="6">
        <v>12</v>
      </c>
      <c r="V1221" s="8">
        <v>-29.991976820755003</v>
      </c>
      <c r="W1221" s="8">
        <v>-229.61041475830078</v>
      </c>
      <c r="X1221" s="8">
        <f t="shared" si="74"/>
        <v>10.325399807739245</v>
      </c>
    </row>
    <row r="1222" spans="1:24" x14ac:dyDescent="0.35">
      <c r="A1222" s="6" t="s">
        <v>25</v>
      </c>
      <c r="B1222" s="6" t="s">
        <v>2863</v>
      </c>
      <c r="D1222" s="6" t="s">
        <v>3137</v>
      </c>
      <c r="E1222" s="6">
        <v>3</v>
      </c>
      <c r="F1222" s="6">
        <v>34</v>
      </c>
      <c r="G1222" s="6" t="s">
        <v>3315</v>
      </c>
      <c r="I1222" s="8">
        <v>84.322834374999999</v>
      </c>
      <c r="J1222" s="8">
        <v>14.725811041666701</v>
      </c>
      <c r="K1222" s="6" t="s">
        <v>198</v>
      </c>
      <c r="L1222" s="9">
        <v>43932</v>
      </c>
      <c r="M1222" s="18">
        <v>0.45833333333333331</v>
      </c>
      <c r="N1222" s="6">
        <v>28</v>
      </c>
      <c r="O1222" s="6" t="s">
        <v>4362</v>
      </c>
      <c r="R1222" s="6">
        <v>10</v>
      </c>
      <c r="S1222" s="6">
        <v>7</v>
      </c>
      <c r="V1222" s="8">
        <v>-13.537378864574436</v>
      </c>
      <c r="W1222" s="8">
        <v>-99.424122010803231</v>
      </c>
      <c r="X1222" s="8">
        <f t="shared" si="74"/>
        <v>8.8749089057922532</v>
      </c>
    </row>
    <row r="1223" spans="1:24" x14ac:dyDescent="0.35">
      <c r="A1223" s="6" t="s">
        <v>25</v>
      </c>
      <c r="B1223" s="6" t="s">
        <v>2864</v>
      </c>
      <c r="D1223" s="6" t="s">
        <v>3137</v>
      </c>
      <c r="E1223" s="6">
        <v>3</v>
      </c>
      <c r="F1223" s="6">
        <v>34</v>
      </c>
      <c r="G1223" s="6" t="s">
        <v>3315</v>
      </c>
      <c r="I1223" s="8">
        <v>84.322834374999999</v>
      </c>
      <c r="J1223" s="8">
        <v>14.725811041666701</v>
      </c>
      <c r="K1223" s="6" t="s">
        <v>198</v>
      </c>
      <c r="L1223" s="9">
        <v>43932</v>
      </c>
      <c r="M1223" s="18">
        <v>0.45833333333333331</v>
      </c>
      <c r="N1223" s="6">
        <v>28</v>
      </c>
      <c r="O1223" s="6" t="s">
        <v>4362</v>
      </c>
      <c r="R1223" s="6">
        <v>3</v>
      </c>
      <c r="S1223" s="6">
        <v>0</v>
      </c>
      <c r="V1223" s="8">
        <v>-2.3722208321571352</v>
      </c>
      <c r="W1223" s="8">
        <v>-40.679704915618892</v>
      </c>
      <c r="X1223" s="8">
        <f t="shared" si="74"/>
        <v>-21.70193825836181</v>
      </c>
    </row>
    <row r="1224" spans="1:24" x14ac:dyDescent="0.35">
      <c r="A1224" s="6" t="s">
        <v>25</v>
      </c>
      <c r="B1224" s="6" t="s">
        <v>3478</v>
      </c>
      <c r="D1224" s="6" t="s">
        <v>3780</v>
      </c>
      <c r="E1224" s="6">
        <v>3</v>
      </c>
      <c r="F1224" s="6">
        <v>35</v>
      </c>
      <c r="G1224" s="6" t="s">
        <v>4082</v>
      </c>
      <c r="I1224" s="8">
        <v>84.291592500000036</v>
      </c>
      <c r="J1224" s="8">
        <v>14.755413194444442</v>
      </c>
      <c r="K1224" s="6" t="s">
        <v>2610</v>
      </c>
      <c r="L1224" s="9">
        <v>43933</v>
      </c>
      <c r="N1224" s="6">
        <v>28</v>
      </c>
      <c r="O1224" s="6" t="s">
        <v>4295</v>
      </c>
      <c r="V1224" s="8">
        <v>-0.59632656508088111</v>
      </c>
      <c r="W1224" s="8">
        <v>-2.8676585183620462</v>
      </c>
      <c r="X1224" s="27">
        <f t="shared" si="74"/>
        <v>1.9029540022850027</v>
      </c>
    </row>
    <row r="1225" spans="1:24" x14ac:dyDescent="0.35">
      <c r="A1225" s="6" t="s">
        <v>25</v>
      </c>
      <c r="B1225" s="7" t="s">
        <v>1322</v>
      </c>
      <c r="D1225" s="6" t="s">
        <v>1323</v>
      </c>
      <c r="E1225" s="6">
        <v>3</v>
      </c>
      <c r="F1225" s="6">
        <v>36</v>
      </c>
      <c r="G1225" s="6" t="s">
        <v>210</v>
      </c>
      <c r="I1225" s="8">
        <v>84.295218194444402</v>
      </c>
      <c r="J1225" s="8">
        <v>14.935208263888899</v>
      </c>
      <c r="K1225" s="6" t="s">
        <v>29</v>
      </c>
      <c r="L1225" s="9">
        <v>43934</v>
      </c>
      <c r="N1225" s="6">
        <v>29</v>
      </c>
      <c r="O1225" s="6" t="s">
        <v>4354</v>
      </c>
      <c r="Q1225" s="10"/>
      <c r="R1225" s="10">
        <v>0</v>
      </c>
      <c r="S1225" s="10">
        <v>10</v>
      </c>
      <c r="T1225" s="10">
        <f t="shared" ref="T1225:T1241" si="75">AVERAGE(R1225:S1225)</f>
        <v>5</v>
      </c>
      <c r="U1225" s="11"/>
      <c r="V1225" s="8">
        <v>-4.2763963514328003</v>
      </c>
      <c r="W1225" s="8">
        <v>-33.716824806213381</v>
      </c>
      <c r="X1225" s="8">
        <f t="shared" si="74"/>
        <v>0.49434600524902095</v>
      </c>
    </row>
    <row r="1226" spans="1:24" x14ac:dyDescent="0.35">
      <c r="A1226" s="6" t="s">
        <v>25</v>
      </c>
      <c r="B1226" s="7" t="s">
        <v>1324</v>
      </c>
      <c r="D1226" s="6" t="s">
        <v>1325</v>
      </c>
      <c r="E1226" s="6">
        <v>3</v>
      </c>
      <c r="F1226" s="6">
        <v>36</v>
      </c>
      <c r="G1226" s="6" t="s">
        <v>210</v>
      </c>
      <c r="I1226" s="8">
        <v>84.295218194444402</v>
      </c>
      <c r="J1226" s="8">
        <v>14.935208263888899</v>
      </c>
      <c r="K1226" s="6" t="s">
        <v>29</v>
      </c>
      <c r="L1226" s="9">
        <v>43934</v>
      </c>
      <c r="N1226" s="6">
        <v>29</v>
      </c>
      <c r="O1226" s="6" t="s">
        <v>4354</v>
      </c>
      <c r="Q1226" s="10"/>
      <c r="R1226" s="10">
        <v>10</v>
      </c>
      <c r="S1226" s="10">
        <v>20</v>
      </c>
      <c r="T1226" s="10">
        <f t="shared" si="75"/>
        <v>15</v>
      </c>
      <c r="U1226" s="11"/>
      <c r="V1226" s="8">
        <v>-4.1445221477508545</v>
      </c>
      <c r="W1226" s="8">
        <v>-31.885477119445799</v>
      </c>
      <c r="X1226" s="8">
        <f t="shared" si="74"/>
        <v>1.270700062561037</v>
      </c>
    </row>
    <row r="1227" spans="1:24" x14ac:dyDescent="0.35">
      <c r="A1227" s="6" t="s">
        <v>25</v>
      </c>
      <c r="B1227" s="7" t="s">
        <v>1326</v>
      </c>
      <c r="D1227" s="6" t="s">
        <v>1327</v>
      </c>
      <c r="E1227" s="6">
        <v>3</v>
      </c>
      <c r="F1227" s="6">
        <v>36</v>
      </c>
      <c r="G1227" s="6" t="s">
        <v>210</v>
      </c>
      <c r="I1227" s="8">
        <v>84.295218194444402</v>
      </c>
      <c r="J1227" s="8">
        <v>14.935208263888899</v>
      </c>
      <c r="K1227" s="6" t="s">
        <v>29</v>
      </c>
      <c r="L1227" s="9">
        <v>43934</v>
      </c>
      <c r="N1227" s="6">
        <v>29</v>
      </c>
      <c r="O1227" s="6" t="s">
        <v>4354</v>
      </c>
      <c r="Q1227" s="10"/>
      <c r="R1227" s="10">
        <v>20</v>
      </c>
      <c r="S1227" s="10">
        <v>30</v>
      </c>
      <c r="T1227" s="10">
        <f t="shared" si="75"/>
        <v>25</v>
      </c>
      <c r="U1227" s="11"/>
      <c r="V1227" s="8">
        <v>-5.0370535903930671</v>
      </c>
      <c r="W1227" s="8">
        <v>-37.586180847167967</v>
      </c>
      <c r="X1227" s="8">
        <f t="shared" si="74"/>
        <v>2.7102478759765702</v>
      </c>
    </row>
    <row r="1228" spans="1:24" x14ac:dyDescent="0.35">
      <c r="A1228" s="6" t="s">
        <v>25</v>
      </c>
      <c r="B1228" s="7" t="s">
        <v>1328</v>
      </c>
      <c r="D1228" s="6" t="s">
        <v>1329</v>
      </c>
      <c r="E1228" s="6">
        <v>3</v>
      </c>
      <c r="F1228" s="6">
        <v>36</v>
      </c>
      <c r="G1228" s="6" t="s">
        <v>210</v>
      </c>
      <c r="I1228" s="8">
        <v>84.295218194444402</v>
      </c>
      <c r="J1228" s="8">
        <v>14.935208263888899</v>
      </c>
      <c r="K1228" s="6" t="s">
        <v>29</v>
      </c>
      <c r="L1228" s="9">
        <v>43934</v>
      </c>
      <c r="N1228" s="6">
        <v>29</v>
      </c>
      <c r="O1228" s="6" t="s">
        <v>4354</v>
      </c>
      <c r="Q1228" s="10"/>
      <c r="R1228" s="10">
        <v>30</v>
      </c>
      <c r="S1228" s="10">
        <v>40</v>
      </c>
      <c r="T1228" s="10">
        <f t="shared" si="75"/>
        <v>35</v>
      </c>
      <c r="U1228" s="11"/>
      <c r="V1228" s="8">
        <v>-4.6164875632286071</v>
      </c>
      <c r="W1228" s="8">
        <v>-34.694053588867185</v>
      </c>
      <c r="X1228" s="8">
        <f t="shared" si="74"/>
        <v>2.2378469169616722</v>
      </c>
    </row>
    <row r="1229" spans="1:24" x14ac:dyDescent="0.35">
      <c r="A1229" s="6" t="s">
        <v>25</v>
      </c>
      <c r="B1229" s="7" t="s">
        <v>1330</v>
      </c>
      <c r="D1229" s="6" t="s">
        <v>1331</v>
      </c>
      <c r="E1229" s="6">
        <v>3</v>
      </c>
      <c r="F1229" s="6">
        <v>36</v>
      </c>
      <c r="G1229" s="6" t="s">
        <v>210</v>
      </c>
      <c r="I1229" s="8">
        <v>84.295218194444402</v>
      </c>
      <c r="J1229" s="8">
        <v>14.935208263888899</v>
      </c>
      <c r="K1229" s="6" t="s">
        <v>29</v>
      </c>
      <c r="L1229" s="9">
        <v>43934</v>
      </c>
      <c r="N1229" s="6">
        <v>29</v>
      </c>
      <c r="O1229" s="6" t="s">
        <v>4354</v>
      </c>
      <c r="Q1229" s="10"/>
      <c r="R1229" s="10">
        <v>40</v>
      </c>
      <c r="S1229" s="10">
        <v>50</v>
      </c>
      <c r="T1229" s="10">
        <f t="shared" si="75"/>
        <v>45</v>
      </c>
      <c r="U1229" s="11"/>
      <c r="V1229" s="8">
        <v>-3.3869139808177953</v>
      </c>
      <c r="W1229" s="8">
        <v>-26.340765579223632</v>
      </c>
      <c r="X1229" s="8">
        <f t="shared" si="74"/>
        <v>0.7545462673187302</v>
      </c>
    </row>
    <row r="1230" spans="1:24" x14ac:dyDescent="0.35">
      <c r="A1230" s="6" t="s">
        <v>25</v>
      </c>
      <c r="B1230" s="7" t="s">
        <v>1332</v>
      </c>
      <c r="D1230" s="6" t="s">
        <v>1333</v>
      </c>
      <c r="E1230" s="6">
        <v>3</v>
      </c>
      <c r="F1230" s="6">
        <v>36</v>
      </c>
      <c r="G1230" s="6" t="s">
        <v>210</v>
      </c>
      <c r="I1230" s="8">
        <v>84.295218194444402</v>
      </c>
      <c r="J1230" s="8">
        <v>14.935208263888899</v>
      </c>
      <c r="K1230" s="6" t="s">
        <v>29</v>
      </c>
      <c r="L1230" s="9">
        <v>43934</v>
      </c>
      <c r="N1230" s="6">
        <v>29</v>
      </c>
      <c r="O1230" s="6" t="s">
        <v>4354</v>
      </c>
      <c r="Q1230" s="10"/>
      <c r="R1230" s="10">
        <v>50</v>
      </c>
      <c r="S1230" s="10">
        <v>60</v>
      </c>
      <c r="T1230" s="10">
        <f t="shared" si="75"/>
        <v>55</v>
      </c>
      <c r="U1230" s="11"/>
      <c r="V1230" s="8">
        <v>-3.6952553405761721</v>
      </c>
      <c r="W1230" s="8">
        <v>-27.422758989334103</v>
      </c>
      <c r="X1230" s="8">
        <f t="shared" si="74"/>
        <v>2.1392837352752743</v>
      </c>
    </row>
    <row r="1231" spans="1:24" x14ac:dyDescent="0.35">
      <c r="A1231" s="6" t="s">
        <v>25</v>
      </c>
      <c r="B1231" s="7" t="s">
        <v>1334</v>
      </c>
      <c r="D1231" s="6" t="s">
        <v>1335</v>
      </c>
      <c r="E1231" s="6">
        <v>3</v>
      </c>
      <c r="F1231" s="6">
        <v>36</v>
      </c>
      <c r="G1231" s="6" t="s">
        <v>210</v>
      </c>
      <c r="I1231" s="8">
        <v>84.295218194444402</v>
      </c>
      <c r="J1231" s="8">
        <v>14.935208263888899</v>
      </c>
      <c r="K1231" s="6" t="s">
        <v>29</v>
      </c>
      <c r="L1231" s="9">
        <v>43934</v>
      </c>
      <c r="N1231" s="6">
        <v>29</v>
      </c>
      <c r="O1231" s="6" t="s">
        <v>4354</v>
      </c>
      <c r="Q1231" s="10"/>
      <c r="R1231" s="10">
        <v>60</v>
      </c>
      <c r="S1231" s="10">
        <v>70</v>
      </c>
      <c r="T1231" s="10">
        <f t="shared" si="75"/>
        <v>65</v>
      </c>
      <c r="U1231" s="11"/>
      <c r="V1231" s="8">
        <v>-4.1384878840446477</v>
      </c>
      <c r="W1231" s="8">
        <v>-30.743727836608887</v>
      </c>
      <c r="X1231" s="8">
        <f t="shared" si="74"/>
        <v>2.364175235748295</v>
      </c>
    </row>
    <row r="1232" spans="1:24" x14ac:dyDescent="0.35">
      <c r="A1232" s="6" t="s">
        <v>25</v>
      </c>
      <c r="B1232" s="7" t="s">
        <v>1336</v>
      </c>
      <c r="D1232" s="6" t="s">
        <v>1337</v>
      </c>
      <c r="E1232" s="6">
        <v>3</v>
      </c>
      <c r="F1232" s="6">
        <v>36</v>
      </c>
      <c r="G1232" s="6" t="s">
        <v>210</v>
      </c>
      <c r="I1232" s="8">
        <v>84.295218194444402</v>
      </c>
      <c r="J1232" s="8">
        <v>14.935208263888899</v>
      </c>
      <c r="K1232" s="6" t="s">
        <v>29</v>
      </c>
      <c r="L1232" s="9">
        <v>43934</v>
      </c>
      <c r="N1232" s="6">
        <v>29</v>
      </c>
      <c r="O1232" s="6" t="s">
        <v>4354</v>
      </c>
      <c r="Q1232" s="10"/>
      <c r="R1232" s="10">
        <v>70</v>
      </c>
      <c r="S1232" s="10">
        <v>80</v>
      </c>
      <c r="T1232" s="10">
        <f t="shared" si="75"/>
        <v>75</v>
      </c>
      <c r="U1232" s="11"/>
      <c r="V1232" s="8">
        <v>0.50816744050383544</v>
      </c>
      <c r="W1232" s="8">
        <v>5.1537030529975896</v>
      </c>
      <c r="X1232" s="8">
        <f t="shared" si="74"/>
        <v>1.088363528966906</v>
      </c>
    </row>
    <row r="1233" spans="1:24" x14ac:dyDescent="0.35">
      <c r="A1233" s="6" t="s">
        <v>25</v>
      </c>
      <c r="B1233" s="7" t="s">
        <v>1338</v>
      </c>
      <c r="D1233" s="6" t="s">
        <v>1339</v>
      </c>
      <c r="E1233" s="6">
        <v>3</v>
      </c>
      <c r="F1233" s="6">
        <v>36</v>
      </c>
      <c r="G1233" s="6" t="s">
        <v>210</v>
      </c>
      <c r="I1233" s="8">
        <v>84.295218194444402</v>
      </c>
      <c r="J1233" s="8">
        <v>14.935208263888899</v>
      </c>
      <c r="K1233" s="6" t="s">
        <v>29</v>
      </c>
      <c r="L1233" s="9">
        <v>43934</v>
      </c>
      <c r="N1233" s="6">
        <v>29</v>
      </c>
      <c r="O1233" s="6" t="s">
        <v>4354</v>
      </c>
      <c r="Q1233" s="10"/>
      <c r="R1233" s="10">
        <v>80</v>
      </c>
      <c r="S1233" s="10">
        <v>90</v>
      </c>
      <c r="T1233" s="10">
        <f t="shared" si="75"/>
        <v>85</v>
      </c>
      <c r="U1233" s="11"/>
      <c r="V1233" s="8">
        <v>0.73401901981830608</v>
      </c>
      <c r="W1233" s="8">
        <v>6.5288597065210343</v>
      </c>
      <c r="X1233" s="8">
        <f t="shared" si="74"/>
        <v>0.65670754797458564</v>
      </c>
    </row>
    <row r="1234" spans="1:24" x14ac:dyDescent="0.35">
      <c r="A1234" s="6" t="s">
        <v>25</v>
      </c>
      <c r="B1234" s="7" t="s">
        <v>1340</v>
      </c>
      <c r="D1234" s="6" t="s">
        <v>1341</v>
      </c>
      <c r="E1234" s="6">
        <v>3</v>
      </c>
      <c r="F1234" s="6">
        <v>36</v>
      </c>
      <c r="G1234" s="6" t="s">
        <v>210</v>
      </c>
      <c r="I1234" s="8">
        <v>84.295218194444402</v>
      </c>
      <c r="J1234" s="8">
        <v>14.935208263888899</v>
      </c>
      <c r="K1234" s="6" t="s">
        <v>29</v>
      </c>
      <c r="L1234" s="9">
        <v>43934</v>
      </c>
      <c r="N1234" s="6">
        <v>29</v>
      </c>
      <c r="O1234" s="6" t="s">
        <v>4354</v>
      </c>
      <c r="Q1234" s="10"/>
      <c r="R1234" s="10">
        <v>90</v>
      </c>
      <c r="S1234" s="10">
        <v>100</v>
      </c>
      <c r="T1234" s="10">
        <f t="shared" si="75"/>
        <v>95</v>
      </c>
      <c r="U1234" s="11"/>
      <c r="V1234" s="8">
        <v>0.21858462583869698</v>
      </c>
      <c r="W1234" s="8">
        <v>2.3131898593902593</v>
      </c>
      <c r="X1234" s="8">
        <f t="shared" si="74"/>
        <v>0.56451285268068352</v>
      </c>
    </row>
    <row r="1235" spans="1:24" x14ac:dyDescent="0.35">
      <c r="A1235" s="6" t="s">
        <v>25</v>
      </c>
      <c r="B1235" s="7" t="s">
        <v>1342</v>
      </c>
      <c r="D1235" s="6" t="s">
        <v>1343</v>
      </c>
      <c r="E1235" s="6">
        <v>3</v>
      </c>
      <c r="F1235" s="6">
        <v>36</v>
      </c>
      <c r="G1235" s="6" t="s">
        <v>210</v>
      </c>
      <c r="I1235" s="8">
        <v>84.295218194444402</v>
      </c>
      <c r="J1235" s="8">
        <v>14.935208263888899</v>
      </c>
      <c r="K1235" s="6" t="s">
        <v>29</v>
      </c>
      <c r="L1235" s="9">
        <v>43934</v>
      </c>
      <c r="N1235" s="6">
        <v>29</v>
      </c>
      <c r="O1235" s="6" t="s">
        <v>4354</v>
      </c>
      <c r="Q1235" s="10"/>
      <c r="R1235" s="10">
        <v>100</v>
      </c>
      <c r="S1235" s="10">
        <v>110</v>
      </c>
      <c r="T1235" s="10">
        <f t="shared" si="75"/>
        <v>105</v>
      </c>
      <c r="U1235" s="11"/>
      <c r="V1235" s="8">
        <v>1.7834105678275435E-2</v>
      </c>
      <c r="W1235" s="8">
        <v>1.123782846927643</v>
      </c>
      <c r="X1235" s="8">
        <f t="shared" si="74"/>
        <v>0.98111000150143945</v>
      </c>
    </row>
    <row r="1236" spans="1:24" x14ac:dyDescent="0.35">
      <c r="A1236" s="6" t="s">
        <v>25</v>
      </c>
      <c r="B1236" s="7" t="s">
        <v>1344</v>
      </c>
      <c r="D1236" s="6" t="s">
        <v>1345</v>
      </c>
      <c r="E1236" s="6">
        <v>3</v>
      </c>
      <c r="F1236" s="6">
        <v>36</v>
      </c>
      <c r="G1236" s="6" t="s">
        <v>210</v>
      </c>
      <c r="I1236" s="8">
        <v>84.295218194444402</v>
      </c>
      <c r="J1236" s="8">
        <v>14.935208263888899</v>
      </c>
      <c r="K1236" s="6" t="s">
        <v>29</v>
      </c>
      <c r="L1236" s="9">
        <v>43934</v>
      </c>
      <c r="N1236" s="6">
        <v>29</v>
      </c>
      <c r="O1236" s="6" t="s">
        <v>4354</v>
      </c>
      <c r="Q1236" s="10"/>
      <c r="R1236" s="10">
        <v>110</v>
      </c>
      <c r="S1236" s="10">
        <v>120</v>
      </c>
      <c r="T1236" s="10">
        <f t="shared" si="75"/>
        <v>115</v>
      </c>
      <c r="U1236" s="11"/>
      <c r="V1236" s="8">
        <v>-0.17549057253599182</v>
      </c>
      <c r="W1236" s="8">
        <v>-1.0481873083114628</v>
      </c>
      <c r="X1236" s="8">
        <f t="shared" si="74"/>
        <v>0.35573727197647176</v>
      </c>
    </row>
    <row r="1237" spans="1:24" x14ac:dyDescent="0.35">
      <c r="A1237" s="6" t="s">
        <v>25</v>
      </c>
      <c r="B1237" s="7" t="s">
        <v>1346</v>
      </c>
      <c r="D1237" s="6" t="s">
        <v>1347</v>
      </c>
      <c r="E1237" s="6">
        <v>3</v>
      </c>
      <c r="F1237" s="6">
        <v>36</v>
      </c>
      <c r="G1237" s="6" t="s">
        <v>210</v>
      </c>
      <c r="I1237" s="8">
        <v>84.295218194444402</v>
      </c>
      <c r="J1237" s="8">
        <v>14.935208263888899</v>
      </c>
      <c r="K1237" s="6" t="s">
        <v>29</v>
      </c>
      <c r="L1237" s="9">
        <v>43934</v>
      </c>
      <c r="N1237" s="6">
        <v>29</v>
      </c>
      <c r="O1237" s="6" t="s">
        <v>4354</v>
      </c>
      <c r="Q1237" s="10"/>
      <c r="R1237" s="10">
        <v>120</v>
      </c>
      <c r="S1237" s="10">
        <v>130</v>
      </c>
      <c r="T1237" s="10">
        <f t="shared" si="75"/>
        <v>125</v>
      </c>
      <c r="U1237" s="11"/>
      <c r="V1237" s="8">
        <v>-0.21797950216531747</v>
      </c>
      <c r="W1237" s="8">
        <v>-1.4359396389722825</v>
      </c>
      <c r="X1237" s="8">
        <f t="shared" si="74"/>
        <v>0.30789637835025729</v>
      </c>
    </row>
    <row r="1238" spans="1:24" x14ac:dyDescent="0.35">
      <c r="A1238" s="6" t="s">
        <v>25</v>
      </c>
      <c r="B1238" s="7" t="s">
        <v>1348</v>
      </c>
      <c r="D1238" s="6" t="s">
        <v>1349</v>
      </c>
      <c r="E1238" s="6">
        <v>3</v>
      </c>
      <c r="F1238" s="6">
        <v>36</v>
      </c>
      <c r="G1238" s="6" t="s">
        <v>210</v>
      </c>
      <c r="I1238" s="8">
        <v>84.295218194444402</v>
      </c>
      <c r="J1238" s="8">
        <v>14.935208263888899</v>
      </c>
      <c r="K1238" s="6" t="s">
        <v>29</v>
      </c>
      <c r="L1238" s="9">
        <v>43934</v>
      </c>
      <c r="N1238" s="6">
        <v>29</v>
      </c>
      <c r="O1238" s="6" t="s">
        <v>4354</v>
      </c>
      <c r="Q1238" s="10"/>
      <c r="R1238" s="10">
        <v>130</v>
      </c>
      <c r="S1238" s="10">
        <v>140</v>
      </c>
      <c r="T1238" s="10">
        <f t="shared" si="75"/>
        <v>135</v>
      </c>
      <c r="U1238" s="11"/>
      <c r="V1238" s="8">
        <v>-8.0169706159830045E-2</v>
      </c>
      <c r="W1238" s="8">
        <v>-0.48048511153459583</v>
      </c>
      <c r="X1238" s="8">
        <f t="shared" si="74"/>
        <v>0.16087253774404453</v>
      </c>
    </row>
    <row r="1239" spans="1:24" x14ac:dyDescent="0.35">
      <c r="A1239" s="6" t="s">
        <v>25</v>
      </c>
      <c r="B1239" s="7" t="s">
        <v>1350</v>
      </c>
      <c r="D1239" s="6" t="s">
        <v>1351</v>
      </c>
      <c r="E1239" s="6">
        <v>3</v>
      </c>
      <c r="F1239" s="6">
        <v>36</v>
      </c>
      <c r="G1239" s="6" t="s">
        <v>210</v>
      </c>
      <c r="I1239" s="8">
        <v>84.295218194444402</v>
      </c>
      <c r="J1239" s="8">
        <v>14.935208263888899</v>
      </c>
      <c r="K1239" s="6" t="s">
        <v>29</v>
      </c>
      <c r="L1239" s="9">
        <v>43934</v>
      </c>
      <c r="N1239" s="6">
        <v>29</v>
      </c>
      <c r="O1239" s="6" t="s">
        <v>4354</v>
      </c>
      <c r="Q1239" s="10"/>
      <c r="R1239" s="10">
        <v>140</v>
      </c>
      <c r="S1239" s="10">
        <v>150</v>
      </c>
      <c r="T1239" s="10">
        <f t="shared" si="75"/>
        <v>145</v>
      </c>
      <c r="U1239" s="11"/>
      <c r="V1239" s="8">
        <v>0.32083228794336316</v>
      </c>
      <c r="W1239" s="8">
        <v>2.8422784616947179</v>
      </c>
      <c r="X1239" s="8">
        <f t="shared" si="74"/>
        <v>0.2756201581478126</v>
      </c>
    </row>
    <row r="1240" spans="1:24" x14ac:dyDescent="0.35">
      <c r="A1240" s="6" t="s">
        <v>25</v>
      </c>
      <c r="B1240" s="7" t="s">
        <v>1352</v>
      </c>
      <c r="D1240" s="6" t="s">
        <v>1353</v>
      </c>
      <c r="E1240" s="6">
        <v>3</v>
      </c>
      <c r="F1240" s="6">
        <v>36</v>
      </c>
      <c r="G1240" s="6" t="s">
        <v>210</v>
      </c>
      <c r="I1240" s="8">
        <v>84.295218194444402</v>
      </c>
      <c r="J1240" s="8">
        <v>14.935208263888899</v>
      </c>
      <c r="K1240" s="6" t="s">
        <v>29</v>
      </c>
      <c r="L1240" s="9">
        <v>43934</v>
      </c>
      <c r="N1240" s="6">
        <v>29</v>
      </c>
      <c r="O1240" s="6" t="s">
        <v>4354</v>
      </c>
      <c r="Q1240" s="10"/>
      <c r="R1240" s="10">
        <v>150</v>
      </c>
      <c r="S1240" s="10">
        <v>160</v>
      </c>
      <c r="T1240" s="10">
        <f t="shared" si="75"/>
        <v>155</v>
      </c>
      <c r="U1240" s="11"/>
      <c r="V1240" s="8">
        <v>0.527800434103608</v>
      </c>
      <c r="W1240" s="8">
        <v>4.7945862483978274</v>
      </c>
      <c r="X1240" s="8">
        <f t="shared" si="74"/>
        <v>0.57218277556896346</v>
      </c>
    </row>
    <row r="1241" spans="1:24" x14ac:dyDescent="0.35">
      <c r="A1241" s="6" t="s">
        <v>25</v>
      </c>
      <c r="B1241" s="7" t="s">
        <v>1354</v>
      </c>
      <c r="D1241" s="6" t="s">
        <v>1355</v>
      </c>
      <c r="E1241" s="6">
        <v>3</v>
      </c>
      <c r="F1241" s="6">
        <v>36</v>
      </c>
      <c r="G1241" s="6" t="s">
        <v>210</v>
      </c>
      <c r="I1241" s="8">
        <v>84.295218194444402</v>
      </c>
      <c r="J1241" s="8">
        <v>14.935208263888899</v>
      </c>
      <c r="K1241" s="6" t="s">
        <v>29</v>
      </c>
      <c r="L1241" s="9">
        <v>43934</v>
      </c>
      <c r="N1241" s="6">
        <v>29</v>
      </c>
      <c r="O1241" s="6" t="s">
        <v>4354</v>
      </c>
      <c r="Q1241" s="10"/>
      <c r="R1241" s="10">
        <v>160</v>
      </c>
      <c r="S1241" s="10">
        <v>170</v>
      </c>
      <c r="T1241" s="10">
        <f t="shared" si="75"/>
        <v>165</v>
      </c>
      <c r="U1241" s="11"/>
      <c r="V1241" s="8">
        <v>1.1324170448541639</v>
      </c>
      <c r="W1241" s="8">
        <v>9.0989003705978391</v>
      </c>
      <c r="X1241" s="8">
        <f t="shared" si="74"/>
        <v>3.9564011764527507E-2</v>
      </c>
    </row>
    <row r="1242" spans="1:24" x14ac:dyDescent="0.35">
      <c r="A1242" s="6" t="s">
        <v>25</v>
      </c>
      <c r="B1242" s="6" t="s">
        <v>3479</v>
      </c>
      <c r="D1242" s="6" t="s">
        <v>3781</v>
      </c>
      <c r="E1242" s="6">
        <v>3</v>
      </c>
      <c r="F1242" s="6">
        <v>36</v>
      </c>
      <c r="G1242" s="6" t="s">
        <v>4083</v>
      </c>
      <c r="I1242" s="8">
        <v>84.295218194444402</v>
      </c>
      <c r="J1242" s="8">
        <v>14.935208263888899</v>
      </c>
      <c r="K1242" s="6" t="s">
        <v>2610</v>
      </c>
      <c r="L1242" s="9">
        <v>43934</v>
      </c>
      <c r="N1242" s="6">
        <v>29</v>
      </c>
      <c r="O1242" s="6" t="s">
        <v>4354</v>
      </c>
      <c r="V1242" s="8">
        <v>-0.55481402729988127</v>
      </c>
      <c r="W1242" s="8">
        <v>-4.3852443343162539</v>
      </c>
      <c r="X1242" s="27">
        <f t="shared" si="74"/>
        <v>5.3267884082796257E-2</v>
      </c>
    </row>
    <row r="1243" spans="1:24" x14ac:dyDescent="0.35">
      <c r="A1243" s="6" t="s">
        <v>25</v>
      </c>
      <c r="B1243" s="6" t="s">
        <v>2877</v>
      </c>
      <c r="D1243" s="6" t="s">
        <v>3142</v>
      </c>
      <c r="E1243" s="6">
        <v>3</v>
      </c>
      <c r="F1243" s="6">
        <v>36</v>
      </c>
      <c r="G1243" s="6" t="s">
        <v>3319</v>
      </c>
      <c r="I1243" s="8">
        <v>84.295218194444402</v>
      </c>
      <c r="J1243" s="8">
        <v>14.935208263888899</v>
      </c>
      <c r="K1243" s="6" t="s">
        <v>198</v>
      </c>
      <c r="L1243" s="9">
        <v>43934</v>
      </c>
      <c r="M1243" s="18">
        <v>0.49374999999999997</v>
      </c>
      <c r="N1243" s="6">
        <v>29</v>
      </c>
      <c r="O1243" s="6" t="s">
        <v>4354</v>
      </c>
      <c r="R1243" s="6">
        <v>11</v>
      </c>
      <c r="S1243" s="6">
        <v>8</v>
      </c>
      <c r="V1243" s="8">
        <v>-28.541485482177734</v>
      </c>
      <c r="W1243" s="8">
        <v>-214.72707274169923</v>
      </c>
      <c r="X1243" s="8">
        <f t="shared" si="74"/>
        <v>13.60481111572264</v>
      </c>
    </row>
    <row r="1244" spans="1:24" x14ac:dyDescent="0.35">
      <c r="A1244" s="6" t="s">
        <v>25</v>
      </c>
      <c r="B1244" s="6" t="s">
        <v>2878</v>
      </c>
      <c r="D1244" s="6" t="s">
        <v>3142</v>
      </c>
      <c r="E1244" s="6">
        <v>3</v>
      </c>
      <c r="F1244" s="6">
        <v>36</v>
      </c>
      <c r="G1244" s="6" t="s">
        <v>3319</v>
      </c>
      <c r="I1244" s="8">
        <v>84.295218194444402</v>
      </c>
      <c r="J1244" s="8">
        <v>14.935208263888899</v>
      </c>
      <c r="K1244" s="6" t="s">
        <v>198</v>
      </c>
      <c r="L1244" s="9">
        <v>43934</v>
      </c>
      <c r="M1244" s="18">
        <v>0.49374999999999997</v>
      </c>
      <c r="N1244" s="6">
        <v>29</v>
      </c>
      <c r="O1244" s="6" t="s">
        <v>4354</v>
      </c>
      <c r="R1244" s="6">
        <v>7</v>
      </c>
      <c r="S1244" s="6">
        <v>4</v>
      </c>
      <c r="V1244" s="8">
        <v>-22.68312347503662</v>
      </c>
      <c r="W1244" s="8">
        <v>-160.87889566345214</v>
      </c>
      <c r="X1244" s="8">
        <f t="shared" si="74"/>
        <v>20.586092136840819</v>
      </c>
    </row>
    <row r="1245" spans="1:24" x14ac:dyDescent="0.35">
      <c r="A1245" s="6" t="s">
        <v>25</v>
      </c>
      <c r="B1245" s="6" t="s">
        <v>2879</v>
      </c>
      <c r="D1245" s="6" t="s">
        <v>3142</v>
      </c>
      <c r="E1245" s="6">
        <v>3</v>
      </c>
      <c r="F1245" s="6">
        <v>36</v>
      </c>
      <c r="G1245" s="6" t="s">
        <v>3319</v>
      </c>
      <c r="I1245" s="8">
        <v>84.295218194444402</v>
      </c>
      <c r="J1245" s="8">
        <v>14.935208263888899</v>
      </c>
      <c r="K1245" s="6" t="s">
        <v>198</v>
      </c>
      <c r="L1245" s="9">
        <v>43934</v>
      </c>
      <c r="M1245" s="18">
        <v>0.49374999999999997</v>
      </c>
      <c r="N1245" s="6">
        <v>29</v>
      </c>
      <c r="O1245" s="6" t="s">
        <v>4354</v>
      </c>
      <c r="R1245" s="6">
        <v>3</v>
      </c>
      <c r="S1245" s="6">
        <v>0</v>
      </c>
      <c r="V1245" s="8">
        <v>-7.7273051299667355</v>
      </c>
      <c r="W1245" s="8">
        <v>-59.475213675689695</v>
      </c>
      <c r="X1245" s="8">
        <f t="shared" si="74"/>
        <v>2.3432273640441892</v>
      </c>
    </row>
    <row r="1246" spans="1:24" x14ac:dyDescent="0.35">
      <c r="A1246" s="6" t="s">
        <v>25</v>
      </c>
      <c r="B1246" s="7" t="s">
        <v>1356</v>
      </c>
      <c r="D1246" s="6" t="s">
        <v>1357</v>
      </c>
      <c r="E1246" s="6">
        <v>3</v>
      </c>
      <c r="F1246" s="6">
        <v>36</v>
      </c>
      <c r="G1246" s="6" t="s">
        <v>202</v>
      </c>
      <c r="I1246" s="8">
        <v>84.331482986111098</v>
      </c>
      <c r="J1246" s="8">
        <v>14.642671805555601</v>
      </c>
      <c r="K1246" s="6" t="s">
        <v>29</v>
      </c>
      <c r="L1246" s="9">
        <v>43935</v>
      </c>
      <c r="N1246" s="6">
        <v>29</v>
      </c>
      <c r="O1246" s="6" t="s">
        <v>4332</v>
      </c>
      <c r="Q1246" s="10"/>
      <c r="R1246" s="10">
        <v>10</v>
      </c>
      <c r="S1246" s="10">
        <v>20</v>
      </c>
      <c r="T1246" s="10">
        <f t="shared" ref="T1246:T1264" si="76">AVERAGE(R1246:S1246)</f>
        <v>15</v>
      </c>
      <c r="U1246" s="11"/>
      <c r="V1246" s="8">
        <v>-2.341810216927529</v>
      </c>
      <c r="W1246" s="8">
        <v>-17.849983564376831</v>
      </c>
      <c r="X1246" s="8">
        <f t="shared" si="74"/>
        <v>0.88449817104340056</v>
      </c>
    </row>
    <row r="1247" spans="1:24" x14ac:dyDescent="0.35">
      <c r="A1247" s="6" t="s">
        <v>25</v>
      </c>
      <c r="B1247" s="7" t="s">
        <v>1358</v>
      </c>
      <c r="D1247" s="6" t="s">
        <v>1359</v>
      </c>
      <c r="E1247" s="6">
        <v>3</v>
      </c>
      <c r="F1247" s="6">
        <v>36</v>
      </c>
      <c r="G1247" s="6" t="s">
        <v>202</v>
      </c>
      <c r="I1247" s="8">
        <v>84.331482986111098</v>
      </c>
      <c r="J1247" s="8">
        <v>14.642671805555601</v>
      </c>
      <c r="K1247" s="6" t="s">
        <v>29</v>
      </c>
      <c r="L1247" s="9">
        <v>43935</v>
      </c>
      <c r="N1247" s="6">
        <v>29</v>
      </c>
      <c r="O1247" s="6" t="s">
        <v>4332</v>
      </c>
      <c r="Q1247" s="10"/>
      <c r="R1247" s="10">
        <v>20</v>
      </c>
      <c r="S1247" s="10">
        <v>30</v>
      </c>
      <c r="T1247" s="10">
        <f t="shared" si="76"/>
        <v>25</v>
      </c>
      <c r="U1247" s="11"/>
      <c r="V1247" s="8">
        <v>3.3020355909503828E-2</v>
      </c>
      <c r="W1247" s="8">
        <v>4.1364653706550437E-2</v>
      </c>
      <c r="X1247" s="8">
        <f t="shared" si="74"/>
        <v>-0.22279819356948019</v>
      </c>
    </row>
    <row r="1248" spans="1:24" x14ac:dyDescent="0.35">
      <c r="A1248" s="6" t="s">
        <v>25</v>
      </c>
      <c r="B1248" s="7" t="s">
        <v>1360</v>
      </c>
      <c r="D1248" s="6" t="s">
        <v>1361</v>
      </c>
      <c r="E1248" s="6">
        <v>3</v>
      </c>
      <c r="F1248" s="6">
        <v>36</v>
      </c>
      <c r="G1248" s="6" t="s">
        <v>202</v>
      </c>
      <c r="I1248" s="8">
        <v>84.331482986111098</v>
      </c>
      <c r="J1248" s="8">
        <v>14.642671805555601</v>
      </c>
      <c r="K1248" s="6" t="s">
        <v>29</v>
      </c>
      <c r="L1248" s="9">
        <v>43935</v>
      </c>
      <c r="N1248" s="6">
        <v>29</v>
      </c>
      <c r="O1248" s="6" t="s">
        <v>4332</v>
      </c>
      <c r="Q1248" s="10"/>
      <c r="R1248" s="10">
        <v>30</v>
      </c>
      <c r="S1248" s="10">
        <v>40</v>
      </c>
      <c r="T1248" s="10">
        <f t="shared" si="76"/>
        <v>35</v>
      </c>
      <c r="U1248" s="11"/>
      <c r="V1248" s="8">
        <v>0.78621887267231949</v>
      </c>
      <c r="W1248" s="8">
        <v>6.130465404510498</v>
      </c>
      <c r="X1248" s="8">
        <f t="shared" si="74"/>
        <v>-0.15928557686805789</v>
      </c>
    </row>
    <row r="1249" spans="1:24" x14ac:dyDescent="0.35">
      <c r="A1249" s="6" t="s">
        <v>25</v>
      </c>
      <c r="B1249" s="7" t="s">
        <v>1362</v>
      </c>
      <c r="D1249" s="6" t="s">
        <v>1363</v>
      </c>
      <c r="E1249" s="6">
        <v>3</v>
      </c>
      <c r="F1249" s="6">
        <v>36</v>
      </c>
      <c r="G1249" s="6" t="s">
        <v>202</v>
      </c>
      <c r="I1249" s="8">
        <v>84.331482986111098</v>
      </c>
      <c r="J1249" s="8">
        <v>14.642671805555601</v>
      </c>
      <c r="K1249" s="6" t="s">
        <v>29</v>
      </c>
      <c r="L1249" s="9">
        <v>43935</v>
      </c>
      <c r="N1249" s="6">
        <v>29</v>
      </c>
      <c r="O1249" s="6" t="s">
        <v>4332</v>
      </c>
      <c r="Q1249" s="10"/>
      <c r="R1249" s="10">
        <v>40</v>
      </c>
      <c r="S1249" s="10">
        <v>50</v>
      </c>
      <c r="T1249" s="10">
        <f t="shared" si="76"/>
        <v>45</v>
      </c>
      <c r="U1249" s="11"/>
      <c r="V1249" s="8">
        <v>0.81558715505599955</v>
      </c>
      <c r="W1249" s="8">
        <v>6.522841104745865</v>
      </c>
      <c r="X1249" s="8">
        <f t="shared" si="74"/>
        <v>-1.8561357021313896E-3</v>
      </c>
    </row>
    <row r="1250" spans="1:24" x14ac:dyDescent="0.35">
      <c r="A1250" s="6" t="s">
        <v>25</v>
      </c>
      <c r="B1250" s="7" t="s">
        <v>1364</v>
      </c>
      <c r="D1250" s="6" t="s">
        <v>1365</v>
      </c>
      <c r="E1250" s="6">
        <v>3</v>
      </c>
      <c r="F1250" s="6">
        <v>36</v>
      </c>
      <c r="G1250" s="6" t="s">
        <v>202</v>
      </c>
      <c r="I1250" s="8">
        <v>84.331482986111098</v>
      </c>
      <c r="J1250" s="8">
        <v>14.642671805555601</v>
      </c>
      <c r="K1250" s="6" t="s">
        <v>29</v>
      </c>
      <c r="L1250" s="9">
        <v>43935</v>
      </c>
      <c r="N1250" s="6">
        <v>29</v>
      </c>
      <c r="O1250" s="6" t="s">
        <v>4332</v>
      </c>
      <c r="Q1250" s="10"/>
      <c r="R1250" s="10">
        <v>50</v>
      </c>
      <c r="S1250" s="10">
        <v>60</v>
      </c>
      <c r="T1250" s="10">
        <f t="shared" si="76"/>
        <v>55</v>
      </c>
      <c r="U1250" s="11"/>
      <c r="V1250" s="8">
        <v>0.73683906955719014</v>
      </c>
      <c r="W1250" s="8">
        <v>6.1391176104545595</v>
      </c>
      <c r="X1250" s="8">
        <f t="shared" si="74"/>
        <v>0.24440505399703838</v>
      </c>
    </row>
    <row r="1251" spans="1:24" x14ac:dyDescent="0.35">
      <c r="A1251" s="6" t="s">
        <v>25</v>
      </c>
      <c r="B1251" s="7" t="s">
        <v>1366</v>
      </c>
      <c r="D1251" s="6" t="s">
        <v>1367</v>
      </c>
      <c r="E1251" s="6">
        <v>3</v>
      </c>
      <c r="F1251" s="6">
        <v>36</v>
      </c>
      <c r="G1251" s="6" t="s">
        <v>202</v>
      </c>
      <c r="I1251" s="8">
        <v>84.331482986111098</v>
      </c>
      <c r="J1251" s="8">
        <v>14.642671805555601</v>
      </c>
      <c r="K1251" s="6" t="s">
        <v>29</v>
      </c>
      <c r="L1251" s="9">
        <v>43935</v>
      </c>
      <c r="N1251" s="6">
        <v>29</v>
      </c>
      <c r="O1251" s="6" t="s">
        <v>4332</v>
      </c>
      <c r="Q1251" s="10"/>
      <c r="R1251" s="10">
        <v>60</v>
      </c>
      <c r="S1251" s="10">
        <v>70</v>
      </c>
      <c r="T1251" s="10">
        <f t="shared" si="76"/>
        <v>65</v>
      </c>
      <c r="U1251" s="11"/>
      <c r="V1251" s="8">
        <v>0.54212162024974853</v>
      </c>
      <c r="W1251" s="8">
        <v>4.7199385565519334</v>
      </c>
      <c r="X1251" s="8">
        <f t="shared" si="74"/>
        <v>0.38296559455394519</v>
      </c>
    </row>
    <row r="1252" spans="1:24" x14ac:dyDescent="0.35">
      <c r="A1252" s="6" t="s">
        <v>25</v>
      </c>
      <c r="B1252" s="7" t="s">
        <v>1368</v>
      </c>
      <c r="D1252" s="6" t="s">
        <v>1369</v>
      </c>
      <c r="E1252" s="6">
        <v>3</v>
      </c>
      <c r="F1252" s="6">
        <v>36</v>
      </c>
      <c r="G1252" s="6" t="s">
        <v>202</v>
      </c>
      <c r="I1252" s="8">
        <v>84.331482986111098</v>
      </c>
      <c r="J1252" s="8">
        <v>14.642671805555601</v>
      </c>
      <c r="K1252" s="6" t="s">
        <v>29</v>
      </c>
      <c r="L1252" s="9">
        <v>43935</v>
      </c>
      <c r="N1252" s="6">
        <v>29</v>
      </c>
      <c r="O1252" s="6" t="s">
        <v>4332</v>
      </c>
      <c r="Q1252" s="10"/>
      <c r="R1252" s="10">
        <v>70</v>
      </c>
      <c r="S1252" s="10">
        <v>80</v>
      </c>
      <c r="T1252" s="10">
        <f t="shared" si="76"/>
        <v>75</v>
      </c>
      <c r="U1252" s="11"/>
      <c r="V1252" s="8">
        <v>0.14092343051433601</v>
      </c>
      <c r="W1252" s="8">
        <v>1.8603077005743982</v>
      </c>
      <c r="X1252" s="8">
        <f t="shared" si="74"/>
        <v>0.73292025645971015</v>
      </c>
    </row>
    <row r="1253" spans="1:24" x14ac:dyDescent="0.35">
      <c r="A1253" s="6" t="s">
        <v>25</v>
      </c>
      <c r="B1253" s="7" t="s">
        <v>1370</v>
      </c>
      <c r="D1253" s="6" t="s">
        <v>1371</v>
      </c>
      <c r="E1253" s="6">
        <v>3</v>
      </c>
      <c r="F1253" s="6">
        <v>36</v>
      </c>
      <c r="G1253" s="6" t="s">
        <v>202</v>
      </c>
      <c r="I1253" s="8">
        <v>84.331482986111098</v>
      </c>
      <c r="J1253" s="8">
        <v>14.642671805555601</v>
      </c>
      <c r="K1253" s="6" t="s">
        <v>29</v>
      </c>
      <c r="L1253" s="9">
        <v>43935</v>
      </c>
      <c r="N1253" s="6">
        <v>29</v>
      </c>
      <c r="O1253" s="6" t="s">
        <v>4332</v>
      </c>
      <c r="Q1253" s="10"/>
      <c r="R1253" s="10">
        <v>80</v>
      </c>
      <c r="S1253" s="10">
        <v>90</v>
      </c>
      <c r="T1253" s="10">
        <f t="shared" si="76"/>
        <v>85</v>
      </c>
      <c r="U1253" s="11"/>
      <c r="V1253" s="8">
        <v>-2.4737493686974435E-2</v>
      </c>
      <c r="W1253" s="8">
        <v>0.18225342646613751</v>
      </c>
      <c r="X1253" s="8">
        <f t="shared" si="74"/>
        <v>0.38015337596193299</v>
      </c>
    </row>
    <row r="1254" spans="1:24" x14ac:dyDescent="0.35">
      <c r="A1254" s="6" t="s">
        <v>25</v>
      </c>
      <c r="B1254" s="7" t="s">
        <v>1372</v>
      </c>
      <c r="D1254" s="6" t="s">
        <v>1373</v>
      </c>
      <c r="E1254" s="6">
        <v>3</v>
      </c>
      <c r="F1254" s="6">
        <v>36</v>
      </c>
      <c r="G1254" s="6" t="s">
        <v>202</v>
      </c>
      <c r="I1254" s="8">
        <v>84.331482986111098</v>
      </c>
      <c r="J1254" s="8">
        <v>14.642671805555601</v>
      </c>
      <c r="K1254" s="6" t="s">
        <v>29</v>
      </c>
      <c r="L1254" s="9">
        <v>43935</v>
      </c>
      <c r="N1254" s="6">
        <v>29</v>
      </c>
      <c r="O1254" s="6" t="s">
        <v>4332</v>
      </c>
      <c r="Q1254" s="10"/>
      <c r="R1254" s="10">
        <v>90</v>
      </c>
      <c r="S1254" s="10">
        <v>100</v>
      </c>
      <c r="T1254" s="10">
        <f t="shared" si="76"/>
        <v>95</v>
      </c>
      <c r="U1254" s="11"/>
      <c r="V1254" s="8">
        <v>-9.42104747450353E-2</v>
      </c>
      <c r="W1254" s="8">
        <v>-0.23579187019169312</v>
      </c>
      <c r="X1254" s="8">
        <f t="shared" si="74"/>
        <v>0.51789192776858928</v>
      </c>
    </row>
    <row r="1255" spans="1:24" x14ac:dyDescent="0.35">
      <c r="A1255" s="6" t="s">
        <v>25</v>
      </c>
      <c r="B1255" s="7" t="s">
        <v>1374</v>
      </c>
      <c r="D1255" s="6" t="s">
        <v>1375</v>
      </c>
      <c r="E1255" s="6">
        <v>3</v>
      </c>
      <c r="F1255" s="6">
        <v>36</v>
      </c>
      <c r="G1255" s="6" t="s">
        <v>202</v>
      </c>
      <c r="I1255" s="8">
        <v>84.331482986111098</v>
      </c>
      <c r="J1255" s="8">
        <v>14.642671805555601</v>
      </c>
      <c r="K1255" s="6" t="s">
        <v>29</v>
      </c>
      <c r="L1255" s="9">
        <v>43935</v>
      </c>
      <c r="N1255" s="6">
        <v>29</v>
      </c>
      <c r="O1255" s="6" t="s">
        <v>4332</v>
      </c>
      <c r="Q1255" s="10"/>
      <c r="R1255" s="10">
        <v>110</v>
      </c>
      <c r="S1255" s="10">
        <v>120</v>
      </c>
      <c r="T1255" s="10">
        <f t="shared" si="76"/>
        <v>115</v>
      </c>
      <c r="U1255" s="11"/>
      <c r="V1255" s="8">
        <v>-0.15586319233536738</v>
      </c>
      <c r="W1255" s="8">
        <v>-1.2360639267563824</v>
      </c>
      <c r="X1255" s="8">
        <f t="shared" si="74"/>
        <v>1.0841611926556638E-2</v>
      </c>
    </row>
    <row r="1256" spans="1:24" x14ac:dyDescent="0.35">
      <c r="A1256" s="6" t="s">
        <v>25</v>
      </c>
      <c r="B1256" s="7" t="s">
        <v>1376</v>
      </c>
      <c r="D1256" s="6" t="s">
        <v>1377</v>
      </c>
      <c r="E1256" s="6">
        <v>3</v>
      </c>
      <c r="F1256" s="6">
        <v>36</v>
      </c>
      <c r="G1256" s="6" t="s">
        <v>202</v>
      </c>
      <c r="I1256" s="8">
        <v>84.331482986111098</v>
      </c>
      <c r="J1256" s="8">
        <v>14.642671805555601</v>
      </c>
      <c r="K1256" s="6" t="s">
        <v>29</v>
      </c>
      <c r="L1256" s="9">
        <v>43935</v>
      </c>
      <c r="N1256" s="6">
        <v>29</v>
      </c>
      <c r="O1256" s="6" t="s">
        <v>4332</v>
      </c>
      <c r="Q1256" s="10"/>
      <c r="R1256" s="10">
        <v>120</v>
      </c>
      <c r="S1256" s="10">
        <v>130</v>
      </c>
      <c r="T1256" s="10">
        <f t="shared" si="76"/>
        <v>125</v>
      </c>
      <c r="U1256" s="11"/>
      <c r="V1256" s="8">
        <v>-0.32959211532592742</v>
      </c>
      <c r="W1256" s="8">
        <v>-1.8460146293044088</v>
      </c>
      <c r="X1256" s="8">
        <f t="shared" si="74"/>
        <v>0.79072229330301047</v>
      </c>
    </row>
    <row r="1257" spans="1:24" x14ac:dyDescent="0.35">
      <c r="A1257" s="6" t="s">
        <v>25</v>
      </c>
      <c r="B1257" s="7" t="s">
        <v>1378</v>
      </c>
      <c r="D1257" s="6" t="s">
        <v>1379</v>
      </c>
      <c r="E1257" s="6">
        <v>3</v>
      </c>
      <c r="F1257" s="6">
        <v>36</v>
      </c>
      <c r="G1257" s="6" t="s">
        <v>202</v>
      </c>
      <c r="I1257" s="8">
        <v>84.331482986111098</v>
      </c>
      <c r="J1257" s="8">
        <v>14.642671805555601</v>
      </c>
      <c r="K1257" s="6" t="s">
        <v>29</v>
      </c>
      <c r="L1257" s="9">
        <v>43935</v>
      </c>
      <c r="N1257" s="6">
        <v>29</v>
      </c>
      <c r="O1257" s="6" t="s">
        <v>4332</v>
      </c>
      <c r="Q1257" s="10"/>
      <c r="R1257" s="10">
        <v>130</v>
      </c>
      <c r="S1257" s="10">
        <v>140</v>
      </c>
      <c r="T1257" s="10">
        <f t="shared" si="76"/>
        <v>135</v>
      </c>
      <c r="U1257" s="11"/>
      <c r="V1257" s="8">
        <v>0.30936142809867856</v>
      </c>
      <c r="W1257" s="8">
        <v>3.3362662703990935</v>
      </c>
      <c r="X1257" s="8">
        <f t="shared" si="74"/>
        <v>0.86137484560966504</v>
      </c>
    </row>
    <row r="1258" spans="1:24" x14ac:dyDescent="0.35">
      <c r="A1258" s="6" t="s">
        <v>25</v>
      </c>
      <c r="B1258" s="7" t="s">
        <v>1380</v>
      </c>
      <c r="D1258" s="6" t="s">
        <v>1381</v>
      </c>
      <c r="E1258" s="6">
        <v>3</v>
      </c>
      <c r="F1258" s="6">
        <v>36</v>
      </c>
      <c r="G1258" s="6" t="s">
        <v>202</v>
      </c>
      <c r="I1258" s="8">
        <v>84.331482986111098</v>
      </c>
      <c r="J1258" s="8">
        <v>14.642671805555601</v>
      </c>
      <c r="K1258" s="6" t="s">
        <v>29</v>
      </c>
      <c r="L1258" s="9">
        <v>43935</v>
      </c>
      <c r="N1258" s="6">
        <v>29</v>
      </c>
      <c r="O1258" s="6" t="s">
        <v>4332</v>
      </c>
      <c r="Q1258" s="10"/>
      <c r="R1258" s="10">
        <v>140</v>
      </c>
      <c r="S1258" s="10">
        <v>150</v>
      </c>
      <c r="T1258" s="10">
        <f t="shared" si="76"/>
        <v>145</v>
      </c>
      <c r="U1258" s="11"/>
      <c r="V1258" s="8">
        <v>0.29989036567688004</v>
      </c>
      <c r="W1258" s="8">
        <v>2.5609793573617932</v>
      </c>
      <c r="X1258" s="8">
        <f t="shared" si="74"/>
        <v>0.16185643194675281</v>
      </c>
    </row>
    <row r="1259" spans="1:24" x14ac:dyDescent="0.35">
      <c r="A1259" s="6" t="s">
        <v>25</v>
      </c>
      <c r="B1259" s="7" t="s">
        <v>1382</v>
      </c>
      <c r="D1259" s="6" t="s">
        <v>1383</v>
      </c>
      <c r="E1259" s="6">
        <v>3</v>
      </c>
      <c r="F1259" s="6">
        <v>36</v>
      </c>
      <c r="G1259" s="6" t="s">
        <v>202</v>
      </c>
      <c r="I1259" s="8">
        <v>84.331482986111098</v>
      </c>
      <c r="J1259" s="8">
        <v>14.642671805555601</v>
      </c>
      <c r="K1259" s="6" t="s">
        <v>29</v>
      </c>
      <c r="L1259" s="9">
        <v>43935</v>
      </c>
      <c r="N1259" s="6">
        <v>29</v>
      </c>
      <c r="O1259" s="6" t="s">
        <v>4332</v>
      </c>
      <c r="Q1259" s="10"/>
      <c r="R1259" s="10">
        <v>150</v>
      </c>
      <c r="S1259" s="10">
        <v>160</v>
      </c>
      <c r="T1259" s="10">
        <f t="shared" si="76"/>
        <v>155</v>
      </c>
      <c r="U1259" s="11"/>
      <c r="V1259" s="8">
        <v>0.40298590071678198</v>
      </c>
      <c r="W1259" s="8">
        <v>3.936308566331864</v>
      </c>
      <c r="X1259" s="8">
        <f t="shared" si="74"/>
        <v>0.71242136059760819</v>
      </c>
    </row>
    <row r="1260" spans="1:24" x14ac:dyDescent="0.35">
      <c r="A1260" s="6" t="s">
        <v>25</v>
      </c>
      <c r="B1260" s="7" t="s">
        <v>1384</v>
      </c>
      <c r="D1260" s="6" t="s">
        <v>1385</v>
      </c>
      <c r="E1260" s="6">
        <v>3</v>
      </c>
      <c r="F1260" s="6">
        <v>36</v>
      </c>
      <c r="G1260" s="6" t="s">
        <v>202</v>
      </c>
      <c r="I1260" s="8">
        <v>84.331482986111098</v>
      </c>
      <c r="J1260" s="8">
        <v>14.642671805555601</v>
      </c>
      <c r="K1260" s="6" t="s">
        <v>29</v>
      </c>
      <c r="L1260" s="9">
        <v>43935</v>
      </c>
      <c r="N1260" s="6">
        <v>29</v>
      </c>
      <c r="O1260" s="6" t="s">
        <v>4332</v>
      </c>
      <c r="Q1260" s="10"/>
      <c r="R1260" s="10">
        <v>160</v>
      </c>
      <c r="S1260" s="10">
        <v>170</v>
      </c>
      <c r="T1260" s="10">
        <f t="shared" si="76"/>
        <v>165</v>
      </c>
      <c r="U1260" s="11"/>
      <c r="V1260" s="8">
        <v>0.4211810345220563</v>
      </c>
      <c r="W1260" s="8">
        <v>3.8141481308937077</v>
      </c>
      <c r="X1260" s="8">
        <f t="shared" si="74"/>
        <v>0.44469985471725737</v>
      </c>
    </row>
    <row r="1261" spans="1:24" x14ac:dyDescent="0.35">
      <c r="A1261" s="6" t="s">
        <v>25</v>
      </c>
      <c r="B1261" s="7" t="s">
        <v>1386</v>
      </c>
      <c r="D1261" s="6" t="s">
        <v>1387</v>
      </c>
      <c r="E1261" s="6">
        <v>3</v>
      </c>
      <c r="F1261" s="6">
        <v>36</v>
      </c>
      <c r="G1261" s="6" t="s">
        <v>202</v>
      </c>
      <c r="I1261" s="8">
        <v>84.331482986111098</v>
      </c>
      <c r="J1261" s="8">
        <v>14.642671805555601</v>
      </c>
      <c r="K1261" s="6" t="s">
        <v>29</v>
      </c>
      <c r="L1261" s="9">
        <v>43935</v>
      </c>
      <c r="N1261" s="6">
        <v>29</v>
      </c>
      <c r="O1261" s="6" t="s">
        <v>4332</v>
      </c>
      <c r="Q1261" s="10"/>
      <c r="R1261" s="10">
        <v>170</v>
      </c>
      <c r="S1261" s="10">
        <v>180</v>
      </c>
      <c r="T1261" s="10">
        <f t="shared" si="76"/>
        <v>175</v>
      </c>
      <c r="U1261" s="11"/>
      <c r="V1261" s="8">
        <v>1.0285423775482176</v>
      </c>
      <c r="W1261" s="8">
        <v>8.3350098199844371</v>
      </c>
      <c r="X1261" s="8">
        <f t="shared" si="74"/>
        <v>0.10667079959869596</v>
      </c>
    </row>
    <row r="1262" spans="1:24" x14ac:dyDescent="0.35">
      <c r="A1262" s="6" t="s">
        <v>25</v>
      </c>
      <c r="B1262" s="7" t="s">
        <v>1388</v>
      </c>
      <c r="D1262" s="6" t="s">
        <v>1389</v>
      </c>
      <c r="E1262" s="6">
        <v>3</v>
      </c>
      <c r="F1262" s="6">
        <v>36</v>
      </c>
      <c r="G1262" s="6" t="s">
        <v>202</v>
      </c>
      <c r="I1262" s="8">
        <v>84.331482986111098</v>
      </c>
      <c r="J1262" s="8">
        <v>14.642671805555601</v>
      </c>
      <c r="K1262" s="6" t="s">
        <v>29</v>
      </c>
      <c r="L1262" s="9">
        <v>43935</v>
      </c>
      <c r="N1262" s="6">
        <v>29</v>
      </c>
      <c r="O1262" s="6" t="s">
        <v>4332</v>
      </c>
      <c r="Q1262" s="10"/>
      <c r="R1262" s="10">
        <v>180</v>
      </c>
      <c r="S1262" s="10">
        <v>192</v>
      </c>
      <c r="T1262" s="10">
        <f t="shared" si="76"/>
        <v>186</v>
      </c>
      <c r="U1262" s="11"/>
      <c r="V1262" s="8">
        <v>1.0502992807197571</v>
      </c>
      <c r="W1262" s="8">
        <v>7.6478023300170896</v>
      </c>
      <c r="X1262" s="8">
        <f t="shared" si="74"/>
        <v>-0.75459191574096707</v>
      </c>
    </row>
    <row r="1263" spans="1:24" x14ac:dyDescent="0.35">
      <c r="A1263" s="6" t="s">
        <v>25</v>
      </c>
      <c r="B1263" s="7" t="s">
        <v>1390</v>
      </c>
      <c r="D1263" s="6" t="s">
        <v>1391</v>
      </c>
      <c r="E1263" s="6">
        <v>3</v>
      </c>
      <c r="F1263" s="6">
        <v>36</v>
      </c>
      <c r="G1263" s="6" t="s">
        <v>202</v>
      </c>
      <c r="I1263" s="8">
        <v>84.331482986111098</v>
      </c>
      <c r="J1263" s="8">
        <v>14.642671805555601</v>
      </c>
      <c r="K1263" s="6" t="s">
        <v>29</v>
      </c>
      <c r="L1263" s="9">
        <v>43935</v>
      </c>
      <c r="N1263" s="6">
        <v>29</v>
      </c>
      <c r="O1263" s="6" t="s">
        <v>4332</v>
      </c>
      <c r="Q1263" s="10"/>
      <c r="R1263" s="10">
        <v>192</v>
      </c>
      <c r="S1263" s="10">
        <v>211</v>
      </c>
      <c r="T1263" s="10">
        <f t="shared" si="76"/>
        <v>201.5</v>
      </c>
      <c r="U1263" s="11"/>
      <c r="V1263" s="8">
        <v>0.2911390357780454</v>
      </c>
      <c r="W1263" s="8">
        <v>2.9170343849658966</v>
      </c>
      <c r="X1263" s="8">
        <f t="shared" si="74"/>
        <v>0.58792209874153345</v>
      </c>
    </row>
    <row r="1264" spans="1:24" x14ac:dyDescent="0.35">
      <c r="A1264" s="6" t="s">
        <v>25</v>
      </c>
      <c r="B1264" s="7" t="s">
        <v>1392</v>
      </c>
      <c r="D1264" s="6" t="s">
        <v>1393</v>
      </c>
      <c r="E1264" s="6">
        <v>3</v>
      </c>
      <c r="F1264" s="6">
        <v>36</v>
      </c>
      <c r="G1264" s="6" t="s">
        <v>60</v>
      </c>
      <c r="I1264" s="8">
        <v>84.331482986111098</v>
      </c>
      <c r="J1264" s="8">
        <v>14.642671805555601</v>
      </c>
      <c r="K1264" s="7" t="s">
        <v>2610</v>
      </c>
      <c r="L1264" s="9">
        <v>43935</v>
      </c>
      <c r="N1264" s="6">
        <v>29</v>
      </c>
      <c r="O1264" s="6" t="s">
        <v>4332</v>
      </c>
      <c r="Q1264" s="10">
        <v>500</v>
      </c>
      <c r="R1264" s="10"/>
      <c r="S1264" s="10">
        <v>500</v>
      </c>
      <c r="T1264" s="10">
        <f t="shared" si="76"/>
        <v>500</v>
      </c>
      <c r="U1264" s="11"/>
      <c r="V1264" s="8">
        <v>-0.6842124165821073</v>
      </c>
      <c r="W1264" s="8">
        <v>-3.5353351211547852</v>
      </c>
      <c r="X1264" s="8">
        <f t="shared" si="74"/>
        <v>1.9383642115020732</v>
      </c>
    </row>
    <row r="1265" spans="1:25" x14ac:dyDescent="0.35">
      <c r="A1265" s="6" t="s">
        <v>25</v>
      </c>
      <c r="B1265" s="6" t="s">
        <v>3480</v>
      </c>
      <c r="D1265" s="6" t="s">
        <v>3782</v>
      </c>
      <c r="E1265" s="6">
        <v>3</v>
      </c>
      <c r="F1265" s="6">
        <v>36</v>
      </c>
      <c r="G1265" s="6" t="s">
        <v>4084</v>
      </c>
      <c r="I1265" s="8">
        <v>84.331482986111098</v>
      </c>
      <c r="J1265" s="8">
        <v>14.642671805555601</v>
      </c>
      <c r="K1265" s="7" t="s">
        <v>2610</v>
      </c>
      <c r="L1265" s="9">
        <v>43935</v>
      </c>
      <c r="N1265" s="6">
        <v>29</v>
      </c>
      <c r="O1265" s="6" t="s">
        <v>4332</v>
      </c>
      <c r="V1265" s="8">
        <v>-0.70833216964244827</v>
      </c>
      <c r="W1265" s="8">
        <v>-4.0983821238040923</v>
      </c>
      <c r="X1265" s="27">
        <f t="shared" si="74"/>
        <v>1.5682752333354939</v>
      </c>
    </row>
    <row r="1266" spans="1:25" x14ac:dyDescent="0.35">
      <c r="A1266" s="6" t="s">
        <v>25</v>
      </c>
      <c r="B1266" s="7" t="s">
        <v>1394</v>
      </c>
      <c r="D1266" s="6" t="s">
        <v>1395</v>
      </c>
      <c r="E1266" s="6">
        <v>3</v>
      </c>
      <c r="F1266" s="6">
        <v>36</v>
      </c>
      <c r="G1266" s="6" t="s">
        <v>202</v>
      </c>
      <c r="I1266" s="8">
        <v>84.322932986111098</v>
      </c>
      <c r="J1266" s="8">
        <v>13.874112986111101</v>
      </c>
      <c r="K1266" s="6" t="s">
        <v>29</v>
      </c>
      <c r="L1266" s="9">
        <v>43936</v>
      </c>
      <c r="N1266" s="6">
        <v>29</v>
      </c>
      <c r="O1266" s="6" t="s">
        <v>4363</v>
      </c>
      <c r="Q1266" s="10"/>
      <c r="R1266" s="10">
        <v>0</v>
      </c>
      <c r="S1266" s="10">
        <v>10</v>
      </c>
      <c r="T1266" s="10">
        <f>AVERAGE(R1266:S1266)</f>
        <v>5</v>
      </c>
      <c r="U1266" s="11"/>
      <c r="V1266" s="8">
        <v>-4.4142491370201116</v>
      </c>
      <c r="W1266" s="8">
        <v>-34.839426834106447</v>
      </c>
      <c r="X1266" s="8">
        <f t="shared" si="74"/>
        <v>0.47456626205444508</v>
      </c>
    </row>
    <row r="1267" spans="1:25" x14ac:dyDescent="0.35">
      <c r="A1267" s="6" t="s">
        <v>25</v>
      </c>
      <c r="B1267" s="7" t="s">
        <v>1396</v>
      </c>
      <c r="D1267" s="6" t="s">
        <v>1397</v>
      </c>
      <c r="E1267" s="6">
        <v>3</v>
      </c>
      <c r="F1267" s="6">
        <v>36</v>
      </c>
      <c r="G1267" s="6" t="s">
        <v>995</v>
      </c>
      <c r="I1267" s="8">
        <v>84.322932986111098</v>
      </c>
      <c r="J1267" s="8">
        <v>13.874112986111101</v>
      </c>
      <c r="K1267" s="6" t="s">
        <v>198</v>
      </c>
      <c r="L1267" s="9">
        <v>43936</v>
      </c>
      <c r="N1267" s="6">
        <v>29</v>
      </c>
      <c r="O1267" s="6" t="s">
        <v>4363</v>
      </c>
      <c r="Q1267" s="10"/>
      <c r="R1267" s="10"/>
      <c r="S1267" s="10"/>
      <c r="T1267" s="10"/>
      <c r="U1267" s="11"/>
      <c r="V1267" s="8">
        <v>-13.011612654304505</v>
      </c>
      <c r="W1267" s="8">
        <v>-101.98371212768555</v>
      </c>
      <c r="X1267" s="8">
        <f t="shared" si="74"/>
        <v>2.1091891067504918</v>
      </c>
    </row>
    <row r="1268" spans="1:25" x14ac:dyDescent="0.35">
      <c r="A1268" s="6" t="s">
        <v>25</v>
      </c>
      <c r="B1268" s="6" t="s">
        <v>3481</v>
      </c>
      <c r="D1268" s="6" t="s">
        <v>3783</v>
      </c>
      <c r="E1268" s="6">
        <v>3</v>
      </c>
      <c r="F1268" s="6">
        <v>36</v>
      </c>
      <c r="G1268" s="6" t="s">
        <v>4085</v>
      </c>
      <c r="I1268" s="8">
        <v>84.326425</v>
      </c>
      <c r="J1268" s="8">
        <v>14.021571</v>
      </c>
      <c r="K1268" s="6" t="s">
        <v>2610</v>
      </c>
      <c r="L1268" s="9">
        <v>43936</v>
      </c>
      <c r="N1268" s="6">
        <v>29</v>
      </c>
      <c r="O1268" s="6" t="s">
        <v>4363</v>
      </c>
      <c r="V1268" s="8">
        <v>-0.63730695216894195</v>
      </c>
      <c r="W1268" s="8">
        <v>-4.3016797576904304</v>
      </c>
      <c r="X1268" s="27">
        <f t="shared" si="74"/>
        <v>0.7967758596611052</v>
      </c>
    </row>
    <row r="1269" spans="1:25" x14ac:dyDescent="0.35">
      <c r="A1269" s="6" t="s">
        <v>25</v>
      </c>
      <c r="B1269" s="6" t="s">
        <v>2880</v>
      </c>
      <c r="D1269" s="6" t="s">
        <v>3143</v>
      </c>
      <c r="E1269" s="6">
        <v>3</v>
      </c>
      <c r="F1269" s="6">
        <v>36</v>
      </c>
      <c r="G1269" s="6" t="s">
        <v>3255</v>
      </c>
      <c r="I1269" s="8">
        <v>84.326425</v>
      </c>
      <c r="J1269" s="8">
        <v>14.021571</v>
      </c>
      <c r="K1269" s="6" t="s">
        <v>198</v>
      </c>
      <c r="L1269" s="9">
        <v>43936</v>
      </c>
      <c r="M1269" s="18">
        <v>0.3125</v>
      </c>
      <c r="N1269" s="6">
        <v>29</v>
      </c>
      <c r="O1269" s="6" t="s">
        <v>4363</v>
      </c>
      <c r="R1269" s="6">
        <v>10.5</v>
      </c>
      <c r="S1269" s="6">
        <v>9</v>
      </c>
      <c r="V1269" s="8">
        <v>-24.918800980529785</v>
      </c>
      <c r="W1269" s="8">
        <v>-189.48572813720702</v>
      </c>
      <c r="X1269" s="8">
        <f t="shared" si="74"/>
        <v>9.8646797070312573</v>
      </c>
    </row>
    <row r="1270" spans="1:25" x14ac:dyDescent="0.35">
      <c r="A1270" s="6" t="s">
        <v>25</v>
      </c>
      <c r="B1270" s="6" t="s">
        <v>2881</v>
      </c>
      <c r="D1270" s="6" t="s">
        <v>3143</v>
      </c>
      <c r="E1270" s="6">
        <v>3</v>
      </c>
      <c r="F1270" s="6">
        <v>36</v>
      </c>
      <c r="G1270" s="6" t="s">
        <v>3255</v>
      </c>
      <c r="I1270" s="8">
        <v>84.326425</v>
      </c>
      <c r="J1270" s="8">
        <v>14.021571</v>
      </c>
      <c r="K1270" s="6" t="s">
        <v>198</v>
      </c>
      <c r="L1270" s="9">
        <v>43936</v>
      </c>
      <c r="M1270" s="18">
        <v>0.3125</v>
      </c>
      <c r="N1270" s="6">
        <v>29</v>
      </c>
      <c r="O1270" s="6" t="s">
        <v>4363</v>
      </c>
      <c r="R1270" s="6">
        <v>8</v>
      </c>
      <c r="S1270" s="6">
        <v>4</v>
      </c>
      <c r="V1270" s="8">
        <v>-10.770995366058349</v>
      </c>
      <c r="W1270" s="8">
        <v>-84.467714747619638</v>
      </c>
      <c r="X1270" s="8">
        <f t="shared" si="74"/>
        <v>1.7002481808471543</v>
      </c>
    </row>
    <row r="1271" spans="1:25" x14ac:dyDescent="0.35">
      <c r="A1271" s="6" t="s">
        <v>25</v>
      </c>
      <c r="B1271" s="6" t="s">
        <v>2882</v>
      </c>
      <c r="D1271" s="6" t="s">
        <v>3143</v>
      </c>
      <c r="E1271" s="6">
        <v>3</v>
      </c>
      <c r="F1271" s="6">
        <v>36</v>
      </c>
      <c r="G1271" s="6" t="s">
        <v>3255</v>
      </c>
      <c r="I1271" s="8">
        <v>84.326425</v>
      </c>
      <c r="J1271" s="8">
        <v>14.021571</v>
      </c>
      <c r="K1271" s="6" t="s">
        <v>198</v>
      </c>
      <c r="L1271" s="9">
        <v>43936</v>
      </c>
      <c r="M1271" s="18">
        <v>0.3125</v>
      </c>
      <c r="N1271" s="6">
        <v>29</v>
      </c>
      <c r="O1271" s="6" t="s">
        <v>4363</v>
      </c>
      <c r="R1271" s="6">
        <v>3</v>
      </c>
      <c r="S1271" s="6">
        <v>0</v>
      </c>
      <c r="V1271" s="8">
        <v>-1.4485475093936921</v>
      </c>
      <c r="W1271" s="8">
        <v>-38.13922376937866</v>
      </c>
      <c r="X1271" s="8">
        <f t="shared" si="74"/>
        <v>-26.550843694229123</v>
      </c>
    </row>
    <row r="1272" spans="1:25" x14ac:dyDescent="0.35">
      <c r="A1272" s="6" t="s">
        <v>25</v>
      </c>
      <c r="B1272" s="6" t="s">
        <v>3482</v>
      </c>
      <c r="D1272" s="6" t="s">
        <v>3784</v>
      </c>
      <c r="E1272" s="6">
        <v>3</v>
      </c>
      <c r="F1272" s="6">
        <v>36</v>
      </c>
      <c r="G1272" s="6" t="s">
        <v>4086</v>
      </c>
      <c r="I1272" s="8">
        <v>84.314318</v>
      </c>
      <c r="J1272" s="8">
        <v>13.144333</v>
      </c>
      <c r="K1272" s="6" t="s">
        <v>2610</v>
      </c>
      <c r="L1272" s="9">
        <v>43937</v>
      </c>
      <c r="N1272" s="6">
        <v>29</v>
      </c>
      <c r="O1272" s="6" t="s">
        <v>4364</v>
      </c>
      <c r="V1272" s="8">
        <v>-0.606952526619434</v>
      </c>
      <c r="W1272" s="8">
        <v>-4.3268149944305421</v>
      </c>
      <c r="X1272" s="27">
        <f t="shared" si="74"/>
        <v>0.5288052185249299</v>
      </c>
    </row>
    <row r="1273" spans="1:25" x14ac:dyDescent="0.35">
      <c r="A1273" s="6" t="s">
        <v>25</v>
      </c>
      <c r="B1273" s="6" t="s">
        <v>2883</v>
      </c>
      <c r="D1273" s="6" t="s">
        <v>3144</v>
      </c>
      <c r="E1273" s="6">
        <v>3</v>
      </c>
      <c r="F1273" s="6">
        <v>36</v>
      </c>
      <c r="G1273" s="6" t="s">
        <v>3256</v>
      </c>
      <c r="I1273" s="8">
        <v>84.314318</v>
      </c>
      <c r="J1273" s="8">
        <v>13.144333</v>
      </c>
      <c r="K1273" s="6" t="s">
        <v>198</v>
      </c>
      <c r="L1273" s="9">
        <v>43937</v>
      </c>
      <c r="M1273" s="18">
        <v>0.32291666666666669</v>
      </c>
      <c r="N1273" s="6">
        <v>29</v>
      </c>
      <c r="O1273" s="6" t="s">
        <v>4364</v>
      </c>
      <c r="R1273" s="6">
        <v>16</v>
      </c>
      <c r="S1273" s="6">
        <v>14</v>
      </c>
      <c r="V1273" s="8">
        <v>-23.323712426147463</v>
      </c>
      <c r="W1273" s="8">
        <v>-176.31159675903319</v>
      </c>
      <c r="X1273" s="8">
        <f t="shared" si="74"/>
        <v>10.278102650146508</v>
      </c>
    </row>
    <row r="1274" spans="1:25" s="12" customFormat="1" x14ac:dyDescent="0.35">
      <c r="A1274" s="6" t="s">
        <v>25</v>
      </c>
      <c r="B1274" s="6" t="s">
        <v>2884</v>
      </c>
      <c r="C1274" s="6"/>
      <c r="D1274" s="6" t="s">
        <v>3144</v>
      </c>
      <c r="E1274" s="6">
        <v>3</v>
      </c>
      <c r="F1274" s="6">
        <v>36</v>
      </c>
      <c r="G1274" s="6" t="s">
        <v>3256</v>
      </c>
      <c r="H1274" s="6"/>
      <c r="I1274" s="8">
        <v>84.314318</v>
      </c>
      <c r="J1274" s="8">
        <v>13.144333</v>
      </c>
      <c r="K1274" s="6" t="s">
        <v>198</v>
      </c>
      <c r="L1274" s="9">
        <v>43937</v>
      </c>
      <c r="M1274" s="18">
        <v>0.32291666666666669</v>
      </c>
      <c r="N1274" s="6">
        <v>29</v>
      </c>
      <c r="O1274" s="6" t="s">
        <v>4364</v>
      </c>
      <c r="P1274" s="6"/>
      <c r="Q1274" s="6"/>
      <c r="R1274" s="6">
        <v>11</v>
      </c>
      <c r="S1274" s="6">
        <v>8</v>
      </c>
      <c r="T1274" s="6"/>
      <c r="U1274" s="6"/>
      <c r="V1274" s="8">
        <v>-13.756398915252685</v>
      </c>
      <c r="W1274" s="8">
        <v>-101.01293866271973</v>
      </c>
      <c r="X1274" s="8">
        <f t="shared" si="74"/>
        <v>9.0382526593017474</v>
      </c>
      <c r="Y1274" s="6"/>
    </row>
    <row r="1275" spans="1:25" x14ac:dyDescent="0.35">
      <c r="A1275" s="6" t="s">
        <v>25</v>
      </c>
      <c r="B1275" s="6" t="s">
        <v>2885</v>
      </c>
      <c r="D1275" s="6" t="s">
        <v>3144</v>
      </c>
      <c r="E1275" s="6">
        <v>3</v>
      </c>
      <c r="F1275" s="6">
        <v>36</v>
      </c>
      <c r="G1275" s="6" t="s">
        <v>3256</v>
      </c>
      <c r="I1275" s="8">
        <v>84.314318</v>
      </c>
      <c r="J1275" s="8">
        <v>13.144333</v>
      </c>
      <c r="K1275" s="6" t="s">
        <v>198</v>
      </c>
      <c r="L1275" s="9">
        <v>43937</v>
      </c>
      <c r="M1275" s="18">
        <v>0.32291666666666669</v>
      </c>
      <c r="N1275" s="6">
        <v>29</v>
      </c>
      <c r="O1275" s="6" t="s">
        <v>4364</v>
      </c>
      <c r="R1275" s="6">
        <v>3</v>
      </c>
      <c r="S1275" s="6">
        <v>0</v>
      </c>
      <c r="V1275" s="8">
        <v>-3.2522878632164005</v>
      </c>
      <c r="W1275" s="8">
        <v>-40.082261832427974</v>
      </c>
      <c r="X1275" s="8">
        <f t="shared" si="74"/>
        <v>-14.06395892669677</v>
      </c>
    </row>
    <row r="1276" spans="1:25" x14ac:dyDescent="0.35">
      <c r="A1276" s="6" t="s">
        <v>25</v>
      </c>
      <c r="B1276" s="6" t="s">
        <v>3483</v>
      </c>
      <c r="D1276" s="6" t="s">
        <v>3785</v>
      </c>
      <c r="E1276" s="6">
        <v>3</v>
      </c>
      <c r="F1276" s="6">
        <v>36</v>
      </c>
      <c r="G1276" s="6" t="s">
        <v>4087</v>
      </c>
      <c r="I1276" s="8">
        <v>84.418664791666671</v>
      </c>
      <c r="J1276" s="8">
        <v>13.665979999999996</v>
      </c>
      <c r="K1276" s="6" t="s">
        <v>2610</v>
      </c>
      <c r="L1276" s="9">
        <v>43938</v>
      </c>
      <c r="N1276" s="6">
        <v>29</v>
      </c>
      <c r="O1276" s="6" t="s">
        <v>4365</v>
      </c>
      <c r="V1276" s="8">
        <v>-0.72990896879196177</v>
      </c>
      <c r="W1276" s="8">
        <v>-4.2042286677360527</v>
      </c>
      <c r="X1276" s="27">
        <f t="shared" si="74"/>
        <v>1.6350430825996414</v>
      </c>
    </row>
    <row r="1277" spans="1:25" x14ac:dyDescent="0.35">
      <c r="A1277" s="6" t="s">
        <v>25</v>
      </c>
      <c r="B1277" s="7" t="s">
        <v>1398</v>
      </c>
      <c r="D1277" s="6" t="s">
        <v>1399</v>
      </c>
      <c r="E1277" s="6">
        <v>3</v>
      </c>
      <c r="F1277" s="6">
        <v>36</v>
      </c>
      <c r="G1277" s="6" t="s">
        <v>60</v>
      </c>
      <c r="I1277" s="8">
        <v>84.477672222222196</v>
      </c>
      <c r="J1277" s="8">
        <v>13.933800277777801</v>
      </c>
      <c r="K1277" s="7" t="s">
        <v>2610</v>
      </c>
      <c r="L1277" s="9">
        <v>43939</v>
      </c>
      <c r="N1277" s="6">
        <v>29</v>
      </c>
      <c r="O1277" s="6" t="s">
        <v>4366</v>
      </c>
      <c r="Q1277" s="10">
        <v>500</v>
      </c>
      <c r="R1277" s="10"/>
      <c r="S1277" s="10">
        <v>500</v>
      </c>
      <c r="T1277" s="10">
        <f>AVERAGE(R1277:S1277)</f>
        <v>500</v>
      </c>
      <c r="U1277" s="11"/>
      <c r="V1277" s="8">
        <v>-0.83771193747520434</v>
      </c>
      <c r="W1277" s="8">
        <v>-4.7227822465896603</v>
      </c>
      <c r="X1277" s="8">
        <f t="shared" si="74"/>
        <v>1.9789132532119744</v>
      </c>
    </row>
    <row r="1278" spans="1:25" x14ac:dyDescent="0.35">
      <c r="A1278" s="6" t="s">
        <v>25</v>
      </c>
      <c r="B1278" s="6" t="s">
        <v>3484</v>
      </c>
      <c r="D1278" s="6" t="s">
        <v>3786</v>
      </c>
      <c r="E1278" s="6">
        <v>3</v>
      </c>
      <c r="F1278" s="6">
        <v>36</v>
      </c>
      <c r="G1278" s="6" t="s">
        <v>4088</v>
      </c>
      <c r="I1278" s="8">
        <v>84.477672222222196</v>
      </c>
      <c r="J1278" s="8">
        <v>13.933800277777801</v>
      </c>
      <c r="K1278" s="7" t="s">
        <v>2610</v>
      </c>
      <c r="L1278" s="9">
        <v>43939</v>
      </c>
      <c r="N1278" s="6">
        <v>29</v>
      </c>
      <c r="O1278" s="6" t="s">
        <v>4366</v>
      </c>
      <c r="V1278" s="8">
        <v>-0.7014732745742801</v>
      </c>
      <c r="W1278" s="8">
        <v>-4.2871714030265817</v>
      </c>
      <c r="X1278" s="27">
        <f t="shared" si="74"/>
        <v>1.3246147935676591</v>
      </c>
    </row>
    <row r="1279" spans="1:25" x14ac:dyDescent="0.35">
      <c r="A1279" s="6" t="s">
        <v>25</v>
      </c>
      <c r="B1279" s="6" t="s">
        <v>3485</v>
      </c>
      <c r="D1279" s="6" t="s">
        <v>3787</v>
      </c>
      <c r="E1279" s="6">
        <v>3</v>
      </c>
      <c r="F1279" s="6">
        <v>36</v>
      </c>
      <c r="G1279" s="6" t="s">
        <v>4089</v>
      </c>
      <c r="I1279" s="8">
        <v>84.583566041666671</v>
      </c>
      <c r="J1279" s="8">
        <v>14.652326458333338</v>
      </c>
      <c r="K1279" s="7" t="s">
        <v>2610</v>
      </c>
      <c r="L1279" s="9">
        <v>43940</v>
      </c>
      <c r="N1279" s="6">
        <v>30</v>
      </c>
      <c r="O1279" s="6" t="s">
        <v>4367</v>
      </c>
      <c r="V1279" s="8">
        <v>-0.76033900772094687</v>
      </c>
      <c r="W1279" s="8">
        <v>-5.4958693276405342</v>
      </c>
      <c r="X1279" s="27">
        <f t="shared" si="74"/>
        <v>0.5868427341270408</v>
      </c>
    </row>
    <row r="1280" spans="1:25" x14ac:dyDescent="0.35">
      <c r="A1280" s="6" t="s">
        <v>25</v>
      </c>
      <c r="B1280" s="6" t="s">
        <v>3486</v>
      </c>
      <c r="D1280" s="6" t="s">
        <v>3788</v>
      </c>
      <c r="E1280" s="6">
        <v>3</v>
      </c>
      <c r="F1280" s="6">
        <v>37</v>
      </c>
      <c r="G1280" s="6" t="s">
        <v>4090</v>
      </c>
      <c r="I1280" s="8">
        <v>84.527122916666698</v>
      </c>
      <c r="J1280" s="8">
        <v>14.648977916666663</v>
      </c>
      <c r="K1280" s="7" t="s">
        <v>2610</v>
      </c>
      <c r="L1280" s="9">
        <v>43941</v>
      </c>
      <c r="N1280" s="6">
        <v>30</v>
      </c>
      <c r="O1280" s="6" t="s">
        <v>4368</v>
      </c>
      <c r="V1280" s="8">
        <v>-0.78061031948089621</v>
      </c>
      <c r="W1280" s="8">
        <v>-5.5378337894439706</v>
      </c>
      <c r="X1280" s="27">
        <f t="shared" si="74"/>
        <v>0.70704876640319902</v>
      </c>
    </row>
    <row r="1281" spans="1:24" x14ac:dyDescent="0.35">
      <c r="A1281" s="6" t="s">
        <v>25</v>
      </c>
      <c r="B1281" s="7" t="s">
        <v>1400</v>
      </c>
      <c r="D1281" s="6" t="s">
        <v>1401</v>
      </c>
      <c r="E1281" s="6">
        <v>3</v>
      </c>
      <c r="F1281" s="6">
        <v>37</v>
      </c>
      <c r="G1281" s="6" t="s">
        <v>60</v>
      </c>
      <c r="I1281" s="8">
        <v>84.294796666666699</v>
      </c>
      <c r="J1281" s="8">
        <v>15.245605972222201</v>
      </c>
      <c r="K1281" s="7" t="s">
        <v>2610</v>
      </c>
      <c r="L1281" s="9">
        <v>43942</v>
      </c>
      <c r="N1281" s="6">
        <v>30</v>
      </c>
      <c r="O1281" s="6" t="s">
        <v>4369</v>
      </c>
      <c r="Q1281" s="10">
        <v>500</v>
      </c>
      <c r="R1281" s="10"/>
      <c r="S1281" s="10">
        <v>500</v>
      </c>
      <c r="T1281" s="10">
        <f>AVERAGE(R1281:S1281)</f>
        <v>500</v>
      </c>
      <c r="U1281" s="11"/>
      <c r="V1281" s="8">
        <v>-0.75685615539550799</v>
      </c>
      <c r="W1281" s="8">
        <v>-4.5737409767150883</v>
      </c>
      <c r="X1281" s="8">
        <f t="shared" si="74"/>
        <v>1.4811082664489756</v>
      </c>
    </row>
    <row r="1282" spans="1:24" x14ac:dyDescent="0.35">
      <c r="A1282" s="6" t="s">
        <v>25</v>
      </c>
      <c r="B1282" s="6" t="s">
        <v>3487</v>
      </c>
      <c r="D1282" s="6" t="s">
        <v>3789</v>
      </c>
      <c r="E1282" s="6">
        <v>3</v>
      </c>
      <c r="F1282" s="6">
        <v>37</v>
      </c>
      <c r="G1282" s="6" t="s">
        <v>4091</v>
      </c>
      <c r="I1282" s="8">
        <v>84.294796666666699</v>
      </c>
      <c r="J1282" s="8">
        <v>15.245605972222201</v>
      </c>
      <c r="K1282" s="7" t="s">
        <v>2610</v>
      </c>
      <c r="L1282" s="9">
        <v>43942</v>
      </c>
      <c r="N1282" s="6">
        <v>30</v>
      </c>
      <c r="O1282" s="6" t="s">
        <v>4369</v>
      </c>
      <c r="V1282" s="8">
        <v>-0.6184440311050412</v>
      </c>
      <c r="W1282" s="8">
        <v>-4.5292296100616465</v>
      </c>
      <c r="X1282" s="27">
        <f t="shared" ref="X1282:X1345" si="77">W1282-(8*V1282)</f>
        <v>0.41832263877868314</v>
      </c>
    </row>
    <row r="1283" spans="1:24" x14ac:dyDescent="0.35">
      <c r="A1283" s="6" t="s">
        <v>25</v>
      </c>
      <c r="B1283" s="6" t="s">
        <v>1402</v>
      </c>
      <c r="D1283" s="6" t="s">
        <v>1403</v>
      </c>
      <c r="E1283" s="6">
        <v>3</v>
      </c>
      <c r="F1283" s="6">
        <v>37</v>
      </c>
      <c r="G1283" s="6" t="s">
        <v>272</v>
      </c>
      <c r="I1283" s="8">
        <v>84.126440069444399</v>
      </c>
      <c r="J1283" s="8">
        <v>15.9185540277778</v>
      </c>
      <c r="K1283" s="6" t="s">
        <v>29</v>
      </c>
      <c r="L1283" s="9">
        <v>43943</v>
      </c>
      <c r="N1283" s="6">
        <v>30</v>
      </c>
      <c r="O1283" s="6" t="s">
        <v>4365</v>
      </c>
      <c r="Q1283" s="6">
        <v>0</v>
      </c>
      <c r="R1283" s="6">
        <v>0</v>
      </c>
      <c r="S1283" s="6">
        <v>10</v>
      </c>
      <c r="T1283" s="10">
        <f t="shared" ref="T1283:T1300" si="78">AVERAGE(R1283:S1283)</f>
        <v>5</v>
      </c>
      <c r="V1283" s="8">
        <v>-3.6553133301258089</v>
      </c>
      <c r="W1283" s="8">
        <v>-28.323920055389404</v>
      </c>
      <c r="X1283" s="8">
        <f t="shared" si="77"/>
        <v>0.91858658561706719</v>
      </c>
    </row>
    <row r="1284" spans="1:24" x14ac:dyDescent="0.35">
      <c r="A1284" s="6" t="s">
        <v>25</v>
      </c>
      <c r="B1284" s="6" t="s">
        <v>1404</v>
      </c>
      <c r="D1284" s="6" t="s">
        <v>1403</v>
      </c>
      <c r="E1284" s="6">
        <v>3</v>
      </c>
      <c r="F1284" s="6">
        <v>37</v>
      </c>
      <c r="G1284" s="6" t="s">
        <v>272</v>
      </c>
      <c r="I1284" s="8">
        <v>84.126440069444399</v>
      </c>
      <c r="J1284" s="8">
        <v>15.9185540277778</v>
      </c>
      <c r="K1284" s="6" t="s">
        <v>29</v>
      </c>
      <c r="L1284" s="9">
        <v>43943</v>
      </c>
      <c r="N1284" s="6">
        <v>30</v>
      </c>
      <c r="O1284" s="6" t="s">
        <v>4365</v>
      </c>
      <c r="Q1284" s="6">
        <v>10</v>
      </c>
      <c r="R1284" s="6">
        <v>10</v>
      </c>
      <c r="S1284" s="6">
        <v>20</v>
      </c>
      <c r="T1284" s="10">
        <f t="shared" si="78"/>
        <v>15</v>
      </c>
      <c r="V1284" s="8">
        <v>-3.1780684186935426</v>
      </c>
      <c r="W1284" s="8">
        <v>-25.335348266601567</v>
      </c>
      <c r="X1284" s="8">
        <f t="shared" si="77"/>
        <v>8.91990829467737E-2</v>
      </c>
    </row>
    <row r="1285" spans="1:24" x14ac:dyDescent="0.35">
      <c r="A1285" s="6" t="s">
        <v>25</v>
      </c>
      <c r="B1285" s="6" t="s">
        <v>1405</v>
      </c>
      <c r="D1285" s="6" t="s">
        <v>1403</v>
      </c>
      <c r="E1285" s="6">
        <v>3</v>
      </c>
      <c r="F1285" s="6">
        <v>37</v>
      </c>
      <c r="G1285" s="6" t="s">
        <v>272</v>
      </c>
      <c r="I1285" s="8">
        <v>84.126440069444399</v>
      </c>
      <c r="J1285" s="8">
        <v>15.9185540277778</v>
      </c>
      <c r="K1285" s="6" t="s">
        <v>29</v>
      </c>
      <c r="L1285" s="9">
        <v>43943</v>
      </c>
      <c r="N1285" s="6">
        <v>30</v>
      </c>
      <c r="O1285" s="6" t="s">
        <v>4365</v>
      </c>
      <c r="Q1285" s="6">
        <v>20</v>
      </c>
      <c r="R1285" s="6">
        <v>20</v>
      </c>
      <c r="S1285" s="6">
        <v>30</v>
      </c>
      <c r="T1285" s="10">
        <f t="shared" si="78"/>
        <v>25</v>
      </c>
      <c r="V1285" s="8">
        <v>-3.0341171776771545</v>
      </c>
      <c r="W1285" s="8">
        <v>-23.123018138885499</v>
      </c>
      <c r="X1285" s="8">
        <f t="shared" si="77"/>
        <v>1.1499192825317373</v>
      </c>
    </row>
    <row r="1286" spans="1:24" x14ac:dyDescent="0.35">
      <c r="A1286" s="6" t="s">
        <v>25</v>
      </c>
      <c r="B1286" s="6" t="s">
        <v>1406</v>
      </c>
      <c r="D1286" s="6" t="s">
        <v>1403</v>
      </c>
      <c r="E1286" s="6">
        <v>3</v>
      </c>
      <c r="F1286" s="6">
        <v>37</v>
      </c>
      <c r="G1286" s="6" t="s">
        <v>272</v>
      </c>
      <c r="I1286" s="8">
        <v>84.126440069444399</v>
      </c>
      <c r="J1286" s="8">
        <v>15.9185540277778</v>
      </c>
      <c r="K1286" s="6" t="s">
        <v>29</v>
      </c>
      <c r="L1286" s="9">
        <v>43943</v>
      </c>
      <c r="N1286" s="6">
        <v>30</v>
      </c>
      <c r="O1286" s="6" t="s">
        <v>4365</v>
      </c>
      <c r="Q1286" s="6">
        <v>30</v>
      </c>
      <c r="R1286" s="6">
        <v>30</v>
      </c>
      <c r="S1286" s="6">
        <v>40</v>
      </c>
      <c r="T1286" s="10">
        <f t="shared" si="78"/>
        <v>35</v>
      </c>
      <c r="V1286" s="8">
        <v>-2.8998798963546752</v>
      </c>
      <c r="W1286" s="8">
        <v>-22.365469181060792</v>
      </c>
      <c r="X1286" s="8">
        <f t="shared" si="77"/>
        <v>0.83356998977660979</v>
      </c>
    </row>
    <row r="1287" spans="1:24" x14ac:dyDescent="0.35">
      <c r="A1287" s="6" t="s">
        <v>25</v>
      </c>
      <c r="B1287" s="6" t="s">
        <v>1407</v>
      </c>
      <c r="D1287" s="6" t="s">
        <v>1403</v>
      </c>
      <c r="E1287" s="6">
        <v>3</v>
      </c>
      <c r="F1287" s="6">
        <v>37</v>
      </c>
      <c r="G1287" s="6" t="s">
        <v>272</v>
      </c>
      <c r="I1287" s="8">
        <v>84.126440069444399</v>
      </c>
      <c r="J1287" s="8">
        <v>15.9185540277778</v>
      </c>
      <c r="K1287" s="6" t="s">
        <v>29</v>
      </c>
      <c r="L1287" s="9">
        <v>43943</v>
      </c>
      <c r="N1287" s="6">
        <v>30</v>
      </c>
      <c r="O1287" s="6" t="s">
        <v>4365</v>
      </c>
      <c r="Q1287" s="6">
        <v>40</v>
      </c>
      <c r="R1287" s="6">
        <v>40</v>
      </c>
      <c r="S1287" s="6">
        <v>50</v>
      </c>
      <c r="T1287" s="10">
        <f t="shared" si="78"/>
        <v>45</v>
      </c>
      <c r="V1287" s="8">
        <v>-2.5559519710063938</v>
      </c>
      <c r="W1287" s="8">
        <v>-19.641545238494874</v>
      </c>
      <c r="X1287" s="8">
        <f t="shared" si="77"/>
        <v>0.80607052955627623</v>
      </c>
    </row>
    <row r="1288" spans="1:24" x14ac:dyDescent="0.35">
      <c r="A1288" s="6" t="s">
        <v>25</v>
      </c>
      <c r="B1288" s="6" t="s">
        <v>1408</v>
      </c>
      <c r="D1288" s="6" t="s">
        <v>1403</v>
      </c>
      <c r="E1288" s="6">
        <v>3</v>
      </c>
      <c r="F1288" s="6">
        <v>37</v>
      </c>
      <c r="G1288" s="6" t="s">
        <v>272</v>
      </c>
      <c r="I1288" s="8">
        <v>84.126440069444399</v>
      </c>
      <c r="J1288" s="8">
        <v>15.9185540277778</v>
      </c>
      <c r="K1288" s="6" t="s">
        <v>29</v>
      </c>
      <c r="L1288" s="9">
        <v>43943</v>
      </c>
      <c r="N1288" s="6">
        <v>30</v>
      </c>
      <c r="O1288" s="6" t="s">
        <v>4365</v>
      </c>
      <c r="Q1288" s="6">
        <v>50</v>
      </c>
      <c r="R1288" s="6">
        <v>50</v>
      </c>
      <c r="S1288" s="6">
        <v>60</v>
      </c>
      <c r="T1288" s="10">
        <f t="shared" si="78"/>
        <v>55</v>
      </c>
      <c r="V1288" s="8">
        <v>-0.7430697203993798</v>
      </c>
      <c r="W1288" s="8">
        <v>-5.6324425439834593</v>
      </c>
      <c r="X1288" s="8">
        <f t="shared" si="77"/>
        <v>0.31211521921157903</v>
      </c>
    </row>
    <row r="1289" spans="1:24" x14ac:dyDescent="0.35">
      <c r="A1289" s="6" t="s">
        <v>25</v>
      </c>
      <c r="B1289" s="6" t="s">
        <v>1409</v>
      </c>
      <c r="D1289" s="6" t="s">
        <v>1403</v>
      </c>
      <c r="E1289" s="6">
        <v>3</v>
      </c>
      <c r="F1289" s="6">
        <v>37</v>
      </c>
      <c r="G1289" s="6" t="s">
        <v>272</v>
      </c>
      <c r="I1289" s="8">
        <v>84.126440069444399</v>
      </c>
      <c r="J1289" s="8">
        <v>15.9185540277778</v>
      </c>
      <c r="K1289" s="6" t="s">
        <v>29</v>
      </c>
      <c r="L1289" s="9">
        <v>43943</v>
      </c>
      <c r="N1289" s="6">
        <v>30</v>
      </c>
      <c r="O1289" s="6" t="s">
        <v>4365</v>
      </c>
      <c r="Q1289" s="6">
        <v>60</v>
      </c>
      <c r="R1289" s="6">
        <v>60</v>
      </c>
      <c r="S1289" s="6">
        <v>70</v>
      </c>
      <c r="T1289" s="10">
        <f t="shared" si="78"/>
        <v>65</v>
      </c>
      <c r="V1289" s="8">
        <v>0.60255763088464709</v>
      </c>
      <c r="W1289" s="8">
        <v>4.3884707698822041</v>
      </c>
      <c r="X1289" s="8">
        <f t="shared" si="77"/>
        <v>-0.43199027719497263</v>
      </c>
    </row>
    <row r="1290" spans="1:24" x14ac:dyDescent="0.35">
      <c r="A1290" s="6" t="s">
        <v>25</v>
      </c>
      <c r="B1290" s="6" t="s">
        <v>1410</v>
      </c>
      <c r="D1290" s="6" t="s">
        <v>1403</v>
      </c>
      <c r="E1290" s="6">
        <v>3</v>
      </c>
      <c r="F1290" s="6">
        <v>37</v>
      </c>
      <c r="G1290" s="6" t="s">
        <v>272</v>
      </c>
      <c r="I1290" s="8">
        <v>84.126440069444399</v>
      </c>
      <c r="J1290" s="8">
        <v>15.9185540277778</v>
      </c>
      <c r="K1290" s="6" t="s">
        <v>29</v>
      </c>
      <c r="L1290" s="9">
        <v>43943</v>
      </c>
      <c r="N1290" s="6">
        <v>30</v>
      </c>
      <c r="O1290" s="6" t="s">
        <v>4365</v>
      </c>
      <c r="Q1290" s="6">
        <v>70</v>
      </c>
      <c r="R1290" s="6">
        <v>70</v>
      </c>
      <c r="S1290" s="6">
        <v>80</v>
      </c>
      <c r="T1290" s="10">
        <f t="shared" si="78"/>
        <v>75</v>
      </c>
      <c r="V1290" s="8">
        <v>0.72027081595659304</v>
      </c>
      <c r="W1290" s="8">
        <v>5.8322329845428476</v>
      </c>
      <c r="X1290" s="8">
        <f t="shared" si="77"/>
        <v>7.0066456890103268E-2</v>
      </c>
    </row>
    <row r="1291" spans="1:24" x14ac:dyDescent="0.35">
      <c r="A1291" s="6" t="s">
        <v>25</v>
      </c>
      <c r="B1291" s="6" t="s">
        <v>1411</v>
      </c>
      <c r="D1291" s="6" t="s">
        <v>1403</v>
      </c>
      <c r="E1291" s="6">
        <v>3</v>
      </c>
      <c r="F1291" s="6">
        <v>37</v>
      </c>
      <c r="G1291" s="6" t="s">
        <v>272</v>
      </c>
      <c r="I1291" s="8">
        <v>84.126440069444399</v>
      </c>
      <c r="J1291" s="8">
        <v>15.9185540277778</v>
      </c>
      <c r="K1291" s="6" t="s">
        <v>29</v>
      </c>
      <c r="L1291" s="9">
        <v>43943</v>
      </c>
      <c r="N1291" s="6">
        <v>30</v>
      </c>
      <c r="O1291" s="6" t="s">
        <v>4365</v>
      </c>
      <c r="Q1291" s="6">
        <v>80</v>
      </c>
      <c r="R1291" s="6">
        <v>80</v>
      </c>
      <c r="S1291" s="6">
        <v>90</v>
      </c>
      <c r="T1291" s="10">
        <f t="shared" si="78"/>
        <v>85</v>
      </c>
      <c r="V1291" s="8">
        <v>0.3787942794442179</v>
      </c>
      <c r="W1291" s="8">
        <v>3.526013229370117</v>
      </c>
      <c r="X1291" s="8">
        <f t="shared" si="77"/>
        <v>0.49565899381637379</v>
      </c>
    </row>
    <row r="1292" spans="1:24" x14ac:dyDescent="0.35">
      <c r="A1292" s="6" t="s">
        <v>25</v>
      </c>
      <c r="B1292" s="6" t="s">
        <v>1412</v>
      </c>
      <c r="D1292" s="6" t="s">
        <v>1403</v>
      </c>
      <c r="E1292" s="6">
        <v>3</v>
      </c>
      <c r="F1292" s="6">
        <v>37</v>
      </c>
      <c r="G1292" s="6" t="s">
        <v>272</v>
      </c>
      <c r="I1292" s="8">
        <v>84.126440069444399</v>
      </c>
      <c r="J1292" s="8">
        <v>15.9185540277778</v>
      </c>
      <c r="K1292" s="6" t="s">
        <v>29</v>
      </c>
      <c r="L1292" s="9">
        <v>43943</v>
      </c>
      <c r="N1292" s="6">
        <v>30</v>
      </c>
      <c r="O1292" s="6" t="s">
        <v>4365</v>
      </c>
      <c r="Q1292" s="6">
        <v>90</v>
      </c>
      <c r="R1292" s="6">
        <v>90</v>
      </c>
      <c r="S1292" s="6">
        <v>100</v>
      </c>
      <c r="T1292" s="10">
        <f t="shared" si="78"/>
        <v>95</v>
      </c>
      <c r="V1292" s="8">
        <v>3.8988540352880421E-2</v>
      </c>
      <c r="W1292" s="8">
        <v>0.75028291988372819</v>
      </c>
      <c r="X1292" s="8">
        <f t="shared" si="77"/>
        <v>0.43837459706068482</v>
      </c>
    </row>
    <row r="1293" spans="1:24" x14ac:dyDescent="0.35">
      <c r="A1293" s="6" t="s">
        <v>25</v>
      </c>
      <c r="B1293" s="6" t="s">
        <v>1413</v>
      </c>
      <c r="D1293" s="6" t="s">
        <v>1403</v>
      </c>
      <c r="E1293" s="6">
        <v>3</v>
      </c>
      <c r="F1293" s="6">
        <v>37</v>
      </c>
      <c r="G1293" s="6" t="s">
        <v>272</v>
      </c>
      <c r="I1293" s="8">
        <v>84.126440069444399</v>
      </c>
      <c r="J1293" s="8">
        <v>15.9185540277778</v>
      </c>
      <c r="K1293" s="6" t="s">
        <v>29</v>
      </c>
      <c r="L1293" s="9">
        <v>43943</v>
      </c>
      <c r="N1293" s="6">
        <v>30</v>
      </c>
      <c r="O1293" s="6" t="s">
        <v>4365</v>
      </c>
      <c r="Q1293" s="6">
        <v>100</v>
      </c>
      <c r="R1293" s="6">
        <v>100</v>
      </c>
      <c r="S1293" s="6">
        <v>110</v>
      </c>
      <c r="T1293" s="10">
        <f t="shared" si="78"/>
        <v>105</v>
      </c>
      <c r="V1293" s="8">
        <v>-0.10925254902839676</v>
      </c>
      <c r="W1293" s="8">
        <v>-0.99538868603110287</v>
      </c>
      <c r="X1293" s="8">
        <f t="shared" si="77"/>
        <v>-0.12136829380392877</v>
      </c>
    </row>
    <row r="1294" spans="1:24" x14ac:dyDescent="0.35">
      <c r="A1294" s="6" t="s">
        <v>25</v>
      </c>
      <c r="B1294" s="6" t="s">
        <v>1414</v>
      </c>
      <c r="D1294" s="6" t="s">
        <v>1403</v>
      </c>
      <c r="E1294" s="6">
        <v>3</v>
      </c>
      <c r="F1294" s="6">
        <v>37</v>
      </c>
      <c r="G1294" s="6" t="s">
        <v>272</v>
      </c>
      <c r="I1294" s="8">
        <v>84.126440069444399</v>
      </c>
      <c r="J1294" s="8">
        <v>15.9185540277778</v>
      </c>
      <c r="K1294" s="6" t="s">
        <v>29</v>
      </c>
      <c r="L1294" s="9">
        <v>43943</v>
      </c>
      <c r="N1294" s="6">
        <v>30</v>
      </c>
      <c r="O1294" s="6" t="s">
        <v>4365</v>
      </c>
      <c r="Q1294" s="6">
        <v>110</v>
      </c>
      <c r="R1294" s="6">
        <v>110</v>
      </c>
      <c r="S1294" s="6">
        <v>120</v>
      </c>
      <c r="T1294" s="10">
        <f t="shared" si="78"/>
        <v>115</v>
      </c>
      <c r="V1294" s="8">
        <v>-0.12042603262364888</v>
      </c>
      <c r="W1294" s="8">
        <v>0.11791342306137038</v>
      </c>
      <c r="X1294" s="8">
        <f t="shared" si="77"/>
        <v>1.0813216840505615</v>
      </c>
    </row>
    <row r="1295" spans="1:24" x14ac:dyDescent="0.35">
      <c r="A1295" s="6" t="s">
        <v>25</v>
      </c>
      <c r="B1295" s="6" t="s">
        <v>1415</v>
      </c>
      <c r="D1295" s="6" t="s">
        <v>1403</v>
      </c>
      <c r="E1295" s="6">
        <v>3</v>
      </c>
      <c r="F1295" s="6">
        <v>37</v>
      </c>
      <c r="G1295" s="6" t="s">
        <v>272</v>
      </c>
      <c r="I1295" s="8">
        <v>84.126440069444399</v>
      </c>
      <c r="J1295" s="8">
        <v>15.9185540277778</v>
      </c>
      <c r="K1295" s="6" t="s">
        <v>29</v>
      </c>
      <c r="L1295" s="9">
        <v>43943</v>
      </c>
      <c r="N1295" s="6">
        <v>30</v>
      </c>
      <c r="O1295" s="6" t="s">
        <v>4365</v>
      </c>
      <c r="Q1295" s="6">
        <v>120</v>
      </c>
      <c r="R1295" s="6">
        <v>120</v>
      </c>
      <c r="S1295" s="6">
        <v>130</v>
      </c>
      <c r="T1295" s="10">
        <f t="shared" si="78"/>
        <v>125</v>
      </c>
      <c r="V1295" s="8">
        <v>8.2677910858393169E-2</v>
      </c>
      <c r="W1295" s="8">
        <v>1.031610270023346</v>
      </c>
      <c r="X1295" s="8">
        <f t="shared" si="77"/>
        <v>0.37018698315620069</v>
      </c>
    </row>
    <row r="1296" spans="1:24" x14ac:dyDescent="0.35">
      <c r="A1296" s="6" t="s">
        <v>25</v>
      </c>
      <c r="B1296" s="6" t="s">
        <v>1416</v>
      </c>
      <c r="D1296" s="6" t="s">
        <v>1403</v>
      </c>
      <c r="E1296" s="6">
        <v>3</v>
      </c>
      <c r="F1296" s="6">
        <v>37</v>
      </c>
      <c r="G1296" s="6" t="s">
        <v>272</v>
      </c>
      <c r="I1296" s="8">
        <v>84.126440069444399</v>
      </c>
      <c r="J1296" s="8">
        <v>15.9185540277778</v>
      </c>
      <c r="K1296" s="6" t="s">
        <v>29</v>
      </c>
      <c r="L1296" s="9">
        <v>43943</v>
      </c>
      <c r="N1296" s="6">
        <v>30</v>
      </c>
      <c r="O1296" s="6" t="s">
        <v>4365</v>
      </c>
      <c r="Q1296" s="6">
        <v>130</v>
      </c>
      <c r="R1296" s="6">
        <v>130</v>
      </c>
      <c r="S1296" s="6">
        <v>140</v>
      </c>
      <c r="T1296" s="10">
        <f t="shared" si="78"/>
        <v>135</v>
      </c>
      <c r="V1296" s="8">
        <v>0.23351658404767509</v>
      </c>
      <c r="W1296" s="8">
        <v>2.0442931442260743</v>
      </c>
      <c r="X1296" s="8">
        <f t="shared" si="77"/>
        <v>0.17616047184467365</v>
      </c>
    </row>
    <row r="1297" spans="1:24" x14ac:dyDescent="0.35">
      <c r="A1297" s="6" t="s">
        <v>25</v>
      </c>
      <c r="B1297" s="6" t="s">
        <v>1417</v>
      </c>
      <c r="D1297" s="6" t="s">
        <v>1403</v>
      </c>
      <c r="E1297" s="6">
        <v>3</v>
      </c>
      <c r="F1297" s="6">
        <v>37</v>
      </c>
      <c r="G1297" s="6" t="s">
        <v>272</v>
      </c>
      <c r="I1297" s="8">
        <v>84.126440069444399</v>
      </c>
      <c r="J1297" s="8">
        <v>15.9185540277778</v>
      </c>
      <c r="K1297" s="6" t="s">
        <v>29</v>
      </c>
      <c r="L1297" s="9">
        <v>43943</v>
      </c>
      <c r="N1297" s="6">
        <v>30</v>
      </c>
      <c r="O1297" s="6" t="s">
        <v>4365</v>
      </c>
      <c r="Q1297" s="6">
        <v>140</v>
      </c>
      <c r="R1297" s="6">
        <v>140</v>
      </c>
      <c r="S1297" s="6">
        <v>150</v>
      </c>
      <c r="T1297" s="10">
        <f t="shared" si="78"/>
        <v>145</v>
      </c>
      <c r="V1297" s="8">
        <v>0.65708859153985966</v>
      </c>
      <c r="W1297" s="8">
        <v>5.8620622997283922</v>
      </c>
      <c r="X1297" s="8">
        <f t="shared" si="77"/>
        <v>0.60535356740951496</v>
      </c>
    </row>
    <row r="1298" spans="1:24" x14ac:dyDescent="0.35">
      <c r="A1298" s="6" t="s">
        <v>25</v>
      </c>
      <c r="B1298" s="6" t="s">
        <v>1418</v>
      </c>
      <c r="D1298" s="6" t="s">
        <v>1403</v>
      </c>
      <c r="E1298" s="6">
        <v>3</v>
      </c>
      <c r="F1298" s="6">
        <v>37</v>
      </c>
      <c r="G1298" s="6" t="s">
        <v>272</v>
      </c>
      <c r="I1298" s="8">
        <v>84.126440069444399</v>
      </c>
      <c r="J1298" s="8">
        <v>15.9185540277778</v>
      </c>
      <c r="K1298" s="6" t="s">
        <v>29</v>
      </c>
      <c r="L1298" s="9">
        <v>43943</v>
      </c>
      <c r="N1298" s="6">
        <v>30</v>
      </c>
      <c r="O1298" s="6" t="s">
        <v>4365</v>
      </c>
      <c r="Q1298" s="6">
        <v>150</v>
      </c>
      <c r="R1298" s="6">
        <v>150</v>
      </c>
      <c r="S1298" s="6">
        <v>160</v>
      </c>
      <c r="T1298" s="10">
        <f t="shared" si="78"/>
        <v>155</v>
      </c>
      <c r="V1298" s="8">
        <v>1.024164707446098</v>
      </c>
      <c r="W1298" s="8">
        <v>8.585543792724609</v>
      </c>
      <c r="X1298" s="8">
        <f t="shared" si="77"/>
        <v>0.392226133155825</v>
      </c>
    </row>
    <row r="1299" spans="1:24" x14ac:dyDescent="0.35">
      <c r="A1299" s="6" t="s">
        <v>25</v>
      </c>
      <c r="B1299" s="6" t="s">
        <v>1419</v>
      </c>
      <c r="D1299" s="6" t="s">
        <v>1403</v>
      </c>
      <c r="E1299" s="6">
        <v>3</v>
      </c>
      <c r="F1299" s="6">
        <v>37</v>
      </c>
      <c r="G1299" s="6" t="s">
        <v>272</v>
      </c>
      <c r="I1299" s="8">
        <v>84.126440069444399</v>
      </c>
      <c r="J1299" s="8">
        <v>15.9185540277778</v>
      </c>
      <c r="K1299" s="6" t="s">
        <v>29</v>
      </c>
      <c r="L1299" s="9">
        <v>43943</v>
      </c>
      <c r="N1299" s="6">
        <v>30</v>
      </c>
      <c r="O1299" s="6" t="s">
        <v>4365</v>
      </c>
      <c r="Q1299" s="6">
        <v>160</v>
      </c>
      <c r="R1299" s="6">
        <v>160</v>
      </c>
      <c r="S1299" s="6">
        <v>170</v>
      </c>
      <c r="T1299" s="10">
        <f t="shared" si="78"/>
        <v>165</v>
      </c>
      <c r="V1299" s="8">
        <v>0.76743116560578351</v>
      </c>
      <c r="W1299" s="8">
        <v>6.6932211720943453</v>
      </c>
      <c r="X1299" s="8">
        <f t="shared" si="77"/>
        <v>0.55377184724807726</v>
      </c>
    </row>
    <row r="1300" spans="1:24" x14ac:dyDescent="0.35">
      <c r="A1300" s="6" t="s">
        <v>25</v>
      </c>
      <c r="B1300" s="6" t="s">
        <v>1420</v>
      </c>
      <c r="D1300" s="6" t="s">
        <v>1403</v>
      </c>
      <c r="E1300" s="6">
        <v>3</v>
      </c>
      <c r="F1300" s="6">
        <v>37</v>
      </c>
      <c r="G1300" s="6" t="s">
        <v>272</v>
      </c>
      <c r="I1300" s="8">
        <v>84.126440069444399</v>
      </c>
      <c r="J1300" s="8">
        <v>15.9185540277778</v>
      </c>
      <c r="K1300" s="6" t="s">
        <v>29</v>
      </c>
      <c r="L1300" s="9">
        <v>43943</v>
      </c>
      <c r="N1300" s="6">
        <v>30</v>
      </c>
      <c r="O1300" s="6" t="s">
        <v>4365</v>
      </c>
      <c r="Q1300" s="6">
        <v>170</v>
      </c>
      <c r="R1300" s="6">
        <v>170</v>
      </c>
      <c r="S1300" s="6">
        <v>187</v>
      </c>
      <c r="T1300" s="10">
        <f t="shared" si="78"/>
        <v>178.5</v>
      </c>
      <c r="V1300" s="8">
        <v>1.2632686300277709</v>
      </c>
      <c r="W1300" s="8">
        <v>9.7279291987419114</v>
      </c>
      <c r="X1300" s="8">
        <f t="shared" si="77"/>
        <v>-0.37821984148025578</v>
      </c>
    </row>
    <row r="1301" spans="1:24" x14ac:dyDescent="0.35">
      <c r="A1301" s="6" t="s">
        <v>25</v>
      </c>
      <c r="B1301" s="6" t="s">
        <v>3488</v>
      </c>
      <c r="D1301" s="6" t="s">
        <v>3790</v>
      </c>
      <c r="E1301" s="6">
        <v>3</v>
      </c>
      <c r="F1301" s="6">
        <v>37</v>
      </c>
      <c r="G1301" s="6" t="s">
        <v>4092</v>
      </c>
      <c r="I1301" s="8">
        <v>84.119575999999995</v>
      </c>
      <c r="J1301" s="8">
        <v>15.942104</v>
      </c>
      <c r="K1301" s="6" t="s">
        <v>2610</v>
      </c>
      <c r="L1301" s="9">
        <v>43943</v>
      </c>
      <c r="N1301" s="6">
        <v>30</v>
      </c>
      <c r="O1301" s="6" t="s">
        <v>4365</v>
      </c>
      <c r="V1301" s="8">
        <v>-0.47520959793090839</v>
      </c>
      <c r="W1301" s="8">
        <v>-4.1169111827373506</v>
      </c>
      <c r="X1301" s="27">
        <f t="shared" si="77"/>
        <v>-0.31523439929008346</v>
      </c>
    </row>
    <row r="1302" spans="1:24" x14ac:dyDescent="0.35">
      <c r="A1302" s="6" t="s">
        <v>25</v>
      </c>
      <c r="B1302" s="6" t="s">
        <v>2887</v>
      </c>
      <c r="D1302" s="6" t="s">
        <v>3145</v>
      </c>
      <c r="E1302" s="6">
        <v>3</v>
      </c>
      <c r="F1302" s="6">
        <v>37</v>
      </c>
      <c r="G1302" s="6" t="s">
        <v>3258</v>
      </c>
      <c r="I1302" s="8">
        <v>84.119575999999995</v>
      </c>
      <c r="J1302" s="8">
        <v>15.942104</v>
      </c>
      <c r="K1302" s="6" t="s">
        <v>198</v>
      </c>
      <c r="L1302" s="9">
        <v>43943</v>
      </c>
      <c r="M1302" s="18">
        <v>0.50486111111111109</v>
      </c>
      <c r="N1302" s="6">
        <v>30</v>
      </c>
      <c r="O1302" s="6" t="s">
        <v>4365</v>
      </c>
      <c r="R1302" s="6">
        <v>7.5</v>
      </c>
      <c r="S1302" s="6">
        <v>5</v>
      </c>
      <c r="V1302" s="8">
        <v>-16.900295798416135</v>
      </c>
      <c r="W1302" s="8">
        <v>-126.00982023925782</v>
      </c>
      <c r="X1302" s="8">
        <f t="shared" si="77"/>
        <v>9.1925461480712585</v>
      </c>
    </row>
    <row r="1303" spans="1:24" x14ac:dyDescent="0.35">
      <c r="A1303" s="6" t="s">
        <v>25</v>
      </c>
      <c r="B1303" s="6" t="s">
        <v>2888</v>
      </c>
      <c r="D1303" s="6" t="s">
        <v>3145</v>
      </c>
      <c r="E1303" s="6">
        <v>3</v>
      </c>
      <c r="F1303" s="6">
        <v>37</v>
      </c>
      <c r="G1303" s="6" t="s">
        <v>3258</v>
      </c>
      <c r="I1303" s="8">
        <v>84.119575999999995</v>
      </c>
      <c r="J1303" s="8">
        <v>15.942104</v>
      </c>
      <c r="K1303" s="6" t="s">
        <v>198</v>
      </c>
      <c r="L1303" s="9">
        <v>43943</v>
      </c>
      <c r="M1303" s="18">
        <v>0.50486111111111109</v>
      </c>
      <c r="N1303" s="6">
        <v>30</v>
      </c>
      <c r="O1303" s="6" t="s">
        <v>4365</v>
      </c>
      <c r="R1303" s="6">
        <v>5</v>
      </c>
      <c r="S1303" s="6">
        <v>2</v>
      </c>
      <c r="V1303" s="8">
        <v>-14.119786654586791</v>
      </c>
      <c r="W1303" s="8">
        <v>-110.10600853271485</v>
      </c>
      <c r="X1303" s="8">
        <f t="shared" si="77"/>
        <v>2.8522847039794783</v>
      </c>
    </row>
    <row r="1304" spans="1:24" x14ac:dyDescent="0.35">
      <c r="A1304" s="6" t="s">
        <v>25</v>
      </c>
      <c r="B1304" s="6" t="s">
        <v>2889</v>
      </c>
      <c r="D1304" s="6" t="s">
        <v>3145</v>
      </c>
      <c r="E1304" s="6">
        <v>3</v>
      </c>
      <c r="F1304" s="6">
        <v>37</v>
      </c>
      <c r="G1304" s="6" t="s">
        <v>3258</v>
      </c>
      <c r="I1304" s="8">
        <v>84.119575999999995</v>
      </c>
      <c r="J1304" s="8">
        <v>15.942104</v>
      </c>
      <c r="K1304" s="6" t="s">
        <v>198</v>
      </c>
      <c r="L1304" s="9">
        <v>43943</v>
      </c>
      <c r="M1304" s="18">
        <v>0.50486111111111109</v>
      </c>
      <c r="N1304" s="6">
        <v>30</v>
      </c>
      <c r="O1304" s="6" t="s">
        <v>4365</v>
      </c>
      <c r="R1304" s="6">
        <v>3</v>
      </c>
      <c r="S1304" s="6">
        <v>0</v>
      </c>
      <c r="V1304" s="8">
        <v>-7.0194290553283691</v>
      </c>
      <c r="W1304" s="8">
        <v>-74.356434466552727</v>
      </c>
      <c r="X1304" s="8">
        <f t="shared" si="77"/>
        <v>-18.201002023925774</v>
      </c>
    </row>
    <row r="1305" spans="1:24" x14ac:dyDescent="0.35">
      <c r="A1305" s="6" t="s">
        <v>25</v>
      </c>
      <c r="B1305" s="7" t="s">
        <v>1421</v>
      </c>
      <c r="D1305" s="6" t="s">
        <v>1422</v>
      </c>
      <c r="E1305" s="6">
        <v>3</v>
      </c>
      <c r="F1305" s="6">
        <v>37</v>
      </c>
      <c r="G1305" s="6" t="s">
        <v>1423</v>
      </c>
      <c r="I1305" s="8">
        <v>84.074120555555595</v>
      </c>
      <c r="J1305" s="8">
        <v>16.034243819444399</v>
      </c>
      <c r="K1305" s="6" t="s">
        <v>1424</v>
      </c>
      <c r="L1305" s="9">
        <v>43944</v>
      </c>
      <c r="N1305" s="6">
        <v>30</v>
      </c>
      <c r="O1305" s="6" t="s">
        <v>4279</v>
      </c>
      <c r="Q1305" s="10"/>
      <c r="R1305" s="10"/>
      <c r="S1305" s="10"/>
      <c r="T1305" s="10"/>
      <c r="U1305" s="11"/>
      <c r="V1305" s="8">
        <v>-1.3175461553764345</v>
      </c>
      <c r="W1305" s="8">
        <v>-8.9447440767288207</v>
      </c>
      <c r="X1305" s="8">
        <f t="shared" si="77"/>
        <v>1.5956251662826553</v>
      </c>
    </row>
    <row r="1306" spans="1:24" x14ac:dyDescent="0.35">
      <c r="A1306" s="6" t="s">
        <v>25</v>
      </c>
      <c r="B1306" s="7" t="s">
        <v>1425</v>
      </c>
      <c r="D1306" s="6" t="s">
        <v>1426</v>
      </c>
      <c r="E1306" s="6">
        <v>3</v>
      </c>
      <c r="F1306" s="6">
        <v>37</v>
      </c>
      <c r="G1306" s="6" t="s">
        <v>1423</v>
      </c>
      <c r="I1306" s="8">
        <v>84.074120555555595</v>
      </c>
      <c r="J1306" s="8">
        <v>16.034243819444399</v>
      </c>
      <c r="K1306" s="6" t="s">
        <v>390</v>
      </c>
      <c r="L1306" s="9">
        <v>43944</v>
      </c>
      <c r="N1306" s="6">
        <v>30</v>
      </c>
      <c r="O1306" s="6" t="s">
        <v>4279</v>
      </c>
      <c r="Q1306" s="10"/>
      <c r="R1306" s="10"/>
      <c r="S1306" s="10"/>
      <c r="T1306" s="10"/>
      <c r="U1306" s="11"/>
      <c r="V1306" s="8">
        <v>-2.986817780418396</v>
      </c>
      <c r="W1306" s="8">
        <v>-22.50179027366638</v>
      </c>
      <c r="X1306" s="8">
        <f t="shared" si="77"/>
        <v>1.3927519696807877</v>
      </c>
    </row>
    <row r="1307" spans="1:24" x14ac:dyDescent="0.35">
      <c r="A1307" s="6" t="s">
        <v>25</v>
      </c>
      <c r="B1307" s="6" t="s">
        <v>3489</v>
      </c>
      <c r="D1307" s="6" t="s">
        <v>3791</v>
      </c>
      <c r="E1307" s="6">
        <v>3</v>
      </c>
      <c r="F1307" s="6">
        <v>37</v>
      </c>
      <c r="G1307" s="6" t="s">
        <v>4093</v>
      </c>
      <c r="I1307" s="8">
        <v>84.072866000000005</v>
      </c>
      <c r="J1307" s="8">
        <v>16.030913999999999</v>
      </c>
      <c r="K1307" s="6" t="s">
        <v>2610</v>
      </c>
      <c r="L1307" s="9">
        <v>43944</v>
      </c>
      <c r="N1307" s="6">
        <v>30</v>
      </c>
      <c r="O1307" s="6" t="s">
        <v>4279</v>
      </c>
      <c r="V1307" s="8">
        <v>-0.46484211765289329</v>
      </c>
      <c r="W1307" s="8">
        <v>-3.0188221949100496</v>
      </c>
      <c r="X1307" s="27">
        <f t="shared" si="77"/>
        <v>0.6999147463130968</v>
      </c>
    </row>
    <row r="1308" spans="1:24" x14ac:dyDescent="0.35">
      <c r="A1308" s="6" t="s">
        <v>25</v>
      </c>
      <c r="B1308" s="6" t="s">
        <v>2890</v>
      </c>
      <c r="D1308" s="6" t="s">
        <v>3146</v>
      </c>
      <c r="E1308" s="6">
        <v>3</v>
      </c>
      <c r="F1308" s="6">
        <v>37</v>
      </c>
      <c r="G1308" s="6" t="s">
        <v>3261</v>
      </c>
      <c r="I1308" s="8">
        <v>84.072866000000005</v>
      </c>
      <c r="J1308" s="8">
        <v>16.030913999999999</v>
      </c>
      <c r="K1308" s="6" t="s">
        <v>198</v>
      </c>
      <c r="L1308" s="9">
        <v>43944</v>
      </c>
      <c r="M1308" s="18">
        <v>0.47986111111111113</v>
      </c>
      <c r="N1308" s="6">
        <v>30</v>
      </c>
      <c r="O1308" s="6" t="s">
        <v>4279</v>
      </c>
      <c r="R1308" s="6">
        <v>77</v>
      </c>
      <c r="S1308" s="6">
        <v>75</v>
      </c>
      <c r="V1308" s="8">
        <v>-14.789237061614989</v>
      </c>
      <c r="W1308" s="8">
        <v>-110.37310956115724</v>
      </c>
      <c r="X1308" s="8">
        <f t="shared" si="77"/>
        <v>7.9407869317626734</v>
      </c>
    </row>
    <row r="1309" spans="1:24" x14ac:dyDescent="0.35">
      <c r="A1309" s="6" t="s">
        <v>25</v>
      </c>
      <c r="B1309" s="6" t="s">
        <v>2891</v>
      </c>
      <c r="D1309" s="6" t="s">
        <v>3146</v>
      </c>
      <c r="E1309" s="6">
        <v>3</v>
      </c>
      <c r="F1309" s="6">
        <v>37</v>
      </c>
      <c r="G1309" s="6" t="s">
        <v>3261</v>
      </c>
      <c r="I1309" s="8">
        <v>84.072866000000005</v>
      </c>
      <c r="J1309" s="8">
        <v>16.030913999999999</v>
      </c>
      <c r="K1309" s="6" t="s">
        <v>198</v>
      </c>
      <c r="L1309" s="9">
        <v>43944</v>
      </c>
      <c r="M1309" s="18">
        <v>0.47986111111111113</v>
      </c>
      <c r="N1309" s="6">
        <v>30</v>
      </c>
      <c r="O1309" s="6" t="s">
        <v>4279</v>
      </c>
      <c r="R1309" s="6">
        <v>42</v>
      </c>
      <c r="S1309" s="6">
        <v>39</v>
      </c>
      <c r="V1309" s="8">
        <v>-18.160989546890256</v>
      </c>
      <c r="W1309" s="8">
        <v>-137.37241453857422</v>
      </c>
      <c r="X1309" s="8">
        <f t="shared" si="77"/>
        <v>7.9155018365478327</v>
      </c>
    </row>
    <row r="1310" spans="1:24" x14ac:dyDescent="0.35">
      <c r="A1310" s="6" t="s">
        <v>25</v>
      </c>
      <c r="B1310" s="6" t="s">
        <v>2892</v>
      </c>
      <c r="D1310" s="6" t="s">
        <v>3146</v>
      </c>
      <c r="E1310" s="6">
        <v>3</v>
      </c>
      <c r="F1310" s="6">
        <v>37</v>
      </c>
      <c r="G1310" s="6" t="s">
        <v>3261</v>
      </c>
      <c r="I1310" s="8">
        <v>84.072866000000005</v>
      </c>
      <c r="J1310" s="8">
        <v>16.030913999999999</v>
      </c>
      <c r="K1310" s="6" t="s">
        <v>198</v>
      </c>
      <c r="L1310" s="9">
        <v>43944</v>
      </c>
      <c r="M1310" s="18">
        <v>0.47986111111111113</v>
      </c>
      <c r="N1310" s="6">
        <v>30</v>
      </c>
      <c r="O1310" s="6" t="s">
        <v>4279</v>
      </c>
      <c r="R1310" s="6">
        <v>9</v>
      </c>
      <c r="S1310" s="6">
        <v>6</v>
      </c>
      <c r="V1310" s="8">
        <v>-10.409288940544128</v>
      </c>
      <c r="W1310" s="8">
        <v>-85.976004473876955</v>
      </c>
      <c r="X1310" s="8">
        <f t="shared" si="77"/>
        <v>-2.701692949523931</v>
      </c>
    </row>
    <row r="1311" spans="1:24" x14ac:dyDescent="0.35">
      <c r="A1311" s="6" t="s">
        <v>25</v>
      </c>
      <c r="B1311" s="7" t="s">
        <v>1427</v>
      </c>
      <c r="D1311" s="6" t="s">
        <v>1428</v>
      </c>
      <c r="E1311" s="6">
        <v>3</v>
      </c>
      <c r="F1311" s="6">
        <v>37</v>
      </c>
      <c r="G1311" s="6" t="s">
        <v>1429</v>
      </c>
      <c r="I1311" s="8">
        <v>84.052059305555602</v>
      </c>
      <c r="J1311" s="8">
        <v>15.898474930555601</v>
      </c>
      <c r="K1311" s="6" t="s">
        <v>390</v>
      </c>
      <c r="L1311" s="9">
        <v>43945</v>
      </c>
      <c r="N1311" s="6">
        <v>30</v>
      </c>
      <c r="O1311" s="6" t="s">
        <v>4370</v>
      </c>
      <c r="Q1311" s="10"/>
      <c r="R1311" s="10">
        <v>0</v>
      </c>
      <c r="S1311" s="10">
        <v>10</v>
      </c>
      <c r="T1311" s="10">
        <f>AVERAGE(R1311:S1311)</f>
        <v>5</v>
      </c>
      <c r="U1311" s="11"/>
      <c r="V1311" s="8">
        <v>-15.066252862854004</v>
      </c>
      <c r="W1311" s="8">
        <v>-109.30051093292236</v>
      </c>
      <c r="X1311" s="8">
        <f t="shared" si="77"/>
        <v>11.229511969909666</v>
      </c>
    </row>
    <row r="1312" spans="1:24" x14ac:dyDescent="0.35">
      <c r="A1312" s="6" t="s">
        <v>25</v>
      </c>
      <c r="B1312" s="7" t="s">
        <v>1430</v>
      </c>
      <c r="D1312" s="6" t="s">
        <v>1431</v>
      </c>
      <c r="E1312" s="6">
        <v>3</v>
      </c>
      <c r="F1312" s="6">
        <v>37</v>
      </c>
      <c r="G1312" s="6" t="s">
        <v>1429</v>
      </c>
      <c r="I1312" s="8">
        <v>84.052059305555602</v>
      </c>
      <c r="J1312" s="8">
        <v>15.898474930555601</v>
      </c>
      <c r="K1312" s="6" t="s">
        <v>390</v>
      </c>
      <c r="L1312" s="9">
        <v>43945</v>
      </c>
      <c r="N1312" s="6">
        <v>30</v>
      </c>
      <c r="O1312" s="6" t="s">
        <v>4370</v>
      </c>
      <c r="Q1312" s="10"/>
      <c r="R1312" s="10">
        <v>10</v>
      </c>
      <c r="S1312" s="10">
        <v>20</v>
      </c>
      <c r="T1312" s="10">
        <f>AVERAGE(R1312:S1312)</f>
        <v>15</v>
      </c>
      <c r="U1312" s="11"/>
      <c r="V1312" s="8">
        <v>-7.9379434413146983</v>
      </c>
      <c r="W1312" s="8">
        <v>-57.826578830718994</v>
      </c>
      <c r="X1312" s="8">
        <f t="shared" si="77"/>
        <v>5.6769686997985929</v>
      </c>
    </row>
    <row r="1313" spans="1:25" s="12" customFormat="1" x14ac:dyDescent="0.35">
      <c r="A1313" s="6" t="s">
        <v>25</v>
      </c>
      <c r="B1313" s="7" t="s">
        <v>1432</v>
      </c>
      <c r="C1313" s="6"/>
      <c r="D1313" s="6" t="s">
        <v>1433</v>
      </c>
      <c r="E1313" s="6">
        <v>3</v>
      </c>
      <c r="F1313" s="6">
        <v>37</v>
      </c>
      <c r="G1313" s="6" t="s">
        <v>1429</v>
      </c>
      <c r="H1313" s="6"/>
      <c r="I1313" s="8">
        <v>84.052059305555602</v>
      </c>
      <c r="J1313" s="8">
        <v>15.898474930555601</v>
      </c>
      <c r="K1313" s="6" t="s">
        <v>390</v>
      </c>
      <c r="L1313" s="9">
        <v>43945</v>
      </c>
      <c r="M1313" s="6"/>
      <c r="N1313" s="6">
        <v>30</v>
      </c>
      <c r="O1313" s="6" t="s">
        <v>4370</v>
      </c>
      <c r="P1313" s="6"/>
      <c r="Q1313" s="10"/>
      <c r="R1313" s="10">
        <v>20</v>
      </c>
      <c r="S1313" s="10">
        <v>30</v>
      </c>
      <c r="T1313" s="10">
        <f>AVERAGE(R1313:S1313)</f>
        <v>25</v>
      </c>
      <c r="U1313" s="11"/>
      <c r="V1313" s="8">
        <v>-2.8731295755386363</v>
      </c>
      <c r="W1313" s="8">
        <v>-20.292595508575438</v>
      </c>
      <c r="X1313" s="8">
        <f t="shared" si="77"/>
        <v>2.6924410957336526</v>
      </c>
      <c r="Y1313" s="6"/>
    </row>
    <row r="1314" spans="1:25" x14ac:dyDescent="0.35">
      <c r="A1314" s="6" t="s">
        <v>25</v>
      </c>
      <c r="B1314" s="7" t="s">
        <v>1434</v>
      </c>
      <c r="D1314" s="6" t="s">
        <v>1435</v>
      </c>
      <c r="E1314" s="6">
        <v>3</v>
      </c>
      <c r="F1314" s="6">
        <v>37</v>
      </c>
      <c r="G1314" s="6" t="s">
        <v>1429</v>
      </c>
      <c r="I1314" s="8">
        <v>84.052059305555602</v>
      </c>
      <c r="J1314" s="8">
        <v>15.898474930555601</v>
      </c>
      <c r="K1314" s="6" t="s">
        <v>390</v>
      </c>
      <c r="L1314" s="9">
        <v>43945</v>
      </c>
      <c r="N1314" s="6">
        <v>30</v>
      </c>
      <c r="O1314" s="6" t="s">
        <v>4370</v>
      </c>
      <c r="Q1314" s="10"/>
      <c r="R1314" s="10">
        <v>30</v>
      </c>
      <c r="S1314" s="10">
        <v>40</v>
      </c>
      <c r="T1314" s="10">
        <f>AVERAGE(R1314:S1314)</f>
        <v>35</v>
      </c>
      <c r="U1314" s="11"/>
      <c r="V1314" s="8">
        <v>-0.51964126830101021</v>
      </c>
      <c r="W1314" s="8">
        <v>-2.8251744136810304</v>
      </c>
      <c r="X1314" s="8">
        <f t="shared" si="77"/>
        <v>1.3319557327270513</v>
      </c>
    </row>
    <row r="1315" spans="1:25" x14ac:dyDescent="0.35">
      <c r="A1315" s="6" t="s">
        <v>25</v>
      </c>
      <c r="B1315" s="7" t="s">
        <v>1436</v>
      </c>
      <c r="D1315" s="6" t="s">
        <v>1437</v>
      </c>
      <c r="E1315" s="6">
        <v>3</v>
      </c>
      <c r="F1315" s="6">
        <v>37</v>
      </c>
      <c r="G1315" s="6" t="s">
        <v>1429</v>
      </c>
      <c r="I1315" s="8">
        <v>84.052059305555602</v>
      </c>
      <c r="J1315" s="8">
        <v>15.898474930555601</v>
      </c>
      <c r="K1315" s="6" t="s">
        <v>390</v>
      </c>
      <c r="L1315" s="9">
        <v>43945</v>
      </c>
      <c r="N1315" s="6">
        <v>30</v>
      </c>
      <c r="O1315" s="6" t="s">
        <v>4370</v>
      </c>
      <c r="Q1315" s="10"/>
      <c r="R1315" s="10"/>
      <c r="S1315" s="10"/>
      <c r="T1315" s="10"/>
      <c r="U1315" s="11"/>
      <c r="V1315" s="8">
        <v>0.56659333391189537</v>
      </c>
      <c r="W1315" s="8">
        <v>5.2809841699600222</v>
      </c>
      <c r="X1315" s="8">
        <f t="shared" si="77"/>
        <v>0.74823749866485922</v>
      </c>
    </row>
    <row r="1316" spans="1:25" x14ac:dyDescent="0.35">
      <c r="A1316" s="6" t="s">
        <v>25</v>
      </c>
      <c r="B1316" s="6" t="s">
        <v>3490</v>
      </c>
      <c r="D1316" s="6" t="s">
        <v>3792</v>
      </c>
      <c r="E1316" s="6">
        <v>3</v>
      </c>
      <c r="F1316" s="6">
        <v>37</v>
      </c>
      <c r="G1316" s="6" t="s">
        <v>4094</v>
      </c>
      <c r="I1316" s="8">
        <v>84.052059305555602</v>
      </c>
      <c r="J1316" s="8">
        <v>15.898474930555601</v>
      </c>
      <c r="K1316" s="6" t="s">
        <v>2610</v>
      </c>
      <c r="L1316" s="9">
        <v>43945</v>
      </c>
      <c r="N1316" s="6">
        <v>30</v>
      </c>
      <c r="O1316" s="6" t="s">
        <v>4370</v>
      </c>
      <c r="V1316" s="8">
        <v>-0.51115316425323498</v>
      </c>
      <c r="W1316" s="8">
        <v>-2.904776186800003</v>
      </c>
      <c r="X1316" s="27">
        <f t="shared" si="77"/>
        <v>1.1844491272258768</v>
      </c>
    </row>
    <row r="1317" spans="1:25" x14ac:dyDescent="0.35">
      <c r="A1317" s="6" t="s">
        <v>25</v>
      </c>
      <c r="B1317" s="7" t="s">
        <v>1438</v>
      </c>
      <c r="D1317" s="6" t="s">
        <v>1439</v>
      </c>
      <c r="E1317" s="6">
        <v>3</v>
      </c>
      <c r="F1317" s="6">
        <v>37</v>
      </c>
      <c r="G1317" s="6" t="s">
        <v>28</v>
      </c>
      <c r="I1317" s="8">
        <v>83.999093333333306</v>
      </c>
      <c r="J1317" s="8">
        <v>15.6102103472222</v>
      </c>
      <c r="K1317" s="6" t="s">
        <v>29</v>
      </c>
      <c r="L1317" s="9">
        <v>43946</v>
      </c>
      <c r="N1317" s="6">
        <v>30</v>
      </c>
      <c r="O1317" s="6" t="s">
        <v>4265</v>
      </c>
      <c r="Q1317" s="10"/>
      <c r="R1317" s="10">
        <v>0</v>
      </c>
      <c r="S1317" s="10">
        <v>10</v>
      </c>
      <c r="T1317" s="10">
        <f t="shared" ref="T1317:T1353" si="79">AVERAGE(R1317:S1317)</f>
        <v>5</v>
      </c>
      <c r="U1317" s="11"/>
      <c r="V1317" s="8">
        <v>-2.9945336899757389</v>
      </c>
      <c r="W1317" s="8">
        <v>-22.009508826828004</v>
      </c>
      <c r="X1317" s="8">
        <f t="shared" si="77"/>
        <v>1.9467606929779073</v>
      </c>
    </row>
    <row r="1318" spans="1:25" x14ac:dyDescent="0.35">
      <c r="A1318" s="6" t="s">
        <v>25</v>
      </c>
      <c r="B1318" s="7" t="s">
        <v>1440</v>
      </c>
      <c r="D1318" s="6" t="s">
        <v>1441</v>
      </c>
      <c r="E1318" s="6">
        <v>3</v>
      </c>
      <c r="F1318" s="6">
        <v>37</v>
      </c>
      <c r="G1318" s="6" t="s">
        <v>28</v>
      </c>
      <c r="I1318" s="8">
        <v>83.999093333333306</v>
      </c>
      <c r="J1318" s="8">
        <v>15.6102103472222</v>
      </c>
      <c r="K1318" s="6" t="s">
        <v>29</v>
      </c>
      <c r="L1318" s="9">
        <v>43946</v>
      </c>
      <c r="N1318" s="6">
        <v>30</v>
      </c>
      <c r="O1318" s="6" t="s">
        <v>4265</v>
      </c>
      <c r="Q1318" s="10"/>
      <c r="R1318" s="10">
        <v>10</v>
      </c>
      <c r="S1318" s="10">
        <v>20</v>
      </c>
      <c r="T1318" s="10">
        <f t="shared" si="79"/>
        <v>15</v>
      </c>
      <c r="U1318" s="11"/>
      <c r="V1318" s="8">
        <v>-2.8354619577407845</v>
      </c>
      <c r="W1318" s="8">
        <v>-21.847771382904053</v>
      </c>
      <c r="X1318" s="8">
        <f t="shared" si="77"/>
        <v>0.83592427902222255</v>
      </c>
    </row>
    <row r="1319" spans="1:25" x14ac:dyDescent="0.35">
      <c r="A1319" s="6" t="s">
        <v>25</v>
      </c>
      <c r="B1319" s="7" t="s">
        <v>1442</v>
      </c>
      <c r="D1319" s="6" t="s">
        <v>1443</v>
      </c>
      <c r="E1319" s="6">
        <v>3</v>
      </c>
      <c r="F1319" s="6">
        <v>37</v>
      </c>
      <c r="G1319" s="6" t="s">
        <v>28</v>
      </c>
      <c r="I1319" s="8">
        <v>83.999093333333306</v>
      </c>
      <c r="J1319" s="8">
        <v>15.6102103472222</v>
      </c>
      <c r="K1319" s="6" t="s">
        <v>29</v>
      </c>
      <c r="L1319" s="9">
        <v>43946</v>
      </c>
      <c r="N1319" s="6">
        <v>30</v>
      </c>
      <c r="O1319" s="6" t="s">
        <v>4265</v>
      </c>
      <c r="Q1319" s="10"/>
      <c r="R1319" s="10">
        <v>20</v>
      </c>
      <c r="S1319" s="10">
        <v>30</v>
      </c>
      <c r="T1319" s="10">
        <f t="shared" si="79"/>
        <v>25</v>
      </c>
      <c r="U1319" s="11"/>
      <c r="V1319" s="8">
        <v>-2.3150022876739498</v>
      </c>
      <c r="W1319" s="8">
        <v>-17.812543920135496</v>
      </c>
      <c r="X1319" s="8">
        <f t="shared" si="77"/>
        <v>0.70747438125610174</v>
      </c>
    </row>
    <row r="1320" spans="1:25" x14ac:dyDescent="0.35">
      <c r="A1320" s="6" t="s">
        <v>25</v>
      </c>
      <c r="B1320" s="7" t="s">
        <v>1444</v>
      </c>
      <c r="D1320" s="6" t="s">
        <v>1445</v>
      </c>
      <c r="E1320" s="6">
        <v>3</v>
      </c>
      <c r="F1320" s="6">
        <v>37</v>
      </c>
      <c r="G1320" s="6" t="s">
        <v>28</v>
      </c>
      <c r="I1320" s="8">
        <v>83.999093333333306</v>
      </c>
      <c r="J1320" s="8">
        <v>15.6102103472222</v>
      </c>
      <c r="K1320" s="6" t="s">
        <v>29</v>
      </c>
      <c r="L1320" s="9">
        <v>43946</v>
      </c>
      <c r="N1320" s="6">
        <v>30</v>
      </c>
      <c r="O1320" s="6" t="s">
        <v>4265</v>
      </c>
      <c r="Q1320" s="10"/>
      <c r="R1320" s="10">
        <v>30</v>
      </c>
      <c r="S1320" s="10">
        <v>40</v>
      </c>
      <c r="T1320" s="10">
        <f t="shared" si="79"/>
        <v>35</v>
      </c>
      <c r="U1320" s="11"/>
      <c r="V1320" s="8">
        <v>-1.2403848398208615</v>
      </c>
      <c r="W1320" s="8">
        <v>-9.8206311126708972</v>
      </c>
      <c r="X1320" s="8">
        <f t="shared" si="77"/>
        <v>0.10244760589599444</v>
      </c>
    </row>
    <row r="1321" spans="1:25" x14ac:dyDescent="0.35">
      <c r="A1321" s="6" t="s">
        <v>25</v>
      </c>
      <c r="B1321" s="7" t="s">
        <v>1446</v>
      </c>
      <c r="D1321" s="6" t="s">
        <v>1447</v>
      </c>
      <c r="E1321" s="6">
        <v>3</v>
      </c>
      <c r="F1321" s="6">
        <v>37</v>
      </c>
      <c r="G1321" s="6" t="s">
        <v>28</v>
      </c>
      <c r="I1321" s="8">
        <v>83.999093333333306</v>
      </c>
      <c r="J1321" s="8">
        <v>15.6102103472222</v>
      </c>
      <c r="K1321" s="6" t="s">
        <v>29</v>
      </c>
      <c r="L1321" s="9">
        <v>43946</v>
      </c>
      <c r="N1321" s="6">
        <v>30</v>
      </c>
      <c r="O1321" s="6" t="s">
        <v>4265</v>
      </c>
      <c r="Q1321" s="10"/>
      <c r="R1321" s="10">
        <v>40</v>
      </c>
      <c r="S1321" s="10">
        <v>50</v>
      </c>
      <c r="T1321" s="10">
        <f t="shared" si="79"/>
        <v>45</v>
      </c>
      <c r="U1321" s="11"/>
      <c r="V1321" s="8">
        <v>-1.4352826860427859</v>
      </c>
      <c r="W1321" s="8">
        <v>-10.770022605514525</v>
      </c>
      <c r="X1321" s="8">
        <f t="shared" si="77"/>
        <v>0.71223888282776215</v>
      </c>
    </row>
    <row r="1322" spans="1:25" s="12" customFormat="1" x14ac:dyDescent="0.35">
      <c r="A1322" s="6" t="s">
        <v>25</v>
      </c>
      <c r="B1322" s="7" t="s">
        <v>1448</v>
      </c>
      <c r="C1322" s="6"/>
      <c r="D1322" s="6" t="s">
        <v>1449</v>
      </c>
      <c r="E1322" s="6">
        <v>3</v>
      </c>
      <c r="F1322" s="6">
        <v>37</v>
      </c>
      <c r="G1322" s="6" t="s">
        <v>28</v>
      </c>
      <c r="H1322" s="6"/>
      <c r="I1322" s="8">
        <v>83.999093333333306</v>
      </c>
      <c r="J1322" s="8">
        <v>15.6102103472222</v>
      </c>
      <c r="K1322" s="6" t="s">
        <v>29</v>
      </c>
      <c r="L1322" s="9">
        <v>43946</v>
      </c>
      <c r="M1322" s="6"/>
      <c r="N1322" s="6">
        <v>30</v>
      </c>
      <c r="O1322" s="6" t="s">
        <v>4265</v>
      </c>
      <c r="P1322" s="6"/>
      <c r="Q1322" s="10"/>
      <c r="R1322" s="10">
        <v>50</v>
      </c>
      <c r="S1322" s="10">
        <v>60</v>
      </c>
      <c r="T1322" s="10">
        <f t="shared" si="79"/>
        <v>55</v>
      </c>
      <c r="U1322" s="11"/>
      <c r="V1322" s="8">
        <v>-2.5146574180603039</v>
      </c>
      <c r="W1322" s="8">
        <v>-19.637429601287842</v>
      </c>
      <c r="X1322" s="8">
        <f t="shared" si="77"/>
        <v>0.47982974319458904</v>
      </c>
      <c r="Y1322" s="6"/>
    </row>
    <row r="1323" spans="1:25" x14ac:dyDescent="0.35">
      <c r="A1323" s="6" t="s">
        <v>25</v>
      </c>
      <c r="B1323" s="7" t="s">
        <v>1450</v>
      </c>
      <c r="D1323" s="6" t="s">
        <v>1451</v>
      </c>
      <c r="E1323" s="6">
        <v>3</v>
      </c>
      <c r="F1323" s="6">
        <v>37</v>
      </c>
      <c r="G1323" s="6" t="s">
        <v>28</v>
      </c>
      <c r="I1323" s="8">
        <v>83.999093333333306</v>
      </c>
      <c r="J1323" s="8">
        <v>15.6102103472222</v>
      </c>
      <c r="K1323" s="6" t="s">
        <v>29</v>
      </c>
      <c r="L1323" s="9">
        <v>43946</v>
      </c>
      <c r="N1323" s="6">
        <v>30</v>
      </c>
      <c r="O1323" s="6" t="s">
        <v>4265</v>
      </c>
      <c r="Q1323" s="10"/>
      <c r="R1323" s="10">
        <v>60</v>
      </c>
      <c r="S1323" s="10">
        <v>70</v>
      </c>
      <c r="T1323" s="10">
        <f t="shared" si="79"/>
        <v>65</v>
      </c>
      <c r="U1323" s="11"/>
      <c r="V1323" s="8">
        <v>-2.076697634506226</v>
      </c>
      <c r="W1323" s="8">
        <v>-16.234745530700682</v>
      </c>
      <c r="X1323" s="8">
        <f t="shared" si="77"/>
        <v>0.37883554534912633</v>
      </c>
    </row>
    <row r="1324" spans="1:25" x14ac:dyDescent="0.35">
      <c r="A1324" s="6" t="s">
        <v>25</v>
      </c>
      <c r="B1324" s="7" t="s">
        <v>1452</v>
      </c>
      <c r="D1324" s="6" t="s">
        <v>1453</v>
      </c>
      <c r="E1324" s="6">
        <v>3</v>
      </c>
      <c r="F1324" s="6">
        <v>37</v>
      </c>
      <c r="G1324" s="6" t="s">
        <v>28</v>
      </c>
      <c r="I1324" s="8">
        <v>83.999093333333306</v>
      </c>
      <c r="J1324" s="8">
        <v>15.6102103472222</v>
      </c>
      <c r="K1324" s="6" t="s">
        <v>29</v>
      </c>
      <c r="L1324" s="9">
        <v>43946</v>
      </c>
      <c r="N1324" s="6">
        <v>30</v>
      </c>
      <c r="O1324" s="6" t="s">
        <v>4265</v>
      </c>
      <c r="Q1324" s="10"/>
      <c r="R1324" s="10">
        <v>70</v>
      </c>
      <c r="S1324" s="10">
        <v>80</v>
      </c>
      <c r="T1324" s="10">
        <f t="shared" si="79"/>
        <v>75</v>
      </c>
      <c r="U1324" s="11"/>
      <c r="V1324" s="8">
        <v>-1.3940562605857849</v>
      </c>
      <c r="W1324" s="8">
        <v>-10.39059558725357</v>
      </c>
      <c r="X1324" s="8">
        <f t="shared" si="77"/>
        <v>0.76185449743270972</v>
      </c>
    </row>
    <row r="1325" spans="1:25" x14ac:dyDescent="0.35">
      <c r="A1325" s="6" t="s">
        <v>25</v>
      </c>
      <c r="B1325" s="7" t="s">
        <v>1454</v>
      </c>
      <c r="D1325" s="6" t="s">
        <v>1455</v>
      </c>
      <c r="E1325" s="6">
        <v>3</v>
      </c>
      <c r="F1325" s="6">
        <v>37</v>
      </c>
      <c r="G1325" s="6" t="s">
        <v>28</v>
      </c>
      <c r="I1325" s="8">
        <v>83.999093333333306</v>
      </c>
      <c r="J1325" s="8">
        <v>15.6102103472222</v>
      </c>
      <c r="K1325" s="6" t="s">
        <v>29</v>
      </c>
      <c r="L1325" s="9">
        <v>43946</v>
      </c>
      <c r="N1325" s="6">
        <v>30</v>
      </c>
      <c r="O1325" s="6" t="s">
        <v>4265</v>
      </c>
      <c r="Q1325" s="10"/>
      <c r="R1325" s="10">
        <v>80</v>
      </c>
      <c r="S1325" s="10">
        <v>90</v>
      </c>
      <c r="T1325" s="10">
        <f t="shared" si="79"/>
        <v>85</v>
      </c>
      <c r="U1325" s="11"/>
      <c r="V1325" s="8">
        <v>-1.5132215619087219</v>
      </c>
      <c r="W1325" s="8">
        <v>-11.676964215278625</v>
      </c>
      <c r="X1325" s="8">
        <f t="shared" si="77"/>
        <v>0.42880827999115034</v>
      </c>
    </row>
    <row r="1326" spans="1:25" x14ac:dyDescent="0.35">
      <c r="A1326" s="6" t="s">
        <v>25</v>
      </c>
      <c r="B1326" s="7" t="s">
        <v>1456</v>
      </c>
      <c r="D1326" s="6" t="s">
        <v>1457</v>
      </c>
      <c r="E1326" s="6">
        <v>3</v>
      </c>
      <c r="F1326" s="6">
        <v>37</v>
      </c>
      <c r="G1326" s="6" t="s">
        <v>28</v>
      </c>
      <c r="I1326" s="8">
        <v>83.999093333333306</v>
      </c>
      <c r="J1326" s="8">
        <v>15.6102103472222</v>
      </c>
      <c r="K1326" s="6" t="s">
        <v>29</v>
      </c>
      <c r="L1326" s="9">
        <v>43946</v>
      </c>
      <c r="N1326" s="6">
        <v>30</v>
      </c>
      <c r="O1326" s="6" t="s">
        <v>4265</v>
      </c>
      <c r="Q1326" s="10"/>
      <c r="R1326" s="10">
        <v>90</v>
      </c>
      <c r="S1326" s="10">
        <v>100</v>
      </c>
      <c r="T1326" s="10">
        <f t="shared" si="79"/>
        <v>95</v>
      </c>
      <c r="U1326" s="11"/>
      <c r="V1326" s="8">
        <v>-1.6686695814132695</v>
      </c>
      <c r="W1326" s="8">
        <v>-12.759867585659027</v>
      </c>
      <c r="X1326" s="8">
        <f t="shared" si="77"/>
        <v>0.589489065647129</v>
      </c>
    </row>
    <row r="1327" spans="1:25" x14ac:dyDescent="0.35">
      <c r="A1327" s="6" t="s">
        <v>25</v>
      </c>
      <c r="B1327" s="7" t="s">
        <v>1458</v>
      </c>
      <c r="D1327" s="6" t="s">
        <v>1459</v>
      </c>
      <c r="E1327" s="6">
        <v>3</v>
      </c>
      <c r="F1327" s="6">
        <v>37</v>
      </c>
      <c r="G1327" s="6" t="s">
        <v>28</v>
      </c>
      <c r="I1327" s="8">
        <v>83.999093333333306</v>
      </c>
      <c r="J1327" s="8">
        <v>15.6102103472222</v>
      </c>
      <c r="K1327" s="6" t="s">
        <v>29</v>
      </c>
      <c r="L1327" s="9">
        <v>43946</v>
      </c>
      <c r="N1327" s="6">
        <v>30</v>
      </c>
      <c r="O1327" s="6" t="s">
        <v>4265</v>
      </c>
      <c r="Q1327" s="10"/>
      <c r="R1327" s="10">
        <v>100</v>
      </c>
      <c r="S1327" s="10">
        <v>110</v>
      </c>
      <c r="T1327" s="10">
        <f t="shared" si="79"/>
        <v>105</v>
      </c>
      <c r="U1327" s="11"/>
      <c r="V1327" s="8">
        <v>-2.957030296325684</v>
      </c>
      <c r="W1327" s="8">
        <v>-22.481003158569337</v>
      </c>
      <c r="X1327" s="8">
        <f t="shared" si="77"/>
        <v>1.1752392120361357</v>
      </c>
    </row>
    <row r="1328" spans="1:25" x14ac:dyDescent="0.35">
      <c r="A1328" s="6" t="s">
        <v>25</v>
      </c>
      <c r="B1328" s="7" t="s">
        <v>1460</v>
      </c>
      <c r="D1328" s="6" t="s">
        <v>1461</v>
      </c>
      <c r="E1328" s="6">
        <v>3</v>
      </c>
      <c r="F1328" s="6">
        <v>37</v>
      </c>
      <c r="G1328" s="6" t="s">
        <v>28</v>
      </c>
      <c r="I1328" s="8">
        <v>83.999093333333306</v>
      </c>
      <c r="J1328" s="8">
        <v>15.6102103472222</v>
      </c>
      <c r="K1328" s="6" t="s">
        <v>29</v>
      </c>
      <c r="L1328" s="9">
        <v>43946</v>
      </c>
      <c r="N1328" s="6">
        <v>30</v>
      </c>
      <c r="O1328" s="6" t="s">
        <v>4265</v>
      </c>
      <c r="Q1328" s="10"/>
      <c r="R1328" s="10">
        <v>110</v>
      </c>
      <c r="S1328" s="10">
        <v>120</v>
      </c>
      <c r="T1328" s="10">
        <f t="shared" si="79"/>
        <v>115</v>
      </c>
      <c r="U1328" s="11"/>
      <c r="V1328" s="8">
        <v>-3.3626241683959961</v>
      </c>
      <c r="W1328" s="8">
        <v>-25.581553714752197</v>
      </c>
      <c r="X1328" s="8">
        <f t="shared" si="77"/>
        <v>1.3194396324157722</v>
      </c>
    </row>
    <row r="1329" spans="1:24" x14ac:dyDescent="0.35">
      <c r="A1329" s="6" t="s">
        <v>25</v>
      </c>
      <c r="B1329" s="7" t="s">
        <v>1462</v>
      </c>
      <c r="D1329" s="6" t="s">
        <v>1463</v>
      </c>
      <c r="E1329" s="6">
        <v>3</v>
      </c>
      <c r="F1329" s="6">
        <v>37</v>
      </c>
      <c r="G1329" s="6" t="s">
        <v>28</v>
      </c>
      <c r="I1329" s="8">
        <v>83.999093333333306</v>
      </c>
      <c r="J1329" s="8">
        <v>15.6102103472222</v>
      </c>
      <c r="K1329" s="6" t="s">
        <v>29</v>
      </c>
      <c r="L1329" s="9">
        <v>43946</v>
      </c>
      <c r="N1329" s="6">
        <v>30</v>
      </c>
      <c r="O1329" s="6" t="s">
        <v>4265</v>
      </c>
      <c r="Q1329" s="10"/>
      <c r="R1329" s="10">
        <v>120</v>
      </c>
      <c r="S1329" s="10">
        <v>130</v>
      </c>
      <c r="T1329" s="10">
        <f t="shared" si="79"/>
        <v>125</v>
      </c>
      <c r="U1329" s="11"/>
      <c r="V1329" s="8">
        <v>-2.5512533187866211</v>
      </c>
      <c r="W1329" s="8">
        <v>-19.447901247024536</v>
      </c>
      <c r="X1329" s="8">
        <f t="shared" si="77"/>
        <v>0.96212530326843293</v>
      </c>
    </row>
    <row r="1330" spans="1:24" x14ac:dyDescent="0.35">
      <c r="A1330" s="6" t="s">
        <v>25</v>
      </c>
      <c r="B1330" s="7" t="s">
        <v>1464</v>
      </c>
      <c r="D1330" s="6" t="s">
        <v>1465</v>
      </c>
      <c r="E1330" s="6">
        <v>3</v>
      </c>
      <c r="F1330" s="6">
        <v>37</v>
      </c>
      <c r="G1330" s="6" t="s">
        <v>28</v>
      </c>
      <c r="I1330" s="8">
        <v>83.999093333333306</v>
      </c>
      <c r="J1330" s="8">
        <v>15.6102103472222</v>
      </c>
      <c r="K1330" s="6" t="s">
        <v>29</v>
      </c>
      <c r="L1330" s="9">
        <v>43946</v>
      </c>
      <c r="N1330" s="6">
        <v>30</v>
      </c>
      <c r="O1330" s="6" t="s">
        <v>4265</v>
      </c>
      <c r="Q1330" s="10"/>
      <c r="R1330" s="10">
        <v>130</v>
      </c>
      <c r="S1330" s="10">
        <v>140</v>
      </c>
      <c r="T1330" s="10">
        <f t="shared" si="79"/>
        <v>135</v>
      </c>
      <c r="U1330" s="11"/>
      <c r="V1330" s="8">
        <v>-2.4479882717132568</v>
      </c>
      <c r="W1330" s="8">
        <v>-18.530100267410276</v>
      </c>
      <c r="X1330" s="8">
        <f t="shared" si="77"/>
        <v>1.0538059062957785</v>
      </c>
    </row>
    <row r="1331" spans="1:24" x14ac:dyDescent="0.35">
      <c r="A1331" s="6" t="s">
        <v>25</v>
      </c>
      <c r="B1331" s="7" t="s">
        <v>1466</v>
      </c>
      <c r="D1331" s="6" t="s">
        <v>1467</v>
      </c>
      <c r="E1331" s="6">
        <v>3</v>
      </c>
      <c r="F1331" s="6">
        <v>37</v>
      </c>
      <c r="G1331" s="6" t="s">
        <v>28</v>
      </c>
      <c r="I1331" s="8">
        <v>83.999093333333306</v>
      </c>
      <c r="J1331" s="8">
        <v>15.6102103472222</v>
      </c>
      <c r="K1331" s="6" t="s">
        <v>29</v>
      </c>
      <c r="L1331" s="9">
        <v>43946</v>
      </c>
      <c r="N1331" s="6">
        <v>30</v>
      </c>
      <c r="O1331" s="6" t="s">
        <v>4265</v>
      </c>
      <c r="Q1331" s="10"/>
      <c r="R1331" s="10">
        <v>140</v>
      </c>
      <c r="S1331" s="10">
        <v>150</v>
      </c>
      <c r="T1331" s="10">
        <f t="shared" si="79"/>
        <v>145</v>
      </c>
      <c r="U1331" s="11"/>
      <c r="V1331" s="8">
        <v>-1.3956776857376101</v>
      </c>
      <c r="W1331" s="8">
        <v>-10.71567677116394</v>
      </c>
      <c r="X1331" s="8">
        <f t="shared" si="77"/>
        <v>0.44974471473694067</v>
      </c>
    </row>
    <row r="1332" spans="1:24" x14ac:dyDescent="0.35">
      <c r="A1332" s="6" t="s">
        <v>25</v>
      </c>
      <c r="B1332" s="7" t="s">
        <v>1468</v>
      </c>
      <c r="D1332" s="6" t="s">
        <v>1469</v>
      </c>
      <c r="E1332" s="6">
        <v>3</v>
      </c>
      <c r="F1332" s="6">
        <v>37</v>
      </c>
      <c r="G1332" s="6" t="s">
        <v>28</v>
      </c>
      <c r="I1332" s="8">
        <v>83.999093333333306</v>
      </c>
      <c r="J1332" s="8">
        <v>15.6102103472222</v>
      </c>
      <c r="K1332" s="6" t="s">
        <v>29</v>
      </c>
      <c r="L1332" s="9">
        <v>43946</v>
      </c>
      <c r="N1332" s="6">
        <v>30</v>
      </c>
      <c r="O1332" s="6" t="s">
        <v>4265</v>
      </c>
      <c r="Q1332" s="10"/>
      <c r="R1332" s="10">
        <v>150</v>
      </c>
      <c r="S1332" s="10">
        <v>160</v>
      </c>
      <c r="T1332" s="10">
        <f t="shared" si="79"/>
        <v>155</v>
      </c>
      <c r="U1332" s="11"/>
      <c r="V1332" s="8">
        <v>-4.1300438344479003E-2</v>
      </c>
      <c r="W1332" s="8">
        <v>0.59754814827442193</v>
      </c>
      <c r="X1332" s="8">
        <f t="shared" si="77"/>
        <v>0.92795165503025401</v>
      </c>
    </row>
    <row r="1333" spans="1:24" x14ac:dyDescent="0.35">
      <c r="A1333" s="6" t="s">
        <v>25</v>
      </c>
      <c r="B1333" s="7" t="s">
        <v>1470</v>
      </c>
      <c r="D1333" s="6" t="s">
        <v>1471</v>
      </c>
      <c r="E1333" s="6">
        <v>3</v>
      </c>
      <c r="F1333" s="6">
        <v>37</v>
      </c>
      <c r="G1333" s="6" t="s">
        <v>28</v>
      </c>
      <c r="I1333" s="8">
        <v>83.999093333333306</v>
      </c>
      <c r="J1333" s="8">
        <v>15.6102103472222</v>
      </c>
      <c r="K1333" s="6" t="s">
        <v>29</v>
      </c>
      <c r="L1333" s="9">
        <v>43946</v>
      </c>
      <c r="N1333" s="6">
        <v>30</v>
      </c>
      <c r="O1333" s="6" t="s">
        <v>4265</v>
      </c>
      <c r="Q1333" s="10"/>
      <c r="R1333" s="10">
        <v>160</v>
      </c>
      <c r="S1333" s="10">
        <v>170</v>
      </c>
      <c r="T1333" s="10">
        <f t="shared" si="79"/>
        <v>165</v>
      </c>
      <c r="U1333" s="11"/>
      <c r="V1333" s="8">
        <v>2.6928305625915999E-2</v>
      </c>
      <c r="W1333" s="8">
        <v>1.1637408062219621</v>
      </c>
      <c r="X1333" s="8">
        <f t="shared" si="77"/>
        <v>0.94831436121463408</v>
      </c>
    </row>
    <row r="1334" spans="1:24" x14ac:dyDescent="0.35">
      <c r="A1334" s="6" t="s">
        <v>25</v>
      </c>
      <c r="B1334" s="7" t="s">
        <v>1472</v>
      </c>
      <c r="D1334" s="6" t="s">
        <v>1473</v>
      </c>
      <c r="E1334" s="6">
        <v>3</v>
      </c>
      <c r="F1334" s="6">
        <v>37</v>
      </c>
      <c r="G1334" s="6" t="s">
        <v>28</v>
      </c>
      <c r="I1334" s="8">
        <v>83.999093333333306</v>
      </c>
      <c r="J1334" s="8">
        <v>15.6102103472222</v>
      </c>
      <c r="K1334" s="6" t="s">
        <v>29</v>
      </c>
      <c r="L1334" s="9">
        <v>43946</v>
      </c>
      <c r="N1334" s="6">
        <v>30</v>
      </c>
      <c r="O1334" s="6" t="s">
        <v>4265</v>
      </c>
      <c r="Q1334" s="10"/>
      <c r="R1334" s="10">
        <v>170</v>
      </c>
      <c r="S1334" s="10">
        <v>180</v>
      </c>
      <c r="T1334" s="10">
        <f t="shared" si="79"/>
        <v>175</v>
      </c>
      <c r="U1334" s="11"/>
      <c r="V1334" s="8">
        <v>0.20203226804733301</v>
      </c>
      <c r="W1334" s="8">
        <v>2.355664878129959</v>
      </c>
      <c r="X1334" s="8">
        <f t="shared" si="77"/>
        <v>0.73940673375129484</v>
      </c>
    </row>
    <row r="1335" spans="1:24" x14ac:dyDescent="0.35">
      <c r="A1335" s="6" t="s">
        <v>25</v>
      </c>
      <c r="B1335" s="7" t="s">
        <v>1474</v>
      </c>
      <c r="D1335" s="6" t="s">
        <v>1475</v>
      </c>
      <c r="E1335" s="6">
        <v>3</v>
      </c>
      <c r="F1335" s="6">
        <v>37</v>
      </c>
      <c r="G1335" s="6" t="s">
        <v>28</v>
      </c>
      <c r="I1335" s="8">
        <v>83.999093333333306</v>
      </c>
      <c r="J1335" s="8">
        <v>15.6102103472222</v>
      </c>
      <c r="K1335" s="6" t="s">
        <v>29</v>
      </c>
      <c r="L1335" s="9">
        <v>43946</v>
      </c>
      <c r="N1335" s="6">
        <v>30</v>
      </c>
      <c r="O1335" s="6" t="s">
        <v>4265</v>
      </c>
      <c r="Q1335" s="10"/>
      <c r="R1335" s="10">
        <v>180</v>
      </c>
      <c r="S1335" s="10">
        <v>193</v>
      </c>
      <c r="T1335" s="10">
        <f t="shared" si="79"/>
        <v>186.5</v>
      </c>
      <c r="U1335" s="11"/>
      <c r="V1335" s="8">
        <v>-0.31285810470581099</v>
      </c>
      <c r="W1335" s="8">
        <v>-2.0449121832847599</v>
      </c>
      <c r="X1335" s="8">
        <f t="shared" si="77"/>
        <v>0.45795265436172805</v>
      </c>
    </row>
    <row r="1336" spans="1:24" x14ac:dyDescent="0.35">
      <c r="A1336" s="6" t="s">
        <v>25</v>
      </c>
      <c r="B1336" s="7" t="s">
        <v>1476</v>
      </c>
      <c r="D1336" s="6" t="s">
        <v>1477</v>
      </c>
      <c r="E1336" s="6">
        <v>3</v>
      </c>
      <c r="F1336" s="6">
        <v>37</v>
      </c>
      <c r="G1336" s="6" t="s">
        <v>28</v>
      </c>
      <c r="I1336" s="8">
        <v>83.999093333333306</v>
      </c>
      <c r="J1336" s="8">
        <v>15.6102103472222</v>
      </c>
      <c r="K1336" s="6" t="s">
        <v>29</v>
      </c>
      <c r="L1336" s="9">
        <v>43946</v>
      </c>
      <c r="N1336" s="6">
        <v>30</v>
      </c>
      <c r="O1336" s="6" t="s">
        <v>4265</v>
      </c>
      <c r="Q1336" s="10"/>
      <c r="R1336" s="10">
        <v>190</v>
      </c>
      <c r="S1336" s="10">
        <v>200</v>
      </c>
      <c r="T1336" s="10">
        <f t="shared" si="79"/>
        <v>195</v>
      </c>
      <c r="U1336" s="11"/>
      <c r="V1336" s="8">
        <v>0.58217525482177701</v>
      </c>
      <c r="W1336" s="8">
        <v>4.3550744175910951</v>
      </c>
      <c r="X1336" s="8">
        <f t="shared" si="77"/>
        <v>-0.30232762098312094</v>
      </c>
    </row>
    <row r="1337" spans="1:24" x14ac:dyDescent="0.35">
      <c r="A1337" s="6" t="s">
        <v>25</v>
      </c>
      <c r="B1337" s="7" t="s">
        <v>1478</v>
      </c>
      <c r="D1337" s="6" t="s">
        <v>1479</v>
      </c>
      <c r="E1337" s="6">
        <v>3</v>
      </c>
      <c r="F1337" s="6">
        <v>37</v>
      </c>
      <c r="G1337" s="6" t="s">
        <v>28</v>
      </c>
      <c r="I1337" s="8">
        <v>83.999093333333306</v>
      </c>
      <c r="J1337" s="8">
        <v>15.6102103472222</v>
      </c>
      <c r="K1337" s="6" t="s">
        <v>29</v>
      </c>
      <c r="L1337" s="9">
        <v>43946</v>
      </c>
      <c r="N1337" s="6">
        <v>30</v>
      </c>
      <c r="O1337" s="6" t="s">
        <v>4265</v>
      </c>
      <c r="Q1337" s="10"/>
      <c r="R1337" s="10">
        <v>200</v>
      </c>
      <c r="S1337" s="10">
        <v>212</v>
      </c>
      <c r="T1337" s="10">
        <f t="shared" si="79"/>
        <v>206</v>
      </c>
      <c r="U1337" s="11"/>
      <c r="V1337" s="8">
        <v>1.394900918006897</v>
      </c>
      <c r="W1337" s="8">
        <v>11.03687138557434</v>
      </c>
      <c r="X1337" s="8">
        <f t="shared" si="77"/>
        <v>-0.12233595848083567</v>
      </c>
    </row>
    <row r="1338" spans="1:24" x14ac:dyDescent="0.35">
      <c r="A1338" s="6" t="s">
        <v>25</v>
      </c>
      <c r="B1338" s="7" t="s">
        <v>1480</v>
      </c>
      <c r="D1338" s="6" t="s">
        <v>1481</v>
      </c>
      <c r="E1338" s="6">
        <v>3</v>
      </c>
      <c r="F1338" s="6">
        <v>37</v>
      </c>
      <c r="G1338" s="6" t="s">
        <v>28</v>
      </c>
      <c r="I1338" s="8">
        <v>83.999093333333306</v>
      </c>
      <c r="J1338" s="8">
        <v>15.6102103472222</v>
      </c>
      <c r="K1338" s="6" t="s">
        <v>29</v>
      </c>
      <c r="L1338" s="9">
        <v>43946</v>
      </c>
      <c r="N1338" s="6">
        <v>30</v>
      </c>
      <c r="O1338" s="6" t="s">
        <v>4265</v>
      </c>
      <c r="Q1338" s="10"/>
      <c r="R1338" s="10">
        <v>0</v>
      </c>
      <c r="S1338" s="10">
        <v>5</v>
      </c>
      <c r="T1338" s="10">
        <f t="shared" si="79"/>
        <v>2.5</v>
      </c>
      <c r="U1338" s="11"/>
      <c r="V1338" s="8">
        <v>-8.6111202239990234</v>
      </c>
      <c r="W1338" s="8">
        <v>-67.636764335632321</v>
      </c>
      <c r="X1338" s="8">
        <f t="shared" si="77"/>
        <v>1.2521974563598661</v>
      </c>
    </row>
    <row r="1339" spans="1:24" x14ac:dyDescent="0.35">
      <c r="A1339" s="6" t="s">
        <v>25</v>
      </c>
      <c r="B1339" s="7" t="s">
        <v>1482</v>
      </c>
      <c r="D1339" s="6" t="s">
        <v>1483</v>
      </c>
      <c r="E1339" s="6">
        <v>3</v>
      </c>
      <c r="F1339" s="6">
        <v>37</v>
      </c>
      <c r="G1339" s="6" t="s">
        <v>28</v>
      </c>
      <c r="I1339" s="8">
        <v>83.999093333333306</v>
      </c>
      <c r="J1339" s="8">
        <v>15.6102103472222</v>
      </c>
      <c r="K1339" s="6" t="s">
        <v>29</v>
      </c>
      <c r="L1339" s="9">
        <v>43946</v>
      </c>
      <c r="N1339" s="6">
        <v>30</v>
      </c>
      <c r="O1339" s="6" t="s">
        <v>4265</v>
      </c>
      <c r="Q1339" s="10"/>
      <c r="R1339" s="10">
        <v>5</v>
      </c>
      <c r="S1339" s="10">
        <v>10</v>
      </c>
      <c r="T1339" s="10">
        <f t="shared" si="79"/>
        <v>7.5</v>
      </c>
      <c r="U1339" s="11"/>
      <c r="V1339" s="8">
        <v>-3.2278001308441162</v>
      </c>
      <c r="W1339" s="8">
        <v>-24.891163015365599</v>
      </c>
      <c r="X1339" s="8">
        <f t="shared" si="77"/>
        <v>0.93123803138733052</v>
      </c>
    </row>
    <row r="1340" spans="1:24" x14ac:dyDescent="0.35">
      <c r="A1340" s="6" t="s">
        <v>25</v>
      </c>
      <c r="B1340" s="7" t="s">
        <v>1484</v>
      </c>
      <c r="D1340" s="6" t="s">
        <v>1485</v>
      </c>
      <c r="E1340" s="6">
        <v>3</v>
      </c>
      <c r="F1340" s="6">
        <v>37</v>
      </c>
      <c r="G1340" s="6" t="s">
        <v>28</v>
      </c>
      <c r="I1340" s="8">
        <v>83.999093333333306</v>
      </c>
      <c r="J1340" s="8">
        <v>15.6102103472222</v>
      </c>
      <c r="K1340" s="6" t="s">
        <v>29</v>
      </c>
      <c r="L1340" s="9">
        <v>43946</v>
      </c>
      <c r="N1340" s="6">
        <v>30</v>
      </c>
      <c r="O1340" s="6" t="s">
        <v>4265</v>
      </c>
      <c r="Q1340" s="10"/>
      <c r="R1340" s="10">
        <v>10</v>
      </c>
      <c r="S1340" s="10">
        <v>20</v>
      </c>
      <c r="T1340" s="10">
        <f t="shared" si="79"/>
        <v>15</v>
      </c>
      <c r="U1340" s="11"/>
      <c r="V1340" s="8">
        <v>-2.6782417297363281</v>
      </c>
      <c r="W1340" s="8">
        <v>-20.21283745765686</v>
      </c>
      <c r="X1340" s="8">
        <f t="shared" si="77"/>
        <v>1.2130963802337646</v>
      </c>
    </row>
    <row r="1341" spans="1:24" x14ac:dyDescent="0.35">
      <c r="A1341" s="6" t="s">
        <v>25</v>
      </c>
      <c r="B1341" s="7" t="s">
        <v>1486</v>
      </c>
      <c r="D1341" s="6" t="s">
        <v>1487</v>
      </c>
      <c r="E1341" s="6">
        <v>3</v>
      </c>
      <c r="F1341" s="6">
        <v>37</v>
      </c>
      <c r="G1341" s="6" t="s">
        <v>28</v>
      </c>
      <c r="I1341" s="8">
        <v>83.999093333333306</v>
      </c>
      <c r="J1341" s="8">
        <v>15.6102103472222</v>
      </c>
      <c r="K1341" s="6" t="s">
        <v>29</v>
      </c>
      <c r="L1341" s="9">
        <v>43946</v>
      </c>
      <c r="N1341" s="6">
        <v>30</v>
      </c>
      <c r="O1341" s="6" t="s">
        <v>4265</v>
      </c>
      <c r="Q1341" s="10"/>
      <c r="R1341" s="10">
        <v>20</v>
      </c>
      <c r="S1341" s="10">
        <v>30</v>
      </c>
      <c r="T1341" s="10">
        <f t="shared" si="79"/>
        <v>25</v>
      </c>
      <c r="U1341" s="11"/>
      <c r="V1341" s="8">
        <v>-1.9667680263519289</v>
      </c>
      <c r="W1341" s="8">
        <v>-15.457634282112121</v>
      </c>
      <c r="X1341" s="8">
        <f t="shared" si="77"/>
        <v>0.27650992870331059</v>
      </c>
    </row>
    <row r="1342" spans="1:24" x14ac:dyDescent="0.35">
      <c r="A1342" s="6" t="s">
        <v>25</v>
      </c>
      <c r="B1342" s="7" t="s">
        <v>1488</v>
      </c>
      <c r="D1342" s="6" t="s">
        <v>1489</v>
      </c>
      <c r="E1342" s="6">
        <v>3</v>
      </c>
      <c r="F1342" s="6">
        <v>37</v>
      </c>
      <c r="G1342" s="6" t="s">
        <v>28</v>
      </c>
      <c r="I1342" s="8">
        <v>83.999093333333306</v>
      </c>
      <c r="J1342" s="8">
        <v>15.6102103472222</v>
      </c>
      <c r="K1342" s="6" t="s">
        <v>29</v>
      </c>
      <c r="L1342" s="9">
        <v>43946</v>
      </c>
      <c r="N1342" s="6">
        <v>30</v>
      </c>
      <c r="O1342" s="6" t="s">
        <v>4265</v>
      </c>
      <c r="Q1342" s="10"/>
      <c r="R1342" s="10">
        <v>30</v>
      </c>
      <c r="S1342" s="10">
        <v>40</v>
      </c>
      <c r="T1342" s="10">
        <f t="shared" si="79"/>
        <v>35</v>
      </c>
      <c r="U1342" s="11"/>
      <c r="V1342" s="8">
        <v>0.79888027906417902</v>
      </c>
      <c r="W1342" s="8">
        <v>7.3933312654495236</v>
      </c>
      <c r="X1342" s="8">
        <f t="shared" si="77"/>
        <v>1.0022890329360914</v>
      </c>
    </row>
    <row r="1343" spans="1:24" x14ac:dyDescent="0.35">
      <c r="A1343" s="6" t="s">
        <v>25</v>
      </c>
      <c r="B1343" s="7" t="s">
        <v>1490</v>
      </c>
      <c r="D1343" s="6" t="s">
        <v>1491</v>
      </c>
      <c r="E1343" s="6">
        <v>3</v>
      </c>
      <c r="F1343" s="6">
        <v>37</v>
      </c>
      <c r="G1343" s="6" t="s">
        <v>28</v>
      </c>
      <c r="I1343" s="8">
        <v>83.999093333333306</v>
      </c>
      <c r="J1343" s="8">
        <v>15.6102103472222</v>
      </c>
      <c r="K1343" s="6" t="s">
        <v>29</v>
      </c>
      <c r="L1343" s="9">
        <v>43946</v>
      </c>
      <c r="N1343" s="6">
        <v>30</v>
      </c>
      <c r="O1343" s="6" t="s">
        <v>4265</v>
      </c>
      <c r="Q1343" s="10"/>
      <c r="R1343" s="10">
        <v>40</v>
      </c>
      <c r="S1343" s="10">
        <v>50</v>
      </c>
      <c r="T1343" s="10">
        <f t="shared" si="79"/>
        <v>45</v>
      </c>
      <c r="U1343" s="11"/>
      <c r="V1343" s="8">
        <v>0.9598474669933319</v>
      </c>
      <c r="W1343" s="8">
        <v>8.3936338806152335</v>
      </c>
      <c r="X1343" s="8">
        <f t="shared" si="77"/>
        <v>0.71485414466857833</v>
      </c>
    </row>
    <row r="1344" spans="1:24" x14ac:dyDescent="0.35">
      <c r="A1344" s="6" t="s">
        <v>25</v>
      </c>
      <c r="B1344" s="7" t="s">
        <v>1492</v>
      </c>
      <c r="D1344" s="6" t="s">
        <v>1493</v>
      </c>
      <c r="E1344" s="6">
        <v>3</v>
      </c>
      <c r="F1344" s="6">
        <v>37</v>
      </c>
      <c r="G1344" s="6" t="s">
        <v>28</v>
      </c>
      <c r="I1344" s="8">
        <v>83.999093333333306</v>
      </c>
      <c r="J1344" s="8">
        <v>15.6102103472222</v>
      </c>
      <c r="K1344" s="6" t="s">
        <v>29</v>
      </c>
      <c r="L1344" s="9">
        <v>43946</v>
      </c>
      <c r="N1344" s="6">
        <v>30</v>
      </c>
      <c r="O1344" s="6" t="s">
        <v>4265</v>
      </c>
      <c r="Q1344" s="10"/>
      <c r="R1344" s="10">
        <v>50</v>
      </c>
      <c r="S1344" s="10">
        <v>60</v>
      </c>
      <c r="T1344" s="10">
        <f t="shared" si="79"/>
        <v>55</v>
      </c>
      <c r="U1344" s="11"/>
      <c r="V1344" s="8">
        <v>1.0195213820219038</v>
      </c>
      <c r="W1344" s="8">
        <v>8.5932837181091308</v>
      </c>
      <c r="X1344" s="8">
        <f t="shared" si="77"/>
        <v>0.43711266193390053</v>
      </c>
    </row>
    <row r="1345" spans="1:25" s="12" customFormat="1" x14ac:dyDescent="0.35">
      <c r="A1345" s="6" t="s">
        <v>25</v>
      </c>
      <c r="B1345" s="7" t="s">
        <v>1494</v>
      </c>
      <c r="C1345" s="6"/>
      <c r="D1345" s="6" t="s">
        <v>1495</v>
      </c>
      <c r="E1345" s="6">
        <v>3</v>
      </c>
      <c r="F1345" s="6">
        <v>37</v>
      </c>
      <c r="G1345" s="6" t="s">
        <v>28</v>
      </c>
      <c r="H1345" s="6"/>
      <c r="I1345" s="8">
        <v>83.999093333333306</v>
      </c>
      <c r="J1345" s="8">
        <v>15.6102103472222</v>
      </c>
      <c r="K1345" s="6" t="s">
        <v>29</v>
      </c>
      <c r="L1345" s="9">
        <v>43946</v>
      </c>
      <c r="M1345" s="6"/>
      <c r="N1345" s="6">
        <v>30</v>
      </c>
      <c r="O1345" s="6" t="s">
        <v>4265</v>
      </c>
      <c r="P1345" s="6"/>
      <c r="Q1345" s="10"/>
      <c r="R1345" s="10">
        <v>60</v>
      </c>
      <c r="S1345" s="10">
        <v>70</v>
      </c>
      <c r="T1345" s="10">
        <f t="shared" si="79"/>
        <v>65</v>
      </c>
      <c r="U1345" s="11"/>
      <c r="V1345" s="8">
        <v>0.65030012287497507</v>
      </c>
      <c r="W1345" s="8">
        <v>5.5641522407531738</v>
      </c>
      <c r="X1345" s="8">
        <f t="shared" si="77"/>
        <v>0.36175125775337325</v>
      </c>
      <c r="Y1345" s="6"/>
    </row>
    <row r="1346" spans="1:25" x14ac:dyDescent="0.35">
      <c r="A1346" s="6" t="s">
        <v>25</v>
      </c>
      <c r="B1346" s="7" t="s">
        <v>1496</v>
      </c>
      <c r="D1346" s="6" t="s">
        <v>1497</v>
      </c>
      <c r="E1346" s="6">
        <v>3</v>
      </c>
      <c r="F1346" s="6">
        <v>37</v>
      </c>
      <c r="G1346" s="6" t="s">
        <v>28</v>
      </c>
      <c r="I1346" s="8">
        <v>83.999093333333306</v>
      </c>
      <c r="J1346" s="8">
        <v>15.6102103472222</v>
      </c>
      <c r="K1346" s="6" t="s">
        <v>29</v>
      </c>
      <c r="L1346" s="9">
        <v>43946</v>
      </c>
      <c r="N1346" s="6">
        <v>30</v>
      </c>
      <c r="O1346" s="6" t="s">
        <v>4265</v>
      </c>
      <c r="Q1346" s="10"/>
      <c r="R1346" s="10">
        <v>70</v>
      </c>
      <c r="S1346" s="10">
        <v>80</v>
      </c>
      <c r="T1346" s="10">
        <f t="shared" si="79"/>
        <v>75</v>
      </c>
      <c r="U1346" s="11"/>
      <c r="V1346" s="8">
        <v>0.1991666360825301</v>
      </c>
      <c r="W1346" s="8">
        <v>1.1265232429504393</v>
      </c>
      <c r="X1346" s="8">
        <f t="shared" ref="X1346:X1409" si="80">W1346-(8*V1346)</f>
        <v>-0.46680984570980155</v>
      </c>
    </row>
    <row r="1347" spans="1:25" x14ac:dyDescent="0.35">
      <c r="A1347" s="6" t="s">
        <v>25</v>
      </c>
      <c r="B1347" s="7" t="s">
        <v>1498</v>
      </c>
      <c r="D1347" s="6" t="s">
        <v>1499</v>
      </c>
      <c r="E1347" s="6">
        <v>3</v>
      </c>
      <c r="F1347" s="6">
        <v>37</v>
      </c>
      <c r="G1347" s="6" t="s">
        <v>28</v>
      </c>
      <c r="I1347" s="8">
        <v>83.999093333333306</v>
      </c>
      <c r="J1347" s="8">
        <v>15.6102103472222</v>
      </c>
      <c r="K1347" s="6" t="s">
        <v>29</v>
      </c>
      <c r="L1347" s="9">
        <v>43946</v>
      </c>
      <c r="N1347" s="6">
        <v>30</v>
      </c>
      <c r="O1347" s="6" t="s">
        <v>4265</v>
      </c>
      <c r="Q1347" s="10"/>
      <c r="R1347" s="10">
        <v>80</v>
      </c>
      <c r="S1347" s="10">
        <v>90</v>
      </c>
      <c r="T1347" s="10">
        <f t="shared" si="79"/>
        <v>85</v>
      </c>
      <c r="U1347" s="11"/>
      <c r="V1347" s="8">
        <v>-1.6449254572390578E-3</v>
      </c>
      <c r="W1347" s="8">
        <v>-6.9191761493682613E-2</v>
      </c>
      <c r="X1347" s="8">
        <f t="shared" si="80"/>
        <v>-5.6032357835770152E-2</v>
      </c>
    </row>
    <row r="1348" spans="1:25" x14ac:dyDescent="0.35">
      <c r="A1348" s="6" t="s">
        <v>25</v>
      </c>
      <c r="B1348" s="7" t="s">
        <v>1500</v>
      </c>
      <c r="D1348" s="6" t="s">
        <v>1501</v>
      </c>
      <c r="E1348" s="6">
        <v>3</v>
      </c>
      <c r="F1348" s="6">
        <v>37</v>
      </c>
      <c r="G1348" s="6" t="s">
        <v>28</v>
      </c>
      <c r="I1348" s="8">
        <v>83.999093333333306</v>
      </c>
      <c r="J1348" s="8">
        <v>15.6102103472222</v>
      </c>
      <c r="K1348" s="6" t="s">
        <v>29</v>
      </c>
      <c r="L1348" s="9">
        <v>43946</v>
      </c>
      <c r="N1348" s="6">
        <v>30</v>
      </c>
      <c r="O1348" s="6" t="s">
        <v>4265</v>
      </c>
      <c r="Q1348" s="10"/>
      <c r="R1348" s="10">
        <v>90</v>
      </c>
      <c r="S1348" s="10">
        <v>100</v>
      </c>
      <c r="T1348" s="10">
        <f t="shared" si="79"/>
        <v>95</v>
      </c>
      <c r="U1348" s="11"/>
      <c r="V1348" s="8">
        <v>-0.2069132423520092</v>
      </c>
      <c r="W1348" s="8">
        <v>-1.092966424942017</v>
      </c>
      <c r="X1348" s="8">
        <f t="shared" si="80"/>
        <v>0.56233951387405656</v>
      </c>
    </row>
    <row r="1349" spans="1:25" x14ac:dyDescent="0.35">
      <c r="A1349" s="6" t="s">
        <v>25</v>
      </c>
      <c r="B1349" s="7" t="s">
        <v>1502</v>
      </c>
      <c r="D1349" s="6" t="s">
        <v>1503</v>
      </c>
      <c r="E1349" s="6">
        <v>3</v>
      </c>
      <c r="F1349" s="6">
        <v>37</v>
      </c>
      <c r="G1349" s="6" t="s">
        <v>28</v>
      </c>
      <c r="I1349" s="8">
        <v>83.999093333333306</v>
      </c>
      <c r="J1349" s="8">
        <v>15.6102103472222</v>
      </c>
      <c r="K1349" s="6" t="s">
        <v>29</v>
      </c>
      <c r="L1349" s="9">
        <v>43946</v>
      </c>
      <c r="N1349" s="6">
        <v>30</v>
      </c>
      <c r="O1349" s="6" t="s">
        <v>4265</v>
      </c>
      <c r="Q1349" s="10"/>
      <c r="R1349" s="10">
        <v>100</v>
      </c>
      <c r="S1349" s="10">
        <v>110</v>
      </c>
      <c r="T1349" s="10">
        <f t="shared" si="79"/>
        <v>105</v>
      </c>
      <c r="U1349" s="11"/>
      <c r="V1349" s="8">
        <v>-0.13538132309913598</v>
      </c>
      <c r="W1349" s="8">
        <v>4.8783130994439067E-2</v>
      </c>
      <c r="X1349" s="8">
        <f t="shared" si="80"/>
        <v>1.1318337157875269</v>
      </c>
    </row>
    <row r="1350" spans="1:25" x14ac:dyDescent="0.35">
      <c r="A1350" s="6" t="s">
        <v>25</v>
      </c>
      <c r="B1350" s="7" t="s">
        <v>1504</v>
      </c>
      <c r="D1350" s="6" t="s">
        <v>1505</v>
      </c>
      <c r="E1350" s="6">
        <v>3</v>
      </c>
      <c r="F1350" s="6">
        <v>37</v>
      </c>
      <c r="G1350" s="6" t="s">
        <v>28</v>
      </c>
      <c r="I1350" s="8">
        <v>83.999093333333306</v>
      </c>
      <c r="J1350" s="8">
        <v>15.6102103472222</v>
      </c>
      <c r="K1350" s="6" t="s">
        <v>29</v>
      </c>
      <c r="L1350" s="9">
        <v>43946</v>
      </c>
      <c r="N1350" s="6">
        <v>30</v>
      </c>
      <c r="O1350" s="6" t="s">
        <v>4265</v>
      </c>
      <c r="Q1350" s="10"/>
      <c r="R1350" s="10">
        <v>110</v>
      </c>
      <c r="S1350" s="10">
        <v>120</v>
      </c>
      <c r="T1350" s="10">
        <f t="shared" si="79"/>
        <v>115</v>
      </c>
      <c r="U1350" s="11"/>
      <c r="V1350" s="8">
        <v>-3.7630164545774801E-2</v>
      </c>
      <c r="W1350" s="8">
        <v>4.2719374895093436E-3</v>
      </c>
      <c r="X1350" s="8">
        <f t="shared" si="80"/>
        <v>0.30531325385570773</v>
      </c>
    </row>
    <row r="1351" spans="1:25" x14ac:dyDescent="0.35">
      <c r="A1351" s="6" t="s">
        <v>25</v>
      </c>
      <c r="B1351" s="7" t="s">
        <v>1506</v>
      </c>
      <c r="D1351" s="6" t="s">
        <v>1507</v>
      </c>
      <c r="E1351" s="6">
        <v>3</v>
      </c>
      <c r="F1351" s="6">
        <v>37</v>
      </c>
      <c r="G1351" s="6" t="s">
        <v>28</v>
      </c>
      <c r="I1351" s="8">
        <v>83.999093333333306</v>
      </c>
      <c r="J1351" s="8">
        <v>15.6102103472222</v>
      </c>
      <c r="K1351" s="6" t="s">
        <v>29</v>
      </c>
      <c r="L1351" s="9">
        <v>43946</v>
      </c>
      <c r="N1351" s="6">
        <v>30</v>
      </c>
      <c r="O1351" s="6" t="s">
        <v>4265</v>
      </c>
      <c r="Q1351" s="10"/>
      <c r="R1351" s="10">
        <v>120</v>
      </c>
      <c r="S1351" s="10">
        <v>130</v>
      </c>
      <c r="T1351" s="10">
        <f t="shared" si="79"/>
        <v>125</v>
      </c>
      <c r="U1351" s="11"/>
      <c r="V1351" s="8">
        <v>0.3163547935724258</v>
      </c>
      <c r="W1351" s="8">
        <v>2.4209882099628448</v>
      </c>
      <c r="X1351" s="8">
        <f t="shared" si="80"/>
        <v>-0.10985013861656157</v>
      </c>
    </row>
    <row r="1352" spans="1:25" x14ac:dyDescent="0.35">
      <c r="A1352" s="6" t="s">
        <v>25</v>
      </c>
      <c r="B1352" s="7" t="s">
        <v>1508</v>
      </c>
      <c r="D1352" s="6" t="s">
        <v>1509</v>
      </c>
      <c r="E1352" s="6">
        <v>3</v>
      </c>
      <c r="F1352" s="6">
        <v>37</v>
      </c>
      <c r="G1352" s="6" t="s">
        <v>28</v>
      </c>
      <c r="I1352" s="8">
        <v>83.999093333333306</v>
      </c>
      <c r="J1352" s="8">
        <v>15.6102103472222</v>
      </c>
      <c r="K1352" s="6" t="s">
        <v>29</v>
      </c>
      <c r="L1352" s="9">
        <v>43946</v>
      </c>
      <c r="N1352" s="6">
        <v>30</v>
      </c>
      <c r="O1352" s="6" t="s">
        <v>4265</v>
      </c>
      <c r="Q1352" s="10"/>
      <c r="R1352" s="10">
        <v>130</v>
      </c>
      <c r="S1352" s="10">
        <v>140</v>
      </c>
      <c r="T1352" s="10">
        <f t="shared" si="79"/>
        <v>135</v>
      </c>
      <c r="U1352" s="11"/>
      <c r="V1352" s="8">
        <v>0.58103231599330929</v>
      </c>
      <c r="W1352" s="8">
        <v>4.4593173389434817</v>
      </c>
      <c r="X1352" s="8">
        <f t="shared" si="80"/>
        <v>-0.18894118900299262</v>
      </c>
    </row>
    <row r="1353" spans="1:25" x14ac:dyDescent="0.35">
      <c r="A1353" s="6" t="s">
        <v>25</v>
      </c>
      <c r="B1353" s="7" t="s">
        <v>1510</v>
      </c>
      <c r="D1353" s="6" t="s">
        <v>1511</v>
      </c>
      <c r="E1353" s="6">
        <v>3</v>
      </c>
      <c r="F1353" s="6">
        <v>37</v>
      </c>
      <c r="G1353" s="6" t="s">
        <v>28</v>
      </c>
      <c r="I1353" s="8">
        <v>83.999093333333306</v>
      </c>
      <c r="J1353" s="8">
        <v>15.6102103472222</v>
      </c>
      <c r="K1353" s="6" t="s">
        <v>29</v>
      </c>
      <c r="L1353" s="9">
        <v>43946</v>
      </c>
      <c r="N1353" s="6">
        <v>30</v>
      </c>
      <c r="O1353" s="6" t="s">
        <v>4265</v>
      </c>
      <c r="Q1353" s="10"/>
      <c r="R1353" s="10">
        <v>140</v>
      </c>
      <c r="S1353" s="10">
        <v>156</v>
      </c>
      <c r="T1353" s="10">
        <f t="shared" si="79"/>
        <v>148</v>
      </c>
      <c r="U1353" s="11"/>
      <c r="V1353" s="8">
        <v>1.3856888459563255</v>
      </c>
      <c r="W1353" s="8">
        <v>11.498216110229492</v>
      </c>
      <c r="X1353" s="8">
        <f t="shared" si="80"/>
        <v>0.41270534257888869</v>
      </c>
    </row>
    <row r="1354" spans="1:25" x14ac:dyDescent="0.35">
      <c r="A1354" s="6" t="s">
        <v>25</v>
      </c>
      <c r="B1354" s="6" t="s">
        <v>3491</v>
      </c>
      <c r="D1354" s="6" t="s">
        <v>3793</v>
      </c>
      <c r="E1354" s="6">
        <v>3</v>
      </c>
      <c r="F1354" s="6">
        <v>37</v>
      </c>
      <c r="G1354" s="6" t="s">
        <v>4095</v>
      </c>
      <c r="I1354" s="8">
        <v>84.013007000000002</v>
      </c>
      <c r="J1354" s="8">
        <v>15.628247999999999</v>
      </c>
      <c r="K1354" s="6" t="s">
        <v>2610</v>
      </c>
      <c r="L1354" s="9">
        <v>43946</v>
      </c>
      <c r="N1354" s="6">
        <v>30</v>
      </c>
      <c r="O1354" s="6" t="s">
        <v>4265</v>
      </c>
      <c r="V1354" s="8">
        <v>-0.43453245197296164</v>
      </c>
      <c r="W1354" s="8">
        <v>-3.6958131152629852</v>
      </c>
      <c r="X1354" s="27">
        <f t="shared" si="80"/>
        <v>-0.21955349947929204</v>
      </c>
    </row>
    <row r="1355" spans="1:25" x14ac:dyDescent="0.35">
      <c r="A1355" s="6" t="s">
        <v>25</v>
      </c>
      <c r="B1355" s="6" t="s">
        <v>2893</v>
      </c>
      <c r="D1355" s="6" t="s">
        <v>3147</v>
      </c>
      <c r="E1355" s="6">
        <v>3</v>
      </c>
      <c r="F1355" s="6">
        <v>37</v>
      </c>
      <c r="G1355" s="6" t="s">
        <v>3257</v>
      </c>
      <c r="I1355" s="8">
        <v>84.013007000000002</v>
      </c>
      <c r="J1355" s="8">
        <v>15.628247999999999</v>
      </c>
      <c r="K1355" s="6" t="s">
        <v>198</v>
      </c>
      <c r="L1355" s="9">
        <v>43946</v>
      </c>
      <c r="M1355" s="18">
        <v>0.3756944444444445</v>
      </c>
      <c r="N1355" s="6">
        <v>30</v>
      </c>
      <c r="O1355" s="6" t="s">
        <v>4265</v>
      </c>
      <c r="R1355" s="6">
        <v>34</v>
      </c>
      <c r="S1355" s="6">
        <v>32</v>
      </c>
      <c r="V1355" s="8">
        <v>-14.645755964393615</v>
      </c>
      <c r="W1355" s="8">
        <v>-103.44837530822754</v>
      </c>
      <c r="X1355" s="8">
        <f t="shared" si="80"/>
        <v>13.71767240692138</v>
      </c>
    </row>
    <row r="1356" spans="1:25" x14ac:dyDescent="0.35">
      <c r="A1356" s="6" t="s">
        <v>25</v>
      </c>
      <c r="B1356" s="6" t="s">
        <v>2894</v>
      </c>
      <c r="D1356" s="6" t="s">
        <v>3147</v>
      </c>
      <c r="E1356" s="6">
        <v>3</v>
      </c>
      <c r="F1356" s="6">
        <v>37</v>
      </c>
      <c r="G1356" s="6" t="s">
        <v>3257</v>
      </c>
      <c r="I1356" s="8">
        <v>84.013007000000002</v>
      </c>
      <c r="J1356" s="8">
        <v>15.628247999999999</v>
      </c>
      <c r="K1356" s="6" t="s">
        <v>198</v>
      </c>
      <c r="L1356" s="9">
        <v>43946</v>
      </c>
      <c r="M1356" s="18">
        <v>0.3756944444444445</v>
      </c>
      <c r="N1356" s="6">
        <v>30</v>
      </c>
      <c r="O1356" s="6" t="s">
        <v>4265</v>
      </c>
      <c r="R1356" s="6">
        <v>20</v>
      </c>
      <c r="S1356" s="6">
        <v>17</v>
      </c>
      <c r="V1356" s="8">
        <v>-25.045370185012818</v>
      </c>
      <c r="W1356" s="8">
        <v>-185.87087880249024</v>
      </c>
      <c r="X1356" s="8">
        <f t="shared" si="80"/>
        <v>14.492082677612302</v>
      </c>
    </row>
    <row r="1357" spans="1:25" x14ac:dyDescent="0.35">
      <c r="A1357" s="6" t="s">
        <v>25</v>
      </c>
      <c r="B1357" s="7" t="s">
        <v>1512</v>
      </c>
      <c r="D1357" s="6" t="s">
        <v>1513</v>
      </c>
      <c r="E1357" s="6">
        <v>3</v>
      </c>
      <c r="F1357" s="6">
        <v>37</v>
      </c>
      <c r="G1357" s="6" t="s">
        <v>1514</v>
      </c>
      <c r="I1357" s="8">
        <v>83.929787500000003</v>
      </c>
      <c r="J1357" s="8">
        <v>15.517561875</v>
      </c>
      <c r="K1357" s="6" t="s">
        <v>390</v>
      </c>
      <c r="L1357" s="9">
        <v>43947</v>
      </c>
      <c r="N1357" s="6">
        <v>30</v>
      </c>
      <c r="O1357" s="6" t="s">
        <v>4247</v>
      </c>
      <c r="Q1357" s="10"/>
      <c r="R1357" s="10">
        <v>0</v>
      </c>
      <c r="S1357" s="10">
        <v>10</v>
      </c>
      <c r="T1357" s="10">
        <f>AVERAGE(R1357:S1357)</f>
        <v>5</v>
      </c>
      <c r="U1357" s="11"/>
      <c r="V1357" s="8">
        <v>-0.8624360991001131</v>
      </c>
      <c r="W1357" s="8">
        <v>-5.7449495091438303</v>
      </c>
      <c r="X1357" s="8">
        <f t="shared" si="80"/>
        <v>1.1545392836570745</v>
      </c>
    </row>
    <row r="1358" spans="1:25" x14ac:dyDescent="0.35">
      <c r="A1358" s="6" t="s">
        <v>25</v>
      </c>
      <c r="B1358" s="7" t="s">
        <v>1515</v>
      </c>
      <c r="D1358" s="6" t="s">
        <v>1516</v>
      </c>
      <c r="E1358" s="6">
        <v>3</v>
      </c>
      <c r="F1358" s="6">
        <v>37</v>
      </c>
      <c r="G1358" s="6" t="s">
        <v>1514</v>
      </c>
      <c r="I1358" s="8">
        <v>83.929787500000003</v>
      </c>
      <c r="J1358" s="8">
        <v>15.517561875</v>
      </c>
      <c r="K1358" s="6" t="s">
        <v>390</v>
      </c>
      <c r="L1358" s="9">
        <v>43947</v>
      </c>
      <c r="N1358" s="6">
        <v>30</v>
      </c>
      <c r="O1358" s="6" t="s">
        <v>4247</v>
      </c>
      <c r="Q1358" s="10"/>
      <c r="R1358" s="10">
        <v>10</v>
      </c>
      <c r="S1358" s="10">
        <v>20</v>
      </c>
      <c r="T1358" s="10">
        <f>AVERAGE(R1358:S1358)</f>
        <v>15</v>
      </c>
      <c r="U1358" s="11"/>
      <c r="V1358" s="8">
        <v>0.29860308034420063</v>
      </c>
      <c r="W1358" s="8">
        <v>3.1562974240779882</v>
      </c>
      <c r="X1358" s="8">
        <f t="shared" si="80"/>
        <v>0.76747278132438312</v>
      </c>
    </row>
    <row r="1359" spans="1:25" x14ac:dyDescent="0.35">
      <c r="A1359" s="6" t="s">
        <v>25</v>
      </c>
      <c r="B1359" s="7" t="s">
        <v>1517</v>
      </c>
      <c r="D1359" s="6" t="s">
        <v>1518</v>
      </c>
      <c r="E1359" s="6">
        <v>3</v>
      </c>
      <c r="F1359" s="6">
        <v>37</v>
      </c>
      <c r="G1359" s="6" t="s">
        <v>1514</v>
      </c>
      <c r="I1359" s="8">
        <v>83.929787500000003</v>
      </c>
      <c r="J1359" s="8">
        <v>15.517561875</v>
      </c>
      <c r="K1359" s="6" t="s">
        <v>390</v>
      </c>
      <c r="L1359" s="9">
        <v>43947</v>
      </c>
      <c r="N1359" s="6">
        <v>30</v>
      </c>
      <c r="O1359" s="6" t="s">
        <v>4247</v>
      </c>
      <c r="Q1359" s="10"/>
      <c r="R1359" s="10">
        <v>20</v>
      </c>
      <c r="S1359" s="10">
        <v>30</v>
      </c>
      <c r="T1359" s="10">
        <f>AVERAGE(R1359:S1359)</f>
        <v>25</v>
      </c>
      <c r="U1359" s="11"/>
      <c r="V1359" s="8">
        <v>0.80663187999725339</v>
      </c>
      <c r="W1359" s="8">
        <v>7.7363819117546102</v>
      </c>
      <c r="X1359" s="8">
        <f t="shared" si="80"/>
        <v>1.2833268717765831</v>
      </c>
    </row>
    <row r="1360" spans="1:25" x14ac:dyDescent="0.35">
      <c r="A1360" s="6" t="s">
        <v>25</v>
      </c>
      <c r="B1360" s="7" t="s">
        <v>1519</v>
      </c>
      <c r="D1360" s="6" t="s">
        <v>1520</v>
      </c>
      <c r="E1360" s="6">
        <v>3</v>
      </c>
      <c r="F1360" s="6">
        <v>37</v>
      </c>
      <c r="G1360" s="6" t="s">
        <v>1514</v>
      </c>
      <c r="I1360" s="8">
        <v>83.929787500000003</v>
      </c>
      <c r="J1360" s="8">
        <v>15.517561875</v>
      </c>
      <c r="K1360" s="6" t="s">
        <v>390</v>
      </c>
      <c r="L1360" s="9">
        <v>43947</v>
      </c>
      <c r="N1360" s="6">
        <v>30</v>
      </c>
      <c r="O1360" s="6" t="s">
        <v>4247</v>
      </c>
      <c r="Q1360" s="10"/>
      <c r="R1360" s="10">
        <v>30</v>
      </c>
      <c r="S1360" s="10">
        <v>40</v>
      </c>
      <c r="T1360" s="10">
        <f>AVERAGE(R1360:S1360)</f>
        <v>35</v>
      </c>
      <c r="U1360" s="11"/>
      <c r="V1360" s="8">
        <v>1.1639248897552492</v>
      </c>
      <c r="W1360" s="8">
        <v>10.218147643089294</v>
      </c>
      <c r="X1360" s="8">
        <f t="shared" si="80"/>
        <v>0.90674852504730019</v>
      </c>
    </row>
    <row r="1361" spans="1:25" x14ac:dyDescent="0.35">
      <c r="A1361" s="6" t="s">
        <v>25</v>
      </c>
      <c r="B1361" s="7" t="s">
        <v>1521</v>
      </c>
      <c r="D1361" s="6" t="s">
        <v>1522</v>
      </c>
      <c r="E1361" s="6">
        <v>3</v>
      </c>
      <c r="F1361" s="6">
        <v>37</v>
      </c>
      <c r="G1361" s="6" t="s">
        <v>1514</v>
      </c>
      <c r="I1361" s="8">
        <v>83.929787500000003</v>
      </c>
      <c r="J1361" s="8">
        <v>15.517561875</v>
      </c>
      <c r="K1361" s="6" t="s">
        <v>390</v>
      </c>
      <c r="L1361" s="9">
        <v>43947</v>
      </c>
      <c r="N1361" s="6">
        <v>30</v>
      </c>
      <c r="O1361" s="6" t="s">
        <v>4247</v>
      </c>
      <c r="Q1361" s="10"/>
      <c r="R1361" s="10"/>
      <c r="S1361" s="10"/>
      <c r="T1361" s="10"/>
      <c r="U1361" s="11"/>
      <c r="V1361" s="8">
        <v>1.3443462122678755</v>
      </c>
      <c r="W1361" s="8">
        <v>11.253634528541564</v>
      </c>
      <c r="X1361" s="8">
        <f t="shared" si="80"/>
        <v>0.49886483039855989</v>
      </c>
    </row>
    <row r="1362" spans="1:25" x14ac:dyDescent="0.35">
      <c r="A1362" s="6" t="s">
        <v>25</v>
      </c>
      <c r="B1362" s="7" t="s">
        <v>1523</v>
      </c>
      <c r="D1362" s="6" t="s">
        <v>1522</v>
      </c>
      <c r="E1362" s="6">
        <v>3</v>
      </c>
      <c r="F1362" s="6">
        <v>37</v>
      </c>
      <c r="G1362" s="6" t="s">
        <v>1514</v>
      </c>
      <c r="I1362" s="8">
        <v>83.929787500000003</v>
      </c>
      <c r="J1362" s="8">
        <v>15.517561875</v>
      </c>
      <c r="K1362" s="6" t="s">
        <v>390</v>
      </c>
      <c r="L1362" s="9">
        <v>43947</v>
      </c>
      <c r="N1362" s="6">
        <v>30</v>
      </c>
      <c r="O1362" s="6" t="s">
        <v>4247</v>
      </c>
      <c r="Q1362" s="10"/>
      <c r="R1362" s="10"/>
      <c r="S1362" s="10"/>
      <c r="T1362" s="10"/>
      <c r="U1362" s="11"/>
      <c r="V1362" s="8">
        <v>1.3635073691606523</v>
      </c>
      <c r="W1362" s="8">
        <v>10.199855514907838</v>
      </c>
      <c r="X1362" s="8">
        <f t="shared" si="80"/>
        <v>-0.70820343837737987</v>
      </c>
    </row>
    <row r="1363" spans="1:25" x14ac:dyDescent="0.35">
      <c r="A1363" s="6" t="s">
        <v>25</v>
      </c>
      <c r="B1363" s="6" t="s">
        <v>3492</v>
      </c>
      <c r="D1363" s="6" t="s">
        <v>3794</v>
      </c>
      <c r="E1363" s="6">
        <v>3</v>
      </c>
      <c r="F1363" s="6">
        <v>37</v>
      </c>
      <c r="G1363" s="6" t="s">
        <v>4096</v>
      </c>
      <c r="I1363" s="8">
        <v>83.929787500000003</v>
      </c>
      <c r="J1363" s="8">
        <v>15.517561875</v>
      </c>
      <c r="K1363" s="6" t="s">
        <v>2610</v>
      </c>
      <c r="L1363" s="9">
        <v>43947</v>
      </c>
      <c r="N1363" s="6">
        <v>30</v>
      </c>
      <c r="O1363" s="6" t="s">
        <v>4247</v>
      </c>
      <c r="V1363" s="8">
        <v>-0.44953293548584006</v>
      </c>
      <c r="W1363" s="8">
        <v>-3.2713344892501839</v>
      </c>
      <c r="X1363" s="27">
        <f t="shared" si="80"/>
        <v>0.32492899463653657</v>
      </c>
    </row>
    <row r="1364" spans="1:25" x14ac:dyDescent="0.35">
      <c r="A1364" s="6" t="s">
        <v>25</v>
      </c>
      <c r="D1364" s="6" t="s">
        <v>1524</v>
      </c>
      <c r="E1364" s="6">
        <v>3</v>
      </c>
      <c r="F1364" s="6">
        <v>37</v>
      </c>
      <c r="G1364" s="6" t="s">
        <v>60</v>
      </c>
      <c r="I1364" s="8">
        <v>83.929787500000003</v>
      </c>
      <c r="J1364" s="8">
        <v>15.517561875</v>
      </c>
      <c r="K1364" s="7" t="s">
        <v>2610</v>
      </c>
      <c r="L1364" s="9">
        <v>43947</v>
      </c>
      <c r="N1364" s="6">
        <v>30</v>
      </c>
      <c r="O1364" s="6" t="s">
        <v>4247</v>
      </c>
      <c r="Q1364" s="6">
        <v>500</v>
      </c>
      <c r="S1364" s="6">
        <v>500</v>
      </c>
      <c r="T1364" s="10">
        <f t="shared" ref="T1364:T1389" si="81">AVERAGE(R1364:S1364)</f>
        <v>500</v>
      </c>
      <c r="V1364" s="8">
        <v>-0.59454428061246845</v>
      </c>
      <c r="W1364" s="8">
        <v>-4.4419007277488696</v>
      </c>
      <c r="X1364" s="8">
        <f t="shared" si="80"/>
        <v>0.31445351715087799</v>
      </c>
    </row>
    <row r="1365" spans="1:25" x14ac:dyDescent="0.35">
      <c r="A1365" s="6" t="s">
        <v>25</v>
      </c>
      <c r="D1365" s="6" t="s">
        <v>1524</v>
      </c>
      <c r="E1365" s="6">
        <v>3</v>
      </c>
      <c r="F1365" s="6">
        <v>37</v>
      </c>
      <c r="G1365" s="6" t="s">
        <v>60</v>
      </c>
      <c r="I1365" s="8">
        <v>83.929787500000003</v>
      </c>
      <c r="J1365" s="8">
        <v>15.517561875</v>
      </c>
      <c r="K1365" s="7" t="s">
        <v>2610</v>
      </c>
      <c r="L1365" s="9">
        <v>43947</v>
      </c>
      <c r="N1365" s="6">
        <v>30</v>
      </c>
      <c r="O1365" s="6" t="s">
        <v>4247</v>
      </c>
      <c r="Q1365" s="6">
        <v>2000</v>
      </c>
      <c r="S1365" s="6">
        <v>2000</v>
      </c>
      <c r="T1365" s="10">
        <f t="shared" si="81"/>
        <v>2000</v>
      </c>
      <c r="V1365" s="8">
        <v>-0.61617187281846997</v>
      </c>
      <c r="W1365" s="8">
        <v>-3.5214465579986571</v>
      </c>
      <c r="X1365" s="8">
        <f t="shared" si="80"/>
        <v>1.4079284245491026</v>
      </c>
    </row>
    <row r="1366" spans="1:25" x14ac:dyDescent="0.35">
      <c r="A1366" s="6" t="s">
        <v>25</v>
      </c>
      <c r="D1366" s="6" t="s">
        <v>1524</v>
      </c>
      <c r="E1366" s="6">
        <v>3</v>
      </c>
      <c r="F1366" s="6">
        <v>37</v>
      </c>
      <c r="G1366" s="6" t="s">
        <v>60</v>
      </c>
      <c r="I1366" s="8">
        <v>83.929787500000003</v>
      </c>
      <c r="J1366" s="8">
        <v>15.517561875</v>
      </c>
      <c r="K1366" s="7" t="s">
        <v>2610</v>
      </c>
      <c r="L1366" s="9">
        <v>43947</v>
      </c>
      <c r="N1366" s="6">
        <v>30</v>
      </c>
      <c r="O1366" s="6" t="s">
        <v>4247</v>
      </c>
      <c r="Q1366" s="6">
        <v>4000</v>
      </c>
      <c r="S1366" s="6">
        <v>4000</v>
      </c>
      <c r="T1366" s="10">
        <f t="shared" si="81"/>
        <v>4000</v>
      </c>
      <c r="V1366" s="8">
        <v>-0.59645272892117507</v>
      </c>
      <c r="W1366" s="8">
        <v>-4.1582912421226492</v>
      </c>
      <c r="X1366" s="8">
        <f t="shared" si="80"/>
        <v>0.61333058924675132</v>
      </c>
    </row>
    <row r="1367" spans="1:25" x14ac:dyDescent="0.35">
      <c r="A1367" s="6" t="s">
        <v>25</v>
      </c>
      <c r="D1367" s="6" t="s">
        <v>1524</v>
      </c>
      <c r="E1367" s="6">
        <v>3</v>
      </c>
      <c r="F1367" s="6">
        <v>37</v>
      </c>
      <c r="G1367" s="6" t="s">
        <v>60</v>
      </c>
      <c r="I1367" s="8">
        <v>83.929787500000003</v>
      </c>
      <c r="J1367" s="8">
        <v>15.517561875</v>
      </c>
      <c r="K1367" s="7" t="s">
        <v>2610</v>
      </c>
      <c r="L1367" s="9">
        <v>43947</v>
      </c>
      <c r="N1367" s="6">
        <v>30</v>
      </c>
      <c r="O1367" s="6" t="s">
        <v>4247</v>
      </c>
      <c r="Q1367" s="6">
        <v>5000</v>
      </c>
      <c r="S1367" s="6">
        <v>5000</v>
      </c>
      <c r="T1367" s="10">
        <f t="shared" si="81"/>
        <v>5000</v>
      </c>
      <c r="V1367" s="8">
        <v>-0.45763361142873771</v>
      </c>
      <c r="W1367" s="8">
        <v>-2.8193712646961209</v>
      </c>
      <c r="X1367" s="8">
        <f t="shared" si="80"/>
        <v>0.84169762673378079</v>
      </c>
    </row>
    <row r="1368" spans="1:25" x14ac:dyDescent="0.35">
      <c r="A1368" s="6" t="s">
        <v>25</v>
      </c>
      <c r="D1368" s="6" t="s">
        <v>1524</v>
      </c>
      <c r="E1368" s="6">
        <v>3</v>
      </c>
      <c r="F1368" s="6">
        <v>37</v>
      </c>
      <c r="G1368" s="6" t="s">
        <v>60</v>
      </c>
      <c r="I1368" s="8">
        <v>83.929787500000003</v>
      </c>
      <c r="J1368" s="8">
        <v>15.517561875</v>
      </c>
      <c r="K1368" s="7" t="s">
        <v>2610</v>
      </c>
      <c r="L1368" s="9">
        <v>43947</v>
      </c>
      <c r="N1368" s="6">
        <v>30</v>
      </c>
      <c r="O1368" s="6" t="s">
        <v>4247</v>
      </c>
      <c r="Q1368" s="6">
        <v>6000</v>
      </c>
      <c r="S1368" s="6">
        <v>6000</v>
      </c>
      <c r="T1368" s="10">
        <f t="shared" si="81"/>
        <v>6000</v>
      </c>
      <c r="V1368" s="8">
        <v>-0.59576105373501786</v>
      </c>
      <c r="W1368" s="8">
        <v>-2.7401648025512686</v>
      </c>
      <c r="X1368" s="8">
        <f t="shared" si="80"/>
        <v>2.0259236273288743</v>
      </c>
    </row>
    <row r="1369" spans="1:25" x14ac:dyDescent="0.35">
      <c r="A1369" s="6" t="s">
        <v>25</v>
      </c>
      <c r="D1369" s="6" t="s">
        <v>1524</v>
      </c>
      <c r="E1369" s="6">
        <v>3</v>
      </c>
      <c r="F1369" s="6">
        <v>37</v>
      </c>
      <c r="G1369" s="6" t="s">
        <v>60</v>
      </c>
      <c r="I1369" s="8">
        <v>83.929787500000003</v>
      </c>
      <c r="J1369" s="8">
        <v>15.517561875</v>
      </c>
      <c r="K1369" s="7" t="s">
        <v>2610</v>
      </c>
      <c r="L1369" s="9">
        <v>43947</v>
      </c>
      <c r="N1369" s="6">
        <v>30</v>
      </c>
      <c r="O1369" s="6" t="s">
        <v>4247</v>
      </c>
      <c r="Q1369" s="6">
        <v>7500</v>
      </c>
      <c r="S1369" s="6">
        <v>7500</v>
      </c>
      <c r="T1369" s="10">
        <f t="shared" si="81"/>
        <v>7500</v>
      </c>
      <c r="V1369" s="8">
        <v>-0.49063702445626212</v>
      </c>
      <c r="W1369" s="8">
        <v>-2.1577021679878232</v>
      </c>
      <c r="X1369" s="8">
        <f t="shared" si="80"/>
        <v>1.7673940276622737</v>
      </c>
    </row>
    <row r="1370" spans="1:25" x14ac:dyDescent="0.35">
      <c r="A1370" s="6" t="s">
        <v>25</v>
      </c>
      <c r="D1370" s="6" t="s">
        <v>1524</v>
      </c>
      <c r="E1370" s="6">
        <v>3</v>
      </c>
      <c r="F1370" s="6">
        <v>37</v>
      </c>
      <c r="G1370" s="6" t="s">
        <v>60</v>
      </c>
      <c r="I1370" s="8">
        <v>83.929787500000003</v>
      </c>
      <c r="J1370" s="8">
        <v>15.517561875</v>
      </c>
      <c r="K1370" s="7" t="s">
        <v>2610</v>
      </c>
      <c r="L1370" s="9">
        <v>43947</v>
      </c>
      <c r="N1370" s="6">
        <v>30</v>
      </c>
      <c r="O1370" s="6" t="s">
        <v>4247</v>
      </c>
      <c r="Q1370" s="6">
        <v>10000</v>
      </c>
      <c r="S1370" s="6">
        <v>10000</v>
      </c>
      <c r="T1370" s="10">
        <f t="shared" si="81"/>
        <v>10000</v>
      </c>
      <c r="V1370" s="8">
        <v>-0.45478769486546472</v>
      </c>
      <c r="W1370" s="8">
        <v>-5.9716629395484926</v>
      </c>
      <c r="X1370" s="8">
        <f t="shared" si="80"/>
        <v>-2.3333613806247748</v>
      </c>
    </row>
    <row r="1371" spans="1:25" s="12" customFormat="1" x14ac:dyDescent="0.35">
      <c r="A1371" s="6" t="s">
        <v>25</v>
      </c>
      <c r="B1371" s="6"/>
      <c r="C1371" s="6"/>
      <c r="D1371" s="6" t="s">
        <v>1524</v>
      </c>
      <c r="E1371" s="6">
        <v>3</v>
      </c>
      <c r="F1371" s="6">
        <v>37</v>
      </c>
      <c r="G1371" s="6" t="s">
        <v>60</v>
      </c>
      <c r="H1371" s="6"/>
      <c r="I1371" s="8">
        <v>83.929787500000003</v>
      </c>
      <c r="J1371" s="8">
        <v>15.517561875</v>
      </c>
      <c r="K1371" s="7" t="s">
        <v>2610</v>
      </c>
      <c r="L1371" s="9">
        <v>43947</v>
      </c>
      <c r="M1371" s="6"/>
      <c r="N1371" s="6">
        <v>30</v>
      </c>
      <c r="O1371" s="6" t="s">
        <v>4247</v>
      </c>
      <c r="P1371" s="6"/>
      <c r="Q1371" s="6">
        <v>11500</v>
      </c>
      <c r="R1371" s="6"/>
      <c r="S1371" s="6">
        <v>11500</v>
      </c>
      <c r="T1371" s="10">
        <f t="shared" si="81"/>
        <v>11500</v>
      </c>
      <c r="U1371" s="6"/>
      <c r="V1371" s="8">
        <v>-0.17361229380369242</v>
      </c>
      <c r="W1371" s="8">
        <v>-1.6513012132644653</v>
      </c>
      <c r="X1371" s="8">
        <f t="shared" si="80"/>
        <v>-0.26240286283492598</v>
      </c>
      <c r="Y1371" s="6"/>
    </row>
    <row r="1372" spans="1:25" x14ac:dyDescent="0.35">
      <c r="A1372" s="6" t="s">
        <v>25</v>
      </c>
      <c r="D1372" s="6" t="s">
        <v>1524</v>
      </c>
      <c r="E1372" s="6">
        <v>3</v>
      </c>
      <c r="F1372" s="6">
        <v>37</v>
      </c>
      <c r="G1372" s="6" t="s">
        <v>60</v>
      </c>
      <c r="I1372" s="8">
        <v>83.929787500000003</v>
      </c>
      <c r="J1372" s="8">
        <v>15.517561875</v>
      </c>
      <c r="K1372" s="7" t="s">
        <v>2610</v>
      </c>
      <c r="L1372" s="9">
        <v>43947</v>
      </c>
      <c r="N1372" s="6">
        <v>30</v>
      </c>
      <c r="O1372" s="6" t="s">
        <v>4247</v>
      </c>
      <c r="Q1372" s="6">
        <v>12500</v>
      </c>
      <c r="S1372" s="6">
        <v>12500</v>
      </c>
      <c r="T1372" s="10">
        <f t="shared" si="81"/>
        <v>12500</v>
      </c>
      <c r="V1372" s="8">
        <v>-0.23089125811457592</v>
      </c>
      <c r="W1372" s="8">
        <v>-0.45740785503387449</v>
      </c>
      <c r="X1372" s="8">
        <f t="shared" si="80"/>
        <v>1.3897222098827329</v>
      </c>
    </row>
    <row r="1373" spans="1:25" x14ac:dyDescent="0.35">
      <c r="A1373" s="6" t="s">
        <v>25</v>
      </c>
      <c r="B1373" s="6" t="s">
        <v>1525</v>
      </c>
      <c r="D1373" s="6" t="s">
        <v>3333</v>
      </c>
      <c r="E1373" s="6">
        <v>3</v>
      </c>
      <c r="F1373" s="6">
        <v>38</v>
      </c>
      <c r="G1373" s="6" t="s">
        <v>210</v>
      </c>
      <c r="I1373" s="8">
        <v>83.938997847222197</v>
      </c>
      <c r="J1373" s="8">
        <v>15.6730686111111</v>
      </c>
      <c r="K1373" s="6" t="s">
        <v>29</v>
      </c>
      <c r="L1373" s="9">
        <v>43948</v>
      </c>
      <c r="N1373" s="6">
        <v>31</v>
      </c>
      <c r="O1373" s="6" t="s">
        <v>4251</v>
      </c>
      <c r="Q1373" s="6">
        <v>0</v>
      </c>
      <c r="R1373" s="6">
        <v>0</v>
      </c>
      <c r="S1373" s="6">
        <v>10</v>
      </c>
      <c r="T1373" s="10">
        <f t="shared" si="81"/>
        <v>5</v>
      </c>
      <c r="V1373" s="8">
        <v>-4.1035965213775638</v>
      </c>
      <c r="W1373" s="8">
        <v>-31.622806674957275</v>
      </c>
      <c r="X1373" s="8">
        <f t="shared" si="80"/>
        <v>1.2059654960632358</v>
      </c>
    </row>
    <row r="1374" spans="1:25" x14ac:dyDescent="0.35">
      <c r="A1374" s="6" t="s">
        <v>25</v>
      </c>
      <c r="B1374" s="6" t="s">
        <v>1526</v>
      </c>
      <c r="D1374" s="6" t="s">
        <v>3333</v>
      </c>
      <c r="E1374" s="6">
        <v>3</v>
      </c>
      <c r="F1374" s="6">
        <v>38</v>
      </c>
      <c r="G1374" s="6" t="s">
        <v>210</v>
      </c>
      <c r="I1374" s="8">
        <v>83.938997847222197</v>
      </c>
      <c r="J1374" s="8">
        <v>15.6730686111111</v>
      </c>
      <c r="K1374" s="6" t="s">
        <v>29</v>
      </c>
      <c r="L1374" s="9">
        <v>43948</v>
      </c>
      <c r="N1374" s="6">
        <v>31</v>
      </c>
      <c r="O1374" s="6" t="s">
        <v>4251</v>
      </c>
      <c r="Q1374" s="6">
        <v>10</v>
      </c>
      <c r="R1374" s="6">
        <v>10</v>
      </c>
      <c r="S1374" s="6">
        <v>20</v>
      </c>
      <c r="T1374" s="10">
        <f t="shared" si="81"/>
        <v>15</v>
      </c>
      <c r="V1374" s="8">
        <v>-3.8485951766967776</v>
      </c>
      <c r="W1374" s="8">
        <v>-29.859514636993406</v>
      </c>
      <c r="X1374" s="8">
        <f t="shared" si="80"/>
        <v>0.92924677658081478</v>
      </c>
    </row>
    <row r="1375" spans="1:25" x14ac:dyDescent="0.35">
      <c r="A1375" s="6" t="s">
        <v>25</v>
      </c>
      <c r="B1375" s="6" t="s">
        <v>1527</v>
      </c>
      <c r="D1375" s="6" t="s">
        <v>3333</v>
      </c>
      <c r="E1375" s="6">
        <v>3</v>
      </c>
      <c r="F1375" s="6">
        <v>38</v>
      </c>
      <c r="G1375" s="6" t="s">
        <v>210</v>
      </c>
      <c r="I1375" s="8">
        <v>83.938997847222197</v>
      </c>
      <c r="J1375" s="8">
        <v>15.6730686111111</v>
      </c>
      <c r="K1375" s="6" t="s">
        <v>29</v>
      </c>
      <c r="L1375" s="9">
        <v>43948</v>
      </c>
      <c r="N1375" s="6">
        <v>31</v>
      </c>
      <c r="O1375" s="6" t="s">
        <v>4251</v>
      </c>
      <c r="Q1375" s="6">
        <v>20</v>
      </c>
      <c r="R1375" s="6">
        <v>20</v>
      </c>
      <c r="S1375" s="6">
        <v>30</v>
      </c>
      <c r="T1375" s="10">
        <f t="shared" si="81"/>
        <v>25</v>
      </c>
      <c r="V1375" s="8">
        <v>-4.2762709937095646</v>
      </c>
      <c r="W1375" s="8">
        <v>-33.06537826156616</v>
      </c>
      <c r="X1375" s="8">
        <f t="shared" si="80"/>
        <v>1.1447896881103574</v>
      </c>
    </row>
    <row r="1376" spans="1:25" x14ac:dyDescent="0.35">
      <c r="A1376" s="6" t="s">
        <v>25</v>
      </c>
      <c r="B1376" s="6" t="s">
        <v>1528</v>
      </c>
      <c r="D1376" s="6" t="s">
        <v>3333</v>
      </c>
      <c r="E1376" s="6">
        <v>3</v>
      </c>
      <c r="F1376" s="6">
        <v>38</v>
      </c>
      <c r="G1376" s="6" t="s">
        <v>210</v>
      </c>
      <c r="I1376" s="8">
        <v>83.938997847222197</v>
      </c>
      <c r="J1376" s="8">
        <v>15.6730686111111</v>
      </c>
      <c r="K1376" s="6" t="s">
        <v>29</v>
      </c>
      <c r="L1376" s="9">
        <v>43948</v>
      </c>
      <c r="N1376" s="6">
        <v>31</v>
      </c>
      <c r="O1376" s="6" t="s">
        <v>4251</v>
      </c>
      <c r="Q1376" s="6">
        <v>30</v>
      </c>
      <c r="R1376" s="6">
        <v>30</v>
      </c>
      <c r="S1376" s="6">
        <v>40</v>
      </c>
      <c r="T1376" s="10">
        <f t="shared" si="81"/>
        <v>35</v>
      </c>
      <c r="V1376" s="8">
        <v>-4.1607681069374083</v>
      </c>
      <c r="W1376" s="8">
        <v>-31.689251758575438</v>
      </c>
      <c r="X1376" s="8">
        <f t="shared" si="80"/>
        <v>1.5968930969238286</v>
      </c>
    </row>
    <row r="1377" spans="1:25" x14ac:dyDescent="0.35">
      <c r="A1377" s="6" t="s">
        <v>25</v>
      </c>
      <c r="B1377" s="6" t="s">
        <v>1529</v>
      </c>
      <c r="D1377" s="6" t="s">
        <v>3333</v>
      </c>
      <c r="E1377" s="6">
        <v>3</v>
      </c>
      <c r="F1377" s="6">
        <v>38</v>
      </c>
      <c r="G1377" s="6" t="s">
        <v>210</v>
      </c>
      <c r="I1377" s="8">
        <v>83.938997847222197</v>
      </c>
      <c r="J1377" s="8">
        <v>15.6730686111111</v>
      </c>
      <c r="K1377" s="6" t="s">
        <v>29</v>
      </c>
      <c r="L1377" s="9">
        <v>43948</v>
      </c>
      <c r="N1377" s="6">
        <v>31</v>
      </c>
      <c r="O1377" s="6" t="s">
        <v>4251</v>
      </c>
      <c r="Q1377" s="6">
        <v>40</v>
      </c>
      <c r="R1377" s="6">
        <v>40</v>
      </c>
      <c r="S1377" s="6">
        <v>50</v>
      </c>
      <c r="T1377" s="10">
        <f t="shared" si="81"/>
        <v>45</v>
      </c>
      <c r="V1377" s="8">
        <v>-3.5340790936946873</v>
      </c>
      <c r="W1377" s="8">
        <v>-27.246485042572022</v>
      </c>
      <c r="X1377" s="8">
        <f t="shared" si="80"/>
        <v>1.0261477069854763</v>
      </c>
    </row>
    <row r="1378" spans="1:25" x14ac:dyDescent="0.35">
      <c r="A1378" s="6" t="s">
        <v>25</v>
      </c>
      <c r="B1378" s="6" t="s">
        <v>1530</v>
      </c>
      <c r="D1378" s="6" t="s">
        <v>3333</v>
      </c>
      <c r="E1378" s="6">
        <v>3</v>
      </c>
      <c r="F1378" s="6">
        <v>38</v>
      </c>
      <c r="G1378" s="6" t="s">
        <v>210</v>
      </c>
      <c r="I1378" s="8">
        <v>83.938997847222197</v>
      </c>
      <c r="J1378" s="8">
        <v>15.6730686111111</v>
      </c>
      <c r="K1378" s="6" t="s">
        <v>29</v>
      </c>
      <c r="L1378" s="9">
        <v>43948</v>
      </c>
      <c r="N1378" s="6">
        <v>31</v>
      </c>
      <c r="O1378" s="6" t="s">
        <v>4251</v>
      </c>
      <c r="Q1378" s="6">
        <v>50</v>
      </c>
      <c r="R1378" s="6">
        <v>50</v>
      </c>
      <c r="S1378" s="6">
        <v>60</v>
      </c>
      <c r="T1378" s="10">
        <f t="shared" si="81"/>
        <v>55</v>
      </c>
      <c r="V1378" s="8">
        <v>-3.6477017555236815</v>
      </c>
      <c r="W1378" s="8">
        <v>-28.69203434562683</v>
      </c>
      <c r="X1378" s="8">
        <f t="shared" si="80"/>
        <v>0.48957969856262196</v>
      </c>
    </row>
    <row r="1379" spans="1:25" x14ac:dyDescent="0.35">
      <c r="A1379" s="6" t="s">
        <v>25</v>
      </c>
      <c r="B1379" s="6" t="s">
        <v>1531</v>
      </c>
      <c r="D1379" s="6" t="s">
        <v>3333</v>
      </c>
      <c r="E1379" s="6">
        <v>3</v>
      </c>
      <c r="F1379" s="6">
        <v>38</v>
      </c>
      <c r="G1379" s="6" t="s">
        <v>210</v>
      </c>
      <c r="I1379" s="8">
        <v>83.938997847222197</v>
      </c>
      <c r="J1379" s="8">
        <v>15.6730686111111</v>
      </c>
      <c r="K1379" s="6" t="s">
        <v>29</v>
      </c>
      <c r="L1379" s="9">
        <v>43948</v>
      </c>
      <c r="N1379" s="6">
        <v>31</v>
      </c>
      <c r="O1379" s="6" t="s">
        <v>4251</v>
      </c>
      <c r="Q1379" s="6">
        <v>60</v>
      </c>
      <c r="R1379" s="6">
        <v>60</v>
      </c>
      <c r="S1379" s="6">
        <v>70</v>
      </c>
      <c r="T1379" s="10">
        <f t="shared" si="81"/>
        <v>65</v>
      </c>
      <c r="V1379" s="8">
        <v>-4.245602265357971</v>
      </c>
      <c r="W1379" s="8">
        <v>-32.445603481292721</v>
      </c>
      <c r="X1379" s="8">
        <f t="shared" si="80"/>
        <v>1.5192146415710468</v>
      </c>
    </row>
    <row r="1380" spans="1:25" x14ac:dyDescent="0.35">
      <c r="A1380" s="6" t="s">
        <v>25</v>
      </c>
      <c r="B1380" s="6" t="s">
        <v>1532</v>
      </c>
      <c r="D1380" s="6" t="s">
        <v>3333</v>
      </c>
      <c r="E1380" s="6">
        <v>3</v>
      </c>
      <c r="F1380" s="6">
        <v>38</v>
      </c>
      <c r="G1380" s="6" t="s">
        <v>210</v>
      </c>
      <c r="I1380" s="8">
        <v>83.938997847222197</v>
      </c>
      <c r="J1380" s="8">
        <v>15.6730686111111</v>
      </c>
      <c r="K1380" s="6" t="s">
        <v>29</v>
      </c>
      <c r="L1380" s="9">
        <v>43948</v>
      </c>
      <c r="N1380" s="6">
        <v>31</v>
      </c>
      <c r="O1380" s="6" t="s">
        <v>4251</v>
      </c>
      <c r="Q1380" s="6">
        <v>70</v>
      </c>
      <c r="R1380" s="6">
        <v>70</v>
      </c>
      <c r="S1380" s="6">
        <v>80</v>
      </c>
      <c r="T1380" s="10">
        <f t="shared" si="81"/>
        <v>75</v>
      </c>
      <c r="V1380" s="8">
        <v>-1.0711844511329831E-2</v>
      </c>
      <c r="W1380" s="8">
        <v>-0.46262239578366326</v>
      </c>
      <c r="X1380" s="8">
        <f t="shared" si="80"/>
        <v>-0.37692763969302462</v>
      </c>
    </row>
    <row r="1381" spans="1:25" s="12" customFormat="1" x14ac:dyDescent="0.35">
      <c r="A1381" s="6" t="s">
        <v>25</v>
      </c>
      <c r="B1381" s="6" t="s">
        <v>1533</v>
      </c>
      <c r="C1381" s="6"/>
      <c r="D1381" s="6" t="s">
        <v>3333</v>
      </c>
      <c r="E1381" s="6">
        <v>3</v>
      </c>
      <c r="F1381" s="6">
        <v>38</v>
      </c>
      <c r="G1381" s="6" t="s">
        <v>210</v>
      </c>
      <c r="H1381" s="6"/>
      <c r="I1381" s="8">
        <v>83.938997847222197</v>
      </c>
      <c r="J1381" s="8">
        <v>15.6730686111111</v>
      </c>
      <c r="K1381" s="6" t="s">
        <v>29</v>
      </c>
      <c r="L1381" s="9">
        <v>43948</v>
      </c>
      <c r="M1381" s="6"/>
      <c r="N1381" s="6">
        <v>31</v>
      </c>
      <c r="O1381" s="6" t="s">
        <v>4251</v>
      </c>
      <c r="P1381" s="6"/>
      <c r="Q1381" s="6">
        <v>80</v>
      </c>
      <c r="R1381" s="6">
        <v>80</v>
      </c>
      <c r="S1381" s="6">
        <v>90</v>
      </c>
      <c r="T1381" s="10">
        <f t="shared" si="81"/>
        <v>85</v>
      </c>
      <c r="U1381" s="6"/>
      <c r="V1381" s="8">
        <v>0.84141718322038694</v>
      </c>
      <c r="W1381" s="8">
        <v>6.4424164404869089</v>
      </c>
      <c r="X1381" s="8">
        <f t="shared" si="80"/>
        <v>-0.28892102527618668</v>
      </c>
      <c r="Y1381" s="6"/>
    </row>
    <row r="1382" spans="1:25" x14ac:dyDescent="0.35">
      <c r="A1382" s="6" t="s">
        <v>25</v>
      </c>
      <c r="B1382" s="6" t="s">
        <v>1534</v>
      </c>
      <c r="D1382" s="6" t="s">
        <v>3333</v>
      </c>
      <c r="E1382" s="6">
        <v>3</v>
      </c>
      <c r="F1382" s="6">
        <v>38</v>
      </c>
      <c r="G1382" s="6" t="s">
        <v>210</v>
      </c>
      <c r="I1382" s="8">
        <v>83.938997847222197</v>
      </c>
      <c r="J1382" s="8">
        <v>15.6730686111111</v>
      </c>
      <c r="K1382" s="6" t="s">
        <v>29</v>
      </c>
      <c r="L1382" s="9">
        <v>43948</v>
      </c>
      <c r="N1382" s="6">
        <v>31</v>
      </c>
      <c r="O1382" s="6" t="s">
        <v>4251</v>
      </c>
      <c r="Q1382" s="6">
        <v>90</v>
      </c>
      <c r="R1382" s="6">
        <v>90</v>
      </c>
      <c r="S1382" s="6">
        <v>100</v>
      </c>
      <c r="T1382" s="10">
        <f t="shared" si="81"/>
        <v>95</v>
      </c>
      <c r="V1382" s="8">
        <v>0.39634359472990022</v>
      </c>
      <c r="W1382" s="8">
        <v>3.3473005893230439</v>
      </c>
      <c r="X1382" s="8">
        <f t="shared" si="80"/>
        <v>0.17655183148384213</v>
      </c>
    </row>
    <row r="1383" spans="1:25" x14ac:dyDescent="0.35">
      <c r="A1383" s="6" t="s">
        <v>25</v>
      </c>
      <c r="B1383" s="6" t="s">
        <v>1535</v>
      </c>
      <c r="D1383" s="6" t="s">
        <v>3333</v>
      </c>
      <c r="E1383" s="6">
        <v>3</v>
      </c>
      <c r="F1383" s="6">
        <v>38</v>
      </c>
      <c r="G1383" s="6" t="s">
        <v>210</v>
      </c>
      <c r="I1383" s="8">
        <v>83.938997847222197</v>
      </c>
      <c r="J1383" s="8">
        <v>15.6730686111111</v>
      </c>
      <c r="K1383" s="6" t="s">
        <v>29</v>
      </c>
      <c r="L1383" s="9">
        <v>43948</v>
      </c>
      <c r="N1383" s="6">
        <v>31</v>
      </c>
      <c r="O1383" s="6" t="s">
        <v>4251</v>
      </c>
      <c r="Q1383" s="6">
        <v>100</v>
      </c>
      <c r="R1383" s="6">
        <v>100</v>
      </c>
      <c r="S1383" s="6">
        <v>110</v>
      </c>
      <c r="T1383" s="10">
        <f t="shared" si="81"/>
        <v>105</v>
      </c>
      <c r="V1383" s="8">
        <v>0.13304304239898906</v>
      </c>
      <c r="W1383" s="8">
        <v>1.0714992113113402</v>
      </c>
      <c r="X1383" s="8">
        <f t="shared" si="80"/>
        <v>7.1548721194276688E-3</v>
      </c>
    </row>
    <row r="1384" spans="1:25" x14ac:dyDescent="0.35">
      <c r="A1384" s="6" t="s">
        <v>25</v>
      </c>
      <c r="B1384" s="6" t="s">
        <v>1536</v>
      </c>
      <c r="D1384" s="6" t="s">
        <v>3333</v>
      </c>
      <c r="E1384" s="6">
        <v>3</v>
      </c>
      <c r="F1384" s="6">
        <v>38</v>
      </c>
      <c r="G1384" s="6" t="s">
        <v>210</v>
      </c>
      <c r="I1384" s="8">
        <v>83.938997847222197</v>
      </c>
      <c r="J1384" s="8">
        <v>15.6730686111111</v>
      </c>
      <c r="K1384" s="6" t="s">
        <v>29</v>
      </c>
      <c r="L1384" s="9">
        <v>43948</v>
      </c>
      <c r="N1384" s="6">
        <v>31</v>
      </c>
      <c r="O1384" s="6" t="s">
        <v>4251</v>
      </c>
      <c r="Q1384" s="6">
        <v>110</v>
      </c>
      <c r="R1384" s="6">
        <v>110</v>
      </c>
      <c r="S1384" s="6">
        <v>120</v>
      </c>
      <c r="T1384" s="10">
        <f t="shared" si="81"/>
        <v>115</v>
      </c>
      <c r="V1384" s="8">
        <v>-1.0925250581502917</v>
      </c>
      <c r="W1384" s="8">
        <v>-3.9875868005752562</v>
      </c>
      <c r="X1384" s="8">
        <f t="shared" si="80"/>
        <v>4.7526136646270771</v>
      </c>
    </row>
    <row r="1385" spans="1:25" x14ac:dyDescent="0.35">
      <c r="A1385" s="6" t="s">
        <v>25</v>
      </c>
      <c r="B1385" s="6" t="s">
        <v>1537</v>
      </c>
      <c r="D1385" s="6" t="s">
        <v>3333</v>
      </c>
      <c r="E1385" s="6">
        <v>3</v>
      </c>
      <c r="F1385" s="6">
        <v>38</v>
      </c>
      <c r="G1385" s="6" t="s">
        <v>210</v>
      </c>
      <c r="I1385" s="8">
        <v>83.938997847222197</v>
      </c>
      <c r="J1385" s="8">
        <v>15.6730686111111</v>
      </c>
      <c r="K1385" s="6" t="s">
        <v>29</v>
      </c>
      <c r="L1385" s="9">
        <v>43948</v>
      </c>
      <c r="N1385" s="6">
        <v>31</v>
      </c>
      <c r="O1385" s="6" t="s">
        <v>4251</v>
      </c>
      <c r="Q1385" s="6">
        <v>120</v>
      </c>
      <c r="R1385" s="6">
        <v>120</v>
      </c>
      <c r="S1385" s="6">
        <v>130</v>
      </c>
      <c r="T1385" s="10">
        <f t="shared" si="81"/>
        <v>125</v>
      </c>
      <c r="V1385" s="8">
        <v>-0.10030991984903814</v>
      </c>
      <c r="W1385" s="8">
        <v>-0.660599427640438</v>
      </c>
      <c r="X1385" s="8">
        <f t="shared" si="80"/>
        <v>0.14187993115186714</v>
      </c>
    </row>
    <row r="1386" spans="1:25" x14ac:dyDescent="0.35">
      <c r="A1386" s="6" t="s">
        <v>25</v>
      </c>
      <c r="B1386" s="6" t="s">
        <v>1538</v>
      </c>
      <c r="D1386" s="6" t="s">
        <v>3333</v>
      </c>
      <c r="E1386" s="6">
        <v>3</v>
      </c>
      <c r="F1386" s="6">
        <v>38</v>
      </c>
      <c r="G1386" s="6" t="s">
        <v>210</v>
      </c>
      <c r="I1386" s="8">
        <v>83.938997847222197</v>
      </c>
      <c r="J1386" s="8">
        <v>15.6730686111111</v>
      </c>
      <c r="K1386" s="6" t="s">
        <v>29</v>
      </c>
      <c r="L1386" s="9">
        <v>43948</v>
      </c>
      <c r="N1386" s="6">
        <v>31</v>
      </c>
      <c r="O1386" s="6" t="s">
        <v>4251</v>
      </c>
      <c r="Q1386" s="6">
        <v>130</v>
      </c>
      <c r="R1386" s="6">
        <v>130</v>
      </c>
      <c r="S1386" s="6">
        <v>140</v>
      </c>
      <c r="T1386" s="10">
        <f t="shared" si="81"/>
        <v>135</v>
      </c>
      <c r="V1386" s="8">
        <v>4.8405736664193372E-2</v>
      </c>
      <c r="W1386" s="8">
        <v>1.0287228220701212</v>
      </c>
      <c r="X1386" s="8">
        <f t="shared" si="80"/>
        <v>0.64147692875657425</v>
      </c>
    </row>
    <row r="1387" spans="1:25" s="12" customFormat="1" x14ac:dyDescent="0.35">
      <c r="A1387" s="6" t="s">
        <v>25</v>
      </c>
      <c r="B1387" s="6" t="s">
        <v>1539</v>
      </c>
      <c r="C1387" s="6"/>
      <c r="D1387" s="6" t="s">
        <v>3333</v>
      </c>
      <c r="E1387" s="6">
        <v>3</v>
      </c>
      <c r="F1387" s="6">
        <v>38</v>
      </c>
      <c r="G1387" s="6" t="s">
        <v>210</v>
      </c>
      <c r="H1387" s="6"/>
      <c r="I1387" s="8">
        <v>83.938997847222197</v>
      </c>
      <c r="J1387" s="8">
        <v>15.6730686111111</v>
      </c>
      <c r="K1387" s="6" t="s">
        <v>29</v>
      </c>
      <c r="L1387" s="9">
        <v>43948</v>
      </c>
      <c r="M1387" s="6"/>
      <c r="N1387" s="6">
        <v>31</v>
      </c>
      <c r="O1387" s="6" t="s">
        <v>4251</v>
      </c>
      <c r="P1387" s="6"/>
      <c r="Q1387" s="6">
        <v>140</v>
      </c>
      <c r="R1387" s="6">
        <v>140</v>
      </c>
      <c r="S1387" s="6">
        <v>150</v>
      </c>
      <c r="T1387" s="10">
        <f t="shared" si="81"/>
        <v>145</v>
      </c>
      <c r="U1387" s="6"/>
      <c r="V1387" s="8">
        <v>0.38597728827595723</v>
      </c>
      <c r="W1387" s="8">
        <v>3.6678391444683083</v>
      </c>
      <c r="X1387" s="8">
        <f t="shared" si="80"/>
        <v>0.58002083826065043</v>
      </c>
      <c r="Y1387" s="6"/>
    </row>
    <row r="1388" spans="1:25" s="12" customFormat="1" x14ac:dyDescent="0.35">
      <c r="A1388" s="6" t="s">
        <v>25</v>
      </c>
      <c r="B1388" s="6" t="s">
        <v>1540</v>
      </c>
      <c r="C1388" s="6"/>
      <c r="D1388" s="6" t="s">
        <v>3333</v>
      </c>
      <c r="E1388" s="6">
        <v>3</v>
      </c>
      <c r="F1388" s="6">
        <v>38</v>
      </c>
      <c r="G1388" s="6" t="s">
        <v>210</v>
      </c>
      <c r="H1388" s="6"/>
      <c r="I1388" s="8">
        <v>83.938997847222197</v>
      </c>
      <c r="J1388" s="8">
        <v>15.6730686111111</v>
      </c>
      <c r="K1388" s="6" t="s">
        <v>29</v>
      </c>
      <c r="L1388" s="9">
        <v>43948</v>
      </c>
      <c r="M1388" s="6"/>
      <c r="N1388" s="6">
        <v>31</v>
      </c>
      <c r="O1388" s="6" t="s">
        <v>4251</v>
      </c>
      <c r="P1388" s="6"/>
      <c r="Q1388" s="6">
        <v>150</v>
      </c>
      <c r="R1388" s="6">
        <v>150</v>
      </c>
      <c r="S1388" s="6">
        <v>161</v>
      </c>
      <c r="T1388" s="10">
        <f t="shared" si="81"/>
        <v>155.5</v>
      </c>
      <c r="U1388" s="6"/>
      <c r="V1388" s="8">
        <v>0.72419832462072353</v>
      </c>
      <c r="W1388" s="8">
        <v>5.7803764438629148</v>
      </c>
      <c r="X1388" s="8">
        <f t="shared" si="80"/>
        <v>-1.3210153102873434E-2</v>
      </c>
      <c r="Y1388" s="6"/>
    </row>
    <row r="1389" spans="1:25" x14ac:dyDescent="0.35">
      <c r="A1389" s="6" t="s">
        <v>25</v>
      </c>
      <c r="B1389" s="6" t="s">
        <v>1541</v>
      </c>
      <c r="D1389" s="6" t="s">
        <v>3333</v>
      </c>
      <c r="E1389" s="6">
        <v>3</v>
      </c>
      <c r="F1389" s="6">
        <v>38</v>
      </c>
      <c r="G1389" s="6" t="s">
        <v>210</v>
      </c>
      <c r="I1389" s="8">
        <v>83.938997847222197</v>
      </c>
      <c r="J1389" s="8">
        <v>15.6730686111111</v>
      </c>
      <c r="K1389" s="6" t="s">
        <v>29</v>
      </c>
      <c r="L1389" s="9">
        <v>43948</v>
      </c>
      <c r="N1389" s="6">
        <v>31</v>
      </c>
      <c r="O1389" s="6" t="s">
        <v>4251</v>
      </c>
      <c r="Q1389" s="6">
        <v>161</v>
      </c>
      <c r="R1389" s="6">
        <v>161</v>
      </c>
      <c r="S1389" s="6">
        <v>172</v>
      </c>
      <c r="T1389" s="10">
        <f t="shared" si="81"/>
        <v>166.5</v>
      </c>
      <c r="V1389" s="8">
        <v>1.4340920838117597</v>
      </c>
      <c r="W1389" s="8">
        <v>12.200183382034302</v>
      </c>
      <c r="X1389" s="8">
        <f t="shared" si="80"/>
        <v>0.72744671154022456</v>
      </c>
    </row>
    <row r="1390" spans="1:25" s="12" customFormat="1" x14ac:dyDescent="0.35">
      <c r="A1390" s="6" t="s">
        <v>25</v>
      </c>
      <c r="B1390" s="6" t="s">
        <v>3493</v>
      </c>
      <c r="C1390" s="6"/>
      <c r="D1390" s="6" t="s">
        <v>3795</v>
      </c>
      <c r="E1390" s="6">
        <v>3</v>
      </c>
      <c r="F1390" s="6">
        <v>38</v>
      </c>
      <c r="G1390" s="6" t="s">
        <v>4097</v>
      </c>
      <c r="H1390" s="6"/>
      <c r="I1390" s="8">
        <v>83.939382333333299</v>
      </c>
      <c r="J1390" s="8">
        <v>15.637682999999999</v>
      </c>
      <c r="K1390" s="6" t="s">
        <v>2610</v>
      </c>
      <c r="L1390" s="9">
        <v>43948</v>
      </c>
      <c r="M1390" s="6"/>
      <c r="N1390" s="6">
        <v>31</v>
      </c>
      <c r="O1390" s="6" t="s">
        <v>4251</v>
      </c>
      <c r="P1390" s="6"/>
      <c r="Q1390" s="6"/>
      <c r="R1390" s="6"/>
      <c r="S1390" s="6"/>
      <c r="T1390" s="6"/>
      <c r="U1390" s="6"/>
      <c r="V1390" s="8">
        <v>-0.45445631252288804</v>
      </c>
      <c r="W1390" s="8">
        <v>-2.7322691514730453</v>
      </c>
      <c r="X1390" s="27">
        <f t="shared" si="80"/>
        <v>0.90338134871005904</v>
      </c>
      <c r="Y1390" s="6"/>
    </row>
    <row r="1391" spans="1:25" x14ac:dyDescent="0.35">
      <c r="A1391" s="6" t="s">
        <v>25</v>
      </c>
      <c r="B1391" s="6" t="s">
        <v>2896</v>
      </c>
      <c r="D1391" s="6" t="s">
        <v>3148</v>
      </c>
      <c r="E1391" s="6">
        <v>3</v>
      </c>
      <c r="F1391" s="6">
        <v>38</v>
      </c>
      <c r="G1391" s="6" t="s">
        <v>3259</v>
      </c>
      <c r="I1391" s="8">
        <v>83.924284</v>
      </c>
      <c r="J1391" s="8">
        <v>15.628168000000001</v>
      </c>
      <c r="K1391" s="6" t="s">
        <v>198</v>
      </c>
      <c r="L1391" s="9">
        <v>43948</v>
      </c>
      <c r="M1391" s="18">
        <v>0.33402777777777781</v>
      </c>
      <c r="N1391" s="6">
        <v>31</v>
      </c>
      <c r="O1391" s="6" t="s">
        <v>4251</v>
      </c>
      <c r="R1391" s="6">
        <v>10</v>
      </c>
      <c r="S1391" s="6">
        <v>8</v>
      </c>
      <c r="V1391" s="8">
        <v>-17.828220576400756</v>
      </c>
      <c r="W1391" s="8">
        <v>-128.34810518188476</v>
      </c>
      <c r="X1391" s="8">
        <f t="shared" si="80"/>
        <v>14.27765942932129</v>
      </c>
    </row>
    <row r="1392" spans="1:25" x14ac:dyDescent="0.35">
      <c r="A1392" s="6" t="s">
        <v>25</v>
      </c>
      <c r="B1392" s="6" t="s">
        <v>2897</v>
      </c>
      <c r="D1392" s="6" t="s">
        <v>3148</v>
      </c>
      <c r="E1392" s="6">
        <v>3</v>
      </c>
      <c r="F1392" s="6">
        <v>38</v>
      </c>
      <c r="G1392" s="6" t="s">
        <v>3259</v>
      </c>
      <c r="I1392" s="8">
        <v>83.924284</v>
      </c>
      <c r="J1392" s="8">
        <v>15.628168000000001</v>
      </c>
      <c r="K1392" s="6" t="s">
        <v>198</v>
      </c>
      <c r="L1392" s="9">
        <v>43948</v>
      </c>
      <c r="M1392" s="18">
        <v>0.33402777777777781</v>
      </c>
      <c r="N1392" s="6">
        <v>31</v>
      </c>
      <c r="O1392" s="6" t="s">
        <v>4251</v>
      </c>
      <c r="R1392" s="6">
        <v>7</v>
      </c>
      <c r="S1392" s="6">
        <v>4</v>
      </c>
      <c r="V1392" s="8">
        <v>-11.537541910266874</v>
      </c>
      <c r="W1392" s="8">
        <v>-89.022869960784917</v>
      </c>
      <c r="X1392" s="8">
        <f t="shared" si="80"/>
        <v>3.2774653213500784</v>
      </c>
    </row>
    <row r="1393" spans="1:24" x14ac:dyDescent="0.35">
      <c r="A1393" s="6" t="s">
        <v>25</v>
      </c>
      <c r="B1393" s="6" t="s">
        <v>2898</v>
      </c>
      <c r="D1393" s="6" t="s">
        <v>3148</v>
      </c>
      <c r="E1393" s="6">
        <v>3</v>
      </c>
      <c r="F1393" s="6">
        <v>38</v>
      </c>
      <c r="G1393" s="6" t="s">
        <v>3259</v>
      </c>
      <c r="I1393" s="8">
        <v>83.924284</v>
      </c>
      <c r="J1393" s="8">
        <v>15.628168000000001</v>
      </c>
      <c r="K1393" s="6" t="s">
        <v>198</v>
      </c>
      <c r="L1393" s="9">
        <v>43948</v>
      </c>
      <c r="M1393" s="18">
        <v>0.33402777777777781</v>
      </c>
      <c r="N1393" s="6">
        <v>31</v>
      </c>
      <c r="O1393" s="6" t="s">
        <v>4251</v>
      </c>
      <c r="R1393" s="6">
        <v>3</v>
      </c>
      <c r="S1393" s="6">
        <v>0</v>
      </c>
      <c r="V1393" s="8">
        <v>-2.010628859257698</v>
      </c>
      <c r="W1393" s="8">
        <v>-40.050922954559326</v>
      </c>
      <c r="X1393" s="8">
        <f t="shared" si="80"/>
        <v>-23.965892080497742</v>
      </c>
    </row>
    <row r="1394" spans="1:24" x14ac:dyDescent="0.35">
      <c r="A1394" s="6" t="s">
        <v>25</v>
      </c>
      <c r="B1394" s="6" t="s">
        <v>2899</v>
      </c>
      <c r="D1394" s="6" t="s">
        <v>3149</v>
      </c>
      <c r="E1394" s="6">
        <v>3</v>
      </c>
      <c r="F1394" s="6">
        <v>38</v>
      </c>
      <c r="G1394" s="6" t="s">
        <v>3264</v>
      </c>
      <c r="I1394" s="8">
        <v>83.933342999999994</v>
      </c>
      <c r="J1394" s="8">
        <v>15.633877</v>
      </c>
      <c r="K1394" s="6" t="s">
        <v>198</v>
      </c>
      <c r="L1394" s="9">
        <v>43948</v>
      </c>
      <c r="M1394" s="18">
        <v>0.49791666666666662</v>
      </c>
      <c r="N1394" s="6">
        <v>31</v>
      </c>
      <c r="O1394" s="6" t="s">
        <v>4251</v>
      </c>
      <c r="R1394" s="6">
        <v>6</v>
      </c>
      <c r="S1394" s="6">
        <v>3</v>
      </c>
      <c r="V1394" s="8">
        <v>-15.846604674434658</v>
      </c>
      <c r="W1394" s="8">
        <v>-117.12484041213989</v>
      </c>
      <c r="X1394" s="8">
        <f t="shared" si="80"/>
        <v>9.6479969833373787</v>
      </c>
    </row>
    <row r="1395" spans="1:24" x14ac:dyDescent="0.35">
      <c r="A1395" s="6" t="s">
        <v>25</v>
      </c>
      <c r="B1395" s="6" t="s">
        <v>2900</v>
      </c>
      <c r="D1395" s="6" t="s">
        <v>3149</v>
      </c>
      <c r="E1395" s="6">
        <v>3</v>
      </c>
      <c r="F1395" s="6">
        <v>38</v>
      </c>
      <c r="G1395" s="6" t="s">
        <v>3264</v>
      </c>
      <c r="I1395" s="8">
        <v>83.933342999999994</v>
      </c>
      <c r="J1395" s="8">
        <v>15.633877</v>
      </c>
      <c r="K1395" s="6" t="s">
        <v>198</v>
      </c>
      <c r="L1395" s="9">
        <v>43948</v>
      </c>
      <c r="M1395" s="18">
        <v>0.49791666666666662</v>
      </c>
      <c r="N1395" s="6">
        <v>31</v>
      </c>
      <c r="O1395" s="6" t="s">
        <v>4251</v>
      </c>
      <c r="R1395" s="6">
        <v>3</v>
      </c>
      <c r="S1395" s="6">
        <v>0</v>
      </c>
      <c r="V1395" s="8">
        <v>-8.8760574935913077</v>
      </c>
      <c r="W1395" s="8">
        <v>-84.824530947875971</v>
      </c>
      <c r="X1395" s="8">
        <f t="shared" si="80"/>
        <v>-13.816070999145509</v>
      </c>
    </row>
    <row r="1396" spans="1:24" x14ac:dyDescent="0.35">
      <c r="A1396" s="6" t="s">
        <v>25</v>
      </c>
      <c r="B1396" s="7"/>
      <c r="D1396" s="6" t="s">
        <v>1542</v>
      </c>
      <c r="E1396" s="6">
        <v>3</v>
      </c>
      <c r="F1396" s="6">
        <v>38</v>
      </c>
      <c r="G1396" s="6" t="s">
        <v>202</v>
      </c>
      <c r="I1396" s="8">
        <v>83.938997847222197</v>
      </c>
      <c r="J1396" s="8">
        <v>15.6730686111111</v>
      </c>
      <c r="K1396" s="6" t="s">
        <v>29</v>
      </c>
      <c r="L1396" s="9">
        <v>43948</v>
      </c>
      <c r="N1396" s="6">
        <v>31</v>
      </c>
      <c r="O1396" s="6" t="s">
        <v>4251</v>
      </c>
      <c r="R1396" s="6">
        <v>0</v>
      </c>
      <c r="S1396" s="6">
        <v>5</v>
      </c>
      <c r="T1396" s="10">
        <f t="shared" ref="T1396:T1412" si="82">AVERAGE(R1396:S1396)</f>
        <v>2.5</v>
      </c>
      <c r="V1396" s="8">
        <v>-1.4380177685737614</v>
      </c>
      <c r="W1396" s="8">
        <v>-15.60770375289917</v>
      </c>
      <c r="X1396" s="8">
        <f t="shared" si="80"/>
        <v>-4.1035616043090783</v>
      </c>
    </row>
    <row r="1397" spans="1:24" x14ac:dyDescent="0.35">
      <c r="A1397" s="6" t="s">
        <v>25</v>
      </c>
      <c r="B1397" s="7"/>
      <c r="D1397" s="6" t="s">
        <v>1543</v>
      </c>
      <c r="E1397" s="6">
        <v>3</v>
      </c>
      <c r="F1397" s="6">
        <v>38</v>
      </c>
      <c r="G1397" s="6" t="s">
        <v>202</v>
      </c>
      <c r="I1397" s="8">
        <v>83.938997847222197</v>
      </c>
      <c r="J1397" s="8">
        <v>15.6730686111111</v>
      </c>
      <c r="K1397" s="6" t="s">
        <v>29</v>
      </c>
      <c r="L1397" s="9">
        <v>43948</v>
      </c>
      <c r="N1397" s="6">
        <v>31</v>
      </c>
      <c r="O1397" s="6" t="s">
        <v>4251</v>
      </c>
      <c r="R1397" s="6">
        <v>5</v>
      </c>
      <c r="S1397" s="6">
        <v>10</v>
      </c>
      <c r="T1397" s="10">
        <f t="shared" si="82"/>
        <v>7.5</v>
      </c>
      <c r="V1397" s="8">
        <v>-0.78195188595056597</v>
      </c>
      <c r="W1397" s="8">
        <v>-6.3416571916580198</v>
      </c>
      <c r="X1397" s="8">
        <f t="shared" si="80"/>
        <v>-8.6042104053491997E-2</v>
      </c>
    </row>
    <row r="1398" spans="1:24" x14ac:dyDescent="0.35">
      <c r="A1398" s="6" t="s">
        <v>25</v>
      </c>
      <c r="B1398" s="7"/>
      <c r="D1398" s="6" t="s">
        <v>1544</v>
      </c>
      <c r="E1398" s="6">
        <v>3</v>
      </c>
      <c r="F1398" s="6">
        <v>38</v>
      </c>
      <c r="G1398" s="6" t="s">
        <v>202</v>
      </c>
      <c r="I1398" s="8">
        <v>83.938997847222197</v>
      </c>
      <c r="J1398" s="8">
        <v>15.6730686111111</v>
      </c>
      <c r="K1398" s="6" t="s">
        <v>29</v>
      </c>
      <c r="L1398" s="9">
        <v>43948</v>
      </c>
      <c r="N1398" s="6">
        <v>31</v>
      </c>
      <c r="O1398" s="6" t="s">
        <v>4251</v>
      </c>
      <c r="R1398" s="6">
        <v>10</v>
      </c>
      <c r="S1398" s="6">
        <v>20</v>
      </c>
      <c r="T1398" s="10">
        <f t="shared" si="82"/>
        <v>15</v>
      </c>
      <c r="V1398" s="8">
        <v>-0.4816280802011495</v>
      </c>
      <c r="W1398" s="8">
        <v>-3.8946660369873038</v>
      </c>
      <c r="X1398" s="8">
        <f t="shared" si="80"/>
        <v>-4.1641395378107848E-2</v>
      </c>
    </row>
    <row r="1399" spans="1:24" x14ac:dyDescent="0.35">
      <c r="A1399" s="6" t="s">
        <v>25</v>
      </c>
      <c r="B1399" s="7"/>
      <c r="D1399" s="6" t="s">
        <v>1545</v>
      </c>
      <c r="E1399" s="6">
        <v>3</v>
      </c>
      <c r="F1399" s="6">
        <v>38</v>
      </c>
      <c r="G1399" s="6" t="s">
        <v>202</v>
      </c>
      <c r="I1399" s="8">
        <v>83.938997847222197</v>
      </c>
      <c r="J1399" s="8">
        <v>15.6730686111111</v>
      </c>
      <c r="K1399" s="6" t="s">
        <v>29</v>
      </c>
      <c r="L1399" s="9">
        <v>43948</v>
      </c>
      <c r="N1399" s="6">
        <v>31</v>
      </c>
      <c r="O1399" s="6" t="s">
        <v>4251</v>
      </c>
      <c r="R1399" s="6">
        <v>20</v>
      </c>
      <c r="S1399" s="6">
        <v>30</v>
      </c>
      <c r="T1399" s="10">
        <f t="shared" si="82"/>
        <v>25</v>
      </c>
      <c r="V1399" s="8">
        <v>1.2442277447462078</v>
      </c>
      <c r="W1399" s="8">
        <v>9.1061574760437018</v>
      </c>
      <c r="X1399" s="8">
        <f t="shared" si="80"/>
        <v>-0.84766448192596044</v>
      </c>
    </row>
    <row r="1400" spans="1:24" x14ac:dyDescent="0.35">
      <c r="A1400" s="6" t="s">
        <v>25</v>
      </c>
      <c r="B1400" s="7"/>
      <c r="D1400" s="6" t="s">
        <v>1546</v>
      </c>
      <c r="E1400" s="6">
        <v>3</v>
      </c>
      <c r="F1400" s="6">
        <v>38</v>
      </c>
      <c r="G1400" s="6" t="s">
        <v>202</v>
      </c>
      <c r="I1400" s="8">
        <v>83.938997847222197</v>
      </c>
      <c r="J1400" s="8">
        <v>15.6730686111111</v>
      </c>
      <c r="K1400" s="6" t="s">
        <v>29</v>
      </c>
      <c r="L1400" s="9">
        <v>43948</v>
      </c>
      <c r="N1400" s="6">
        <v>31</v>
      </c>
      <c r="O1400" s="6" t="s">
        <v>4251</v>
      </c>
      <c r="R1400" s="6">
        <v>30</v>
      </c>
      <c r="S1400" s="6">
        <v>40</v>
      </c>
      <c r="T1400" s="10">
        <f t="shared" si="82"/>
        <v>35</v>
      </c>
      <c r="V1400" s="8">
        <v>0.8671700321316721</v>
      </c>
      <c r="W1400" s="8">
        <v>6.3752699638366694</v>
      </c>
      <c r="X1400" s="8">
        <f t="shared" si="80"/>
        <v>-0.56209029321670734</v>
      </c>
    </row>
    <row r="1401" spans="1:24" x14ac:dyDescent="0.35">
      <c r="A1401" s="6" t="s">
        <v>25</v>
      </c>
      <c r="B1401" s="7"/>
      <c r="D1401" s="6" t="s">
        <v>1547</v>
      </c>
      <c r="E1401" s="6">
        <v>3</v>
      </c>
      <c r="F1401" s="6">
        <v>38</v>
      </c>
      <c r="G1401" s="6" t="s">
        <v>202</v>
      </c>
      <c r="I1401" s="8">
        <v>83.938997847222197</v>
      </c>
      <c r="J1401" s="8">
        <v>15.6730686111111</v>
      </c>
      <c r="K1401" s="6" t="s">
        <v>29</v>
      </c>
      <c r="L1401" s="9">
        <v>43948</v>
      </c>
      <c r="N1401" s="6">
        <v>31</v>
      </c>
      <c r="O1401" s="6" t="s">
        <v>4251</v>
      </c>
      <c r="R1401" s="6">
        <v>40</v>
      </c>
      <c r="S1401" s="6">
        <v>50</v>
      </c>
      <c r="T1401" s="10">
        <f t="shared" si="82"/>
        <v>45</v>
      </c>
      <c r="V1401" s="8">
        <v>0.74601290534734754</v>
      </c>
      <c r="W1401" s="8">
        <v>6.2706510406494136</v>
      </c>
      <c r="X1401" s="8">
        <f t="shared" si="80"/>
        <v>0.30254779787063324</v>
      </c>
    </row>
    <row r="1402" spans="1:24" x14ac:dyDescent="0.35">
      <c r="A1402" s="6" t="s">
        <v>25</v>
      </c>
      <c r="B1402" s="7"/>
      <c r="D1402" s="6" t="s">
        <v>1548</v>
      </c>
      <c r="E1402" s="6">
        <v>3</v>
      </c>
      <c r="F1402" s="6">
        <v>38</v>
      </c>
      <c r="G1402" s="6" t="s">
        <v>202</v>
      </c>
      <c r="I1402" s="8">
        <v>83.938997847222197</v>
      </c>
      <c r="J1402" s="8">
        <v>15.6730686111111</v>
      </c>
      <c r="K1402" s="6" t="s">
        <v>29</v>
      </c>
      <c r="L1402" s="9">
        <v>43948</v>
      </c>
      <c r="N1402" s="6">
        <v>31</v>
      </c>
      <c r="O1402" s="6" t="s">
        <v>4251</v>
      </c>
      <c r="R1402" s="6">
        <v>50</v>
      </c>
      <c r="S1402" s="6">
        <v>60</v>
      </c>
      <c r="T1402" s="10">
        <f t="shared" si="82"/>
        <v>55</v>
      </c>
      <c r="V1402" s="8">
        <v>0.82523263900280053</v>
      </c>
      <c r="W1402" s="8">
        <v>6.4724888740539548</v>
      </c>
      <c r="X1402" s="8">
        <f t="shared" si="80"/>
        <v>-0.12937223796844943</v>
      </c>
    </row>
    <row r="1403" spans="1:24" x14ac:dyDescent="0.35">
      <c r="A1403" s="6" t="s">
        <v>25</v>
      </c>
      <c r="B1403" s="7"/>
      <c r="D1403" s="6" t="s">
        <v>1549</v>
      </c>
      <c r="E1403" s="6">
        <v>3</v>
      </c>
      <c r="F1403" s="6">
        <v>38</v>
      </c>
      <c r="G1403" s="6" t="s">
        <v>202</v>
      </c>
      <c r="I1403" s="8">
        <v>83.938997847222197</v>
      </c>
      <c r="J1403" s="8">
        <v>15.6730686111111</v>
      </c>
      <c r="K1403" s="6" t="s">
        <v>29</v>
      </c>
      <c r="L1403" s="9">
        <v>43948</v>
      </c>
      <c r="N1403" s="6">
        <v>31</v>
      </c>
      <c r="O1403" s="6" t="s">
        <v>4251</v>
      </c>
      <c r="R1403" s="6">
        <v>60</v>
      </c>
      <c r="S1403" s="6">
        <v>70</v>
      </c>
      <c r="T1403" s="10">
        <f t="shared" si="82"/>
        <v>65</v>
      </c>
      <c r="V1403" s="8">
        <v>0.19680341074168717</v>
      </c>
      <c r="W1403" s="8">
        <v>2.1436509223937996</v>
      </c>
      <c r="X1403" s="8">
        <f t="shared" si="80"/>
        <v>0.56922363646030227</v>
      </c>
    </row>
    <row r="1404" spans="1:24" x14ac:dyDescent="0.35">
      <c r="A1404" s="6" t="s">
        <v>25</v>
      </c>
      <c r="B1404" s="7"/>
      <c r="D1404" s="6" t="s">
        <v>1550</v>
      </c>
      <c r="E1404" s="6">
        <v>3</v>
      </c>
      <c r="F1404" s="6">
        <v>38</v>
      </c>
      <c r="G1404" s="6" t="s">
        <v>202</v>
      </c>
      <c r="I1404" s="8">
        <v>83.938997847222197</v>
      </c>
      <c r="J1404" s="8">
        <v>15.6730686111111</v>
      </c>
      <c r="K1404" s="6" t="s">
        <v>29</v>
      </c>
      <c r="L1404" s="9">
        <v>43948</v>
      </c>
      <c r="N1404" s="6">
        <v>31</v>
      </c>
      <c r="O1404" s="6" t="s">
        <v>4251</v>
      </c>
      <c r="R1404" s="6">
        <v>70</v>
      </c>
      <c r="S1404" s="6">
        <v>80</v>
      </c>
      <c r="T1404" s="10">
        <f t="shared" si="82"/>
        <v>75</v>
      </c>
      <c r="V1404" s="8">
        <v>2.3164126659930097E-2</v>
      </c>
      <c r="W1404" s="8">
        <v>0.88542995223999088</v>
      </c>
      <c r="X1404" s="8">
        <f t="shared" si="80"/>
        <v>0.70011693896055016</v>
      </c>
    </row>
    <row r="1405" spans="1:24" x14ac:dyDescent="0.35">
      <c r="A1405" s="6" t="s">
        <v>25</v>
      </c>
      <c r="B1405" s="7"/>
      <c r="D1405" s="6" t="s">
        <v>1551</v>
      </c>
      <c r="E1405" s="6">
        <v>3</v>
      </c>
      <c r="F1405" s="6">
        <v>38</v>
      </c>
      <c r="G1405" s="6" t="s">
        <v>202</v>
      </c>
      <c r="I1405" s="8">
        <v>83.938997847222197</v>
      </c>
      <c r="J1405" s="8">
        <v>15.6730686111111</v>
      </c>
      <c r="K1405" s="6" t="s">
        <v>29</v>
      </c>
      <c r="L1405" s="9">
        <v>43948</v>
      </c>
      <c r="N1405" s="6">
        <v>31</v>
      </c>
      <c r="O1405" s="6" t="s">
        <v>4251</v>
      </c>
      <c r="R1405" s="6">
        <v>80</v>
      </c>
      <c r="S1405" s="6">
        <v>90</v>
      </c>
      <c r="T1405" s="10">
        <f t="shared" si="82"/>
        <v>85</v>
      </c>
      <c r="V1405" s="8">
        <v>-6.5779671179875432E-2</v>
      </c>
      <c r="W1405" s="8">
        <v>-0.56081326904296802</v>
      </c>
      <c r="X1405" s="8">
        <f t="shared" si="80"/>
        <v>-3.4575899603964566E-2</v>
      </c>
    </row>
    <row r="1406" spans="1:24" x14ac:dyDescent="0.35">
      <c r="A1406" s="6" t="s">
        <v>25</v>
      </c>
      <c r="B1406" s="7"/>
      <c r="D1406" s="6" t="s">
        <v>1552</v>
      </c>
      <c r="E1406" s="6">
        <v>3</v>
      </c>
      <c r="F1406" s="6">
        <v>38</v>
      </c>
      <c r="G1406" s="6" t="s">
        <v>202</v>
      </c>
      <c r="I1406" s="8">
        <v>83.938997847222197</v>
      </c>
      <c r="J1406" s="8">
        <v>15.6730686111111</v>
      </c>
      <c r="K1406" s="6" t="s">
        <v>29</v>
      </c>
      <c r="L1406" s="9">
        <v>43948</v>
      </c>
      <c r="N1406" s="6">
        <v>31</v>
      </c>
      <c r="O1406" s="6" t="s">
        <v>4251</v>
      </c>
      <c r="R1406" s="6">
        <v>90</v>
      </c>
      <c r="S1406" s="6">
        <v>100</v>
      </c>
      <c r="T1406" s="10">
        <f t="shared" si="82"/>
        <v>95</v>
      </c>
      <c r="V1406" s="8">
        <v>-9.7276423946768498E-2</v>
      </c>
      <c r="W1406" s="8">
        <v>-0.9770266880035402</v>
      </c>
      <c r="X1406" s="8">
        <f t="shared" si="80"/>
        <v>-0.19881529642939222</v>
      </c>
    </row>
    <row r="1407" spans="1:24" x14ac:dyDescent="0.35">
      <c r="A1407" s="6" t="s">
        <v>25</v>
      </c>
      <c r="B1407" s="7"/>
      <c r="D1407" s="6" t="s">
        <v>1553</v>
      </c>
      <c r="E1407" s="6">
        <v>3</v>
      </c>
      <c r="F1407" s="6">
        <v>38</v>
      </c>
      <c r="G1407" s="6" t="s">
        <v>202</v>
      </c>
      <c r="I1407" s="8">
        <v>83.938997847222197</v>
      </c>
      <c r="J1407" s="8">
        <v>15.6730686111111</v>
      </c>
      <c r="K1407" s="6" t="s">
        <v>29</v>
      </c>
      <c r="L1407" s="9">
        <v>43948</v>
      </c>
      <c r="N1407" s="6">
        <v>31</v>
      </c>
      <c r="O1407" s="6" t="s">
        <v>4251</v>
      </c>
      <c r="R1407" s="6">
        <v>100</v>
      </c>
      <c r="S1407" s="6">
        <v>110</v>
      </c>
      <c r="T1407" s="10">
        <f t="shared" si="82"/>
        <v>105</v>
      </c>
      <c r="V1407" s="8">
        <v>-0.10086561660915665</v>
      </c>
      <c r="W1407" s="8">
        <v>-1.308409706497192</v>
      </c>
      <c r="X1407" s="8">
        <f t="shared" si="80"/>
        <v>-0.50148477362393884</v>
      </c>
    </row>
    <row r="1408" spans="1:24" x14ac:dyDescent="0.35">
      <c r="A1408" s="6" t="s">
        <v>25</v>
      </c>
      <c r="B1408" s="7"/>
      <c r="D1408" s="6" t="s">
        <v>1554</v>
      </c>
      <c r="E1408" s="6">
        <v>3</v>
      </c>
      <c r="F1408" s="6">
        <v>38</v>
      </c>
      <c r="G1408" s="6" t="s">
        <v>202</v>
      </c>
      <c r="I1408" s="8">
        <v>83.938997847222197</v>
      </c>
      <c r="J1408" s="8">
        <v>15.6730686111111</v>
      </c>
      <c r="K1408" s="6" t="s">
        <v>29</v>
      </c>
      <c r="L1408" s="9">
        <v>43948</v>
      </c>
      <c r="N1408" s="6">
        <v>31</v>
      </c>
      <c r="O1408" s="6" t="s">
        <v>4251</v>
      </c>
      <c r="R1408" s="6">
        <v>110</v>
      </c>
      <c r="S1408" s="6">
        <v>120</v>
      </c>
      <c r="T1408" s="10">
        <f t="shared" si="82"/>
        <v>115</v>
      </c>
      <c r="V1408" s="8">
        <v>1.1051761157065952E-2</v>
      </c>
      <c r="W1408" s="8">
        <v>-0.42195758285522478</v>
      </c>
      <c r="X1408" s="8">
        <f t="shared" si="80"/>
        <v>-0.51037167211175238</v>
      </c>
    </row>
    <row r="1409" spans="1:24" x14ac:dyDescent="0.35">
      <c r="A1409" s="6" t="s">
        <v>25</v>
      </c>
      <c r="B1409" s="7"/>
      <c r="D1409" s="6" t="s">
        <v>1555</v>
      </c>
      <c r="E1409" s="6">
        <v>3</v>
      </c>
      <c r="F1409" s="6">
        <v>38</v>
      </c>
      <c r="G1409" s="6" t="s">
        <v>202</v>
      </c>
      <c r="I1409" s="8">
        <v>83.938997847222197</v>
      </c>
      <c r="J1409" s="8">
        <v>15.6730686111111</v>
      </c>
      <c r="K1409" s="6" t="s">
        <v>29</v>
      </c>
      <c r="L1409" s="9">
        <v>43948</v>
      </c>
      <c r="N1409" s="6">
        <v>31</v>
      </c>
      <c r="O1409" s="6" t="s">
        <v>4251</v>
      </c>
      <c r="R1409" s="6">
        <v>120</v>
      </c>
      <c r="S1409" s="6">
        <v>130</v>
      </c>
      <c r="T1409" s="10">
        <f t="shared" si="82"/>
        <v>125</v>
      </c>
      <c r="V1409" s="8">
        <v>0.32714975141286851</v>
      </c>
      <c r="W1409" s="8">
        <v>2.3178626895904539</v>
      </c>
      <c r="X1409" s="8">
        <f t="shared" si="80"/>
        <v>-0.29933532171249411</v>
      </c>
    </row>
    <row r="1410" spans="1:24" x14ac:dyDescent="0.35">
      <c r="A1410" s="6" t="s">
        <v>25</v>
      </c>
      <c r="B1410" s="7"/>
      <c r="D1410" s="6" t="s">
        <v>1556</v>
      </c>
      <c r="E1410" s="6">
        <v>3</v>
      </c>
      <c r="F1410" s="6">
        <v>38</v>
      </c>
      <c r="G1410" s="6" t="s">
        <v>202</v>
      </c>
      <c r="I1410" s="8">
        <v>83.938997847222197</v>
      </c>
      <c r="J1410" s="8">
        <v>15.6730686111111</v>
      </c>
      <c r="K1410" s="6" t="s">
        <v>29</v>
      </c>
      <c r="L1410" s="9">
        <v>43948</v>
      </c>
      <c r="N1410" s="6">
        <v>31</v>
      </c>
      <c r="O1410" s="6" t="s">
        <v>4251</v>
      </c>
      <c r="R1410" s="6">
        <v>130</v>
      </c>
      <c r="S1410" s="6">
        <v>140</v>
      </c>
      <c r="T1410" s="10">
        <f t="shared" si="82"/>
        <v>135</v>
      </c>
      <c r="V1410" s="8">
        <v>0.54904773752689329</v>
      </c>
      <c r="W1410" s="8">
        <v>3.4586581626892086</v>
      </c>
      <c r="X1410" s="8">
        <f t="shared" ref="X1410:X1473" si="83">W1410-(8*V1410)</f>
        <v>-0.93372373752593774</v>
      </c>
    </row>
    <row r="1411" spans="1:24" x14ac:dyDescent="0.35">
      <c r="A1411" s="6" t="s">
        <v>25</v>
      </c>
      <c r="B1411" s="7"/>
      <c r="D1411" s="6" t="s">
        <v>1557</v>
      </c>
      <c r="E1411" s="6">
        <v>3</v>
      </c>
      <c r="F1411" s="6">
        <v>38</v>
      </c>
      <c r="G1411" s="6" t="s">
        <v>202</v>
      </c>
      <c r="I1411" s="8">
        <v>83.938997847222197</v>
      </c>
      <c r="J1411" s="8">
        <v>15.6730686111111</v>
      </c>
      <c r="K1411" s="6" t="s">
        <v>29</v>
      </c>
      <c r="L1411" s="9">
        <v>43948</v>
      </c>
      <c r="N1411" s="6">
        <v>31</v>
      </c>
      <c r="O1411" s="6" t="s">
        <v>4251</v>
      </c>
      <c r="R1411" s="6">
        <v>140</v>
      </c>
      <c r="S1411" s="6">
        <v>150</v>
      </c>
      <c r="T1411" s="10">
        <f t="shared" si="82"/>
        <v>145</v>
      </c>
      <c r="V1411" s="8">
        <v>0.7935923120498658</v>
      </c>
      <c r="W1411" s="8">
        <v>7.2024998359680179</v>
      </c>
      <c r="X1411" s="8">
        <f t="shared" si="83"/>
        <v>0.8537613395690915</v>
      </c>
    </row>
    <row r="1412" spans="1:24" x14ac:dyDescent="0.35">
      <c r="A1412" s="6" t="s">
        <v>25</v>
      </c>
      <c r="B1412" s="7"/>
      <c r="D1412" s="6" t="s">
        <v>1558</v>
      </c>
      <c r="E1412" s="6">
        <v>3</v>
      </c>
      <c r="F1412" s="6">
        <v>38</v>
      </c>
      <c r="G1412" s="6" t="s">
        <v>202</v>
      </c>
      <c r="I1412" s="8">
        <v>83.938997847222197</v>
      </c>
      <c r="J1412" s="8">
        <v>15.6730686111111</v>
      </c>
      <c r="K1412" s="6" t="s">
        <v>29</v>
      </c>
      <c r="L1412" s="9">
        <v>43948</v>
      </c>
      <c r="N1412" s="6">
        <v>31</v>
      </c>
      <c r="O1412" s="6" t="s">
        <v>4251</v>
      </c>
      <c r="R1412" s="6">
        <v>150</v>
      </c>
      <c r="S1412" s="6">
        <v>161</v>
      </c>
      <c r="T1412" s="10">
        <f t="shared" si="82"/>
        <v>155.5</v>
      </c>
      <c r="V1412" s="8">
        <v>0.95363176757097223</v>
      </c>
      <c r="W1412" s="8">
        <v>11.437162087440491</v>
      </c>
      <c r="X1412" s="8">
        <f t="shared" si="83"/>
        <v>3.8081079468727133</v>
      </c>
    </row>
    <row r="1413" spans="1:24" x14ac:dyDescent="0.35">
      <c r="A1413" s="6" t="s">
        <v>25</v>
      </c>
      <c r="B1413" s="7" t="s">
        <v>1559</v>
      </c>
      <c r="D1413" s="6" t="s">
        <v>1560</v>
      </c>
      <c r="E1413" s="6">
        <v>3</v>
      </c>
      <c r="F1413" s="6">
        <v>38</v>
      </c>
      <c r="G1413" s="6" t="s">
        <v>60</v>
      </c>
      <c r="I1413" s="8">
        <v>84.026365902777798</v>
      </c>
      <c r="J1413" s="8">
        <v>16.506753680555601</v>
      </c>
      <c r="K1413" s="7" t="s">
        <v>2610</v>
      </c>
      <c r="L1413" s="9">
        <v>43949</v>
      </c>
      <c r="N1413" s="6">
        <v>31</v>
      </c>
      <c r="O1413" s="6" t="s">
        <v>4371</v>
      </c>
      <c r="Q1413" s="10"/>
      <c r="R1413" s="10"/>
      <c r="S1413" s="10"/>
      <c r="T1413" s="10"/>
      <c r="U1413" s="11"/>
      <c r="V1413" s="8">
        <v>-0.58216260795593244</v>
      </c>
      <c r="W1413" s="8">
        <v>-2.273357872962952</v>
      </c>
      <c r="X1413" s="8">
        <f t="shared" si="83"/>
        <v>2.3839429906845075</v>
      </c>
    </row>
    <row r="1414" spans="1:24" x14ac:dyDescent="0.35">
      <c r="A1414" s="6" t="s">
        <v>25</v>
      </c>
      <c r="B1414" s="6" t="s">
        <v>3494</v>
      </c>
      <c r="D1414" s="6" t="s">
        <v>3796</v>
      </c>
      <c r="E1414" s="6">
        <v>3</v>
      </c>
      <c r="F1414" s="6">
        <v>38</v>
      </c>
      <c r="G1414" s="6" t="s">
        <v>4098</v>
      </c>
      <c r="I1414" s="8">
        <v>84.026365902777798</v>
      </c>
      <c r="J1414" s="8">
        <v>16.506753680555601</v>
      </c>
      <c r="K1414" s="6" t="s">
        <v>2610</v>
      </c>
      <c r="L1414" s="9">
        <v>43949</v>
      </c>
      <c r="N1414" s="6">
        <v>31</v>
      </c>
      <c r="O1414" s="6" t="s">
        <v>4371</v>
      </c>
      <c r="V1414" s="8">
        <v>-0.46067138134002716</v>
      </c>
      <c r="W1414" s="8">
        <v>-2.1225902714967728</v>
      </c>
      <c r="X1414" s="27">
        <f t="shared" si="83"/>
        <v>1.5627807792234445</v>
      </c>
    </row>
    <row r="1415" spans="1:24" x14ac:dyDescent="0.35">
      <c r="A1415" s="6" t="s">
        <v>25</v>
      </c>
      <c r="B1415" s="6" t="s">
        <v>3495</v>
      </c>
      <c r="D1415" s="6" t="s">
        <v>3797</v>
      </c>
      <c r="E1415" s="6">
        <v>3</v>
      </c>
      <c r="F1415" s="6">
        <v>38</v>
      </c>
      <c r="G1415" s="6" t="s">
        <v>4099</v>
      </c>
      <c r="I1415" s="8">
        <v>84.004115208333317</v>
      </c>
      <c r="J1415" s="8">
        <v>17.203670277777771</v>
      </c>
      <c r="K1415" s="6" t="s">
        <v>2610</v>
      </c>
      <c r="L1415" s="9">
        <v>43950</v>
      </c>
      <c r="N1415" s="6">
        <v>31</v>
      </c>
      <c r="O1415" s="6" t="s">
        <v>4372</v>
      </c>
      <c r="V1415" s="8">
        <v>-0.3840739806747433</v>
      </c>
      <c r="W1415" s="8">
        <v>-1.7409305421352386</v>
      </c>
      <c r="X1415" s="27">
        <f t="shared" si="83"/>
        <v>1.3316613032627078</v>
      </c>
    </row>
    <row r="1416" spans="1:24" x14ac:dyDescent="0.35">
      <c r="A1416" s="6" t="s">
        <v>25</v>
      </c>
      <c r="B1416" s="6" t="s">
        <v>1561</v>
      </c>
      <c r="D1416" s="6" t="s">
        <v>1562</v>
      </c>
      <c r="E1416" s="6">
        <v>3</v>
      </c>
      <c r="F1416" s="6">
        <v>38</v>
      </c>
      <c r="G1416" s="6" t="s">
        <v>1563</v>
      </c>
      <c r="I1416" s="8">
        <v>83.933978541666704</v>
      </c>
      <c r="J1416" s="8">
        <v>17.471342499999999</v>
      </c>
      <c r="K1416" s="6" t="s">
        <v>29</v>
      </c>
      <c r="L1416" s="9">
        <v>43951</v>
      </c>
      <c r="N1416" s="6">
        <v>31</v>
      </c>
      <c r="O1416" s="6" t="s">
        <v>4373</v>
      </c>
      <c r="Q1416" s="6">
        <v>0</v>
      </c>
      <c r="R1416" s="6">
        <v>0</v>
      </c>
      <c r="S1416" s="6">
        <v>10</v>
      </c>
      <c r="T1416" s="10">
        <f t="shared" ref="T1416:T1436" si="84">AVERAGE(R1416:S1416)</f>
        <v>5</v>
      </c>
      <c r="V1416" s="8">
        <v>-6.0429377850055701</v>
      </c>
      <c r="W1416" s="8">
        <v>-48.765893754959109</v>
      </c>
      <c r="X1416" s="8">
        <f t="shared" si="83"/>
        <v>-0.42239147491454787</v>
      </c>
    </row>
    <row r="1417" spans="1:24" x14ac:dyDescent="0.35">
      <c r="A1417" s="6" t="s">
        <v>25</v>
      </c>
      <c r="B1417" s="6" t="s">
        <v>1564</v>
      </c>
      <c r="D1417" s="6" t="s">
        <v>1562</v>
      </c>
      <c r="E1417" s="6">
        <v>3</v>
      </c>
      <c r="F1417" s="6">
        <v>38</v>
      </c>
      <c r="G1417" s="6" t="s">
        <v>1563</v>
      </c>
      <c r="I1417" s="8">
        <v>83.933978541666704</v>
      </c>
      <c r="J1417" s="8">
        <v>17.471342499999999</v>
      </c>
      <c r="K1417" s="6" t="s">
        <v>29</v>
      </c>
      <c r="L1417" s="9">
        <v>43951</v>
      </c>
      <c r="N1417" s="6">
        <v>31</v>
      </c>
      <c r="O1417" s="6" t="s">
        <v>4373</v>
      </c>
      <c r="Q1417" s="6">
        <v>10</v>
      </c>
      <c r="R1417" s="6">
        <v>10</v>
      </c>
      <c r="S1417" s="6">
        <v>20</v>
      </c>
      <c r="T1417" s="10">
        <f t="shared" si="84"/>
        <v>15</v>
      </c>
      <c r="V1417" s="8">
        <v>-6.5738337899208075</v>
      </c>
      <c r="W1417" s="8">
        <v>-51.295428323745725</v>
      </c>
      <c r="X1417" s="8">
        <f t="shared" si="83"/>
        <v>1.2952419956207351</v>
      </c>
    </row>
    <row r="1418" spans="1:24" x14ac:dyDescent="0.35">
      <c r="A1418" s="6" t="s">
        <v>25</v>
      </c>
      <c r="B1418" s="6" t="s">
        <v>1565</v>
      </c>
      <c r="D1418" s="6" t="s">
        <v>1562</v>
      </c>
      <c r="E1418" s="6">
        <v>3</v>
      </c>
      <c r="F1418" s="6">
        <v>38</v>
      </c>
      <c r="G1418" s="6" t="s">
        <v>1563</v>
      </c>
      <c r="I1418" s="8">
        <v>83.933978541666704</v>
      </c>
      <c r="J1418" s="8">
        <v>17.471342499999999</v>
      </c>
      <c r="K1418" s="6" t="s">
        <v>29</v>
      </c>
      <c r="L1418" s="9">
        <v>43951</v>
      </c>
      <c r="N1418" s="6">
        <v>31</v>
      </c>
      <c r="O1418" s="6" t="s">
        <v>4373</v>
      </c>
      <c r="Q1418" s="6">
        <v>20</v>
      </c>
      <c r="R1418" s="6">
        <v>20</v>
      </c>
      <c r="S1418" s="6">
        <v>30</v>
      </c>
      <c r="T1418" s="10">
        <f t="shared" si="84"/>
        <v>25</v>
      </c>
      <c r="V1418" s="8">
        <v>-5.0390615986347189</v>
      </c>
      <c r="W1418" s="8">
        <v>-38.58904036903381</v>
      </c>
      <c r="X1418" s="8">
        <f t="shared" si="83"/>
        <v>1.7234524200439409</v>
      </c>
    </row>
    <row r="1419" spans="1:24" x14ac:dyDescent="0.35">
      <c r="A1419" s="6" t="s">
        <v>25</v>
      </c>
      <c r="B1419" s="6" t="s">
        <v>1566</v>
      </c>
      <c r="D1419" s="6" t="s">
        <v>1562</v>
      </c>
      <c r="E1419" s="6">
        <v>3</v>
      </c>
      <c r="F1419" s="6">
        <v>38</v>
      </c>
      <c r="G1419" s="6" t="s">
        <v>1563</v>
      </c>
      <c r="I1419" s="8">
        <v>83.933978541666704</v>
      </c>
      <c r="J1419" s="8">
        <v>17.471342499999999</v>
      </c>
      <c r="K1419" s="6" t="s">
        <v>29</v>
      </c>
      <c r="L1419" s="9">
        <v>43951</v>
      </c>
      <c r="N1419" s="6">
        <v>31</v>
      </c>
      <c r="O1419" s="6" t="s">
        <v>4373</v>
      </c>
      <c r="Q1419" s="6">
        <v>30</v>
      </c>
      <c r="R1419" s="6">
        <v>30</v>
      </c>
      <c r="S1419" s="6">
        <v>40</v>
      </c>
      <c r="T1419" s="10">
        <f t="shared" si="84"/>
        <v>35</v>
      </c>
      <c r="V1419" s="8">
        <v>-3.7144119847059254</v>
      </c>
      <c r="W1419" s="8">
        <v>-28.598429109573363</v>
      </c>
      <c r="X1419" s="8">
        <f t="shared" si="83"/>
        <v>1.1168667680740398</v>
      </c>
    </row>
    <row r="1420" spans="1:24" x14ac:dyDescent="0.35">
      <c r="A1420" s="6" t="s">
        <v>25</v>
      </c>
      <c r="B1420" s="6" t="s">
        <v>1567</v>
      </c>
      <c r="D1420" s="6" t="s">
        <v>1562</v>
      </c>
      <c r="E1420" s="6">
        <v>3</v>
      </c>
      <c r="F1420" s="6">
        <v>38</v>
      </c>
      <c r="G1420" s="6" t="s">
        <v>1563</v>
      </c>
      <c r="I1420" s="8">
        <v>83.933978541666704</v>
      </c>
      <c r="J1420" s="8">
        <v>17.471342499999999</v>
      </c>
      <c r="K1420" s="6" t="s">
        <v>29</v>
      </c>
      <c r="L1420" s="9">
        <v>43951</v>
      </c>
      <c r="N1420" s="6">
        <v>31</v>
      </c>
      <c r="O1420" s="6" t="s">
        <v>4373</v>
      </c>
      <c r="Q1420" s="6">
        <v>40</v>
      </c>
      <c r="R1420" s="6">
        <v>40</v>
      </c>
      <c r="S1420" s="6">
        <v>50</v>
      </c>
      <c r="T1420" s="10">
        <f t="shared" si="84"/>
        <v>45</v>
      </c>
      <c r="V1420" s="8">
        <v>-3.4284687034130101</v>
      </c>
      <c r="W1420" s="8">
        <v>-26.345447143554686</v>
      </c>
      <c r="X1420" s="8">
        <f t="shared" si="83"/>
        <v>1.0823024837493946</v>
      </c>
    </row>
    <row r="1421" spans="1:24" x14ac:dyDescent="0.35">
      <c r="A1421" s="6" t="s">
        <v>25</v>
      </c>
      <c r="B1421" s="6" t="s">
        <v>1568</v>
      </c>
      <c r="D1421" s="6" t="s">
        <v>1562</v>
      </c>
      <c r="E1421" s="6">
        <v>3</v>
      </c>
      <c r="F1421" s="6">
        <v>38</v>
      </c>
      <c r="G1421" s="6" t="s">
        <v>1563</v>
      </c>
      <c r="I1421" s="8">
        <v>83.933978541666704</v>
      </c>
      <c r="J1421" s="8">
        <v>17.471342499999999</v>
      </c>
      <c r="K1421" s="6" t="s">
        <v>29</v>
      </c>
      <c r="L1421" s="9">
        <v>43951</v>
      </c>
      <c r="N1421" s="6">
        <v>31</v>
      </c>
      <c r="O1421" s="6" t="s">
        <v>4373</v>
      </c>
      <c r="Q1421" s="6">
        <v>50</v>
      </c>
      <c r="R1421" s="6">
        <v>50</v>
      </c>
      <c r="S1421" s="6">
        <v>60</v>
      </c>
      <c r="T1421" s="10">
        <f t="shared" si="84"/>
        <v>55</v>
      </c>
      <c r="V1421" s="8">
        <v>3.8401500574685277E-2</v>
      </c>
      <c r="W1421" s="8">
        <v>0.21752678333222833</v>
      </c>
      <c r="X1421" s="8">
        <f t="shared" si="83"/>
        <v>-8.9685221265253884E-2</v>
      </c>
    </row>
    <row r="1422" spans="1:24" x14ac:dyDescent="0.35">
      <c r="A1422" s="6" t="s">
        <v>25</v>
      </c>
      <c r="B1422" s="6" t="s">
        <v>1569</v>
      </c>
      <c r="D1422" s="6" t="s">
        <v>1562</v>
      </c>
      <c r="E1422" s="6">
        <v>3</v>
      </c>
      <c r="F1422" s="6">
        <v>38</v>
      </c>
      <c r="G1422" s="6" t="s">
        <v>1563</v>
      </c>
      <c r="I1422" s="8">
        <v>83.933978541666704</v>
      </c>
      <c r="J1422" s="8">
        <v>17.471342499999999</v>
      </c>
      <c r="K1422" s="6" t="s">
        <v>29</v>
      </c>
      <c r="L1422" s="9">
        <v>43951</v>
      </c>
      <c r="N1422" s="6">
        <v>31</v>
      </c>
      <c r="O1422" s="6" t="s">
        <v>4373</v>
      </c>
      <c r="Q1422" s="6">
        <v>60</v>
      </c>
      <c r="R1422" s="6">
        <v>60</v>
      </c>
      <c r="S1422" s="6">
        <v>70</v>
      </c>
      <c r="T1422" s="10">
        <f t="shared" si="84"/>
        <v>65</v>
      </c>
      <c r="V1422" s="8">
        <v>-0.49624577855467794</v>
      </c>
      <c r="W1422" s="8">
        <v>-3.6171543111801148</v>
      </c>
      <c r="X1422" s="8">
        <f t="shared" si="83"/>
        <v>0.35281191725730876</v>
      </c>
    </row>
    <row r="1423" spans="1:24" x14ac:dyDescent="0.35">
      <c r="A1423" s="6" t="s">
        <v>25</v>
      </c>
      <c r="B1423" s="6" t="s">
        <v>1570</v>
      </c>
      <c r="D1423" s="6" t="s">
        <v>1562</v>
      </c>
      <c r="E1423" s="6">
        <v>3</v>
      </c>
      <c r="F1423" s="6">
        <v>38</v>
      </c>
      <c r="G1423" s="6" t="s">
        <v>1563</v>
      </c>
      <c r="I1423" s="8">
        <v>83.933978541666704</v>
      </c>
      <c r="J1423" s="8">
        <v>17.471342499999999</v>
      </c>
      <c r="K1423" s="6" t="s">
        <v>29</v>
      </c>
      <c r="L1423" s="9">
        <v>43951</v>
      </c>
      <c r="N1423" s="6">
        <v>31</v>
      </c>
      <c r="O1423" s="6" t="s">
        <v>4373</v>
      </c>
      <c r="Q1423" s="6">
        <v>70</v>
      </c>
      <c r="R1423" s="6">
        <v>70</v>
      </c>
      <c r="S1423" s="6">
        <v>80</v>
      </c>
      <c r="T1423" s="10">
        <f t="shared" si="84"/>
        <v>75</v>
      </c>
      <c r="V1423" s="8">
        <v>-0.89462917423248256</v>
      </c>
      <c r="W1423" s="8">
        <v>-5.9666251418590557</v>
      </c>
      <c r="X1423" s="8">
        <f t="shared" si="83"/>
        <v>1.1904082520008048</v>
      </c>
    </row>
    <row r="1424" spans="1:24" x14ac:dyDescent="0.35">
      <c r="A1424" s="6" t="s">
        <v>25</v>
      </c>
      <c r="B1424" s="6" t="s">
        <v>1571</v>
      </c>
      <c r="D1424" s="6" t="s">
        <v>1562</v>
      </c>
      <c r="E1424" s="6">
        <v>3</v>
      </c>
      <c r="F1424" s="6">
        <v>38</v>
      </c>
      <c r="G1424" s="6" t="s">
        <v>1563</v>
      </c>
      <c r="I1424" s="8">
        <v>83.933978541666704</v>
      </c>
      <c r="J1424" s="8">
        <v>17.471342499999999</v>
      </c>
      <c r="K1424" s="6" t="s">
        <v>29</v>
      </c>
      <c r="L1424" s="9">
        <v>43951</v>
      </c>
      <c r="N1424" s="6">
        <v>31</v>
      </c>
      <c r="O1424" s="6" t="s">
        <v>4373</v>
      </c>
      <c r="Q1424" s="6">
        <v>80</v>
      </c>
      <c r="R1424" s="6">
        <v>80</v>
      </c>
      <c r="S1424" s="6">
        <v>90</v>
      </c>
      <c r="T1424" s="10">
        <f t="shared" si="84"/>
        <v>85</v>
      </c>
      <c r="V1424" s="8">
        <v>-1.3863636408448217</v>
      </c>
      <c r="W1424" s="8">
        <v>-10.768032530784605</v>
      </c>
      <c r="X1424" s="8">
        <f t="shared" si="83"/>
        <v>0.32287659597396789</v>
      </c>
    </row>
    <row r="1425" spans="1:25" x14ac:dyDescent="0.35">
      <c r="A1425" s="6" t="s">
        <v>25</v>
      </c>
      <c r="B1425" s="6" t="s">
        <v>1572</v>
      </c>
      <c r="D1425" s="6" t="s">
        <v>1562</v>
      </c>
      <c r="E1425" s="6">
        <v>3</v>
      </c>
      <c r="F1425" s="6">
        <v>38</v>
      </c>
      <c r="G1425" s="6" t="s">
        <v>1563</v>
      </c>
      <c r="I1425" s="8">
        <v>83.933978541666704</v>
      </c>
      <c r="J1425" s="8">
        <v>17.471342499999999</v>
      </c>
      <c r="K1425" s="6" t="s">
        <v>29</v>
      </c>
      <c r="L1425" s="9">
        <v>43951</v>
      </c>
      <c r="N1425" s="6">
        <v>31</v>
      </c>
      <c r="O1425" s="6" t="s">
        <v>4373</v>
      </c>
      <c r="Q1425" s="6">
        <v>90</v>
      </c>
      <c r="R1425" s="6">
        <v>90</v>
      </c>
      <c r="S1425" s="6">
        <v>100</v>
      </c>
      <c r="T1425" s="10">
        <f t="shared" si="84"/>
        <v>95</v>
      </c>
      <c r="V1425" s="8">
        <v>-1.6658117322325703</v>
      </c>
      <c r="W1425" s="8">
        <v>-13.371871840000153</v>
      </c>
      <c r="X1425" s="8">
        <f t="shared" si="83"/>
        <v>-4.5377982139591211E-2</v>
      </c>
    </row>
    <row r="1426" spans="1:25" x14ac:dyDescent="0.35">
      <c r="A1426" s="6" t="s">
        <v>25</v>
      </c>
      <c r="B1426" s="6" t="s">
        <v>1573</v>
      </c>
      <c r="D1426" s="6" t="s">
        <v>1562</v>
      </c>
      <c r="E1426" s="6">
        <v>3</v>
      </c>
      <c r="F1426" s="6">
        <v>38</v>
      </c>
      <c r="G1426" s="6" t="s">
        <v>1563</v>
      </c>
      <c r="I1426" s="8">
        <v>83.933978541666704</v>
      </c>
      <c r="J1426" s="8">
        <v>17.471342499999999</v>
      </c>
      <c r="K1426" s="6" t="s">
        <v>29</v>
      </c>
      <c r="L1426" s="9">
        <v>43951</v>
      </c>
      <c r="N1426" s="6">
        <v>31</v>
      </c>
      <c r="O1426" s="6" t="s">
        <v>4373</v>
      </c>
      <c r="Q1426" s="6">
        <v>100</v>
      </c>
      <c r="R1426" s="6">
        <v>100</v>
      </c>
      <c r="S1426" s="6">
        <v>111</v>
      </c>
      <c r="T1426" s="10">
        <f t="shared" si="84"/>
        <v>105.5</v>
      </c>
      <c r="V1426" s="8">
        <v>-1.7751289467215536</v>
      </c>
      <c r="W1426" s="8">
        <v>-13.734113301753997</v>
      </c>
      <c r="X1426" s="8">
        <f t="shared" si="83"/>
        <v>0.46691827201843239</v>
      </c>
    </row>
    <row r="1427" spans="1:25" x14ac:dyDescent="0.35">
      <c r="A1427" s="6" t="s">
        <v>25</v>
      </c>
      <c r="B1427" s="6" t="s">
        <v>1574</v>
      </c>
      <c r="D1427" s="6" t="s">
        <v>1562</v>
      </c>
      <c r="E1427" s="6">
        <v>3</v>
      </c>
      <c r="F1427" s="6">
        <v>38</v>
      </c>
      <c r="G1427" s="6" t="s">
        <v>1563</v>
      </c>
      <c r="I1427" s="8">
        <v>83.933978541666704</v>
      </c>
      <c r="J1427" s="8">
        <v>17.471342499999999</v>
      </c>
      <c r="K1427" s="6" t="s">
        <v>29</v>
      </c>
      <c r="L1427" s="9">
        <v>43951</v>
      </c>
      <c r="N1427" s="6">
        <v>31</v>
      </c>
      <c r="O1427" s="6" t="s">
        <v>4373</v>
      </c>
      <c r="Q1427" s="6">
        <v>111</v>
      </c>
      <c r="R1427" s="6">
        <v>111</v>
      </c>
      <c r="S1427" s="6">
        <v>121</v>
      </c>
      <c r="T1427" s="10">
        <f t="shared" si="84"/>
        <v>116</v>
      </c>
      <c r="V1427" s="8">
        <v>-1.0942649794936181</v>
      </c>
      <c r="W1427" s="8">
        <v>-8.2793221889019026</v>
      </c>
      <c r="X1427" s="8">
        <f t="shared" si="83"/>
        <v>0.4747976470470423</v>
      </c>
    </row>
    <row r="1428" spans="1:25" x14ac:dyDescent="0.35">
      <c r="A1428" s="6" t="s">
        <v>25</v>
      </c>
      <c r="B1428" s="6" t="s">
        <v>1575</v>
      </c>
      <c r="D1428" s="6" t="s">
        <v>1562</v>
      </c>
      <c r="E1428" s="6">
        <v>3</v>
      </c>
      <c r="F1428" s="6">
        <v>38</v>
      </c>
      <c r="G1428" s="6" t="s">
        <v>1563</v>
      </c>
      <c r="I1428" s="8">
        <v>83.933978541666704</v>
      </c>
      <c r="J1428" s="8">
        <v>17.471342499999999</v>
      </c>
      <c r="K1428" s="6" t="s">
        <v>29</v>
      </c>
      <c r="L1428" s="9">
        <v>43951</v>
      </c>
      <c r="N1428" s="6">
        <v>31</v>
      </c>
      <c r="O1428" s="6" t="s">
        <v>4373</v>
      </c>
      <c r="Q1428" s="6">
        <v>121</v>
      </c>
      <c r="R1428" s="6">
        <v>121</v>
      </c>
      <c r="S1428" s="6">
        <v>131</v>
      </c>
      <c r="T1428" s="10">
        <f t="shared" si="84"/>
        <v>126</v>
      </c>
      <c r="V1428" s="8">
        <v>-0.28130208852887145</v>
      </c>
      <c r="W1428" s="8">
        <v>-2.0180684978961949</v>
      </c>
      <c r="X1428" s="8">
        <f t="shared" si="83"/>
        <v>0.23234821033477671</v>
      </c>
    </row>
    <row r="1429" spans="1:25" x14ac:dyDescent="0.35">
      <c r="A1429" s="6" t="s">
        <v>25</v>
      </c>
      <c r="B1429" s="6" t="s">
        <v>1576</v>
      </c>
      <c r="D1429" s="6" t="s">
        <v>1562</v>
      </c>
      <c r="E1429" s="6">
        <v>3</v>
      </c>
      <c r="F1429" s="6">
        <v>38</v>
      </c>
      <c r="G1429" s="6" t="s">
        <v>1563</v>
      </c>
      <c r="I1429" s="8">
        <v>83.933978541666704</v>
      </c>
      <c r="J1429" s="8">
        <v>17.471342499999999</v>
      </c>
      <c r="K1429" s="6" t="s">
        <v>29</v>
      </c>
      <c r="L1429" s="9">
        <v>43951</v>
      </c>
      <c r="N1429" s="6">
        <v>31</v>
      </c>
      <c r="O1429" s="6" t="s">
        <v>4373</v>
      </c>
      <c r="Q1429" s="6">
        <v>131</v>
      </c>
      <c r="R1429" s="6">
        <v>131</v>
      </c>
      <c r="S1429" s="6">
        <v>141</v>
      </c>
      <c r="T1429" s="10">
        <f t="shared" si="84"/>
        <v>136</v>
      </c>
      <c r="V1429" s="8">
        <v>-0.24593264961242653</v>
      </c>
      <c r="W1429" s="8">
        <v>-1.6769638592004774</v>
      </c>
      <c r="X1429" s="8">
        <f t="shared" si="83"/>
        <v>0.29049733769893482</v>
      </c>
    </row>
    <row r="1430" spans="1:25" x14ac:dyDescent="0.35">
      <c r="A1430" s="6" t="s">
        <v>25</v>
      </c>
      <c r="B1430" s="6" t="s">
        <v>1577</v>
      </c>
      <c r="D1430" s="6" t="s">
        <v>1562</v>
      </c>
      <c r="E1430" s="6">
        <v>3</v>
      </c>
      <c r="F1430" s="6">
        <v>38</v>
      </c>
      <c r="G1430" s="6" t="s">
        <v>1563</v>
      </c>
      <c r="I1430" s="8">
        <v>83.933978541666704</v>
      </c>
      <c r="J1430" s="8">
        <v>17.471342499999999</v>
      </c>
      <c r="K1430" s="6" t="s">
        <v>29</v>
      </c>
      <c r="L1430" s="9">
        <v>43951</v>
      </c>
      <c r="N1430" s="6">
        <v>31</v>
      </c>
      <c r="O1430" s="6" t="s">
        <v>4373</v>
      </c>
      <c r="Q1430" s="6">
        <v>141</v>
      </c>
      <c r="R1430" s="6">
        <v>141</v>
      </c>
      <c r="S1430" s="6">
        <v>151</v>
      </c>
      <c r="T1430" s="10">
        <f t="shared" si="84"/>
        <v>146</v>
      </c>
      <c r="V1430" s="8">
        <v>0.16139148085415372</v>
      </c>
      <c r="W1430" s="8">
        <v>1.4663522281944754</v>
      </c>
      <c r="X1430" s="8">
        <f t="shared" si="83"/>
        <v>0.17522038136124563</v>
      </c>
    </row>
    <row r="1431" spans="1:25" x14ac:dyDescent="0.35">
      <c r="A1431" s="6" t="s">
        <v>25</v>
      </c>
      <c r="B1431" s="6" t="s">
        <v>1578</v>
      </c>
      <c r="D1431" s="6" t="s">
        <v>1562</v>
      </c>
      <c r="E1431" s="6">
        <v>3</v>
      </c>
      <c r="F1431" s="6">
        <v>38</v>
      </c>
      <c r="G1431" s="6" t="s">
        <v>1563</v>
      </c>
      <c r="I1431" s="8">
        <v>83.933978541666704</v>
      </c>
      <c r="J1431" s="8">
        <v>17.471342499999999</v>
      </c>
      <c r="K1431" s="6" t="s">
        <v>29</v>
      </c>
      <c r="L1431" s="9">
        <v>43951</v>
      </c>
      <c r="N1431" s="6">
        <v>31</v>
      </c>
      <c r="O1431" s="6" t="s">
        <v>4373</v>
      </c>
      <c r="Q1431" s="6">
        <v>151</v>
      </c>
      <c r="R1431" s="6">
        <v>151</v>
      </c>
      <c r="S1431" s="6">
        <v>161</v>
      </c>
      <c r="T1431" s="10">
        <f t="shared" si="84"/>
        <v>156</v>
      </c>
      <c r="V1431" s="8">
        <v>-5.2906594356894904E-2</v>
      </c>
      <c r="W1431" s="8">
        <v>-0.77357858031988169</v>
      </c>
      <c r="X1431" s="8">
        <f t="shared" si="83"/>
        <v>-0.35032582546472246</v>
      </c>
    </row>
    <row r="1432" spans="1:25" x14ac:dyDescent="0.35">
      <c r="A1432" s="6" t="s">
        <v>25</v>
      </c>
      <c r="B1432" s="6" t="s">
        <v>1579</v>
      </c>
      <c r="D1432" s="6" t="s">
        <v>1562</v>
      </c>
      <c r="E1432" s="6">
        <v>3</v>
      </c>
      <c r="F1432" s="6">
        <v>38</v>
      </c>
      <c r="G1432" s="6" t="s">
        <v>1563</v>
      </c>
      <c r="I1432" s="8">
        <v>83.933978541666704</v>
      </c>
      <c r="J1432" s="8">
        <v>17.471342499999999</v>
      </c>
      <c r="K1432" s="6" t="s">
        <v>29</v>
      </c>
      <c r="L1432" s="9">
        <v>43951</v>
      </c>
      <c r="N1432" s="6">
        <v>31</v>
      </c>
      <c r="O1432" s="6" t="s">
        <v>4373</v>
      </c>
      <c r="Q1432" s="6">
        <v>161</v>
      </c>
      <c r="R1432" s="6">
        <v>161</v>
      </c>
      <c r="S1432" s="6">
        <v>171</v>
      </c>
      <c r="T1432" s="10">
        <f t="shared" si="84"/>
        <v>166</v>
      </c>
      <c r="V1432" s="8">
        <v>-0.20335263968110112</v>
      </c>
      <c r="W1432" s="8">
        <v>-1.1926891236305237</v>
      </c>
      <c r="X1432" s="8">
        <f t="shared" si="83"/>
        <v>0.43413199381828527</v>
      </c>
    </row>
    <row r="1433" spans="1:25" x14ac:dyDescent="0.35">
      <c r="A1433" s="6" t="s">
        <v>25</v>
      </c>
      <c r="B1433" s="6" t="s">
        <v>1580</v>
      </c>
      <c r="D1433" s="6" t="s">
        <v>1562</v>
      </c>
      <c r="E1433" s="6">
        <v>3</v>
      </c>
      <c r="F1433" s="6">
        <v>38</v>
      </c>
      <c r="G1433" s="6" t="s">
        <v>1563</v>
      </c>
      <c r="I1433" s="8">
        <v>83.933978541666704</v>
      </c>
      <c r="J1433" s="8">
        <v>17.471342499999999</v>
      </c>
      <c r="K1433" s="6" t="s">
        <v>29</v>
      </c>
      <c r="L1433" s="9">
        <v>43951</v>
      </c>
      <c r="N1433" s="6">
        <v>31</v>
      </c>
      <c r="O1433" s="6" t="s">
        <v>4373</v>
      </c>
      <c r="Q1433" s="6">
        <v>171</v>
      </c>
      <c r="R1433" s="6">
        <v>171</v>
      </c>
      <c r="S1433" s="6">
        <v>181</v>
      </c>
      <c r="T1433" s="10">
        <f t="shared" si="84"/>
        <v>176</v>
      </c>
      <c r="V1433" s="8">
        <v>-0.13956105876565</v>
      </c>
      <c r="W1433" s="8">
        <v>-0.87538101983070349</v>
      </c>
      <c r="X1433" s="8">
        <f t="shared" si="83"/>
        <v>0.24110745029449654</v>
      </c>
    </row>
    <row r="1434" spans="1:25" x14ac:dyDescent="0.35">
      <c r="A1434" s="6" t="s">
        <v>25</v>
      </c>
      <c r="B1434" s="6" t="s">
        <v>1581</v>
      </c>
      <c r="D1434" s="6" t="s">
        <v>1562</v>
      </c>
      <c r="E1434" s="6">
        <v>3</v>
      </c>
      <c r="F1434" s="6">
        <v>38</v>
      </c>
      <c r="G1434" s="6" t="s">
        <v>1563</v>
      </c>
      <c r="I1434" s="8">
        <v>83.933978541666704</v>
      </c>
      <c r="J1434" s="8">
        <v>17.471342499999999</v>
      </c>
      <c r="K1434" s="6" t="s">
        <v>29</v>
      </c>
      <c r="L1434" s="9">
        <v>43951</v>
      </c>
      <c r="N1434" s="6">
        <v>31</v>
      </c>
      <c r="O1434" s="6" t="s">
        <v>4373</v>
      </c>
      <c r="Q1434" s="6">
        <v>181</v>
      </c>
      <c r="R1434" s="6">
        <v>181</v>
      </c>
      <c r="S1434" s="6">
        <v>191</v>
      </c>
      <c r="T1434" s="10">
        <f t="shared" si="84"/>
        <v>186</v>
      </c>
      <c r="V1434" s="8">
        <v>0.28823290141820912</v>
      </c>
      <c r="W1434" s="8">
        <v>2.5154360799789433</v>
      </c>
      <c r="X1434" s="8">
        <f t="shared" si="83"/>
        <v>0.20957286863327029</v>
      </c>
    </row>
    <row r="1435" spans="1:25" x14ac:dyDescent="0.35">
      <c r="A1435" s="6" t="s">
        <v>25</v>
      </c>
      <c r="B1435" s="6" t="s">
        <v>1582</v>
      </c>
      <c r="D1435" s="6" t="s">
        <v>1562</v>
      </c>
      <c r="E1435" s="6">
        <v>3</v>
      </c>
      <c r="F1435" s="6">
        <v>38</v>
      </c>
      <c r="G1435" s="6" t="s">
        <v>1563</v>
      </c>
      <c r="I1435" s="8">
        <v>83.933978541666704</v>
      </c>
      <c r="J1435" s="8">
        <v>17.471342499999999</v>
      </c>
      <c r="K1435" s="6" t="s">
        <v>29</v>
      </c>
      <c r="L1435" s="9">
        <v>43951</v>
      </c>
      <c r="N1435" s="6">
        <v>31</v>
      </c>
      <c r="O1435" s="6" t="s">
        <v>4373</v>
      </c>
      <c r="Q1435" s="6">
        <v>191</v>
      </c>
      <c r="R1435" s="6">
        <v>191</v>
      </c>
      <c r="S1435" s="6">
        <v>203</v>
      </c>
      <c r="T1435" s="10">
        <f t="shared" si="84"/>
        <v>197</v>
      </c>
      <c r="V1435" s="8">
        <v>0.57587760534286536</v>
      </c>
      <c r="W1435" s="8">
        <v>4.9153060812950153</v>
      </c>
      <c r="X1435" s="8">
        <f t="shared" si="83"/>
        <v>0.30828523855209244</v>
      </c>
    </row>
    <row r="1436" spans="1:25" x14ac:dyDescent="0.35">
      <c r="A1436" s="6" t="s">
        <v>25</v>
      </c>
      <c r="B1436" s="6" t="s">
        <v>1583</v>
      </c>
      <c r="D1436" s="6" t="s">
        <v>1562</v>
      </c>
      <c r="E1436" s="6">
        <v>3</v>
      </c>
      <c r="F1436" s="6">
        <v>38</v>
      </c>
      <c r="G1436" s="6" t="s">
        <v>1563</v>
      </c>
      <c r="I1436" s="8">
        <v>83.933978541666704</v>
      </c>
      <c r="J1436" s="8">
        <v>17.471342499999999</v>
      </c>
      <c r="K1436" s="6" t="s">
        <v>29</v>
      </c>
      <c r="L1436" s="9">
        <v>43951</v>
      </c>
      <c r="N1436" s="6">
        <v>31</v>
      </c>
      <c r="O1436" s="6" t="s">
        <v>4373</v>
      </c>
      <c r="Q1436" s="6">
        <v>203</v>
      </c>
      <c r="R1436" s="6">
        <v>203</v>
      </c>
      <c r="S1436" s="6">
        <v>215</v>
      </c>
      <c r="T1436" s="10">
        <f t="shared" si="84"/>
        <v>209</v>
      </c>
      <c r="V1436" s="8">
        <v>1.1684033017396929</v>
      </c>
      <c r="W1436" s="8">
        <v>9.5417736034393315</v>
      </c>
      <c r="X1436" s="8">
        <f t="shared" si="83"/>
        <v>0.19454718952178851</v>
      </c>
    </row>
    <row r="1437" spans="1:25" x14ac:dyDescent="0.35">
      <c r="A1437" s="6" t="s">
        <v>25</v>
      </c>
      <c r="B1437" s="6" t="s">
        <v>3496</v>
      </c>
      <c r="D1437" s="6" t="s">
        <v>3798</v>
      </c>
      <c r="E1437" s="6">
        <v>3</v>
      </c>
      <c r="F1437" s="6">
        <v>38</v>
      </c>
      <c r="G1437" s="6" t="s">
        <v>4100</v>
      </c>
      <c r="I1437" s="8">
        <v>83.933978541666704</v>
      </c>
      <c r="J1437" s="8">
        <v>17.471342499999999</v>
      </c>
      <c r="K1437" s="6" t="s">
        <v>2610</v>
      </c>
      <c r="L1437" s="9">
        <v>43951</v>
      </c>
      <c r="N1437" s="6">
        <v>31</v>
      </c>
      <c r="O1437" s="6" t="s">
        <v>4373</v>
      </c>
      <c r="V1437" s="8">
        <v>-0.42422871814727747</v>
      </c>
      <c r="W1437" s="8">
        <v>-2.0218603983163832</v>
      </c>
      <c r="X1437" s="27">
        <f t="shared" si="83"/>
        <v>1.3719693468618366</v>
      </c>
    </row>
    <row r="1438" spans="1:25" x14ac:dyDescent="0.35">
      <c r="A1438" s="6" t="s">
        <v>25</v>
      </c>
      <c r="B1438" s="6" t="s">
        <v>2901</v>
      </c>
      <c r="D1438" s="6" t="s">
        <v>3150</v>
      </c>
      <c r="E1438" s="6">
        <v>3</v>
      </c>
      <c r="F1438" s="6">
        <v>38</v>
      </c>
      <c r="G1438" s="6" t="s">
        <v>3267</v>
      </c>
      <c r="I1438" s="8">
        <v>83.936435000000003</v>
      </c>
      <c r="J1438" s="8">
        <v>17.459644999999998</v>
      </c>
      <c r="K1438" s="6" t="s">
        <v>198</v>
      </c>
      <c r="L1438" s="9">
        <v>43951</v>
      </c>
      <c r="M1438" s="18">
        <v>0.4236111111111111</v>
      </c>
      <c r="N1438" s="6">
        <v>31</v>
      </c>
      <c r="O1438" s="6" t="s">
        <v>4373</v>
      </c>
      <c r="R1438" s="6">
        <v>47</v>
      </c>
      <c r="S1438" s="6">
        <v>46</v>
      </c>
      <c r="V1438" s="8">
        <v>-15.30465984573364</v>
      </c>
      <c r="W1438" s="8">
        <v>-114.55723967285157</v>
      </c>
      <c r="X1438" s="8">
        <f t="shared" si="83"/>
        <v>7.8800390930175581</v>
      </c>
      <c r="Y1438" s="19" t="s">
        <v>3266</v>
      </c>
    </row>
    <row r="1439" spans="1:25" x14ac:dyDescent="0.35">
      <c r="A1439" s="6" t="s">
        <v>25</v>
      </c>
      <c r="B1439" s="6" t="s">
        <v>2902</v>
      </c>
      <c r="D1439" s="6" t="s">
        <v>3150</v>
      </c>
      <c r="E1439" s="6">
        <v>3</v>
      </c>
      <c r="F1439" s="6">
        <v>38</v>
      </c>
      <c r="G1439" s="6" t="s">
        <v>3267</v>
      </c>
      <c r="I1439" s="8">
        <v>83.936435000000003</v>
      </c>
      <c r="J1439" s="8">
        <v>17.459644999999998</v>
      </c>
      <c r="K1439" s="6" t="s">
        <v>198</v>
      </c>
      <c r="L1439" s="9">
        <v>43951</v>
      </c>
      <c r="M1439" s="18">
        <v>0.4236111111111111</v>
      </c>
      <c r="N1439" s="6">
        <v>31</v>
      </c>
      <c r="O1439" s="6" t="s">
        <v>4373</v>
      </c>
      <c r="R1439" s="6">
        <v>5</v>
      </c>
      <c r="S1439" s="6">
        <v>0</v>
      </c>
      <c r="V1439" s="8">
        <v>-12.75829460468292</v>
      </c>
      <c r="W1439" s="8">
        <v>-109.04659558410646</v>
      </c>
      <c r="X1439" s="8">
        <f t="shared" si="83"/>
        <v>-6.9802387466430957</v>
      </c>
    </row>
    <row r="1440" spans="1:25" x14ac:dyDescent="0.35">
      <c r="A1440" s="6" t="s">
        <v>25</v>
      </c>
      <c r="B1440" s="6" t="s">
        <v>2903</v>
      </c>
      <c r="D1440" s="6" t="s">
        <v>3150</v>
      </c>
      <c r="E1440" s="6">
        <v>3</v>
      </c>
      <c r="F1440" s="6">
        <v>38</v>
      </c>
      <c r="G1440" s="6" t="s">
        <v>3267</v>
      </c>
      <c r="I1440" s="8">
        <v>83.936435000000003</v>
      </c>
      <c r="J1440" s="8">
        <v>17.459644999999998</v>
      </c>
      <c r="K1440" s="6" t="s">
        <v>198</v>
      </c>
      <c r="L1440" s="9">
        <v>43951</v>
      </c>
      <c r="M1440" s="18">
        <v>0.4236111111111111</v>
      </c>
      <c r="N1440" s="6">
        <v>31</v>
      </c>
      <c r="O1440" s="6" t="s">
        <v>4373</v>
      </c>
      <c r="R1440" s="6">
        <v>25</v>
      </c>
      <c r="S1440" s="6">
        <v>18</v>
      </c>
      <c r="V1440" s="8">
        <v>-23.300647571945188</v>
      </c>
      <c r="W1440" s="8">
        <v>-166.22887639160157</v>
      </c>
      <c r="X1440" s="8">
        <f t="shared" si="83"/>
        <v>20.176304183959928</v>
      </c>
    </row>
    <row r="1441" spans="1:25" x14ac:dyDescent="0.35">
      <c r="A1441" s="6" t="s">
        <v>25</v>
      </c>
      <c r="B1441" s="6" t="s">
        <v>3497</v>
      </c>
      <c r="D1441" s="6" t="s">
        <v>3799</v>
      </c>
      <c r="E1441" s="6">
        <v>3</v>
      </c>
      <c r="F1441" s="6">
        <v>38</v>
      </c>
      <c r="G1441" s="6" t="s">
        <v>4101</v>
      </c>
      <c r="I1441" s="8">
        <v>83.918753263888874</v>
      </c>
      <c r="J1441" s="8">
        <v>17.643582638888887</v>
      </c>
      <c r="K1441" s="6" t="s">
        <v>2610</v>
      </c>
      <c r="L1441" s="9">
        <v>43952</v>
      </c>
      <c r="N1441" s="6">
        <v>31</v>
      </c>
      <c r="O1441" s="6" t="s">
        <v>4249</v>
      </c>
      <c r="V1441" s="8">
        <v>-0.46343891464233455</v>
      </c>
      <c r="W1441" s="8">
        <v>-1.5903190567731855</v>
      </c>
      <c r="X1441" s="27">
        <f t="shared" si="83"/>
        <v>2.1171922603654911</v>
      </c>
    </row>
    <row r="1442" spans="1:25" x14ac:dyDescent="0.35">
      <c r="A1442" s="6" t="s">
        <v>25</v>
      </c>
      <c r="B1442" s="6" t="s">
        <v>3498</v>
      </c>
      <c r="D1442" s="6" t="s">
        <v>3800</v>
      </c>
      <c r="E1442" s="6">
        <v>3</v>
      </c>
      <c r="F1442" s="6">
        <v>38</v>
      </c>
      <c r="G1442" s="6" t="s">
        <v>4102</v>
      </c>
      <c r="I1442" s="8">
        <v>83.902773611111101</v>
      </c>
      <c r="J1442" s="8">
        <v>17.582518541666701</v>
      </c>
      <c r="K1442" s="7" t="s">
        <v>2610</v>
      </c>
      <c r="L1442" s="9">
        <v>43953</v>
      </c>
      <c r="N1442" s="6">
        <v>31</v>
      </c>
      <c r="O1442" s="6" t="s">
        <v>4266</v>
      </c>
      <c r="V1442" s="8">
        <v>-0.50002382056057437</v>
      </c>
      <c r="W1442" s="8">
        <v>-2.4414574492216117</v>
      </c>
      <c r="X1442" s="27">
        <f t="shared" si="83"/>
        <v>1.5587331152629833</v>
      </c>
    </row>
    <row r="1443" spans="1:25" x14ac:dyDescent="0.35">
      <c r="A1443" s="6" t="s">
        <v>25</v>
      </c>
      <c r="D1443" s="6" t="s">
        <v>1584</v>
      </c>
      <c r="E1443" s="6">
        <v>3</v>
      </c>
      <c r="F1443" s="6">
        <v>38</v>
      </c>
      <c r="G1443" s="6" t="s">
        <v>1585</v>
      </c>
      <c r="I1443" s="8">
        <v>83.902773611111101</v>
      </c>
      <c r="J1443" s="8">
        <v>17.582518541666701</v>
      </c>
      <c r="K1443" s="7" t="s">
        <v>2610</v>
      </c>
      <c r="L1443" s="9">
        <v>43953</v>
      </c>
      <c r="N1443" s="6">
        <v>31</v>
      </c>
      <c r="O1443" s="6" t="s">
        <v>4266</v>
      </c>
      <c r="Q1443" s="6">
        <v>10000</v>
      </c>
      <c r="S1443" s="6">
        <v>10000</v>
      </c>
      <c r="T1443" s="10">
        <f t="shared" ref="T1443:T1450" si="85">AVERAGE(R1443:S1443)</f>
        <v>10000</v>
      </c>
      <c r="V1443" s="8">
        <v>-0.46577800656437873</v>
      </c>
      <c r="W1443" s="8">
        <v>-2.7386758260130879</v>
      </c>
      <c r="X1443" s="8">
        <f t="shared" si="83"/>
        <v>0.98754822650194196</v>
      </c>
    </row>
    <row r="1444" spans="1:25" x14ac:dyDescent="0.35">
      <c r="A1444" s="6" t="s">
        <v>25</v>
      </c>
      <c r="D1444" s="6" t="s">
        <v>1584</v>
      </c>
      <c r="E1444" s="6">
        <v>3</v>
      </c>
      <c r="F1444" s="6">
        <v>38</v>
      </c>
      <c r="G1444" s="6" t="s">
        <v>1586</v>
      </c>
      <c r="I1444" s="8">
        <v>83.902773611111101</v>
      </c>
      <c r="J1444" s="8">
        <v>17.582518541666701</v>
      </c>
      <c r="K1444" s="7" t="s">
        <v>2610</v>
      </c>
      <c r="L1444" s="9">
        <v>43953</v>
      </c>
      <c r="N1444" s="6">
        <v>31</v>
      </c>
      <c r="O1444" s="6" t="s">
        <v>4266</v>
      </c>
      <c r="Q1444" s="6">
        <v>11500</v>
      </c>
      <c r="S1444" s="6">
        <v>11500</v>
      </c>
      <c r="T1444" s="10">
        <f t="shared" si="85"/>
        <v>11500</v>
      </c>
      <c r="V1444" s="8">
        <v>-0.18938983976841001</v>
      </c>
      <c r="W1444" s="8">
        <v>-1.0721594691276546</v>
      </c>
      <c r="X1444" s="8">
        <f t="shared" si="83"/>
        <v>0.44295924901962547</v>
      </c>
    </row>
    <row r="1445" spans="1:25" x14ac:dyDescent="0.35">
      <c r="A1445" s="6" t="s">
        <v>25</v>
      </c>
      <c r="D1445" s="6" t="s">
        <v>1584</v>
      </c>
      <c r="E1445" s="6">
        <v>3</v>
      </c>
      <c r="F1445" s="6">
        <v>38</v>
      </c>
      <c r="G1445" s="6" t="s">
        <v>1587</v>
      </c>
      <c r="I1445" s="8">
        <v>83.902773611111101</v>
      </c>
      <c r="J1445" s="8">
        <v>17.582518541666701</v>
      </c>
      <c r="K1445" s="7" t="s">
        <v>2610</v>
      </c>
      <c r="L1445" s="9">
        <v>43953</v>
      </c>
      <c r="N1445" s="6">
        <v>31</v>
      </c>
      <c r="O1445" s="6" t="s">
        <v>4266</v>
      </c>
      <c r="Q1445" s="6">
        <v>12500</v>
      </c>
      <c r="S1445" s="6">
        <v>12500</v>
      </c>
      <c r="T1445" s="10">
        <f t="shared" si="85"/>
        <v>12500</v>
      </c>
      <c r="V1445" s="8">
        <v>-0.222319200634956</v>
      </c>
      <c r="W1445" s="8">
        <v>-0.8854711441993709</v>
      </c>
      <c r="X1445" s="8">
        <f t="shared" si="83"/>
        <v>0.8930824608802771</v>
      </c>
    </row>
    <row r="1446" spans="1:25" x14ac:dyDescent="0.35">
      <c r="A1446" s="6" t="s">
        <v>25</v>
      </c>
      <c r="D1446" s="6" t="s">
        <v>1584</v>
      </c>
      <c r="E1446" s="6">
        <v>3</v>
      </c>
      <c r="F1446" s="6">
        <v>38</v>
      </c>
      <c r="G1446" s="6" t="s">
        <v>1588</v>
      </c>
      <c r="I1446" s="8">
        <v>83.902773611111101</v>
      </c>
      <c r="J1446" s="8">
        <v>17.582518541666701</v>
      </c>
      <c r="K1446" s="7" t="s">
        <v>2610</v>
      </c>
      <c r="L1446" s="9">
        <v>43953</v>
      </c>
      <c r="N1446" s="6">
        <v>31</v>
      </c>
      <c r="O1446" s="6" t="s">
        <v>4266</v>
      </c>
      <c r="Q1446" s="6">
        <v>2000</v>
      </c>
      <c r="S1446" s="6">
        <v>2000</v>
      </c>
      <c r="T1446" s="10">
        <f t="shared" si="85"/>
        <v>2000</v>
      </c>
      <c r="V1446" s="8">
        <v>-0.44690600921511636</v>
      </c>
      <c r="W1446" s="8">
        <v>-2.4098319823741905</v>
      </c>
      <c r="X1446" s="8">
        <f t="shared" si="83"/>
        <v>1.1654160913467404</v>
      </c>
    </row>
    <row r="1447" spans="1:25" x14ac:dyDescent="0.35">
      <c r="A1447" s="6" t="s">
        <v>25</v>
      </c>
      <c r="D1447" s="6" t="s">
        <v>1584</v>
      </c>
      <c r="E1447" s="6">
        <v>3</v>
      </c>
      <c r="F1447" s="6">
        <v>38</v>
      </c>
      <c r="G1447" s="6" t="s">
        <v>1589</v>
      </c>
      <c r="I1447" s="8">
        <v>83.902773611111101</v>
      </c>
      <c r="J1447" s="8">
        <v>17.582518541666701</v>
      </c>
      <c r="K1447" s="7" t="s">
        <v>2610</v>
      </c>
      <c r="L1447" s="9">
        <v>43953</v>
      </c>
      <c r="N1447" s="6">
        <v>31</v>
      </c>
      <c r="O1447" s="6" t="s">
        <v>4266</v>
      </c>
      <c r="Q1447" s="6">
        <v>4000</v>
      </c>
      <c r="S1447" s="6">
        <v>4000</v>
      </c>
      <c r="T1447" s="10">
        <f t="shared" si="85"/>
        <v>4000</v>
      </c>
      <c r="V1447" s="8">
        <v>-0.41203900056481313</v>
      </c>
      <c r="W1447" s="8">
        <v>-1.8420075688362112</v>
      </c>
      <c r="X1447" s="8">
        <f t="shared" si="83"/>
        <v>1.4543044356822938</v>
      </c>
    </row>
    <row r="1448" spans="1:25" x14ac:dyDescent="0.35">
      <c r="A1448" s="6" t="s">
        <v>25</v>
      </c>
      <c r="D1448" s="6" t="s">
        <v>1584</v>
      </c>
      <c r="E1448" s="6">
        <v>3</v>
      </c>
      <c r="F1448" s="6">
        <v>38</v>
      </c>
      <c r="G1448" s="6" t="s">
        <v>1590</v>
      </c>
      <c r="I1448" s="8">
        <v>83.902773611111101</v>
      </c>
      <c r="J1448" s="8">
        <v>17.582518541666701</v>
      </c>
      <c r="K1448" s="7" t="s">
        <v>2610</v>
      </c>
      <c r="L1448" s="9">
        <v>43953</v>
      </c>
      <c r="N1448" s="6">
        <v>31</v>
      </c>
      <c r="O1448" s="6" t="s">
        <v>4266</v>
      </c>
      <c r="Q1448" s="6">
        <v>500</v>
      </c>
      <c r="S1448" s="6">
        <v>500</v>
      </c>
      <c r="T1448" s="10">
        <f t="shared" si="85"/>
        <v>500</v>
      </c>
      <c r="V1448" s="8">
        <v>-0.5212691069483758</v>
      </c>
      <c r="W1448" s="8">
        <v>-4.5461879739761351</v>
      </c>
      <c r="X1448" s="8">
        <f t="shared" si="83"/>
        <v>-0.37603511838912862</v>
      </c>
    </row>
    <row r="1449" spans="1:25" x14ac:dyDescent="0.35">
      <c r="A1449" s="6" t="s">
        <v>25</v>
      </c>
      <c r="D1449" s="6" t="s">
        <v>1584</v>
      </c>
      <c r="E1449" s="6">
        <v>3</v>
      </c>
      <c r="F1449" s="6">
        <v>38</v>
      </c>
      <c r="G1449" s="6" t="s">
        <v>1591</v>
      </c>
      <c r="I1449" s="8">
        <v>83.902773611111101</v>
      </c>
      <c r="J1449" s="8">
        <v>17.582518541666701</v>
      </c>
      <c r="K1449" s="7" t="s">
        <v>2610</v>
      </c>
      <c r="L1449" s="9">
        <v>43953</v>
      </c>
      <c r="N1449" s="6">
        <v>31</v>
      </c>
      <c r="O1449" s="6" t="s">
        <v>4266</v>
      </c>
      <c r="Q1449" s="6">
        <v>6000</v>
      </c>
      <c r="S1449" s="6">
        <v>6000</v>
      </c>
      <c r="T1449" s="10">
        <f t="shared" si="85"/>
        <v>6000</v>
      </c>
      <c r="V1449" s="8">
        <v>-0.59955731521129563</v>
      </c>
      <c r="W1449" s="8">
        <v>-3.7111419956982132</v>
      </c>
      <c r="X1449" s="8">
        <f t="shared" si="83"/>
        <v>1.0853165259921518</v>
      </c>
    </row>
    <row r="1450" spans="1:25" x14ac:dyDescent="0.35">
      <c r="A1450" s="6" t="s">
        <v>25</v>
      </c>
      <c r="D1450" s="6" t="s">
        <v>1584</v>
      </c>
      <c r="E1450" s="6">
        <v>3</v>
      </c>
      <c r="F1450" s="6">
        <v>38</v>
      </c>
      <c r="G1450" s="6" t="s">
        <v>1592</v>
      </c>
      <c r="I1450" s="8">
        <v>83.902773611111101</v>
      </c>
      <c r="J1450" s="8">
        <v>17.582518541666701</v>
      </c>
      <c r="K1450" s="7" t="s">
        <v>2610</v>
      </c>
      <c r="L1450" s="9">
        <v>43953</v>
      </c>
      <c r="N1450" s="6">
        <v>31</v>
      </c>
      <c r="O1450" s="6" t="s">
        <v>4266</v>
      </c>
      <c r="Q1450" s="6">
        <v>7500</v>
      </c>
      <c r="S1450" s="6">
        <v>7500</v>
      </c>
      <c r="T1450" s="10">
        <f t="shared" si="85"/>
        <v>7500</v>
      </c>
      <c r="V1450" s="8">
        <v>-0.52030752144336689</v>
      </c>
      <c r="W1450" s="8">
        <v>-3.1451842018961909</v>
      </c>
      <c r="X1450" s="8">
        <f t="shared" si="83"/>
        <v>1.0172759696507443</v>
      </c>
    </row>
    <row r="1451" spans="1:25" x14ac:dyDescent="0.35">
      <c r="A1451" s="6" t="s">
        <v>25</v>
      </c>
      <c r="B1451" s="6" t="s">
        <v>3499</v>
      </c>
      <c r="D1451" s="6" t="s">
        <v>3801</v>
      </c>
      <c r="E1451" s="6">
        <v>3</v>
      </c>
      <c r="F1451" s="6">
        <v>38</v>
      </c>
      <c r="G1451" s="6" t="s">
        <v>4103</v>
      </c>
      <c r="I1451" s="8">
        <v>83.885417000000004</v>
      </c>
      <c r="J1451" s="8">
        <v>17.949331000000001</v>
      </c>
      <c r="K1451" s="6" t="s">
        <v>2610</v>
      </c>
      <c r="L1451" s="9">
        <v>43954</v>
      </c>
      <c r="N1451" s="6">
        <v>31</v>
      </c>
      <c r="O1451" s="6" t="s">
        <v>4267</v>
      </c>
      <c r="V1451" s="8">
        <v>-0.45951178623378286</v>
      </c>
      <c r="W1451" s="8">
        <v>-1.9366112466692924</v>
      </c>
      <c r="X1451" s="27">
        <f t="shared" si="83"/>
        <v>1.7394830432009705</v>
      </c>
    </row>
    <row r="1452" spans="1:25" x14ac:dyDescent="0.35">
      <c r="A1452" s="6" t="s">
        <v>25</v>
      </c>
      <c r="B1452" s="6" t="s">
        <v>2904</v>
      </c>
      <c r="D1452" s="6" t="s">
        <v>3151</v>
      </c>
      <c r="E1452" s="6">
        <v>3</v>
      </c>
      <c r="F1452" s="6">
        <v>38</v>
      </c>
      <c r="G1452" s="6" t="s">
        <v>3263</v>
      </c>
      <c r="I1452" s="8">
        <v>83.885417000000004</v>
      </c>
      <c r="J1452" s="8">
        <v>17.949331000000001</v>
      </c>
      <c r="K1452" s="6" t="s">
        <v>198</v>
      </c>
      <c r="L1452" s="9">
        <v>43954</v>
      </c>
      <c r="M1452" s="18">
        <v>0.50972222222222219</v>
      </c>
      <c r="N1452" s="6">
        <v>31</v>
      </c>
      <c r="O1452" s="6" t="s">
        <v>4267</v>
      </c>
      <c r="R1452" s="6">
        <v>20.5</v>
      </c>
      <c r="S1452" s="6">
        <v>19</v>
      </c>
      <c r="V1452" s="8">
        <v>-31.761141245269773</v>
      </c>
      <c r="W1452" s="8">
        <v>-242.83596141357421</v>
      </c>
      <c r="X1452" s="8">
        <f t="shared" si="83"/>
        <v>11.253168548583972</v>
      </c>
      <c r="Y1452" s="19" t="s">
        <v>3262</v>
      </c>
    </row>
    <row r="1453" spans="1:25" x14ac:dyDescent="0.35">
      <c r="A1453" s="6" t="s">
        <v>25</v>
      </c>
      <c r="B1453" s="6" t="s">
        <v>2905</v>
      </c>
      <c r="D1453" s="6" t="s">
        <v>3151</v>
      </c>
      <c r="E1453" s="6">
        <v>3</v>
      </c>
      <c r="F1453" s="6">
        <v>38</v>
      </c>
      <c r="G1453" s="6" t="s">
        <v>3263</v>
      </c>
      <c r="I1453" s="8">
        <v>83.885417000000004</v>
      </c>
      <c r="J1453" s="8">
        <v>17.949331000000001</v>
      </c>
      <c r="K1453" s="6" t="s">
        <v>198</v>
      </c>
      <c r="L1453" s="9">
        <v>43954</v>
      </c>
      <c r="M1453" s="18">
        <v>0.50972222222222219</v>
      </c>
      <c r="N1453" s="6">
        <v>31</v>
      </c>
      <c r="O1453" s="6" t="s">
        <v>4267</v>
      </c>
      <c r="R1453" s="6">
        <v>16</v>
      </c>
      <c r="S1453" s="6">
        <v>13</v>
      </c>
      <c r="V1453" s="8">
        <v>-34.618985456848144</v>
      </c>
      <c r="W1453" s="8">
        <v>-266.174310168457</v>
      </c>
      <c r="X1453" s="8">
        <f t="shared" si="83"/>
        <v>10.777573486328151</v>
      </c>
    </row>
    <row r="1454" spans="1:25" x14ac:dyDescent="0.35">
      <c r="A1454" s="6" t="s">
        <v>25</v>
      </c>
      <c r="B1454" s="6" t="s">
        <v>2906</v>
      </c>
      <c r="D1454" s="6" t="s">
        <v>3151</v>
      </c>
      <c r="E1454" s="6">
        <v>3</v>
      </c>
      <c r="F1454" s="6">
        <v>38</v>
      </c>
      <c r="G1454" s="6" t="s">
        <v>3263</v>
      </c>
      <c r="I1454" s="8">
        <v>83.885417000000004</v>
      </c>
      <c r="J1454" s="8">
        <v>17.949331000000001</v>
      </c>
      <c r="K1454" s="6" t="s">
        <v>198</v>
      </c>
      <c r="L1454" s="9">
        <v>43954</v>
      </c>
      <c r="M1454" s="18">
        <v>0.50972222222222219</v>
      </c>
      <c r="N1454" s="6">
        <v>31</v>
      </c>
      <c r="O1454" s="6" t="s">
        <v>4267</v>
      </c>
      <c r="R1454" s="6">
        <v>3</v>
      </c>
      <c r="S1454" s="6">
        <v>0</v>
      </c>
      <c r="V1454" s="8">
        <v>-8.3105976299285871</v>
      </c>
      <c r="W1454" s="8">
        <v>-67.00302682800293</v>
      </c>
      <c r="X1454" s="8">
        <f t="shared" si="83"/>
        <v>-0.51824578857423376</v>
      </c>
    </row>
    <row r="1455" spans="1:25" x14ac:dyDescent="0.35">
      <c r="A1455" s="6" t="s">
        <v>25</v>
      </c>
      <c r="B1455" s="6" t="s">
        <v>1593</v>
      </c>
      <c r="D1455" s="6" t="s">
        <v>3334</v>
      </c>
      <c r="E1455" s="6">
        <v>3</v>
      </c>
      <c r="F1455" s="6">
        <v>39</v>
      </c>
      <c r="G1455" s="6" t="s">
        <v>210</v>
      </c>
      <c r="I1455" s="8">
        <v>83.907985999999994</v>
      </c>
      <c r="J1455" s="8">
        <v>18.352126999999999</v>
      </c>
      <c r="K1455" s="6" t="s">
        <v>29</v>
      </c>
      <c r="L1455" s="9">
        <v>43955</v>
      </c>
      <c r="N1455" s="6">
        <v>32</v>
      </c>
      <c r="O1455" s="6" t="s">
        <v>4374</v>
      </c>
      <c r="Q1455" s="6">
        <v>0</v>
      </c>
      <c r="R1455" s="6">
        <v>0</v>
      </c>
      <c r="S1455" s="6">
        <v>10</v>
      </c>
      <c r="T1455" s="10">
        <f t="shared" ref="T1455:T1496" si="86">AVERAGE(R1455:S1455)</f>
        <v>5</v>
      </c>
      <c r="V1455" s="8">
        <v>-5.2405024646759033</v>
      </c>
      <c r="W1455" s="8">
        <v>-42.925711441040036</v>
      </c>
      <c r="X1455" s="8">
        <f t="shared" si="83"/>
        <v>-1.0016917236328098</v>
      </c>
    </row>
    <row r="1456" spans="1:25" x14ac:dyDescent="0.35">
      <c r="A1456" s="6" t="s">
        <v>25</v>
      </c>
      <c r="B1456" s="6" t="s">
        <v>1594</v>
      </c>
      <c r="D1456" s="6" t="s">
        <v>3334</v>
      </c>
      <c r="E1456" s="6">
        <v>3</v>
      </c>
      <c r="F1456" s="6">
        <v>39</v>
      </c>
      <c r="G1456" s="6" t="s">
        <v>210</v>
      </c>
      <c r="I1456" s="8">
        <v>83.907985999999994</v>
      </c>
      <c r="J1456" s="8">
        <v>18.352126999999999</v>
      </c>
      <c r="K1456" s="6" t="s">
        <v>29</v>
      </c>
      <c r="L1456" s="9">
        <v>43955</v>
      </c>
      <c r="N1456" s="6">
        <v>32</v>
      </c>
      <c r="O1456" s="6" t="s">
        <v>4374</v>
      </c>
      <c r="Q1456" s="6">
        <v>10</v>
      </c>
      <c r="R1456" s="6">
        <v>10</v>
      </c>
      <c r="S1456" s="6">
        <v>20</v>
      </c>
      <c r="T1456" s="10">
        <f t="shared" si="86"/>
        <v>15</v>
      </c>
      <c r="V1456" s="8">
        <v>-5.9858206649780277</v>
      </c>
      <c r="W1456" s="8">
        <v>-47.174068664550781</v>
      </c>
      <c r="X1456" s="8">
        <f t="shared" si="83"/>
        <v>0.71249665527344064</v>
      </c>
    </row>
    <row r="1457" spans="1:24" x14ac:dyDescent="0.35">
      <c r="A1457" s="6" t="s">
        <v>25</v>
      </c>
      <c r="B1457" s="6" t="s">
        <v>1595</v>
      </c>
      <c r="D1457" s="6" t="s">
        <v>3334</v>
      </c>
      <c r="E1457" s="6">
        <v>3</v>
      </c>
      <c r="F1457" s="6">
        <v>39</v>
      </c>
      <c r="G1457" s="6" t="s">
        <v>210</v>
      </c>
      <c r="I1457" s="8">
        <v>83.907985999999994</v>
      </c>
      <c r="J1457" s="8">
        <v>18.352126999999999</v>
      </c>
      <c r="K1457" s="6" t="s">
        <v>29</v>
      </c>
      <c r="L1457" s="9">
        <v>43955</v>
      </c>
      <c r="N1457" s="6">
        <v>32</v>
      </c>
      <c r="O1457" s="6" t="s">
        <v>4374</v>
      </c>
      <c r="Q1457" s="6">
        <v>20</v>
      </c>
      <c r="R1457" s="6">
        <v>20</v>
      </c>
      <c r="S1457" s="6">
        <v>30</v>
      </c>
      <c r="T1457" s="10">
        <f t="shared" si="86"/>
        <v>25</v>
      </c>
      <c r="V1457" s="8">
        <v>-6.2912580963134781</v>
      </c>
      <c r="W1457" s="8">
        <v>-49.069723442077638</v>
      </c>
      <c r="X1457" s="8">
        <f t="shared" si="83"/>
        <v>1.2603413284301865</v>
      </c>
    </row>
    <row r="1458" spans="1:24" x14ac:dyDescent="0.35">
      <c r="A1458" s="6" t="s">
        <v>25</v>
      </c>
      <c r="B1458" s="6" t="s">
        <v>1596</v>
      </c>
      <c r="D1458" s="6" t="s">
        <v>3334</v>
      </c>
      <c r="E1458" s="6">
        <v>3</v>
      </c>
      <c r="F1458" s="6">
        <v>39</v>
      </c>
      <c r="G1458" s="6" t="s">
        <v>210</v>
      </c>
      <c r="I1458" s="8">
        <v>83.907985999999994</v>
      </c>
      <c r="J1458" s="8">
        <v>18.352126999999999</v>
      </c>
      <c r="K1458" s="6" t="s">
        <v>29</v>
      </c>
      <c r="L1458" s="9">
        <v>43955</v>
      </c>
      <c r="N1458" s="6">
        <v>32</v>
      </c>
      <c r="O1458" s="6" t="s">
        <v>4374</v>
      </c>
      <c r="Q1458" s="6">
        <v>30</v>
      </c>
      <c r="R1458" s="6">
        <v>30</v>
      </c>
      <c r="S1458" s="6">
        <v>40</v>
      </c>
      <c r="T1458" s="10">
        <f t="shared" si="86"/>
        <v>35</v>
      </c>
      <c r="V1458" s="8">
        <v>-6.4305654235839862</v>
      </c>
      <c r="W1458" s="8">
        <v>-49.545155246734616</v>
      </c>
      <c r="X1458" s="8">
        <f t="shared" si="83"/>
        <v>1.8993681419372734</v>
      </c>
    </row>
    <row r="1459" spans="1:24" x14ac:dyDescent="0.35">
      <c r="A1459" s="6" t="s">
        <v>25</v>
      </c>
      <c r="B1459" s="6" t="s">
        <v>1597</v>
      </c>
      <c r="D1459" s="6" t="s">
        <v>3334</v>
      </c>
      <c r="E1459" s="6">
        <v>3</v>
      </c>
      <c r="F1459" s="6">
        <v>39</v>
      </c>
      <c r="G1459" s="6" t="s">
        <v>210</v>
      </c>
      <c r="I1459" s="8">
        <v>83.907985999999994</v>
      </c>
      <c r="J1459" s="8">
        <v>18.352126999999999</v>
      </c>
      <c r="K1459" s="6" t="s">
        <v>29</v>
      </c>
      <c r="L1459" s="9">
        <v>43955</v>
      </c>
      <c r="N1459" s="6">
        <v>32</v>
      </c>
      <c r="O1459" s="6" t="s">
        <v>4374</v>
      </c>
      <c r="Q1459" s="6">
        <v>40</v>
      </c>
      <c r="R1459" s="6">
        <v>40</v>
      </c>
      <c r="S1459" s="6">
        <v>50</v>
      </c>
      <c r="T1459" s="10">
        <f t="shared" si="86"/>
        <v>45</v>
      </c>
      <c r="V1459" s="8">
        <v>-4.9921729293823249</v>
      </c>
      <c r="W1459" s="8">
        <v>-38.599180561065673</v>
      </c>
      <c r="X1459" s="8">
        <f t="shared" si="83"/>
        <v>1.3382028739929268</v>
      </c>
    </row>
    <row r="1460" spans="1:24" x14ac:dyDescent="0.35">
      <c r="A1460" s="6" t="s">
        <v>25</v>
      </c>
      <c r="B1460" s="6" t="s">
        <v>1598</v>
      </c>
      <c r="D1460" s="6" t="s">
        <v>3334</v>
      </c>
      <c r="E1460" s="6">
        <v>3</v>
      </c>
      <c r="F1460" s="6">
        <v>39</v>
      </c>
      <c r="G1460" s="6" t="s">
        <v>210</v>
      </c>
      <c r="I1460" s="8">
        <v>83.907985999999994</v>
      </c>
      <c r="J1460" s="8">
        <v>18.352126999999999</v>
      </c>
      <c r="K1460" s="6" t="s">
        <v>29</v>
      </c>
      <c r="L1460" s="9">
        <v>43955</v>
      </c>
      <c r="N1460" s="6">
        <v>32</v>
      </c>
      <c r="O1460" s="6" t="s">
        <v>4374</v>
      </c>
      <c r="Q1460" s="6">
        <v>50</v>
      </c>
      <c r="R1460" s="6">
        <v>50</v>
      </c>
      <c r="S1460" s="6">
        <v>60</v>
      </c>
      <c r="T1460" s="10">
        <f t="shared" si="86"/>
        <v>55</v>
      </c>
      <c r="V1460" s="8">
        <v>-3.8280000091552737</v>
      </c>
      <c r="W1460" s="8">
        <v>-29.245139631271361</v>
      </c>
      <c r="X1460" s="8">
        <f t="shared" si="83"/>
        <v>1.3788604419708292</v>
      </c>
    </row>
    <row r="1461" spans="1:24" x14ac:dyDescent="0.35">
      <c r="A1461" s="6" t="s">
        <v>25</v>
      </c>
      <c r="B1461" s="6" t="s">
        <v>1599</v>
      </c>
      <c r="D1461" s="6" t="s">
        <v>3334</v>
      </c>
      <c r="E1461" s="6">
        <v>3</v>
      </c>
      <c r="F1461" s="6">
        <v>39</v>
      </c>
      <c r="G1461" s="6" t="s">
        <v>210</v>
      </c>
      <c r="I1461" s="8">
        <v>83.907985999999994</v>
      </c>
      <c r="J1461" s="8">
        <v>18.352126999999999</v>
      </c>
      <c r="K1461" s="6" t="s">
        <v>29</v>
      </c>
      <c r="L1461" s="9">
        <v>43955</v>
      </c>
      <c r="N1461" s="6">
        <v>32</v>
      </c>
      <c r="O1461" s="6" t="s">
        <v>4374</v>
      </c>
      <c r="Q1461" s="6">
        <v>60</v>
      </c>
      <c r="R1461" s="6">
        <v>60</v>
      </c>
      <c r="S1461" s="6">
        <v>70</v>
      </c>
      <c r="T1461" s="10">
        <f t="shared" si="86"/>
        <v>65</v>
      </c>
      <c r="V1461" s="8">
        <v>-3.6980154052734373</v>
      </c>
      <c r="W1461" s="8">
        <v>-28.286905811309815</v>
      </c>
      <c r="X1461" s="8">
        <f t="shared" si="83"/>
        <v>1.2972174308776836</v>
      </c>
    </row>
    <row r="1462" spans="1:24" x14ac:dyDescent="0.35">
      <c r="A1462" s="6" t="s">
        <v>25</v>
      </c>
      <c r="B1462" s="6" t="s">
        <v>1600</v>
      </c>
      <c r="D1462" s="6" t="s">
        <v>3334</v>
      </c>
      <c r="E1462" s="6">
        <v>3</v>
      </c>
      <c r="F1462" s="6">
        <v>39</v>
      </c>
      <c r="G1462" s="6" t="s">
        <v>210</v>
      </c>
      <c r="I1462" s="8">
        <v>83.907985999999994</v>
      </c>
      <c r="J1462" s="8">
        <v>18.352126999999999</v>
      </c>
      <c r="K1462" s="6" t="s">
        <v>29</v>
      </c>
      <c r="L1462" s="9">
        <v>43955</v>
      </c>
      <c r="N1462" s="6">
        <v>32</v>
      </c>
      <c r="O1462" s="6" t="s">
        <v>4374</v>
      </c>
      <c r="Q1462" s="6">
        <v>70</v>
      </c>
      <c r="R1462" s="6">
        <v>70</v>
      </c>
      <c r="S1462" s="6">
        <v>80</v>
      </c>
      <c r="T1462" s="10">
        <f t="shared" si="86"/>
        <v>75</v>
      </c>
      <c r="V1462" s="8">
        <v>-3.7309650512695316</v>
      </c>
      <c r="W1462" s="8">
        <v>-29.040103246688844</v>
      </c>
      <c r="X1462" s="8">
        <f t="shared" si="83"/>
        <v>0.80761716346740897</v>
      </c>
    </row>
    <row r="1463" spans="1:24" x14ac:dyDescent="0.35">
      <c r="A1463" s="6" t="s">
        <v>25</v>
      </c>
      <c r="B1463" s="6" t="s">
        <v>1601</v>
      </c>
      <c r="D1463" s="6" t="s">
        <v>3334</v>
      </c>
      <c r="E1463" s="6">
        <v>3</v>
      </c>
      <c r="F1463" s="6">
        <v>39</v>
      </c>
      <c r="G1463" s="6" t="s">
        <v>210</v>
      </c>
      <c r="I1463" s="8">
        <v>83.907985999999994</v>
      </c>
      <c r="J1463" s="8">
        <v>18.352126999999999</v>
      </c>
      <c r="K1463" s="6" t="s">
        <v>29</v>
      </c>
      <c r="L1463" s="9">
        <v>43955</v>
      </c>
      <c r="N1463" s="6">
        <v>32</v>
      </c>
      <c r="O1463" s="6" t="s">
        <v>4374</v>
      </c>
      <c r="Q1463" s="6">
        <v>80</v>
      </c>
      <c r="R1463" s="6">
        <v>80</v>
      </c>
      <c r="S1463" s="6">
        <v>90</v>
      </c>
      <c r="T1463" s="10">
        <f t="shared" si="86"/>
        <v>85</v>
      </c>
      <c r="V1463" s="8">
        <v>-3.6734536148071295</v>
      </c>
      <c r="W1463" s="8">
        <v>-28.423352741241455</v>
      </c>
      <c r="X1463" s="8">
        <f t="shared" si="83"/>
        <v>0.96427617721558079</v>
      </c>
    </row>
    <row r="1464" spans="1:24" x14ac:dyDescent="0.35">
      <c r="A1464" s="6" t="s">
        <v>25</v>
      </c>
      <c r="B1464" s="6" t="s">
        <v>1602</v>
      </c>
      <c r="D1464" s="6" t="s">
        <v>3334</v>
      </c>
      <c r="E1464" s="6">
        <v>3</v>
      </c>
      <c r="F1464" s="6">
        <v>39</v>
      </c>
      <c r="G1464" s="6" t="s">
        <v>210</v>
      </c>
      <c r="I1464" s="8">
        <v>83.907985999999994</v>
      </c>
      <c r="J1464" s="8">
        <v>18.352126999999999</v>
      </c>
      <c r="K1464" s="6" t="s">
        <v>29</v>
      </c>
      <c r="L1464" s="9">
        <v>43955</v>
      </c>
      <c r="N1464" s="6">
        <v>32</v>
      </c>
      <c r="O1464" s="6" t="s">
        <v>4374</v>
      </c>
      <c r="Q1464" s="6">
        <v>90</v>
      </c>
      <c r="R1464" s="6">
        <v>90</v>
      </c>
      <c r="S1464" s="6">
        <v>100</v>
      </c>
      <c r="T1464" s="10">
        <f t="shared" si="86"/>
        <v>95</v>
      </c>
      <c r="V1464" s="8">
        <v>-3.980082822418213</v>
      </c>
      <c r="W1464" s="8">
        <v>-30.593686511993408</v>
      </c>
      <c r="X1464" s="8">
        <f t="shared" si="83"/>
        <v>1.2469760673522963</v>
      </c>
    </row>
    <row r="1465" spans="1:24" x14ac:dyDescent="0.35">
      <c r="A1465" s="6" t="s">
        <v>25</v>
      </c>
      <c r="B1465" s="6" t="s">
        <v>1603</v>
      </c>
      <c r="D1465" s="6" t="s">
        <v>3334</v>
      </c>
      <c r="E1465" s="6">
        <v>3</v>
      </c>
      <c r="F1465" s="6">
        <v>39</v>
      </c>
      <c r="G1465" s="6" t="s">
        <v>210</v>
      </c>
      <c r="I1465" s="8">
        <v>83.907985999999994</v>
      </c>
      <c r="J1465" s="8">
        <v>18.352126999999999</v>
      </c>
      <c r="K1465" s="6" t="s">
        <v>29</v>
      </c>
      <c r="L1465" s="9">
        <v>43955</v>
      </c>
      <c r="N1465" s="6">
        <v>32</v>
      </c>
      <c r="O1465" s="6" t="s">
        <v>4374</v>
      </c>
      <c r="Q1465" s="6">
        <v>100</v>
      </c>
      <c r="R1465" s="6">
        <v>100</v>
      </c>
      <c r="S1465" s="6">
        <v>110</v>
      </c>
      <c r="T1465" s="10">
        <f t="shared" si="86"/>
        <v>105</v>
      </c>
      <c r="V1465" s="8">
        <v>-3.9741181732177737</v>
      </c>
      <c r="W1465" s="8">
        <v>-30.815024375915527</v>
      </c>
      <c r="X1465" s="8">
        <f t="shared" si="83"/>
        <v>0.97792100982666241</v>
      </c>
    </row>
    <row r="1466" spans="1:24" x14ac:dyDescent="0.35">
      <c r="A1466" s="6" t="s">
        <v>25</v>
      </c>
      <c r="B1466" s="6" t="s">
        <v>1604</v>
      </c>
      <c r="D1466" s="6" t="s">
        <v>3334</v>
      </c>
      <c r="E1466" s="6">
        <v>3</v>
      </c>
      <c r="F1466" s="6">
        <v>39</v>
      </c>
      <c r="G1466" s="6" t="s">
        <v>210</v>
      </c>
      <c r="I1466" s="8">
        <v>83.907985999999994</v>
      </c>
      <c r="J1466" s="8">
        <v>18.352126999999999</v>
      </c>
      <c r="K1466" s="6" t="s">
        <v>29</v>
      </c>
      <c r="L1466" s="9">
        <v>43955</v>
      </c>
      <c r="N1466" s="6">
        <v>32</v>
      </c>
      <c r="O1466" s="6" t="s">
        <v>4374</v>
      </c>
      <c r="Q1466" s="6">
        <v>110</v>
      </c>
      <c r="R1466" s="6">
        <v>110</v>
      </c>
      <c r="S1466" s="6">
        <v>120</v>
      </c>
      <c r="T1466" s="10">
        <f t="shared" si="86"/>
        <v>115</v>
      </c>
      <c r="V1466" s="8">
        <v>-3.4253836647033693</v>
      </c>
      <c r="W1466" s="8">
        <v>-26.264373987197875</v>
      </c>
      <c r="X1466" s="8">
        <f t="shared" si="83"/>
        <v>1.1386953304290799</v>
      </c>
    </row>
    <row r="1467" spans="1:24" x14ac:dyDescent="0.35">
      <c r="A1467" s="6" t="s">
        <v>25</v>
      </c>
      <c r="B1467" s="6" t="s">
        <v>1605</v>
      </c>
      <c r="D1467" s="6" t="s">
        <v>3334</v>
      </c>
      <c r="E1467" s="6">
        <v>3</v>
      </c>
      <c r="F1467" s="6">
        <v>39</v>
      </c>
      <c r="G1467" s="6" t="s">
        <v>210</v>
      </c>
      <c r="I1467" s="8">
        <v>83.907985999999994</v>
      </c>
      <c r="J1467" s="8">
        <v>18.352126999999999</v>
      </c>
      <c r="K1467" s="6" t="s">
        <v>29</v>
      </c>
      <c r="L1467" s="9">
        <v>43955</v>
      </c>
      <c r="N1467" s="6">
        <v>32</v>
      </c>
      <c r="O1467" s="6" t="s">
        <v>4374</v>
      </c>
      <c r="Q1467" s="6">
        <v>120</v>
      </c>
      <c r="R1467" s="6">
        <v>120</v>
      </c>
      <c r="S1467" s="6">
        <v>130</v>
      </c>
      <c r="T1467" s="10">
        <f t="shared" si="86"/>
        <v>125</v>
      </c>
      <c r="V1467" s="8">
        <v>-3.4633030105590823</v>
      </c>
      <c r="W1467" s="8">
        <v>-26.572802457809448</v>
      </c>
      <c r="X1467" s="8">
        <f t="shared" si="83"/>
        <v>1.13362162666321</v>
      </c>
    </row>
    <row r="1468" spans="1:24" x14ac:dyDescent="0.35">
      <c r="A1468" s="6" t="s">
        <v>25</v>
      </c>
      <c r="B1468" s="6" t="s">
        <v>1606</v>
      </c>
      <c r="D1468" s="6" t="s">
        <v>3334</v>
      </c>
      <c r="E1468" s="6">
        <v>3</v>
      </c>
      <c r="F1468" s="6">
        <v>39</v>
      </c>
      <c r="G1468" s="6" t="s">
        <v>210</v>
      </c>
      <c r="I1468" s="8">
        <v>83.907985999999994</v>
      </c>
      <c r="J1468" s="8">
        <v>18.352126999999999</v>
      </c>
      <c r="K1468" s="6" t="s">
        <v>29</v>
      </c>
      <c r="L1468" s="9">
        <v>43955</v>
      </c>
      <c r="N1468" s="6">
        <v>32</v>
      </c>
      <c r="O1468" s="6" t="s">
        <v>4374</v>
      </c>
      <c r="Q1468" s="6">
        <v>130</v>
      </c>
      <c r="R1468" s="6">
        <v>130</v>
      </c>
      <c r="S1468" s="6">
        <v>140</v>
      </c>
      <c r="T1468" s="10">
        <f t="shared" si="86"/>
        <v>135</v>
      </c>
      <c r="V1468" s="8">
        <v>-3.3119897412300108</v>
      </c>
      <c r="W1468" s="8">
        <v>-25.8860205078125</v>
      </c>
      <c r="X1468" s="8">
        <f t="shared" si="83"/>
        <v>0.60989742202758634</v>
      </c>
    </row>
    <row r="1469" spans="1:24" x14ac:dyDescent="0.35">
      <c r="A1469" s="6" t="s">
        <v>25</v>
      </c>
      <c r="B1469" s="6" t="s">
        <v>1607</v>
      </c>
      <c r="D1469" s="6" t="s">
        <v>3334</v>
      </c>
      <c r="E1469" s="6">
        <v>3</v>
      </c>
      <c r="F1469" s="6">
        <v>39</v>
      </c>
      <c r="G1469" s="6" t="s">
        <v>210</v>
      </c>
      <c r="I1469" s="8">
        <v>83.907985999999994</v>
      </c>
      <c r="J1469" s="8">
        <v>18.352126999999999</v>
      </c>
      <c r="K1469" s="6" t="s">
        <v>29</v>
      </c>
      <c r="L1469" s="9">
        <v>43955</v>
      </c>
      <c r="N1469" s="6">
        <v>32</v>
      </c>
      <c r="O1469" s="6" t="s">
        <v>4374</v>
      </c>
      <c r="Q1469" s="6">
        <v>140</v>
      </c>
      <c r="R1469" s="6">
        <v>140</v>
      </c>
      <c r="S1469" s="6">
        <v>150</v>
      </c>
      <c r="T1469" s="10">
        <f t="shared" si="86"/>
        <v>145</v>
      </c>
      <c r="V1469" s="8">
        <v>-3.1990173827648158</v>
      </c>
      <c r="W1469" s="8">
        <v>-24.738910140991212</v>
      </c>
      <c r="X1469" s="8">
        <f t="shared" si="83"/>
        <v>0.85322892112731452</v>
      </c>
    </row>
    <row r="1470" spans="1:24" x14ac:dyDescent="0.35">
      <c r="A1470" s="6" t="s">
        <v>25</v>
      </c>
      <c r="B1470" s="6" t="s">
        <v>1608</v>
      </c>
      <c r="D1470" s="6" t="s">
        <v>3334</v>
      </c>
      <c r="E1470" s="6">
        <v>3</v>
      </c>
      <c r="F1470" s="6">
        <v>39</v>
      </c>
      <c r="G1470" s="6" t="s">
        <v>210</v>
      </c>
      <c r="I1470" s="8">
        <v>83.907985999999994</v>
      </c>
      <c r="J1470" s="8">
        <v>18.352126999999999</v>
      </c>
      <c r="K1470" s="6" t="s">
        <v>29</v>
      </c>
      <c r="L1470" s="9">
        <v>43955</v>
      </c>
      <c r="N1470" s="6">
        <v>32</v>
      </c>
      <c r="O1470" s="6" t="s">
        <v>4374</v>
      </c>
      <c r="Q1470" s="6">
        <v>150</v>
      </c>
      <c r="R1470" s="6">
        <v>150</v>
      </c>
      <c r="S1470" s="6">
        <v>160</v>
      </c>
      <c r="T1470" s="10">
        <f t="shared" si="86"/>
        <v>155</v>
      </c>
      <c r="V1470" s="8">
        <v>-3.7807063137531283</v>
      </c>
      <c r="W1470" s="8">
        <v>-29.241790771484379</v>
      </c>
      <c r="X1470" s="8">
        <f t="shared" si="83"/>
        <v>1.0038597385406476</v>
      </c>
    </row>
    <row r="1471" spans="1:24" x14ac:dyDescent="0.35">
      <c r="A1471" s="6" t="s">
        <v>25</v>
      </c>
      <c r="B1471" s="6" t="s">
        <v>1609</v>
      </c>
      <c r="D1471" s="6" t="s">
        <v>3334</v>
      </c>
      <c r="E1471" s="6">
        <v>3</v>
      </c>
      <c r="F1471" s="6">
        <v>39</v>
      </c>
      <c r="G1471" s="6" t="s">
        <v>210</v>
      </c>
      <c r="I1471" s="8">
        <v>83.907985999999994</v>
      </c>
      <c r="J1471" s="8">
        <v>18.352126999999999</v>
      </c>
      <c r="K1471" s="6" t="s">
        <v>29</v>
      </c>
      <c r="L1471" s="9">
        <v>43955</v>
      </c>
      <c r="N1471" s="6">
        <v>32</v>
      </c>
      <c r="O1471" s="6" t="s">
        <v>4374</v>
      </c>
      <c r="Q1471" s="6">
        <v>160</v>
      </c>
      <c r="R1471" s="6">
        <v>160</v>
      </c>
      <c r="S1471" s="6">
        <v>170</v>
      </c>
      <c r="T1471" s="10">
        <f t="shared" si="86"/>
        <v>165</v>
      </c>
      <c r="V1471" s="8">
        <v>-3.707600378894806</v>
      </c>
      <c r="W1471" s="8">
        <v>-28.751237487792967</v>
      </c>
      <c r="X1471" s="8">
        <f t="shared" si="83"/>
        <v>0.90956554336548123</v>
      </c>
    </row>
    <row r="1472" spans="1:24" x14ac:dyDescent="0.35">
      <c r="A1472" s="6" t="s">
        <v>25</v>
      </c>
      <c r="B1472" s="6" t="s">
        <v>1610</v>
      </c>
      <c r="D1472" s="6" t="s">
        <v>3334</v>
      </c>
      <c r="E1472" s="6">
        <v>3</v>
      </c>
      <c r="F1472" s="6">
        <v>39</v>
      </c>
      <c r="G1472" s="6" t="s">
        <v>210</v>
      </c>
      <c r="I1472" s="8">
        <v>83.907985999999994</v>
      </c>
      <c r="J1472" s="8">
        <v>18.352126999999999</v>
      </c>
      <c r="K1472" s="6" t="s">
        <v>29</v>
      </c>
      <c r="L1472" s="9">
        <v>43955</v>
      </c>
      <c r="N1472" s="6">
        <v>32</v>
      </c>
      <c r="O1472" s="6" t="s">
        <v>4374</v>
      </c>
      <c r="Q1472" s="6">
        <v>170</v>
      </c>
      <c r="R1472" s="6">
        <v>170</v>
      </c>
      <c r="S1472" s="6">
        <v>180</v>
      </c>
      <c r="T1472" s="10">
        <f t="shared" si="86"/>
        <v>175</v>
      </c>
      <c r="V1472" s="8">
        <v>-2.7899547623634335</v>
      </c>
      <c r="W1472" s="8">
        <v>-21.09764549255371</v>
      </c>
      <c r="X1472" s="8">
        <f t="shared" si="83"/>
        <v>1.2219926063537585</v>
      </c>
    </row>
    <row r="1473" spans="1:24" x14ac:dyDescent="0.35">
      <c r="A1473" s="6" t="s">
        <v>25</v>
      </c>
      <c r="B1473" s="6" t="s">
        <v>1611</v>
      </c>
      <c r="D1473" s="6" t="s">
        <v>3334</v>
      </c>
      <c r="E1473" s="6">
        <v>3</v>
      </c>
      <c r="F1473" s="6">
        <v>39</v>
      </c>
      <c r="G1473" s="6" t="s">
        <v>210</v>
      </c>
      <c r="I1473" s="8">
        <v>83.907985999999994</v>
      </c>
      <c r="J1473" s="8">
        <v>18.352126999999999</v>
      </c>
      <c r="K1473" s="6" t="s">
        <v>29</v>
      </c>
      <c r="L1473" s="9">
        <v>43955</v>
      </c>
      <c r="N1473" s="6">
        <v>32</v>
      </c>
      <c r="O1473" s="6" t="s">
        <v>4374</v>
      </c>
      <c r="Q1473" s="6">
        <v>180</v>
      </c>
      <c r="R1473" s="6">
        <v>180</v>
      </c>
      <c r="S1473" s="6">
        <v>190</v>
      </c>
      <c r="T1473" s="10">
        <f t="shared" si="86"/>
        <v>185</v>
      </c>
      <c r="V1473" s="8">
        <v>-1.2547572063446044</v>
      </c>
      <c r="W1473" s="8">
        <v>-9.4619642257690426</v>
      </c>
      <c r="X1473" s="8">
        <f t="shared" si="83"/>
        <v>0.5760934249877927</v>
      </c>
    </row>
    <row r="1474" spans="1:24" x14ac:dyDescent="0.35">
      <c r="A1474" s="6" t="s">
        <v>25</v>
      </c>
      <c r="B1474" s="6" t="s">
        <v>1612</v>
      </c>
      <c r="D1474" s="6" t="s">
        <v>3334</v>
      </c>
      <c r="E1474" s="6">
        <v>3</v>
      </c>
      <c r="F1474" s="6">
        <v>39</v>
      </c>
      <c r="G1474" s="6" t="s">
        <v>210</v>
      </c>
      <c r="I1474" s="8">
        <v>83.907985999999994</v>
      </c>
      <c r="J1474" s="8">
        <v>18.352126999999999</v>
      </c>
      <c r="K1474" s="6" t="s">
        <v>29</v>
      </c>
      <c r="L1474" s="9">
        <v>43955</v>
      </c>
      <c r="N1474" s="6">
        <v>32</v>
      </c>
      <c r="O1474" s="6" t="s">
        <v>4374</v>
      </c>
      <c r="Q1474" s="6">
        <v>190</v>
      </c>
      <c r="R1474" s="6">
        <v>190</v>
      </c>
      <c r="S1474" s="6">
        <v>200</v>
      </c>
      <c r="T1474" s="10">
        <f t="shared" si="86"/>
        <v>195</v>
      </c>
      <c r="V1474" s="8">
        <v>-0.67297081371545786</v>
      </c>
      <c r="W1474" s="8">
        <v>-5.4092607212066648</v>
      </c>
      <c r="X1474" s="8">
        <f t="shared" ref="X1474:X1502" si="87">W1474-(8*V1474)</f>
        <v>-2.5494211483001905E-2</v>
      </c>
    </row>
    <row r="1475" spans="1:24" x14ac:dyDescent="0.35">
      <c r="A1475" s="6" t="s">
        <v>25</v>
      </c>
      <c r="B1475" s="6" t="s">
        <v>1613</v>
      </c>
      <c r="D1475" s="6" t="s">
        <v>3334</v>
      </c>
      <c r="E1475" s="6">
        <v>3</v>
      </c>
      <c r="F1475" s="6">
        <v>39</v>
      </c>
      <c r="G1475" s="6" t="s">
        <v>210</v>
      </c>
      <c r="I1475" s="8">
        <v>83.907985999999994</v>
      </c>
      <c r="J1475" s="8">
        <v>18.352126999999999</v>
      </c>
      <c r="K1475" s="6" t="s">
        <v>29</v>
      </c>
      <c r="L1475" s="9">
        <v>43955</v>
      </c>
      <c r="N1475" s="6">
        <v>32</v>
      </c>
      <c r="O1475" s="6" t="s">
        <v>4374</v>
      </c>
      <c r="Q1475" s="6">
        <v>200</v>
      </c>
      <c r="R1475" s="6">
        <v>200</v>
      </c>
      <c r="S1475" s="6">
        <v>210</v>
      </c>
      <c r="T1475" s="10">
        <f t="shared" si="86"/>
        <v>205</v>
      </c>
      <c r="V1475" s="8">
        <v>8.9392231799660105E-3</v>
      </c>
      <c r="W1475" s="8">
        <v>0.38378118455410037</v>
      </c>
      <c r="X1475" s="8">
        <f t="shared" si="87"/>
        <v>0.31226739911437229</v>
      </c>
    </row>
    <row r="1476" spans="1:24" x14ac:dyDescent="0.35">
      <c r="A1476" s="6" t="s">
        <v>25</v>
      </c>
      <c r="B1476" s="6" t="s">
        <v>1614</v>
      </c>
      <c r="D1476" s="6" t="s">
        <v>3334</v>
      </c>
      <c r="E1476" s="6">
        <v>3</v>
      </c>
      <c r="F1476" s="6">
        <v>39</v>
      </c>
      <c r="G1476" s="6" t="s">
        <v>210</v>
      </c>
      <c r="I1476" s="8">
        <v>83.907985999999994</v>
      </c>
      <c r="J1476" s="8">
        <v>18.352126999999999</v>
      </c>
      <c r="K1476" s="6" t="s">
        <v>29</v>
      </c>
      <c r="L1476" s="9">
        <v>43955</v>
      </c>
      <c r="N1476" s="6">
        <v>32</v>
      </c>
      <c r="O1476" s="6" t="s">
        <v>4374</v>
      </c>
      <c r="Q1476" s="6">
        <v>210</v>
      </c>
      <c r="R1476" s="6">
        <v>210</v>
      </c>
      <c r="S1476" s="6">
        <v>220</v>
      </c>
      <c r="T1476" s="10">
        <f t="shared" si="86"/>
        <v>215</v>
      </c>
      <c r="V1476" s="8">
        <v>0.13128040759116391</v>
      </c>
      <c r="W1476" s="8">
        <v>1.3774546575546269</v>
      </c>
      <c r="X1476" s="8">
        <f t="shared" si="87"/>
        <v>0.32721139682531564</v>
      </c>
    </row>
    <row r="1477" spans="1:24" x14ac:dyDescent="0.35">
      <c r="A1477" s="6" t="s">
        <v>25</v>
      </c>
      <c r="B1477" s="6" t="s">
        <v>1615</v>
      </c>
      <c r="D1477" s="6" t="s">
        <v>3334</v>
      </c>
      <c r="E1477" s="6">
        <v>3</v>
      </c>
      <c r="F1477" s="6">
        <v>39</v>
      </c>
      <c r="G1477" s="6" t="s">
        <v>210</v>
      </c>
      <c r="I1477" s="8">
        <v>83.907985999999994</v>
      </c>
      <c r="J1477" s="8">
        <v>18.352126999999999</v>
      </c>
      <c r="K1477" s="6" t="s">
        <v>29</v>
      </c>
      <c r="L1477" s="9">
        <v>43955</v>
      </c>
      <c r="N1477" s="6">
        <v>32</v>
      </c>
      <c r="O1477" s="6" t="s">
        <v>4374</v>
      </c>
      <c r="Q1477" s="6">
        <v>230</v>
      </c>
      <c r="R1477" s="6">
        <v>220</v>
      </c>
      <c r="S1477" s="6">
        <v>230</v>
      </c>
      <c r="T1477" s="10">
        <f t="shared" si="86"/>
        <v>225</v>
      </c>
      <c r="V1477" s="8">
        <v>0.44270571509599643</v>
      </c>
      <c r="W1477" s="8">
        <v>3.3352518033981324</v>
      </c>
      <c r="X1477" s="8">
        <f t="shared" si="87"/>
        <v>-0.20639391736983903</v>
      </c>
    </row>
    <row r="1478" spans="1:24" x14ac:dyDescent="0.35">
      <c r="A1478" s="6" t="s">
        <v>25</v>
      </c>
      <c r="B1478" s="6" t="s">
        <v>1616</v>
      </c>
      <c r="D1478" s="6" t="s">
        <v>3334</v>
      </c>
      <c r="E1478" s="6">
        <v>3</v>
      </c>
      <c r="F1478" s="6">
        <v>39</v>
      </c>
      <c r="G1478" s="6" t="s">
        <v>210</v>
      </c>
      <c r="I1478" s="8">
        <v>83.907985999999994</v>
      </c>
      <c r="J1478" s="8">
        <v>18.352126999999999</v>
      </c>
      <c r="K1478" s="6" t="s">
        <v>29</v>
      </c>
      <c r="L1478" s="9">
        <v>43955</v>
      </c>
      <c r="N1478" s="6">
        <v>32</v>
      </c>
      <c r="O1478" s="6" t="s">
        <v>4374</v>
      </c>
      <c r="R1478" s="6">
        <v>230</v>
      </c>
      <c r="S1478" s="6">
        <v>242</v>
      </c>
      <c r="T1478" s="10">
        <f t="shared" si="86"/>
        <v>236</v>
      </c>
      <c r="V1478" s="8">
        <v>1.0657190407276154</v>
      </c>
      <c r="W1478" s="8">
        <v>8.4892485046386721</v>
      </c>
      <c r="X1478" s="8">
        <f t="shared" si="87"/>
        <v>-3.6503821182250817E-2</v>
      </c>
    </row>
    <row r="1479" spans="1:24" x14ac:dyDescent="0.35">
      <c r="A1479" s="6" t="s">
        <v>25</v>
      </c>
      <c r="B1479" s="6" t="s">
        <v>1617</v>
      </c>
      <c r="D1479" s="6" t="s">
        <v>3334</v>
      </c>
      <c r="E1479" s="6">
        <v>3</v>
      </c>
      <c r="F1479" s="6">
        <v>39</v>
      </c>
      <c r="G1479" s="6" t="s">
        <v>210</v>
      </c>
      <c r="I1479" s="8">
        <v>83.907985999999994</v>
      </c>
      <c r="J1479" s="8">
        <v>18.352126999999999</v>
      </c>
      <c r="K1479" s="6" t="s">
        <v>29</v>
      </c>
      <c r="L1479" s="9">
        <v>43955</v>
      </c>
      <c r="N1479" s="6">
        <v>32</v>
      </c>
      <c r="O1479" s="6" t="s">
        <v>4374</v>
      </c>
      <c r="Q1479" s="6">
        <v>242</v>
      </c>
      <c r="R1479" s="6">
        <v>242</v>
      </c>
      <c r="S1479" s="6">
        <v>259</v>
      </c>
      <c r="T1479" s="10">
        <f t="shared" si="86"/>
        <v>250.5</v>
      </c>
      <c r="V1479" s="8">
        <v>1.4448763323783869</v>
      </c>
      <c r="W1479" s="8">
        <v>11.576089248657226</v>
      </c>
      <c r="X1479" s="8">
        <f t="shared" si="87"/>
        <v>1.7078589630131091E-2</v>
      </c>
    </row>
    <row r="1480" spans="1:24" x14ac:dyDescent="0.35">
      <c r="A1480" s="6" t="s">
        <v>25</v>
      </c>
      <c r="B1480" s="6" t="s">
        <v>1618</v>
      </c>
      <c r="D1480" s="6" t="s">
        <v>1619</v>
      </c>
      <c r="E1480" s="6">
        <v>3</v>
      </c>
      <c r="F1480" s="6">
        <v>39</v>
      </c>
      <c r="G1480" s="6" t="s">
        <v>202</v>
      </c>
      <c r="I1480" s="8">
        <v>83.907985999999994</v>
      </c>
      <c r="J1480" s="8">
        <v>18.352126999999999</v>
      </c>
      <c r="K1480" s="6" t="s">
        <v>29</v>
      </c>
      <c r="L1480" s="9">
        <v>43955</v>
      </c>
      <c r="N1480" s="6">
        <v>32</v>
      </c>
      <c r="O1480" s="6" t="s">
        <v>4374</v>
      </c>
      <c r="Q1480" s="6">
        <v>0</v>
      </c>
      <c r="R1480" s="6">
        <v>0</v>
      </c>
      <c r="S1480" s="6">
        <v>5</v>
      </c>
      <c r="T1480" s="10">
        <f t="shared" si="86"/>
        <v>2.5</v>
      </c>
      <c r="V1480" s="8">
        <v>-1.9045971343517305</v>
      </c>
      <c r="W1480" s="8">
        <v>-19.17640312194824</v>
      </c>
      <c r="X1480" s="8">
        <f t="shared" si="87"/>
        <v>-3.9396260471343965</v>
      </c>
    </row>
    <row r="1481" spans="1:24" x14ac:dyDescent="0.35">
      <c r="A1481" s="6" t="s">
        <v>25</v>
      </c>
      <c r="B1481" s="6" t="s">
        <v>1620</v>
      </c>
      <c r="D1481" s="6" t="s">
        <v>1619</v>
      </c>
      <c r="E1481" s="6">
        <v>3</v>
      </c>
      <c r="F1481" s="6">
        <v>39</v>
      </c>
      <c r="G1481" s="6" t="s">
        <v>202</v>
      </c>
      <c r="I1481" s="8">
        <v>83.907985999999994</v>
      </c>
      <c r="J1481" s="8">
        <v>18.352126999999999</v>
      </c>
      <c r="K1481" s="6" t="s">
        <v>29</v>
      </c>
      <c r="L1481" s="9">
        <v>43955</v>
      </c>
      <c r="N1481" s="6">
        <v>32</v>
      </c>
      <c r="O1481" s="6" t="s">
        <v>4374</v>
      </c>
      <c r="Q1481" s="6">
        <v>5</v>
      </c>
      <c r="R1481" s="6">
        <v>5</v>
      </c>
      <c r="S1481" s="6">
        <v>10</v>
      </c>
      <c r="T1481" s="10">
        <f t="shared" si="86"/>
        <v>7.5</v>
      </c>
      <c r="V1481" s="8">
        <v>-0.72398934817314164</v>
      </c>
      <c r="W1481" s="8">
        <v>-5.4612915134429949</v>
      </c>
      <c r="X1481" s="8">
        <f t="shared" si="87"/>
        <v>0.33062327194213825</v>
      </c>
    </row>
    <row r="1482" spans="1:24" x14ac:dyDescent="0.35">
      <c r="A1482" s="6" t="s">
        <v>25</v>
      </c>
      <c r="B1482" s="6" t="s">
        <v>1621</v>
      </c>
      <c r="D1482" s="6" t="s">
        <v>1619</v>
      </c>
      <c r="E1482" s="6">
        <v>3</v>
      </c>
      <c r="F1482" s="6">
        <v>39</v>
      </c>
      <c r="G1482" s="6" t="s">
        <v>202</v>
      </c>
      <c r="I1482" s="8">
        <v>83.907985999999994</v>
      </c>
      <c r="J1482" s="8">
        <v>18.352126999999999</v>
      </c>
      <c r="K1482" s="6" t="s">
        <v>29</v>
      </c>
      <c r="L1482" s="9">
        <v>43955</v>
      </c>
      <c r="N1482" s="6">
        <v>32</v>
      </c>
      <c r="O1482" s="6" t="s">
        <v>4374</v>
      </c>
      <c r="Q1482" s="6">
        <v>10</v>
      </c>
      <c r="R1482" s="6">
        <v>10</v>
      </c>
      <c r="S1482" s="6">
        <v>20</v>
      </c>
      <c r="T1482" s="10">
        <f t="shared" si="86"/>
        <v>15</v>
      </c>
      <c r="V1482" s="8">
        <v>3.7845882466994607E-2</v>
      </c>
      <c r="W1482" s="8">
        <v>8.1843987442552918E-2</v>
      </c>
      <c r="X1482" s="8">
        <f t="shared" si="87"/>
        <v>-0.22092307229340394</v>
      </c>
    </row>
    <row r="1483" spans="1:24" x14ac:dyDescent="0.35">
      <c r="A1483" s="6" t="s">
        <v>25</v>
      </c>
      <c r="B1483" s="6" t="s">
        <v>1622</v>
      </c>
      <c r="D1483" s="6" t="s">
        <v>1619</v>
      </c>
      <c r="E1483" s="6">
        <v>3</v>
      </c>
      <c r="F1483" s="6">
        <v>39</v>
      </c>
      <c r="G1483" s="6" t="s">
        <v>202</v>
      </c>
      <c r="I1483" s="8">
        <v>83.907985999999994</v>
      </c>
      <c r="J1483" s="8">
        <v>18.352126999999999</v>
      </c>
      <c r="K1483" s="6" t="s">
        <v>29</v>
      </c>
      <c r="L1483" s="9">
        <v>43955</v>
      </c>
      <c r="N1483" s="6">
        <v>32</v>
      </c>
      <c r="O1483" s="6" t="s">
        <v>4374</v>
      </c>
      <c r="Q1483" s="6">
        <v>20</v>
      </c>
      <c r="R1483" s="6">
        <v>20</v>
      </c>
      <c r="S1483" s="6">
        <v>30</v>
      </c>
      <c r="T1483" s="10">
        <f t="shared" si="86"/>
        <v>25</v>
      </c>
      <c r="V1483" s="8">
        <v>0.19711091512441592</v>
      </c>
      <c r="W1483" s="8">
        <v>1.2330885803699492</v>
      </c>
      <c r="X1483" s="8">
        <f t="shared" si="87"/>
        <v>-0.34379874062537819</v>
      </c>
    </row>
    <row r="1484" spans="1:24" x14ac:dyDescent="0.35">
      <c r="A1484" s="6" t="s">
        <v>25</v>
      </c>
      <c r="B1484" s="6" t="s">
        <v>1623</v>
      </c>
      <c r="D1484" s="6" t="s">
        <v>1619</v>
      </c>
      <c r="E1484" s="6">
        <v>3</v>
      </c>
      <c r="F1484" s="6">
        <v>39</v>
      </c>
      <c r="G1484" s="6" t="s">
        <v>202</v>
      </c>
      <c r="I1484" s="8">
        <v>83.907985999999994</v>
      </c>
      <c r="J1484" s="8">
        <v>18.352126999999999</v>
      </c>
      <c r="K1484" s="6" t="s">
        <v>29</v>
      </c>
      <c r="L1484" s="9">
        <v>43955</v>
      </c>
      <c r="N1484" s="6">
        <v>32</v>
      </c>
      <c r="O1484" s="6" t="s">
        <v>4374</v>
      </c>
      <c r="Q1484" s="6">
        <v>30</v>
      </c>
      <c r="R1484" s="6">
        <v>30</v>
      </c>
      <c r="S1484" s="6">
        <v>40</v>
      </c>
      <c r="T1484" s="10">
        <f t="shared" si="86"/>
        <v>35</v>
      </c>
      <c r="V1484" s="8">
        <v>1.1280352159738545</v>
      </c>
      <c r="W1484" s="8">
        <v>9.5442794752120967</v>
      </c>
      <c r="X1484" s="8">
        <f t="shared" si="87"/>
        <v>0.51999774742126093</v>
      </c>
    </row>
    <row r="1485" spans="1:24" x14ac:dyDescent="0.35">
      <c r="A1485" s="6" t="s">
        <v>25</v>
      </c>
      <c r="B1485" s="6" t="s">
        <v>1624</v>
      </c>
      <c r="D1485" s="6" t="s">
        <v>1619</v>
      </c>
      <c r="E1485" s="6">
        <v>3</v>
      </c>
      <c r="F1485" s="6">
        <v>39</v>
      </c>
      <c r="G1485" s="6" t="s">
        <v>202</v>
      </c>
      <c r="I1485" s="8">
        <v>83.907985999999994</v>
      </c>
      <c r="J1485" s="8">
        <v>18.352126999999999</v>
      </c>
      <c r="K1485" s="6" t="s">
        <v>29</v>
      </c>
      <c r="L1485" s="9">
        <v>43955</v>
      </c>
      <c r="N1485" s="6">
        <v>32</v>
      </c>
      <c r="O1485" s="6" t="s">
        <v>4374</v>
      </c>
      <c r="Q1485" s="6">
        <v>40</v>
      </c>
      <c r="R1485" s="6">
        <v>40</v>
      </c>
      <c r="S1485" s="6">
        <v>50</v>
      </c>
      <c r="T1485" s="10">
        <f t="shared" si="86"/>
        <v>45</v>
      </c>
      <c r="V1485" s="8">
        <v>0.82056302779912971</v>
      </c>
      <c r="W1485" s="8">
        <v>6.3237653613090519</v>
      </c>
      <c r="X1485" s="8">
        <f t="shared" si="87"/>
        <v>-0.24073886108398579</v>
      </c>
    </row>
    <row r="1486" spans="1:24" x14ac:dyDescent="0.35">
      <c r="A1486" s="6" t="s">
        <v>25</v>
      </c>
      <c r="B1486" s="6" t="s">
        <v>1625</v>
      </c>
      <c r="D1486" s="6" t="s">
        <v>1619</v>
      </c>
      <c r="E1486" s="6">
        <v>3</v>
      </c>
      <c r="F1486" s="6">
        <v>39</v>
      </c>
      <c r="G1486" s="6" t="s">
        <v>202</v>
      </c>
      <c r="I1486" s="8">
        <v>83.907985999999994</v>
      </c>
      <c r="J1486" s="8">
        <v>18.352126999999999</v>
      </c>
      <c r="K1486" s="6" t="s">
        <v>29</v>
      </c>
      <c r="L1486" s="9">
        <v>43955</v>
      </c>
      <c r="N1486" s="6">
        <v>32</v>
      </c>
      <c r="O1486" s="6" t="s">
        <v>4374</v>
      </c>
      <c r="Q1486" s="6">
        <v>50</v>
      </c>
      <c r="R1486" s="6">
        <v>50</v>
      </c>
      <c r="S1486" s="6">
        <v>60</v>
      </c>
      <c r="T1486" s="10">
        <f t="shared" si="86"/>
        <v>55</v>
      </c>
      <c r="V1486" s="8">
        <v>0.83967928701639183</v>
      </c>
      <c r="W1486" s="8">
        <v>6.7378712439537045</v>
      </c>
      <c r="X1486" s="8">
        <f t="shared" si="87"/>
        <v>2.0436947822569884E-2</v>
      </c>
    </row>
    <row r="1487" spans="1:24" x14ac:dyDescent="0.35">
      <c r="A1487" s="6" t="s">
        <v>25</v>
      </c>
      <c r="B1487" s="6" t="s">
        <v>1626</v>
      </c>
      <c r="D1487" s="6" t="s">
        <v>1619</v>
      </c>
      <c r="E1487" s="6">
        <v>3</v>
      </c>
      <c r="F1487" s="6">
        <v>39</v>
      </c>
      <c r="G1487" s="6" t="s">
        <v>202</v>
      </c>
      <c r="I1487" s="8">
        <v>83.907985999999994</v>
      </c>
      <c r="J1487" s="8">
        <v>18.352126999999999</v>
      </c>
      <c r="K1487" s="6" t="s">
        <v>29</v>
      </c>
      <c r="L1487" s="9">
        <v>43955</v>
      </c>
      <c r="N1487" s="6">
        <v>32</v>
      </c>
      <c r="O1487" s="6" t="s">
        <v>4374</v>
      </c>
      <c r="Q1487" s="6">
        <v>60</v>
      </c>
      <c r="R1487" s="6">
        <v>60</v>
      </c>
      <c r="S1487" s="6">
        <v>70</v>
      </c>
      <c r="T1487" s="10">
        <f t="shared" si="86"/>
        <v>65</v>
      </c>
      <c r="V1487" s="8">
        <v>0.53602601373195669</v>
      </c>
      <c r="W1487" s="8">
        <v>4.5841264009475706</v>
      </c>
      <c r="X1487" s="8">
        <f t="shared" si="87"/>
        <v>0.29591829109191714</v>
      </c>
    </row>
    <row r="1488" spans="1:24" x14ac:dyDescent="0.35">
      <c r="A1488" s="6" t="s">
        <v>25</v>
      </c>
      <c r="B1488" s="6" t="s">
        <v>1627</v>
      </c>
      <c r="D1488" s="6" t="s">
        <v>1619</v>
      </c>
      <c r="E1488" s="6">
        <v>3</v>
      </c>
      <c r="F1488" s="6">
        <v>39</v>
      </c>
      <c r="G1488" s="6" t="s">
        <v>202</v>
      </c>
      <c r="I1488" s="8">
        <v>83.907985999999994</v>
      </c>
      <c r="J1488" s="8">
        <v>18.352126999999999</v>
      </c>
      <c r="K1488" s="6" t="s">
        <v>29</v>
      </c>
      <c r="L1488" s="9">
        <v>43955</v>
      </c>
      <c r="N1488" s="6">
        <v>32</v>
      </c>
      <c r="O1488" s="6" t="s">
        <v>4374</v>
      </c>
      <c r="Q1488" s="6">
        <v>70</v>
      </c>
      <c r="R1488" s="6">
        <v>70</v>
      </c>
      <c r="S1488" s="6">
        <v>80</v>
      </c>
      <c r="T1488" s="10">
        <f t="shared" si="86"/>
        <v>75</v>
      </c>
      <c r="V1488" s="8">
        <v>0.1279898035423461</v>
      </c>
      <c r="W1488" s="8">
        <v>1.2108330503821372</v>
      </c>
      <c r="X1488" s="8">
        <f t="shared" si="87"/>
        <v>0.18691462204336839</v>
      </c>
    </row>
    <row r="1489" spans="1:24" x14ac:dyDescent="0.35">
      <c r="A1489" s="6" t="s">
        <v>25</v>
      </c>
      <c r="B1489" s="6" t="s">
        <v>1628</v>
      </c>
      <c r="D1489" s="6" t="s">
        <v>1619</v>
      </c>
      <c r="E1489" s="6">
        <v>3</v>
      </c>
      <c r="F1489" s="6">
        <v>39</v>
      </c>
      <c r="G1489" s="6" t="s">
        <v>202</v>
      </c>
      <c r="I1489" s="8">
        <v>83.907985999999994</v>
      </c>
      <c r="J1489" s="8">
        <v>18.352126999999999</v>
      </c>
      <c r="K1489" s="6" t="s">
        <v>29</v>
      </c>
      <c r="L1489" s="9">
        <v>43955</v>
      </c>
      <c r="N1489" s="6">
        <v>32</v>
      </c>
      <c r="O1489" s="6" t="s">
        <v>4374</v>
      </c>
      <c r="Q1489" s="6">
        <v>80</v>
      </c>
      <c r="R1489" s="6">
        <v>80</v>
      </c>
      <c r="S1489" s="6">
        <v>90</v>
      </c>
      <c r="T1489" s="10">
        <f t="shared" si="86"/>
        <v>85</v>
      </c>
      <c r="V1489" s="8">
        <v>-1.7423339401408711E-2</v>
      </c>
      <c r="W1489" s="8">
        <v>-3.7536944366246563E-2</v>
      </c>
      <c r="X1489" s="8">
        <f t="shared" si="87"/>
        <v>0.10184977084502313</v>
      </c>
    </row>
    <row r="1490" spans="1:24" x14ac:dyDescent="0.35">
      <c r="A1490" s="6" t="s">
        <v>25</v>
      </c>
      <c r="B1490" s="6" t="s">
        <v>1629</v>
      </c>
      <c r="D1490" s="6" t="s">
        <v>1619</v>
      </c>
      <c r="E1490" s="6">
        <v>3</v>
      </c>
      <c r="F1490" s="6">
        <v>39</v>
      </c>
      <c r="G1490" s="6" t="s">
        <v>202</v>
      </c>
      <c r="I1490" s="8">
        <v>83.907985999999994</v>
      </c>
      <c r="J1490" s="8">
        <v>18.352126999999999</v>
      </c>
      <c r="K1490" s="6" t="s">
        <v>29</v>
      </c>
      <c r="L1490" s="9">
        <v>43955</v>
      </c>
      <c r="N1490" s="6">
        <v>32</v>
      </c>
      <c r="O1490" s="6" t="s">
        <v>4374</v>
      </c>
      <c r="Q1490" s="6">
        <v>90</v>
      </c>
      <c r="R1490" s="6">
        <v>90</v>
      </c>
      <c r="S1490" s="6">
        <v>100</v>
      </c>
      <c r="T1490" s="10">
        <f t="shared" si="86"/>
        <v>95</v>
      </c>
      <c r="V1490" s="8">
        <v>-0.26663257787287248</v>
      </c>
      <c r="W1490" s="8">
        <v>-1.5511846114277841</v>
      </c>
      <c r="X1490" s="8">
        <f t="shared" si="87"/>
        <v>0.58187601155519575</v>
      </c>
    </row>
    <row r="1491" spans="1:24" x14ac:dyDescent="0.35">
      <c r="A1491" s="6" t="s">
        <v>25</v>
      </c>
      <c r="B1491" s="6" t="s">
        <v>1630</v>
      </c>
      <c r="D1491" s="6" t="s">
        <v>1619</v>
      </c>
      <c r="E1491" s="6">
        <v>3</v>
      </c>
      <c r="F1491" s="6">
        <v>39</v>
      </c>
      <c r="G1491" s="6" t="s">
        <v>202</v>
      </c>
      <c r="I1491" s="8">
        <v>83.907985999999994</v>
      </c>
      <c r="J1491" s="8">
        <v>18.352126999999999</v>
      </c>
      <c r="K1491" s="6" t="s">
        <v>29</v>
      </c>
      <c r="L1491" s="9">
        <v>43955</v>
      </c>
      <c r="N1491" s="6">
        <v>32</v>
      </c>
      <c r="O1491" s="6" t="s">
        <v>4374</v>
      </c>
      <c r="Q1491" s="6">
        <v>100</v>
      </c>
      <c r="R1491" s="6">
        <v>100</v>
      </c>
      <c r="S1491" s="6">
        <v>110</v>
      </c>
      <c r="T1491" s="10">
        <f t="shared" si="86"/>
        <v>105</v>
      </c>
      <c r="V1491" s="8">
        <v>-0.18190627457916725</v>
      </c>
      <c r="W1491" s="8">
        <v>-1.0442152819633488</v>
      </c>
      <c r="X1491" s="8">
        <f t="shared" si="87"/>
        <v>0.4110349146699892</v>
      </c>
    </row>
    <row r="1492" spans="1:24" x14ac:dyDescent="0.35">
      <c r="A1492" s="6" t="s">
        <v>25</v>
      </c>
      <c r="B1492" s="6" t="s">
        <v>1631</v>
      </c>
      <c r="D1492" s="6" t="s">
        <v>1619</v>
      </c>
      <c r="E1492" s="6">
        <v>3</v>
      </c>
      <c r="F1492" s="6">
        <v>39</v>
      </c>
      <c r="G1492" s="6" t="s">
        <v>202</v>
      </c>
      <c r="I1492" s="8">
        <v>83.907985999999994</v>
      </c>
      <c r="J1492" s="8">
        <v>18.352126999999999</v>
      </c>
      <c r="K1492" s="6" t="s">
        <v>29</v>
      </c>
      <c r="L1492" s="9">
        <v>43955</v>
      </c>
      <c r="N1492" s="6">
        <v>32</v>
      </c>
      <c r="O1492" s="6" t="s">
        <v>4374</v>
      </c>
      <c r="Q1492" s="6">
        <v>110</v>
      </c>
      <c r="R1492" s="6">
        <v>110</v>
      </c>
      <c r="S1492" s="6">
        <v>120</v>
      </c>
      <c r="T1492" s="10">
        <f t="shared" si="86"/>
        <v>115</v>
      </c>
      <c r="V1492" s="8">
        <v>-8.4888477943539403E-2</v>
      </c>
      <c r="W1492" s="8">
        <v>-0.54361139059066732</v>
      </c>
      <c r="X1492" s="8">
        <f t="shared" si="87"/>
        <v>0.13549643295764791</v>
      </c>
    </row>
    <row r="1493" spans="1:24" x14ac:dyDescent="0.35">
      <c r="A1493" s="6" t="s">
        <v>25</v>
      </c>
      <c r="B1493" s="6" t="s">
        <v>1632</v>
      </c>
      <c r="D1493" s="6" t="s">
        <v>1619</v>
      </c>
      <c r="E1493" s="6">
        <v>3</v>
      </c>
      <c r="F1493" s="6">
        <v>39</v>
      </c>
      <c r="G1493" s="6" t="s">
        <v>202</v>
      </c>
      <c r="I1493" s="8">
        <v>83.907985999999994</v>
      </c>
      <c r="J1493" s="8">
        <v>18.352126999999999</v>
      </c>
      <c r="K1493" s="6" t="s">
        <v>29</v>
      </c>
      <c r="L1493" s="9">
        <v>43955</v>
      </c>
      <c r="N1493" s="6">
        <v>32</v>
      </c>
      <c r="O1493" s="6" t="s">
        <v>4374</v>
      </c>
      <c r="Q1493" s="6">
        <v>120</v>
      </c>
      <c r="R1493" s="6">
        <v>120</v>
      </c>
      <c r="S1493" s="6">
        <v>130</v>
      </c>
      <c r="T1493" s="10">
        <f t="shared" si="86"/>
        <v>125</v>
      </c>
      <c r="V1493" s="8">
        <v>0.32177618252515744</v>
      </c>
      <c r="W1493" s="8">
        <v>2.0237136344909663</v>
      </c>
      <c r="X1493" s="8">
        <f t="shared" si="87"/>
        <v>-0.55049582571029321</v>
      </c>
    </row>
    <row r="1494" spans="1:24" x14ac:dyDescent="0.35">
      <c r="A1494" s="6" t="s">
        <v>25</v>
      </c>
      <c r="B1494" s="6" t="s">
        <v>1633</v>
      </c>
      <c r="D1494" s="6" t="s">
        <v>1619</v>
      </c>
      <c r="E1494" s="6">
        <v>3</v>
      </c>
      <c r="F1494" s="6">
        <v>39</v>
      </c>
      <c r="G1494" s="6" t="s">
        <v>202</v>
      </c>
      <c r="I1494" s="8">
        <v>83.907985999999994</v>
      </c>
      <c r="J1494" s="8">
        <v>18.352126999999999</v>
      </c>
      <c r="K1494" s="6" t="s">
        <v>29</v>
      </c>
      <c r="L1494" s="9">
        <v>43955</v>
      </c>
      <c r="N1494" s="6">
        <v>32</v>
      </c>
      <c r="O1494" s="6" t="s">
        <v>4374</v>
      </c>
      <c r="Q1494" s="6">
        <v>130</v>
      </c>
      <c r="R1494" s="6">
        <v>130</v>
      </c>
      <c r="S1494" s="6">
        <v>140</v>
      </c>
      <c r="T1494" s="10">
        <f t="shared" si="86"/>
        <v>135</v>
      </c>
      <c r="V1494" s="8">
        <v>0.4825319237041476</v>
      </c>
      <c r="W1494" s="8">
        <v>3.7670308670997619</v>
      </c>
      <c r="X1494" s="8">
        <f t="shared" si="87"/>
        <v>-9.3224522533418952E-2</v>
      </c>
    </row>
    <row r="1495" spans="1:24" x14ac:dyDescent="0.35">
      <c r="A1495" s="6" t="s">
        <v>25</v>
      </c>
      <c r="B1495" s="6" t="s">
        <v>1634</v>
      </c>
      <c r="D1495" s="6" t="s">
        <v>1619</v>
      </c>
      <c r="E1495" s="6">
        <v>3</v>
      </c>
      <c r="F1495" s="6">
        <v>39</v>
      </c>
      <c r="G1495" s="6" t="s">
        <v>202</v>
      </c>
      <c r="I1495" s="8">
        <v>83.907985999999994</v>
      </c>
      <c r="J1495" s="8">
        <v>18.352126999999999</v>
      </c>
      <c r="K1495" s="6" t="s">
        <v>29</v>
      </c>
      <c r="L1495" s="9">
        <v>43955</v>
      </c>
      <c r="N1495" s="6">
        <v>32</v>
      </c>
      <c r="O1495" s="6" t="s">
        <v>4374</v>
      </c>
      <c r="Q1495" s="6">
        <v>140</v>
      </c>
      <c r="R1495" s="6">
        <v>140</v>
      </c>
      <c r="S1495" s="6">
        <v>150</v>
      </c>
      <c r="T1495" s="10">
        <f t="shared" si="86"/>
        <v>145</v>
      </c>
      <c r="V1495" s="8">
        <v>0.85731770365714977</v>
      </c>
      <c r="W1495" s="8">
        <v>6.4096787767410284</v>
      </c>
      <c r="X1495" s="8">
        <f t="shared" si="87"/>
        <v>-0.44886285251616975</v>
      </c>
    </row>
    <row r="1496" spans="1:24" x14ac:dyDescent="0.35">
      <c r="A1496" s="6" t="s">
        <v>25</v>
      </c>
      <c r="B1496" s="6" t="s">
        <v>1635</v>
      </c>
      <c r="D1496" s="6" t="s">
        <v>1619</v>
      </c>
      <c r="E1496" s="6">
        <v>3</v>
      </c>
      <c r="F1496" s="6">
        <v>39</v>
      </c>
      <c r="G1496" s="6" t="s">
        <v>202</v>
      </c>
      <c r="I1496" s="8">
        <v>83.907985999999994</v>
      </c>
      <c r="J1496" s="8">
        <v>18.352126999999999</v>
      </c>
      <c r="K1496" s="6" t="s">
        <v>29</v>
      </c>
      <c r="L1496" s="9">
        <v>43955</v>
      </c>
      <c r="N1496" s="6">
        <v>32</v>
      </c>
      <c r="O1496" s="6" t="s">
        <v>4374</v>
      </c>
      <c r="Q1496" s="6">
        <v>150</v>
      </c>
      <c r="R1496" s="6">
        <v>150</v>
      </c>
      <c r="S1496" s="6">
        <v>160</v>
      </c>
      <c r="T1496" s="10">
        <f t="shared" si="86"/>
        <v>155</v>
      </c>
      <c r="V1496" s="8">
        <v>1.6040045362043387</v>
      </c>
      <c r="W1496" s="8">
        <v>12.223596939086914</v>
      </c>
      <c r="X1496" s="8">
        <f t="shared" si="87"/>
        <v>-0.60843935054779585</v>
      </c>
    </row>
    <row r="1497" spans="1:24" x14ac:dyDescent="0.35">
      <c r="A1497" s="6" t="s">
        <v>25</v>
      </c>
      <c r="B1497" s="6" t="s">
        <v>3500</v>
      </c>
      <c r="D1497" s="6" t="s">
        <v>3802</v>
      </c>
      <c r="E1497" s="6">
        <v>3</v>
      </c>
      <c r="F1497" s="6">
        <v>39</v>
      </c>
      <c r="G1497" s="6" t="s">
        <v>4104</v>
      </c>
      <c r="I1497" s="8">
        <v>83.907985999999994</v>
      </c>
      <c r="J1497" s="8">
        <v>18.352126999999999</v>
      </c>
      <c r="K1497" s="6" t="s">
        <v>2610</v>
      </c>
      <c r="L1497" s="9">
        <v>43955</v>
      </c>
      <c r="N1497" s="6">
        <v>32</v>
      </c>
      <c r="O1497" s="6" t="s">
        <v>4374</v>
      </c>
      <c r="V1497" s="8">
        <v>-0.42290888943910598</v>
      </c>
      <c r="W1497" s="8">
        <v>-1.8478768680930138</v>
      </c>
      <c r="X1497" s="27">
        <f t="shared" si="87"/>
        <v>1.5353942474198341</v>
      </c>
    </row>
    <row r="1498" spans="1:24" x14ac:dyDescent="0.35">
      <c r="A1498" s="6" t="s">
        <v>25</v>
      </c>
      <c r="B1498" s="6" t="s">
        <v>2907</v>
      </c>
      <c r="D1498" s="6" t="s">
        <v>3152</v>
      </c>
      <c r="E1498" s="6">
        <v>3</v>
      </c>
      <c r="F1498" s="6">
        <v>39</v>
      </c>
      <c r="G1498" s="6" t="s">
        <v>3265</v>
      </c>
      <c r="I1498" s="8">
        <v>83.907985999999994</v>
      </c>
      <c r="J1498" s="8">
        <v>18.352126999999999</v>
      </c>
      <c r="K1498" s="6" t="s">
        <v>198</v>
      </c>
      <c r="L1498" s="9">
        <v>43955</v>
      </c>
      <c r="M1498" s="18">
        <v>0.53125</v>
      </c>
      <c r="N1498" s="6">
        <v>32</v>
      </c>
      <c r="O1498" s="6" t="s">
        <v>4374</v>
      </c>
      <c r="R1498" s="6">
        <v>8.5</v>
      </c>
      <c r="S1498" s="6">
        <v>6.5</v>
      </c>
      <c r="V1498" s="8">
        <v>-27.87285296859741</v>
      </c>
      <c r="W1498" s="8">
        <v>-213.08580012817382</v>
      </c>
      <c r="X1498" s="8">
        <f t="shared" si="87"/>
        <v>9.8970236206054665</v>
      </c>
    </row>
    <row r="1499" spans="1:24" x14ac:dyDescent="0.35">
      <c r="A1499" s="6" t="s">
        <v>25</v>
      </c>
      <c r="B1499" s="6" t="s">
        <v>2908</v>
      </c>
      <c r="D1499" s="6" t="s">
        <v>3152</v>
      </c>
      <c r="E1499" s="6">
        <v>3</v>
      </c>
      <c r="F1499" s="6">
        <v>39</v>
      </c>
      <c r="G1499" s="6" t="s">
        <v>3265</v>
      </c>
      <c r="I1499" s="8">
        <v>83.907985999999994</v>
      </c>
      <c r="J1499" s="8">
        <v>18.352126999999999</v>
      </c>
      <c r="K1499" s="6" t="s">
        <v>198</v>
      </c>
      <c r="L1499" s="9">
        <v>43955</v>
      </c>
      <c r="M1499" s="18">
        <v>0.53125</v>
      </c>
      <c r="N1499" s="6">
        <v>32</v>
      </c>
      <c r="O1499" s="6" t="s">
        <v>4374</v>
      </c>
      <c r="R1499" s="6">
        <v>6</v>
      </c>
      <c r="S1499" s="6">
        <v>3</v>
      </c>
      <c r="V1499" s="8">
        <v>-18.67505055465698</v>
      </c>
      <c r="W1499" s="8">
        <v>-139.02623677368163</v>
      </c>
      <c r="X1499" s="8">
        <f t="shared" si="87"/>
        <v>10.374167663574212</v>
      </c>
    </row>
    <row r="1500" spans="1:24" x14ac:dyDescent="0.35">
      <c r="A1500" s="6" t="s">
        <v>25</v>
      </c>
      <c r="B1500" s="6" t="s">
        <v>2909</v>
      </c>
      <c r="D1500" s="6" t="s">
        <v>3152</v>
      </c>
      <c r="E1500" s="6">
        <v>3</v>
      </c>
      <c r="F1500" s="6">
        <v>39</v>
      </c>
      <c r="G1500" s="6" t="s">
        <v>3265</v>
      </c>
      <c r="I1500" s="8">
        <v>83.907985999999994</v>
      </c>
      <c r="J1500" s="8">
        <v>18.352126999999999</v>
      </c>
      <c r="K1500" s="6" t="s">
        <v>198</v>
      </c>
      <c r="L1500" s="9">
        <v>43955</v>
      </c>
      <c r="M1500" s="18">
        <v>0.53125</v>
      </c>
      <c r="N1500" s="6">
        <v>32</v>
      </c>
      <c r="O1500" s="6" t="s">
        <v>4374</v>
      </c>
      <c r="R1500" s="6">
        <v>3</v>
      </c>
      <c r="S1500" s="6">
        <v>0</v>
      </c>
      <c r="V1500" s="8">
        <v>-7.9624918693542481</v>
      </c>
      <c r="W1500" s="8">
        <v>-66.352066470336922</v>
      </c>
      <c r="X1500" s="8">
        <f t="shared" si="87"/>
        <v>-2.652131515502937</v>
      </c>
    </row>
    <row r="1501" spans="1:24" x14ac:dyDescent="0.35">
      <c r="A1501" s="6" t="s">
        <v>25</v>
      </c>
      <c r="B1501" s="7" t="s">
        <v>1636</v>
      </c>
      <c r="D1501" s="6" t="s">
        <v>1637</v>
      </c>
      <c r="E1501" s="6">
        <v>3</v>
      </c>
      <c r="F1501" s="6">
        <v>39</v>
      </c>
      <c r="G1501" s="6" t="s">
        <v>60</v>
      </c>
      <c r="I1501" s="8">
        <v>83.919170555555596</v>
      </c>
      <c r="J1501" s="8">
        <v>18.093941458333301</v>
      </c>
      <c r="K1501" s="7" t="s">
        <v>2610</v>
      </c>
      <c r="L1501" s="9">
        <v>43956</v>
      </c>
      <c r="N1501" s="6">
        <v>32</v>
      </c>
      <c r="O1501" s="6" t="s">
        <v>4375</v>
      </c>
      <c r="Q1501" s="10">
        <v>500</v>
      </c>
      <c r="R1501" s="10"/>
      <c r="S1501" s="10">
        <v>500</v>
      </c>
      <c r="T1501" s="10">
        <f>AVERAGE(R1501:S1501)</f>
        <v>500</v>
      </c>
      <c r="U1501" s="11"/>
      <c r="V1501" s="8">
        <v>-0.50425447225570696</v>
      </c>
      <c r="W1501" s="8">
        <v>-2.538463001632691</v>
      </c>
      <c r="X1501" s="8">
        <f t="shared" si="87"/>
        <v>1.4955727764129647</v>
      </c>
    </row>
    <row r="1502" spans="1:24" x14ac:dyDescent="0.35">
      <c r="A1502" s="6" t="s">
        <v>25</v>
      </c>
      <c r="B1502" s="6" t="s">
        <v>3501</v>
      </c>
      <c r="D1502" s="6" t="s">
        <v>3803</v>
      </c>
      <c r="E1502" s="6">
        <v>3</v>
      </c>
      <c r="F1502" s="6">
        <v>39</v>
      </c>
      <c r="G1502" s="6" t="s">
        <v>4105</v>
      </c>
      <c r="I1502" s="8">
        <v>83.919170555555596</v>
      </c>
      <c r="J1502" s="8">
        <v>18.093941458333301</v>
      </c>
      <c r="K1502" s="6" t="s">
        <v>2610</v>
      </c>
      <c r="L1502" s="9">
        <v>43956</v>
      </c>
      <c r="N1502" s="6">
        <v>32</v>
      </c>
      <c r="O1502" s="6" t="s">
        <v>4375</v>
      </c>
      <c r="V1502" s="8">
        <v>-0.47035677767396006</v>
      </c>
      <c r="W1502" s="8">
        <v>-2.6329112470626832</v>
      </c>
      <c r="X1502" s="27">
        <f t="shared" si="87"/>
        <v>1.1299429743289973</v>
      </c>
    </row>
    <row r="1503" spans="1:24" x14ac:dyDescent="0.35">
      <c r="A1503" s="6" t="s">
        <v>25</v>
      </c>
      <c r="B1503" s="7" t="s">
        <v>1638</v>
      </c>
      <c r="D1503" s="6" t="s">
        <v>1639</v>
      </c>
      <c r="E1503" s="6">
        <v>3</v>
      </c>
      <c r="F1503" s="6">
        <v>39</v>
      </c>
      <c r="G1503" s="6" t="s">
        <v>1640</v>
      </c>
      <c r="I1503" s="8">
        <v>83.921973194444405</v>
      </c>
      <c r="J1503" s="8">
        <v>17.654378611111099</v>
      </c>
      <c r="K1503" s="6" t="s">
        <v>390</v>
      </c>
      <c r="L1503" s="9">
        <v>43957</v>
      </c>
      <c r="N1503" s="6">
        <v>32</v>
      </c>
      <c r="O1503" s="6" t="s">
        <v>4376</v>
      </c>
      <c r="Q1503" s="10">
        <v>40</v>
      </c>
      <c r="R1503" s="10"/>
      <c r="S1503" s="10">
        <v>40</v>
      </c>
      <c r="T1503" s="10">
        <f t="shared" ref="T1503:T1509" si="88">AVERAGE(R1503:S1503)</f>
        <v>40</v>
      </c>
      <c r="U1503" s="11"/>
      <c r="V1503" s="8"/>
      <c r="W1503" s="8"/>
      <c r="X1503" s="8"/>
    </row>
    <row r="1504" spans="1:24" x14ac:dyDescent="0.35">
      <c r="A1504" s="6" t="s">
        <v>25</v>
      </c>
      <c r="B1504" s="7" t="s">
        <v>1641</v>
      </c>
      <c r="D1504" s="6" t="s">
        <v>1642</v>
      </c>
      <c r="E1504" s="6">
        <v>3</v>
      </c>
      <c r="F1504" s="6">
        <v>39</v>
      </c>
      <c r="G1504" s="6" t="s">
        <v>1643</v>
      </c>
      <c r="I1504" s="8">
        <v>83.921973194444405</v>
      </c>
      <c r="J1504" s="8">
        <v>17.654378611111099</v>
      </c>
      <c r="K1504" s="6" t="s">
        <v>390</v>
      </c>
      <c r="L1504" s="9">
        <v>43957</v>
      </c>
      <c r="N1504" s="6">
        <v>32</v>
      </c>
      <c r="O1504" s="6" t="s">
        <v>4376</v>
      </c>
      <c r="Q1504" s="10">
        <v>30</v>
      </c>
      <c r="R1504" s="10"/>
      <c r="S1504" s="10">
        <v>30</v>
      </c>
      <c r="T1504" s="10">
        <f t="shared" si="88"/>
        <v>30</v>
      </c>
      <c r="U1504" s="11"/>
      <c r="V1504" s="8"/>
      <c r="W1504" s="8"/>
      <c r="X1504" s="8"/>
    </row>
    <row r="1505" spans="1:25" x14ac:dyDescent="0.35">
      <c r="A1505" s="6" t="s">
        <v>25</v>
      </c>
      <c r="B1505" s="6" t="s">
        <v>1644</v>
      </c>
      <c r="D1505" s="6" t="s">
        <v>1645</v>
      </c>
      <c r="E1505" s="6">
        <v>3</v>
      </c>
      <c r="F1505" s="6">
        <v>39</v>
      </c>
      <c r="G1505" s="6" t="s">
        <v>1646</v>
      </c>
      <c r="I1505" s="8">
        <v>83.921973194444405</v>
      </c>
      <c r="J1505" s="8">
        <v>17.654378611111099</v>
      </c>
      <c r="K1505" s="6" t="s">
        <v>390</v>
      </c>
      <c r="L1505" s="9">
        <v>43957</v>
      </c>
      <c r="N1505" s="6">
        <v>32</v>
      </c>
      <c r="O1505" s="6" t="s">
        <v>4376</v>
      </c>
      <c r="Q1505" s="6">
        <v>0</v>
      </c>
      <c r="R1505" s="6">
        <v>0</v>
      </c>
      <c r="S1505" s="6">
        <v>10</v>
      </c>
      <c r="T1505" s="10">
        <f t="shared" si="88"/>
        <v>5</v>
      </c>
      <c r="V1505" s="8">
        <v>-0.45645098132610351</v>
      </c>
      <c r="W1505" s="8">
        <v>-3.2659236025810245</v>
      </c>
      <c r="X1505" s="8">
        <f t="shared" ref="X1505:X1568" si="89">W1505-(8*V1505)</f>
        <v>0.38568424802780354</v>
      </c>
    </row>
    <row r="1506" spans="1:25" x14ac:dyDescent="0.35">
      <c r="A1506" s="6" t="s">
        <v>25</v>
      </c>
      <c r="B1506" s="6" t="s">
        <v>1647</v>
      </c>
      <c r="D1506" s="6" t="s">
        <v>1645</v>
      </c>
      <c r="E1506" s="6">
        <v>3</v>
      </c>
      <c r="F1506" s="6">
        <v>39</v>
      </c>
      <c r="G1506" s="6" t="s">
        <v>1646</v>
      </c>
      <c r="I1506" s="8">
        <v>83.921973194444405</v>
      </c>
      <c r="J1506" s="8">
        <v>17.654378611111099</v>
      </c>
      <c r="K1506" s="6" t="s">
        <v>390</v>
      </c>
      <c r="L1506" s="9">
        <v>43957</v>
      </c>
      <c r="N1506" s="6">
        <v>32</v>
      </c>
      <c r="O1506" s="6" t="s">
        <v>4376</v>
      </c>
      <c r="Q1506" s="6">
        <v>11</v>
      </c>
      <c r="R1506" s="6">
        <v>11</v>
      </c>
      <c r="S1506" s="6">
        <v>22</v>
      </c>
      <c r="T1506" s="10">
        <f t="shared" si="88"/>
        <v>16.5</v>
      </c>
      <c r="V1506" s="8">
        <v>0.66587196599721865</v>
      </c>
      <c r="W1506" s="8">
        <v>5.3734062547683719</v>
      </c>
      <c r="X1506" s="8">
        <f t="shared" si="89"/>
        <v>4.643052679062265E-2</v>
      </c>
    </row>
    <row r="1507" spans="1:25" x14ac:dyDescent="0.35">
      <c r="A1507" s="6" t="s">
        <v>25</v>
      </c>
      <c r="B1507" s="6" t="s">
        <v>1648</v>
      </c>
      <c r="D1507" s="6" t="s">
        <v>1645</v>
      </c>
      <c r="E1507" s="6">
        <v>3</v>
      </c>
      <c r="F1507" s="6">
        <v>39</v>
      </c>
      <c r="G1507" s="6" t="s">
        <v>1646</v>
      </c>
      <c r="I1507" s="8">
        <v>83.921973194444405</v>
      </c>
      <c r="J1507" s="8">
        <v>17.654378611111099</v>
      </c>
      <c r="K1507" s="6" t="s">
        <v>390</v>
      </c>
      <c r="L1507" s="9">
        <v>43957</v>
      </c>
      <c r="N1507" s="6">
        <v>32</v>
      </c>
      <c r="O1507" s="6" t="s">
        <v>4376</v>
      </c>
      <c r="Q1507" s="6">
        <v>22</v>
      </c>
      <c r="R1507" s="6">
        <v>22</v>
      </c>
      <c r="S1507" s="6">
        <v>33</v>
      </c>
      <c r="T1507" s="10">
        <f t="shared" si="88"/>
        <v>27.5</v>
      </c>
      <c r="V1507" s="8">
        <v>1.0975546418952944</v>
      </c>
      <c r="W1507" s="8">
        <v>8.2675045032501213</v>
      </c>
      <c r="X1507" s="8">
        <f t="shared" si="89"/>
        <v>-0.51293263191223382</v>
      </c>
    </row>
    <row r="1508" spans="1:25" x14ac:dyDescent="0.35">
      <c r="A1508" s="6" t="s">
        <v>25</v>
      </c>
      <c r="B1508" s="6" t="s">
        <v>1649</v>
      </c>
      <c r="D1508" s="6" t="s">
        <v>1645</v>
      </c>
      <c r="E1508" s="6">
        <v>3</v>
      </c>
      <c r="F1508" s="6">
        <v>39</v>
      </c>
      <c r="G1508" s="6" t="s">
        <v>1646</v>
      </c>
      <c r="I1508" s="8">
        <v>83.921973194444405</v>
      </c>
      <c r="J1508" s="8">
        <v>17.654378611111099</v>
      </c>
      <c r="K1508" s="6" t="s">
        <v>390</v>
      </c>
      <c r="L1508" s="9">
        <v>43957</v>
      </c>
      <c r="N1508" s="6">
        <v>32</v>
      </c>
      <c r="O1508" s="6" t="s">
        <v>4376</v>
      </c>
      <c r="Q1508" s="6">
        <v>33</v>
      </c>
      <c r="R1508" s="6">
        <v>33</v>
      </c>
      <c r="S1508" s="6">
        <v>44</v>
      </c>
      <c r="T1508" s="10">
        <f t="shared" si="88"/>
        <v>38.5</v>
      </c>
      <c r="V1508" s="8">
        <v>1.3345968856143948</v>
      </c>
      <c r="W1508" s="8">
        <v>10.214959213256837</v>
      </c>
      <c r="X1508" s="8">
        <f t="shared" si="89"/>
        <v>-0.46181587165832205</v>
      </c>
    </row>
    <row r="1509" spans="1:25" x14ac:dyDescent="0.35">
      <c r="A1509" s="6" t="s">
        <v>25</v>
      </c>
      <c r="B1509" s="6" t="s">
        <v>1650</v>
      </c>
      <c r="D1509" s="6" t="s">
        <v>1645</v>
      </c>
      <c r="E1509" s="6">
        <v>3</v>
      </c>
      <c r="F1509" s="6">
        <v>39</v>
      </c>
      <c r="G1509" s="6" t="s">
        <v>1646</v>
      </c>
      <c r="I1509" s="8">
        <v>83.921973194444405</v>
      </c>
      <c r="J1509" s="8">
        <v>17.654378611111099</v>
      </c>
      <c r="K1509" s="6" t="s">
        <v>390</v>
      </c>
      <c r="L1509" s="9">
        <v>43957</v>
      </c>
      <c r="N1509" s="6">
        <v>32</v>
      </c>
      <c r="O1509" s="6" t="s">
        <v>4376</v>
      </c>
      <c r="Q1509" s="6">
        <v>44</v>
      </c>
      <c r="R1509" s="6">
        <v>44</v>
      </c>
      <c r="S1509" s="6">
        <v>57</v>
      </c>
      <c r="T1509" s="10">
        <f t="shared" si="88"/>
        <v>50.5</v>
      </c>
      <c r="V1509" s="8">
        <v>1.2216771842765806</v>
      </c>
      <c r="W1509" s="8">
        <v>9.5510357875823981</v>
      </c>
      <c r="X1509" s="8">
        <f t="shared" si="89"/>
        <v>-0.22238168663024638</v>
      </c>
    </row>
    <row r="1510" spans="1:25" x14ac:dyDescent="0.35">
      <c r="A1510" s="6" t="s">
        <v>25</v>
      </c>
      <c r="B1510" s="6" t="s">
        <v>3502</v>
      </c>
      <c r="D1510" s="6" t="s">
        <v>3804</v>
      </c>
      <c r="E1510" s="6">
        <v>3</v>
      </c>
      <c r="F1510" s="6">
        <v>39</v>
      </c>
      <c r="G1510" s="6" t="s">
        <v>4106</v>
      </c>
      <c r="I1510" s="8">
        <v>83.921973194444405</v>
      </c>
      <c r="J1510" s="8">
        <v>17.654378611111099</v>
      </c>
      <c r="K1510" s="6" t="s">
        <v>2610</v>
      </c>
      <c r="L1510" s="9">
        <v>43957</v>
      </c>
      <c r="N1510" s="6">
        <v>32</v>
      </c>
      <c r="O1510" s="6" t="s">
        <v>4376</v>
      </c>
      <c r="V1510" s="8">
        <v>-0.44430716288685845</v>
      </c>
      <c r="W1510" s="8">
        <v>-3.2161051955699933</v>
      </c>
      <c r="X1510" s="27">
        <f t="shared" si="89"/>
        <v>0.33835210752487432</v>
      </c>
    </row>
    <row r="1511" spans="1:25" x14ac:dyDescent="0.35">
      <c r="A1511" s="6" t="s">
        <v>25</v>
      </c>
      <c r="B1511" s="6" t="s">
        <v>2910</v>
      </c>
      <c r="D1511" s="6" t="s">
        <v>3153</v>
      </c>
      <c r="E1511" s="6">
        <v>3</v>
      </c>
      <c r="F1511" s="6">
        <v>39</v>
      </c>
      <c r="G1511" s="6" t="s">
        <v>3268</v>
      </c>
      <c r="I1511" s="8">
        <v>83.921973194444405</v>
      </c>
      <c r="J1511" s="8">
        <v>17.654378611111099</v>
      </c>
      <c r="K1511" s="6" t="s">
        <v>198</v>
      </c>
      <c r="L1511" s="9">
        <v>43957</v>
      </c>
      <c r="M1511" s="20">
        <v>0.51944444444444449</v>
      </c>
      <c r="N1511" s="6">
        <v>32</v>
      </c>
      <c r="O1511" s="6" t="s">
        <v>4376</v>
      </c>
      <c r="R1511" s="6">
        <v>22</v>
      </c>
      <c r="S1511" s="6">
        <v>20</v>
      </c>
      <c r="V1511" s="8">
        <v>-21.388443907546993</v>
      </c>
      <c r="W1511" s="8">
        <v>-157.74929490356445</v>
      </c>
      <c r="X1511" s="8">
        <f t="shared" si="89"/>
        <v>13.358256356811495</v>
      </c>
    </row>
    <row r="1512" spans="1:25" x14ac:dyDescent="0.35">
      <c r="A1512" s="6" t="s">
        <v>25</v>
      </c>
      <c r="B1512" s="6" t="s">
        <v>2911</v>
      </c>
      <c r="D1512" s="6" t="s">
        <v>3153</v>
      </c>
      <c r="E1512" s="6">
        <v>3</v>
      </c>
      <c r="F1512" s="6">
        <v>39</v>
      </c>
      <c r="G1512" s="6" t="s">
        <v>3268</v>
      </c>
      <c r="I1512" s="8">
        <v>83.921973194444405</v>
      </c>
      <c r="J1512" s="8">
        <v>17.654378611111099</v>
      </c>
      <c r="K1512" s="6" t="s">
        <v>198</v>
      </c>
      <c r="L1512" s="9">
        <v>43957</v>
      </c>
      <c r="M1512" s="20">
        <v>0.51944444444444449</v>
      </c>
      <c r="N1512" s="6">
        <v>32</v>
      </c>
      <c r="O1512" s="6" t="s">
        <v>4376</v>
      </c>
      <c r="R1512" s="6">
        <v>18</v>
      </c>
      <c r="S1512" s="6">
        <v>15</v>
      </c>
      <c r="V1512" s="8">
        <v>-17.513483368682859</v>
      </c>
      <c r="W1512" s="8">
        <v>-128.05810809020994</v>
      </c>
      <c r="X1512" s="8">
        <f t="shared" si="89"/>
        <v>12.049758859252933</v>
      </c>
    </row>
    <row r="1513" spans="1:25" x14ac:dyDescent="0.35">
      <c r="A1513" s="6" t="s">
        <v>25</v>
      </c>
      <c r="B1513" s="6" t="s">
        <v>2912</v>
      </c>
      <c r="D1513" s="6" t="s">
        <v>3153</v>
      </c>
      <c r="E1513" s="6">
        <v>3</v>
      </c>
      <c r="F1513" s="6">
        <v>39</v>
      </c>
      <c r="G1513" s="6" t="s">
        <v>3268</v>
      </c>
      <c r="I1513" s="8">
        <v>83.921973194444405</v>
      </c>
      <c r="J1513" s="8">
        <v>17.654378611111099</v>
      </c>
      <c r="K1513" s="6" t="s">
        <v>198</v>
      </c>
      <c r="L1513" s="9">
        <v>43957</v>
      </c>
      <c r="M1513" s="20">
        <v>0.51944444444444449</v>
      </c>
      <c r="N1513" s="6">
        <v>32</v>
      </c>
      <c r="O1513" s="6" t="s">
        <v>4376</v>
      </c>
      <c r="R1513" s="6">
        <v>12</v>
      </c>
      <c r="S1513" s="6">
        <v>9</v>
      </c>
      <c r="V1513" s="8">
        <v>-4.8820737641334544</v>
      </c>
      <c r="W1513" s="8">
        <v>-37.213689709472654</v>
      </c>
      <c r="X1513" s="8">
        <f t="shared" si="89"/>
        <v>1.8429004035949816</v>
      </c>
    </row>
    <row r="1514" spans="1:25" x14ac:dyDescent="0.35">
      <c r="A1514" s="6" t="s">
        <v>25</v>
      </c>
      <c r="B1514" s="6" t="s">
        <v>3503</v>
      </c>
      <c r="D1514" s="6" t="s">
        <v>3805</v>
      </c>
      <c r="E1514" s="6">
        <v>3</v>
      </c>
      <c r="F1514" s="6">
        <v>39</v>
      </c>
      <c r="G1514" s="6" t="s">
        <v>4107</v>
      </c>
      <c r="I1514" s="8">
        <v>83.929347499999949</v>
      </c>
      <c r="J1514" s="8">
        <v>16.673277291666672</v>
      </c>
      <c r="K1514" s="6" t="s">
        <v>2610</v>
      </c>
      <c r="L1514" s="9">
        <v>43958</v>
      </c>
      <c r="N1514" s="6">
        <v>32</v>
      </c>
      <c r="O1514" s="6" t="s">
        <v>4377</v>
      </c>
      <c r="V1514" s="8">
        <v>-0.49065002433061572</v>
      </c>
      <c r="W1514" s="8">
        <v>-2.5188218362808228</v>
      </c>
      <c r="X1514" s="27">
        <f t="shared" si="89"/>
        <v>1.406378358364103</v>
      </c>
    </row>
    <row r="1515" spans="1:25" x14ac:dyDescent="0.35">
      <c r="A1515" s="6" t="s">
        <v>25</v>
      </c>
      <c r="B1515" s="6" t="s">
        <v>3504</v>
      </c>
      <c r="D1515" s="6" t="s">
        <v>3806</v>
      </c>
      <c r="E1515" s="6">
        <v>3</v>
      </c>
      <c r="F1515" s="6">
        <v>39</v>
      </c>
      <c r="G1515" s="6" t="s">
        <v>4108</v>
      </c>
      <c r="I1515" s="8">
        <v>83.857260624999995</v>
      </c>
      <c r="J1515" s="8">
        <v>15.22270756944444</v>
      </c>
      <c r="K1515" s="6" t="s">
        <v>2610</v>
      </c>
      <c r="L1515" s="9">
        <v>43959</v>
      </c>
      <c r="N1515" s="6">
        <v>32</v>
      </c>
      <c r="O1515" s="6" t="s">
        <v>4378</v>
      </c>
      <c r="V1515" s="8">
        <v>-0.54411021996140474</v>
      </c>
      <c r="W1515" s="8">
        <v>-2.9628926227569581</v>
      </c>
      <c r="X1515" s="27">
        <f t="shared" si="89"/>
        <v>1.3899891369342798</v>
      </c>
    </row>
    <row r="1516" spans="1:25" x14ac:dyDescent="0.35">
      <c r="A1516" s="6" t="s">
        <v>25</v>
      </c>
      <c r="B1516" s="6" t="s">
        <v>3505</v>
      </c>
      <c r="D1516" s="6" t="s">
        <v>3807</v>
      </c>
      <c r="E1516" s="6">
        <v>3</v>
      </c>
      <c r="F1516" s="6">
        <v>39</v>
      </c>
      <c r="G1516" s="6" t="s">
        <v>4109</v>
      </c>
      <c r="I1516" s="8">
        <v>83.791625999999994</v>
      </c>
      <c r="J1516" s="8">
        <v>14.137250999999999</v>
      </c>
      <c r="K1516" s="6" t="s">
        <v>2610</v>
      </c>
      <c r="L1516" s="9">
        <v>43960</v>
      </c>
      <c r="N1516" s="6">
        <v>32</v>
      </c>
      <c r="O1516" s="6" t="s">
        <v>4246</v>
      </c>
      <c r="V1516" s="8">
        <v>-0.49896242410540609</v>
      </c>
      <c r="W1516" s="8">
        <v>-3.2526358869552614</v>
      </c>
      <c r="X1516" s="27">
        <f t="shared" si="89"/>
        <v>0.7390635058879873</v>
      </c>
    </row>
    <row r="1517" spans="1:25" x14ac:dyDescent="0.35">
      <c r="A1517" s="6" t="s">
        <v>25</v>
      </c>
      <c r="B1517" s="6" t="s">
        <v>2913</v>
      </c>
      <c r="D1517" s="6" t="s">
        <v>3154</v>
      </c>
      <c r="E1517" s="6">
        <v>3</v>
      </c>
      <c r="F1517" s="6">
        <v>39</v>
      </c>
      <c r="G1517" s="6" t="s">
        <v>3260</v>
      </c>
      <c r="I1517" s="8">
        <v>83.791625999999994</v>
      </c>
      <c r="J1517" s="8">
        <v>14.137250999999999</v>
      </c>
      <c r="K1517" s="6" t="s">
        <v>198</v>
      </c>
      <c r="L1517" s="9">
        <v>43960</v>
      </c>
      <c r="M1517" s="18">
        <v>0.30763888888888891</v>
      </c>
      <c r="N1517" s="6">
        <v>32</v>
      </c>
      <c r="O1517" s="6" t="s">
        <v>4246</v>
      </c>
      <c r="R1517" s="6">
        <v>3</v>
      </c>
      <c r="S1517" s="6">
        <v>0</v>
      </c>
      <c r="V1517" s="8">
        <v>-3.3634456015110015</v>
      </c>
      <c r="W1517" s="8">
        <v>-48.310350666809086</v>
      </c>
      <c r="X1517" s="8">
        <f t="shared" si="89"/>
        <v>-21.402785854721074</v>
      </c>
    </row>
    <row r="1518" spans="1:25" x14ac:dyDescent="0.35">
      <c r="A1518" s="6" t="s">
        <v>25</v>
      </c>
      <c r="B1518" s="6" t="s">
        <v>2914</v>
      </c>
      <c r="D1518" s="6" t="s">
        <v>3154</v>
      </c>
      <c r="E1518" s="6">
        <v>3</v>
      </c>
      <c r="F1518" s="6">
        <v>39</v>
      </c>
      <c r="G1518" s="6" t="s">
        <v>3260</v>
      </c>
      <c r="I1518" s="8">
        <v>83.791625999999994</v>
      </c>
      <c r="J1518" s="8">
        <v>14.137250999999999</v>
      </c>
      <c r="K1518" s="6" t="s">
        <v>198</v>
      </c>
      <c r="L1518" s="9">
        <v>43960</v>
      </c>
      <c r="M1518" s="18">
        <v>0.30763888888888891</v>
      </c>
      <c r="N1518" s="6">
        <v>32</v>
      </c>
      <c r="O1518" s="6" t="s">
        <v>4246</v>
      </c>
      <c r="R1518" s="6">
        <v>7</v>
      </c>
      <c r="S1518" s="6">
        <v>4</v>
      </c>
      <c r="V1518" s="8">
        <v>-10.711988621520995</v>
      </c>
      <c r="W1518" s="8">
        <v>-87.467149807739247</v>
      </c>
      <c r="X1518" s="8">
        <f t="shared" si="89"/>
        <v>-1.771240835571291</v>
      </c>
    </row>
    <row r="1519" spans="1:25" x14ac:dyDescent="0.35">
      <c r="A1519" s="6" t="s">
        <v>25</v>
      </c>
      <c r="B1519" s="6" t="s">
        <v>2915</v>
      </c>
      <c r="D1519" s="6" t="s">
        <v>3154</v>
      </c>
      <c r="E1519" s="6">
        <v>3</v>
      </c>
      <c r="F1519" s="6">
        <v>39</v>
      </c>
      <c r="G1519" s="6" t="s">
        <v>3260</v>
      </c>
      <c r="I1519" s="8">
        <v>83.791625999999994</v>
      </c>
      <c r="J1519" s="8">
        <v>14.137250999999999</v>
      </c>
      <c r="K1519" s="6" t="s">
        <v>198</v>
      </c>
      <c r="L1519" s="9">
        <v>43960</v>
      </c>
      <c r="M1519" s="18">
        <v>0.30763888888888891</v>
      </c>
      <c r="N1519" s="6">
        <v>32</v>
      </c>
      <c r="O1519" s="6" t="s">
        <v>4246</v>
      </c>
      <c r="R1519" s="6">
        <v>10</v>
      </c>
      <c r="S1519" s="6">
        <v>9</v>
      </c>
      <c r="V1519" s="8">
        <v>-17.250456938552855</v>
      </c>
      <c r="W1519" s="8">
        <v>-127.62408575134276</v>
      </c>
      <c r="X1519" s="8">
        <f t="shared" si="89"/>
        <v>10.379569757080077</v>
      </c>
      <c r="Y1519" s="6" t="s">
        <v>3188</v>
      </c>
    </row>
    <row r="1520" spans="1:25" x14ac:dyDescent="0.35">
      <c r="A1520" s="6" t="s">
        <v>25</v>
      </c>
      <c r="B1520" s="6" t="s">
        <v>3506</v>
      </c>
      <c r="D1520" s="6" t="s">
        <v>3808</v>
      </c>
      <c r="E1520" s="6">
        <v>3</v>
      </c>
      <c r="F1520" s="6">
        <v>39</v>
      </c>
      <c r="G1520" s="6" t="s">
        <v>4110</v>
      </c>
      <c r="I1520" s="8">
        <v>83.658608999999998</v>
      </c>
      <c r="J1520" s="8">
        <v>13.462538</v>
      </c>
      <c r="K1520" s="6" t="s">
        <v>2610</v>
      </c>
      <c r="L1520" s="9">
        <v>43961</v>
      </c>
      <c r="N1520" s="6">
        <v>33</v>
      </c>
      <c r="O1520" s="6" t="s">
        <v>4278</v>
      </c>
      <c r="V1520" s="8">
        <v>-0.44865715841054932</v>
      </c>
      <c r="W1520" s="8">
        <v>-3.2211625476360326</v>
      </c>
      <c r="X1520" s="27">
        <f t="shared" si="89"/>
        <v>0.36809471964836193</v>
      </c>
    </row>
    <row r="1521" spans="1:25" x14ac:dyDescent="0.35">
      <c r="A1521" s="6" t="s">
        <v>25</v>
      </c>
      <c r="B1521" s="6" t="s">
        <v>2916</v>
      </c>
      <c r="D1521" s="6" t="s">
        <v>3155</v>
      </c>
      <c r="E1521" s="6">
        <v>3</v>
      </c>
      <c r="F1521" s="6">
        <v>39</v>
      </c>
      <c r="G1521" s="6" t="s">
        <v>3269</v>
      </c>
      <c r="I1521" s="8">
        <v>83.658608999999998</v>
      </c>
      <c r="J1521" s="8">
        <v>13.462538</v>
      </c>
      <c r="K1521" s="6" t="s">
        <v>198</v>
      </c>
      <c r="L1521" s="9">
        <v>43961</v>
      </c>
      <c r="M1521" s="18">
        <v>0.50416666666666665</v>
      </c>
      <c r="N1521" s="6">
        <v>33</v>
      </c>
      <c r="O1521" s="6" t="s">
        <v>4278</v>
      </c>
      <c r="R1521" s="6">
        <v>32</v>
      </c>
      <c r="S1521" s="6">
        <v>30</v>
      </c>
      <c r="V1521" s="8">
        <v>-25.787790139007566</v>
      </c>
      <c r="W1521" s="8">
        <v>-195.36734415893554</v>
      </c>
      <c r="X1521" s="8">
        <f t="shared" si="89"/>
        <v>10.934976953124988</v>
      </c>
      <c r="Y1521" s="6" t="s">
        <v>3189</v>
      </c>
    </row>
    <row r="1522" spans="1:25" x14ac:dyDescent="0.35">
      <c r="A1522" s="6" t="s">
        <v>25</v>
      </c>
      <c r="B1522" s="6" t="s">
        <v>2917</v>
      </c>
      <c r="D1522" s="6" t="s">
        <v>3155</v>
      </c>
      <c r="E1522" s="6">
        <v>3</v>
      </c>
      <c r="F1522" s="6">
        <v>39</v>
      </c>
      <c r="G1522" s="6" t="s">
        <v>3269</v>
      </c>
      <c r="I1522" s="8">
        <v>83.658608999999998</v>
      </c>
      <c r="J1522" s="8">
        <v>13.462538</v>
      </c>
      <c r="K1522" s="6" t="s">
        <v>198</v>
      </c>
      <c r="L1522" s="9">
        <v>43961</v>
      </c>
      <c r="M1522" s="18">
        <v>0.50416666666666665</v>
      </c>
      <c r="N1522" s="6">
        <v>33</v>
      </c>
      <c r="O1522" s="6" t="s">
        <v>4278</v>
      </c>
      <c r="R1522" s="6">
        <v>3</v>
      </c>
      <c r="S1522" s="6">
        <v>0</v>
      </c>
      <c r="V1522" s="8">
        <v>-29.83418852500915</v>
      </c>
      <c r="W1522" s="8">
        <v>-225.46493943481445</v>
      </c>
      <c r="X1522" s="8">
        <f t="shared" si="89"/>
        <v>13.208568765258747</v>
      </c>
    </row>
    <row r="1523" spans="1:25" x14ac:dyDescent="0.35">
      <c r="A1523" s="6" t="s">
        <v>25</v>
      </c>
      <c r="B1523" s="6" t="s">
        <v>3507</v>
      </c>
      <c r="D1523" s="6" t="s">
        <v>3809</v>
      </c>
      <c r="E1523" s="6">
        <v>3</v>
      </c>
      <c r="F1523" s="6">
        <v>40</v>
      </c>
      <c r="G1523" s="6" t="s">
        <v>4111</v>
      </c>
      <c r="I1523" s="8">
        <v>83.500490833333345</v>
      </c>
      <c r="J1523" s="8">
        <v>13.105801666666666</v>
      </c>
      <c r="K1523" s="6" t="s">
        <v>2610</v>
      </c>
      <c r="L1523" s="9">
        <v>43962</v>
      </c>
      <c r="N1523" s="6">
        <v>33</v>
      </c>
      <c r="O1523" s="6" t="s">
        <v>4379</v>
      </c>
      <c r="V1523" s="8">
        <v>-0.46832899857163446</v>
      </c>
      <c r="W1523" s="8">
        <v>-2.7548073909759525</v>
      </c>
      <c r="X1523" s="27">
        <f t="shared" si="89"/>
        <v>0.99182459759712316</v>
      </c>
    </row>
    <row r="1524" spans="1:25" x14ac:dyDescent="0.35">
      <c r="A1524" s="6" t="s">
        <v>25</v>
      </c>
      <c r="B1524" s="6" t="s">
        <v>3508</v>
      </c>
      <c r="D1524" s="6" t="s">
        <v>3810</v>
      </c>
      <c r="E1524" s="6">
        <v>3</v>
      </c>
      <c r="F1524" s="6">
        <v>40</v>
      </c>
      <c r="G1524" s="6" t="s">
        <v>4112</v>
      </c>
      <c r="I1524" s="8">
        <v>83.417505902777805</v>
      </c>
      <c r="J1524" s="8">
        <v>12.602031458333334</v>
      </c>
      <c r="K1524" s="6" t="s">
        <v>2610</v>
      </c>
      <c r="L1524" s="9">
        <v>43963</v>
      </c>
      <c r="N1524" s="6">
        <v>33</v>
      </c>
      <c r="O1524" s="6" t="s">
        <v>4380</v>
      </c>
      <c r="V1524" s="8">
        <v>-0.51313448966145503</v>
      </c>
      <c r="W1524" s="8">
        <v>-2.7105067506313327</v>
      </c>
      <c r="X1524" s="27">
        <f t="shared" si="89"/>
        <v>1.3945691666603075</v>
      </c>
    </row>
    <row r="1525" spans="1:25" x14ac:dyDescent="0.35">
      <c r="A1525" s="6" t="s">
        <v>25</v>
      </c>
      <c r="B1525" s="6" t="s">
        <v>3509</v>
      </c>
      <c r="D1525" s="6" t="s">
        <v>3811</v>
      </c>
      <c r="E1525" s="6">
        <v>3</v>
      </c>
      <c r="F1525" s="6">
        <v>40</v>
      </c>
      <c r="G1525" s="6" t="s">
        <v>4113</v>
      </c>
      <c r="I1525" s="8">
        <v>83.371565416666712</v>
      </c>
      <c r="J1525" s="8">
        <v>10.694470000000008</v>
      </c>
      <c r="K1525" s="6" t="s">
        <v>2610</v>
      </c>
      <c r="L1525" s="9">
        <v>43964</v>
      </c>
      <c r="N1525" s="6">
        <v>33</v>
      </c>
      <c r="O1525" s="6" t="s">
        <v>4381</v>
      </c>
      <c r="V1525" s="8">
        <v>-0.5343671987414359</v>
      </c>
      <c r="W1525" s="8">
        <v>-3.51821195011139</v>
      </c>
      <c r="X1525" s="27">
        <f t="shared" si="89"/>
        <v>0.75672563982009722</v>
      </c>
    </row>
    <row r="1526" spans="1:25" x14ac:dyDescent="0.35">
      <c r="A1526" s="6" t="s">
        <v>25</v>
      </c>
      <c r="B1526" s="6" t="s">
        <v>3510</v>
      </c>
      <c r="D1526" s="6" t="s">
        <v>3812</v>
      </c>
      <c r="E1526" s="6">
        <v>3</v>
      </c>
      <c r="F1526" s="6">
        <v>40</v>
      </c>
      <c r="G1526" s="6" t="s">
        <v>4114</v>
      </c>
      <c r="I1526" s="8">
        <v>83.385186041666643</v>
      </c>
      <c r="J1526" s="8">
        <v>9.8881627083333328</v>
      </c>
      <c r="K1526" s="6" t="s">
        <v>2610</v>
      </c>
      <c r="L1526" s="9">
        <v>43965</v>
      </c>
      <c r="N1526" s="6">
        <v>33</v>
      </c>
      <c r="O1526" s="6" t="s">
        <v>4382</v>
      </c>
      <c r="V1526" s="8">
        <v>-0.60784039888381936</v>
      </c>
      <c r="W1526" s="8">
        <v>-3.9439243693828585</v>
      </c>
      <c r="X1526" s="27">
        <f t="shared" si="89"/>
        <v>0.91879882168769633</v>
      </c>
    </row>
    <row r="1527" spans="1:25" x14ac:dyDescent="0.35">
      <c r="A1527" s="6" t="s">
        <v>25</v>
      </c>
      <c r="B1527" s="6" t="s">
        <v>3511</v>
      </c>
      <c r="D1527" s="6" t="s">
        <v>3813</v>
      </c>
      <c r="E1527" s="6">
        <v>3</v>
      </c>
      <c r="F1527" s="6">
        <v>40</v>
      </c>
      <c r="G1527" s="6" t="s">
        <v>4115</v>
      </c>
      <c r="I1527" s="8">
        <v>83.386804791666663</v>
      </c>
      <c r="J1527" s="8">
        <v>9.3355530555555539</v>
      </c>
      <c r="K1527" s="6" t="s">
        <v>2610</v>
      </c>
      <c r="L1527" s="9">
        <v>43966</v>
      </c>
      <c r="N1527" s="6">
        <v>33</v>
      </c>
      <c r="O1527" s="6" t="s">
        <v>4383</v>
      </c>
      <c r="V1527" s="8">
        <v>-0.60961327333927173</v>
      </c>
      <c r="W1527" s="8">
        <v>-4.4665194697380075</v>
      </c>
      <c r="X1527" s="27">
        <f t="shared" si="89"/>
        <v>0.41038671697616635</v>
      </c>
    </row>
    <row r="1528" spans="1:25" x14ac:dyDescent="0.35">
      <c r="A1528" s="6" t="s">
        <v>25</v>
      </c>
      <c r="B1528" s="6" t="s">
        <v>3512</v>
      </c>
      <c r="D1528" s="6" t="s">
        <v>3814</v>
      </c>
      <c r="E1528" s="6">
        <v>3</v>
      </c>
      <c r="F1528" s="6">
        <v>40</v>
      </c>
      <c r="G1528" s="6" t="s">
        <v>4116</v>
      </c>
      <c r="I1528" s="8">
        <v>83.390428819444452</v>
      </c>
      <c r="J1528" s="8">
        <v>9.1059161805555586</v>
      </c>
      <c r="K1528" s="6" t="s">
        <v>2610</v>
      </c>
      <c r="L1528" s="9">
        <v>43967</v>
      </c>
      <c r="N1528" s="6">
        <v>33</v>
      </c>
      <c r="O1528" s="6" t="s">
        <v>4384</v>
      </c>
      <c r="V1528" s="8">
        <v>-0.60369367785930672</v>
      </c>
      <c r="W1528" s="8">
        <v>-4.0551219077110296</v>
      </c>
      <c r="X1528" s="27">
        <f t="shared" si="89"/>
        <v>0.77442751516342412</v>
      </c>
    </row>
    <row r="1529" spans="1:25" x14ac:dyDescent="0.35">
      <c r="A1529" s="6" t="s">
        <v>25</v>
      </c>
      <c r="B1529" s="6" t="s">
        <v>3513</v>
      </c>
      <c r="D1529" s="6" t="s">
        <v>3815</v>
      </c>
      <c r="E1529" s="6">
        <v>3</v>
      </c>
      <c r="F1529" s="6">
        <v>40</v>
      </c>
      <c r="G1529" s="6" t="s">
        <v>4117</v>
      </c>
      <c r="I1529" s="8">
        <v>83.36668569444447</v>
      </c>
      <c r="J1529" s="8">
        <v>9.017057986111114</v>
      </c>
      <c r="K1529" s="6" t="s">
        <v>2610</v>
      </c>
      <c r="L1529" s="9">
        <v>43968</v>
      </c>
      <c r="N1529" s="6">
        <v>34</v>
      </c>
      <c r="O1529" s="6" t="s">
        <v>4368</v>
      </c>
      <c r="V1529" s="8">
        <v>-0.6832955735492704</v>
      </c>
      <c r="W1529" s="8">
        <v>-4.2721812601089484</v>
      </c>
      <c r="X1529" s="27">
        <f t="shared" si="89"/>
        <v>1.1941833282852148</v>
      </c>
    </row>
    <row r="1530" spans="1:25" x14ac:dyDescent="0.35">
      <c r="A1530" s="6" t="s">
        <v>25</v>
      </c>
      <c r="B1530" s="6" t="s">
        <v>3514</v>
      </c>
      <c r="D1530" s="6" t="s">
        <v>3816</v>
      </c>
      <c r="E1530" s="6">
        <v>3</v>
      </c>
      <c r="F1530" s="6">
        <v>41</v>
      </c>
      <c r="G1530" s="6" t="s">
        <v>4118</v>
      </c>
      <c r="I1530" s="8">
        <v>83.32372687500002</v>
      </c>
      <c r="J1530" s="8">
        <v>8.7189200000000042</v>
      </c>
      <c r="K1530" s="6" t="s">
        <v>2610</v>
      </c>
      <c r="L1530" s="9">
        <v>43969</v>
      </c>
      <c r="N1530" s="6">
        <v>34</v>
      </c>
      <c r="O1530" s="6" t="s">
        <v>4385</v>
      </c>
      <c r="V1530" s="8">
        <v>-0.61233436127185814</v>
      </c>
      <c r="W1530" s="8">
        <v>-3.7334830327034005</v>
      </c>
      <c r="X1530" s="27">
        <f t="shared" si="89"/>
        <v>1.1651918574714646</v>
      </c>
    </row>
    <row r="1531" spans="1:25" x14ac:dyDescent="0.35">
      <c r="A1531" s="6" t="s">
        <v>25</v>
      </c>
      <c r="B1531" s="6" t="s">
        <v>3515</v>
      </c>
      <c r="D1531" s="6" t="s">
        <v>3817</v>
      </c>
      <c r="E1531" s="6">
        <v>3</v>
      </c>
      <c r="F1531" s="6">
        <v>41</v>
      </c>
      <c r="G1531" s="6" t="s">
        <v>4119</v>
      </c>
      <c r="I1531" s="8">
        <v>83.259119444444394</v>
      </c>
      <c r="J1531" s="8">
        <v>8.9492065972222186</v>
      </c>
      <c r="K1531" s="6" t="s">
        <v>2610</v>
      </c>
      <c r="L1531" s="9">
        <v>43970</v>
      </c>
      <c r="N1531" s="6">
        <v>34</v>
      </c>
      <c r="O1531" s="6" t="s">
        <v>4386</v>
      </c>
      <c r="V1531" s="8">
        <v>-0.51095794578075382</v>
      </c>
      <c r="W1531" s="8">
        <v>-2.969489740848541</v>
      </c>
      <c r="X1531" s="27">
        <f t="shared" si="89"/>
        <v>1.1181738253974896</v>
      </c>
    </row>
    <row r="1532" spans="1:25" x14ac:dyDescent="0.35">
      <c r="A1532" s="6" t="s">
        <v>25</v>
      </c>
      <c r="B1532" s="6" t="s">
        <v>3516</v>
      </c>
      <c r="D1532" s="6" t="s">
        <v>3818</v>
      </c>
      <c r="E1532" s="6">
        <v>3</v>
      </c>
      <c r="F1532" s="6">
        <v>41</v>
      </c>
      <c r="G1532" s="6" t="s">
        <v>4120</v>
      </c>
      <c r="I1532" s="8">
        <v>83.145705416666644</v>
      </c>
      <c r="J1532" s="8">
        <v>10.02129743055556</v>
      </c>
      <c r="K1532" s="6" t="s">
        <v>2610</v>
      </c>
      <c r="L1532" s="9">
        <v>43971</v>
      </c>
      <c r="N1532" s="6">
        <v>34</v>
      </c>
      <c r="O1532" s="6" t="s">
        <v>4387</v>
      </c>
      <c r="V1532" s="8">
        <v>-0.55432529969692224</v>
      </c>
      <c r="W1532" s="8">
        <v>-3.9717186827659603</v>
      </c>
      <c r="X1532" s="27">
        <f t="shared" si="89"/>
        <v>0.46288371480941759</v>
      </c>
    </row>
    <row r="1533" spans="1:25" x14ac:dyDescent="0.35">
      <c r="A1533" s="6" t="s">
        <v>25</v>
      </c>
      <c r="B1533" s="6" t="s">
        <v>3517</v>
      </c>
      <c r="D1533" s="6" t="s">
        <v>3819</v>
      </c>
      <c r="E1533" s="6">
        <v>3</v>
      </c>
      <c r="F1533" s="6">
        <v>41</v>
      </c>
      <c r="G1533" s="6" t="s">
        <v>4121</v>
      </c>
      <c r="I1533" s="8">
        <v>83.002715208333314</v>
      </c>
      <c r="J1533" s="8">
        <v>11.187904652777778</v>
      </c>
      <c r="K1533" s="6" t="s">
        <v>2610</v>
      </c>
      <c r="L1533" s="9">
        <v>43972</v>
      </c>
      <c r="N1533" s="6">
        <v>34</v>
      </c>
      <c r="O1533" s="6" t="s">
        <v>4388</v>
      </c>
      <c r="V1533" s="8">
        <v>-0.60254635973453496</v>
      </c>
      <c r="W1533" s="8">
        <v>-4.0244997496604915</v>
      </c>
      <c r="X1533" s="27">
        <f t="shared" si="89"/>
        <v>0.7958711282157882</v>
      </c>
    </row>
    <row r="1534" spans="1:25" x14ac:dyDescent="0.35">
      <c r="A1534" s="6" t="s">
        <v>25</v>
      </c>
      <c r="B1534" s="6" t="s">
        <v>3518</v>
      </c>
      <c r="D1534" s="6" t="s">
        <v>3820</v>
      </c>
      <c r="E1534" s="6">
        <v>3</v>
      </c>
      <c r="F1534" s="6">
        <v>41</v>
      </c>
      <c r="G1534" s="6" t="s">
        <v>4122</v>
      </c>
      <c r="I1534" s="8">
        <v>82.927583541666635</v>
      </c>
      <c r="J1534" s="8">
        <v>11.503391458333333</v>
      </c>
      <c r="K1534" s="6" t="s">
        <v>2610</v>
      </c>
      <c r="L1534" s="9">
        <v>43973</v>
      </c>
      <c r="N1534" s="6">
        <v>34</v>
      </c>
      <c r="O1534" s="6" t="s">
        <v>4387</v>
      </c>
      <c r="V1534" s="8">
        <v>-0.61154531772613563</v>
      </c>
      <c r="W1534" s="8">
        <v>-5.1280037326812753</v>
      </c>
      <c r="X1534" s="27">
        <f t="shared" si="89"/>
        <v>-0.23564119087219026</v>
      </c>
    </row>
    <row r="1535" spans="1:25" x14ac:dyDescent="0.35">
      <c r="A1535" s="6" t="s">
        <v>25</v>
      </c>
      <c r="B1535" s="6" t="s">
        <v>3519</v>
      </c>
      <c r="D1535" s="6" t="s">
        <v>3821</v>
      </c>
      <c r="E1535" s="6">
        <v>3</v>
      </c>
      <c r="F1535" s="6">
        <v>41</v>
      </c>
      <c r="G1535" s="6" t="s">
        <v>4123</v>
      </c>
      <c r="I1535" s="8">
        <v>82.807217222222206</v>
      </c>
      <c r="J1535" s="8">
        <v>10.670492361111114</v>
      </c>
      <c r="K1535" s="6" t="s">
        <v>2610</v>
      </c>
      <c r="L1535" s="9">
        <v>43974</v>
      </c>
      <c r="N1535" s="6">
        <v>34</v>
      </c>
      <c r="O1535" s="6" t="s">
        <v>4389</v>
      </c>
      <c r="V1535" s="8">
        <v>-0.60864716120243112</v>
      </c>
      <c r="W1535" s="8">
        <v>-3.999859411239624</v>
      </c>
      <c r="X1535" s="27">
        <f t="shared" si="89"/>
        <v>0.86931787837982499</v>
      </c>
    </row>
    <row r="1536" spans="1:25" x14ac:dyDescent="0.35">
      <c r="A1536" s="6" t="s">
        <v>25</v>
      </c>
      <c r="B1536" s="6" t="s">
        <v>3520</v>
      </c>
      <c r="D1536" s="6" t="s">
        <v>3822</v>
      </c>
      <c r="E1536" s="6">
        <v>3</v>
      </c>
      <c r="F1536" s="6">
        <v>41</v>
      </c>
      <c r="G1536" s="6" t="s">
        <v>4124</v>
      </c>
      <c r="I1536" s="8">
        <v>82.726683888888843</v>
      </c>
      <c r="J1536" s="8">
        <v>10.231643402777779</v>
      </c>
      <c r="K1536" s="6" t="s">
        <v>2610</v>
      </c>
      <c r="L1536" s="9">
        <v>43975</v>
      </c>
      <c r="N1536" s="6">
        <v>35</v>
      </c>
      <c r="O1536" s="6" t="s">
        <v>4390</v>
      </c>
      <c r="V1536" s="8">
        <v>-0.69479357917785678</v>
      </c>
      <c r="W1536" s="8">
        <v>-4.0833242411613471</v>
      </c>
      <c r="X1536" s="27">
        <f t="shared" si="89"/>
        <v>1.4750243922615072</v>
      </c>
    </row>
    <row r="1537" spans="1:25" x14ac:dyDescent="0.35">
      <c r="A1537" s="6" t="s">
        <v>25</v>
      </c>
      <c r="B1537" s="6" t="s">
        <v>3521</v>
      </c>
      <c r="D1537" s="6" t="s">
        <v>3823</v>
      </c>
      <c r="E1537" s="6">
        <v>3</v>
      </c>
      <c r="F1537" s="6">
        <v>42</v>
      </c>
      <c r="G1537" s="6" t="s">
        <v>4125</v>
      </c>
      <c r="I1537" s="8">
        <v>82.586408055555538</v>
      </c>
      <c r="J1537" s="8">
        <v>8.9489584027777838</v>
      </c>
      <c r="K1537" s="6" t="s">
        <v>2610</v>
      </c>
      <c r="L1537" s="9">
        <v>43976</v>
      </c>
      <c r="N1537" s="6">
        <v>35</v>
      </c>
      <c r="O1537" s="6" t="s">
        <v>4391</v>
      </c>
      <c r="V1537" s="8">
        <v>-0.79579858777284607</v>
      </c>
      <c r="W1537" s="8">
        <v>-4.4098567669868469</v>
      </c>
      <c r="X1537" s="27">
        <f t="shared" si="89"/>
        <v>1.9565319351959216</v>
      </c>
    </row>
    <row r="1538" spans="1:25" x14ac:dyDescent="0.35">
      <c r="A1538" s="6" t="s">
        <v>25</v>
      </c>
      <c r="B1538" s="6" t="s">
        <v>3522</v>
      </c>
      <c r="D1538" s="6" t="s">
        <v>3824</v>
      </c>
      <c r="E1538" s="6">
        <v>3</v>
      </c>
      <c r="F1538" s="6">
        <v>42</v>
      </c>
      <c r="G1538" s="6" t="s">
        <v>4126</v>
      </c>
      <c r="I1538" s="8">
        <v>82.349806458333276</v>
      </c>
      <c r="J1538" s="8">
        <v>8.1747182638888845</v>
      </c>
      <c r="K1538" s="6" t="s">
        <v>2610</v>
      </c>
      <c r="L1538" s="9">
        <v>43977</v>
      </c>
      <c r="N1538" s="6">
        <v>35</v>
      </c>
      <c r="O1538" s="6" t="s">
        <v>4392</v>
      </c>
      <c r="V1538" s="8">
        <v>-0.66440514093995096</v>
      </c>
      <c r="W1538" s="8">
        <v>-4.2756869464397438</v>
      </c>
      <c r="X1538" s="27">
        <f t="shared" si="89"/>
        <v>1.0395541810798639</v>
      </c>
    </row>
    <row r="1539" spans="1:25" x14ac:dyDescent="0.35">
      <c r="A1539" s="6" t="s">
        <v>25</v>
      </c>
      <c r="B1539" s="6" t="s">
        <v>3523</v>
      </c>
      <c r="D1539" s="6" t="s">
        <v>3825</v>
      </c>
      <c r="E1539" s="6">
        <v>3</v>
      </c>
      <c r="F1539" s="6">
        <v>42</v>
      </c>
      <c r="G1539" s="6" t="s">
        <v>4127</v>
      </c>
      <c r="I1539" s="8">
        <v>82.383414652777731</v>
      </c>
      <c r="J1539" s="8">
        <v>8.299510486111112</v>
      </c>
      <c r="K1539" s="6" t="s">
        <v>2610</v>
      </c>
      <c r="L1539" s="9">
        <v>43978</v>
      </c>
      <c r="N1539" s="6">
        <v>35</v>
      </c>
      <c r="O1539" s="6" t="s">
        <v>4393</v>
      </c>
      <c r="V1539" s="8">
        <v>-0.72356622669458392</v>
      </c>
      <c r="W1539" s="8">
        <v>-4.7104319675445563</v>
      </c>
      <c r="X1539" s="27">
        <f t="shared" si="89"/>
        <v>1.0780978460121151</v>
      </c>
    </row>
    <row r="1540" spans="1:25" x14ac:dyDescent="0.35">
      <c r="A1540" s="6" t="s">
        <v>25</v>
      </c>
      <c r="B1540" s="6" t="s">
        <v>3524</v>
      </c>
      <c r="D1540" s="6" t="s">
        <v>3826</v>
      </c>
      <c r="E1540" s="6">
        <v>3</v>
      </c>
      <c r="F1540" s="6">
        <v>42</v>
      </c>
      <c r="G1540" s="6" t="s">
        <v>4128</v>
      </c>
      <c r="I1540" s="8">
        <v>82.351794930555613</v>
      </c>
      <c r="J1540" s="8">
        <v>8.5771845833333327</v>
      </c>
      <c r="K1540" s="6" t="s">
        <v>2610</v>
      </c>
      <c r="L1540" s="9">
        <v>43979</v>
      </c>
      <c r="N1540" s="6">
        <v>35</v>
      </c>
      <c r="O1540" s="6" t="s">
        <v>4394</v>
      </c>
      <c r="V1540" s="8">
        <v>-0.76921479174613938</v>
      </c>
      <c r="W1540" s="8">
        <v>-5.1220330066680919</v>
      </c>
      <c r="X1540" s="27">
        <f t="shared" si="89"/>
        <v>1.0316853273010231</v>
      </c>
    </row>
    <row r="1541" spans="1:25" x14ac:dyDescent="0.35">
      <c r="A1541" s="6" t="s">
        <v>25</v>
      </c>
      <c r="B1541" s="6" t="s">
        <v>3525</v>
      </c>
      <c r="D1541" s="6" t="s">
        <v>3827</v>
      </c>
      <c r="E1541" s="6">
        <v>3</v>
      </c>
      <c r="F1541" s="6">
        <v>42</v>
      </c>
      <c r="G1541" s="6" t="s">
        <v>4129</v>
      </c>
      <c r="I1541" s="8">
        <v>82.183056805555537</v>
      </c>
      <c r="J1541" s="8">
        <v>9.1676879166666652</v>
      </c>
      <c r="K1541" s="6" t="s">
        <v>2610</v>
      </c>
      <c r="L1541" s="9">
        <v>43980</v>
      </c>
      <c r="N1541" s="6">
        <v>35</v>
      </c>
      <c r="O1541" s="6" t="s">
        <v>4395</v>
      </c>
      <c r="V1541" s="8">
        <v>-0.35929712364196809</v>
      </c>
      <c r="W1541" s="8">
        <v>-2.421249469041824</v>
      </c>
      <c r="X1541" s="27">
        <f t="shared" si="89"/>
        <v>0.45312752009392065</v>
      </c>
    </row>
    <row r="1542" spans="1:25" x14ac:dyDescent="0.35">
      <c r="A1542" s="6" t="s">
        <v>25</v>
      </c>
      <c r="B1542" s="6" t="s">
        <v>3526</v>
      </c>
      <c r="D1542" s="6" t="s">
        <v>3828</v>
      </c>
      <c r="E1542" s="6">
        <v>3</v>
      </c>
      <c r="F1542" s="6">
        <v>42</v>
      </c>
      <c r="G1542" s="6" t="s">
        <v>4130</v>
      </c>
      <c r="I1542" s="8">
        <v>81.944864236111115</v>
      </c>
      <c r="J1542" s="8">
        <v>9.4399991666666647</v>
      </c>
      <c r="K1542" s="6" t="s">
        <v>2610</v>
      </c>
      <c r="L1542" s="9">
        <v>43981</v>
      </c>
      <c r="N1542" s="6">
        <v>35</v>
      </c>
      <c r="O1542" s="6" t="s">
        <v>4367</v>
      </c>
      <c r="V1542" s="8">
        <v>-0.36088105920076419</v>
      </c>
      <c r="W1542" s="8">
        <v>-3.046954340457916</v>
      </c>
      <c r="X1542" s="27">
        <f t="shared" si="89"/>
        <v>-0.15990586685180253</v>
      </c>
    </row>
    <row r="1543" spans="1:25" x14ac:dyDescent="0.35">
      <c r="A1543" s="6" t="s">
        <v>25</v>
      </c>
      <c r="B1543" s="6" t="s">
        <v>3527</v>
      </c>
      <c r="D1543" s="6" t="s">
        <v>3829</v>
      </c>
      <c r="E1543" s="6">
        <v>3</v>
      </c>
      <c r="F1543" s="6">
        <v>42</v>
      </c>
      <c r="G1543" s="6" t="s">
        <v>4131</v>
      </c>
      <c r="I1543" s="8">
        <v>81.701359236111045</v>
      </c>
      <c r="J1543" s="8">
        <v>9.8257005555555548</v>
      </c>
      <c r="K1543" s="6" t="s">
        <v>2610</v>
      </c>
      <c r="L1543" s="9">
        <v>43982</v>
      </c>
      <c r="N1543" s="6">
        <v>36</v>
      </c>
      <c r="O1543" s="6" t="s">
        <v>4396</v>
      </c>
      <c r="V1543" s="8">
        <v>-0.37935338387012463</v>
      </c>
      <c r="W1543" s="8">
        <v>-2.1065620429515834</v>
      </c>
      <c r="X1543" s="27">
        <f t="shared" si="89"/>
        <v>0.92826502800941357</v>
      </c>
    </row>
    <row r="1544" spans="1:25" x14ac:dyDescent="0.35">
      <c r="A1544" s="6" t="s">
        <v>25</v>
      </c>
      <c r="B1544" s="6" t="s">
        <v>3528</v>
      </c>
      <c r="D1544" s="6" t="s">
        <v>3830</v>
      </c>
      <c r="E1544" s="6">
        <v>3</v>
      </c>
      <c r="F1544" s="6">
        <v>42</v>
      </c>
      <c r="G1544" s="6" t="s">
        <v>4132</v>
      </c>
      <c r="I1544" s="8">
        <v>81.330578263888881</v>
      </c>
      <c r="J1544" s="8">
        <v>9.8487636111111083</v>
      </c>
      <c r="K1544" s="6" t="s">
        <v>2610</v>
      </c>
      <c r="L1544" s="9">
        <v>43983</v>
      </c>
      <c r="N1544" s="6">
        <v>36</v>
      </c>
      <c r="O1544" s="6" t="s">
        <v>4394</v>
      </c>
      <c r="V1544" s="8">
        <v>5.9491628369172329E-2</v>
      </c>
      <c r="W1544" s="8">
        <v>0.71402759599685661</v>
      </c>
      <c r="X1544" s="27">
        <f t="shared" si="89"/>
        <v>0.23809456904347798</v>
      </c>
    </row>
    <row r="1545" spans="1:25" x14ac:dyDescent="0.35">
      <c r="A1545" s="6" t="s">
        <v>25</v>
      </c>
      <c r="B1545" s="6" t="s">
        <v>3529</v>
      </c>
      <c r="D1545" s="6" t="s">
        <v>3831</v>
      </c>
      <c r="E1545" s="6">
        <v>3</v>
      </c>
      <c r="F1545" s="6">
        <v>42</v>
      </c>
      <c r="G1545" s="6" t="s">
        <v>4133</v>
      </c>
      <c r="I1545" s="8">
        <v>80.805486388888895</v>
      </c>
      <c r="J1545" s="8">
        <v>9.7632063194444463</v>
      </c>
      <c r="K1545" s="6" t="s">
        <v>2610</v>
      </c>
      <c r="L1545" s="9">
        <v>43984</v>
      </c>
      <c r="N1545" s="6">
        <v>36</v>
      </c>
      <c r="O1545" s="6" t="s">
        <v>4397</v>
      </c>
      <c r="V1545" s="8">
        <v>-0.20045081204295134</v>
      </c>
      <c r="W1545" s="8">
        <v>-1.0510087419748304</v>
      </c>
      <c r="X1545" s="27">
        <f t="shared" si="89"/>
        <v>0.55259775436878034</v>
      </c>
    </row>
    <row r="1546" spans="1:25" x14ac:dyDescent="0.35">
      <c r="A1546" s="6" t="s">
        <v>25</v>
      </c>
      <c r="B1546" s="6" t="s">
        <v>3530</v>
      </c>
      <c r="D1546" s="6" t="s">
        <v>3832</v>
      </c>
      <c r="E1546" s="6">
        <v>3</v>
      </c>
      <c r="F1546" s="6">
        <v>42</v>
      </c>
      <c r="G1546" s="6" t="s">
        <v>4134</v>
      </c>
      <c r="I1546" s="8">
        <v>78.920245625000021</v>
      </c>
      <c r="J1546" s="8">
        <v>9.9519227083333242</v>
      </c>
      <c r="K1546" s="6" t="s">
        <v>2610</v>
      </c>
      <c r="L1546" s="9">
        <v>43985</v>
      </c>
      <c r="N1546" s="6">
        <v>36</v>
      </c>
      <c r="O1546" s="6" t="s">
        <v>4392</v>
      </c>
      <c r="V1546" s="8">
        <v>0.36426849555849999</v>
      </c>
      <c r="W1546" s="8">
        <v>2.4258580641746521</v>
      </c>
      <c r="X1546" s="27">
        <f t="shared" si="89"/>
        <v>-0.48828990029334784</v>
      </c>
    </row>
    <row r="1547" spans="1:25" x14ac:dyDescent="0.35">
      <c r="A1547" s="6" t="s">
        <v>25</v>
      </c>
      <c r="B1547" s="6" t="s">
        <v>3531</v>
      </c>
      <c r="D1547" s="6" t="s">
        <v>3833</v>
      </c>
      <c r="E1547" s="6">
        <v>4</v>
      </c>
      <c r="F1547" s="6">
        <v>44</v>
      </c>
      <c r="G1547" s="6" t="s">
        <v>4135</v>
      </c>
      <c r="I1547" s="8">
        <v>81.646581875000038</v>
      </c>
      <c r="J1547" s="8">
        <v>9.1562504166666585</v>
      </c>
      <c r="K1547" s="6" t="s">
        <v>2610</v>
      </c>
      <c r="L1547" s="9">
        <v>43993</v>
      </c>
      <c r="N1547" s="6">
        <v>37</v>
      </c>
      <c r="O1547" s="6" t="s">
        <v>4398</v>
      </c>
      <c r="V1547" s="8">
        <v>-0.31581989488124818</v>
      </c>
      <c r="W1547" s="8">
        <v>-2.5522902173995976</v>
      </c>
      <c r="X1547" s="27">
        <f t="shared" si="89"/>
        <v>-2.5731058349612201E-2</v>
      </c>
    </row>
    <row r="1548" spans="1:25" x14ac:dyDescent="0.35">
      <c r="A1548" s="6" t="s">
        <v>25</v>
      </c>
      <c r="B1548" s="6" t="s">
        <v>3532</v>
      </c>
      <c r="D1548" s="6" t="s">
        <v>3834</v>
      </c>
      <c r="E1548" s="6">
        <v>4</v>
      </c>
      <c r="F1548" s="6">
        <v>44</v>
      </c>
      <c r="G1548" s="6" t="s">
        <v>4136</v>
      </c>
      <c r="I1548" s="8">
        <v>82.10896951388888</v>
      </c>
      <c r="J1548" s="8">
        <v>8.0361900000000013</v>
      </c>
      <c r="K1548" s="6" t="s">
        <v>2610</v>
      </c>
      <c r="L1548" s="9">
        <v>43994</v>
      </c>
      <c r="N1548" s="6">
        <v>37</v>
      </c>
      <c r="O1548" s="6" t="s">
        <v>4399</v>
      </c>
      <c r="V1548" s="8">
        <v>-0.28132604965686797</v>
      </c>
      <c r="W1548" s="8">
        <v>-2.0041245324611667</v>
      </c>
      <c r="X1548" s="27">
        <f t="shared" si="89"/>
        <v>0.24648386479377704</v>
      </c>
    </row>
    <row r="1549" spans="1:25" x14ac:dyDescent="0.35">
      <c r="A1549" s="6" t="s">
        <v>25</v>
      </c>
      <c r="B1549" s="6" t="s">
        <v>3533</v>
      </c>
      <c r="D1549" s="6" t="s">
        <v>3835</v>
      </c>
      <c r="E1549" s="6">
        <v>4</v>
      </c>
      <c r="F1549" s="6">
        <v>44</v>
      </c>
      <c r="G1549" s="6" t="s">
        <v>4137</v>
      </c>
      <c r="I1549" s="8">
        <v>82.130768000000003</v>
      </c>
      <c r="J1549" s="8">
        <v>7.7027729999999996</v>
      </c>
      <c r="K1549" s="6" t="s">
        <v>2610</v>
      </c>
      <c r="L1549" s="9">
        <v>43995</v>
      </c>
      <c r="N1549" s="6">
        <v>37</v>
      </c>
      <c r="O1549" s="6" t="s">
        <v>4400</v>
      </c>
      <c r="V1549" s="8">
        <v>-0.30176333475232159</v>
      </c>
      <c r="W1549" s="8">
        <v>-1.9659753556251525</v>
      </c>
      <c r="X1549" s="27">
        <f t="shared" si="89"/>
        <v>0.44813132239342024</v>
      </c>
    </row>
    <row r="1550" spans="1:25" x14ac:dyDescent="0.35">
      <c r="A1550" s="6" t="s">
        <v>25</v>
      </c>
      <c r="B1550" s="6" t="s">
        <v>2921</v>
      </c>
      <c r="D1550" s="6" t="s">
        <v>3156</v>
      </c>
      <c r="E1550" s="6">
        <v>4</v>
      </c>
      <c r="F1550" s="6">
        <v>44</v>
      </c>
      <c r="G1550" s="6" t="s">
        <v>3274</v>
      </c>
      <c r="I1550" s="8">
        <v>82.130768000000003</v>
      </c>
      <c r="J1550" s="8">
        <v>7.7027729999999996</v>
      </c>
      <c r="K1550" s="6" t="s">
        <v>198</v>
      </c>
      <c r="L1550" s="9">
        <v>43995</v>
      </c>
      <c r="M1550" s="18">
        <v>0.625</v>
      </c>
      <c r="N1550" s="6">
        <v>37</v>
      </c>
      <c r="O1550" s="6" t="s">
        <v>4400</v>
      </c>
      <c r="R1550" s="6">
        <v>41</v>
      </c>
      <c r="S1550" s="6">
        <v>34</v>
      </c>
      <c r="V1550" s="8">
        <v>-19.205510394287106</v>
      </c>
      <c r="W1550" s="8">
        <v>-148.49574862670897</v>
      </c>
      <c r="X1550" s="8">
        <f t="shared" si="89"/>
        <v>5.1483345275878776</v>
      </c>
      <c r="Y1550" s="6" t="s">
        <v>3275</v>
      </c>
    </row>
    <row r="1551" spans="1:25" x14ac:dyDescent="0.35">
      <c r="A1551" s="6" t="s">
        <v>25</v>
      </c>
      <c r="B1551" s="6" t="s">
        <v>3534</v>
      </c>
      <c r="D1551" s="6" t="s">
        <v>3836</v>
      </c>
      <c r="E1551" s="6">
        <v>4</v>
      </c>
      <c r="F1551" s="6">
        <v>44</v>
      </c>
      <c r="G1551" s="6" t="s">
        <v>4138</v>
      </c>
      <c r="I1551" s="8">
        <v>82.042802500000008</v>
      </c>
      <c r="J1551" s="8">
        <v>7.7622548611111064</v>
      </c>
      <c r="K1551" s="6" t="s">
        <v>2610</v>
      </c>
      <c r="L1551" s="9">
        <v>43996</v>
      </c>
      <c r="N1551" s="6">
        <v>38</v>
      </c>
      <c r="O1551" s="6" t="s">
        <v>4401</v>
      </c>
      <c r="V1551" s="8">
        <v>-0.4070237699508672</v>
      </c>
      <c r="W1551" s="8">
        <v>-2.517961045837402</v>
      </c>
      <c r="X1551" s="27">
        <f t="shared" si="89"/>
        <v>0.73822911376953559</v>
      </c>
    </row>
    <row r="1552" spans="1:25" x14ac:dyDescent="0.35">
      <c r="A1552" s="6" t="s">
        <v>25</v>
      </c>
      <c r="B1552" s="6" t="s">
        <v>3535</v>
      </c>
      <c r="D1552" s="6" t="s">
        <v>3837</v>
      </c>
      <c r="E1552" s="6">
        <v>4</v>
      </c>
      <c r="F1552" s="6">
        <v>44</v>
      </c>
      <c r="G1552" s="6" t="s">
        <v>4139</v>
      </c>
      <c r="I1552" s="8">
        <v>82.081697499999962</v>
      </c>
      <c r="J1552" s="8">
        <v>8.1532415277777766</v>
      </c>
      <c r="K1552" s="6" t="s">
        <v>2610</v>
      </c>
      <c r="L1552" s="9">
        <v>43997</v>
      </c>
      <c r="N1552" s="6">
        <v>38</v>
      </c>
      <c r="O1552" s="6" t="s">
        <v>4364</v>
      </c>
      <c r="V1552" s="8">
        <v>-0.36608874473571834</v>
      </c>
      <c r="W1552" s="8">
        <v>-2.1653866592407227</v>
      </c>
      <c r="X1552" s="27">
        <f t="shared" si="89"/>
        <v>0.76332329864502402</v>
      </c>
    </row>
    <row r="1553" spans="1:24" x14ac:dyDescent="0.35">
      <c r="A1553" s="6" t="s">
        <v>25</v>
      </c>
      <c r="B1553" s="6" t="s">
        <v>3536</v>
      </c>
      <c r="D1553" s="6" t="s">
        <v>3838</v>
      </c>
      <c r="E1553" s="6">
        <v>4</v>
      </c>
      <c r="F1553" s="6">
        <v>44</v>
      </c>
      <c r="G1553" s="6" t="s">
        <v>4140</v>
      </c>
      <c r="I1553" s="8">
        <v>82.190150138888939</v>
      </c>
      <c r="J1553" s="8">
        <v>8.2768229861111067</v>
      </c>
      <c r="K1553" s="6" t="s">
        <v>2610</v>
      </c>
      <c r="L1553" s="9">
        <v>43998</v>
      </c>
      <c r="N1553" s="6">
        <v>38</v>
      </c>
      <c r="O1553" s="6" t="s">
        <v>4402</v>
      </c>
      <c r="V1553" s="8">
        <v>-0.37819925758838657</v>
      </c>
      <c r="W1553" s="8">
        <v>-1.7734115119934086</v>
      </c>
      <c r="X1553" s="27">
        <f t="shared" si="89"/>
        <v>1.252182548713684</v>
      </c>
    </row>
    <row r="1554" spans="1:24" x14ac:dyDescent="0.35">
      <c r="A1554" s="6" t="s">
        <v>25</v>
      </c>
      <c r="B1554" s="6" t="s">
        <v>3537</v>
      </c>
      <c r="D1554" s="6" t="s">
        <v>3839</v>
      </c>
      <c r="E1554" s="6">
        <v>4</v>
      </c>
      <c r="F1554" s="6">
        <v>44</v>
      </c>
      <c r="G1554" s="6" t="s">
        <v>4141</v>
      </c>
      <c r="I1554" s="8">
        <v>82.140762013888875</v>
      </c>
      <c r="J1554" s="8">
        <v>8.4283053472222242</v>
      </c>
      <c r="K1554" s="6" t="s">
        <v>2610</v>
      </c>
      <c r="L1554" s="9">
        <v>43999</v>
      </c>
      <c r="N1554" s="6">
        <v>38</v>
      </c>
      <c r="O1554" s="6" t="s">
        <v>4397</v>
      </c>
      <c r="V1554" s="8">
        <v>-0.31916245642900426</v>
      </c>
      <c r="W1554" s="8">
        <v>-1.5156866432189948</v>
      </c>
      <c r="X1554" s="27">
        <f t="shared" si="89"/>
        <v>1.0376130082130393</v>
      </c>
    </row>
    <row r="1555" spans="1:24" x14ac:dyDescent="0.35">
      <c r="A1555" s="6" t="s">
        <v>25</v>
      </c>
      <c r="B1555" s="6" t="s">
        <v>3538</v>
      </c>
      <c r="D1555" s="6" t="s">
        <v>3840</v>
      </c>
      <c r="E1555" s="6">
        <v>4</v>
      </c>
      <c r="F1555" s="6">
        <v>44</v>
      </c>
      <c r="G1555" s="6" t="s">
        <v>4142</v>
      </c>
      <c r="I1555" s="8">
        <v>82.026607708333287</v>
      </c>
      <c r="J1555" s="8">
        <v>9.0529182638888948</v>
      </c>
      <c r="K1555" s="6" t="s">
        <v>2610</v>
      </c>
      <c r="L1555" s="9">
        <v>44002</v>
      </c>
      <c r="N1555" s="6">
        <v>38</v>
      </c>
      <c r="O1555" s="6" t="s">
        <v>4404</v>
      </c>
      <c r="V1555" s="8">
        <v>-0.41148409936428071</v>
      </c>
      <c r="W1555" s="8">
        <v>-1.6132879100799564</v>
      </c>
      <c r="X1555" s="27">
        <f t="shared" si="89"/>
        <v>1.6785848848342892</v>
      </c>
    </row>
    <row r="1556" spans="1:24" x14ac:dyDescent="0.35">
      <c r="A1556" s="6" t="s">
        <v>25</v>
      </c>
      <c r="B1556" s="6" t="s">
        <v>3539</v>
      </c>
      <c r="D1556" s="6" t="s">
        <v>3841</v>
      </c>
      <c r="E1556" s="6">
        <v>4</v>
      </c>
      <c r="F1556" s="6">
        <v>44</v>
      </c>
      <c r="G1556" s="6" t="s">
        <v>4143</v>
      </c>
      <c r="I1556" s="8">
        <v>81.988544513888883</v>
      </c>
      <c r="J1556" s="8">
        <v>9.1050100694444431</v>
      </c>
      <c r="K1556" s="6" t="s">
        <v>2610</v>
      </c>
      <c r="L1556" s="9">
        <v>44003</v>
      </c>
      <c r="N1556" s="6">
        <v>39</v>
      </c>
      <c r="O1556" s="6" t="s">
        <v>4398</v>
      </c>
      <c r="V1556" s="8">
        <v>-0.38886459264755296</v>
      </c>
      <c r="W1556" s="8">
        <v>-2.3957403198242186</v>
      </c>
      <c r="X1556" s="27">
        <f t="shared" si="89"/>
        <v>0.71517642135620507</v>
      </c>
    </row>
    <row r="1557" spans="1:24" x14ac:dyDescent="0.35">
      <c r="A1557" s="6" t="s">
        <v>25</v>
      </c>
      <c r="B1557" s="7" t="s">
        <v>1651</v>
      </c>
      <c r="D1557" s="6" t="s">
        <v>1652</v>
      </c>
      <c r="E1557" s="6">
        <v>4</v>
      </c>
      <c r="F1557" s="6">
        <v>44</v>
      </c>
      <c r="G1557" s="6" t="s">
        <v>335</v>
      </c>
      <c r="I1557" s="8">
        <v>81.975306180555606</v>
      </c>
      <c r="J1557" s="8">
        <v>9.2425022222222193</v>
      </c>
      <c r="K1557" s="6" t="s">
        <v>29</v>
      </c>
      <c r="L1557" s="9">
        <v>44004</v>
      </c>
      <c r="N1557" s="6">
        <v>39</v>
      </c>
      <c r="O1557" s="6" t="s">
        <v>4405</v>
      </c>
      <c r="Q1557" s="10" t="s">
        <v>1653</v>
      </c>
      <c r="R1557" s="10">
        <v>25</v>
      </c>
      <c r="S1557" s="10">
        <v>30</v>
      </c>
      <c r="T1557" s="10">
        <f t="shared" ref="T1557:T1588" si="90">AVERAGE(R1557:S1557)</f>
        <v>27.5</v>
      </c>
      <c r="U1557" s="11"/>
      <c r="V1557" s="8">
        <v>0.74295046494007133</v>
      </c>
      <c r="W1557" s="8">
        <v>6.2375131783008575</v>
      </c>
      <c r="X1557" s="8">
        <f t="shared" si="89"/>
        <v>0.29390945878028685</v>
      </c>
    </row>
    <row r="1558" spans="1:24" x14ac:dyDescent="0.35">
      <c r="A1558" s="6" t="s">
        <v>25</v>
      </c>
      <c r="B1558" s="7" t="s">
        <v>1654</v>
      </c>
      <c r="D1558" s="6" t="s">
        <v>1655</v>
      </c>
      <c r="E1558" s="6">
        <v>4</v>
      </c>
      <c r="F1558" s="6">
        <v>44</v>
      </c>
      <c r="G1558" s="6" t="s">
        <v>335</v>
      </c>
      <c r="I1558" s="8">
        <v>81.975306180555606</v>
      </c>
      <c r="J1558" s="8">
        <v>9.2425022222222193</v>
      </c>
      <c r="K1558" s="6" t="s">
        <v>29</v>
      </c>
      <c r="L1558" s="9">
        <v>44004</v>
      </c>
      <c r="N1558" s="6">
        <v>39</v>
      </c>
      <c r="O1558" s="6" t="s">
        <v>4405</v>
      </c>
      <c r="Q1558" s="10" t="s">
        <v>1656</v>
      </c>
      <c r="R1558" s="10">
        <v>70</v>
      </c>
      <c r="S1558" s="10">
        <v>75</v>
      </c>
      <c r="T1558" s="10">
        <f t="shared" si="90"/>
        <v>72.5</v>
      </c>
      <c r="U1558" s="11"/>
      <c r="V1558" s="8">
        <v>-8.562178269028678E-2</v>
      </c>
      <c r="W1558" s="8">
        <v>1.0926283812522881</v>
      </c>
      <c r="X1558" s="8">
        <f t="shared" si="89"/>
        <v>1.7776026427745824</v>
      </c>
    </row>
    <row r="1559" spans="1:24" x14ac:dyDescent="0.35">
      <c r="A1559" s="6" t="s">
        <v>25</v>
      </c>
      <c r="B1559" s="7" t="s">
        <v>1657</v>
      </c>
      <c r="D1559" s="6" t="s">
        <v>1658</v>
      </c>
      <c r="E1559" s="6">
        <v>4</v>
      </c>
      <c r="F1559" s="6">
        <v>44</v>
      </c>
      <c r="G1559" s="6" t="s">
        <v>335</v>
      </c>
      <c r="I1559" s="8">
        <v>81.975306180555606</v>
      </c>
      <c r="J1559" s="8">
        <v>9.2425022222222193</v>
      </c>
      <c r="K1559" s="6" t="s">
        <v>29</v>
      </c>
      <c r="L1559" s="9">
        <v>44004</v>
      </c>
      <c r="N1559" s="6">
        <v>39</v>
      </c>
      <c r="O1559" s="6" t="s">
        <v>4405</v>
      </c>
      <c r="Q1559" s="10" t="s">
        <v>1659</v>
      </c>
      <c r="R1559" s="10">
        <v>60</v>
      </c>
      <c r="S1559" s="10">
        <v>65</v>
      </c>
      <c r="T1559" s="10">
        <f t="shared" si="90"/>
        <v>62.5</v>
      </c>
      <c r="U1559" s="11"/>
      <c r="V1559" s="8">
        <v>0.24749375014603164</v>
      </c>
      <c r="W1559" s="8">
        <v>3.00355314482078</v>
      </c>
      <c r="X1559" s="8">
        <f t="shared" si="89"/>
        <v>1.0236031436525268</v>
      </c>
    </row>
    <row r="1560" spans="1:24" x14ac:dyDescent="0.35">
      <c r="A1560" s="6" t="s">
        <v>25</v>
      </c>
      <c r="B1560" s="7" t="s">
        <v>1660</v>
      </c>
      <c r="D1560" s="6" t="s">
        <v>1661</v>
      </c>
      <c r="E1560" s="6">
        <v>4</v>
      </c>
      <c r="F1560" s="6">
        <v>44</v>
      </c>
      <c r="G1560" s="6" t="s">
        <v>335</v>
      </c>
      <c r="I1560" s="8">
        <v>81.975306180555606</v>
      </c>
      <c r="J1560" s="8">
        <v>9.2425022222222193</v>
      </c>
      <c r="K1560" s="6" t="s">
        <v>29</v>
      </c>
      <c r="L1560" s="9">
        <v>44004</v>
      </c>
      <c r="N1560" s="6">
        <v>39</v>
      </c>
      <c r="O1560" s="6" t="s">
        <v>4405</v>
      </c>
      <c r="Q1560" s="10" t="s">
        <v>1662</v>
      </c>
      <c r="R1560" s="10">
        <v>115</v>
      </c>
      <c r="S1560" s="10">
        <v>120</v>
      </c>
      <c r="T1560" s="10">
        <f t="shared" si="90"/>
        <v>117.5</v>
      </c>
      <c r="U1560" s="11"/>
      <c r="V1560" s="8">
        <v>-0.41209485527873047</v>
      </c>
      <c r="W1560" s="8">
        <v>-1.6410474338531489</v>
      </c>
      <c r="X1560" s="8">
        <f t="shared" si="89"/>
        <v>1.6557114083766948</v>
      </c>
    </row>
    <row r="1561" spans="1:24" x14ac:dyDescent="0.35">
      <c r="A1561" s="6" t="s">
        <v>25</v>
      </c>
      <c r="B1561" s="7" t="s">
        <v>1663</v>
      </c>
      <c r="D1561" s="6" t="s">
        <v>1664</v>
      </c>
      <c r="E1561" s="6">
        <v>4</v>
      </c>
      <c r="F1561" s="6">
        <v>44</v>
      </c>
      <c r="G1561" s="6" t="s">
        <v>335</v>
      </c>
      <c r="I1561" s="8">
        <v>81.975306180555606</v>
      </c>
      <c r="J1561" s="8">
        <v>9.2425022222222193</v>
      </c>
      <c r="K1561" s="6" t="s">
        <v>29</v>
      </c>
      <c r="L1561" s="9">
        <v>44004</v>
      </c>
      <c r="N1561" s="6">
        <v>39</v>
      </c>
      <c r="O1561" s="6" t="s">
        <v>4405</v>
      </c>
      <c r="Q1561" s="10" t="s">
        <v>1665</v>
      </c>
      <c r="R1561" s="10">
        <v>100</v>
      </c>
      <c r="S1561" s="10">
        <v>105</v>
      </c>
      <c r="T1561" s="10">
        <f t="shared" si="90"/>
        <v>102.5</v>
      </c>
      <c r="U1561" s="11"/>
      <c r="V1561" s="8">
        <v>-0.4013799905478953</v>
      </c>
      <c r="W1561" s="8">
        <v>-1.3477356877326969</v>
      </c>
      <c r="X1561" s="8">
        <f t="shared" si="89"/>
        <v>1.8633042366504655</v>
      </c>
    </row>
    <row r="1562" spans="1:24" x14ac:dyDescent="0.35">
      <c r="A1562" s="6" t="s">
        <v>25</v>
      </c>
      <c r="B1562" s="7" t="s">
        <v>1666</v>
      </c>
      <c r="D1562" s="6" t="s">
        <v>1667</v>
      </c>
      <c r="E1562" s="6">
        <v>4</v>
      </c>
      <c r="F1562" s="6">
        <v>44</v>
      </c>
      <c r="G1562" s="6" t="s">
        <v>335</v>
      </c>
      <c r="I1562" s="8">
        <v>81.975306180555606</v>
      </c>
      <c r="J1562" s="8">
        <v>9.2425022222222193</v>
      </c>
      <c r="K1562" s="6" t="s">
        <v>29</v>
      </c>
      <c r="L1562" s="9">
        <v>44004</v>
      </c>
      <c r="N1562" s="6">
        <v>39</v>
      </c>
      <c r="O1562" s="6" t="s">
        <v>4405</v>
      </c>
      <c r="Q1562" s="10" t="s">
        <v>1668</v>
      </c>
      <c r="R1562" s="10">
        <v>120</v>
      </c>
      <c r="S1562" s="10">
        <v>125</v>
      </c>
      <c r="T1562" s="10">
        <f t="shared" si="90"/>
        <v>122.5</v>
      </c>
      <c r="U1562" s="11"/>
      <c r="V1562" s="8">
        <v>-0.12863619895875422</v>
      </c>
      <c r="W1562" s="8">
        <v>-7.7475492477417418E-2</v>
      </c>
      <c r="X1562" s="8">
        <f t="shared" si="89"/>
        <v>0.9516140991926163</v>
      </c>
    </row>
    <row r="1563" spans="1:24" x14ac:dyDescent="0.35">
      <c r="A1563" s="6" t="s">
        <v>25</v>
      </c>
      <c r="B1563" s="7" t="s">
        <v>1669</v>
      </c>
      <c r="D1563" s="6" t="s">
        <v>1670</v>
      </c>
      <c r="E1563" s="6">
        <v>4</v>
      </c>
      <c r="F1563" s="6">
        <v>44</v>
      </c>
      <c r="G1563" s="6" t="s">
        <v>335</v>
      </c>
      <c r="I1563" s="8">
        <v>81.975306180555606</v>
      </c>
      <c r="J1563" s="8">
        <v>9.2425022222222193</v>
      </c>
      <c r="K1563" s="6" t="s">
        <v>29</v>
      </c>
      <c r="L1563" s="9">
        <v>44004</v>
      </c>
      <c r="N1563" s="6">
        <v>39</v>
      </c>
      <c r="O1563" s="6" t="s">
        <v>4405</v>
      </c>
      <c r="Q1563" s="10" t="s">
        <v>1671</v>
      </c>
      <c r="R1563" s="10">
        <v>110</v>
      </c>
      <c r="S1563" s="10">
        <v>115</v>
      </c>
      <c r="T1563" s="10">
        <f t="shared" si="90"/>
        <v>112.5</v>
      </c>
      <c r="U1563" s="11"/>
      <c r="V1563" s="8">
        <v>-0.30593381298184369</v>
      </c>
      <c r="W1563" s="8">
        <v>-1.7836619315147404</v>
      </c>
      <c r="X1563" s="8">
        <f t="shared" si="89"/>
        <v>0.66380857234000912</v>
      </c>
    </row>
    <row r="1564" spans="1:24" x14ac:dyDescent="0.35">
      <c r="A1564" s="6" t="s">
        <v>25</v>
      </c>
      <c r="B1564" s="7" t="s">
        <v>1672</v>
      </c>
      <c r="D1564" s="6" t="s">
        <v>1673</v>
      </c>
      <c r="E1564" s="6">
        <v>4</v>
      </c>
      <c r="F1564" s="6">
        <v>44</v>
      </c>
      <c r="G1564" s="6" t="s">
        <v>335</v>
      </c>
      <c r="I1564" s="8">
        <v>81.975306180555606</v>
      </c>
      <c r="J1564" s="8">
        <v>9.2425022222222193</v>
      </c>
      <c r="K1564" s="6" t="s">
        <v>29</v>
      </c>
      <c r="L1564" s="9">
        <v>44004</v>
      </c>
      <c r="N1564" s="6">
        <v>39</v>
      </c>
      <c r="O1564" s="6" t="s">
        <v>4405</v>
      </c>
      <c r="Q1564" s="10" t="s">
        <v>1674</v>
      </c>
      <c r="R1564" s="10">
        <v>125</v>
      </c>
      <c r="S1564" s="10">
        <v>130</v>
      </c>
      <c r="T1564" s="10">
        <f t="shared" si="90"/>
        <v>127.5</v>
      </c>
      <c r="U1564" s="11"/>
      <c r="V1564" s="8">
        <v>3.9688641924411155E-2</v>
      </c>
      <c r="W1564" s="8">
        <v>0.6986050937175744</v>
      </c>
      <c r="X1564" s="8">
        <f t="shared" si="89"/>
        <v>0.38109595832228516</v>
      </c>
    </row>
    <row r="1565" spans="1:24" x14ac:dyDescent="0.35">
      <c r="A1565" s="6" t="s">
        <v>25</v>
      </c>
      <c r="B1565" s="7" t="s">
        <v>1675</v>
      </c>
      <c r="D1565" s="6" t="s">
        <v>1676</v>
      </c>
      <c r="E1565" s="6">
        <v>4</v>
      </c>
      <c r="F1565" s="6">
        <v>44</v>
      </c>
      <c r="G1565" s="6" t="s">
        <v>335</v>
      </c>
      <c r="I1565" s="8">
        <v>81.975306180555606</v>
      </c>
      <c r="J1565" s="8">
        <v>9.2425022222222193</v>
      </c>
      <c r="K1565" s="6" t="s">
        <v>29</v>
      </c>
      <c r="L1565" s="9">
        <v>44004</v>
      </c>
      <c r="N1565" s="6">
        <v>39</v>
      </c>
      <c r="O1565" s="6" t="s">
        <v>4405</v>
      </c>
      <c r="Q1565" s="10" t="s">
        <v>1677</v>
      </c>
      <c r="R1565" s="10">
        <v>80</v>
      </c>
      <c r="S1565" s="10">
        <v>85</v>
      </c>
      <c r="T1565" s="10">
        <f t="shared" si="90"/>
        <v>82.5</v>
      </c>
      <c r="U1565" s="11"/>
      <c r="V1565" s="8">
        <v>-0.1014428209885959</v>
      </c>
      <c r="W1565" s="8">
        <v>0.71669842505454995</v>
      </c>
      <c r="X1565" s="8">
        <f t="shared" si="89"/>
        <v>1.5282409929633172</v>
      </c>
    </row>
    <row r="1566" spans="1:24" x14ac:dyDescent="0.35">
      <c r="A1566" s="6" t="s">
        <v>25</v>
      </c>
      <c r="B1566" s="7" t="s">
        <v>1678</v>
      </c>
      <c r="D1566" s="6" t="s">
        <v>1679</v>
      </c>
      <c r="E1566" s="6">
        <v>4</v>
      </c>
      <c r="F1566" s="6">
        <v>44</v>
      </c>
      <c r="G1566" s="6" t="s">
        <v>335</v>
      </c>
      <c r="I1566" s="8">
        <v>81.975306180555606</v>
      </c>
      <c r="J1566" s="8">
        <v>9.2425022222222193</v>
      </c>
      <c r="K1566" s="6" t="s">
        <v>29</v>
      </c>
      <c r="L1566" s="9">
        <v>44004</v>
      </c>
      <c r="N1566" s="6">
        <v>39</v>
      </c>
      <c r="O1566" s="6" t="s">
        <v>4405</v>
      </c>
      <c r="Q1566" s="10" t="s">
        <v>1680</v>
      </c>
      <c r="R1566" s="10">
        <v>105</v>
      </c>
      <c r="S1566" s="10">
        <v>110</v>
      </c>
      <c r="T1566" s="10">
        <f t="shared" si="90"/>
        <v>107.5</v>
      </c>
      <c r="U1566" s="11"/>
      <c r="V1566" s="8">
        <v>-0.3877804985344413</v>
      </c>
      <c r="W1566" s="8">
        <v>-2.7701891412734985</v>
      </c>
      <c r="X1566" s="8">
        <f t="shared" si="89"/>
        <v>0.33205484700203192</v>
      </c>
    </row>
    <row r="1567" spans="1:24" x14ac:dyDescent="0.35">
      <c r="A1567" s="6" t="s">
        <v>25</v>
      </c>
      <c r="B1567" s="7" t="s">
        <v>1681</v>
      </c>
      <c r="D1567" s="6" t="s">
        <v>1682</v>
      </c>
      <c r="E1567" s="6">
        <v>4</v>
      </c>
      <c r="F1567" s="6">
        <v>44</v>
      </c>
      <c r="G1567" s="6" t="s">
        <v>335</v>
      </c>
      <c r="I1567" s="8">
        <v>81.975306180555606</v>
      </c>
      <c r="J1567" s="8">
        <v>9.2425022222222193</v>
      </c>
      <c r="K1567" s="6" t="s">
        <v>29</v>
      </c>
      <c r="L1567" s="9">
        <v>44004</v>
      </c>
      <c r="N1567" s="6">
        <v>39</v>
      </c>
      <c r="O1567" s="6" t="s">
        <v>4405</v>
      </c>
      <c r="Q1567" s="10" t="s">
        <v>1683</v>
      </c>
      <c r="R1567" s="10">
        <v>0</v>
      </c>
      <c r="S1567" s="10">
        <v>5</v>
      </c>
      <c r="T1567" s="10">
        <f t="shared" si="90"/>
        <v>2.5</v>
      </c>
      <c r="U1567" s="11"/>
      <c r="V1567" s="8">
        <v>-17.450118047714234</v>
      </c>
      <c r="W1567" s="8">
        <v>-132.19019616699219</v>
      </c>
      <c r="X1567" s="8">
        <f t="shared" si="89"/>
        <v>7.4107482147216786</v>
      </c>
    </row>
    <row r="1568" spans="1:24" x14ac:dyDescent="0.35">
      <c r="A1568" s="6" t="s">
        <v>25</v>
      </c>
      <c r="B1568" s="7" t="s">
        <v>1684</v>
      </c>
      <c r="D1568" s="6" t="s">
        <v>1685</v>
      </c>
      <c r="E1568" s="6">
        <v>4</v>
      </c>
      <c r="F1568" s="6">
        <v>44</v>
      </c>
      <c r="G1568" s="6" t="s">
        <v>335</v>
      </c>
      <c r="I1568" s="8">
        <v>81.975306180555606</v>
      </c>
      <c r="J1568" s="8">
        <v>9.2425022222222193</v>
      </c>
      <c r="K1568" s="6" t="s">
        <v>29</v>
      </c>
      <c r="L1568" s="9">
        <v>44004</v>
      </c>
      <c r="N1568" s="6">
        <v>39</v>
      </c>
      <c r="O1568" s="6" t="s">
        <v>4405</v>
      </c>
      <c r="Q1568" s="10" t="s">
        <v>1686</v>
      </c>
      <c r="R1568" s="10">
        <v>90</v>
      </c>
      <c r="S1568" s="10">
        <v>95</v>
      </c>
      <c r="T1568" s="10">
        <f t="shared" si="90"/>
        <v>92.5</v>
      </c>
      <c r="U1568" s="11"/>
      <c r="V1568" s="8">
        <v>-0.35667059135437007</v>
      </c>
      <c r="W1568" s="8">
        <v>-1.9460414443016059</v>
      </c>
      <c r="X1568" s="8">
        <f t="shared" si="89"/>
        <v>0.9073232865333547</v>
      </c>
    </row>
    <row r="1569" spans="1:24" x14ac:dyDescent="0.35">
      <c r="A1569" s="6" t="s">
        <v>25</v>
      </c>
      <c r="B1569" s="7" t="s">
        <v>1687</v>
      </c>
      <c r="D1569" s="6" t="s">
        <v>1688</v>
      </c>
      <c r="E1569" s="6">
        <v>4</v>
      </c>
      <c r="F1569" s="6">
        <v>44</v>
      </c>
      <c r="G1569" s="6" t="s">
        <v>335</v>
      </c>
      <c r="I1569" s="8">
        <v>81.975306180555606</v>
      </c>
      <c r="J1569" s="8">
        <v>9.2425022222222193</v>
      </c>
      <c r="K1569" s="6" t="s">
        <v>29</v>
      </c>
      <c r="L1569" s="9">
        <v>44004</v>
      </c>
      <c r="N1569" s="6">
        <v>39</v>
      </c>
      <c r="O1569" s="6" t="s">
        <v>4405</v>
      </c>
      <c r="Q1569" s="10" t="s">
        <v>1689</v>
      </c>
      <c r="R1569" s="10">
        <v>95</v>
      </c>
      <c r="S1569" s="10">
        <v>100</v>
      </c>
      <c r="T1569" s="10">
        <f t="shared" si="90"/>
        <v>97.5</v>
      </c>
      <c r="U1569" s="11"/>
      <c r="V1569" s="8">
        <v>-0.35807895951509472</v>
      </c>
      <c r="W1569" s="8">
        <v>-0.84686506772041359</v>
      </c>
      <c r="X1569" s="8">
        <f t="shared" ref="X1569:X1632" si="91">W1569-(8*V1569)</f>
        <v>2.0177666084003443</v>
      </c>
    </row>
    <row r="1570" spans="1:24" x14ac:dyDescent="0.35">
      <c r="A1570" s="6" t="s">
        <v>25</v>
      </c>
      <c r="B1570" s="7" t="s">
        <v>1690</v>
      </c>
      <c r="D1570" s="6" t="s">
        <v>1691</v>
      </c>
      <c r="E1570" s="6">
        <v>4</v>
      </c>
      <c r="F1570" s="6">
        <v>44</v>
      </c>
      <c r="G1570" s="6" t="s">
        <v>335</v>
      </c>
      <c r="I1570" s="8">
        <v>81.975306180555606</v>
      </c>
      <c r="J1570" s="8">
        <v>9.2425022222222193</v>
      </c>
      <c r="K1570" s="6" t="s">
        <v>29</v>
      </c>
      <c r="L1570" s="9">
        <v>44004</v>
      </c>
      <c r="N1570" s="6">
        <v>39</v>
      </c>
      <c r="O1570" s="6" t="s">
        <v>4405</v>
      </c>
      <c r="Q1570" s="10" t="s">
        <v>1692</v>
      </c>
      <c r="R1570" s="10">
        <v>15</v>
      </c>
      <c r="S1570" s="10">
        <v>20</v>
      </c>
      <c r="T1570" s="10">
        <f t="shared" si="90"/>
        <v>17.5</v>
      </c>
      <c r="U1570" s="11"/>
      <c r="V1570" s="8">
        <v>-1.1199455971845982</v>
      </c>
      <c r="W1570" s="8">
        <v>-8.9774748077392577</v>
      </c>
      <c r="X1570" s="8">
        <f t="shared" si="91"/>
        <v>-1.7910030262472176E-2</v>
      </c>
    </row>
    <row r="1571" spans="1:24" x14ac:dyDescent="0.35">
      <c r="A1571" s="6" t="s">
        <v>25</v>
      </c>
      <c r="B1571" s="7" t="s">
        <v>1693</v>
      </c>
      <c r="D1571" s="6" t="s">
        <v>1694</v>
      </c>
      <c r="E1571" s="6">
        <v>4</v>
      </c>
      <c r="F1571" s="6">
        <v>44</v>
      </c>
      <c r="G1571" s="6" t="s">
        <v>335</v>
      </c>
      <c r="I1571" s="8">
        <v>81.975306180555606</v>
      </c>
      <c r="J1571" s="8">
        <v>9.2425022222222193</v>
      </c>
      <c r="K1571" s="6" t="s">
        <v>29</v>
      </c>
      <c r="L1571" s="9">
        <v>44004</v>
      </c>
      <c r="N1571" s="6">
        <v>39</v>
      </c>
      <c r="O1571" s="6" t="s">
        <v>4405</v>
      </c>
      <c r="Q1571" s="10" t="s">
        <v>1695</v>
      </c>
      <c r="R1571" s="10">
        <v>20</v>
      </c>
      <c r="S1571" s="10">
        <v>25</v>
      </c>
      <c r="T1571" s="10">
        <f t="shared" si="90"/>
        <v>22.5</v>
      </c>
      <c r="U1571" s="11"/>
      <c r="V1571" s="8">
        <v>0.18905619133472429</v>
      </c>
      <c r="W1571" s="8">
        <v>-0.41625156855583234</v>
      </c>
      <c r="X1571" s="8">
        <f t="shared" si="91"/>
        <v>-1.9287010992336266</v>
      </c>
    </row>
    <row r="1572" spans="1:24" x14ac:dyDescent="0.35">
      <c r="A1572" s="6" t="s">
        <v>25</v>
      </c>
      <c r="B1572" s="7" t="s">
        <v>1696</v>
      </c>
      <c r="D1572" s="6" t="s">
        <v>1697</v>
      </c>
      <c r="E1572" s="6">
        <v>4</v>
      </c>
      <c r="F1572" s="6">
        <v>44</v>
      </c>
      <c r="G1572" s="6" t="s">
        <v>335</v>
      </c>
      <c r="I1572" s="8">
        <v>81.975306180555606</v>
      </c>
      <c r="J1572" s="8">
        <v>9.2425022222222193</v>
      </c>
      <c r="K1572" s="6" t="s">
        <v>29</v>
      </c>
      <c r="L1572" s="9">
        <v>44004</v>
      </c>
      <c r="N1572" s="6">
        <v>39</v>
      </c>
      <c r="O1572" s="6" t="s">
        <v>4405</v>
      </c>
      <c r="Q1572" s="10" t="s">
        <v>1698</v>
      </c>
      <c r="R1572" s="10">
        <v>130</v>
      </c>
      <c r="S1572" s="10">
        <v>135</v>
      </c>
      <c r="T1572" s="10">
        <f t="shared" si="90"/>
        <v>132.5</v>
      </c>
      <c r="U1572" s="11"/>
      <c r="V1572" s="8">
        <v>0.23363291364351901</v>
      </c>
      <c r="W1572" s="8">
        <v>2.1256443608999249</v>
      </c>
      <c r="X1572" s="8">
        <f t="shared" si="91"/>
        <v>0.25658105175177282</v>
      </c>
    </row>
    <row r="1573" spans="1:24" x14ac:dyDescent="0.35">
      <c r="A1573" s="6" t="s">
        <v>25</v>
      </c>
      <c r="B1573" s="7" t="s">
        <v>1699</v>
      </c>
      <c r="D1573" s="6" t="s">
        <v>1700</v>
      </c>
      <c r="E1573" s="6">
        <v>4</v>
      </c>
      <c r="F1573" s="6">
        <v>44</v>
      </c>
      <c r="G1573" s="6" t="s">
        <v>335</v>
      </c>
      <c r="I1573" s="8">
        <v>81.975306180555606</v>
      </c>
      <c r="J1573" s="8">
        <v>9.2425022222222193</v>
      </c>
      <c r="K1573" s="6" t="s">
        <v>29</v>
      </c>
      <c r="L1573" s="9">
        <v>44004</v>
      </c>
      <c r="N1573" s="6">
        <v>39</v>
      </c>
      <c r="O1573" s="6" t="s">
        <v>4405</v>
      </c>
      <c r="Q1573" s="10" t="s">
        <v>1701</v>
      </c>
      <c r="R1573" s="10">
        <v>10</v>
      </c>
      <c r="S1573" s="10">
        <v>15</v>
      </c>
      <c r="T1573" s="10">
        <f t="shared" si="90"/>
        <v>12.5</v>
      </c>
      <c r="U1573" s="11"/>
      <c r="V1573" s="8">
        <v>-4.2253500046634676</v>
      </c>
      <c r="W1573" s="8">
        <v>-32.977875343322751</v>
      </c>
      <c r="X1573" s="8">
        <f t="shared" si="91"/>
        <v>0.82492469398498969</v>
      </c>
    </row>
    <row r="1574" spans="1:24" x14ac:dyDescent="0.35">
      <c r="A1574" s="6" t="s">
        <v>25</v>
      </c>
      <c r="B1574" s="7" t="s">
        <v>1702</v>
      </c>
      <c r="D1574" s="6" t="s">
        <v>1703</v>
      </c>
      <c r="E1574" s="6">
        <v>4</v>
      </c>
      <c r="F1574" s="6">
        <v>44</v>
      </c>
      <c r="G1574" s="6" t="s">
        <v>335</v>
      </c>
      <c r="I1574" s="8">
        <v>81.975306180555606</v>
      </c>
      <c r="J1574" s="8">
        <v>9.2425022222222193</v>
      </c>
      <c r="K1574" s="6" t="s">
        <v>29</v>
      </c>
      <c r="L1574" s="9">
        <v>44004</v>
      </c>
      <c r="N1574" s="6">
        <v>39</v>
      </c>
      <c r="O1574" s="6" t="s">
        <v>4405</v>
      </c>
      <c r="Q1574" s="10"/>
      <c r="R1574" s="10">
        <v>75</v>
      </c>
      <c r="S1574" s="10">
        <v>80</v>
      </c>
      <c r="T1574" s="10">
        <f t="shared" si="90"/>
        <v>77.5</v>
      </c>
      <c r="U1574" s="11"/>
      <c r="V1574" s="8">
        <v>2.0413501272201776E-2</v>
      </c>
      <c r="W1574" s="8">
        <v>-0.24120450305938848</v>
      </c>
      <c r="X1574" s="8">
        <f t="shared" si="91"/>
        <v>-0.40451251323700266</v>
      </c>
    </row>
    <row r="1575" spans="1:24" x14ac:dyDescent="0.35">
      <c r="A1575" s="6" t="s">
        <v>25</v>
      </c>
      <c r="B1575" s="7" t="s">
        <v>1704</v>
      </c>
      <c r="D1575" s="6" t="s">
        <v>1705</v>
      </c>
      <c r="E1575" s="6">
        <v>4</v>
      </c>
      <c r="F1575" s="6">
        <v>44</v>
      </c>
      <c r="G1575" s="6" t="s">
        <v>335</v>
      </c>
      <c r="I1575" s="8">
        <v>81.975306180555606</v>
      </c>
      <c r="J1575" s="8">
        <v>9.2425022222222193</v>
      </c>
      <c r="K1575" s="6" t="s">
        <v>29</v>
      </c>
      <c r="L1575" s="9">
        <v>44004</v>
      </c>
      <c r="N1575" s="6">
        <v>39</v>
      </c>
      <c r="O1575" s="6" t="s">
        <v>4405</v>
      </c>
      <c r="Q1575" s="10"/>
      <c r="R1575" s="10">
        <v>70</v>
      </c>
      <c r="S1575" s="10">
        <v>75</v>
      </c>
      <c r="T1575" s="10">
        <f t="shared" si="90"/>
        <v>72.5</v>
      </c>
      <c r="U1575" s="11"/>
      <c r="V1575" s="8">
        <v>0.24056912059545499</v>
      </c>
      <c r="W1575" s="8">
        <v>1.3450067229270934</v>
      </c>
      <c r="X1575" s="8">
        <f t="shared" si="91"/>
        <v>-0.57954624183654646</v>
      </c>
    </row>
    <row r="1576" spans="1:24" x14ac:dyDescent="0.35">
      <c r="A1576" s="6" t="s">
        <v>25</v>
      </c>
      <c r="B1576" s="7" t="s">
        <v>1706</v>
      </c>
      <c r="D1576" s="6" t="s">
        <v>1707</v>
      </c>
      <c r="E1576" s="6">
        <v>4</v>
      </c>
      <c r="F1576" s="6">
        <v>44</v>
      </c>
      <c r="G1576" s="6" t="s">
        <v>335</v>
      </c>
      <c r="I1576" s="8">
        <v>81.975306180555606</v>
      </c>
      <c r="J1576" s="8">
        <v>9.2425022222222193</v>
      </c>
      <c r="K1576" s="6" t="s">
        <v>29</v>
      </c>
      <c r="L1576" s="9">
        <v>44004</v>
      </c>
      <c r="N1576" s="6">
        <v>39</v>
      </c>
      <c r="O1576" s="6" t="s">
        <v>4405</v>
      </c>
      <c r="Q1576" s="10" t="s">
        <v>1708</v>
      </c>
      <c r="R1576" s="10">
        <v>35</v>
      </c>
      <c r="S1576" s="10">
        <v>40</v>
      </c>
      <c r="T1576" s="10">
        <f t="shared" si="90"/>
        <v>37.5</v>
      </c>
      <c r="U1576" s="11"/>
      <c r="V1576" s="8">
        <v>0.81247080458164211</v>
      </c>
      <c r="W1576" s="8">
        <v>5.5619379974678154</v>
      </c>
      <c r="X1576" s="8">
        <f t="shared" si="91"/>
        <v>-0.93782843918532155</v>
      </c>
    </row>
    <row r="1577" spans="1:24" x14ac:dyDescent="0.35">
      <c r="A1577" s="6" t="s">
        <v>25</v>
      </c>
      <c r="B1577" s="7" t="s">
        <v>1709</v>
      </c>
      <c r="D1577" s="6" t="s">
        <v>1710</v>
      </c>
      <c r="E1577" s="6">
        <v>4</v>
      </c>
      <c r="F1577" s="6">
        <v>44</v>
      </c>
      <c r="G1577" s="6" t="s">
        <v>335</v>
      </c>
      <c r="I1577" s="8">
        <v>81.975306180555606</v>
      </c>
      <c r="J1577" s="8">
        <v>9.2425022222222193</v>
      </c>
      <c r="K1577" s="6" t="s">
        <v>29</v>
      </c>
      <c r="L1577" s="9">
        <v>44004</v>
      </c>
      <c r="N1577" s="6">
        <v>39</v>
      </c>
      <c r="O1577" s="6" t="s">
        <v>4405</v>
      </c>
      <c r="Q1577" s="10" t="s">
        <v>1711</v>
      </c>
      <c r="R1577" s="10">
        <v>40</v>
      </c>
      <c r="S1577" s="10">
        <v>45</v>
      </c>
      <c r="T1577" s="10">
        <f t="shared" si="90"/>
        <v>42.5</v>
      </c>
      <c r="U1577" s="11"/>
      <c r="V1577" s="8">
        <v>0.71045686448574075</v>
      </c>
      <c r="W1577" s="8">
        <v>4.2585168730020522</v>
      </c>
      <c r="X1577" s="8">
        <f t="shared" si="91"/>
        <v>-1.4251380428838738</v>
      </c>
    </row>
    <row r="1578" spans="1:24" x14ac:dyDescent="0.35">
      <c r="A1578" s="6" t="s">
        <v>25</v>
      </c>
      <c r="B1578" s="7" t="s">
        <v>1712</v>
      </c>
      <c r="D1578" s="6" t="s">
        <v>1713</v>
      </c>
      <c r="E1578" s="6">
        <v>4</v>
      </c>
      <c r="F1578" s="6">
        <v>44</v>
      </c>
      <c r="G1578" s="6" t="s">
        <v>335</v>
      </c>
      <c r="I1578" s="8">
        <v>81.975306180555606</v>
      </c>
      <c r="J1578" s="8">
        <v>9.2425022222222193</v>
      </c>
      <c r="K1578" s="6" t="s">
        <v>29</v>
      </c>
      <c r="L1578" s="9">
        <v>44004</v>
      </c>
      <c r="N1578" s="6">
        <v>39</v>
      </c>
      <c r="O1578" s="6" t="s">
        <v>4405</v>
      </c>
      <c r="Q1578" s="10"/>
      <c r="R1578" s="10">
        <v>65</v>
      </c>
      <c r="S1578" s="10">
        <v>70</v>
      </c>
      <c r="T1578" s="10">
        <f t="shared" si="90"/>
        <v>67.5</v>
      </c>
      <c r="U1578" s="11"/>
      <c r="V1578" s="8">
        <v>0.32640166402816795</v>
      </c>
      <c r="W1578" s="8">
        <v>4.2609401771426203</v>
      </c>
      <c r="X1578" s="8">
        <f t="shared" si="91"/>
        <v>1.6497268649172767</v>
      </c>
    </row>
    <row r="1579" spans="1:24" x14ac:dyDescent="0.35">
      <c r="A1579" s="6" t="s">
        <v>25</v>
      </c>
      <c r="B1579" s="7" t="s">
        <v>1714</v>
      </c>
      <c r="D1579" s="6" t="s">
        <v>1715</v>
      </c>
      <c r="E1579" s="6">
        <v>4</v>
      </c>
      <c r="F1579" s="6">
        <v>44</v>
      </c>
      <c r="G1579" s="6" t="s">
        <v>335</v>
      </c>
      <c r="I1579" s="8">
        <v>81.975306180555606</v>
      </c>
      <c r="J1579" s="8">
        <v>9.2425022222222193</v>
      </c>
      <c r="K1579" s="6" t="s">
        <v>29</v>
      </c>
      <c r="L1579" s="9">
        <v>44004</v>
      </c>
      <c r="N1579" s="6">
        <v>39</v>
      </c>
      <c r="O1579" s="6" t="s">
        <v>4405</v>
      </c>
      <c r="Q1579" s="10" t="s">
        <v>1716</v>
      </c>
      <c r="R1579" s="10">
        <v>85</v>
      </c>
      <c r="S1579" s="10">
        <v>90</v>
      </c>
      <c r="T1579" s="10">
        <f t="shared" si="90"/>
        <v>87.5</v>
      </c>
      <c r="U1579" s="11"/>
      <c r="V1579" s="8">
        <v>-0.1220574519464374</v>
      </c>
      <c r="W1579" s="8">
        <v>-1.2721333158016208</v>
      </c>
      <c r="X1579" s="8">
        <f t="shared" si="91"/>
        <v>-0.29567370023012163</v>
      </c>
    </row>
    <row r="1580" spans="1:24" x14ac:dyDescent="0.35">
      <c r="A1580" s="6" t="s">
        <v>25</v>
      </c>
      <c r="B1580" s="7" t="s">
        <v>1717</v>
      </c>
      <c r="D1580" s="6" t="s">
        <v>1718</v>
      </c>
      <c r="E1580" s="6">
        <v>4</v>
      </c>
      <c r="F1580" s="6">
        <v>44</v>
      </c>
      <c r="G1580" s="6" t="s">
        <v>335</v>
      </c>
      <c r="I1580" s="8">
        <v>81.975306180555606</v>
      </c>
      <c r="J1580" s="8">
        <v>9.2425022222222193</v>
      </c>
      <c r="K1580" s="6" t="s">
        <v>29</v>
      </c>
      <c r="L1580" s="9">
        <v>44004</v>
      </c>
      <c r="N1580" s="6">
        <v>39</v>
      </c>
      <c r="O1580" s="6" t="s">
        <v>4405</v>
      </c>
      <c r="Q1580" s="10" t="s">
        <v>1719</v>
      </c>
      <c r="R1580" s="10">
        <v>5</v>
      </c>
      <c r="S1580" s="10">
        <v>10</v>
      </c>
      <c r="T1580" s="10">
        <f t="shared" si="90"/>
        <v>7.5</v>
      </c>
      <c r="U1580" s="11"/>
      <c r="V1580" s="8">
        <v>-12.752406325569154</v>
      </c>
      <c r="W1580" s="8">
        <v>-100.19981449890136</v>
      </c>
      <c r="X1580" s="8">
        <f t="shared" si="91"/>
        <v>1.8194361056518744</v>
      </c>
    </row>
    <row r="1581" spans="1:24" x14ac:dyDescent="0.35">
      <c r="A1581" s="6" t="s">
        <v>25</v>
      </c>
      <c r="B1581" s="7" t="s">
        <v>1720</v>
      </c>
      <c r="D1581" s="6" t="s">
        <v>1721</v>
      </c>
      <c r="E1581" s="6">
        <v>4</v>
      </c>
      <c r="F1581" s="6">
        <v>44</v>
      </c>
      <c r="G1581" s="6" t="s">
        <v>335</v>
      </c>
      <c r="I1581" s="8">
        <v>81.975306180555606</v>
      </c>
      <c r="J1581" s="8">
        <v>9.2425022222222193</v>
      </c>
      <c r="K1581" s="6" t="s">
        <v>29</v>
      </c>
      <c r="L1581" s="9">
        <v>44004</v>
      </c>
      <c r="N1581" s="6">
        <v>39</v>
      </c>
      <c r="O1581" s="6" t="s">
        <v>4405</v>
      </c>
      <c r="Q1581" s="10" t="s">
        <v>1722</v>
      </c>
      <c r="R1581" s="10">
        <v>30</v>
      </c>
      <c r="S1581" s="10">
        <v>35</v>
      </c>
      <c r="T1581" s="10">
        <f t="shared" si="90"/>
        <v>32.5</v>
      </c>
      <c r="U1581" s="11"/>
      <c r="V1581" s="8">
        <v>0.86220333231449131</v>
      </c>
      <c r="W1581" s="8">
        <v>6.6711386352181439</v>
      </c>
      <c r="X1581" s="8">
        <f t="shared" si="91"/>
        <v>-0.22648802329778661</v>
      </c>
    </row>
    <row r="1582" spans="1:24" x14ac:dyDescent="0.35">
      <c r="A1582" s="6" t="s">
        <v>25</v>
      </c>
      <c r="B1582" s="7" t="s">
        <v>1723</v>
      </c>
      <c r="D1582" s="6" t="s">
        <v>1724</v>
      </c>
      <c r="E1582" s="6">
        <v>4</v>
      </c>
      <c r="F1582" s="6">
        <v>44</v>
      </c>
      <c r="G1582" s="6" t="s">
        <v>335</v>
      </c>
      <c r="I1582" s="8">
        <v>81.975306180555606</v>
      </c>
      <c r="J1582" s="8">
        <v>9.2425022222222193</v>
      </c>
      <c r="K1582" s="6" t="s">
        <v>29</v>
      </c>
      <c r="L1582" s="9">
        <v>44004</v>
      </c>
      <c r="N1582" s="6">
        <v>39</v>
      </c>
      <c r="O1582" s="6" t="s">
        <v>4405</v>
      </c>
      <c r="Q1582" s="10" t="s">
        <v>1725</v>
      </c>
      <c r="R1582" s="10">
        <v>75</v>
      </c>
      <c r="S1582" s="10">
        <v>80</v>
      </c>
      <c r="T1582" s="10">
        <f t="shared" si="90"/>
        <v>77.5</v>
      </c>
      <c r="U1582" s="11"/>
      <c r="V1582" s="8">
        <v>9.2205164442062532E-2</v>
      </c>
      <c r="W1582" s="8">
        <v>0.24602518987655597</v>
      </c>
      <c r="X1582" s="8">
        <f t="shared" si="91"/>
        <v>-0.49161612565994428</v>
      </c>
    </row>
    <row r="1583" spans="1:24" x14ac:dyDescent="0.35">
      <c r="A1583" s="6" t="s">
        <v>25</v>
      </c>
      <c r="B1583" s="7" t="s">
        <v>1726</v>
      </c>
      <c r="D1583" s="6" t="s">
        <v>1727</v>
      </c>
      <c r="E1583" s="6">
        <v>4</v>
      </c>
      <c r="F1583" s="6">
        <v>44</v>
      </c>
      <c r="G1583" s="6" t="s">
        <v>335</v>
      </c>
      <c r="I1583" s="8">
        <v>81.975306180555606</v>
      </c>
      <c r="J1583" s="8">
        <v>9.2425022222222193</v>
      </c>
      <c r="K1583" s="6" t="s">
        <v>29</v>
      </c>
      <c r="L1583" s="9">
        <v>44004</v>
      </c>
      <c r="N1583" s="6">
        <v>39</v>
      </c>
      <c r="O1583" s="6" t="s">
        <v>4405</v>
      </c>
      <c r="Q1583" s="10" t="s">
        <v>1728</v>
      </c>
      <c r="R1583" s="10">
        <v>50</v>
      </c>
      <c r="S1583" s="10">
        <v>55</v>
      </c>
      <c r="T1583" s="10">
        <f t="shared" si="90"/>
        <v>52.5</v>
      </c>
      <c r="U1583" s="11"/>
      <c r="V1583" s="8">
        <v>0.65778426648139943</v>
      </c>
      <c r="W1583" s="8">
        <v>4.56160459703207</v>
      </c>
      <c r="X1583" s="8">
        <f t="shared" si="91"/>
        <v>-0.70066953481912542</v>
      </c>
    </row>
    <row r="1584" spans="1:24" x14ac:dyDescent="0.35">
      <c r="A1584" s="6" t="s">
        <v>25</v>
      </c>
      <c r="B1584" s="7" t="s">
        <v>1729</v>
      </c>
      <c r="D1584" s="6" t="s">
        <v>1730</v>
      </c>
      <c r="E1584" s="6">
        <v>4</v>
      </c>
      <c r="F1584" s="6">
        <v>44</v>
      </c>
      <c r="G1584" s="6" t="s">
        <v>335</v>
      </c>
      <c r="I1584" s="8">
        <v>81.975306180555606</v>
      </c>
      <c r="J1584" s="8">
        <v>9.2425022222222193</v>
      </c>
      <c r="K1584" s="6" t="s">
        <v>29</v>
      </c>
      <c r="L1584" s="9">
        <v>44004</v>
      </c>
      <c r="N1584" s="6">
        <v>39</v>
      </c>
      <c r="O1584" s="6" t="s">
        <v>4405</v>
      </c>
      <c r="Q1584" s="10" t="s">
        <v>1731</v>
      </c>
      <c r="R1584" s="10">
        <v>55</v>
      </c>
      <c r="S1584" s="10">
        <v>60</v>
      </c>
      <c r="T1584" s="10">
        <f t="shared" si="90"/>
        <v>57.5</v>
      </c>
      <c r="U1584" s="11"/>
      <c r="V1584" s="8">
        <v>0.56419146727323521</v>
      </c>
      <c r="W1584" s="8">
        <v>5.6717325739860538</v>
      </c>
      <c r="X1584" s="8">
        <f t="shared" si="91"/>
        <v>1.1582008358001721</v>
      </c>
    </row>
    <row r="1585" spans="1:25" x14ac:dyDescent="0.35">
      <c r="A1585" s="6" t="s">
        <v>25</v>
      </c>
      <c r="B1585" s="7" t="s">
        <v>1732</v>
      </c>
      <c r="D1585" s="6" t="s">
        <v>1733</v>
      </c>
      <c r="E1585" s="6">
        <v>4</v>
      </c>
      <c r="F1585" s="6">
        <v>44</v>
      </c>
      <c r="G1585" s="6" t="s">
        <v>335</v>
      </c>
      <c r="I1585" s="8">
        <v>81.975306180555606</v>
      </c>
      <c r="J1585" s="8">
        <v>9.2425022222222193</v>
      </c>
      <c r="K1585" s="6" t="s">
        <v>29</v>
      </c>
      <c r="L1585" s="9">
        <v>44004</v>
      </c>
      <c r="N1585" s="6">
        <v>39</v>
      </c>
      <c r="O1585" s="6" t="s">
        <v>4405</v>
      </c>
      <c r="Q1585" s="10"/>
      <c r="R1585" s="10">
        <v>80</v>
      </c>
      <c r="S1585" s="10">
        <v>85</v>
      </c>
      <c r="T1585" s="10">
        <f t="shared" si="90"/>
        <v>82.5</v>
      </c>
      <c r="U1585" s="11"/>
      <c r="V1585" s="8">
        <v>-4.6898802448809424E-2</v>
      </c>
      <c r="W1585" s="8">
        <v>0.42750841546058671</v>
      </c>
      <c r="X1585" s="8">
        <f t="shared" si="91"/>
        <v>0.8026988350510621</v>
      </c>
    </row>
    <row r="1586" spans="1:25" x14ac:dyDescent="0.35">
      <c r="A1586" s="6" t="s">
        <v>25</v>
      </c>
      <c r="B1586" s="7" t="s">
        <v>1734</v>
      </c>
      <c r="D1586" s="6" t="s">
        <v>1735</v>
      </c>
      <c r="E1586" s="6">
        <v>4</v>
      </c>
      <c r="F1586" s="6">
        <v>44</v>
      </c>
      <c r="G1586" s="6" t="s">
        <v>335</v>
      </c>
      <c r="I1586" s="8">
        <v>81.975306180555606</v>
      </c>
      <c r="J1586" s="8">
        <v>9.2425022222222193</v>
      </c>
      <c r="K1586" s="6" t="s">
        <v>29</v>
      </c>
      <c r="L1586" s="9">
        <v>44004</v>
      </c>
      <c r="N1586" s="6">
        <v>39</v>
      </c>
      <c r="O1586" s="6" t="s">
        <v>4405</v>
      </c>
      <c r="Q1586" s="10" t="s">
        <v>1736</v>
      </c>
      <c r="R1586" s="10">
        <v>163</v>
      </c>
      <c r="S1586" s="10">
        <v>168</v>
      </c>
      <c r="T1586" s="10">
        <f t="shared" si="90"/>
        <v>165.5</v>
      </c>
      <c r="U1586" s="11"/>
      <c r="V1586" s="8">
        <v>-0.14962770866304617</v>
      </c>
      <c r="W1586" s="8">
        <v>-0.37092982292175314</v>
      </c>
      <c r="X1586" s="8">
        <f t="shared" si="91"/>
        <v>0.82609184638261624</v>
      </c>
    </row>
    <row r="1587" spans="1:25" x14ac:dyDescent="0.35">
      <c r="A1587" s="6" t="s">
        <v>25</v>
      </c>
      <c r="B1587" s="7" t="s">
        <v>1737</v>
      </c>
      <c r="D1587" s="6" t="s">
        <v>1738</v>
      </c>
      <c r="E1587" s="6">
        <v>4</v>
      </c>
      <c r="F1587" s="6">
        <v>44</v>
      </c>
      <c r="G1587" s="6" t="s">
        <v>335</v>
      </c>
      <c r="I1587" s="8">
        <v>81.975306180555606</v>
      </c>
      <c r="J1587" s="8">
        <v>9.2425022222222193</v>
      </c>
      <c r="K1587" s="6" t="s">
        <v>29</v>
      </c>
      <c r="L1587" s="9">
        <v>44004</v>
      </c>
      <c r="N1587" s="6">
        <v>39</v>
      </c>
      <c r="O1587" s="6" t="s">
        <v>4405</v>
      </c>
      <c r="Q1587" s="10" t="s">
        <v>1739</v>
      </c>
      <c r="R1587" s="10">
        <v>145</v>
      </c>
      <c r="S1587" s="10">
        <v>150</v>
      </c>
      <c r="T1587" s="10">
        <f t="shared" si="90"/>
        <v>147.5</v>
      </c>
      <c r="U1587" s="11"/>
      <c r="V1587" s="8">
        <v>0.64898031311035176</v>
      </c>
      <c r="W1587" s="8">
        <v>3.0824279322624211</v>
      </c>
      <c r="X1587" s="8">
        <f t="shared" si="91"/>
        <v>-2.109414572620393</v>
      </c>
    </row>
    <row r="1588" spans="1:25" x14ac:dyDescent="0.35">
      <c r="A1588" s="6" t="s">
        <v>25</v>
      </c>
      <c r="B1588" s="7" t="s">
        <v>1740</v>
      </c>
      <c r="D1588" s="6" t="s">
        <v>1741</v>
      </c>
      <c r="E1588" s="6">
        <v>4</v>
      </c>
      <c r="F1588" s="6">
        <v>44</v>
      </c>
      <c r="G1588" s="6" t="s">
        <v>335</v>
      </c>
      <c r="I1588" s="8">
        <v>81.975306180555606</v>
      </c>
      <c r="J1588" s="8">
        <v>9.2425022222222193</v>
      </c>
      <c r="K1588" s="6" t="s">
        <v>29</v>
      </c>
      <c r="L1588" s="9">
        <v>44004</v>
      </c>
      <c r="N1588" s="6">
        <v>39</v>
      </c>
      <c r="O1588" s="6" t="s">
        <v>4405</v>
      </c>
      <c r="Q1588" s="10" t="s">
        <v>1742</v>
      </c>
      <c r="R1588" s="10">
        <v>158</v>
      </c>
      <c r="S1588" s="10">
        <v>163</v>
      </c>
      <c r="T1588" s="10">
        <f t="shared" si="90"/>
        <v>160.5</v>
      </c>
      <c r="U1588" s="11"/>
      <c r="V1588" s="8">
        <v>1.2024200768351556</v>
      </c>
      <c r="W1588" s="8">
        <v>9.3045168294906606</v>
      </c>
      <c r="X1588" s="8">
        <f t="shared" si="91"/>
        <v>-0.31484378519058431</v>
      </c>
    </row>
    <row r="1589" spans="1:25" x14ac:dyDescent="0.35">
      <c r="A1589" s="6" t="s">
        <v>25</v>
      </c>
      <c r="B1589" s="7" t="s">
        <v>1743</v>
      </c>
      <c r="D1589" s="6" t="s">
        <v>1744</v>
      </c>
      <c r="E1589" s="6">
        <v>4</v>
      </c>
      <c r="F1589" s="6">
        <v>44</v>
      </c>
      <c r="G1589" s="6" t="s">
        <v>335</v>
      </c>
      <c r="I1589" s="8">
        <v>81.975306180555606</v>
      </c>
      <c r="J1589" s="8">
        <v>9.2425022222222193</v>
      </c>
      <c r="K1589" s="6" t="s">
        <v>29</v>
      </c>
      <c r="L1589" s="9">
        <v>44004</v>
      </c>
      <c r="N1589" s="6">
        <v>39</v>
      </c>
      <c r="O1589" s="6" t="s">
        <v>4405</v>
      </c>
      <c r="Q1589" s="10" t="s">
        <v>1745</v>
      </c>
      <c r="R1589" s="10">
        <v>140</v>
      </c>
      <c r="S1589" s="10">
        <v>145</v>
      </c>
      <c r="T1589" s="10">
        <f t="shared" ref="T1589:T1609" si="92">AVERAGE(R1589:S1589)</f>
        <v>142.5</v>
      </c>
      <c r="U1589" s="11"/>
      <c r="V1589" s="8">
        <v>0.43331301369071029</v>
      </c>
      <c r="W1589" s="8">
        <v>3.3897416017651558</v>
      </c>
      <c r="X1589" s="8">
        <f t="shared" si="91"/>
        <v>-7.676250776052651E-2</v>
      </c>
    </row>
    <row r="1590" spans="1:25" x14ac:dyDescent="0.35">
      <c r="A1590" s="6" t="s">
        <v>25</v>
      </c>
      <c r="B1590" s="7" t="s">
        <v>1746</v>
      </c>
      <c r="D1590" s="6" t="s">
        <v>1747</v>
      </c>
      <c r="E1590" s="6">
        <v>4</v>
      </c>
      <c r="F1590" s="6">
        <v>44</v>
      </c>
      <c r="G1590" s="6" t="s">
        <v>335</v>
      </c>
      <c r="I1590" s="8">
        <v>81.975306180555606</v>
      </c>
      <c r="J1590" s="8">
        <v>9.2425022222222193</v>
      </c>
      <c r="K1590" s="6" t="s">
        <v>29</v>
      </c>
      <c r="L1590" s="9">
        <v>44004</v>
      </c>
      <c r="N1590" s="6">
        <v>39</v>
      </c>
      <c r="O1590" s="6" t="s">
        <v>4405</v>
      </c>
      <c r="Q1590" s="10" t="s">
        <v>1748</v>
      </c>
      <c r="R1590" s="10">
        <v>150</v>
      </c>
      <c r="S1590" s="10">
        <v>156</v>
      </c>
      <c r="T1590" s="10">
        <f t="shared" si="92"/>
        <v>153</v>
      </c>
      <c r="U1590" s="11"/>
      <c r="V1590" s="8">
        <v>1.1203876783132554</v>
      </c>
      <c r="W1590" s="8">
        <v>7.5911342620849602</v>
      </c>
      <c r="X1590" s="8">
        <f t="shared" si="91"/>
        <v>-1.3719671644210827</v>
      </c>
    </row>
    <row r="1591" spans="1:25" x14ac:dyDescent="0.35">
      <c r="A1591" s="6" t="s">
        <v>25</v>
      </c>
      <c r="B1591" s="7" t="s">
        <v>1749</v>
      </c>
      <c r="D1591" s="6" t="s">
        <v>1750</v>
      </c>
      <c r="E1591" s="6">
        <v>4</v>
      </c>
      <c r="F1591" s="6">
        <v>44</v>
      </c>
      <c r="G1591" s="6" t="s">
        <v>335</v>
      </c>
      <c r="I1591" s="8">
        <v>81.975306180555606</v>
      </c>
      <c r="J1591" s="8">
        <v>9.2425022222222193</v>
      </c>
      <c r="K1591" s="6" t="s">
        <v>29</v>
      </c>
      <c r="L1591" s="9">
        <v>44004</v>
      </c>
      <c r="N1591" s="6">
        <v>39</v>
      </c>
      <c r="O1591" s="6" t="s">
        <v>4405</v>
      </c>
      <c r="Q1591" s="10" t="s">
        <v>1751</v>
      </c>
      <c r="R1591" s="10">
        <v>135</v>
      </c>
      <c r="S1591" s="10">
        <v>140</v>
      </c>
      <c r="T1591" s="10">
        <f t="shared" si="92"/>
        <v>137.5</v>
      </c>
      <c r="U1591" s="11"/>
      <c r="V1591" s="8">
        <v>0.41205237572193143</v>
      </c>
      <c r="W1591" s="8">
        <v>1.6711515996456145</v>
      </c>
      <c r="X1591" s="8">
        <f t="shared" si="91"/>
        <v>-1.6252674061298369</v>
      </c>
    </row>
    <row r="1592" spans="1:25" x14ac:dyDescent="0.35">
      <c r="A1592" s="6" t="s">
        <v>25</v>
      </c>
      <c r="B1592" s="7" t="s">
        <v>1752</v>
      </c>
      <c r="D1592" s="6" t="s">
        <v>1753</v>
      </c>
      <c r="E1592" s="6">
        <v>4</v>
      </c>
      <c r="F1592" s="6">
        <v>44</v>
      </c>
      <c r="G1592" s="6" t="s">
        <v>335</v>
      </c>
      <c r="I1592" s="8">
        <v>81.975306180555606</v>
      </c>
      <c r="J1592" s="8">
        <v>9.2425022222222193</v>
      </c>
      <c r="K1592" s="6" t="s">
        <v>29</v>
      </c>
      <c r="L1592" s="9">
        <v>44004</v>
      </c>
      <c r="N1592" s="6">
        <v>39</v>
      </c>
      <c r="O1592" s="6" t="s">
        <v>4405</v>
      </c>
      <c r="Q1592" s="10" t="s">
        <v>1754</v>
      </c>
      <c r="R1592" s="10">
        <v>45</v>
      </c>
      <c r="S1592" s="10">
        <v>50</v>
      </c>
      <c r="T1592" s="10">
        <f t="shared" si="92"/>
        <v>47.5</v>
      </c>
      <c r="U1592" s="11"/>
      <c r="V1592" s="8">
        <v>0.77682738568186782</v>
      </c>
      <c r="W1592" s="8">
        <v>6.8655481081008922</v>
      </c>
      <c r="X1592" s="8">
        <f t="shared" si="91"/>
        <v>0.65092902264594965</v>
      </c>
    </row>
    <row r="1593" spans="1:25" x14ac:dyDescent="0.35">
      <c r="A1593" s="6" t="s">
        <v>25</v>
      </c>
      <c r="B1593" s="7" t="s">
        <v>1755</v>
      </c>
      <c r="D1593" s="6" t="s">
        <v>1756</v>
      </c>
      <c r="E1593" s="6">
        <v>4</v>
      </c>
      <c r="F1593" s="6">
        <v>44</v>
      </c>
      <c r="G1593" s="6" t="s">
        <v>335</v>
      </c>
      <c r="I1593" s="8">
        <v>81.975306180555606</v>
      </c>
      <c r="J1593" s="8">
        <v>9.2425022222222193</v>
      </c>
      <c r="K1593" s="6" t="s">
        <v>29</v>
      </c>
      <c r="L1593" s="9">
        <v>44004</v>
      </c>
      <c r="N1593" s="6">
        <v>39</v>
      </c>
      <c r="O1593" s="6" t="s">
        <v>4405</v>
      </c>
      <c r="Q1593" s="10" t="s">
        <v>1757</v>
      </c>
      <c r="R1593" s="10">
        <v>65</v>
      </c>
      <c r="S1593" s="10">
        <v>70</v>
      </c>
      <c r="T1593" s="10">
        <f t="shared" si="92"/>
        <v>67.5</v>
      </c>
      <c r="U1593" s="11"/>
      <c r="V1593" s="8">
        <v>0.36569000950753672</v>
      </c>
      <c r="W1593" s="8">
        <v>4.1969031088352198</v>
      </c>
      <c r="X1593" s="8">
        <f t="shared" si="91"/>
        <v>1.271383032774926</v>
      </c>
    </row>
    <row r="1594" spans="1:25" x14ac:dyDescent="0.35">
      <c r="A1594" s="6" t="s">
        <v>25</v>
      </c>
      <c r="B1594" s="6" t="s">
        <v>1758</v>
      </c>
      <c r="D1594" s="6" t="s">
        <v>1759</v>
      </c>
      <c r="E1594" s="6">
        <v>4</v>
      </c>
      <c r="F1594" s="6">
        <v>44</v>
      </c>
      <c r="I1594" s="8">
        <v>81.975306180555606</v>
      </c>
      <c r="J1594" s="8">
        <v>9.2425022222222193</v>
      </c>
      <c r="K1594" s="6" t="s">
        <v>29</v>
      </c>
      <c r="L1594" s="9">
        <v>44004</v>
      </c>
      <c r="N1594" s="6">
        <v>39</v>
      </c>
      <c r="O1594" s="6" t="s">
        <v>4405</v>
      </c>
      <c r="R1594" s="6">
        <v>0</v>
      </c>
      <c r="S1594" s="6">
        <v>10</v>
      </c>
      <c r="T1594" s="10">
        <f t="shared" si="92"/>
        <v>5</v>
      </c>
      <c r="U1594" s="15">
        <v>0.9</v>
      </c>
      <c r="V1594" s="8">
        <v>-8.5684833435058589</v>
      </c>
      <c r="W1594" s="8">
        <v>-66.712718936920169</v>
      </c>
      <c r="X1594" s="8">
        <f t="shared" si="91"/>
        <v>1.8351478111267028</v>
      </c>
      <c r="Y1594" s="6" t="s">
        <v>1760</v>
      </c>
    </row>
    <row r="1595" spans="1:25" x14ac:dyDescent="0.35">
      <c r="A1595" s="6" t="s">
        <v>25</v>
      </c>
      <c r="B1595" s="6" t="s">
        <v>1761</v>
      </c>
      <c r="D1595" s="6" t="s">
        <v>1762</v>
      </c>
      <c r="E1595" s="6">
        <v>4</v>
      </c>
      <c r="F1595" s="6">
        <v>44</v>
      </c>
      <c r="I1595" s="8">
        <v>81.975306180555606</v>
      </c>
      <c r="J1595" s="8">
        <v>9.2425022222222193</v>
      </c>
      <c r="K1595" s="6" t="s">
        <v>29</v>
      </c>
      <c r="L1595" s="9">
        <v>44004</v>
      </c>
      <c r="N1595" s="6">
        <v>39</v>
      </c>
      <c r="O1595" s="6" t="s">
        <v>4405</v>
      </c>
      <c r="R1595" s="6">
        <v>10</v>
      </c>
      <c r="S1595" s="6">
        <v>20</v>
      </c>
      <c r="T1595" s="10">
        <f t="shared" si="92"/>
        <v>15</v>
      </c>
      <c r="U1595" s="15">
        <v>1.3</v>
      </c>
      <c r="V1595" s="8">
        <v>-3.4256785446166993</v>
      </c>
      <c r="W1595" s="8">
        <v>-26.944594676971434</v>
      </c>
      <c r="X1595" s="8">
        <f t="shared" si="91"/>
        <v>0.4608336799621604</v>
      </c>
      <c r="Y1595" s="6" t="s">
        <v>1760</v>
      </c>
    </row>
    <row r="1596" spans="1:25" x14ac:dyDescent="0.35">
      <c r="A1596" s="6" t="s">
        <v>25</v>
      </c>
      <c r="B1596" s="6" t="s">
        <v>1763</v>
      </c>
      <c r="D1596" s="6" t="s">
        <v>1764</v>
      </c>
      <c r="E1596" s="6">
        <v>4</v>
      </c>
      <c r="F1596" s="6">
        <v>44</v>
      </c>
      <c r="I1596" s="8">
        <v>81.975306180555606</v>
      </c>
      <c r="J1596" s="8">
        <v>9.2425022222222193</v>
      </c>
      <c r="K1596" s="6" t="s">
        <v>29</v>
      </c>
      <c r="L1596" s="9">
        <v>44004</v>
      </c>
      <c r="N1596" s="6">
        <v>39</v>
      </c>
      <c r="O1596" s="6" t="s">
        <v>4405</v>
      </c>
      <c r="R1596" s="6">
        <v>20</v>
      </c>
      <c r="S1596" s="6">
        <v>30</v>
      </c>
      <c r="T1596" s="10">
        <f t="shared" si="92"/>
        <v>25</v>
      </c>
      <c r="U1596" s="15">
        <v>2.4</v>
      </c>
      <c r="V1596" s="8">
        <v>0.74762641983032241</v>
      </c>
      <c r="W1596" s="8">
        <v>6.7876962833404537</v>
      </c>
      <c r="X1596" s="8">
        <f t="shared" si="91"/>
        <v>0.80668492469787445</v>
      </c>
      <c r="Y1596" s="6" t="s">
        <v>1760</v>
      </c>
    </row>
    <row r="1597" spans="1:25" x14ac:dyDescent="0.35">
      <c r="A1597" s="6" t="s">
        <v>25</v>
      </c>
      <c r="B1597" s="6" t="s">
        <v>1765</v>
      </c>
      <c r="D1597" s="6" t="s">
        <v>1766</v>
      </c>
      <c r="E1597" s="6">
        <v>4</v>
      </c>
      <c r="F1597" s="6">
        <v>44</v>
      </c>
      <c r="I1597" s="8">
        <v>81.975306180555606</v>
      </c>
      <c r="J1597" s="8">
        <v>9.2425022222222193</v>
      </c>
      <c r="K1597" s="6" t="s">
        <v>29</v>
      </c>
      <c r="L1597" s="9">
        <v>44004</v>
      </c>
      <c r="N1597" s="6">
        <v>39</v>
      </c>
      <c r="O1597" s="6" t="s">
        <v>4405</v>
      </c>
      <c r="R1597" s="6">
        <v>30</v>
      </c>
      <c r="S1597" s="6">
        <v>40</v>
      </c>
      <c r="T1597" s="10">
        <f t="shared" si="92"/>
        <v>35</v>
      </c>
      <c r="U1597" s="15">
        <v>2.6</v>
      </c>
      <c r="V1597" s="8">
        <v>0.72302737884521462</v>
      </c>
      <c r="W1597" s="8">
        <v>5.2175451707839962</v>
      </c>
      <c r="X1597" s="8">
        <f t="shared" si="91"/>
        <v>-0.5666738599777208</v>
      </c>
      <c r="Y1597" s="6" t="s">
        <v>1760</v>
      </c>
    </row>
    <row r="1598" spans="1:25" x14ac:dyDescent="0.35">
      <c r="A1598" s="6" t="s">
        <v>25</v>
      </c>
      <c r="B1598" s="6" t="s">
        <v>1767</v>
      </c>
      <c r="D1598" s="6" t="s">
        <v>1768</v>
      </c>
      <c r="E1598" s="6">
        <v>4</v>
      </c>
      <c r="F1598" s="6">
        <v>44</v>
      </c>
      <c r="I1598" s="8">
        <v>81.975306180555606</v>
      </c>
      <c r="J1598" s="8">
        <v>9.2425022222222193</v>
      </c>
      <c r="K1598" s="6" t="s">
        <v>29</v>
      </c>
      <c r="L1598" s="9">
        <v>44004</v>
      </c>
      <c r="N1598" s="6">
        <v>39</v>
      </c>
      <c r="O1598" s="6" t="s">
        <v>4405</v>
      </c>
      <c r="R1598" s="6">
        <v>40</v>
      </c>
      <c r="S1598" s="6">
        <v>50</v>
      </c>
      <c r="T1598" s="10">
        <f t="shared" si="92"/>
        <v>45</v>
      </c>
      <c r="U1598" s="15">
        <v>3</v>
      </c>
      <c r="V1598" s="8">
        <v>0.76530779914855995</v>
      </c>
      <c r="W1598" s="8">
        <v>5.3916757965087898</v>
      </c>
      <c r="X1598" s="8">
        <f t="shared" si="91"/>
        <v>-0.73078659667968981</v>
      </c>
      <c r="Y1598" s="6" t="s">
        <v>1760</v>
      </c>
    </row>
    <row r="1599" spans="1:25" x14ac:dyDescent="0.35">
      <c r="A1599" s="6" t="s">
        <v>25</v>
      </c>
      <c r="B1599" s="6" t="s">
        <v>1769</v>
      </c>
      <c r="D1599" s="6" t="s">
        <v>1770</v>
      </c>
      <c r="E1599" s="6">
        <v>4</v>
      </c>
      <c r="F1599" s="6">
        <v>44</v>
      </c>
      <c r="I1599" s="8">
        <v>81.975306180555606</v>
      </c>
      <c r="J1599" s="8">
        <v>9.2425022222222193</v>
      </c>
      <c r="K1599" s="6" t="s">
        <v>29</v>
      </c>
      <c r="L1599" s="9">
        <v>44004</v>
      </c>
      <c r="N1599" s="6">
        <v>39</v>
      </c>
      <c r="O1599" s="6" t="s">
        <v>4405</v>
      </c>
      <c r="R1599" s="6">
        <v>50</v>
      </c>
      <c r="S1599" s="6">
        <v>60</v>
      </c>
      <c r="T1599" s="10">
        <f t="shared" si="92"/>
        <v>55</v>
      </c>
      <c r="U1599" s="15">
        <v>2.2000000000000002</v>
      </c>
      <c r="V1599" s="8">
        <v>0.80409568290710498</v>
      </c>
      <c r="W1599" s="8">
        <v>6.8793241138458248</v>
      </c>
      <c r="X1599" s="8">
        <f t="shared" si="91"/>
        <v>0.44655865058898492</v>
      </c>
      <c r="Y1599" s="6" t="s">
        <v>1760</v>
      </c>
    </row>
    <row r="1600" spans="1:25" x14ac:dyDescent="0.35">
      <c r="A1600" s="6" t="s">
        <v>25</v>
      </c>
      <c r="B1600" s="6" t="s">
        <v>1771</v>
      </c>
      <c r="D1600" s="6" t="s">
        <v>1772</v>
      </c>
      <c r="E1600" s="6">
        <v>4</v>
      </c>
      <c r="F1600" s="6">
        <v>44</v>
      </c>
      <c r="I1600" s="8">
        <v>81.975306180555606</v>
      </c>
      <c r="J1600" s="8">
        <v>9.2425022222222193</v>
      </c>
      <c r="K1600" s="6" t="s">
        <v>29</v>
      </c>
      <c r="L1600" s="9">
        <v>44004</v>
      </c>
      <c r="N1600" s="6">
        <v>39</v>
      </c>
      <c r="O1600" s="6" t="s">
        <v>4405</v>
      </c>
      <c r="R1600" s="6">
        <v>60</v>
      </c>
      <c r="S1600" s="6">
        <v>70</v>
      </c>
      <c r="T1600" s="10">
        <f t="shared" si="92"/>
        <v>65</v>
      </c>
      <c r="U1600" s="15">
        <v>2.2000000000000002</v>
      </c>
      <c r="V1600" s="8">
        <v>0.73114222412109409</v>
      </c>
      <c r="W1600" s="8">
        <v>6.7904059581756595</v>
      </c>
      <c r="X1600" s="8">
        <f t="shared" si="91"/>
        <v>0.94126816520690682</v>
      </c>
      <c r="Y1600" s="6" t="s">
        <v>1760</v>
      </c>
    </row>
    <row r="1601" spans="1:25" x14ac:dyDescent="0.35">
      <c r="A1601" s="6" t="s">
        <v>25</v>
      </c>
      <c r="B1601" s="6" t="s">
        <v>1773</v>
      </c>
      <c r="D1601" s="6" t="s">
        <v>1774</v>
      </c>
      <c r="E1601" s="6">
        <v>4</v>
      </c>
      <c r="F1601" s="6">
        <v>44</v>
      </c>
      <c r="I1601" s="8">
        <v>81.975306180555606</v>
      </c>
      <c r="J1601" s="8">
        <v>9.2425022222222193</v>
      </c>
      <c r="K1601" s="6" t="s">
        <v>29</v>
      </c>
      <c r="L1601" s="9">
        <v>44004</v>
      </c>
      <c r="N1601" s="6">
        <v>39</v>
      </c>
      <c r="O1601" s="6" t="s">
        <v>4405</v>
      </c>
      <c r="R1601" s="6">
        <v>70</v>
      </c>
      <c r="S1601" s="6">
        <v>80</v>
      </c>
      <c r="T1601" s="10">
        <f t="shared" si="92"/>
        <v>75</v>
      </c>
      <c r="U1601" s="15">
        <v>2.7</v>
      </c>
      <c r="V1601" s="8">
        <v>0.88616380290985108</v>
      </c>
      <c r="W1601" s="8">
        <v>4.7309393005371092</v>
      </c>
      <c r="X1601" s="8">
        <f t="shared" si="91"/>
        <v>-2.3583711227416995</v>
      </c>
      <c r="Y1601" s="6" t="s">
        <v>1760</v>
      </c>
    </row>
    <row r="1602" spans="1:25" x14ac:dyDescent="0.35">
      <c r="A1602" s="6" t="s">
        <v>25</v>
      </c>
      <c r="B1602" s="6" t="s">
        <v>1775</v>
      </c>
      <c r="D1602" s="6" t="s">
        <v>1776</v>
      </c>
      <c r="E1602" s="6">
        <v>4</v>
      </c>
      <c r="F1602" s="6">
        <v>44</v>
      </c>
      <c r="I1602" s="8">
        <v>81.975306180555606</v>
      </c>
      <c r="J1602" s="8">
        <v>9.2425022222222193</v>
      </c>
      <c r="K1602" s="6" t="s">
        <v>29</v>
      </c>
      <c r="L1602" s="9">
        <v>44004</v>
      </c>
      <c r="N1602" s="6">
        <v>39</v>
      </c>
      <c r="O1602" s="6" t="s">
        <v>4405</v>
      </c>
      <c r="R1602" s="6">
        <v>80</v>
      </c>
      <c r="S1602" s="6">
        <v>90</v>
      </c>
      <c r="T1602" s="10">
        <f t="shared" si="92"/>
        <v>85</v>
      </c>
      <c r="U1602" s="15">
        <v>2.4</v>
      </c>
      <c r="V1602" s="8">
        <v>0.37509677867889357</v>
      </c>
      <c r="W1602" s="8">
        <v>2.8474844398498536</v>
      </c>
      <c r="X1602" s="8">
        <f t="shared" si="91"/>
        <v>-0.15328978958129502</v>
      </c>
      <c r="Y1602" s="6" t="s">
        <v>1760</v>
      </c>
    </row>
    <row r="1603" spans="1:25" x14ac:dyDescent="0.35">
      <c r="A1603" s="6" t="s">
        <v>25</v>
      </c>
      <c r="B1603" s="6" t="s">
        <v>1777</v>
      </c>
      <c r="D1603" s="6" t="s">
        <v>1778</v>
      </c>
      <c r="E1603" s="6">
        <v>4</v>
      </c>
      <c r="F1603" s="6">
        <v>44</v>
      </c>
      <c r="I1603" s="8">
        <v>81.975306180555606</v>
      </c>
      <c r="J1603" s="8">
        <v>9.2425022222222193</v>
      </c>
      <c r="K1603" s="6" t="s">
        <v>29</v>
      </c>
      <c r="L1603" s="9">
        <v>44004</v>
      </c>
      <c r="N1603" s="6">
        <v>39</v>
      </c>
      <c r="O1603" s="6" t="s">
        <v>4405</v>
      </c>
      <c r="R1603" s="6">
        <v>90</v>
      </c>
      <c r="S1603" s="6">
        <v>100</v>
      </c>
      <c r="T1603" s="10">
        <f t="shared" si="92"/>
        <v>95</v>
      </c>
      <c r="U1603" s="15">
        <v>2.8</v>
      </c>
      <c r="V1603" s="8">
        <v>5.0586683678627051E-2</v>
      </c>
      <c r="W1603" s="8">
        <v>1.2812546138763432</v>
      </c>
      <c r="X1603" s="8">
        <f t="shared" si="91"/>
        <v>0.8765611444473268</v>
      </c>
      <c r="Y1603" s="6" t="s">
        <v>1760</v>
      </c>
    </row>
    <row r="1604" spans="1:25" x14ac:dyDescent="0.35">
      <c r="A1604" s="6" t="s">
        <v>25</v>
      </c>
      <c r="B1604" s="6" t="s">
        <v>1779</v>
      </c>
      <c r="D1604" s="6" t="s">
        <v>1780</v>
      </c>
      <c r="E1604" s="6">
        <v>4</v>
      </c>
      <c r="F1604" s="6">
        <v>44</v>
      </c>
      <c r="I1604" s="8">
        <v>81.975306180555606</v>
      </c>
      <c r="J1604" s="8">
        <v>9.2425022222222193</v>
      </c>
      <c r="K1604" s="6" t="s">
        <v>29</v>
      </c>
      <c r="L1604" s="9">
        <v>44004</v>
      </c>
      <c r="N1604" s="6">
        <v>39</v>
      </c>
      <c r="O1604" s="6" t="s">
        <v>4405</v>
      </c>
      <c r="R1604" s="6">
        <v>100</v>
      </c>
      <c r="S1604" s="6">
        <v>110</v>
      </c>
      <c r="T1604" s="10">
        <f t="shared" si="92"/>
        <v>105</v>
      </c>
      <c r="U1604" s="15">
        <v>3.9</v>
      </c>
      <c r="V1604" s="8">
        <v>-9.7454142722487827E-2</v>
      </c>
      <c r="W1604" s="8">
        <v>-1.5053944368362431</v>
      </c>
      <c r="X1604" s="8">
        <f t="shared" si="91"/>
        <v>-0.72576129505634046</v>
      </c>
      <c r="Y1604" s="6" t="s">
        <v>1760</v>
      </c>
    </row>
    <row r="1605" spans="1:25" x14ac:dyDescent="0.35">
      <c r="A1605" s="6" t="s">
        <v>25</v>
      </c>
      <c r="B1605" s="6" t="s">
        <v>1781</v>
      </c>
      <c r="D1605" s="6" t="s">
        <v>1782</v>
      </c>
      <c r="E1605" s="6">
        <v>4</v>
      </c>
      <c r="F1605" s="6">
        <v>44</v>
      </c>
      <c r="I1605" s="8">
        <v>81.975306180555606</v>
      </c>
      <c r="J1605" s="8">
        <v>9.2425022222222193</v>
      </c>
      <c r="K1605" s="6" t="s">
        <v>29</v>
      </c>
      <c r="L1605" s="9">
        <v>44004</v>
      </c>
      <c r="N1605" s="6">
        <v>39</v>
      </c>
      <c r="O1605" s="6" t="s">
        <v>4405</v>
      </c>
      <c r="R1605" s="6">
        <v>110</v>
      </c>
      <c r="S1605" s="6">
        <v>120</v>
      </c>
      <c r="T1605" s="10">
        <f t="shared" si="92"/>
        <v>115</v>
      </c>
      <c r="U1605" s="15">
        <v>3.3</v>
      </c>
      <c r="V1605" s="8">
        <v>-4.3966979305743933E-2</v>
      </c>
      <c r="W1605" s="8">
        <v>-0.69379423942565932</v>
      </c>
      <c r="X1605" s="8">
        <f t="shared" si="91"/>
        <v>-0.34205840497970785</v>
      </c>
      <c r="Y1605" s="6" t="s">
        <v>1760</v>
      </c>
    </row>
    <row r="1606" spans="1:25" x14ac:dyDescent="0.35">
      <c r="A1606" s="6" t="s">
        <v>25</v>
      </c>
      <c r="B1606" s="6" t="s">
        <v>1783</v>
      </c>
      <c r="D1606" s="6" t="s">
        <v>1784</v>
      </c>
      <c r="E1606" s="6">
        <v>4</v>
      </c>
      <c r="F1606" s="6">
        <v>44</v>
      </c>
      <c r="I1606" s="8">
        <v>81.975306180555606</v>
      </c>
      <c r="J1606" s="8">
        <v>9.2425022222222193</v>
      </c>
      <c r="K1606" s="6" t="s">
        <v>29</v>
      </c>
      <c r="L1606" s="9">
        <v>44004</v>
      </c>
      <c r="N1606" s="6">
        <v>39</v>
      </c>
      <c r="O1606" s="6" t="s">
        <v>4405</v>
      </c>
      <c r="R1606" s="6">
        <v>120</v>
      </c>
      <c r="S1606" s="6">
        <v>130</v>
      </c>
      <c r="T1606" s="10">
        <f t="shared" si="92"/>
        <v>125</v>
      </c>
      <c r="U1606" s="15">
        <v>3.1</v>
      </c>
      <c r="V1606" s="8">
        <v>0.26400347266420743</v>
      </c>
      <c r="W1606" s="8">
        <v>1.6131278369426725</v>
      </c>
      <c r="X1606" s="8">
        <f t="shared" si="91"/>
        <v>-0.49889994437098695</v>
      </c>
      <c r="Y1606" s="6" t="s">
        <v>1760</v>
      </c>
    </row>
    <row r="1607" spans="1:25" x14ac:dyDescent="0.35">
      <c r="A1607" s="6" t="s">
        <v>25</v>
      </c>
      <c r="B1607" s="6" t="s">
        <v>1785</v>
      </c>
      <c r="D1607" s="6" t="s">
        <v>1786</v>
      </c>
      <c r="E1607" s="6">
        <v>4</v>
      </c>
      <c r="F1607" s="6">
        <v>44</v>
      </c>
      <c r="I1607" s="8">
        <v>81.975306180555606</v>
      </c>
      <c r="J1607" s="8">
        <v>9.2425022222222193</v>
      </c>
      <c r="K1607" s="6" t="s">
        <v>29</v>
      </c>
      <c r="L1607" s="9">
        <v>44004</v>
      </c>
      <c r="N1607" s="6">
        <v>39</v>
      </c>
      <c r="O1607" s="6" t="s">
        <v>4405</v>
      </c>
      <c r="R1607" s="6">
        <v>130</v>
      </c>
      <c r="S1607" s="6">
        <v>140</v>
      </c>
      <c r="T1607" s="10">
        <f t="shared" si="92"/>
        <v>135</v>
      </c>
      <c r="U1607" s="15">
        <v>3.3</v>
      </c>
      <c r="V1607" s="8">
        <v>0.4923219003200533</v>
      </c>
      <c r="W1607" s="8">
        <v>3.2219527987241738</v>
      </c>
      <c r="X1607" s="8">
        <f t="shared" si="91"/>
        <v>-0.71662240383625253</v>
      </c>
      <c r="Y1607" s="6" t="s">
        <v>1760</v>
      </c>
    </row>
    <row r="1608" spans="1:25" x14ac:dyDescent="0.35">
      <c r="A1608" s="6" t="s">
        <v>25</v>
      </c>
      <c r="B1608" s="6" t="s">
        <v>1787</v>
      </c>
      <c r="D1608" s="6" t="s">
        <v>1788</v>
      </c>
      <c r="E1608" s="6">
        <v>4</v>
      </c>
      <c r="F1608" s="6">
        <v>44</v>
      </c>
      <c r="I1608" s="8">
        <v>81.975306180555606</v>
      </c>
      <c r="J1608" s="8">
        <v>9.2425022222222193</v>
      </c>
      <c r="K1608" s="6" t="s">
        <v>29</v>
      </c>
      <c r="L1608" s="9">
        <v>44004</v>
      </c>
      <c r="N1608" s="6">
        <v>39</v>
      </c>
      <c r="O1608" s="6" t="s">
        <v>4405</v>
      </c>
      <c r="R1608" s="6">
        <v>140</v>
      </c>
      <c r="S1608" s="6">
        <v>150</v>
      </c>
      <c r="T1608" s="10">
        <f t="shared" si="92"/>
        <v>145</v>
      </c>
      <c r="U1608" s="15">
        <v>3.6</v>
      </c>
      <c r="V1608" s="8">
        <v>0.85418737397789946</v>
      </c>
      <c r="W1608" s="8">
        <v>6.637516628742218</v>
      </c>
      <c r="X1608" s="8">
        <f t="shared" si="91"/>
        <v>-0.19598236308097761</v>
      </c>
      <c r="Y1608" s="6" t="s">
        <v>1760</v>
      </c>
    </row>
    <row r="1609" spans="1:25" x14ac:dyDescent="0.35">
      <c r="A1609" s="6" t="s">
        <v>25</v>
      </c>
      <c r="B1609" s="6" t="s">
        <v>1789</v>
      </c>
      <c r="D1609" s="6" t="s">
        <v>1790</v>
      </c>
      <c r="E1609" s="6">
        <v>4</v>
      </c>
      <c r="F1609" s="6">
        <v>44</v>
      </c>
      <c r="I1609" s="8">
        <v>81.975306180555606</v>
      </c>
      <c r="J1609" s="8">
        <v>9.2425022222222193</v>
      </c>
      <c r="K1609" s="6" t="s">
        <v>29</v>
      </c>
      <c r="L1609" s="9">
        <v>44004</v>
      </c>
      <c r="N1609" s="6">
        <v>39</v>
      </c>
      <c r="O1609" s="6" t="s">
        <v>4405</v>
      </c>
      <c r="R1609" s="6">
        <v>150</v>
      </c>
      <c r="S1609" s="6">
        <v>160</v>
      </c>
      <c r="T1609" s="10">
        <f t="shared" si="92"/>
        <v>155</v>
      </c>
      <c r="U1609" s="15">
        <v>4.3</v>
      </c>
      <c r="V1609" s="8">
        <v>1.3436548459649087</v>
      </c>
      <c r="W1609" s="8">
        <v>8.3211275891065597</v>
      </c>
      <c r="X1609" s="8">
        <f t="shared" si="91"/>
        <v>-2.4281111786127099</v>
      </c>
      <c r="Y1609" s="6" t="s">
        <v>1760</v>
      </c>
    </row>
    <row r="1610" spans="1:25" x14ac:dyDescent="0.35">
      <c r="A1610" s="6" t="s">
        <v>25</v>
      </c>
      <c r="B1610" s="6" t="s">
        <v>3540</v>
      </c>
      <c r="D1610" s="6" t="s">
        <v>3842</v>
      </c>
      <c r="E1610" s="6">
        <v>4</v>
      </c>
      <c r="F1610" s="6">
        <v>44</v>
      </c>
      <c r="G1610" s="6" t="s">
        <v>4144</v>
      </c>
      <c r="I1610" s="8">
        <v>81.975306180555606</v>
      </c>
      <c r="J1610" s="8">
        <v>9.2425022222222193</v>
      </c>
      <c r="K1610" s="6" t="s">
        <v>2610</v>
      </c>
      <c r="L1610" s="9">
        <v>44004</v>
      </c>
      <c r="N1610" s="6">
        <v>39</v>
      </c>
      <c r="O1610" s="6" t="s">
        <v>4405</v>
      </c>
      <c r="V1610" s="8">
        <v>-0.35786966476440435</v>
      </c>
      <c r="W1610" s="8">
        <v>-1.3302064949035648</v>
      </c>
      <c r="X1610" s="27">
        <f t="shared" si="91"/>
        <v>1.53275082321167</v>
      </c>
    </row>
    <row r="1611" spans="1:25" x14ac:dyDescent="0.35">
      <c r="A1611" s="6" t="s">
        <v>25</v>
      </c>
      <c r="B1611" s="6" t="s">
        <v>3541</v>
      </c>
      <c r="D1611" s="6" t="s">
        <v>3843</v>
      </c>
      <c r="E1611" s="6">
        <v>4</v>
      </c>
      <c r="F1611" s="6">
        <v>44</v>
      </c>
      <c r="G1611" s="6" t="s">
        <v>4145</v>
      </c>
      <c r="I1611" s="8">
        <v>81.998671000000002</v>
      </c>
      <c r="J1611" s="8">
        <v>9.6965789999999998</v>
      </c>
      <c r="K1611" s="6" t="s">
        <v>2610</v>
      </c>
      <c r="L1611" s="9">
        <v>44005</v>
      </c>
      <c r="N1611" s="6">
        <v>39</v>
      </c>
      <c r="O1611" s="6" t="s">
        <v>4406</v>
      </c>
      <c r="V1611" s="8">
        <v>-0.28233820531368303</v>
      </c>
      <c r="W1611" s="8">
        <v>-1.6679245468139652</v>
      </c>
      <c r="X1611" s="27">
        <f t="shared" si="91"/>
        <v>0.59078109569549908</v>
      </c>
    </row>
    <row r="1612" spans="1:25" x14ac:dyDescent="0.35">
      <c r="A1612" s="6" t="s">
        <v>25</v>
      </c>
      <c r="B1612" s="6" t="s">
        <v>2821</v>
      </c>
      <c r="D1612" s="6" t="s">
        <v>3120</v>
      </c>
      <c r="E1612" s="6">
        <v>4</v>
      </c>
      <c r="F1612" s="6">
        <v>44</v>
      </c>
      <c r="G1612" s="6" t="s">
        <v>3270</v>
      </c>
      <c r="I1612" s="8">
        <v>81.998671000000002</v>
      </c>
      <c r="J1612" s="8">
        <v>9.6965789999999998</v>
      </c>
      <c r="K1612" s="6" t="s">
        <v>198</v>
      </c>
      <c r="L1612" s="9">
        <v>44005</v>
      </c>
      <c r="M1612" s="18">
        <v>0.5</v>
      </c>
      <c r="N1612" s="6">
        <v>39</v>
      </c>
      <c r="O1612" s="6" t="s">
        <v>4406</v>
      </c>
      <c r="R1612" s="6">
        <v>62</v>
      </c>
      <c r="S1612" s="6">
        <v>60</v>
      </c>
      <c r="V1612" s="8">
        <v>-15.994630393409727</v>
      </c>
      <c r="W1612" s="8">
        <v>-120.96031831054687</v>
      </c>
      <c r="X1612" s="8">
        <f t="shared" si="91"/>
        <v>6.996724836730948</v>
      </c>
    </row>
    <row r="1613" spans="1:25" x14ac:dyDescent="0.35">
      <c r="A1613" s="6" t="s">
        <v>25</v>
      </c>
      <c r="B1613" s="6" t="s">
        <v>2919</v>
      </c>
      <c r="D1613" s="6" t="s">
        <v>3120</v>
      </c>
      <c r="E1613" s="6">
        <v>4</v>
      </c>
      <c r="F1613" s="6">
        <v>44</v>
      </c>
      <c r="G1613" s="6" t="s">
        <v>3270</v>
      </c>
      <c r="I1613" s="8">
        <v>81.998671000000002</v>
      </c>
      <c r="J1613" s="8">
        <v>9.6965789999999998</v>
      </c>
      <c r="K1613" s="6" t="s">
        <v>198</v>
      </c>
      <c r="L1613" s="9">
        <v>44005</v>
      </c>
      <c r="M1613" s="18">
        <v>0.5</v>
      </c>
      <c r="N1613" s="6">
        <v>39</v>
      </c>
      <c r="O1613" s="6" t="s">
        <v>4406</v>
      </c>
      <c r="R1613" s="6">
        <v>32</v>
      </c>
      <c r="S1613" s="6">
        <v>30</v>
      </c>
      <c r="V1613" s="8">
        <v>-26.248525103759764</v>
      </c>
      <c r="W1613" s="8">
        <v>-201.30112939453124</v>
      </c>
      <c r="X1613" s="8">
        <f t="shared" si="91"/>
        <v>8.6870714355468692</v>
      </c>
      <c r="Y1613" s="6" t="s">
        <v>3190</v>
      </c>
    </row>
    <row r="1614" spans="1:25" x14ac:dyDescent="0.35">
      <c r="A1614" s="6" t="s">
        <v>25</v>
      </c>
      <c r="B1614" s="6" t="s">
        <v>2920</v>
      </c>
      <c r="D1614" s="6" t="s">
        <v>3120</v>
      </c>
      <c r="E1614" s="6">
        <v>4</v>
      </c>
      <c r="F1614" s="6">
        <v>44</v>
      </c>
      <c r="G1614" s="6" t="s">
        <v>3270</v>
      </c>
      <c r="I1614" s="8">
        <v>81.998671000000002</v>
      </c>
      <c r="J1614" s="8">
        <v>9.6965789999999998</v>
      </c>
      <c r="K1614" s="6" t="s">
        <v>198</v>
      </c>
      <c r="L1614" s="9">
        <v>44005</v>
      </c>
      <c r="M1614" s="18">
        <v>0.5</v>
      </c>
      <c r="N1614" s="6">
        <v>39</v>
      </c>
      <c r="O1614" s="6" t="s">
        <v>4406</v>
      </c>
      <c r="R1614" s="6">
        <v>3</v>
      </c>
      <c r="S1614" s="6">
        <v>1</v>
      </c>
      <c r="V1614" s="8">
        <v>-27.453256062316889</v>
      </c>
      <c r="W1614" s="8">
        <v>-209.24083462219238</v>
      </c>
      <c r="X1614" s="8">
        <f t="shared" si="91"/>
        <v>10.385213876342732</v>
      </c>
    </row>
    <row r="1615" spans="1:25" x14ac:dyDescent="0.35">
      <c r="A1615" s="6" t="s">
        <v>25</v>
      </c>
      <c r="B1615" s="6" t="s">
        <v>3542</v>
      </c>
      <c r="D1615" s="6" t="s">
        <v>3844</v>
      </c>
      <c r="E1615" s="6">
        <v>4</v>
      </c>
      <c r="F1615" s="6">
        <v>44</v>
      </c>
      <c r="G1615" s="6" t="s">
        <v>4146</v>
      </c>
      <c r="I1615" s="8">
        <v>82.037769513888918</v>
      </c>
      <c r="J1615" s="8">
        <v>9.8725423611111118</v>
      </c>
      <c r="K1615" s="6" t="s">
        <v>2610</v>
      </c>
      <c r="L1615" s="9">
        <v>44006</v>
      </c>
      <c r="N1615" s="6">
        <v>39</v>
      </c>
      <c r="O1615" s="6" t="s">
        <v>4407</v>
      </c>
      <c r="V1615" s="8">
        <v>-0.43097238752841954</v>
      </c>
      <c r="W1615" s="8">
        <v>-2.6269236618042</v>
      </c>
      <c r="X1615" s="27">
        <f t="shared" si="91"/>
        <v>0.82085543842315634</v>
      </c>
    </row>
    <row r="1616" spans="1:25" x14ac:dyDescent="0.35">
      <c r="A1616" s="6" t="s">
        <v>25</v>
      </c>
      <c r="B1616" s="6" t="s">
        <v>3543</v>
      </c>
      <c r="D1616" s="6" t="s">
        <v>3845</v>
      </c>
      <c r="E1616" s="6">
        <v>4</v>
      </c>
      <c r="F1616" s="6">
        <v>44</v>
      </c>
      <c r="G1616" s="6" t="s">
        <v>4147</v>
      </c>
      <c r="I1616" s="8">
        <v>82.019354097222205</v>
      </c>
      <c r="J1616" s="8">
        <v>10.040310555555557</v>
      </c>
      <c r="K1616" s="6" t="s">
        <v>2610</v>
      </c>
      <c r="L1616" s="9">
        <v>44008</v>
      </c>
      <c r="N1616" s="6">
        <v>39</v>
      </c>
      <c r="O1616" s="6" t="s">
        <v>4408</v>
      </c>
      <c r="V1616" s="8">
        <v>-0.53388035211563079</v>
      </c>
      <c r="W1616" s="8">
        <v>-2.0505301834106442</v>
      </c>
      <c r="X1616" s="27">
        <f t="shared" si="91"/>
        <v>2.2205126335144021</v>
      </c>
    </row>
    <row r="1617" spans="1:24" x14ac:dyDescent="0.35">
      <c r="A1617" s="6" t="s">
        <v>25</v>
      </c>
      <c r="B1617" s="6" t="s">
        <v>2922</v>
      </c>
      <c r="D1617" s="6" t="s">
        <v>3157</v>
      </c>
      <c r="E1617" s="6">
        <v>4</v>
      </c>
      <c r="F1617" s="6">
        <v>44</v>
      </c>
      <c r="G1617" s="6" t="s">
        <v>3271</v>
      </c>
      <c r="I1617" s="8">
        <v>81.967488000000003</v>
      </c>
      <c r="J1617" s="8">
        <v>9.9098120000000005</v>
      </c>
      <c r="K1617" s="6" t="s">
        <v>198</v>
      </c>
      <c r="L1617" s="9">
        <v>44009</v>
      </c>
      <c r="M1617" s="18">
        <v>0.34652777777777777</v>
      </c>
      <c r="N1617" s="6">
        <v>39</v>
      </c>
      <c r="O1617" s="6" t="s">
        <v>4403</v>
      </c>
      <c r="R1617" s="6">
        <v>36</v>
      </c>
      <c r="S1617" s="6">
        <v>33</v>
      </c>
      <c r="V1617" s="8">
        <v>-31.324418261718748</v>
      </c>
      <c r="W1617" s="8">
        <v>-241.97053292846681</v>
      </c>
      <c r="X1617" s="8">
        <f t="shared" si="91"/>
        <v>8.6248131652831717</v>
      </c>
    </row>
    <row r="1618" spans="1:24" x14ac:dyDescent="0.35">
      <c r="A1618" s="6" t="s">
        <v>25</v>
      </c>
      <c r="B1618" s="6" t="s">
        <v>2923</v>
      </c>
      <c r="D1618" s="6" t="s">
        <v>3157</v>
      </c>
      <c r="E1618" s="6">
        <v>4</v>
      </c>
      <c r="F1618" s="6">
        <v>44</v>
      </c>
      <c r="G1618" s="6" t="s">
        <v>3271</v>
      </c>
      <c r="I1618" s="8">
        <v>81.967488000000003</v>
      </c>
      <c r="J1618" s="8">
        <v>9.9098120000000005</v>
      </c>
      <c r="K1618" s="6" t="s">
        <v>198</v>
      </c>
      <c r="L1618" s="9">
        <v>44009</v>
      </c>
      <c r="M1618" s="18">
        <v>0.34652777777777777</v>
      </c>
      <c r="N1618" s="6">
        <v>39</v>
      </c>
      <c r="O1618" s="6" t="s">
        <v>4403</v>
      </c>
      <c r="R1618" s="6">
        <v>23</v>
      </c>
      <c r="S1618" s="6">
        <v>20</v>
      </c>
      <c r="V1618" s="8">
        <v>-23.839451861572265</v>
      </c>
      <c r="W1618" s="8">
        <v>-179.98934991455079</v>
      </c>
      <c r="X1618" s="8">
        <f t="shared" si="91"/>
        <v>10.726264978027331</v>
      </c>
    </row>
    <row r="1619" spans="1:24" x14ac:dyDescent="0.35">
      <c r="A1619" s="6" t="s">
        <v>25</v>
      </c>
      <c r="B1619" s="6" t="s">
        <v>2924</v>
      </c>
      <c r="D1619" s="6" t="s">
        <v>3157</v>
      </c>
      <c r="E1619" s="6">
        <v>4</v>
      </c>
      <c r="F1619" s="6">
        <v>44</v>
      </c>
      <c r="G1619" s="6" t="s">
        <v>3271</v>
      </c>
      <c r="I1619" s="8">
        <v>81.967488000000003</v>
      </c>
      <c r="J1619" s="8">
        <v>9.9098120000000005</v>
      </c>
      <c r="K1619" s="6" t="s">
        <v>198</v>
      </c>
      <c r="L1619" s="9">
        <v>44009</v>
      </c>
      <c r="M1619" s="18">
        <v>0.34652777777777777</v>
      </c>
      <c r="N1619" s="6">
        <v>39</v>
      </c>
      <c r="O1619" s="6" t="s">
        <v>4403</v>
      </c>
      <c r="R1619" s="6">
        <v>5</v>
      </c>
      <c r="S1619" s="6">
        <v>0</v>
      </c>
      <c r="V1619" s="8">
        <v>-26.096067403411865</v>
      </c>
      <c r="W1619" s="8">
        <v>-197.22186871337891</v>
      </c>
      <c r="X1619" s="8">
        <f t="shared" si="91"/>
        <v>11.546670513916013</v>
      </c>
    </row>
    <row r="1620" spans="1:24" x14ac:dyDescent="0.35">
      <c r="A1620" s="6" t="s">
        <v>25</v>
      </c>
      <c r="B1620" s="6" t="s">
        <v>3544</v>
      </c>
      <c r="D1620" s="6" t="s">
        <v>3846</v>
      </c>
      <c r="E1620" s="6">
        <v>4</v>
      </c>
      <c r="F1620" s="6">
        <v>44</v>
      </c>
      <c r="G1620" s="6" t="s">
        <v>4148</v>
      </c>
      <c r="I1620" s="8">
        <v>81.873215000000002</v>
      </c>
      <c r="J1620" s="8">
        <v>9.4726710000000001</v>
      </c>
      <c r="K1620" s="6" t="s">
        <v>2610</v>
      </c>
      <c r="L1620" s="9">
        <v>44010</v>
      </c>
      <c r="N1620" s="6">
        <v>40</v>
      </c>
      <c r="O1620" s="28" t="s">
        <v>4406</v>
      </c>
      <c r="V1620" s="8">
        <v>-0.47968175733685514</v>
      </c>
      <c r="W1620" s="8">
        <v>-2.5604380815982823</v>
      </c>
      <c r="X1620" s="27">
        <f t="shared" si="91"/>
        <v>1.2770159770965588</v>
      </c>
    </row>
    <row r="1621" spans="1:24" x14ac:dyDescent="0.35">
      <c r="A1621" s="6" t="s">
        <v>25</v>
      </c>
      <c r="B1621" s="6" t="s">
        <v>2926</v>
      </c>
      <c r="D1621" s="6" t="s">
        <v>3159</v>
      </c>
      <c r="E1621" s="6">
        <v>4</v>
      </c>
      <c r="F1621" s="6">
        <v>44</v>
      </c>
      <c r="G1621" s="6" t="s">
        <v>3272</v>
      </c>
      <c r="I1621" s="8">
        <v>81.873215000000002</v>
      </c>
      <c r="J1621" s="8">
        <v>9.4726710000000001</v>
      </c>
      <c r="K1621" s="6" t="s">
        <v>198</v>
      </c>
      <c r="L1621" s="9">
        <v>44010</v>
      </c>
      <c r="M1621" s="18">
        <v>0.51250000000000007</v>
      </c>
      <c r="N1621" s="6">
        <v>40</v>
      </c>
      <c r="O1621" s="28" t="s">
        <v>4406</v>
      </c>
      <c r="R1621" s="6">
        <v>40</v>
      </c>
      <c r="S1621" s="6">
        <v>37</v>
      </c>
      <c r="V1621" s="8">
        <v>-28.968867601013184</v>
      </c>
      <c r="W1621" s="8">
        <v>-224.56484967041015</v>
      </c>
      <c r="X1621" s="8">
        <f t="shared" si="91"/>
        <v>7.186091137695314</v>
      </c>
    </row>
    <row r="1622" spans="1:24" x14ac:dyDescent="0.35">
      <c r="A1622" s="6" t="s">
        <v>25</v>
      </c>
      <c r="B1622" s="6" t="s">
        <v>3545</v>
      </c>
      <c r="D1622" s="6" t="s">
        <v>3847</v>
      </c>
      <c r="E1622" s="6">
        <v>4</v>
      </c>
      <c r="F1622" s="6">
        <v>45</v>
      </c>
      <c r="G1622" s="6" t="s">
        <v>4149</v>
      </c>
      <c r="I1622" s="8">
        <v>81.81871298611108</v>
      </c>
      <c r="J1622" s="8">
        <v>9.0873149305555625</v>
      </c>
      <c r="K1622" s="6" t="s">
        <v>2610</v>
      </c>
      <c r="L1622" s="9">
        <v>44011</v>
      </c>
      <c r="N1622" s="6">
        <v>40</v>
      </c>
      <c r="O1622" s="6" t="s">
        <v>4409</v>
      </c>
      <c r="V1622" s="8">
        <v>-0.41308252725601202</v>
      </c>
      <c r="W1622" s="8">
        <v>-2.454146791166067</v>
      </c>
      <c r="X1622" s="27">
        <f t="shared" si="91"/>
        <v>0.85051342688202913</v>
      </c>
    </row>
    <row r="1623" spans="1:24" x14ac:dyDescent="0.35">
      <c r="A1623" s="6" t="s">
        <v>25</v>
      </c>
      <c r="B1623" s="7" t="s">
        <v>1791</v>
      </c>
      <c r="D1623" s="6" t="s">
        <v>1792</v>
      </c>
      <c r="E1623" s="6">
        <v>4</v>
      </c>
      <c r="F1623" s="6">
        <v>45</v>
      </c>
      <c r="G1623" s="6" t="s">
        <v>546</v>
      </c>
      <c r="I1623" s="8">
        <v>81.7891400694444</v>
      </c>
      <c r="J1623" s="8">
        <v>8.92411722222222</v>
      </c>
      <c r="K1623" s="6" t="s">
        <v>29</v>
      </c>
      <c r="L1623" s="9">
        <v>44012</v>
      </c>
      <c r="N1623" s="6">
        <v>40</v>
      </c>
      <c r="O1623" s="6" t="s">
        <v>4406</v>
      </c>
      <c r="Q1623" s="10" t="s">
        <v>1793</v>
      </c>
      <c r="R1623" s="10">
        <v>79</v>
      </c>
      <c r="S1623" s="10">
        <v>84</v>
      </c>
      <c r="T1623" s="10">
        <f t="shared" ref="T1623:T1632" si="93">AVERAGE(R1623:S1623)</f>
        <v>81.5</v>
      </c>
      <c r="U1623" s="11"/>
      <c r="V1623" s="8">
        <v>-5.7743524709701539</v>
      </c>
      <c r="W1623" s="8">
        <v>-44.285920627593988</v>
      </c>
      <c r="X1623" s="8">
        <f t="shared" si="91"/>
        <v>1.908899140167243</v>
      </c>
    </row>
    <row r="1624" spans="1:24" x14ac:dyDescent="0.35">
      <c r="A1624" s="6" t="s">
        <v>25</v>
      </c>
      <c r="B1624" s="7" t="s">
        <v>1794</v>
      </c>
      <c r="D1624" s="6" t="s">
        <v>1795</v>
      </c>
      <c r="E1624" s="6">
        <v>4</v>
      </c>
      <c r="F1624" s="6">
        <v>45</v>
      </c>
      <c r="G1624" s="6" t="s">
        <v>546</v>
      </c>
      <c r="I1624" s="8">
        <v>81.7891400694444</v>
      </c>
      <c r="J1624" s="8">
        <v>8.92411722222222</v>
      </c>
      <c r="K1624" s="6" t="s">
        <v>29</v>
      </c>
      <c r="L1624" s="9">
        <v>44012</v>
      </c>
      <c r="N1624" s="6">
        <v>40</v>
      </c>
      <c r="O1624" s="6" t="s">
        <v>4406</v>
      </c>
      <c r="Q1624" s="10" t="s">
        <v>1796</v>
      </c>
      <c r="R1624" s="10">
        <v>64</v>
      </c>
      <c r="S1624" s="10">
        <v>69</v>
      </c>
      <c r="T1624" s="10">
        <f t="shared" si="93"/>
        <v>66.5</v>
      </c>
      <c r="U1624" s="11"/>
      <c r="V1624" s="8">
        <v>-5.3402275595188149</v>
      </c>
      <c r="W1624" s="8">
        <v>-41.078607913970941</v>
      </c>
      <c r="X1624" s="8">
        <f t="shared" si="91"/>
        <v>1.6432125621795777</v>
      </c>
    </row>
    <row r="1625" spans="1:24" x14ac:dyDescent="0.35">
      <c r="A1625" s="6" t="s">
        <v>25</v>
      </c>
      <c r="B1625" s="7" t="s">
        <v>1797</v>
      </c>
      <c r="D1625" s="6" t="s">
        <v>1798</v>
      </c>
      <c r="E1625" s="6">
        <v>4</v>
      </c>
      <c r="F1625" s="6">
        <v>45</v>
      </c>
      <c r="G1625" s="6" t="s">
        <v>546</v>
      </c>
      <c r="I1625" s="8">
        <v>81.7891400694444</v>
      </c>
      <c r="J1625" s="8">
        <v>8.92411722222222</v>
      </c>
      <c r="K1625" s="6" t="s">
        <v>29</v>
      </c>
      <c r="L1625" s="9">
        <v>44012</v>
      </c>
      <c r="N1625" s="6">
        <v>40</v>
      </c>
      <c r="O1625" s="6" t="s">
        <v>4406</v>
      </c>
      <c r="Q1625" s="10" t="s">
        <v>1799</v>
      </c>
      <c r="R1625" s="10">
        <v>74</v>
      </c>
      <c r="S1625" s="10">
        <v>79</v>
      </c>
      <c r="T1625" s="10">
        <f t="shared" si="93"/>
        <v>76.5</v>
      </c>
      <c r="U1625" s="11"/>
      <c r="V1625" s="8">
        <v>-5.6491936902523054</v>
      </c>
      <c r="W1625" s="8">
        <v>-43.666880031585691</v>
      </c>
      <c r="X1625" s="8">
        <f t="shared" si="91"/>
        <v>1.5266694904327522</v>
      </c>
    </row>
    <row r="1626" spans="1:24" x14ac:dyDescent="0.35">
      <c r="A1626" s="6" t="s">
        <v>25</v>
      </c>
      <c r="B1626" s="7" t="s">
        <v>1800</v>
      </c>
      <c r="D1626" s="6" t="s">
        <v>1801</v>
      </c>
      <c r="E1626" s="6">
        <v>4</v>
      </c>
      <c r="F1626" s="6">
        <v>45</v>
      </c>
      <c r="G1626" s="6" t="s">
        <v>546</v>
      </c>
      <c r="I1626" s="8">
        <v>81.7891400694444</v>
      </c>
      <c r="J1626" s="8">
        <v>8.92411722222222</v>
      </c>
      <c r="K1626" s="6" t="s">
        <v>29</v>
      </c>
      <c r="L1626" s="9">
        <v>44012</v>
      </c>
      <c r="N1626" s="6">
        <v>40</v>
      </c>
      <c r="O1626" s="6" t="s">
        <v>4406</v>
      </c>
      <c r="Q1626" s="10" t="s">
        <v>1802</v>
      </c>
      <c r="R1626" s="10">
        <v>69</v>
      </c>
      <c r="S1626" s="10">
        <v>74</v>
      </c>
      <c r="T1626" s="10">
        <f t="shared" si="93"/>
        <v>71.5</v>
      </c>
      <c r="U1626" s="11"/>
      <c r="V1626" s="8">
        <v>-5.4024456746101386</v>
      </c>
      <c r="W1626" s="8">
        <v>-43.28871069335937</v>
      </c>
      <c r="X1626" s="8">
        <f t="shared" si="91"/>
        <v>-6.9145296478261287E-2</v>
      </c>
    </row>
    <row r="1627" spans="1:24" x14ac:dyDescent="0.35">
      <c r="A1627" s="6" t="s">
        <v>25</v>
      </c>
      <c r="B1627" s="7" t="s">
        <v>1803</v>
      </c>
      <c r="D1627" s="6" t="s">
        <v>1804</v>
      </c>
      <c r="E1627" s="6">
        <v>4</v>
      </c>
      <c r="F1627" s="6">
        <v>45</v>
      </c>
      <c r="G1627" s="6" t="s">
        <v>546</v>
      </c>
      <c r="I1627" s="8">
        <v>81.7891400694444</v>
      </c>
      <c r="J1627" s="8">
        <v>8.92411722222222</v>
      </c>
      <c r="K1627" s="6" t="s">
        <v>29</v>
      </c>
      <c r="L1627" s="9">
        <v>44012</v>
      </c>
      <c r="N1627" s="6">
        <v>40</v>
      </c>
      <c r="O1627" s="6" t="s">
        <v>4406</v>
      </c>
      <c r="Q1627" s="10" t="s">
        <v>1805</v>
      </c>
      <c r="R1627" s="10">
        <v>14</v>
      </c>
      <c r="S1627" s="10">
        <v>19</v>
      </c>
      <c r="T1627" s="10">
        <f t="shared" si="93"/>
        <v>16.5</v>
      </c>
      <c r="U1627" s="11"/>
      <c r="V1627" s="8">
        <v>-9.1936010767936693</v>
      </c>
      <c r="W1627" s="8">
        <v>-70.437038269042972</v>
      </c>
      <c r="X1627" s="8">
        <f t="shared" si="91"/>
        <v>3.1117703453063825</v>
      </c>
    </row>
    <row r="1628" spans="1:24" x14ac:dyDescent="0.35">
      <c r="A1628" s="6" t="s">
        <v>25</v>
      </c>
      <c r="B1628" s="7" t="s">
        <v>1806</v>
      </c>
      <c r="D1628" s="6" t="s">
        <v>1807</v>
      </c>
      <c r="E1628" s="6">
        <v>4</v>
      </c>
      <c r="F1628" s="6">
        <v>45</v>
      </c>
      <c r="G1628" s="6" t="s">
        <v>546</v>
      </c>
      <c r="I1628" s="8">
        <v>81.7891400694444</v>
      </c>
      <c r="J1628" s="8">
        <v>8.92411722222222</v>
      </c>
      <c r="K1628" s="6" t="s">
        <v>29</v>
      </c>
      <c r="L1628" s="9">
        <v>44012</v>
      </c>
      <c r="N1628" s="6">
        <v>40</v>
      </c>
      <c r="O1628" s="6" t="s">
        <v>4406</v>
      </c>
      <c r="Q1628" s="10" t="s">
        <v>1808</v>
      </c>
      <c r="R1628" s="10">
        <v>39</v>
      </c>
      <c r="S1628" s="10">
        <v>44</v>
      </c>
      <c r="T1628" s="10">
        <f t="shared" si="93"/>
        <v>41.5</v>
      </c>
      <c r="U1628" s="11"/>
      <c r="V1628" s="8">
        <v>-4.9636914677619934</v>
      </c>
      <c r="W1628" s="8">
        <v>-39.426866437911983</v>
      </c>
      <c r="X1628" s="8">
        <f t="shared" si="91"/>
        <v>0.28266530418396485</v>
      </c>
    </row>
    <row r="1629" spans="1:24" x14ac:dyDescent="0.35">
      <c r="A1629" s="6" t="s">
        <v>25</v>
      </c>
      <c r="B1629" s="7" t="s">
        <v>1809</v>
      </c>
      <c r="D1629" s="6" t="s">
        <v>1810</v>
      </c>
      <c r="E1629" s="6">
        <v>4</v>
      </c>
      <c r="F1629" s="6">
        <v>45</v>
      </c>
      <c r="G1629" s="6" t="s">
        <v>546</v>
      </c>
      <c r="I1629" s="8">
        <v>81.7891400694444</v>
      </c>
      <c r="J1629" s="8">
        <v>8.92411722222222</v>
      </c>
      <c r="K1629" s="6" t="s">
        <v>29</v>
      </c>
      <c r="L1629" s="9">
        <v>44012</v>
      </c>
      <c r="N1629" s="6">
        <v>40</v>
      </c>
      <c r="O1629" s="6" t="s">
        <v>4406</v>
      </c>
      <c r="Q1629" s="10" t="s">
        <v>1811</v>
      </c>
      <c r="R1629" s="10">
        <v>24</v>
      </c>
      <c r="S1629" s="10">
        <v>29</v>
      </c>
      <c r="T1629" s="10">
        <f t="shared" si="93"/>
        <v>26.5</v>
      </c>
      <c r="U1629" s="11"/>
      <c r="V1629" s="8">
        <v>-7.1032555605888366</v>
      </c>
      <c r="W1629" s="8">
        <v>-55.882552864074704</v>
      </c>
      <c r="X1629" s="8">
        <f t="shared" si="91"/>
        <v>0.94349162063598868</v>
      </c>
    </row>
    <row r="1630" spans="1:24" x14ac:dyDescent="0.35">
      <c r="A1630" s="6" t="s">
        <v>25</v>
      </c>
      <c r="B1630" s="7" t="s">
        <v>1812</v>
      </c>
      <c r="D1630" s="6" t="s">
        <v>1813</v>
      </c>
      <c r="E1630" s="6">
        <v>4</v>
      </c>
      <c r="F1630" s="6">
        <v>45</v>
      </c>
      <c r="G1630" s="6" t="s">
        <v>546</v>
      </c>
      <c r="I1630" s="8">
        <v>81.7891400694444</v>
      </c>
      <c r="J1630" s="8">
        <v>8.92411722222222</v>
      </c>
      <c r="K1630" s="6" t="s">
        <v>29</v>
      </c>
      <c r="L1630" s="9">
        <v>44012</v>
      </c>
      <c r="N1630" s="6">
        <v>40</v>
      </c>
      <c r="O1630" s="6" t="s">
        <v>4406</v>
      </c>
      <c r="Q1630" s="10" t="s">
        <v>1814</v>
      </c>
      <c r="R1630" s="10">
        <v>44</v>
      </c>
      <c r="S1630" s="10">
        <v>49</v>
      </c>
      <c r="T1630" s="10">
        <f t="shared" si="93"/>
        <v>46.5</v>
      </c>
      <c r="U1630" s="11"/>
      <c r="V1630" s="8">
        <v>-5.0198392698287968</v>
      </c>
      <c r="W1630" s="8">
        <v>-40.047309589385989</v>
      </c>
      <c r="X1630" s="8">
        <f t="shared" si="91"/>
        <v>0.11140456924438524</v>
      </c>
    </row>
    <row r="1631" spans="1:24" x14ac:dyDescent="0.35">
      <c r="A1631" s="6" t="s">
        <v>25</v>
      </c>
      <c r="B1631" s="7" t="s">
        <v>1815</v>
      </c>
      <c r="D1631" s="6" t="s">
        <v>1816</v>
      </c>
      <c r="E1631" s="6">
        <v>4</v>
      </c>
      <c r="F1631" s="6">
        <v>45</v>
      </c>
      <c r="G1631" s="6" t="s">
        <v>546</v>
      </c>
      <c r="I1631" s="8">
        <v>81.7891400694444</v>
      </c>
      <c r="J1631" s="8">
        <v>8.92411722222222</v>
      </c>
      <c r="K1631" s="6" t="s">
        <v>29</v>
      </c>
      <c r="L1631" s="9">
        <v>44012</v>
      </c>
      <c r="N1631" s="6">
        <v>40</v>
      </c>
      <c r="O1631" s="6" t="s">
        <v>4406</v>
      </c>
      <c r="Q1631" s="10" t="s">
        <v>1817</v>
      </c>
      <c r="R1631" s="10">
        <v>9</v>
      </c>
      <c r="S1631" s="10">
        <v>14</v>
      </c>
      <c r="T1631" s="10">
        <f t="shared" si="93"/>
        <v>11.5</v>
      </c>
      <c r="U1631" s="11"/>
      <c r="V1631" s="8">
        <v>-9.2262857467651358</v>
      </c>
      <c r="W1631" s="8">
        <v>-71.211079170227052</v>
      </c>
      <c r="X1631" s="8">
        <f t="shared" si="91"/>
        <v>2.5992068038940346</v>
      </c>
    </row>
    <row r="1632" spans="1:24" x14ac:dyDescent="0.35">
      <c r="A1632" s="6" t="s">
        <v>25</v>
      </c>
      <c r="B1632" s="7" t="s">
        <v>1818</v>
      </c>
      <c r="D1632" s="6" t="s">
        <v>1819</v>
      </c>
      <c r="E1632" s="6">
        <v>4</v>
      </c>
      <c r="F1632" s="6">
        <v>45</v>
      </c>
      <c r="G1632" s="6" t="s">
        <v>546</v>
      </c>
      <c r="I1632" s="8">
        <v>81.7891400694444</v>
      </c>
      <c r="J1632" s="8">
        <v>8.92411722222222</v>
      </c>
      <c r="K1632" s="6" t="s">
        <v>29</v>
      </c>
      <c r="L1632" s="9">
        <v>44012</v>
      </c>
      <c r="N1632" s="6">
        <v>40</v>
      </c>
      <c r="O1632" s="6" t="s">
        <v>4406</v>
      </c>
      <c r="Q1632" s="10" t="s">
        <v>1820</v>
      </c>
      <c r="R1632" s="10">
        <v>34</v>
      </c>
      <c r="S1632" s="10">
        <v>39</v>
      </c>
      <c r="T1632" s="10">
        <f t="shared" si="93"/>
        <v>36.5</v>
      </c>
      <c r="U1632" s="11"/>
      <c r="V1632" s="8">
        <v>-4.9588408519744878</v>
      </c>
      <c r="W1632" s="8">
        <v>-40.551637691497803</v>
      </c>
      <c r="X1632" s="8">
        <f t="shared" si="91"/>
        <v>-0.88091087570190041</v>
      </c>
    </row>
    <row r="1633" spans="1:24" x14ac:dyDescent="0.35">
      <c r="A1633" s="6" t="s">
        <v>25</v>
      </c>
      <c r="B1633" s="7" t="s">
        <v>1821</v>
      </c>
      <c r="D1633" s="6" t="s">
        <v>1822</v>
      </c>
      <c r="E1633" s="6">
        <v>4</v>
      </c>
      <c r="F1633" s="6">
        <v>45</v>
      </c>
      <c r="G1633" s="6" t="s">
        <v>546</v>
      </c>
      <c r="I1633" s="8">
        <v>81.7891400694444</v>
      </c>
      <c r="J1633" s="8">
        <v>8.92411722222222</v>
      </c>
      <c r="K1633" s="6" t="s">
        <v>29</v>
      </c>
      <c r="L1633" s="9">
        <v>44012</v>
      </c>
      <c r="N1633" s="6">
        <v>40</v>
      </c>
      <c r="O1633" s="6" t="s">
        <v>4406</v>
      </c>
      <c r="Q1633" s="10"/>
      <c r="R1633" s="10"/>
      <c r="S1633" s="10"/>
      <c r="T1633" s="10"/>
      <c r="U1633" s="11"/>
      <c r="V1633" s="8">
        <v>-0.37440156514644596</v>
      </c>
      <c r="W1633" s="8">
        <v>-2.9051879863739014</v>
      </c>
      <c r="X1633" s="8">
        <f t="shared" ref="X1633:X1696" si="94">W1633-(8*V1633)</f>
        <v>9.0024534797666256E-2</v>
      </c>
    </row>
    <row r="1634" spans="1:24" x14ac:dyDescent="0.35">
      <c r="A1634" s="6" t="s">
        <v>25</v>
      </c>
      <c r="B1634" s="7" t="s">
        <v>1823</v>
      </c>
      <c r="D1634" s="6" t="s">
        <v>1824</v>
      </c>
      <c r="E1634" s="6">
        <v>4</v>
      </c>
      <c r="F1634" s="6">
        <v>45</v>
      </c>
      <c r="G1634" s="6" t="s">
        <v>546</v>
      </c>
      <c r="I1634" s="8">
        <v>81.7891400694444</v>
      </c>
      <c r="J1634" s="8">
        <v>8.92411722222222</v>
      </c>
      <c r="K1634" s="6" t="s">
        <v>29</v>
      </c>
      <c r="L1634" s="9">
        <v>44012</v>
      </c>
      <c r="N1634" s="6">
        <v>40</v>
      </c>
      <c r="O1634" s="6" t="s">
        <v>4406</v>
      </c>
      <c r="Q1634" s="10" t="s">
        <v>1683</v>
      </c>
      <c r="R1634" s="10">
        <v>0</v>
      </c>
      <c r="S1634" s="10">
        <v>5</v>
      </c>
      <c r="T1634" s="10">
        <f t="shared" ref="T1634:T1650" si="95">AVERAGE(R1634:S1634)</f>
        <v>2.5</v>
      </c>
      <c r="U1634" s="11"/>
      <c r="V1634" s="8">
        <v>-10.690566375923156</v>
      </c>
      <c r="W1634" s="8">
        <v>-82.438265472412098</v>
      </c>
      <c r="X1634" s="8">
        <f t="shared" si="94"/>
        <v>3.0862655349731511</v>
      </c>
    </row>
    <row r="1635" spans="1:24" x14ac:dyDescent="0.35">
      <c r="A1635" s="6" t="s">
        <v>25</v>
      </c>
      <c r="B1635" s="7" t="s">
        <v>1825</v>
      </c>
      <c r="D1635" s="6" t="s">
        <v>1826</v>
      </c>
      <c r="E1635" s="6">
        <v>4</v>
      </c>
      <c r="F1635" s="6">
        <v>45</v>
      </c>
      <c r="G1635" s="6" t="s">
        <v>546</v>
      </c>
      <c r="I1635" s="8">
        <v>81.7891400694444</v>
      </c>
      <c r="J1635" s="8">
        <v>8.92411722222222</v>
      </c>
      <c r="K1635" s="6" t="s">
        <v>29</v>
      </c>
      <c r="L1635" s="9">
        <v>44012</v>
      </c>
      <c r="N1635" s="6">
        <v>40</v>
      </c>
      <c r="O1635" s="6" t="s">
        <v>4406</v>
      </c>
      <c r="Q1635" s="10" t="s">
        <v>1827</v>
      </c>
      <c r="R1635" s="10">
        <v>19</v>
      </c>
      <c r="S1635" s="10">
        <v>24</v>
      </c>
      <c r="T1635" s="10">
        <f t="shared" si="95"/>
        <v>21.5</v>
      </c>
      <c r="U1635" s="11"/>
      <c r="V1635" s="8">
        <v>-8.8625796539306645</v>
      </c>
      <c r="W1635" s="8">
        <v>-68.175235031127926</v>
      </c>
      <c r="X1635" s="8">
        <f t="shared" si="94"/>
        <v>2.7254022003173901</v>
      </c>
    </row>
    <row r="1636" spans="1:24" x14ac:dyDescent="0.35">
      <c r="A1636" s="6" t="s">
        <v>25</v>
      </c>
      <c r="B1636" s="7" t="s">
        <v>1828</v>
      </c>
      <c r="D1636" s="6" t="s">
        <v>1829</v>
      </c>
      <c r="E1636" s="6">
        <v>4</v>
      </c>
      <c r="F1636" s="6">
        <v>45</v>
      </c>
      <c r="G1636" s="6" t="s">
        <v>546</v>
      </c>
      <c r="I1636" s="8">
        <v>81.7891400694444</v>
      </c>
      <c r="J1636" s="8">
        <v>8.92411722222222</v>
      </c>
      <c r="K1636" s="6" t="s">
        <v>29</v>
      </c>
      <c r="L1636" s="9">
        <v>44012</v>
      </c>
      <c r="N1636" s="6">
        <v>40</v>
      </c>
      <c r="O1636" s="6" t="s">
        <v>4406</v>
      </c>
      <c r="Q1636" s="10" t="s">
        <v>1830</v>
      </c>
      <c r="R1636" s="10">
        <v>29</v>
      </c>
      <c r="S1636" s="10">
        <v>34</v>
      </c>
      <c r="T1636" s="10">
        <f t="shared" si="95"/>
        <v>31.5</v>
      </c>
      <c r="U1636" s="11"/>
      <c r="V1636" s="8">
        <v>-5.3081027371406551</v>
      </c>
      <c r="W1636" s="8">
        <v>-41.380745624542236</v>
      </c>
      <c r="X1636" s="8">
        <f t="shared" si="94"/>
        <v>1.0840762725830047</v>
      </c>
    </row>
    <row r="1637" spans="1:24" x14ac:dyDescent="0.35">
      <c r="A1637" s="6" t="s">
        <v>25</v>
      </c>
      <c r="B1637" s="7" t="s">
        <v>1831</v>
      </c>
      <c r="D1637" s="6" t="s">
        <v>1832</v>
      </c>
      <c r="E1637" s="6">
        <v>4</v>
      </c>
      <c r="F1637" s="6">
        <v>45</v>
      </c>
      <c r="G1637" s="6" t="s">
        <v>546</v>
      </c>
      <c r="I1637" s="8">
        <v>81.7891400694444</v>
      </c>
      <c r="J1637" s="8">
        <v>8.92411722222222</v>
      </c>
      <c r="K1637" s="6" t="s">
        <v>29</v>
      </c>
      <c r="L1637" s="9">
        <v>44012</v>
      </c>
      <c r="N1637" s="6">
        <v>40</v>
      </c>
      <c r="O1637" s="6" t="s">
        <v>4406</v>
      </c>
      <c r="Q1637" s="10" t="s">
        <v>1833</v>
      </c>
      <c r="R1637" s="10">
        <v>54</v>
      </c>
      <c r="S1637" s="10">
        <v>59</v>
      </c>
      <c r="T1637" s="10">
        <f t="shared" si="95"/>
        <v>56.5</v>
      </c>
      <c r="U1637" s="11"/>
      <c r="V1637" s="8">
        <v>-5.2336333457946784</v>
      </c>
      <c r="W1637" s="8">
        <v>-40.276393802642815</v>
      </c>
      <c r="X1637" s="8">
        <f t="shared" si="94"/>
        <v>1.5926729637146124</v>
      </c>
    </row>
    <row r="1638" spans="1:24" x14ac:dyDescent="0.35">
      <c r="A1638" s="6" t="s">
        <v>25</v>
      </c>
      <c r="B1638" s="7" t="s">
        <v>1834</v>
      </c>
      <c r="D1638" s="6" t="s">
        <v>1835</v>
      </c>
      <c r="E1638" s="6">
        <v>4</v>
      </c>
      <c r="F1638" s="6">
        <v>45</v>
      </c>
      <c r="G1638" s="6" t="s">
        <v>546</v>
      </c>
      <c r="I1638" s="8">
        <v>81.7891400694444</v>
      </c>
      <c r="J1638" s="8">
        <v>8.92411722222222</v>
      </c>
      <c r="K1638" s="6" t="s">
        <v>29</v>
      </c>
      <c r="L1638" s="9">
        <v>44012</v>
      </c>
      <c r="N1638" s="6">
        <v>40</v>
      </c>
      <c r="O1638" s="6" t="s">
        <v>4406</v>
      </c>
      <c r="Q1638" s="10" t="s">
        <v>1836</v>
      </c>
      <c r="R1638" s="10">
        <v>94</v>
      </c>
      <c r="S1638" s="10">
        <v>99</v>
      </c>
      <c r="T1638" s="10">
        <f t="shared" si="95"/>
        <v>96.5</v>
      </c>
      <c r="U1638" s="11"/>
      <c r="V1638" s="8">
        <v>-6.5165878812789924</v>
      </c>
      <c r="W1638" s="8">
        <v>-50.285937885284426</v>
      </c>
      <c r="X1638" s="8">
        <f t="shared" si="94"/>
        <v>1.846765164947513</v>
      </c>
    </row>
    <row r="1639" spans="1:24" x14ac:dyDescent="0.35">
      <c r="A1639" s="6" t="s">
        <v>25</v>
      </c>
      <c r="B1639" s="7" t="s">
        <v>1837</v>
      </c>
      <c r="D1639" s="6" t="s">
        <v>1838</v>
      </c>
      <c r="E1639" s="6">
        <v>4</v>
      </c>
      <c r="F1639" s="6">
        <v>45</v>
      </c>
      <c r="G1639" s="6" t="s">
        <v>546</v>
      </c>
      <c r="I1639" s="8">
        <v>81.7891400694444</v>
      </c>
      <c r="J1639" s="8">
        <v>8.92411722222222</v>
      </c>
      <c r="K1639" s="6" t="s">
        <v>29</v>
      </c>
      <c r="L1639" s="9">
        <v>44012</v>
      </c>
      <c r="N1639" s="6">
        <v>40</v>
      </c>
      <c r="O1639" s="6" t="s">
        <v>4406</v>
      </c>
      <c r="Q1639" s="10" t="s">
        <v>1839</v>
      </c>
      <c r="R1639" s="10">
        <v>119</v>
      </c>
      <c r="S1639" s="10">
        <v>124</v>
      </c>
      <c r="T1639" s="10">
        <f t="shared" si="95"/>
        <v>121.5</v>
      </c>
      <c r="U1639" s="11"/>
      <c r="V1639" s="8">
        <v>-8.1837502977371237</v>
      </c>
      <c r="W1639" s="8">
        <v>-60.614413299560539</v>
      </c>
      <c r="X1639" s="8">
        <f t="shared" si="94"/>
        <v>4.8555890823364507</v>
      </c>
    </row>
    <row r="1640" spans="1:24" x14ac:dyDescent="0.35">
      <c r="A1640" s="6" t="s">
        <v>25</v>
      </c>
      <c r="B1640" s="7" t="s">
        <v>1840</v>
      </c>
      <c r="D1640" s="6" t="s">
        <v>1841</v>
      </c>
      <c r="E1640" s="6">
        <v>4</v>
      </c>
      <c r="F1640" s="6">
        <v>45</v>
      </c>
      <c r="G1640" s="6" t="s">
        <v>546</v>
      </c>
      <c r="I1640" s="8">
        <v>81.7891400694444</v>
      </c>
      <c r="J1640" s="8">
        <v>8.92411722222222</v>
      </c>
      <c r="K1640" s="6" t="s">
        <v>29</v>
      </c>
      <c r="L1640" s="9">
        <v>44012</v>
      </c>
      <c r="N1640" s="6">
        <v>40</v>
      </c>
      <c r="O1640" s="6" t="s">
        <v>4406</v>
      </c>
      <c r="Q1640" s="10" t="s">
        <v>1842</v>
      </c>
      <c r="R1640" s="10">
        <v>84</v>
      </c>
      <c r="S1640" s="10">
        <v>89</v>
      </c>
      <c r="T1640" s="10">
        <f t="shared" si="95"/>
        <v>86.5</v>
      </c>
      <c r="U1640" s="11"/>
      <c r="V1640" s="8">
        <v>-6.0007020597457892</v>
      </c>
      <c r="W1640" s="8">
        <v>-46.804502614339192</v>
      </c>
      <c r="X1640" s="8">
        <f t="shared" si="94"/>
        <v>1.2011138636271212</v>
      </c>
    </row>
    <row r="1641" spans="1:24" x14ac:dyDescent="0.35">
      <c r="A1641" s="6" t="s">
        <v>25</v>
      </c>
      <c r="B1641" s="7" t="s">
        <v>1843</v>
      </c>
      <c r="D1641" s="6" t="s">
        <v>1844</v>
      </c>
      <c r="E1641" s="6">
        <v>4</v>
      </c>
      <c r="F1641" s="6">
        <v>45</v>
      </c>
      <c r="G1641" s="6" t="s">
        <v>546</v>
      </c>
      <c r="I1641" s="8">
        <v>81.7891400694444</v>
      </c>
      <c r="J1641" s="8">
        <v>8.92411722222222</v>
      </c>
      <c r="K1641" s="6" t="s">
        <v>29</v>
      </c>
      <c r="L1641" s="9">
        <v>44012</v>
      </c>
      <c r="N1641" s="6">
        <v>40</v>
      </c>
      <c r="O1641" s="6" t="s">
        <v>4406</v>
      </c>
      <c r="Q1641" s="10" t="s">
        <v>1845</v>
      </c>
      <c r="R1641" s="10">
        <v>59</v>
      </c>
      <c r="S1641" s="10">
        <v>64</v>
      </c>
      <c r="T1641" s="10">
        <f t="shared" si="95"/>
        <v>61.5</v>
      </c>
      <c r="U1641" s="11"/>
      <c r="V1641" s="8">
        <v>-5.1682314540863041</v>
      </c>
      <c r="W1641" s="8">
        <v>-41.049667053222656</v>
      </c>
      <c r="X1641" s="8">
        <f t="shared" si="94"/>
        <v>0.2961845794677771</v>
      </c>
    </row>
    <row r="1642" spans="1:24" x14ac:dyDescent="0.35">
      <c r="A1642" s="6" t="s">
        <v>25</v>
      </c>
      <c r="B1642" s="7" t="s">
        <v>1846</v>
      </c>
      <c r="D1642" s="6" t="s">
        <v>1847</v>
      </c>
      <c r="E1642" s="6">
        <v>4</v>
      </c>
      <c r="F1642" s="6">
        <v>45</v>
      </c>
      <c r="G1642" s="6" t="s">
        <v>546</v>
      </c>
      <c r="I1642" s="8">
        <v>81.7891400694444</v>
      </c>
      <c r="J1642" s="8">
        <v>8.92411722222222</v>
      </c>
      <c r="K1642" s="6" t="s">
        <v>29</v>
      </c>
      <c r="L1642" s="9">
        <v>44012</v>
      </c>
      <c r="N1642" s="6">
        <v>40</v>
      </c>
      <c r="O1642" s="6" t="s">
        <v>4406</v>
      </c>
      <c r="Q1642" s="10" t="s">
        <v>1848</v>
      </c>
      <c r="R1642" s="10">
        <v>89</v>
      </c>
      <c r="S1642" s="10">
        <v>94</v>
      </c>
      <c r="T1642" s="10">
        <f t="shared" si="95"/>
        <v>91.5</v>
      </c>
      <c r="U1642" s="11"/>
      <c r="V1642" s="8">
        <v>-6.2861457640647895</v>
      </c>
      <c r="W1642" s="8">
        <v>-48.957598312377932</v>
      </c>
      <c r="X1642" s="8">
        <f t="shared" si="94"/>
        <v>1.3315678001403839</v>
      </c>
    </row>
    <row r="1643" spans="1:24" x14ac:dyDescent="0.35">
      <c r="A1643" s="6" t="s">
        <v>25</v>
      </c>
      <c r="B1643" s="7" t="s">
        <v>1849</v>
      </c>
      <c r="D1643" s="6" t="s">
        <v>1850</v>
      </c>
      <c r="E1643" s="6">
        <v>4</v>
      </c>
      <c r="F1643" s="6">
        <v>45</v>
      </c>
      <c r="G1643" s="6" t="s">
        <v>546</v>
      </c>
      <c r="I1643" s="8">
        <v>81.7891400694444</v>
      </c>
      <c r="J1643" s="8">
        <v>8.92411722222222</v>
      </c>
      <c r="K1643" s="6" t="s">
        <v>29</v>
      </c>
      <c r="L1643" s="9">
        <v>44012</v>
      </c>
      <c r="N1643" s="6">
        <v>40</v>
      </c>
      <c r="O1643" s="6" t="s">
        <v>4406</v>
      </c>
      <c r="Q1643" s="10" t="s">
        <v>1851</v>
      </c>
      <c r="R1643" s="10">
        <v>195</v>
      </c>
      <c r="S1643" s="10">
        <v>200</v>
      </c>
      <c r="T1643" s="10">
        <f t="shared" si="95"/>
        <v>197.5</v>
      </c>
      <c r="U1643" s="11"/>
      <c r="V1643" s="8">
        <v>-2.5799326173782355</v>
      </c>
      <c r="W1643" s="8">
        <v>-19.838873130798341</v>
      </c>
      <c r="X1643" s="8">
        <f t="shared" si="94"/>
        <v>0.80058780822754372</v>
      </c>
    </row>
    <row r="1644" spans="1:24" x14ac:dyDescent="0.35">
      <c r="A1644" s="6" t="s">
        <v>25</v>
      </c>
      <c r="B1644" s="7" t="s">
        <v>1852</v>
      </c>
      <c r="D1644" s="6" t="s">
        <v>1853</v>
      </c>
      <c r="E1644" s="6">
        <v>4</v>
      </c>
      <c r="F1644" s="6">
        <v>45</v>
      </c>
      <c r="G1644" s="6" t="s">
        <v>546</v>
      </c>
      <c r="I1644" s="8">
        <v>81.7891400694444</v>
      </c>
      <c r="J1644" s="8">
        <v>8.92411722222222</v>
      </c>
      <c r="K1644" s="6" t="s">
        <v>29</v>
      </c>
      <c r="L1644" s="9">
        <v>44012</v>
      </c>
      <c r="N1644" s="6">
        <v>40</v>
      </c>
      <c r="O1644" s="6" t="s">
        <v>4406</v>
      </c>
      <c r="Q1644" s="10" t="s">
        <v>1854</v>
      </c>
      <c r="R1644" s="10">
        <v>210</v>
      </c>
      <c r="S1644" s="10">
        <v>215</v>
      </c>
      <c r="T1644" s="10">
        <f t="shared" si="95"/>
        <v>212.5</v>
      </c>
      <c r="U1644" s="11"/>
      <c r="V1644" s="8">
        <v>-2.5999897918701178</v>
      </c>
      <c r="W1644" s="8">
        <v>-19.380480472564695</v>
      </c>
      <c r="X1644" s="8">
        <f t="shared" si="94"/>
        <v>1.4194378623962471</v>
      </c>
    </row>
    <row r="1645" spans="1:24" x14ac:dyDescent="0.35">
      <c r="A1645" s="6" t="s">
        <v>25</v>
      </c>
      <c r="B1645" s="7" t="s">
        <v>1855</v>
      </c>
      <c r="D1645" s="6" t="s">
        <v>1856</v>
      </c>
      <c r="E1645" s="6">
        <v>4</v>
      </c>
      <c r="F1645" s="6">
        <v>45</v>
      </c>
      <c r="G1645" s="6" t="s">
        <v>546</v>
      </c>
      <c r="I1645" s="8">
        <v>81.7891400694444</v>
      </c>
      <c r="J1645" s="8">
        <v>8.92411722222222</v>
      </c>
      <c r="K1645" s="6" t="s">
        <v>29</v>
      </c>
      <c r="L1645" s="9">
        <v>44012</v>
      </c>
      <c r="N1645" s="6">
        <v>40</v>
      </c>
      <c r="O1645" s="6" t="s">
        <v>4406</v>
      </c>
      <c r="Q1645" s="10" t="s">
        <v>1857</v>
      </c>
      <c r="R1645" s="10">
        <v>144</v>
      </c>
      <c r="S1645" s="10">
        <v>149</v>
      </c>
      <c r="T1645" s="10">
        <f t="shared" si="95"/>
        <v>146.5</v>
      </c>
      <c r="U1645" s="11"/>
      <c r="V1645" s="8">
        <v>-6.4296519069671634</v>
      </c>
      <c r="W1645" s="8">
        <v>-49.417112907409667</v>
      </c>
      <c r="X1645" s="8">
        <f t="shared" si="94"/>
        <v>2.0201023483276401</v>
      </c>
    </row>
    <row r="1646" spans="1:24" x14ac:dyDescent="0.35">
      <c r="A1646" s="6" t="s">
        <v>25</v>
      </c>
      <c r="B1646" s="7" t="s">
        <v>1858</v>
      </c>
      <c r="D1646" s="6" t="s">
        <v>1859</v>
      </c>
      <c r="E1646" s="6">
        <v>4</v>
      </c>
      <c r="F1646" s="6">
        <v>45</v>
      </c>
      <c r="G1646" s="6" t="s">
        <v>546</v>
      </c>
      <c r="I1646" s="8">
        <v>81.7891400694444</v>
      </c>
      <c r="J1646" s="8">
        <v>8.92411722222222</v>
      </c>
      <c r="K1646" s="6" t="s">
        <v>29</v>
      </c>
      <c r="L1646" s="9">
        <v>44012</v>
      </c>
      <c r="N1646" s="6">
        <v>40</v>
      </c>
      <c r="O1646" s="6" t="s">
        <v>4406</v>
      </c>
      <c r="Q1646" s="10" t="s">
        <v>1860</v>
      </c>
      <c r="R1646" s="10">
        <v>139</v>
      </c>
      <c r="S1646" s="10">
        <v>144</v>
      </c>
      <c r="T1646" s="10">
        <f t="shared" si="95"/>
        <v>141.5</v>
      </c>
      <c r="U1646" s="11"/>
      <c r="V1646" s="8">
        <v>-6.3124732336997997</v>
      </c>
      <c r="W1646" s="8">
        <v>-47.932121856689456</v>
      </c>
      <c r="X1646" s="8">
        <f t="shared" si="94"/>
        <v>2.5676640129089421</v>
      </c>
    </row>
    <row r="1647" spans="1:24" x14ac:dyDescent="0.35">
      <c r="A1647" s="6" t="s">
        <v>25</v>
      </c>
      <c r="B1647" s="7" t="s">
        <v>1861</v>
      </c>
      <c r="D1647" s="6" t="s">
        <v>1862</v>
      </c>
      <c r="E1647" s="6">
        <v>4</v>
      </c>
      <c r="F1647" s="6">
        <v>45</v>
      </c>
      <c r="G1647" s="6" t="s">
        <v>546</v>
      </c>
      <c r="I1647" s="8">
        <v>81.7891400694444</v>
      </c>
      <c r="J1647" s="8">
        <v>8.92411722222222</v>
      </c>
      <c r="K1647" s="6" t="s">
        <v>29</v>
      </c>
      <c r="L1647" s="9">
        <v>44012</v>
      </c>
      <c r="N1647" s="6">
        <v>40</v>
      </c>
      <c r="O1647" s="6" t="s">
        <v>4406</v>
      </c>
      <c r="Q1647" s="10" t="s">
        <v>1863</v>
      </c>
      <c r="R1647" s="10">
        <v>104</v>
      </c>
      <c r="S1647" s="10">
        <v>109</v>
      </c>
      <c r="T1647" s="10">
        <f t="shared" si="95"/>
        <v>106.5</v>
      </c>
      <c r="U1647" s="11"/>
      <c r="V1647" s="8">
        <v>-6.8570916261672972</v>
      </c>
      <c r="W1647" s="8">
        <v>-51.939747528076168</v>
      </c>
      <c r="X1647" s="8">
        <f t="shared" si="94"/>
        <v>2.9169854812622091</v>
      </c>
    </row>
    <row r="1648" spans="1:24" x14ac:dyDescent="0.35">
      <c r="A1648" s="6" t="s">
        <v>25</v>
      </c>
      <c r="B1648" s="7" t="s">
        <v>1864</v>
      </c>
      <c r="D1648" s="6" t="s">
        <v>1865</v>
      </c>
      <c r="E1648" s="6">
        <v>4</v>
      </c>
      <c r="F1648" s="6">
        <v>45</v>
      </c>
      <c r="G1648" s="6" t="s">
        <v>546</v>
      </c>
      <c r="I1648" s="8">
        <v>81.7891400694444</v>
      </c>
      <c r="J1648" s="8">
        <v>8.92411722222222</v>
      </c>
      <c r="K1648" s="6" t="s">
        <v>29</v>
      </c>
      <c r="L1648" s="9">
        <v>44012</v>
      </c>
      <c r="N1648" s="6">
        <v>40</v>
      </c>
      <c r="O1648" s="6" t="s">
        <v>4406</v>
      </c>
      <c r="Q1648" s="10" t="s">
        <v>1866</v>
      </c>
      <c r="R1648" s="10">
        <v>109</v>
      </c>
      <c r="S1648" s="10">
        <v>114</v>
      </c>
      <c r="T1648" s="10">
        <f t="shared" si="95"/>
        <v>111.5</v>
      </c>
      <c r="U1648" s="11"/>
      <c r="V1648" s="8">
        <v>-7.1215427069664017</v>
      </c>
      <c r="W1648" s="8">
        <v>-52.906793365478514</v>
      </c>
      <c r="X1648" s="8">
        <f t="shared" si="94"/>
        <v>4.0655482902526998</v>
      </c>
    </row>
    <row r="1649" spans="1:24" x14ac:dyDescent="0.35">
      <c r="A1649" s="6" t="s">
        <v>25</v>
      </c>
      <c r="B1649" s="7" t="s">
        <v>1867</v>
      </c>
      <c r="D1649" s="6" t="s">
        <v>1868</v>
      </c>
      <c r="E1649" s="6">
        <v>4</v>
      </c>
      <c r="F1649" s="6">
        <v>45</v>
      </c>
      <c r="G1649" s="6" t="s">
        <v>546</v>
      </c>
      <c r="I1649" s="8">
        <v>81.7891400694444</v>
      </c>
      <c r="J1649" s="8">
        <v>8.92411722222222</v>
      </c>
      <c r="K1649" s="6" t="s">
        <v>29</v>
      </c>
      <c r="L1649" s="9">
        <v>44012</v>
      </c>
      <c r="N1649" s="6">
        <v>40</v>
      </c>
      <c r="O1649" s="6" t="s">
        <v>4406</v>
      </c>
      <c r="Q1649" s="10" t="s">
        <v>1869</v>
      </c>
      <c r="R1649" s="10">
        <v>114</v>
      </c>
      <c r="S1649" s="10">
        <v>119</v>
      </c>
      <c r="T1649" s="10">
        <f t="shared" si="95"/>
        <v>116.5</v>
      </c>
      <c r="U1649" s="11"/>
      <c r="V1649" s="8">
        <v>-7.5919201478958129</v>
      </c>
      <c r="W1649" s="8">
        <v>-56.941454154968262</v>
      </c>
      <c r="X1649" s="8">
        <f t="shared" si="94"/>
        <v>3.793907028198241</v>
      </c>
    </row>
    <row r="1650" spans="1:24" x14ac:dyDescent="0.35">
      <c r="A1650" s="6" t="s">
        <v>25</v>
      </c>
      <c r="B1650" s="7" t="s">
        <v>1870</v>
      </c>
      <c r="D1650" s="6" t="s">
        <v>1871</v>
      </c>
      <c r="E1650" s="6">
        <v>4</v>
      </c>
      <c r="F1650" s="6">
        <v>45</v>
      </c>
      <c r="G1650" s="6" t="s">
        <v>546</v>
      </c>
      <c r="I1650" s="8">
        <v>81.7891400694444</v>
      </c>
      <c r="J1650" s="8">
        <v>8.92411722222222</v>
      </c>
      <c r="K1650" s="6" t="s">
        <v>29</v>
      </c>
      <c r="L1650" s="9">
        <v>44012</v>
      </c>
      <c r="N1650" s="6">
        <v>40</v>
      </c>
      <c r="O1650" s="6" t="s">
        <v>4406</v>
      </c>
      <c r="Q1650" s="10" t="s">
        <v>1872</v>
      </c>
      <c r="R1650" s="10">
        <v>129</v>
      </c>
      <c r="S1650" s="10">
        <v>134</v>
      </c>
      <c r="T1650" s="10">
        <f t="shared" si="95"/>
        <v>131.5</v>
      </c>
      <c r="U1650" s="11"/>
      <c r="V1650" s="8">
        <v>-7.1367210879325871</v>
      </c>
      <c r="W1650" s="8">
        <v>-54.925575347900391</v>
      </c>
      <c r="X1650" s="8">
        <f t="shared" si="94"/>
        <v>2.1681933555603052</v>
      </c>
    </row>
    <row r="1651" spans="1:24" x14ac:dyDescent="0.35">
      <c r="A1651" s="6" t="s">
        <v>25</v>
      </c>
      <c r="B1651" s="7" t="s">
        <v>1873</v>
      </c>
      <c r="D1651" s="6" t="s">
        <v>1874</v>
      </c>
      <c r="E1651" s="6">
        <v>4</v>
      </c>
      <c r="F1651" s="6">
        <v>45</v>
      </c>
      <c r="G1651" s="6" t="s">
        <v>546</v>
      </c>
      <c r="I1651" s="8">
        <v>81.7891400694444</v>
      </c>
      <c r="J1651" s="8">
        <v>8.92411722222222</v>
      </c>
      <c r="K1651" s="6" t="s">
        <v>29</v>
      </c>
      <c r="L1651" s="9">
        <v>44012</v>
      </c>
      <c r="N1651" s="6">
        <v>40</v>
      </c>
      <c r="O1651" s="6" t="s">
        <v>4406</v>
      </c>
      <c r="Q1651" s="10"/>
      <c r="R1651" s="10"/>
      <c r="S1651" s="10"/>
      <c r="T1651" s="10"/>
      <c r="U1651" s="11"/>
      <c r="V1651" s="8">
        <v>-7.4191860032081616</v>
      </c>
      <c r="W1651" s="8">
        <v>-55.493095558166502</v>
      </c>
      <c r="X1651" s="8">
        <f t="shared" si="94"/>
        <v>3.8603924674987908</v>
      </c>
    </row>
    <row r="1652" spans="1:24" x14ac:dyDescent="0.35">
      <c r="A1652" s="6" t="s">
        <v>25</v>
      </c>
      <c r="B1652" s="7" t="s">
        <v>1875</v>
      </c>
      <c r="D1652" s="6" t="s">
        <v>1876</v>
      </c>
      <c r="E1652" s="6">
        <v>4</v>
      </c>
      <c r="F1652" s="6">
        <v>45</v>
      </c>
      <c r="G1652" s="6" t="s">
        <v>546</v>
      </c>
      <c r="I1652" s="8">
        <v>81.7891400694444</v>
      </c>
      <c r="J1652" s="8">
        <v>8.92411722222222</v>
      </c>
      <c r="K1652" s="6" t="s">
        <v>29</v>
      </c>
      <c r="L1652" s="9">
        <v>44012</v>
      </c>
      <c r="N1652" s="6">
        <v>40</v>
      </c>
      <c r="O1652" s="6" t="s">
        <v>4406</v>
      </c>
      <c r="Q1652" s="10" t="s">
        <v>1877</v>
      </c>
      <c r="R1652" s="10">
        <v>99</v>
      </c>
      <c r="S1652" s="10">
        <v>104</v>
      </c>
      <c r="T1652" s="10">
        <f t="shared" ref="T1652:T1661" si="96">AVERAGE(R1652:S1652)</f>
        <v>101.5</v>
      </c>
      <c r="U1652" s="11"/>
      <c r="V1652" s="8">
        <v>-6.6188150463104254</v>
      </c>
      <c r="W1652" s="8">
        <v>-50.081868888854977</v>
      </c>
      <c r="X1652" s="8">
        <f t="shared" si="94"/>
        <v>2.8686514816284259</v>
      </c>
    </row>
    <row r="1653" spans="1:24" x14ac:dyDescent="0.35">
      <c r="A1653" s="6" t="s">
        <v>25</v>
      </c>
      <c r="B1653" s="7" t="s">
        <v>1878</v>
      </c>
      <c r="D1653" s="6" t="s">
        <v>1879</v>
      </c>
      <c r="E1653" s="6">
        <v>4</v>
      </c>
      <c r="F1653" s="6">
        <v>45</v>
      </c>
      <c r="G1653" s="6" t="s">
        <v>546</v>
      </c>
      <c r="I1653" s="8">
        <v>81.7891400694444</v>
      </c>
      <c r="J1653" s="8">
        <v>8.92411722222222</v>
      </c>
      <c r="K1653" s="6" t="s">
        <v>29</v>
      </c>
      <c r="L1653" s="9">
        <v>44012</v>
      </c>
      <c r="N1653" s="6">
        <v>40</v>
      </c>
      <c r="O1653" s="6" t="s">
        <v>4406</v>
      </c>
      <c r="Q1653" s="10" t="s">
        <v>1880</v>
      </c>
      <c r="R1653" s="10">
        <v>134</v>
      </c>
      <c r="S1653" s="10">
        <v>139</v>
      </c>
      <c r="T1653" s="10">
        <f t="shared" si="96"/>
        <v>136.5</v>
      </c>
      <c r="U1653" s="11"/>
      <c r="V1653" s="8">
        <v>-6.9047866752624518</v>
      </c>
      <c r="W1653" s="8">
        <v>-52.73763751220703</v>
      </c>
      <c r="X1653" s="8">
        <f t="shared" si="94"/>
        <v>2.5006558898925846</v>
      </c>
    </row>
    <row r="1654" spans="1:24" x14ac:dyDescent="0.35">
      <c r="A1654" s="6" t="s">
        <v>25</v>
      </c>
      <c r="B1654" s="7" t="s">
        <v>1881</v>
      </c>
      <c r="D1654" s="6" t="s">
        <v>1882</v>
      </c>
      <c r="E1654" s="6">
        <v>4</v>
      </c>
      <c r="F1654" s="6">
        <v>45</v>
      </c>
      <c r="G1654" s="6" t="s">
        <v>546</v>
      </c>
      <c r="I1654" s="8">
        <v>81.7891400694444</v>
      </c>
      <c r="J1654" s="8">
        <v>8.92411722222222</v>
      </c>
      <c r="K1654" s="6" t="s">
        <v>29</v>
      </c>
      <c r="L1654" s="9">
        <v>44012</v>
      </c>
      <c r="N1654" s="6">
        <v>40</v>
      </c>
      <c r="O1654" s="6" t="s">
        <v>4406</v>
      </c>
      <c r="Q1654" s="10" t="s">
        <v>1883</v>
      </c>
      <c r="R1654" s="10">
        <v>175</v>
      </c>
      <c r="S1654" s="10">
        <v>180</v>
      </c>
      <c r="T1654" s="10">
        <f t="shared" si="96"/>
        <v>177.5</v>
      </c>
      <c r="U1654" s="11"/>
      <c r="V1654" s="8">
        <v>-3.2508710203170761</v>
      </c>
      <c r="W1654" s="8">
        <v>-24.559535942077638</v>
      </c>
      <c r="X1654" s="8">
        <f t="shared" si="94"/>
        <v>1.4474322204589711</v>
      </c>
    </row>
    <row r="1655" spans="1:24" x14ac:dyDescent="0.35">
      <c r="A1655" s="6" t="s">
        <v>25</v>
      </c>
      <c r="B1655" s="7" t="s">
        <v>1884</v>
      </c>
      <c r="D1655" s="6" t="s">
        <v>1885</v>
      </c>
      <c r="E1655" s="6">
        <v>4</v>
      </c>
      <c r="F1655" s="6">
        <v>45</v>
      </c>
      <c r="G1655" s="6" t="s">
        <v>546</v>
      </c>
      <c r="I1655" s="8">
        <v>81.7891400694444</v>
      </c>
      <c r="J1655" s="8">
        <v>8.92411722222222</v>
      </c>
      <c r="K1655" s="6" t="s">
        <v>29</v>
      </c>
      <c r="L1655" s="9">
        <v>44012</v>
      </c>
      <c r="N1655" s="6">
        <v>40</v>
      </c>
      <c r="O1655" s="6" t="s">
        <v>4406</v>
      </c>
      <c r="Q1655" s="10" t="s">
        <v>1886</v>
      </c>
      <c r="R1655" s="10">
        <v>159</v>
      </c>
      <c r="S1655" s="10">
        <v>164</v>
      </c>
      <c r="T1655" s="10">
        <f t="shared" si="96"/>
        <v>161.5</v>
      </c>
      <c r="U1655" s="11"/>
      <c r="V1655" s="8">
        <v>-1.2030357990264893</v>
      </c>
      <c r="W1655" s="8">
        <v>-8.7253384876251214</v>
      </c>
      <c r="X1655" s="8">
        <f t="shared" si="94"/>
        <v>0.89894790458679275</v>
      </c>
    </row>
    <row r="1656" spans="1:24" x14ac:dyDescent="0.35">
      <c r="A1656" s="6" t="s">
        <v>25</v>
      </c>
      <c r="B1656" s="7" t="s">
        <v>1887</v>
      </c>
      <c r="D1656" s="6" t="s">
        <v>1888</v>
      </c>
      <c r="E1656" s="6">
        <v>4</v>
      </c>
      <c r="F1656" s="6">
        <v>45</v>
      </c>
      <c r="G1656" s="6" t="s">
        <v>546</v>
      </c>
      <c r="I1656" s="8">
        <v>81.7891400694444</v>
      </c>
      <c r="J1656" s="8">
        <v>8.92411722222222</v>
      </c>
      <c r="K1656" s="6" t="s">
        <v>29</v>
      </c>
      <c r="L1656" s="9">
        <v>44012</v>
      </c>
      <c r="N1656" s="6">
        <v>40</v>
      </c>
      <c r="O1656" s="6" t="s">
        <v>4406</v>
      </c>
      <c r="Q1656" s="10" t="s">
        <v>1889</v>
      </c>
      <c r="R1656" s="10">
        <v>164</v>
      </c>
      <c r="S1656" s="10">
        <v>169</v>
      </c>
      <c r="T1656" s="10">
        <f t="shared" si="96"/>
        <v>166.5</v>
      </c>
      <c r="U1656" s="11"/>
      <c r="V1656" s="8">
        <v>-2.4066195144653322</v>
      </c>
      <c r="W1656" s="8">
        <v>-17.406193714141843</v>
      </c>
      <c r="X1656" s="8">
        <f t="shared" si="94"/>
        <v>1.8467624015808148</v>
      </c>
    </row>
    <row r="1657" spans="1:24" x14ac:dyDescent="0.35">
      <c r="A1657" s="6" t="s">
        <v>25</v>
      </c>
      <c r="B1657" s="7" t="s">
        <v>1890</v>
      </c>
      <c r="D1657" s="6" t="s">
        <v>1891</v>
      </c>
      <c r="E1657" s="6">
        <v>4</v>
      </c>
      <c r="F1657" s="6">
        <v>45</v>
      </c>
      <c r="G1657" s="6" t="s">
        <v>546</v>
      </c>
      <c r="I1657" s="8">
        <v>81.7891400694444</v>
      </c>
      <c r="J1657" s="8">
        <v>8.92411722222222</v>
      </c>
      <c r="K1657" s="6" t="s">
        <v>29</v>
      </c>
      <c r="L1657" s="9">
        <v>44012</v>
      </c>
      <c r="N1657" s="6">
        <v>40</v>
      </c>
      <c r="O1657" s="6" t="s">
        <v>4406</v>
      </c>
      <c r="Q1657" s="10" t="s">
        <v>1892</v>
      </c>
      <c r="R1657" s="10">
        <v>154</v>
      </c>
      <c r="S1657" s="10">
        <v>159</v>
      </c>
      <c r="T1657" s="10">
        <f t="shared" si="96"/>
        <v>156.5</v>
      </c>
      <c r="U1657" s="11"/>
      <c r="V1657" s="8">
        <v>-6.1847785577774044</v>
      </c>
      <c r="W1657" s="8">
        <v>-47.25902183532714</v>
      </c>
      <c r="X1657" s="8">
        <f t="shared" si="94"/>
        <v>2.2192066268920954</v>
      </c>
    </row>
    <row r="1658" spans="1:24" x14ac:dyDescent="0.35">
      <c r="A1658" s="6" t="s">
        <v>25</v>
      </c>
      <c r="B1658" s="7" t="s">
        <v>1893</v>
      </c>
      <c r="D1658" s="6" t="s">
        <v>1894</v>
      </c>
      <c r="E1658" s="6">
        <v>4</v>
      </c>
      <c r="F1658" s="6">
        <v>45</v>
      </c>
      <c r="G1658" s="6" t="s">
        <v>546</v>
      </c>
      <c r="I1658" s="8">
        <v>81.7891400694444</v>
      </c>
      <c r="J1658" s="8">
        <v>8.92411722222222</v>
      </c>
      <c r="K1658" s="6" t="s">
        <v>29</v>
      </c>
      <c r="L1658" s="9">
        <v>44012</v>
      </c>
      <c r="N1658" s="6">
        <v>40</v>
      </c>
      <c r="O1658" s="6" t="s">
        <v>4406</v>
      </c>
      <c r="Q1658" s="10" t="s">
        <v>1895</v>
      </c>
      <c r="R1658" s="10">
        <v>149</v>
      </c>
      <c r="S1658" s="10">
        <v>154</v>
      </c>
      <c r="T1658" s="10">
        <f t="shared" si="96"/>
        <v>151.5</v>
      </c>
      <c r="U1658" s="11"/>
      <c r="V1658" s="8">
        <v>-6.8259279718399046</v>
      </c>
      <c r="W1658" s="8">
        <v>-52.548798980712888</v>
      </c>
      <c r="X1658" s="8">
        <f t="shared" si="94"/>
        <v>2.0586247940063487</v>
      </c>
    </row>
    <row r="1659" spans="1:24" x14ac:dyDescent="0.35">
      <c r="A1659" s="6" t="s">
        <v>25</v>
      </c>
      <c r="B1659" s="7" t="s">
        <v>1896</v>
      </c>
      <c r="D1659" s="6" t="s">
        <v>1897</v>
      </c>
      <c r="E1659" s="6">
        <v>4</v>
      </c>
      <c r="F1659" s="6">
        <v>45</v>
      </c>
      <c r="G1659" s="6" t="s">
        <v>546</v>
      </c>
      <c r="I1659" s="8">
        <v>81.7891400694444</v>
      </c>
      <c r="J1659" s="8">
        <v>8.92411722222222</v>
      </c>
      <c r="K1659" s="6" t="s">
        <v>29</v>
      </c>
      <c r="L1659" s="9">
        <v>44012</v>
      </c>
      <c r="N1659" s="6">
        <v>40</v>
      </c>
      <c r="O1659" s="6" t="s">
        <v>4406</v>
      </c>
      <c r="Q1659" s="10" t="s">
        <v>1898</v>
      </c>
      <c r="R1659" s="10">
        <v>180</v>
      </c>
      <c r="S1659" s="10">
        <v>185</v>
      </c>
      <c r="T1659" s="10">
        <f t="shared" si="96"/>
        <v>182.5</v>
      </c>
      <c r="U1659" s="11"/>
      <c r="V1659" s="8">
        <v>-2.566716329574585</v>
      </c>
      <c r="W1659" s="8">
        <v>-19.229920501708985</v>
      </c>
      <c r="X1659" s="8">
        <f t="shared" si="94"/>
        <v>1.3038101348876943</v>
      </c>
    </row>
    <row r="1660" spans="1:24" x14ac:dyDescent="0.35">
      <c r="A1660" s="6" t="s">
        <v>25</v>
      </c>
      <c r="B1660" s="7" t="s">
        <v>1899</v>
      </c>
      <c r="D1660" s="6" t="s">
        <v>1900</v>
      </c>
      <c r="E1660" s="6">
        <v>4</v>
      </c>
      <c r="F1660" s="6">
        <v>45</v>
      </c>
      <c r="G1660" s="6" t="s">
        <v>546</v>
      </c>
      <c r="I1660" s="8">
        <v>81.7891400694444</v>
      </c>
      <c r="J1660" s="8">
        <v>8.92411722222222</v>
      </c>
      <c r="K1660" s="6" t="s">
        <v>29</v>
      </c>
      <c r="L1660" s="9">
        <v>44012</v>
      </c>
      <c r="N1660" s="6">
        <v>40</v>
      </c>
      <c r="O1660" s="6" t="s">
        <v>4406</v>
      </c>
      <c r="Q1660" s="10" t="s">
        <v>1901</v>
      </c>
      <c r="R1660" s="10">
        <v>169</v>
      </c>
      <c r="S1660" s="10">
        <v>175</v>
      </c>
      <c r="T1660" s="10">
        <f t="shared" si="96"/>
        <v>172</v>
      </c>
      <c r="U1660" s="11"/>
      <c r="V1660" s="8">
        <v>-2.3909555511474609</v>
      </c>
      <c r="W1660" s="8">
        <v>-17.679275665283203</v>
      </c>
      <c r="X1660" s="8">
        <f t="shared" si="94"/>
        <v>1.4483687438964843</v>
      </c>
    </row>
    <row r="1661" spans="1:24" x14ac:dyDescent="0.35">
      <c r="A1661" s="6" t="s">
        <v>25</v>
      </c>
      <c r="B1661" s="7" t="s">
        <v>1902</v>
      </c>
      <c r="D1661" s="6" t="s">
        <v>1903</v>
      </c>
      <c r="E1661" s="6">
        <v>4</v>
      </c>
      <c r="F1661" s="6">
        <v>45</v>
      </c>
      <c r="G1661" s="6" t="s">
        <v>546</v>
      </c>
      <c r="I1661" s="8">
        <v>81.7891400694444</v>
      </c>
      <c r="J1661" s="8">
        <v>8.92411722222222</v>
      </c>
      <c r="K1661" s="6" t="s">
        <v>29</v>
      </c>
      <c r="L1661" s="9">
        <v>44012</v>
      </c>
      <c r="N1661" s="6">
        <v>40</v>
      </c>
      <c r="O1661" s="6" t="s">
        <v>4406</v>
      </c>
      <c r="Q1661" s="10" t="s">
        <v>1904</v>
      </c>
      <c r="R1661" s="10">
        <v>200</v>
      </c>
      <c r="S1661" s="10">
        <v>205</v>
      </c>
      <c r="T1661" s="10">
        <f t="shared" si="96"/>
        <v>202.5</v>
      </c>
      <c r="U1661" s="11"/>
      <c r="V1661" s="8">
        <v>1.0715102653503419</v>
      </c>
      <c r="W1661" s="8">
        <v>8.8730507469177251</v>
      </c>
      <c r="X1661" s="8">
        <f t="shared" si="94"/>
        <v>0.30096862411499004</v>
      </c>
    </row>
    <row r="1662" spans="1:24" x14ac:dyDescent="0.35">
      <c r="A1662" s="6" t="s">
        <v>25</v>
      </c>
      <c r="B1662" s="7" t="s">
        <v>1914</v>
      </c>
      <c r="D1662" s="6" t="s">
        <v>1915</v>
      </c>
      <c r="E1662" s="6">
        <v>4</v>
      </c>
      <c r="F1662" s="6">
        <v>45</v>
      </c>
      <c r="I1662" s="8">
        <v>81.7891400694444</v>
      </c>
      <c r="J1662" s="8">
        <v>8.92411722222222</v>
      </c>
      <c r="K1662" s="12"/>
      <c r="L1662" s="9">
        <v>44012</v>
      </c>
      <c r="N1662" s="6">
        <v>40</v>
      </c>
      <c r="O1662" s="6" t="s">
        <v>4406</v>
      </c>
      <c r="Q1662" s="10"/>
      <c r="R1662" s="10"/>
      <c r="S1662" s="10"/>
      <c r="T1662" s="10"/>
      <c r="U1662" s="11"/>
      <c r="V1662" s="8">
        <v>-5.1012302465438824</v>
      </c>
      <c r="W1662" s="8">
        <v>-40.087369842529299</v>
      </c>
      <c r="X1662" s="8">
        <f t="shared" si="94"/>
        <v>0.72247212982176023</v>
      </c>
    </row>
    <row r="1663" spans="1:24" x14ac:dyDescent="0.35">
      <c r="A1663" s="6" t="s">
        <v>25</v>
      </c>
      <c r="B1663" s="7" t="s">
        <v>1905</v>
      </c>
      <c r="D1663" s="6" t="s">
        <v>1906</v>
      </c>
      <c r="E1663" s="6">
        <v>4</v>
      </c>
      <c r="F1663" s="6">
        <v>45</v>
      </c>
      <c r="G1663" s="6" t="s">
        <v>546</v>
      </c>
      <c r="I1663" s="8">
        <v>81.7891400694444</v>
      </c>
      <c r="J1663" s="8">
        <v>8.92411722222222</v>
      </c>
      <c r="K1663" s="6" t="s">
        <v>29</v>
      </c>
      <c r="L1663" s="9">
        <v>44012</v>
      </c>
      <c r="N1663" s="6">
        <v>40</v>
      </c>
      <c r="O1663" s="6" t="s">
        <v>4406</v>
      </c>
      <c r="Q1663" s="10" t="s">
        <v>1907</v>
      </c>
      <c r="R1663" s="10">
        <v>190</v>
      </c>
      <c r="S1663" s="10">
        <v>195</v>
      </c>
      <c r="T1663" s="10">
        <f>AVERAGE(R1663:S1663)</f>
        <v>192.5</v>
      </c>
      <c r="U1663" s="11"/>
      <c r="V1663" s="8">
        <v>-1.2632137050628645</v>
      </c>
      <c r="W1663" s="8">
        <v>-8.7971359252929684</v>
      </c>
      <c r="X1663" s="8">
        <f t="shared" si="94"/>
        <v>1.3085737152099473</v>
      </c>
    </row>
    <row r="1664" spans="1:24" x14ac:dyDescent="0.35">
      <c r="A1664" s="6" t="s">
        <v>25</v>
      </c>
      <c r="B1664" s="7" t="s">
        <v>1908</v>
      </c>
      <c r="D1664" s="6" t="s">
        <v>1909</v>
      </c>
      <c r="E1664" s="6">
        <v>4</v>
      </c>
      <c r="F1664" s="6">
        <v>45</v>
      </c>
      <c r="G1664" s="6" t="s">
        <v>546</v>
      </c>
      <c r="I1664" s="8">
        <v>81.7891400694444</v>
      </c>
      <c r="J1664" s="8">
        <v>8.92411722222222</v>
      </c>
      <c r="K1664" s="6" t="s">
        <v>29</v>
      </c>
      <c r="L1664" s="9">
        <v>44012</v>
      </c>
      <c r="N1664" s="6">
        <v>40</v>
      </c>
      <c r="O1664" s="6" t="s">
        <v>4406</v>
      </c>
      <c r="Q1664" s="10" t="s">
        <v>1910</v>
      </c>
      <c r="R1664" s="10">
        <v>205</v>
      </c>
      <c r="S1664" s="10">
        <v>210</v>
      </c>
      <c r="T1664" s="10">
        <f>AVERAGE(R1664:S1664)</f>
        <v>207.5</v>
      </c>
      <c r="U1664" s="11"/>
      <c r="V1664" s="8">
        <v>0.84750535202026189</v>
      </c>
      <c r="W1664" s="8">
        <v>7.2209297561645505</v>
      </c>
      <c r="X1664" s="8">
        <f t="shared" si="94"/>
        <v>0.44088694000245532</v>
      </c>
    </row>
    <row r="1665" spans="1:25" x14ac:dyDescent="0.35">
      <c r="A1665" s="6" t="s">
        <v>25</v>
      </c>
      <c r="B1665" s="7" t="s">
        <v>1911</v>
      </c>
      <c r="D1665" s="6" t="s">
        <v>1912</v>
      </c>
      <c r="E1665" s="6">
        <v>4</v>
      </c>
      <c r="F1665" s="6">
        <v>45</v>
      </c>
      <c r="G1665" s="6" t="s">
        <v>546</v>
      </c>
      <c r="I1665" s="8">
        <v>81.7891400694444</v>
      </c>
      <c r="J1665" s="8">
        <v>8.92411722222222</v>
      </c>
      <c r="K1665" s="6" t="s">
        <v>29</v>
      </c>
      <c r="L1665" s="9">
        <v>44012</v>
      </c>
      <c r="N1665" s="6">
        <v>40</v>
      </c>
      <c r="O1665" s="6" t="s">
        <v>4406</v>
      </c>
      <c r="Q1665" s="10" t="s">
        <v>1913</v>
      </c>
      <c r="R1665" s="10">
        <v>185</v>
      </c>
      <c r="S1665" s="10">
        <v>190</v>
      </c>
      <c r="T1665" s="10">
        <f>AVERAGE(R1665:S1665)</f>
        <v>187.5</v>
      </c>
      <c r="U1665" s="11"/>
      <c r="V1665" s="8">
        <v>6.7002214431762699E-2</v>
      </c>
      <c r="W1665" s="8">
        <v>1.125976939201355</v>
      </c>
      <c r="X1665" s="8">
        <f t="shared" si="94"/>
        <v>0.5899592237472534</v>
      </c>
    </row>
    <row r="1666" spans="1:25" x14ac:dyDescent="0.35">
      <c r="A1666" s="6" t="s">
        <v>25</v>
      </c>
      <c r="B1666" s="6" t="s">
        <v>3546</v>
      </c>
      <c r="D1666" s="6" t="s">
        <v>3848</v>
      </c>
      <c r="E1666" s="6">
        <v>4</v>
      </c>
      <c r="F1666" s="6">
        <v>45</v>
      </c>
      <c r="G1666" s="6" t="s">
        <v>4150</v>
      </c>
      <c r="I1666" s="8">
        <v>81.7891400694444</v>
      </c>
      <c r="J1666" s="8">
        <v>8.92411722222222</v>
      </c>
      <c r="K1666" s="6" t="s">
        <v>2610</v>
      </c>
      <c r="L1666" s="9">
        <v>44012</v>
      </c>
      <c r="N1666" s="6">
        <v>40</v>
      </c>
      <c r="O1666" s="6" t="s">
        <v>4406</v>
      </c>
      <c r="V1666" s="8">
        <v>-0.36561384574174888</v>
      </c>
      <c r="W1666" s="8">
        <v>-2.2795440323114393</v>
      </c>
      <c r="X1666" s="27">
        <f t="shared" si="94"/>
        <v>0.6453667336225517</v>
      </c>
    </row>
    <row r="1667" spans="1:25" x14ac:dyDescent="0.35">
      <c r="A1667" s="6" t="s">
        <v>25</v>
      </c>
      <c r="B1667" s="6" t="s">
        <v>3547</v>
      </c>
      <c r="D1667" s="6" t="s">
        <v>3849</v>
      </c>
      <c r="E1667" s="6">
        <v>4</v>
      </c>
      <c r="F1667" s="6">
        <v>45</v>
      </c>
      <c r="G1667" s="6" t="s">
        <v>4151</v>
      </c>
      <c r="I1667" s="8">
        <v>81.722491180555622</v>
      </c>
      <c r="J1667" s="8">
        <v>8.4253868749999992</v>
      </c>
      <c r="K1667" s="6" t="s">
        <v>2610</v>
      </c>
      <c r="L1667" s="9">
        <v>44014</v>
      </c>
      <c r="N1667" s="6">
        <v>40</v>
      </c>
      <c r="O1667" s="6" t="s">
        <v>4381</v>
      </c>
      <c r="V1667" s="8">
        <v>-0.37673834775924719</v>
      </c>
      <c r="W1667" s="8">
        <v>-2.6706667983531953</v>
      </c>
      <c r="X1667" s="27">
        <f t="shared" si="94"/>
        <v>0.34323998372078224</v>
      </c>
    </row>
    <row r="1668" spans="1:25" x14ac:dyDescent="0.35">
      <c r="A1668" s="6" t="s">
        <v>25</v>
      </c>
      <c r="B1668" s="6" t="s">
        <v>3548</v>
      </c>
      <c r="D1668" s="6" t="s">
        <v>3850</v>
      </c>
      <c r="E1668" s="6">
        <v>4</v>
      </c>
      <c r="F1668" s="6">
        <v>45</v>
      </c>
      <c r="G1668" s="6" t="s">
        <v>4152</v>
      </c>
      <c r="I1668" s="8">
        <v>81.68473201388889</v>
      </c>
      <c r="J1668" s="8">
        <v>7.5387876388888913</v>
      </c>
      <c r="K1668" s="6" t="s">
        <v>2610</v>
      </c>
      <c r="L1668" s="9">
        <v>44015</v>
      </c>
      <c r="N1668" s="6">
        <v>40</v>
      </c>
      <c r="O1668" s="6" t="s">
        <v>4410</v>
      </c>
      <c r="V1668" s="8">
        <v>-0.17517975591659557</v>
      </c>
      <c r="W1668" s="8">
        <v>-2.5476228189468384</v>
      </c>
      <c r="X1668" s="27">
        <f t="shared" si="94"/>
        <v>-1.1461847716140738</v>
      </c>
    </row>
    <row r="1669" spans="1:25" x14ac:dyDescent="0.35">
      <c r="A1669" s="6" t="s">
        <v>25</v>
      </c>
      <c r="B1669" s="6" t="s">
        <v>3549</v>
      </c>
      <c r="D1669" s="6" t="s">
        <v>3851</v>
      </c>
      <c r="E1669" s="6">
        <v>4</v>
      </c>
      <c r="F1669" s="6">
        <v>45</v>
      </c>
      <c r="G1669" s="6" t="s">
        <v>4153</v>
      </c>
      <c r="I1669" s="8">
        <v>81.712099444444448</v>
      </c>
      <c r="J1669" s="8">
        <v>6.7552176388888867</v>
      </c>
      <c r="K1669" s="6" t="s">
        <v>2610</v>
      </c>
      <c r="L1669" s="9">
        <v>44016</v>
      </c>
      <c r="N1669" s="6">
        <v>40</v>
      </c>
      <c r="O1669" s="6" t="s">
        <v>4411</v>
      </c>
      <c r="V1669" s="8">
        <v>-0.36710217927932776</v>
      </c>
      <c r="W1669" s="8">
        <v>-2.5606800508499146</v>
      </c>
      <c r="X1669" s="27">
        <f t="shared" si="94"/>
        <v>0.37613738338470748</v>
      </c>
    </row>
    <row r="1670" spans="1:25" x14ac:dyDescent="0.35">
      <c r="A1670" s="6" t="s">
        <v>25</v>
      </c>
      <c r="B1670" s="6" t="s">
        <v>3550</v>
      </c>
      <c r="D1670" s="6" t="s">
        <v>3852</v>
      </c>
      <c r="E1670" s="6">
        <v>4</v>
      </c>
      <c r="F1670" s="6">
        <v>45</v>
      </c>
      <c r="G1670" s="6" t="s">
        <v>4154</v>
      </c>
      <c r="I1670" s="8">
        <v>81.703166041666634</v>
      </c>
      <c r="J1670" s="8">
        <v>6.2173304861111127</v>
      </c>
      <c r="K1670" s="6" t="s">
        <v>2610</v>
      </c>
      <c r="L1670" s="9">
        <v>44017</v>
      </c>
      <c r="N1670" s="6">
        <v>41</v>
      </c>
      <c r="O1670" s="6" t="s">
        <v>4412</v>
      </c>
      <c r="V1670" s="8">
        <v>-0.37439886497497549</v>
      </c>
      <c r="W1670" s="8">
        <v>-1.9735201686620711</v>
      </c>
      <c r="X1670" s="27">
        <f t="shared" si="94"/>
        <v>1.0216707511377328</v>
      </c>
    </row>
    <row r="1671" spans="1:25" x14ac:dyDescent="0.35">
      <c r="A1671" s="6" t="s">
        <v>25</v>
      </c>
      <c r="B1671" s="6" t="s">
        <v>1916</v>
      </c>
      <c r="D1671" s="6" t="s">
        <v>1917</v>
      </c>
      <c r="E1671" s="6">
        <v>4</v>
      </c>
      <c r="F1671" s="6">
        <v>46</v>
      </c>
      <c r="I1671" s="8">
        <v>81.685643263888906</v>
      </c>
      <c r="J1671" s="8">
        <v>5.3733415277777796</v>
      </c>
      <c r="K1671" s="6" t="s">
        <v>29</v>
      </c>
      <c r="L1671" s="9">
        <v>44018</v>
      </c>
      <c r="N1671" s="6">
        <v>41</v>
      </c>
      <c r="O1671" s="6" t="s">
        <v>4413</v>
      </c>
      <c r="R1671" s="6">
        <v>0</v>
      </c>
      <c r="S1671" s="6">
        <v>10</v>
      </c>
      <c r="T1671" s="10">
        <f t="shared" ref="T1671:T1686" si="97">AVERAGE(R1671:S1671)</f>
        <v>5</v>
      </c>
      <c r="U1671" s="15">
        <v>1.5</v>
      </c>
      <c r="V1671" s="8">
        <v>-5.9335767546176914</v>
      </c>
      <c r="W1671" s="8">
        <v>-47.2158844795227</v>
      </c>
      <c r="X1671" s="8">
        <f t="shared" si="94"/>
        <v>0.25272955741883152</v>
      </c>
      <c r="Y1671" s="6" t="s">
        <v>1760</v>
      </c>
    </row>
    <row r="1672" spans="1:25" x14ac:dyDescent="0.35">
      <c r="A1672" s="6" t="s">
        <v>25</v>
      </c>
      <c r="B1672" s="6" t="s">
        <v>1918</v>
      </c>
      <c r="D1672" s="6" t="s">
        <v>1919</v>
      </c>
      <c r="E1672" s="6">
        <v>4</v>
      </c>
      <c r="F1672" s="6">
        <v>46</v>
      </c>
      <c r="I1672" s="8">
        <v>81.685643263888906</v>
      </c>
      <c r="J1672" s="8">
        <v>5.3733415277777796</v>
      </c>
      <c r="K1672" s="6" t="s">
        <v>29</v>
      </c>
      <c r="L1672" s="9">
        <v>44018</v>
      </c>
      <c r="N1672" s="6">
        <v>41</v>
      </c>
      <c r="O1672" s="6" t="s">
        <v>4413</v>
      </c>
      <c r="R1672" s="6">
        <v>10</v>
      </c>
      <c r="S1672" s="6">
        <v>20</v>
      </c>
      <c r="T1672" s="10">
        <f t="shared" si="97"/>
        <v>15</v>
      </c>
      <c r="U1672" s="15">
        <v>2</v>
      </c>
      <c r="V1672" s="8">
        <v>-2.1740139936685563</v>
      </c>
      <c r="W1672" s="8">
        <v>-18.290887428283689</v>
      </c>
      <c r="X1672" s="8">
        <f t="shared" si="94"/>
        <v>-0.89877547893523868</v>
      </c>
      <c r="Y1672" s="6" t="s">
        <v>1760</v>
      </c>
    </row>
    <row r="1673" spans="1:25" x14ac:dyDescent="0.35">
      <c r="A1673" s="6" t="s">
        <v>25</v>
      </c>
      <c r="B1673" s="6" t="s">
        <v>1920</v>
      </c>
      <c r="D1673" s="6" t="s">
        <v>1921</v>
      </c>
      <c r="E1673" s="6">
        <v>4</v>
      </c>
      <c r="F1673" s="6">
        <v>46</v>
      </c>
      <c r="I1673" s="8">
        <v>81.685643263888906</v>
      </c>
      <c r="J1673" s="8">
        <v>5.3733415277777796</v>
      </c>
      <c r="K1673" s="6" t="s">
        <v>29</v>
      </c>
      <c r="L1673" s="9">
        <v>44018</v>
      </c>
      <c r="N1673" s="6">
        <v>41</v>
      </c>
      <c r="O1673" s="6" t="s">
        <v>4413</v>
      </c>
      <c r="R1673" s="6">
        <v>20</v>
      </c>
      <c r="S1673" s="6">
        <v>30</v>
      </c>
      <c r="T1673" s="10">
        <f t="shared" si="97"/>
        <v>25</v>
      </c>
      <c r="U1673" s="15">
        <v>2.6</v>
      </c>
      <c r="V1673" s="8">
        <v>-1.9468407104909661E-2</v>
      </c>
      <c r="W1673" s="8">
        <v>-1.0550627200603482</v>
      </c>
      <c r="X1673" s="8">
        <f t="shared" si="94"/>
        <v>-0.89931546322107092</v>
      </c>
      <c r="Y1673" s="6" t="s">
        <v>1760</v>
      </c>
    </row>
    <row r="1674" spans="1:25" x14ac:dyDescent="0.35">
      <c r="A1674" s="6" t="s">
        <v>25</v>
      </c>
      <c r="B1674" s="6" t="s">
        <v>1922</v>
      </c>
      <c r="D1674" s="6" t="s">
        <v>1923</v>
      </c>
      <c r="E1674" s="6">
        <v>4</v>
      </c>
      <c r="F1674" s="6">
        <v>46</v>
      </c>
      <c r="I1674" s="8">
        <v>81.685643263888906</v>
      </c>
      <c r="J1674" s="8">
        <v>5.3733415277777796</v>
      </c>
      <c r="K1674" s="6" t="s">
        <v>29</v>
      </c>
      <c r="L1674" s="9">
        <v>44018</v>
      </c>
      <c r="N1674" s="6">
        <v>41</v>
      </c>
      <c r="O1674" s="6" t="s">
        <v>4413</v>
      </c>
      <c r="R1674" s="6">
        <v>30</v>
      </c>
      <c r="S1674" s="6">
        <v>40</v>
      </c>
      <c r="T1674" s="10">
        <f t="shared" si="97"/>
        <v>35</v>
      </c>
      <c r="U1674" s="15">
        <v>3.2</v>
      </c>
      <c r="V1674" s="8">
        <v>-9.3476765808463036E-2</v>
      </c>
      <c r="W1674" s="8">
        <v>0.56003816044330612</v>
      </c>
      <c r="X1674" s="8">
        <f t="shared" si="94"/>
        <v>1.3078522869110105</v>
      </c>
      <c r="Y1674" s="6" t="s">
        <v>1760</v>
      </c>
    </row>
    <row r="1675" spans="1:25" x14ac:dyDescent="0.35">
      <c r="A1675" s="6" t="s">
        <v>25</v>
      </c>
      <c r="B1675" s="6" t="s">
        <v>1924</v>
      </c>
      <c r="D1675" s="6" t="s">
        <v>1925</v>
      </c>
      <c r="E1675" s="6">
        <v>4</v>
      </c>
      <c r="F1675" s="6">
        <v>46</v>
      </c>
      <c r="I1675" s="8">
        <v>81.685643263888906</v>
      </c>
      <c r="J1675" s="8">
        <v>5.3733415277777796</v>
      </c>
      <c r="K1675" s="6" t="s">
        <v>29</v>
      </c>
      <c r="L1675" s="9">
        <v>44018</v>
      </c>
      <c r="N1675" s="6">
        <v>41</v>
      </c>
      <c r="O1675" s="6" t="s">
        <v>4413</v>
      </c>
      <c r="R1675" s="6">
        <v>40</v>
      </c>
      <c r="S1675" s="6">
        <v>50</v>
      </c>
      <c r="T1675" s="10">
        <f t="shared" si="97"/>
        <v>45</v>
      </c>
      <c r="U1675" s="15">
        <v>2.9</v>
      </c>
      <c r="V1675" s="8">
        <v>-6.6740256485343041E-2</v>
      </c>
      <c r="W1675" s="8">
        <v>1.6069564998149738E-2</v>
      </c>
      <c r="X1675" s="8">
        <f t="shared" si="94"/>
        <v>0.54999161688089404</v>
      </c>
      <c r="Y1675" s="6" t="s">
        <v>1760</v>
      </c>
    </row>
    <row r="1676" spans="1:25" x14ac:dyDescent="0.35">
      <c r="A1676" s="6" t="s">
        <v>25</v>
      </c>
      <c r="B1676" s="6" t="s">
        <v>1926</v>
      </c>
      <c r="D1676" s="6" t="s">
        <v>1927</v>
      </c>
      <c r="E1676" s="6">
        <v>4</v>
      </c>
      <c r="F1676" s="6">
        <v>46</v>
      </c>
      <c r="I1676" s="8">
        <v>81.685643263888906</v>
      </c>
      <c r="J1676" s="8">
        <v>5.3733415277777796</v>
      </c>
      <c r="K1676" s="6" t="s">
        <v>29</v>
      </c>
      <c r="L1676" s="9">
        <v>44018</v>
      </c>
      <c r="N1676" s="6">
        <v>41</v>
      </c>
      <c r="O1676" s="6" t="s">
        <v>4413</v>
      </c>
      <c r="R1676" s="6">
        <v>50</v>
      </c>
      <c r="S1676" s="6">
        <v>60</v>
      </c>
      <c r="T1676" s="10">
        <f t="shared" si="97"/>
        <v>55</v>
      </c>
      <c r="U1676" s="15">
        <v>3.6</v>
      </c>
      <c r="V1676" s="8">
        <v>-0.98711587090492237</v>
      </c>
      <c r="W1676" s="8">
        <v>-7.6062501578331005</v>
      </c>
      <c r="X1676" s="8">
        <f t="shared" si="94"/>
        <v>0.29067680940627838</v>
      </c>
      <c r="Y1676" s="6" t="s">
        <v>1760</v>
      </c>
    </row>
    <row r="1677" spans="1:25" x14ac:dyDescent="0.35">
      <c r="A1677" s="6" t="s">
        <v>25</v>
      </c>
      <c r="B1677" s="6" t="s">
        <v>1928</v>
      </c>
      <c r="D1677" s="6" t="s">
        <v>1929</v>
      </c>
      <c r="E1677" s="6">
        <v>4</v>
      </c>
      <c r="F1677" s="6">
        <v>46</v>
      </c>
      <c r="I1677" s="8">
        <v>81.685643263888906</v>
      </c>
      <c r="J1677" s="8">
        <v>5.3733415277777796</v>
      </c>
      <c r="K1677" s="6" t="s">
        <v>29</v>
      </c>
      <c r="L1677" s="9">
        <v>44018</v>
      </c>
      <c r="N1677" s="6">
        <v>41</v>
      </c>
      <c r="O1677" s="6" t="s">
        <v>4413</v>
      </c>
      <c r="R1677" s="6">
        <v>60</v>
      </c>
      <c r="S1677" s="6">
        <v>70</v>
      </c>
      <c r="T1677" s="10">
        <f t="shared" si="97"/>
        <v>65</v>
      </c>
      <c r="U1677" s="15">
        <v>2.8</v>
      </c>
      <c r="V1677" s="8">
        <v>-0.56828586711883522</v>
      </c>
      <c r="W1677" s="8">
        <v>-5.7359482374191284</v>
      </c>
      <c r="X1677" s="8">
        <f t="shared" si="94"/>
        <v>-1.1896613004684466</v>
      </c>
      <c r="Y1677" s="6" t="s">
        <v>1760</v>
      </c>
    </row>
    <row r="1678" spans="1:25" x14ac:dyDescent="0.35">
      <c r="A1678" s="6" t="s">
        <v>25</v>
      </c>
      <c r="B1678" s="6" t="s">
        <v>1930</v>
      </c>
      <c r="D1678" s="6" t="s">
        <v>1931</v>
      </c>
      <c r="E1678" s="6">
        <v>4</v>
      </c>
      <c r="F1678" s="6">
        <v>46</v>
      </c>
      <c r="I1678" s="8">
        <v>81.685643263888906</v>
      </c>
      <c r="J1678" s="8">
        <v>5.3733415277777796</v>
      </c>
      <c r="K1678" s="6" t="s">
        <v>29</v>
      </c>
      <c r="L1678" s="9">
        <v>44018</v>
      </c>
      <c r="N1678" s="6">
        <v>41</v>
      </c>
      <c r="O1678" s="6" t="s">
        <v>4413</v>
      </c>
      <c r="R1678" s="6">
        <v>70</v>
      </c>
      <c r="S1678" s="6">
        <v>80</v>
      </c>
      <c r="T1678" s="10">
        <f t="shared" si="97"/>
        <v>75</v>
      </c>
      <c r="U1678" s="15">
        <v>2.7</v>
      </c>
      <c r="V1678" s="8">
        <v>-0.36648373796939876</v>
      </c>
      <c r="W1678" s="8">
        <v>-4.0578248510360719</v>
      </c>
      <c r="X1678" s="8">
        <f t="shared" si="94"/>
        <v>-1.1259549472808819</v>
      </c>
      <c r="Y1678" s="6" t="s">
        <v>1760</v>
      </c>
    </row>
    <row r="1679" spans="1:25" x14ac:dyDescent="0.35">
      <c r="A1679" s="6" t="s">
        <v>25</v>
      </c>
      <c r="B1679" s="6" t="s">
        <v>1932</v>
      </c>
      <c r="D1679" s="6" t="s">
        <v>1933</v>
      </c>
      <c r="E1679" s="6">
        <v>4</v>
      </c>
      <c r="F1679" s="6">
        <v>46</v>
      </c>
      <c r="I1679" s="8">
        <v>81.685643263888906</v>
      </c>
      <c r="J1679" s="8">
        <v>5.3733415277777796</v>
      </c>
      <c r="K1679" s="6" t="s">
        <v>29</v>
      </c>
      <c r="L1679" s="9">
        <v>44018</v>
      </c>
      <c r="N1679" s="6">
        <v>41</v>
      </c>
      <c r="O1679" s="6" t="s">
        <v>4413</v>
      </c>
      <c r="R1679" s="6">
        <v>80</v>
      </c>
      <c r="S1679" s="6">
        <v>90</v>
      </c>
      <c r="T1679" s="10">
        <f t="shared" si="97"/>
        <v>85</v>
      </c>
      <c r="U1679" s="15">
        <v>2.7</v>
      </c>
      <c r="V1679" s="8">
        <v>-0.61530528321266198</v>
      </c>
      <c r="W1679" s="8">
        <v>-5.5252381114959723</v>
      </c>
      <c r="X1679" s="8">
        <f t="shared" si="94"/>
        <v>-0.60279584579467649</v>
      </c>
      <c r="Y1679" s="6" t="s">
        <v>1760</v>
      </c>
    </row>
    <row r="1680" spans="1:25" x14ac:dyDescent="0.35">
      <c r="A1680" s="6" t="s">
        <v>25</v>
      </c>
      <c r="B1680" s="6" t="s">
        <v>1934</v>
      </c>
      <c r="D1680" s="6" t="s">
        <v>1935</v>
      </c>
      <c r="E1680" s="6">
        <v>4</v>
      </c>
      <c r="F1680" s="6">
        <v>46</v>
      </c>
      <c r="I1680" s="8">
        <v>81.685643263888906</v>
      </c>
      <c r="J1680" s="8">
        <v>5.3733415277777796</v>
      </c>
      <c r="K1680" s="6" t="s">
        <v>29</v>
      </c>
      <c r="L1680" s="9">
        <v>44018</v>
      </c>
      <c r="N1680" s="6">
        <v>41</v>
      </c>
      <c r="O1680" s="6" t="s">
        <v>4413</v>
      </c>
      <c r="R1680" s="6">
        <v>90</v>
      </c>
      <c r="S1680" s="6">
        <v>100</v>
      </c>
      <c r="T1680" s="10">
        <f t="shared" si="97"/>
        <v>95</v>
      </c>
      <c r="U1680" s="15">
        <v>3.1</v>
      </c>
      <c r="V1680" s="8">
        <v>-0.75051750972270992</v>
      </c>
      <c r="W1680" s="8">
        <v>-6.5811815195083616</v>
      </c>
      <c r="X1680" s="8">
        <f t="shared" si="94"/>
        <v>-0.57704144172668226</v>
      </c>
      <c r="Y1680" s="6" t="s">
        <v>1760</v>
      </c>
    </row>
    <row r="1681" spans="1:25" x14ac:dyDescent="0.35">
      <c r="A1681" s="6" t="s">
        <v>25</v>
      </c>
      <c r="B1681" s="6" t="s">
        <v>1936</v>
      </c>
      <c r="D1681" s="6" t="s">
        <v>1937</v>
      </c>
      <c r="E1681" s="6">
        <v>4</v>
      </c>
      <c r="F1681" s="6">
        <v>46</v>
      </c>
      <c r="I1681" s="8">
        <v>81.685643263888906</v>
      </c>
      <c r="J1681" s="8">
        <v>5.3733415277777796</v>
      </c>
      <c r="K1681" s="6" t="s">
        <v>29</v>
      </c>
      <c r="L1681" s="9">
        <v>44018</v>
      </c>
      <c r="N1681" s="6">
        <v>41</v>
      </c>
      <c r="O1681" s="6" t="s">
        <v>4413</v>
      </c>
      <c r="R1681" s="6">
        <v>100</v>
      </c>
      <c r="S1681" s="6">
        <v>110</v>
      </c>
      <c r="T1681" s="10">
        <f t="shared" si="97"/>
        <v>105</v>
      </c>
      <c r="U1681" s="15">
        <v>3.1</v>
      </c>
      <c r="V1681" s="8">
        <v>-0.58184027888774914</v>
      </c>
      <c r="W1681" s="8">
        <v>-5.7775914783477775</v>
      </c>
      <c r="X1681" s="8">
        <f t="shared" si="94"/>
        <v>-1.1228692472457844</v>
      </c>
      <c r="Y1681" s="6" t="s">
        <v>1760</v>
      </c>
    </row>
    <row r="1682" spans="1:25" x14ac:dyDescent="0.35">
      <c r="A1682" s="6" t="s">
        <v>25</v>
      </c>
      <c r="B1682" s="6" t="s">
        <v>1938</v>
      </c>
      <c r="D1682" s="6" t="s">
        <v>1939</v>
      </c>
      <c r="E1682" s="6">
        <v>4</v>
      </c>
      <c r="F1682" s="6">
        <v>46</v>
      </c>
      <c r="I1682" s="8">
        <v>81.685643263888906</v>
      </c>
      <c r="J1682" s="8">
        <v>5.3733415277777796</v>
      </c>
      <c r="K1682" s="6" t="s">
        <v>29</v>
      </c>
      <c r="L1682" s="9">
        <v>44018</v>
      </c>
      <c r="N1682" s="6">
        <v>41</v>
      </c>
      <c r="O1682" s="6" t="s">
        <v>4413</v>
      </c>
      <c r="R1682" s="6">
        <v>110</v>
      </c>
      <c r="S1682" s="6">
        <v>120</v>
      </c>
      <c r="T1682" s="10">
        <f t="shared" si="97"/>
        <v>115</v>
      </c>
      <c r="U1682" s="15">
        <v>2.8</v>
      </c>
      <c r="V1682" s="8">
        <v>-0.42035528280734985</v>
      </c>
      <c r="W1682" s="8">
        <v>-3.9467062826156614</v>
      </c>
      <c r="X1682" s="8">
        <f t="shared" si="94"/>
        <v>-0.58386402015686256</v>
      </c>
      <c r="Y1682" s="6" t="s">
        <v>1760</v>
      </c>
    </row>
    <row r="1683" spans="1:25" x14ac:dyDescent="0.35">
      <c r="A1683" s="6" t="s">
        <v>25</v>
      </c>
      <c r="B1683" s="6" t="s">
        <v>1940</v>
      </c>
      <c r="D1683" s="6" t="s">
        <v>1941</v>
      </c>
      <c r="E1683" s="6">
        <v>4</v>
      </c>
      <c r="F1683" s="6">
        <v>46</v>
      </c>
      <c r="I1683" s="8">
        <v>81.685643263888906</v>
      </c>
      <c r="J1683" s="8">
        <v>5.3733415277777796</v>
      </c>
      <c r="K1683" s="6" t="s">
        <v>29</v>
      </c>
      <c r="L1683" s="9">
        <v>44018</v>
      </c>
      <c r="N1683" s="6">
        <v>41</v>
      </c>
      <c r="O1683" s="6" t="s">
        <v>4413</v>
      </c>
      <c r="R1683" s="6">
        <v>120</v>
      </c>
      <c r="S1683" s="6">
        <v>130</v>
      </c>
      <c r="T1683" s="10">
        <f t="shared" si="97"/>
        <v>125</v>
      </c>
      <c r="U1683" s="15">
        <v>2.2999999999999998</v>
      </c>
      <c r="V1683" s="8">
        <v>0.23120763365030333</v>
      </c>
      <c r="W1683" s="8">
        <v>0.42106393975019485</v>
      </c>
      <c r="X1683" s="8">
        <f t="shared" si="94"/>
        <v>-1.4285971294522319</v>
      </c>
      <c r="Y1683" s="6" t="s">
        <v>1760</v>
      </c>
    </row>
    <row r="1684" spans="1:25" x14ac:dyDescent="0.35">
      <c r="A1684" s="6" t="s">
        <v>25</v>
      </c>
      <c r="B1684" s="6" t="s">
        <v>1942</v>
      </c>
      <c r="D1684" s="6" t="s">
        <v>1943</v>
      </c>
      <c r="E1684" s="6">
        <v>4</v>
      </c>
      <c r="F1684" s="6">
        <v>46</v>
      </c>
      <c r="I1684" s="8">
        <v>81.685643263888906</v>
      </c>
      <c r="J1684" s="8">
        <v>5.3733415277777796</v>
      </c>
      <c r="K1684" s="6" t="s">
        <v>29</v>
      </c>
      <c r="L1684" s="9">
        <v>44018</v>
      </c>
      <c r="N1684" s="6">
        <v>41</v>
      </c>
      <c r="O1684" s="6" t="s">
        <v>4413</v>
      </c>
      <c r="R1684" s="6">
        <v>130</v>
      </c>
      <c r="S1684" s="6">
        <v>140</v>
      </c>
      <c r="T1684" s="10">
        <f t="shared" si="97"/>
        <v>135</v>
      </c>
      <c r="U1684" s="15">
        <v>2.4</v>
      </c>
      <c r="V1684" s="8">
        <v>0.26374779487252192</v>
      </c>
      <c r="W1684" s="8">
        <v>0.81893197667598716</v>
      </c>
      <c r="X1684" s="8">
        <f t="shared" si="94"/>
        <v>-1.2910503823041881</v>
      </c>
      <c r="Y1684" s="6" t="s">
        <v>1760</v>
      </c>
    </row>
    <row r="1685" spans="1:25" x14ac:dyDescent="0.35">
      <c r="A1685" s="6" t="s">
        <v>25</v>
      </c>
      <c r="B1685" s="6" t="s">
        <v>1944</v>
      </c>
      <c r="D1685" s="6" t="s">
        <v>1945</v>
      </c>
      <c r="E1685" s="6">
        <v>4</v>
      </c>
      <c r="F1685" s="6">
        <v>46</v>
      </c>
      <c r="I1685" s="8">
        <v>81.685643263888906</v>
      </c>
      <c r="J1685" s="8">
        <v>5.3733415277777796</v>
      </c>
      <c r="K1685" s="6" t="s">
        <v>29</v>
      </c>
      <c r="L1685" s="9">
        <v>44018</v>
      </c>
      <c r="N1685" s="6">
        <v>41</v>
      </c>
      <c r="O1685" s="6" t="s">
        <v>4413</v>
      </c>
      <c r="R1685" s="6">
        <v>140</v>
      </c>
      <c r="S1685" s="6">
        <v>150</v>
      </c>
      <c r="T1685" s="10">
        <f t="shared" si="97"/>
        <v>145</v>
      </c>
      <c r="U1685" s="15">
        <v>2.2999999999999998</v>
      </c>
      <c r="V1685" s="8">
        <v>-0.60184261372089398</v>
      </c>
      <c r="W1685" s="8">
        <v>-5.390049878120422</v>
      </c>
      <c r="X1685" s="8">
        <f t="shared" si="94"/>
        <v>-0.57530896835327017</v>
      </c>
      <c r="Y1685" s="6" t="s">
        <v>1760</v>
      </c>
    </row>
    <row r="1686" spans="1:25" x14ac:dyDescent="0.35">
      <c r="A1686" s="6" t="s">
        <v>25</v>
      </c>
      <c r="B1686" s="6" t="s">
        <v>1946</v>
      </c>
      <c r="D1686" s="6" t="s">
        <v>1947</v>
      </c>
      <c r="E1686" s="6">
        <v>4</v>
      </c>
      <c r="F1686" s="6">
        <v>46</v>
      </c>
      <c r="I1686" s="8">
        <v>81.685643263888906</v>
      </c>
      <c r="J1686" s="8">
        <v>5.3733415277777796</v>
      </c>
      <c r="K1686" s="6" t="s">
        <v>29</v>
      </c>
      <c r="L1686" s="9">
        <v>44018</v>
      </c>
      <c r="N1686" s="6">
        <v>41</v>
      </c>
      <c r="O1686" s="6" t="s">
        <v>4413</v>
      </c>
      <c r="R1686" s="6">
        <v>150</v>
      </c>
      <c r="S1686" s="6">
        <v>162</v>
      </c>
      <c r="T1686" s="10">
        <f t="shared" si="97"/>
        <v>156</v>
      </c>
      <c r="U1686" s="15">
        <v>1.8</v>
      </c>
      <c r="V1686" s="8">
        <v>-5.2517720483779913</v>
      </c>
      <c r="W1686" s="8">
        <v>-41.32773132324219</v>
      </c>
      <c r="X1686" s="8">
        <f t="shared" si="94"/>
        <v>0.68644506378173986</v>
      </c>
      <c r="Y1686" s="6" t="s">
        <v>1760</v>
      </c>
    </row>
    <row r="1687" spans="1:25" x14ac:dyDescent="0.35">
      <c r="A1687" s="6" t="s">
        <v>25</v>
      </c>
      <c r="B1687" s="6" t="s">
        <v>3551</v>
      </c>
      <c r="D1687" s="6" t="s">
        <v>3853</v>
      </c>
      <c r="E1687" s="6">
        <v>4</v>
      </c>
      <c r="F1687" s="6">
        <v>46</v>
      </c>
      <c r="G1687" s="6" t="s">
        <v>4155</v>
      </c>
      <c r="I1687" s="8">
        <v>81.685643263888906</v>
      </c>
      <c r="J1687" s="8">
        <v>5.3733415277777796</v>
      </c>
      <c r="K1687" s="6" t="s">
        <v>2610</v>
      </c>
      <c r="L1687" s="9">
        <v>44018</v>
      </c>
      <c r="N1687" s="6">
        <v>41</v>
      </c>
      <c r="O1687" s="6" t="s">
        <v>4413</v>
      </c>
      <c r="V1687" s="8">
        <v>-0.36950958417892482</v>
      </c>
      <c r="W1687" s="8">
        <v>-2.244969452023506</v>
      </c>
      <c r="X1687" s="27">
        <f t="shared" si="94"/>
        <v>0.71110722140789262</v>
      </c>
    </row>
    <row r="1688" spans="1:25" x14ac:dyDescent="0.35">
      <c r="A1688" s="6" t="s">
        <v>25</v>
      </c>
      <c r="B1688" s="6" t="s">
        <v>3552</v>
      </c>
      <c r="D1688" s="6" t="s">
        <v>3854</v>
      </c>
      <c r="E1688" s="6">
        <v>4</v>
      </c>
      <c r="F1688" s="6">
        <v>46</v>
      </c>
      <c r="G1688" s="6" t="s">
        <v>4156</v>
      </c>
      <c r="I1688" s="8">
        <v>81.637917999999999</v>
      </c>
      <c r="J1688" s="8">
        <v>4.4815719999999999</v>
      </c>
      <c r="K1688" s="6" t="s">
        <v>2610</v>
      </c>
      <c r="L1688" s="9">
        <v>44019</v>
      </c>
      <c r="N1688" s="6">
        <v>41</v>
      </c>
      <c r="O1688" s="6" t="s">
        <v>4414</v>
      </c>
      <c r="V1688" s="8">
        <v>-0.3133983766937255</v>
      </c>
      <c r="W1688" s="8">
        <v>-2.6556169295310976</v>
      </c>
      <c r="X1688" s="27">
        <f t="shared" si="94"/>
        <v>-0.14842991598129363</v>
      </c>
    </row>
    <row r="1689" spans="1:25" x14ac:dyDescent="0.35">
      <c r="A1689" s="6" t="s">
        <v>25</v>
      </c>
      <c r="B1689" s="6" t="s">
        <v>2925</v>
      </c>
      <c r="D1689" s="6" t="s">
        <v>3158</v>
      </c>
      <c r="E1689" s="6">
        <v>4</v>
      </c>
      <c r="F1689" s="6">
        <v>46</v>
      </c>
      <c r="G1689" s="6" t="s">
        <v>3273</v>
      </c>
      <c r="I1689" s="8">
        <v>81.637917999999999</v>
      </c>
      <c r="J1689" s="8">
        <v>4.4815719999999999</v>
      </c>
      <c r="K1689" s="6" t="s">
        <v>198</v>
      </c>
      <c r="L1689" s="9">
        <v>44019</v>
      </c>
      <c r="M1689" s="18">
        <v>0.51874999999999993</v>
      </c>
      <c r="N1689" s="6">
        <v>41</v>
      </c>
      <c r="O1689" s="6" t="s">
        <v>4414</v>
      </c>
      <c r="R1689" s="6">
        <v>24</v>
      </c>
      <c r="S1689" s="6">
        <v>20</v>
      </c>
      <c r="V1689" s="8">
        <v>-29.033161796188352</v>
      </c>
      <c r="W1689" s="8">
        <v>-224.96191296386718</v>
      </c>
      <c r="X1689" s="8">
        <f t="shared" si="94"/>
        <v>7.3033814056396409</v>
      </c>
    </row>
    <row r="1690" spans="1:25" x14ac:dyDescent="0.35">
      <c r="A1690" s="6" t="s">
        <v>25</v>
      </c>
      <c r="B1690" s="6" t="s">
        <v>2927</v>
      </c>
      <c r="D1690" s="6" t="s">
        <v>3158</v>
      </c>
      <c r="E1690" s="6">
        <v>4</v>
      </c>
      <c r="F1690" s="6">
        <v>46</v>
      </c>
      <c r="G1690" s="6" t="s">
        <v>3273</v>
      </c>
      <c r="I1690" s="8">
        <v>81.637917999999999</v>
      </c>
      <c r="J1690" s="8">
        <v>4.4815719999999999</v>
      </c>
      <c r="K1690" s="6" t="s">
        <v>198</v>
      </c>
      <c r="L1690" s="9">
        <v>44019</v>
      </c>
      <c r="M1690" s="18">
        <v>0.51874999999999993</v>
      </c>
      <c r="N1690" s="6">
        <v>41</v>
      </c>
      <c r="O1690" s="6" t="s">
        <v>4414</v>
      </c>
      <c r="R1690" s="6">
        <v>8</v>
      </c>
      <c r="S1690" s="6">
        <v>4</v>
      </c>
      <c r="V1690" s="8">
        <v>-25.531320939636228</v>
      </c>
      <c r="W1690" s="8">
        <v>-196.50373638916014</v>
      </c>
      <c r="X1690" s="8">
        <f t="shared" si="94"/>
        <v>7.7468311279296813</v>
      </c>
    </row>
    <row r="1691" spans="1:25" x14ac:dyDescent="0.35">
      <c r="A1691" s="6" t="s">
        <v>25</v>
      </c>
      <c r="B1691" s="6" t="s">
        <v>3553</v>
      </c>
      <c r="D1691" s="6" t="s">
        <v>3855</v>
      </c>
      <c r="E1691" s="6">
        <v>4</v>
      </c>
      <c r="F1691" s="6">
        <v>46</v>
      </c>
      <c r="G1691" s="6" t="s">
        <v>4157</v>
      </c>
      <c r="I1691" s="8">
        <v>81.597795000000005</v>
      </c>
      <c r="J1691" s="8">
        <v>3.265714</v>
      </c>
      <c r="K1691" s="6" t="s">
        <v>2610</v>
      </c>
      <c r="L1691" s="9">
        <v>44020</v>
      </c>
      <c r="N1691" s="6">
        <v>41</v>
      </c>
      <c r="O1691" s="6" t="s">
        <v>4412</v>
      </c>
      <c r="V1691" s="8">
        <v>-0.68053065799713131</v>
      </c>
      <c r="W1691" s="8">
        <v>-4.8210094809532169</v>
      </c>
      <c r="X1691" s="27">
        <f t="shared" si="94"/>
        <v>0.62323578302383353</v>
      </c>
    </row>
    <row r="1692" spans="1:25" x14ac:dyDescent="0.35">
      <c r="A1692" s="6" t="s">
        <v>25</v>
      </c>
      <c r="B1692" s="6" t="s">
        <v>2928</v>
      </c>
      <c r="D1692" s="6" t="s">
        <v>3160</v>
      </c>
      <c r="E1692" s="6">
        <v>4</v>
      </c>
      <c r="F1692" s="6">
        <v>46</v>
      </c>
      <c r="G1692" s="6" t="s">
        <v>3320</v>
      </c>
      <c r="I1692" s="8">
        <v>81.597795000000005</v>
      </c>
      <c r="J1692" s="8">
        <v>3.265714</v>
      </c>
      <c r="K1692" s="6" t="s">
        <v>198</v>
      </c>
      <c r="L1692" s="9">
        <v>44020</v>
      </c>
      <c r="M1692" s="18">
        <v>0.48958333333333331</v>
      </c>
      <c r="N1692" s="6">
        <v>41</v>
      </c>
      <c r="O1692" s="6" t="s">
        <v>4412</v>
      </c>
      <c r="R1692" s="6" t="s">
        <v>3178</v>
      </c>
      <c r="V1692" s="8">
        <v>-15.396179710960386</v>
      </c>
      <c r="W1692" s="8">
        <v>-115.37747586059571</v>
      </c>
      <c r="X1692" s="8">
        <f t="shared" si="94"/>
        <v>7.7919618270873769</v>
      </c>
      <c r="Y1692" s="6" t="s">
        <v>3191</v>
      </c>
    </row>
    <row r="1693" spans="1:25" x14ac:dyDescent="0.35">
      <c r="A1693" s="6" t="s">
        <v>25</v>
      </c>
      <c r="B1693" s="6" t="s">
        <v>3049</v>
      </c>
      <c r="D1693" s="6" t="s">
        <v>3160</v>
      </c>
      <c r="E1693" s="6">
        <v>4</v>
      </c>
      <c r="F1693" s="6">
        <v>46</v>
      </c>
      <c r="G1693" s="6" t="s">
        <v>3320</v>
      </c>
      <c r="I1693" s="8">
        <v>81.597795000000005</v>
      </c>
      <c r="J1693" s="8">
        <v>3.265714</v>
      </c>
      <c r="K1693" s="6" t="s">
        <v>198</v>
      </c>
      <c r="L1693" s="9">
        <v>44020</v>
      </c>
      <c r="M1693" s="18">
        <v>0.48958333333333331</v>
      </c>
      <c r="N1693" s="6">
        <v>41</v>
      </c>
      <c r="O1693" s="6" t="s">
        <v>4412</v>
      </c>
      <c r="R1693" s="6">
        <v>1.5</v>
      </c>
      <c r="V1693" s="8">
        <v>-5.6732501898765566</v>
      </c>
      <c r="W1693" s="8">
        <v>-43.503004653930667</v>
      </c>
      <c r="X1693" s="8">
        <f t="shared" si="94"/>
        <v>1.8829968650817861</v>
      </c>
      <c r="Y1693" s="6" t="s">
        <v>3192</v>
      </c>
    </row>
    <row r="1694" spans="1:25" x14ac:dyDescent="0.35">
      <c r="A1694" s="6" t="s">
        <v>25</v>
      </c>
      <c r="B1694" s="6" t="s">
        <v>3050</v>
      </c>
      <c r="D1694" s="6" t="s">
        <v>3160</v>
      </c>
      <c r="E1694" s="6">
        <v>4</v>
      </c>
      <c r="F1694" s="6">
        <v>46</v>
      </c>
      <c r="G1694" s="6" t="s">
        <v>3320</v>
      </c>
      <c r="I1694" s="8">
        <v>81.597795000000005</v>
      </c>
      <c r="J1694" s="8">
        <v>3.265714</v>
      </c>
      <c r="K1694" s="6" t="s">
        <v>198</v>
      </c>
      <c r="L1694" s="9">
        <v>44020</v>
      </c>
      <c r="M1694" s="18">
        <v>0.48958333333333331</v>
      </c>
      <c r="N1694" s="6">
        <v>41</v>
      </c>
      <c r="O1694" s="6" t="s">
        <v>4412</v>
      </c>
      <c r="R1694" s="6">
        <v>43</v>
      </c>
      <c r="V1694" s="8">
        <v>-5.0631689201354968</v>
      </c>
      <c r="W1694" s="8">
        <v>-40.235767257690433</v>
      </c>
      <c r="X1694" s="8">
        <f t="shared" si="94"/>
        <v>0.26958410339354089</v>
      </c>
      <c r="Y1694" s="6" t="s">
        <v>3193</v>
      </c>
    </row>
    <row r="1695" spans="1:25" x14ac:dyDescent="0.35">
      <c r="A1695" s="6" t="s">
        <v>25</v>
      </c>
      <c r="B1695" s="6" t="s">
        <v>3051</v>
      </c>
      <c r="D1695" s="6" t="s">
        <v>3160</v>
      </c>
      <c r="E1695" s="6">
        <v>4</v>
      </c>
      <c r="F1695" s="6">
        <v>46</v>
      </c>
      <c r="G1695" s="6" t="s">
        <v>3320</v>
      </c>
      <c r="I1695" s="8">
        <v>81.597795000000005</v>
      </c>
      <c r="J1695" s="8">
        <v>3.265714</v>
      </c>
      <c r="K1695" s="6" t="s">
        <v>198</v>
      </c>
      <c r="L1695" s="9">
        <v>44020</v>
      </c>
      <c r="M1695" s="18">
        <v>0.48958333333333331</v>
      </c>
      <c r="N1695" s="6">
        <v>41</v>
      </c>
      <c r="O1695" s="6" t="s">
        <v>4412</v>
      </c>
      <c r="R1695" s="6">
        <v>4</v>
      </c>
      <c r="V1695" s="8">
        <v>-25.529565375709531</v>
      </c>
      <c r="W1695" s="8">
        <v>-193.46327694396967</v>
      </c>
      <c r="X1695" s="8">
        <f t="shared" si="94"/>
        <v>10.773246061706573</v>
      </c>
      <c r="Y1695" s="6" t="s">
        <v>3194</v>
      </c>
    </row>
    <row r="1696" spans="1:25" x14ac:dyDescent="0.35">
      <c r="A1696" s="6" t="s">
        <v>25</v>
      </c>
      <c r="B1696" s="6" t="s">
        <v>3052</v>
      </c>
      <c r="D1696" s="6" t="s">
        <v>3160</v>
      </c>
      <c r="E1696" s="6">
        <v>4</v>
      </c>
      <c r="F1696" s="6">
        <v>46</v>
      </c>
      <c r="G1696" s="6" t="s">
        <v>3320</v>
      </c>
      <c r="I1696" s="8">
        <v>81.597795000000005</v>
      </c>
      <c r="J1696" s="8">
        <v>3.265714</v>
      </c>
      <c r="K1696" s="6" t="s">
        <v>198</v>
      </c>
      <c r="L1696" s="9">
        <v>44020</v>
      </c>
      <c r="M1696" s="18">
        <v>0.48958333333333331</v>
      </c>
      <c r="N1696" s="6">
        <v>41</v>
      </c>
      <c r="O1696" s="6" t="s">
        <v>4412</v>
      </c>
      <c r="R1696" s="6">
        <v>1.5</v>
      </c>
      <c r="V1696" s="8">
        <v>-5.6819154263973237</v>
      </c>
      <c r="W1696" s="8">
        <v>-42.368758650588987</v>
      </c>
      <c r="X1696" s="8">
        <f t="shared" si="94"/>
        <v>3.0865647605896029</v>
      </c>
      <c r="Y1696" s="6" t="s">
        <v>3195</v>
      </c>
    </row>
    <row r="1697" spans="1:25" x14ac:dyDescent="0.35">
      <c r="A1697" s="6" t="s">
        <v>25</v>
      </c>
      <c r="B1697" s="6" t="s">
        <v>3053</v>
      </c>
      <c r="D1697" s="6" t="s">
        <v>3160</v>
      </c>
      <c r="E1697" s="6">
        <v>4</v>
      </c>
      <c r="F1697" s="6">
        <v>46</v>
      </c>
      <c r="G1697" s="6" t="s">
        <v>3320</v>
      </c>
      <c r="I1697" s="8">
        <v>81.597795000000005</v>
      </c>
      <c r="J1697" s="8">
        <v>3.265714</v>
      </c>
      <c r="K1697" s="6" t="s">
        <v>198</v>
      </c>
      <c r="L1697" s="9">
        <v>44020</v>
      </c>
      <c r="M1697" s="18">
        <v>0.48958333333333331</v>
      </c>
      <c r="N1697" s="6">
        <v>41</v>
      </c>
      <c r="O1697" s="6" t="s">
        <v>4412</v>
      </c>
      <c r="R1697" s="6">
        <v>5</v>
      </c>
      <c r="V1697" s="8">
        <v>-1.4105425052881242</v>
      </c>
      <c r="W1697" s="8">
        <v>-9.6090831411361677</v>
      </c>
      <c r="X1697" s="8">
        <f t="shared" ref="X1697:X1760" si="98">W1697-(8*V1697)</f>
        <v>1.6752569011688259</v>
      </c>
      <c r="Y1697" s="6" t="s">
        <v>3196</v>
      </c>
    </row>
    <row r="1698" spans="1:25" x14ac:dyDescent="0.35">
      <c r="A1698" s="6" t="s">
        <v>25</v>
      </c>
      <c r="B1698" s="6" t="s">
        <v>3054</v>
      </c>
      <c r="D1698" s="6" t="s">
        <v>3160</v>
      </c>
      <c r="E1698" s="6">
        <v>4</v>
      </c>
      <c r="F1698" s="6">
        <v>46</v>
      </c>
      <c r="G1698" s="6" t="s">
        <v>3320</v>
      </c>
      <c r="I1698" s="8">
        <v>81.597795000000005</v>
      </c>
      <c r="J1698" s="8">
        <v>3.265714</v>
      </c>
      <c r="K1698" s="6" t="s">
        <v>198</v>
      </c>
      <c r="L1698" s="9">
        <v>44020</v>
      </c>
      <c r="M1698" s="18">
        <v>0.48958333333333331</v>
      </c>
      <c r="N1698" s="6">
        <v>41</v>
      </c>
      <c r="O1698" s="6" t="s">
        <v>4412</v>
      </c>
      <c r="R1698" s="6">
        <v>4</v>
      </c>
      <c r="V1698" s="8">
        <v>-11.424668993377683</v>
      </c>
      <c r="W1698" s="8">
        <v>-87.127330944824209</v>
      </c>
      <c r="X1698" s="8">
        <f t="shared" si="98"/>
        <v>4.2700210021972538</v>
      </c>
      <c r="Y1698" s="6" t="s">
        <v>3197</v>
      </c>
    </row>
    <row r="1699" spans="1:25" x14ac:dyDescent="0.35">
      <c r="A1699" s="6" t="s">
        <v>25</v>
      </c>
      <c r="B1699" s="6" t="s">
        <v>3055</v>
      </c>
      <c r="D1699" s="6" t="s">
        <v>3160</v>
      </c>
      <c r="E1699" s="6">
        <v>4</v>
      </c>
      <c r="F1699" s="6">
        <v>46</v>
      </c>
      <c r="G1699" s="6" t="s">
        <v>3320</v>
      </c>
      <c r="I1699" s="8">
        <v>81.597795000000005</v>
      </c>
      <c r="J1699" s="8">
        <v>3.265714</v>
      </c>
      <c r="K1699" s="6" t="s">
        <v>198</v>
      </c>
      <c r="L1699" s="9">
        <v>44020</v>
      </c>
      <c r="M1699" s="18">
        <v>0.48958333333333331</v>
      </c>
      <c r="N1699" s="6">
        <v>41</v>
      </c>
      <c r="O1699" s="6" t="s">
        <v>4412</v>
      </c>
      <c r="R1699" s="6">
        <v>4.5</v>
      </c>
      <c r="V1699" s="8">
        <v>-21.099242945098872</v>
      </c>
      <c r="W1699" s="8">
        <v>-156.02615290527342</v>
      </c>
      <c r="X1699" s="8">
        <f t="shared" si="98"/>
        <v>12.767790655517558</v>
      </c>
      <c r="Y1699" s="6" t="s">
        <v>3198</v>
      </c>
    </row>
    <row r="1700" spans="1:25" x14ac:dyDescent="0.35">
      <c r="A1700" s="6" t="s">
        <v>25</v>
      </c>
      <c r="B1700" s="6" t="s">
        <v>3056</v>
      </c>
      <c r="D1700" s="6" t="s">
        <v>3160</v>
      </c>
      <c r="E1700" s="6">
        <v>4</v>
      </c>
      <c r="F1700" s="6">
        <v>46</v>
      </c>
      <c r="G1700" s="6" t="s">
        <v>3320</v>
      </c>
      <c r="I1700" s="8">
        <v>81.597795000000005</v>
      </c>
      <c r="J1700" s="8">
        <v>3.265714</v>
      </c>
      <c r="K1700" s="6" t="s">
        <v>198</v>
      </c>
      <c r="L1700" s="9">
        <v>44020</v>
      </c>
      <c r="M1700" s="18">
        <v>0.48958333333333331</v>
      </c>
      <c r="N1700" s="6">
        <v>41</v>
      </c>
      <c r="O1700" s="6" t="s">
        <v>4412</v>
      </c>
      <c r="R1700" s="6">
        <v>2</v>
      </c>
      <c r="V1700" s="8">
        <v>-2.8990607065200806</v>
      </c>
      <c r="W1700" s="8">
        <v>-24.874143791961671</v>
      </c>
      <c r="X1700" s="8">
        <f t="shared" si="98"/>
        <v>-1.6816581398010264</v>
      </c>
      <c r="Y1700" s="6" t="s">
        <v>3199</v>
      </c>
    </row>
    <row r="1701" spans="1:25" x14ac:dyDescent="0.35">
      <c r="A1701" s="6" t="s">
        <v>25</v>
      </c>
      <c r="B1701" s="6" t="s">
        <v>3057</v>
      </c>
      <c r="D1701" s="6" t="s">
        <v>3160</v>
      </c>
      <c r="E1701" s="6">
        <v>4</v>
      </c>
      <c r="F1701" s="6">
        <v>46</v>
      </c>
      <c r="G1701" s="6" t="s">
        <v>3320</v>
      </c>
      <c r="I1701" s="8">
        <v>81.597795000000005</v>
      </c>
      <c r="J1701" s="8">
        <v>3.265714</v>
      </c>
      <c r="K1701" s="6" t="s">
        <v>198</v>
      </c>
      <c r="L1701" s="9">
        <v>44020</v>
      </c>
      <c r="M1701" s="18">
        <v>0.48958333333333331</v>
      </c>
      <c r="N1701" s="6">
        <v>41</v>
      </c>
      <c r="O1701" s="6" t="s">
        <v>4412</v>
      </c>
      <c r="R1701" s="6">
        <v>7</v>
      </c>
      <c r="V1701" s="8">
        <v>-3.2228004659652711</v>
      </c>
      <c r="W1701" s="8">
        <v>-25.139528782653809</v>
      </c>
      <c r="X1701" s="8">
        <f t="shared" si="98"/>
        <v>0.6428749450683604</v>
      </c>
      <c r="Y1701" s="6" t="s">
        <v>3200</v>
      </c>
    </row>
    <row r="1702" spans="1:25" x14ac:dyDescent="0.35">
      <c r="A1702" s="6" t="s">
        <v>25</v>
      </c>
      <c r="B1702" s="6" t="s">
        <v>3058</v>
      </c>
      <c r="D1702" s="6" t="s">
        <v>3160</v>
      </c>
      <c r="E1702" s="6">
        <v>4</v>
      </c>
      <c r="F1702" s="6">
        <v>46</v>
      </c>
      <c r="G1702" s="6" t="s">
        <v>3320</v>
      </c>
      <c r="I1702" s="8">
        <v>81.597795000000005</v>
      </c>
      <c r="J1702" s="8">
        <v>3.265714</v>
      </c>
      <c r="K1702" s="6" t="s">
        <v>198</v>
      </c>
      <c r="L1702" s="9">
        <v>44020</v>
      </c>
      <c r="M1702" s="18">
        <v>0.48958333333333331</v>
      </c>
      <c r="N1702" s="6">
        <v>41</v>
      </c>
      <c r="O1702" s="6" t="s">
        <v>4412</v>
      </c>
      <c r="R1702" s="6">
        <v>2.5</v>
      </c>
      <c r="V1702" s="8">
        <v>-23.386562406921385</v>
      </c>
      <c r="W1702" s="8">
        <v>-175.79208381347655</v>
      </c>
      <c r="X1702" s="8">
        <f t="shared" si="98"/>
        <v>11.300415441894529</v>
      </c>
      <c r="Y1702" s="6" t="s">
        <v>3201</v>
      </c>
    </row>
    <row r="1703" spans="1:25" x14ac:dyDescent="0.35">
      <c r="A1703" s="6" t="s">
        <v>25</v>
      </c>
      <c r="B1703" s="6" t="s">
        <v>3059</v>
      </c>
      <c r="D1703" s="6" t="s">
        <v>3160</v>
      </c>
      <c r="E1703" s="6">
        <v>4</v>
      </c>
      <c r="F1703" s="6">
        <v>46</v>
      </c>
      <c r="G1703" s="6" t="s">
        <v>3320</v>
      </c>
      <c r="I1703" s="8">
        <v>81.597795000000005</v>
      </c>
      <c r="J1703" s="8">
        <v>3.265714</v>
      </c>
      <c r="K1703" s="6" t="s">
        <v>198</v>
      </c>
      <c r="L1703" s="9">
        <v>44020</v>
      </c>
      <c r="M1703" s="18">
        <v>0.48958333333333331</v>
      </c>
      <c r="N1703" s="6">
        <v>41</v>
      </c>
      <c r="O1703" s="6" t="s">
        <v>4412</v>
      </c>
      <c r="V1703" s="8">
        <v>-3.1567437490463255</v>
      </c>
      <c r="W1703" s="8">
        <v>-23.662515888977051</v>
      </c>
      <c r="X1703" s="8">
        <f t="shared" si="98"/>
        <v>1.5914341033935528</v>
      </c>
      <c r="Y1703" s="6" t="s">
        <v>3202</v>
      </c>
    </row>
    <row r="1704" spans="1:25" x14ac:dyDescent="0.35">
      <c r="A1704" s="6" t="s">
        <v>25</v>
      </c>
      <c r="B1704" s="6" t="s">
        <v>3554</v>
      </c>
      <c r="D1704" s="6" t="s">
        <v>3856</v>
      </c>
      <c r="E1704" s="6">
        <v>4</v>
      </c>
      <c r="F1704" s="6">
        <v>46</v>
      </c>
      <c r="G1704" s="6" t="s">
        <v>4158</v>
      </c>
      <c r="I1704" s="8">
        <v>81.542651666666686</v>
      </c>
      <c r="J1704" s="8">
        <v>2.5603885416666659</v>
      </c>
      <c r="K1704" s="6" t="s">
        <v>2610</v>
      </c>
      <c r="L1704" s="9">
        <v>44021</v>
      </c>
      <c r="N1704" s="6">
        <v>41</v>
      </c>
      <c r="O1704" s="6" t="s">
        <v>4403</v>
      </c>
      <c r="V1704" s="8">
        <v>-0.58207994007110642</v>
      </c>
      <c r="W1704" s="8">
        <v>-3.8470818257331851</v>
      </c>
      <c r="X1704" s="27">
        <f t="shared" si="98"/>
        <v>0.8095576948356662</v>
      </c>
    </row>
    <row r="1705" spans="1:25" x14ac:dyDescent="0.35">
      <c r="A1705" s="6" t="s">
        <v>25</v>
      </c>
      <c r="B1705" s="6" t="s">
        <v>3555</v>
      </c>
      <c r="D1705" s="6" t="s">
        <v>3857</v>
      </c>
      <c r="E1705" s="6">
        <v>4</v>
      </c>
      <c r="F1705" s="6">
        <v>46</v>
      </c>
      <c r="G1705" s="6" t="s">
        <v>4159</v>
      </c>
      <c r="I1705" s="8">
        <v>81.454913541666627</v>
      </c>
      <c r="J1705" s="8">
        <v>1.4914145833333337</v>
      </c>
      <c r="K1705" s="6" t="s">
        <v>2610</v>
      </c>
      <c r="L1705" s="9">
        <v>44023</v>
      </c>
      <c r="N1705" s="6">
        <v>41</v>
      </c>
      <c r="O1705" s="6" t="s">
        <v>4415</v>
      </c>
      <c r="V1705" s="8">
        <v>-0.53102984642028828</v>
      </c>
      <c r="W1705" s="8">
        <v>-3.5569853591918941</v>
      </c>
      <c r="X1705" s="27">
        <f t="shared" si="98"/>
        <v>0.69125341217041214</v>
      </c>
    </row>
    <row r="1706" spans="1:25" x14ac:dyDescent="0.35">
      <c r="A1706" s="6" t="s">
        <v>25</v>
      </c>
      <c r="B1706" s="6" t="s">
        <v>3556</v>
      </c>
      <c r="D1706" s="6" t="s">
        <v>3858</v>
      </c>
      <c r="E1706" s="6">
        <v>4</v>
      </c>
      <c r="F1706" s="6">
        <v>46</v>
      </c>
      <c r="G1706" s="6" t="s">
        <v>4160</v>
      </c>
      <c r="I1706" s="8">
        <v>81.4448402777778</v>
      </c>
      <c r="J1706" s="8">
        <v>0.51624180555555554</v>
      </c>
      <c r="K1706" s="6" t="s">
        <v>2610</v>
      </c>
      <c r="L1706" s="9">
        <v>44024</v>
      </c>
      <c r="N1706" s="6">
        <v>42</v>
      </c>
      <c r="O1706" s="6" t="s">
        <v>4416</v>
      </c>
      <c r="V1706" s="8">
        <v>-1.0746496183776859</v>
      </c>
      <c r="W1706" s="8">
        <v>-7.7596527147293095</v>
      </c>
      <c r="X1706" s="27">
        <f t="shared" si="98"/>
        <v>0.83754423229217778</v>
      </c>
    </row>
    <row r="1707" spans="1:25" x14ac:dyDescent="0.35">
      <c r="A1707" s="6" t="s">
        <v>25</v>
      </c>
      <c r="B1707" s="6" t="s">
        <v>1948</v>
      </c>
      <c r="D1707" s="6" t="s">
        <v>1949</v>
      </c>
      <c r="E1707" s="6">
        <v>4</v>
      </c>
      <c r="F1707" s="6">
        <v>47</v>
      </c>
      <c r="I1707" s="8">
        <v>81.417819374999993</v>
      </c>
      <c r="J1707" s="8">
        <v>0.28587430555555599</v>
      </c>
      <c r="K1707" s="6" t="s">
        <v>29</v>
      </c>
      <c r="L1707" s="9">
        <v>44025</v>
      </c>
      <c r="N1707" s="6">
        <v>42</v>
      </c>
      <c r="O1707" s="6" t="s">
        <v>4403</v>
      </c>
      <c r="R1707" s="6">
        <v>0</v>
      </c>
      <c r="S1707" s="6">
        <v>10</v>
      </c>
      <c r="T1707" s="10">
        <f t="shared" ref="T1707:T1720" si="99">AVERAGE(R1707:S1707)</f>
        <v>5</v>
      </c>
      <c r="U1707" s="15">
        <v>2</v>
      </c>
      <c r="V1707" s="8">
        <v>-2.9054937379360202</v>
      </c>
      <c r="W1707" s="8">
        <v>-21.483474206924438</v>
      </c>
      <c r="X1707" s="8">
        <f t="shared" si="98"/>
        <v>1.7604756965637236</v>
      </c>
      <c r="Y1707" s="6" t="s">
        <v>1760</v>
      </c>
    </row>
    <row r="1708" spans="1:25" x14ac:dyDescent="0.35">
      <c r="A1708" s="6" t="s">
        <v>25</v>
      </c>
      <c r="B1708" s="6" t="s">
        <v>1950</v>
      </c>
      <c r="D1708" s="6" t="s">
        <v>1951</v>
      </c>
      <c r="E1708" s="6">
        <v>4</v>
      </c>
      <c r="F1708" s="6">
        <v>47</v>
      </c>
      <c r="I1708" s="8">
        <v>81.417819374999993</v>
      </c>
      <c r="J1708" s="8">
        <v>0.28587430555555599</v>
      </c>
      <c r="K1708" s="6" t="s">
        <v>29</v>
      </c>
      <c r="L1708" s="9">
        <v>44025</v>
      </c>
      <c r="N1708" s="6">
        <v>42</v>
      </c>
      <c r="O1708" s="6" t="s">
        <v>4403</v>
      </c>
      <c r="R1708" s="6">
        <v>10</v>
      </c>
      <c r="S1708" s="6">
        <v>20</v>
      </c>
      <c r="T1708" s="10">
        <f t="shared" si="99"/>
        <v>15</v>
      </c>
      <c r="U1708" s="15">
        <v>1.5</v>
      </c>
      <c r="V1708" s="8">
        <v>-0.57842485755682005</v>
      </c>
      <c r="W1708" s="8">
        <v>-2.9613532321453095</v>
      </c>
      <c r="X1708" s="8">
        <f t="shared" si="98"/>
        <v>1.6660456283092508</v>
      </c>
      <c r="Y1708" s="6" t="s">
        <v>1760</v>
      </c>
    </row>
    <row r="1709" spans="1:25" x14ac:dyDescent="0.35">
      <c r="A1709" s="6" t="s">
        <v>25</v>
      </c>
      <c r="B1709" s="6" t="s">
        <v>1952</v>
      </c>
      <c r="D1709" s="6" t="s">
        <v>1953</v>
      </c>
      <c r="E1709" s="6">
        <v>4</v>
      </c>
      <c r="F1709" s="6">
        <v>47</v>
      </c>
      <c r="I1709" s="8">
        <v>81.417819374999993</v>
      </c>
      <c r="J1709" s="8">
        <v>0.28587430555555599</v>
      </c>
      <c r="K1709" s="6" t="s">
        <v>29</v>
      </c>
      <c r="L1709" s="9">
        <v>44025</v>
      </c>
      <c r="N1709" s="6">
        <v>42</v>
      </c>
      <c r="O1709" s="6" t="s">
        <v>4403</v>
      </c>
      <c r="R1709" s="6">
        <v>20</v>
      </c>
      <c r="S1709" s="6">
        <v>30</v>
      </c>
      <c r="T1709" s="10">
        <f t="shared" si="99"/>
        <v>25</v>
      </c>
      <c r="U1709" s="15">
        <v>1.6</v>
      </c>
      <c r="V1709" s="8">
        <v>-0.23767740827798806</v>
      </c>
      <c r="W1709" s="8">
        <v>-0.73235857975110419</v>
      </c>
      <c r="X1709" s="8">
        <f t="shared" si="98"/>
        <v>1.1690606864728004</v>
      </c>
      <c r="Y1709" s="6" t="s">
        <v>1760</v>
      </c>
    </row>
    <row r="1710" spans="1:25" x14ac:dyDescent="0.35">
      <c r="A1710" s="6" t="s">
        <v>25</v>
      </c>
      <c r="B1710" s="6" t="s">
        <v>1954</v>
      </c>
      <c r="D1710" s="6" t="s">
        <v>1955</v>
      </c>
      <c r="E1710" s="6">
        <v>4</v>
      </c>
      <c r="F1710" s="6">
        <v>47</v>
      </c>
      <c r="I1710" s="8">
        <v>81.417819374999993</v>
      </c>
      <c r="J1710" s="8">
        <v>0.28587430555555599</v>
      </c>
      <c r="K1710" s="6" t="s">
        <v>29</v>
      </c>
      <c r="L1710" s="9">
        <v>44025</v>
      </c>
      <c r="N1710" s="6">
        <v>42</v>
      </c>
      <c r="O1710" s="6" t="s">
        <v>4403</v>
      </c>
      <c r="R1710" s="6">
        <v>30</v>
      </c>
      <c r="S1710" s="6">
        <v>40</v>
      </c>
      <c r="T1710" s="10">
        <f t="shared" si="99"/>
        <v>35</v>
      </c>
      <c r="U1710" s="15">
        <v>1.9</v>
      </c>
      <c r="V1710" s="8">
        <v>-0.17224279443621593</v>
      </c>
      <c r="W1710" s="8">
        <v>-0.32664805322885559</v>
      </c>
      <c r="X1710" s="8">
        <f t="shared" si="98"/>
        <v>1.0512943022608718</v>
      </c>
      <c r="Y1710" s="6" t="s">
        <v>1760</v>
      </c>
    </row>
    <row r="1711" spans="1:25" x14ac:dyDescent="0.35">
      <c r="A1711" s="6" t="s">
        <v>25</v>
      </c>
      <c r="B1711" s="6" t="s">
        <v>1956</v>
      </c>
      <c r="D1711" s="6" t="s">
        <v>1957</v>
      </c>
      <c r="E1711" s="6">
        <v>4</v>
      </c>
      <c r="F1711" s="6">
        <v>47</v>
      </c>
      <c r="I1711" s="8">
        <v>81.417819374999993</v>
      </c>
      <c r="J1711" s="8">
        <v>0.28587430555555599</v>
      </c>
      <c r="K1711" s="6" t="s">
        <v>29</v>
      </c>
      <c r="L1711" s="9">
        <v>44025</v>
      </c>
      <c r="N1711" s="6">
        <v>42</v>
      </c>
      <c r="O1711" s="6" t="s">
        <v>4403</v>
      </c>
      <c r="R1711" s="6">
        <v>40</v>
      </c>
      <c r="S1711" s="6">
        <v>50</v>
      </c>
      <c r="T1711" s="10">
        <f t="shared" si="99"/>
        <v>45</v>
      </c>
      <c r="U1711" s="15">
        <v>2.8</v>
      </c>
      <c r="V1711" s="8">
        <v>-0.36432997108697895</v>
      </c>
      <c r="W1711" s="8">
        <v>-1.7379008204936988</v>
      </c>
      <c r="X1711" s="8">
        <f t="shared" si="98"/>
        <v>1.1767389482021329</v>
      </c>
      <c r="Y1711" s="6" t="s">
        <v>1760</v>
      </c>
    </row>
    <row r="1712" spans="1:25" x14ac:dyDescent="0.35">
      <c r="A1712" s="6" t="s">
        <v>25</v>
      </c>
      <c r="B1712" s="6" t="s">
        <v>1958</v>
      </c>
      <c r="D1712" s="6" t="s">
        <v>1959</v>
      </c>
      <c r="E1712" s="6">
        <v>4</v>
      </c>
      <c r="F1712" s="6">
        <v>47</v>
      </c>
      <c r="I1712" s="8">
        <v>81.417819374999993</v>
      </c>
      <c r="J1712" s="8">
        <v>0.28587430555555599</v>
      </c>
      <c r="K1712" s="6" t="s">
        <v>29</v>
      </c>
      <c r="L1712" s="9">
        <v>44025</v>
      </c>
      <c r="N1712" s="6">
        <v>42</v>
      </c>
      <c r="O1712" s="6" t="s">
        <v>4403</v>
      </c>
      <c r="R1712" s="6">
        <v>50</v>
      </c>
      <c r="S1712" s="6">
        <v>60</v>
      </c>
      <c r="T1712" s="10">
        <f t="shared" si="99"/>
        <v>55</v>
      </c>
      <c r="U1712" s="15">
        <v>2.7</v>
      </c>
      <c r="V1712" s="8">
        <v>-0.39855358810424801</v>
      </c>
      <c r="W1712" s="8">
        <v>-1.7865278370380406</v>
      </c>
      <c r="X1712" s="8">
        <f t="shared" si="98"/>
        <v>1.4019008677959435</v>
      </c>
      <c r="Y1712" s="6" t="s">
        <v>1760</v>
      </c>
    </row>
    <row r="1713" spans="1:25" x14ac:dyDescent="0.35">
      <c r="A1713" s="6" t="s">
        <v>25</v>
      </c>
      <c r="B1713" s="6" t="s">
        <v>1960</v>
      </c>
      <c r="D1713" s="6" t="s">
        <v>1961</v>
      </c>
      <c r="E1713" s="6">
        <v>4</v>
      </c>
      <c r="F1713" s="6">
        <v>47</v>
      </c>
      <c r="I1713" s="8">
        <v>81.417819374999993</v>
      </c>
      <c r="J1713" s="8">
        <v>0.28587430555555599</v>
      </c>
      <c r="K1713" s="6" t="s">
        <v>29</v>
      </c>
      <c r="L1713" s="9">
        <v>44025</v>
      </c>
      <c r="N1713" s="6">
        <v>42</v>
      </c>
      <c r="O1713" s="6" t="s">
        <v>4403</v>
      </c>
      <c r="R1713" s="6">
        <v>60</v>
      </c>
      <c r="S1713" s="6">
        <v>70</v>
      </c>
      <c r="T1713" s="10">
        <f t="shared" si="99"/>
        <v>65</v>
      </c>
      <c r="U1713" s="15">
        <v>2.6</v>
      </c>
      <c r="V1713" s="8">
        <v>-0.23162272847890888</v>
      </c>
      <c r="W1713" s="8">
        <v>-0.36434183430671674</v>
      </c>
      <c r="X1713" s="8">
        <f t="shared" si="98"/>
        <v>1.4886399935245542</v>
      </c>
      <c r="Y1713" s="6" t="s">
        <v>1760</v>
      </c>
    </row>
    <row r="1714" spans="1:25" x14ac:dyDescent="0.35">
      <c r="A1714" s="6" t="s">
        <v>25</v>
      </c>
      <c r="B1714" s="6" t="s">
        <v>1962</v>
      </c>
      <c r="D1714" s="6" t="s">
        <v>1963</v>
      </c>
      <c r="E1714" s="6">
        <v>4</v>
      </c>
      <c r="F1714" s="6">
        <v>47</v>
      </c>
      <c r="I1714" s="8">
        <v>81.417819374999993</v>
      </c>
      <c r="J1714" s="8">
        <v>0.28587430555555599</v>
      </c>
      <c r="K1714" s="6" t="s">
        <v>29</v>
      </c>
      <c r="L1714" s="9">
        <v>44025</v>
      </c>
      <c r="N1714" s="6">
        <v>42</v>
      </c>
      <c r="O1714" s="6" t="s">
        <v>4403</v>
      </c>
      <c r="R1714" s="6">
        <v>70</v>
      </c>
      <c r="S1714" s="6">
        <v>80</v>
      </c>
      <c r="T1714" s="10">
        <f t="shared" si="99"/>
        <v>75</v>
      </c>
      <c r="U1714" s="15">
        <v>2.5</v>
      </c>
      <c r="V1714" s="8">
        <v>-0.16399319995641665</v>
      </c>
      <c r="W1714" s="8">
        <v>0.38300732028484308</v>
      </c>
      <c r="X1714" s="8">
        <f t="shared" si="98"/>
        <v>1.6949529199361764</v>
      </c>
      <c r="Y1714" s="6" t="s">
        <v>1760</v>
      </c>
    </row>
    <row r="1715" spans="1:25" x14ac:dyDescent="0.35">
      <c r="A1715" s="6" t="s">
        <v>25</v>
      </c>
      <c r="B1715" s="6" t="s">
        <v>1964</v>
      </c>
      <c r="D1715" s="6" t="s">
        <v>1965</v>
      </c>
      <c r="E1715" s="6">
        <v>4</v>
      </c>
      <c r="F1715" s="6">
        <v>47</v>
      </c>
      <c r="I1715" s="8">
        <v>81.417819374999993</v>
      </c>
      <c r="J1715" s="8">
        <v>0.28587430555555599</v>
      </c>
      <c r="K1715" s="6" t="s">
        <v>29</v>
      </c>
      <c r="L1715" s="9">
        <v>44025</v>
      </c>
      <c r="N1715" s="6">
        <v>42</v>
      </c>
      <c r="O1715" s="6" t="s">
        <v>4403</v>
      </c>
      <c r="R1715" s="6">
        <v>80</v>
      </c>
      <c r="S1715" s="6">
        <v>90.5</v>
      </c>
      <c r="T1715" s="10">
        <f t="shared" si="99"/>
        <v>85.25</v>
      </c>
      <c r="U1715" s="15">
        <v>2.5</v>
      </c>
      <c r="V1715" s="8">
        <v>0.11333313467279107</v>
      </c>
      <c r="W1715" s="8">
        <v>1.4517748615741728</v>
      </c>
      <c r="X1715" s="8">
        <f t="shared" si="98"/>
        <v>0.54510978419184419</v>
      </c>
      <c r="Y1715" s="6" t="s">
        <v>1760</v>
      </c>
    </row>
    <row r="1716" spans="1:25" x14ac:dyDescent="0.35">
      <c r="A1716" s="6" t="s">
        <v>25</v>
      </c>
      <c r="B1716" s="6" t="s">
        <v>1966</v>
      </c>
      <c r="D1716" s="6" t="s">
        <v>1967</v>
      </c>
      <c r="E1716" s="6">
        <v>4</v>
      </c>
      <c r="F1716" s="6">
        <v>47</v>
      </c>
      <c r="I1716" s="8">
        <v>81.417819374999993</v>
      </c>
      <c r="J1716" s="8">
        <v>0.28587430555555599</v>
      </c>
      <c r="K1716" s="6" t="s">
        <v>29</v>
      </c>
      <c r="L1716" s="9">
        <v>44025</v>
      </c>
      <c r="N1716" s="6">
        <v>42</v>
      </c>
      <c r="O1716" s="6" t="s">
        <v>4403</v>
      </c>
      <c r="R1716" s="6">
        <v>90.5</v>
      </c>
      <c r="S1716" s="6">
        <v>101</v>
      </c>
      <c r="T1716" s="10">
        <f t="shared" si="99"/>
        <v>95.75</v>
      </c>
      <c r="U1716" s="15">
        <v>2.4</v>
      </c>
      <c r="V1716" s="8">
        <v>0.38620070635080384</v>
      </c>
      <c r="W1716" s="8">
        <v>2.0330857400894167</v>
      </c>
      <c r="X1716" s="8">
        <f t="shared" si="98"/>
        <v>-1.056519910717014</v>
      </c>
      <c r="Y1716" s="6" t="s">
        <v>1760</v>
      </c>
    </row>
    <row r="1717" spans="1:25" x14ac:dyDescent="0.35">
      <c r="A1717" s="6" t="s">
        <v>25</v>
      </c>
      <c r="B1717" s="6" t="s">
        <v>1968</v>
      </c>
      <c r="D1717" s="6" t="s">
        <v>1969</v>
      </c>
      <c r="E1717" s="6">
        <v>4</v>
      </c>
      <c r="F1717" s="6">
        <v>47</v>
      </c>
      <c r="I1717" s="8">
        <v>81.417819374999993</v>
      </c>
      <c r="J1717" s="8">
        <v>0.28587430555555599</v>
      </c>
      <c r="K1717" s="6" t="s">
        <v>29</v>
      </c>
      <c r="L1717" s="9">
        <v>44025</v>
      </c>
      <c r="N1717" s="6">
        <v>42</v>
      </c>
      <c r="O1717" s="6" t="s">
        <v>4403</v>
      </c>
      <c r="R1717" s="6">
        <v>101</v>
      </c>
      <c r="S1717" s="6">
        <v>112</v>
      </c>
      <c r="T1717" s="10">
        <f t="shared" si="99"/>
        <v>106.5</v>
      </c>
      <c r="U1717" s="15">
        <v>2.1</v>
      </c>
      <c r="V1717" s="8">
        <v>0.24072407804727508</v>
      </c>
      <c r="W1717" s="8">
        <v>1.333720279455185</v>
      </c>
      <c r="X1717" s="8">
        <f t="shared" si="98"/>
        <v>-0.59207234492301564</v>
      </c>
      <c r="Y1717" s="6" t="s">
        <v>1760</v>
      </c>
    </row>
    <row r="1718" spans="1:25" x14ac:dyDescent="0.35">
      <c r="A1718" s="6" t="s">
        <v>25</v>
      </c>
      <c r="B1718" s="6" t="s">
        <v>1970</v>
      </c>
      <c r="D1718" s="6" t="s">
        <v>1971</v>
      </c>
      <c r="E1718" s="6">
        <v>4</v>
      </c>
      <c r="F1718" s="6">
        <v>47</v>
      </c>
      <c r="I1718" s="8">
        <v>81.417819374999993</v>
      </c>
      <c r="J1718" s="8">
        <v>0.28587430555555599</v>
      </c>
      <c r="K1718" s="6" t="s">
        <v>29</v>
      </c>
      <c r="L1718" s="9">
        <v>44025</v>
      </c>
      <c r="N1718" s="6">
        <v>42</v>
      </c>
      <c r="O1718" s="6" t="s">
        <v>4403</v>
      </c>
      <c r="R1718" s="6">
        <v>112</v>
      </c>
      <c r="S1718" s="6">
        <v>123</v>
      </c>
      <c r="T1718" s="10">
        <f t="shared" si="99"/>
        <v>117.5</v>
      </c>
      <c r="U1718" s="15">
        <v>1.4</v>
      </c>
      <c r="V1718" s="8">
        <v>-1.332559165906906</v>
      </c>
      <c r="W1718" s="8">
        <v>-10.263363574981689</v>
      </c>
      <c r="X1718" s="8">
        <f t="shared" si="98"/>
        <v>0.39710975227355938</v>
      </c>
      <c r="Y1718" s="6" t="s">
        <v>1760</v>
      </c>
    </row>
    <row r="1719" spans="1:25" x14ac:dyDescent="0.35">
      <c r="A1719" s="6" t="s">
        <v>25</v>
      </c>
      <c r="B1719" s="6" t="s">
        <v>1972</v>
      </c>
      <c r="D1719" s="6" t="s">
        <v>1973</v>
      </c>
      <c r="E1719" s="6">
        <v>4</v>
      </c>
      <c r="F1719" s="6">
        <v>47</v>
      </c>
      <c r="I1719" s="8">
        <v>81.417819374999993</v>
      </c>
      <c r="J1719" s="8">
        <v>0.28587430555555599</v>
      </c>
      <c r="K1719" s="6" t="s">
        <v>29</v>
      </c>
      <c r="L1719" s="9">
        <v>44025</v>
      </c>
      <c r="N1719" s="6">
        <v>42</v>
      </c>
      <c r="O1719" s="6" t="s">
        <v>4403</v>
      </c>
      <c r="R1719" s="6">
        <v>122</v>
      </c>
      <c r="S1719" s="6">
        <v>134</v>
      </c>
      <c r="T1719" s="10">
        <f t="shared" si="99"/>
        <v>128</v>
      </c>
      <c r="U1719" s="15">
        <v>0.8</v>
      </c>
      <c r="V1719" s="8">
        <v>-5.830277789306642</v>
      </c>
      <c r="W1719" s="8">
        <v>-45.405310409545898</v>
      </c>
      <c r="X1719" s="8">
        <f t="shared" si="98"/>
        <v>1.2369119049072381</v>
      </c>
      <c r="Y1719" s="6" t="s">
        <v>1760</v>
      </c>
    </row>
    <row r="1720" spans="1:25" x14ac:dyDescent="0.35">
      <c r="A1720" s="6" t="s">
        <v>25</v>
      </c>
      <c r="B1720" s="6" t="s">
        <v>1974</v>
      </c>
      <c r="D1720" s="6" t="s">
        <v>1975</v>
      </c>
      <c r="E1720" s="6">
        <v>4</v>
      </c>
      <c r="F1720" s="6">
        <v>47</v>
      </c>
      <c r="I1720" s="8">
        <v>81.417819374999993</v>
      </c>
      <c r="J1720" s="8">
        <v>0.28587430555555599</v>
      </c>
      <c r="K1720" s="6" t="s">
        <v>29</v>
      </c>
      <c r="L1720" s="9">
        <v>44025</v>
      </c>
      <c r="N1720" s="6">
        <v>42</v>
      </c>
      <c r="O1720" s="6" t="s">
        <v>4403</v>
      </c>
      <c r="R1720" s="6">
        <v>132</v>
      </c>
      <c r="S1720" s="6">
        <v>145</v>
      </c>
      <c r="T1720" s="10">
        <f t="shared" si="99"/>
        <v>138.5</v>
      </c>
      <c r="U1720" s="15">
        <v>1.4</v>
      </c>
      <c r="V1720" s="8">
        <v>-6.7550807441711438</v>
      </c>
      <c r="W1720" s="8">
        <v>-51.840629980087279</v>
      </c>
      <c r="X1720" s="8">
        <f t="shared" si="98"/>
        <v>2.2000159732818716</v>
      </c>
      <c r="Y1720" s="6" t="s">
        <v>1760</v>
      </c>
    </row>
    <row r="1721" spans="1:25" x14ac:dyDescent="0.35">
      <c r="A1721" s="6" t="s">
        <v>25</v>
      </c>
      <c r="B1721" s="6" t="s">
        <v>3557</v>
      </c>
      <c r="D1721" s="6" t="s">
        <v>3859</v>
      </c>
      <c r="E1721" s="6">
        <v>4</v>
      </c>
      <c r="F1721" s="6">
        <v>47</v>
      </c>
      <c r="G1721" s="6" t="s">
        <v>4161</v>
      </c>
      <c r="I1721" s="8">
        <v>81.417819374999993</v>
      </c>
      <c r="J1721" s="8">
        <v>0.28587430555555599</v>
      </c>
      <c r="K1721" s="6" t="s">
        <v>2610</v>
      </c>
      <c r="L1721" s="9">
        <v>44025</v>
      </c>
      <c r="N1721" s="6">
        <v>42</v>
      </c>
      <c r="O1721" s="6" t="s">
        <v>4403</v>
      </c>
      <c r="V1721" s="8">
        <v>-1.0314438086366648</v>
      </c>
      <c r="W1721" s="8">
        <v>-8.1108521906852733</v>
      </c>
      <c r="X1721" s="27">
        <f t="shared" si="98"/>
        <v>0.1406982784080455</v>
      </c>
    </row>
    <row r="1722" spans="1:25" x14ac:dyDescent="0.35">
      <c r="A1722" s="6" t="s">
        <v>25</v>
      </c>
      <c r="B1722" s="6" t="s">
        <v>3558</v>
      </c>
      <c r="D1722" s="6" t="s">
        <v>3860</v>
      </c>
      <c r="E1722" s="6">
        <v>4</v>
      </c>
      <c r="F1722" s="6">
        <v>47</v>
      </c>
      <c r="G1722" s="6" t="s">
        <v>4162</v>
      </c>
      <c r="I1722" s="8">
        <v>81.392386000000002</v>
      </c>
      <c r="J1722" s="8">
        <v>0.245254</v>
      </c>
      <c r="K1722" s="6" t="s">
        <v>2610</v>
      </c>
      <c r="L1722" s="9">
        <v>44026</v>
      </c>
      <c r="N1722" s="6">
        <v>42</v>
      </c>
      <c r="O1722" s="6" t="s">
        <v>4409</v>
      </c>
      <c r="V1722" s="8">
        <v>-1.0776702370262146</v>
      </c>
      <c r="W1722" s="8">
        <v>-7.9682728898048412</v>
      </c>
      <c r="X1722" s="27">
        <f t="shared" si="98"/>
        <v>0.65308900640487533</v>
      </c>
    </row>
    <row r="1723" spans="1:25" x14ac:dyDescent="0.35">
      <c r="A1723" s="6" t="s">
        <v>25</v>
      </c>
      <c r="B1723" s="6" t="s">
        <v>3060</v>
      </c>
      <c r="D1723" s="6" t="s">
        <v>3161</v>
      </c>
      <c r="E1723" s="6">
        <v>4</v>
      </c>
      <c r="F1723" s="6">
        <v>47</v>
      </c>
      <c r="G1723" s="6" t="s">
        <v>3321</v>
      </c>
      <c r="I1723" s="8">
        <v>81.392386000000002</v>
      </c>
      <c r="J1723" s="8">
        <v>0.245254</v>
      </c>
      <c r="K1723" s="6" t="s">
        <v>198</v>
      </c>
      <c r="L1723" s="9">
        <v>44026</v>
      </c>
      <c r="M1723" s="18">
        <v>0.3125</v>
      </c>
      <c r="N1723" s="6">
        <v>42</v>
      </c>
      <c r="O1723" s="6" t="s">
        <v>4409</v>
      </c>
      <c r="R1723" s="6">
        <v>62</v>
      </c>
      <c r="S1723" s="6">
        <v>60</v>
      </c>
      <c r="V1723" s="8">
        <v>-25.597299715423581</v>
      </c>
      <c r="W1723" s="8">
        <v>-197.48880726318359</v>
      </c>
      <c r="X1723" s="8">
        <f t="shared" si="98"/>
        <v>7.2895904602050621</v>
      </c>
    </row>
    <row r="1724" spans="1:25" x14ac:dyDescent="0.35">
      <c r="A1724" s="6" t="s">
        <v>25</v>
      </c>
      <c r="B1724" s="6" t="s">
        <v>3061</v>
      </c>
      <c r="D1724" s="6" t="s">
        <v>3161</v>
      </c>
      <c r="E1724" s="6">
        <v>4</v>
      </c>
      <c r="F1724" s="6">
        <v>47</v>
      </c>
      <c r="G1724" s="6" t="s">
        <v>3321</v>
      </c>
      <c r="I1724" s="8">
        <v>81.392386000000002</v>
      </c>
      <c r="J1724" s="8">
        <v>0.245254</v>
      </c>
      <c r="K1724" s="6" t="s">
        <v>198</v>
      </c>
      <c r="L1724" s="9">
        <v>44026</v>
      </c>
      <c r="M1724" s="18">
        <v>0.3125</v>
      </c>
      <c r="N1724" s="6">
        <v>42</v>
      </c>
      <c r="O1724" s="6" t="s">
        <v>4409</v>
      </c>
      <c r="R1724" s="6">
        <v>42</v>
      </c>
      <c r="S1724" s="6">
        <v>40</v>
      </c>
      <c r="V1724" s="8">
        <v>-25.487297380828853</v>
      </c>
      <c r="W1724" s="8">
        <v>-195.77925104980469</v>
      </c>
      <c r="X1724" s="8">
        <f t="shared" si="98"/>
        <v>8.119127996826137</v>
      </c>
    </row>
    <row r="1725" spans="1:25" x14ac:dyDescent="0.35">
      <c r="A1725" s="6" t="s">
        <v>25</v>
      </c>
      <c r="B1725" s="6" t="s">
        <v>3062</v>
      </c>
      <c r="D1725" s="6" t="s">
        <v>3161</v>
      </c>
      <c r="E1725" s="6">
        <v>4</v>
      </c>
      <c r="F1725" s="6">
        <v>47</v>
      </c>
      <c r="G1725" s="6" t="s">
        <v>3321</v>
      </c>
      <c r="I1725" s="8">
        <v>81.392386000000002</v>
      </c>
      <c r="J1725" s="8">
        <v>0.245254</v>
      </c>
      <c r="K1725" s="6" t="s">
        <v>198</v>
      </c>
      <c r="L1725" s="9">
        <v>44026</v>
      </c>
      <c r="M1725" s="18">
        <v>0.3125</v>
      </c>
      <c r="N1725" s="6">
        <v>42</v>
      </c>
      <c r="O1725" s="6" t="s">
        <v>4409</v>
      </c>
      <c r="R1725" s="6">
        <v>27</v>
      </c>
      <c r="S1725" s="6">
        <v>24</v>
      </c>
      <c r="V1725" s="8">
        <v>-22.538915209197995</v>
      </c>
      <c r="W1725" s="8">
        <v>-172.7661653564453</v>
      </c>
      <c r="X1725" s="8">
        <f t="shared" si="98"/>
        <v>7.5451563171386624</v>
      </c>
    </row>
    <row r="1726" spans="1:25" x14ac:dyDescent="0.35">
      <c r="A1726" s="6" t="s">
        <v>25</v>
      </c>
      <c r="B1726" s="6" t="s">
        <v>3559</v>
      </c>
      <c r="D1726" s="6" t="s">
        <v>3861</v>
      </c>
      <c r="E1726" s="6">
        <v>4</v>
      </c>
      <c r="F1726" s="6">
        <v>47</v>
      </c>
      <c r="G1726" s="6" t="s">
        <v>4163</v>
      </c>
      <c r="I1726" s="8">
        <v>81.300452222222219</v>
      </c>
      <c r="J1726" s="8">
        <v>0.31847694444444458</v>
      </c>
      <c r="K1726" s="6" t="s">
        <v>2610</v>
      </c>
      <c r="L1726" s="9">
        <v>44027</v>
      </c>
      <c r="N1726" s="6">
        <v>42</v>
      </c>
      <c r="O1726" s="6" t="s">
        <v>4405</v>
      </c>
      <c r="V1726" s="8">
        <v>-0.78781884517431211</v>
      </c>
      <c r="W1726" s="8">
        <v>-5.9303494779586794</v>
      </c>
      <c r="X1726" s="27">
        <f t="shared" si="98"/>
        <v>0.37220128343581749</v>
      </c>
    </row>
    <row r="1727" spans="1:25" x14ac:dyDescent="0.35">
      <c r="A1727" s="6" t="s">
        <v>25</v>
      </c>
      <c r="B1727" s="6" t="s">
        <v>3560</v>
      </c>
      <c r="D1727" s="6" t="s">
        <v>3862</v>
      </c>
      <c r="E1727" s="6">
        <v>4</v>
      </c>
      <c r="F1727" s="6">
        <v>47</v>
      </c>
      <c r="G1727" s="6" t="s">
        <v>4164</v>
      </c>
      <c r="I1727" s="8">
        <v>81.228111944444393</v>
      </c>
      <c r="J1727" s="8">
        <v>0.29387805555555546</v>
      </c>
      <c r="K1727" s="6" t="s">
        <v>2610</v>
      </c>
      <c r="L1727" s="9">
        <v>44028</v>
      </c>
      <c r="N1727" s="6">
        <v>42</v>
      </c>
      <c r="O1727" s="6" t="s">
        <v>4412</v>
      </c>
      <c r="V1727" s="8">
        <v>-1.778725078544616</v>
      </c>
      <c r="W1727" s="8">
        <v>-12.559612646293639</v>
      </c>
      <c r="X1727" s="27">
        <f t="shared" si="98"/>
        <v>1.6701879820632897</v>
      </c>
    </row>
    <row r="1728" spans="1:25" x14ac:dyDescent="0.35">
      <c r="A1728" s="6" t="s">
        <v>25</v>
      </c>
      <c r="B1728" s="6" t="s">
        <v>3561</v>
      </c>
      <c r="D1728" s="6" t="s">
        <v>3863</v>
      </c>
      <c r="E1728" s="6">
        <v>4</v>
      </c>
      <c r="F1728" s="6">
        <v>47</v>
      </c>
      <c r="G1728" s="6" t="s">
        <v>4165</v>
      </c>
      <c r="I1728" s="8">
        <v>81.14787243055558</v>
      </c>
      <c r="J1728" s="8">
        <v>0.35150263888888889</v>
      </c>
      <c r="K1728" s="6" t="s">
        <v>2610</v>
      </c>
      <c r="L1728" s="9">
        <v>44029</v>
      </c>
      <c r="N1728" s="6">
        <v>42</v>
      </c>
      <c r="O1728" s="6" t="s">
        <v>4403</v>
      </c>
      <c r="V1728" s="8">
        <v>-1.4417204932785033</v>
      </c>
      <c r="W1728" s="8">
        <v>-11.996799467277526</v>
      </c>
      <c r="X1728" s="27">
        <f t="shared" si="98"/>
        <v>-0.46303552104950008</v>
      </c>
    </row>
    <row r="1729" spans="1:24" x14ac:dyDescent="0.35">
      <c r="A1729" s="6" t="s">
        <v>25</v>
      </c>
      <c r="B1729" s="7" t="s">
        <v>1976</v>
      </c>
      <c r="D1729" s="6" t="s">
        <v>1977</v>
      </c>
      <c r="E1729" s="6">
        <v>4</v>
      </c>
      <c r="F1729" s="6">
        <v>47</v>
      </c>
      <c r="G1729" s="6" t="s">
        <v>1978</v>
      </c>
      <c r="I1729" s="8">
        <v>81.037749722222202</v>
      </c>
      <c r="J1729" s="8">
        <v>0.36575368055555602</v>
      </c>
      <c r="K1729" s="6" t="s">
        <v>4450</v>
      </c>
      <c r="L1729" s="9">
        <v>44030</v>
      </c>
      <c r="N1729" s="6">
        <v>42</v>
      </c>
      <c r="O1729" s="6" t="s">
        <v>4417</v>
      </c>
      <c r="Q1729" s="10" t="s">
        <v>1979</v>
      </c>
      <c r="R1729" s="10">
        <v>25</v>
      </c>
      <c r="S1729" s="10">
        <v>30</v>
      </c>
      <c r="T1729" s="10">
        <f>AVERAGE(R1729:S1729)</f>
        <v>27.5</v>
      </c>
      <c r="U1729" s="11"/>
      <c r="V1729" s="8">
        <v>-7.7679000854492183E-2</v>
      </c>
      <c r="W1729" s="8">
        <v>-0.27509294927120176</v>
      </c>
      <c r="X1729" s="8">
        <f t="shared" si="98"/>
        <v>0.34633905756473571</v>
      </c>
    </row>
    <row r="1730" spans="1:24" x14ac:dyDescent="0.35">
      <c r="A1730" s="6" t="s">
        <v>25</v>
      </c>
      <c r="B1730" s="7" t="s">
        <v>1980</v>
      </c>
      <c r="D1730" s="6" t="s">
        <v>1981</v>
      </c>
      <c r="E1730" s="6">
        <v>4</v>
      </c>
      <c r="F1730" s="6">
        <v>47</v>
      </c>
      <c r="G1730" s="6" t="s">
        <v>1978</v>
      </c>
      <c r="I1730" s="8">
        <v>81.037749722222202</v>
      </c>
      <c r="J1730" s="8">
        <v>0.36575368055555602</v>
      </c>
      <c r="K1730" s="6" t="s">
        <v>4450</v>
      </c>
      <c r="L1730" s="9">
        <v>44030</v>
      </c>
      <c r="N1730" s="6">
        <v>42</v>
      </c>
      <c r="O1730" s="6" t="s">
        <v>4417</v>
      </c>
      <c r="Q1730" s="10" t="s">
        <v>1982</v>
      </c>
      <c r="R1730" s="10">
        <v>30</v>
      </c>
      <c r="S1730" s="10">
        <v>35</v>
      </c>
      <c r="T1730" s="10">
        <f>AVERAGE(R1730:S1730)</f>
        <v>32.5</v>
      </c>
      <c r="U1730" s="11"/>
      <c r="V1730" s="8">
        <v>9.0234628677368159E-2</v>
      </c>
      <c r="W1730" s="8">
        <v>0.501515684127808</v>
      </c>
      <c r="X1730" s="8">
        <f t="shared" si="98"/>
        <v>-0.22036134529113727</v>
      </c>
    </row>
    <row r="1731" spans="1:24" x14ac:dyDescent="0.35">
      <c r="A1731" s="6" t="s">
        <v>25</v>
      </c>
      <c r="B1731" s="7" t="s">
        <v>1983</v>
      </c>
      <c r="D1731" s="6" t="s">
        <v>1984</v>
      </c>
      <c r="E1731" s="6">
        <v>4</v>
      </c>
      <c r="F1731" s="6">
        <v>47</v>
      </c>
      <c r="G1731" s="6" t="s">
        <v>1985</v>
      </c>
      <c r="I1731" s="8">
        <v>81.037749722222202</v>
      </c>
      <c r="J1731" s="8">
        <v>0.36575368055555602</v>
      </c>
      <c r="K1731" s="6" t="s">
        <v>4450</v>
      </c>
      <c r="L1731" s="9">
        <v>44030</v>
      </c>
      <c r="N1731" s="6">
        <v>42</v>
      </c>
      <c r="O1731" s="6" t="s">
        <v>4417</v>
      </c>
      <c r="Q1731" s="10" t="s">
        <v>1986</v>
      </c>
      <c r="R1731" s="10"/>
      <c r="S1731" s="10"/>
      <c r="T1731" s="10"/>
      <c r="U1731" s="11"/>
      <c r="V1731" s="8">
        <v>-6.9261123075485225</v>
      </c>
      <c r="W1731" s="8">
        <v>-52.841172027587888</v>
      </c>
      <c r="X1731" s="8">
        <f t="shared" si="98"/>
        <v>2.567726432800292</v>
      </c>
    </row>
    <row r="1732" spans="1:24" x14ac:dyDescent="0.35">
      <c r="A1732" s="6" t="s">
        <v>25</v>
      </c>
      <c r="B1732" s="7" t="s">
        <v>1987</v>
      </c>
      <c r="D1732" s="6" t="s">
        <v>1988</v>
      </c>
      <c r="E1732" s="6">
        <v>4</v>
      </c>
      <c r="F1732" s="6">
        <v>47</v>
      </c>
      <c r="G1732" s="6" t="s">
        <v>1978</v>
      </c>
      <c r="I1732" s="8">
        <v>81.037749722222202</v>
      </c>
      <c r="J1732" s="8">
        <v>0.36575368055555602</v>
      </c>
      <c r="K1732" s="6" t="s">
        <v>4450</v>
      </c>
      <c r="L1732" s="9">
        <v>44030</v>
      </c>
      <c r="N1732" s="6">
        <v>42</v>
      </c>
      <c r="O1732" s="6" t="s">
        <v>4417</v>
      </c>
      <c r="Q1732" s="10" t="s">
        <v>1989</v>
      </c>
      <c r="R1732" s="10">
        <v>35</v>
      </c>
      <c r="S1732" s="10">
        <v>40</v>
      </c>
      <c r="T1732" s="10">
        <f t="shared" ref="T1732:T1754" si="100">AVERAGE(R1732:S1732)</f>
        <v>37.5</v>
      </c>
      <c r="U1732" s="11"/>
      <c r="V1732" s="8">
        <v>0.25709318733215331</v>
      </c>
      <c r="W1732" s="8">
        <v>2.9212715339660642</v>
      </c>
      <c r="X1732" s="8">
        <f t="shared" si="98"/>
        <v>0.86452603530883776</v>
      </c>
    </row>
    <row r="1733" spans="1:24" x14ac:dyDescent="0.35">
      <c r="A1733" s="6" t="s">
        <v>25</v>
      </c>
      <c r="B1733" s="7" t="s">
        <v>1990</v>
      </c>
      <c r="D1733" s="6" t="s">
        <v>1991</v>
      </c>
      <c r="E1733" s="6">
        <v>4</v>
      </c>
      <c r="F1733" s="6">
        <v>47</v>
      </c>
      <c r="G1733" s="6" t="s">
        <v>1978</v>
      </c>
      <c r="I1733" s="8">
        <v>81.037749722222202</v>
      </c>
      <c r="J1733" s="8">
        <v>0.36575368055555602</v>
      </c>
      <c r="K1733" s="6" t="s">
        <v>4450</v>
      </c>
      <c r="L1733" s="9">
        <v>44030</v>
      </c>
      <c r="N1733" s="6">
        <v>42</v>
      </c>
      <c r="O1733" s="6" t="s">
        <v>4417</v>
      </c>
      <c r="Q1733" s="10" t="s">
        <v>1992</v>
      </c>
      <c r="R1733" s="10">
        <v>40</v>
      </c>
      <c r="S1733" s="10">
        <v>45</v>
      </c>
      <c r="T1733" s="10">
        <f t="shared" si="100"/>
        <v>42.5</v>
      </c>
      <c r="U1733" s="11"/>
      <c r="V1733" s="8">
        <v>0.39180384063720702</v>
      </c>
      <c r="W1733" s="8">
        <v>3.6654612302780154</v>
      </c>
      <c r="X1733" s="8">
        <f t="shared" si="98"/>
        <v>0.53103050518035921</v>
      </c>
    </row>
    <row r="1734" spans="1:24" x14ac:dyDescent="0.35">
      <c r="A1734" s="6" t="s">
        <v>25</v>
      </c>
      <c r="B1734" s="7" t="s">
        <v>1993</v>
      </c>
      <c r="D1734" s="6" t="s">
        <v>1994</v>
      </c>
      <c r="E1734" s="6">
        <v>4</v>
      </c>
      <c r="F1734" s="6">
        <v>47</v>
      </c>
      <c r="G1734" s="6" t="s">
        <v>1978</v>
      </c>
      <c r="I1734" s="8">
        <v>81.037749722222202</v>
      </c>
      <c r="J1734" s="8">
        <v>0.36575368055555602</v>
      </c>
      <c r="K1734" s="6" t="s">
        <v>4450</v>
      </c>
      <c r="L1734" s="9">
        <v>44030</v>
      </c>
      <c r="N1734" s="6">
        <v>42</v>
      </c>
      <c r="O1734" s="6" t="s">
        <v>4417</v>
      </c>
      <c r="Q1734" s="10" t="s">
        <v>1796</v>
      </c>
      <c r="R1734" s="10">
        <v>64</v>
      </c>
      <c r="S1734" s="10">
        <v>69</v>
      </c>
      <c r="T1734" s="10">
        <f t="shared" si="100"/>
        <v>66.5</v>
      </c>
      <c r="U1734" s="11"/>
      <c r="V1734" s="8">
        <v>-0.18828607177734552</v>
      </c>
      <c r="W1734" s="8">
        <v>-0.9526573765277867</v>
      </c>
      <c r="X1734" s="8">
        <f t="shared" si="98"/>
        <v>0.55363119769097746</v>
      </c>
    </row>
    <row r="1735" spans="1:24" x14ac:dyDescent="0.35">
      <c r="A1735" s="6" t="s">
        <v>25</v>
      </c>
      <c r="B1735" s="7" t="s">
        <v>1995</v>
      </c>
      <c r="D1735" s="6" t="s">
        <v>1996</v>
      </c>
      <c r="E1735" s="6">
        <v>4</v>
      </c>
      <c r="F1735" s="6">
        <v>47</v>
      </c>
      <c r="G1735" s="6" t="s">
        <v>1978</v>
      </c>
      <c r="I1735" s="8">
        <v>81.037749722222202</v>
      </c>
      <c r="J1735" s="8">
        <v>0.36575368055555602</v>
      </c>
      <c r="K1735" s="6" t="s">
        <v>4450</v>
      </c>
      <c r="L1735" s="9">
        <v>44030</v>
      </c>
      <c r="N1735" s="6">
        <v>42</v>
      </c>
      <c r="O1735" s="6" t="s">
        <v>4417</v>
      </c>
      <c r="Q1735" s="10" t="s">
        <v>1877</v>
      </c>
      <c r="R1735" s="10">
        <v>99</v>
      </c>
      <c r="S1735" s="10">
        <v>104</v>
      </c>
      <c r="T1735" s="10">
        <f t="shared" si="100"/>
        <v>101.5</v>
      </c>
      <c r="U1735" s="11"/>
      <c r="V1735" s="8">
        <v>-0.47990747261047184</v>
      </c>
      <c r="W1735" s="8">
        <v>-2.9250351715087892</v>
      </c>
      <c r="X1735" s="8">
        <f t="shared" si="98"/>
        <v>0.91422460937498551</v>
      </c>
    </row>
    <row r="1736" spans="1:24" x14ac:dyDescent="0.35">
      <c r="A1736" s="6" t="s">
        <v>25</v>
      </c>
      <c r="B1736" s="7" t="s">
        <v>1997</v>
      </c>
      <c r="D1736" s="6" t="s">
        <v>1998</v>
      </c>
      <c r="E1736" s="6">
        <v>4</v>
      </c>
      <c r="F1736" s="6">
        <v>47</v>
      </c>
      <c r="G1736" s="6" t="s">
        <v>1978</v>
      </c>
      <c r="I1736" s="8">
        <v>81.037749722222202</v>
      </c>
      <c r="J1736" s="8">
        <v>0.36575368055555602</v>
      </c>
      <c r="K1736" s="6" t="s">
        <v>4450</v>
      </c>
      <c r="L1736" s="9">
        <v>44030</v>
      </c>
      <c r="N1736" s="6">
        <v>42</v>
      </c>
      <c r="O1736" s="6" t="s">
        <v>4417</v>
      </c>
      <c r="Q1736" s="10" t="s">
        <v>1999</v>
      </c>
      <c r="R1736" s="10">
        <v>20</v>
      </c>
      <c r="S1736" s="10">
        <v>25</v>
      </c>
      <c r="T1736" s="10">
        <f t="shared" si="100"/>
        <v>22.5</v>
      </c>
      <c r="U1736" s="11"/>
      <c r="V1736" s="8">
        <v>-0.78777582740783691</v>
      </c>
      <c r="W1736" s="8">
        <v>-5.3234232425689711</v>
      </c>
      <c r="X1736" s="8">
        <f t="shared" si="98"/>
        <v>0.97878337669372417</v>
      </c>
    </row>
    <row r="1737" spans="1:24" x14ac:dyDescent="0.35">
      <c r="A1737" s="6" t="s">
        <v>25</v>
      </c>
      <c r="B1737" s="7" t="s">
        <v>2000</v>
      </c>
      <c r="D1737" s="6" t="s">
        <v>2001</v>
      </c>
      <c r="E1737" s="6">
        <v>4</v>
      </c>
      <c r="F1737" s="6">
        <v>47</v>
      </c>
      <c r="G1737" s="6" t="s">
        <v>1978</v>
      </c>
      <c r="I1737" s="8">
        <v>81.037749722222202</v>
      </c>
      <c r="J1737" s="8">
        <v>0.36575368055555602</v>
      </c>
      <c r="K1737" s="6" t="s">
        <v>4450</v>
      </c>
      <c r="L1737" s="9">
        <v>44030</v>
      </c>
      <c r="N1737" s="6">
        <v>42</v>
      </c>
      <c r="O1737" s="6" t="s">
        <v>4417</v>
      </c>
      <c r="Q1737" s="10" t="s">
        <v>2002</v>
      </c>
      <c r="R1737" s="10">
        <v>15</v>
      </c>
      <c r="S1737" s="10">
        <v>20</v>
      </c>
      <c r="T1737" s="10">
        <f t="shared" si="100"/>
        <v>17.5</v>
      </c>
      <c r="U1737" s="11"/>
      <c r="V1737" s="8">
        <v>-1.1552116069793701</v>
      </c>
      <c r="W1737" s="8">
        <v>-8.5281540679931638</v>
      </c>
      <c r="X1737" s="8">
        <f t="shared" si="98"/>
        <v>0.71353878784179692</v>
      </c>
    </row>
    <row r="1738" spans="1:24" x14ac:dyDescent="0.35">
      <c r="A1738" s="6" t="s">
        <v>25</v>
      </c>
      <c r="B1738" s="7" t="s">
        <v>2003</v>
      </c>
      <c r="D1738" s="6" t="s">
        <v>2004</v>
      </c>
      <c r="E1738" s="6">
        <v>4</v>
      </c>
      <c r="F1738" s="6">
        <v>47</v>
      </c>
      <c r="G1738" s="6" t="s">
        <v>1978</v>
      </c>
      <c r="I1738" s="8">
        <v>81.037749722222202</v>
      </c>
      <c r="J1738" s="8">
        <v>0.36575368055555602</v>
      </c>
      <c r="K1738" s="6" t="s">
        <v>4450</v>
      </c>
      <c r="L1738" s="9">
        <v>44030</v>
      </c>
      <c r="N1738" s="6">
        <v>42</v>
      </c>
      <c r="O1738" s="6" t="s">
        <v>4417</v>
      </c>
      <c r="Q1738" s="10" t="s">
        <v>2005</v>
      </c>
      <c r="R1738" s="10">
        <v>10</v>
      </c>
      <c r="S1738" s="10">
        <v>15</v>
      </c>
      <c r="T1738" s="10">
        <f t="shared" si="100"/>
        <v>12.5</v>
      </c>
      <c r="U1738" s="11"/>
      <c r="V1738" s="8">
        <v>-1.8038422603607178</v>
      </c>
      <c r="W1738" s="8">
        <v>-13.740952816009521</v>
      </c>
      <c r="X1738" s="8">
        <f t="shared" si="98"/>
        <v>0.68978526687622121</v>
      </c>
    </row>
    <row r="1739" spans="1:24" x14ac:dyDescent="0.35">
      <c r="A1739" s="6" t="s">
        <v>25</v>
      </c>
      <c r="B1739" s="7" t="s">
        <v>2006</v>
      </c>
      <c r="D1739" s="6" t="s">
        <v>2007</v>
      </c>
      <c r="E1739" s="6">
        <v>4</v>
      </c>
      <c r="F1739" s="6">
        <v>47</v>
      </c>
      <c r="G1739" s="6" t="s">
        <v>1978</v>
      </c>
      <c r="I1739" s="8">
        <v>81.037749722222202</v>
      </c>
      <c r="J1739" s="8">
        <v>0.36575368055555602</v>
      </c>
      <c r="K1739" s="6" t="s">
        <v>4450</v>
      </c>
      <c r="L1739" s="9">
        <v>44030</v>
      </c>
      <c r="N1739" s="6">
        <v>42</v>
      </c>
      <c r="O1739" s="6" t="s">
        <v>4417</v>
      </c>
      <c r="Q1739" s="10" t="s">
        <v>1866</v>
      </c>
      <c r="R1739" s="10">
        <v>109</v>
      </c>
      <c r="S1739" s="10">
        <v>114</v>
      </c>
      <c r="T1739" s="10">
        <f t="shared" si="100"/>
        <v>111.5</v>
      </c>
      <c r="U1739" s="11"/>
      <c r="V1739" s="8">
        <v>-5.2175055980682377</v>
      </c>
      <c r="W1739" s="8">
        <v>-41.19231101989746</v>
      </c>
      <c r="X1739" s="8">
        <f t="shared" si="98"/>
        <v>0.54773376464844148</v>
      </c>
    </row>
    <row r="1740" spans="1:24" x14ac:dyDescent="0.35">
      <c r="A1740" s="6" t="s">
        <v>25</v>
      </c>
      <c r="B1740" s="7" t="s">
        <v>2008</v>
      </c>
      <c r="D1740" s="6" t="s">
        <v>2009</v>
      </c>
      <c r="E1740" s="6">
        <v>4</v>
      </c>
      <c r="F1740" s="6">
        <v>47</v>
      </c>
      <c r="G1740" s="6" t="s">
        <v>1978</v>
      </c>
      <c r="I1740" s="8">
        <v>81.037749722222202</v>
      </c>
      <c r="J1740" s="8">
        <v>0.36575368055555602</v>
      </c>
      <c r="K1740" s="6" t="s">
        <v>4450</v>
      </c>
      <c r="L1740" s="9">
        <v>44030</v>
      </c>
      <c r="N1740" s="6">
        <v>42</v>
      </c>
      <c r="O1740" s="6" t="s">
        <v>4417</v>
      </c>
      <c r="Q1740" s="10" t="s">
        <v>2010</v>
      </c>
      <c r="R1740" s="10">
        <v>49</v>
      </c>
      <c r="S1740" s="10">
        <v>54</v>
      </c>
      <c r="T1740" s="10">
        <f t="shared" si="100"/>
        <v>51.5</v>
      </c>
      <c r="U1740" s="11"/>
      <c r="V1740" s="8">
        <v>-0.65716506767272953</v>
      </c>
      <c r="W1740" s="8">
        <v>-4.0200550937652588</v>
      </c>
      <c r="X1740" s="8">
        <f t="shared" si="98"/>
        <v>1.2372654476165774</v>
      </c>
    </row>
    <row r="1741" spans="1:24" x14ac:dyDescent="0.35">
      <c r="A1741" s="6" t="s">
        <v>25</v>
      </c>
      <c r="B1741" s="7" t="s">
        <v>2011</v>
      </c>
      <c r="D1741" s="6" t="s">
        <v>2012</v>
      </c>
      <c r="E1741" s="6">
        <v>4</v>
      </c>
      <c r="F1741" s="6">
        <v>47</v>
      </c>
      <c r="G1741" s="6" t="s">
        <v>1978</v>
      </c>
      <c r="I1741" s="8">
        <v>81.037749722222202</v>
      </c>
      <c r="J1741" s="8">
        <v>0.36575368055555602</v>
      </c>
      <c r="K1741" s="6" t="s">
        <v>4450</v>
      </c>
      <c r="L1741" s="9">
        <v>44030</v>
      </c>
      <c r="N1741" s="6">
        <v>42</v>
      </c>
      <c r="O1741" s="6" t="s">
        <v>4417</v>
      </c>
      <c r="Q1741" s="10" t="s">
        <v>1836</v>
      </c>
      <c r="R1741" s="10">
        <v>94</v>
      </c>
      <c r="S1741" s="10">
        <v>99</v>
      </c>
      <c r="T1741" s="10">
        <f t="shared" si="100"/>
        <v>96.5</v>
      </c>
      <c r="U1741" s="11"/>
      <c r="V1741" s="8">
        <v>1.4638278961181641E-2</v>
      </c>
      <c r="W1741" s="8">
        <v>0.18783147484064097</v>
      </c>
      <c r="X1741" s="8">
        <f t="shared" si="98"/>
        <v>7.0725243151187847E-2</v>
      </c>
    </row>
    <row r="1742" spans="1:24" x14ac:dyDescent="0.35">
      <c r="A1742" s="6" t="s">
        <v>25</v>
      </c>
      <c r="B1742" s="7" t="s">
        <v>2013</v>
      </c>
      <c r="D1742" s="6" t="s">
        <v>2014</v>
      </c>
      <c r="E1742" s="6">
        <v>4</v>
      </c>
      <c r="F1742" s="6">
        <v>47</v>
      </c>
      <c r="G1742" s="6" t="s">
        <v>1978</v>
      </c>
      <c r="I1742" s="8">
        <v>81.037749722222202</v>
      </c>
      <c r="J1742" s="8">
        <v>0.36575368055555602</v>
      </c>
      <c r="K1742" s="6" t="s">
        <v>4450</v>
      </c>
      <c r="L1742" s="9">
        <v>44030</v>
      </c>
      <c r="N1742" s="6">
        <v>42</v>
      </c>
      <c r="O1742" s="6" t="s">
        <v>4417</v>
      </c>
      <c r="Q1742" s="10" t="s">
        <v>1845</v>
      </c>
      <c r="R1742" s="10">
        <v>59</v>
      </c>
      <c r="S1742" s="10">
        <v>64</v>
      </c>
      <c r="T1742" s="10">
        <f t="shared" si="100"/>
        <v>61.5</v>
      </c>
      <c r="U1742" s="11"/>
      <c r="V1742" s="8">
        <v>-4.4142345428466796E-2</v>
      </c>
      <c r="W1742" s="8">
        <v>0.24044751554727595</v>
      </c>
      <c r="X1742" s="8">
        <f t="shared" si="98"/>
        <v>0.59358627897501037</v>
      </c>
    </row>
    <row r="1743" spans="1:24" x14ac:dyDescent="0.35">
      <c r="A1743" s="6" t="s">
        <v>25</v>
      </c>
      <c r="B1743" s="7" t="s">
        <v>2015</v>
      </c>
      <c r="D1743" s="6" t="s">
        <v>2016</v>
      </c>
      <c r="E1743" s="6">
        <v>4</v>
      </c>
      <c r="F1743" s="6">
        <v>47</v>
      </c>
      <c r="G1743" s="6" t="s">
        <v>1978</v>
      </c>
      <c r="I1743" s="8">
        <v>81.037749722222202</v>
      </c>
      <c r="J1743" s="8">
        <v>0.36575368055555602</v>
      </c>
      <c r="K1743" s="6" t="s">
        <v>4450</v>
      </c>
      <c r="L1743" s="9">
        <v>44030</v>
      </c>
      <c r="N1743" s="6">
        <v>42</v>
      </c>
      <c r="O1743" s="6" t="s">
        <v>4417</v>
      </c>
      <c r="Q1743" s="10" t="s">
        <v>1799</v>
      </c>
      <c r="R1743" s="10">
        <v>74</v>
      </c>
      <c r="S1743" s="10">
        <v>79</v>
      </c>
      <c r="T1743" s="10">
        <f t="shared" si="100"/>
        <v>76.5</v>
      </c>
      <c r="U1743" s="11"/>
      <c r="V1743" s="8">
        <v>-0.18355105018615722</v>
      </c>
      <c r="W1743" s="8">
        <v>-0.71148842215537988</v>
      </c>
      <c r="X1743" s="8">
        <f t="shared" si="98"/>
        <v>0.75691997933387789</v>
      </c>
    </row>
    <row r="1744" spans="1:24" x14ac:dyDescent="0.35">
      <c r="A1744" s="6" t="s">
        <v>25</v>
      </c>
      <c r="B1744" s="7" t="s">
        <v>2017</v>
      </c>
      <c r="D1744" s="6" t="s">
        <v>2018</v>
      </c>
      <c r="E1744" s="6">
        <v>4</v>
      </c>
      <c r="F1744" s="6">
        <v>47</v>
      </c>
      <c r="G1744" s="6" t="s">
        <v>1978</v>
      </c>
      <c r="I1744" s="8">
        <v>81.037749722222202</v>
      </c>
      <c r="J1744" s="8">
        <v>0.36575368055555602</v>
      </c>
      <c r="K1744" s="6" t="s">
        <v>4450</v>
      </c>
      <c r="L1744" s="9">
        <v>44030</v>
      </c>
      <c r="N1744" s="6">
        <v>42</v>
      </c>
      <c r="O1744" s="6" t="s">
        <v>4417</v>
      </c>
      <c r="Q1744" s="10" t="s">
        <v>2019</v>
      </c>
      <c r="R1744" s="10">
        <v>79</v>
      </c>
      <c r="S1744" s="10">
        <v>89</v>
      </c>
      <c r="T1744" s="10">
        <f t="shared" si="100"/>
        <v>84</v>
      </c>
      <c r="U1744" s="11"/>
      <c r="V1744" s="8">
        <v>-0.23874251692891124</v>
      </c>
      <c r="W1744" s="8">
        <v>-1.4283228100538257</v>
      </c>
      <c r="X1744" s="8">
        <f t="shared" si="98"/>
        <v>0.48161732537746427</v>
      </c>
    </row>
    <row r="1745" spans="1:24" x14ac:dyDescent="0.35">
      <c r="A1745" s="6" t="s">
        <v>25</v>
      </c>
      <c r="B1745" s="7" t="s">
        <v>2020</v>
      </c>
      <c r="D1745" s="6" t="s">
        <v>2021</v>
      </c>
      <c r="E1745" s="6">
        <v>4</v>
      </c>
      <c r="F1745" s="6">
        <v>47</v>
      </c>
      <c r="G1745" s="6" t="s">
        <v>1978</v>
      </c>
      <c r="I1745" s="8">
        <v>81.037749722222202</v>
      </c>
      <c r="J1745" s="8">
        <v>0.36575368055555602</v>
      </c>
      <c r="K1745" s="6" t="s">
        <v>4450</v>
      </c>
      <c r="L1745" s="9">
        <v>44030</v>
      </c>
      <c r="N1745" s="6">
        <v>42</v>
      </c>
      <c r="O1745" s="6" t="s">
        <v>4417</v>
      </c>
      <c r="Q1745" s="10" t="s">
        <v>1802</v>
      </c>
      <c r="R1745" s="10">
        <v>69</v>
      </c>
      <c r="S1745" s="10">
        <v>74</v>
      </c>
      <c r="T1745" s="10">
        <f t="shared" si="100"/>
        <v>71.5</v>
      </c>
      <c r="U1745" s="11"/>
      <c r="V1745" s="8">
        <v>-0.15776967759728444</v>
      </c>
      <c r="W1745" s="8">
        <v>-1.9703123130798339</v>
      </c>
      <c r="X1745" s="8">
        <f t="shared" si="98"/>
        <v>-0.70815489230155837</v>
      </c>
    </row>
    <row r="1746" spans="1:24" x14ac:dyDescent="0.35">
      <c r="A1746" s="6" t="s">
        <v>25</v>
      </c>
      <c r="B1746" s="7" t="s">
        <v>2022</v>
      </c>
      <c r="D1746" s="6" t="s">
        <v>2023</v>
      </c>
      <c r="E1746" s="6">
        <v>4</v>
      </c>
      <c r="F1746" s="6">
        <v>47</v>
      </c>
      <c r="G1746" s="6" t="s">
        <v>1978</v>
      </c>
      <c r="I1746" s="8">
        <v>81.037749722222202</v>
      </c>
      <c r="J1746" s="8">
        <v>0.36575368055555602</v>
      </c>
      <c r="K1746" s="6" t="s">
        <v>4450</v>
      </c>
      <c r="L1746" s="9">
        <v>44030</v>
      </c>
      <c r="N1746" s="6">
        <v>42</v>
      </c>
      <c r="O1746" s="6" t="s">
        <v>4417</v>
      </c>
      <c r="Q1746" s="10" t="s">
        <v>2024</v>
      </c>
      <c r="R1746" s="10">
        <v>124</v>
      </c>
      <c r="S1746" s="10">
        <v>129</v>
      </c>
      <c r="T1746" s="10">
        <f t="shared" si="100"/>
        <v>126.5</v>
      </c>
      <c r="U1746" s="11"/>
      <c r="V1746" s="8">
        <v>-7.1689087431907659</v>
      </c>
      <c r="W1746" s="8">
        <v>-55.285185657501216</v>
      </c>
      <c r="X1746" s="8">
        <f t="shared" si="98"/>
        <v>2.0660842880249106</v>
      </c>
    </row>
    <row r="1747" spans="1:24" x14ac:dyDescent="0.35">
      <c r="A1747" s="6" t="s">
        <v>25</v>
      </c>
      <c r="B1747" s="7" t="s">
        <v>2025</v>
      </c>
      <c r="D1747" s="6" t="s">
        <v>2026</v>
      </c>
      <c r="E1747" s="6">
        <v>4</v>
      </c>
      <c r="F1747" s="6">
        <v>47</v>
      </c>
      <c r="G1747" s="6" t="s">
        <v>1978</v>
      </c>
      <c r="I1747" s="8">
        <v>81.037749722222202</v>
      </c>
      <c r="J1747" s="8">
        <v>0.36575368055555602</v>
      </c>
      <c r="K1747" s="6" t="s">
        <v>4450</v>
      </c>
      <c r="L1747" s="9">
        <v>44030</v>
      </c>
      <c r="N1747" s="6">
        <v>42</v>
      </c>
      <c r="O1747" s="6" t="s">
        <v>4417</v>
      </c>
      <c r="Q1747" s="10" t="s">
        <v>2027</v>
      </c>
      <c r="R1747" s="10">
        <v>114</v>
      </c>
      <c r="S1747" s="10">
        <v>119</v>
      </c>
      <c r="T1747" s="10">
        <f t="shared" si="100"/>
        <v>116.5</v>
      </c>
      <c r="U1747" s="11"/>
      <c r="V1747" s="8">
        <v>-8.5154525070190417</v>
      </c>
      <c r="W1747" s="8">
        <v>-65.459523857116693</v>
      </c>
      <c r="X1747" s="8">
        <f t="shared" si="98"/>
        <v>2.6640961990356402</v>
      </c>
    </row>
    <row r="1748" spans="1:24" x14ac:dyDescent="0.35">
      <c r="A1748" s="6" t="s">
        <v>25</v>
      </c>
      <c r="B1748" s="7" t="s">
        <v>2028</v>
      </c>
      <c r="D1748" s="6" t="s">
        <v>2029</v>
      </c>
      <c r="E1748" s="6">
        <v>4</v>
      </c>
      <c r="F1748" s="6">
        <v>47</v>
      </c>
      <c r="G1748" s="6" t="s">
        <v>1978</v>
      </c>
      <c r="I1748" s="8">
        <v>81.037749722222202</v>
      </c>
      <c r="J1748" s="8">
        <v>0.36575368055555602</v>
      </c>
      <c r="K1748" s="6" t="s">
        <v>4450</v>
      </c>
      <c r="L1748" s="9">
        <v>44030</v>
      </c>
      <c r="N1748" s="6">
        <v>42</v>
      </c>
      <c r="O1748" s="6" t="s">
        <v>4417</v>
      </c>
      <c r="Q1748" s="10" t="s">
        <v>1683</v>
      </c>
      <c r="R1748" s="10">
        <v>0</v>
      </c>
      <c r="S1748" s="10">
        <v>5</v>
      </c>
      <c r="T1748" s="10">
        <f t="shared" si="100"/>
        <v>2.5</v>
      </c>
      <c r="U1748" s="11"/>
      <c r="V1748" s="8">
        <v>-4.2835922983169556</v>
      </c>
      <c r="W1748" s="8">
        <v>-33.534098789215086</v>
      </c>
      <c r="X1748" s="8">
        <f t="shared" si="98"/>
        <v>0.73463959732055883</v>
      </c>
    </row>
    <row r="1749" spans="1:24" x14ac:dyDescent="0.35">
      <c r="A1749" s="6" t="s">
        <v>25</v>
      </c>
      <c r="B1749" s="7" t="s">
        <v>2030</v>
      </c>
      <c r="D1749" s="6" t="s">
        <v>2031</v>
      </c>
      <c r="E1749" s="6">
        <v>4</v>
      </c>
      <c r="F1749" s="6">
        <v>47</v>
      </c>
      <c r="G1749" s="6" t="s">
        <v>1978</v>
      </c>
      <c r="I1749" s="8">
        <v>81.037749722222202</v>
      </c>
      <c r="J1749" s="8">
        <v>0.36575368055555602</v>
      </c>
      <c r="K1749" s="6" t="s">
        <v>4450</v>
      </c>
      <c r="L1749" s="9">
        <v>44030</v>
      </c>
      <c r="N1749" s="6">
        <v>42</v>
      </c>
      <c r="O1749" s="6" t="s">
        <v>4417</v>
      </c>
      <c r="Q1749" s="10" t="s">
        <v>2032</v>
      </c>
      <c r="R1749" s="10">
        <v>5</v>
      </c>
      <c r="S1749" s="10">
        <v>10</v>
      </c>
      <c r="T1749" s="10">
        <f t="shared" si="100"/>
        <v>7.5</v>
      </c>
      <c r="U1749" s="11"/>
      <c r="V1749" s="8">
        <v>-3.4106681361675264</v>
      </c>
      <c r="W1749" s="8">
        <v>-25.741826374053957</v>
      </c>
      <c r="X1749" s="8">
        <f t="shared" si="98"/>
        <v>1.543518715286254</v>
      </c>
    </row>
    <row r="1750" spans="1:24" x14ac:dyDescent="0.35">
      <c r="A1750" s="6" t="s">
        <v>25</v>
      </c>
      <c r="B1750" s="7" t="s">
        <v>2033</v>
      </c>
      <c r="D1750" s="6" t="s">
        <v>2034</v>
      </c>
      <c r="E1750" s="6">
        <v>4</v>
      </c>
      <c r="F1750" s="6">
        <v>47</v>
      </c>
      <c r="G1750" s="6" t="s">
        <v>1978</v>
      </c>
      <c r="I1750" s="8">
        <v>81.037749722222202</v>
      </c>
      <c r="J1750" s="8">
        <v>0.36575368055555602</v>
      </c>
      <c r="K1750" s="6" t="s">
        <v>4450</v>
      </c>
      <c r="L1750" s="9">
        <v>44030</v>
      </c>
      <c r="N1750" s="6">
        <v>42</v>
      </c>
      <c r="O1750" s="6" t="s">
        <v>4417</v>
      </c>
      <c r="Q1750" s="10" t="s">
        <v>1848</v>
      </c>
      <c r="R1750" s="10">
        <v>89</v>
      </c>
      <c r="S1750" s="10">
        <v>94</v>
      </c>
      <c r="T1750" s="10">
        <f t="shared" si="100"/>
        <v>91.5</v>
      </c>
      <c r="U1750" s="11"/>
      <c r="V1750" s="8">
        <v>-0.19143402278423294</v>
      </c>
      <c r="W1750" s="8">
        <v>-1.0234285993482917</v>
      </c>
      <c r="X1750" s="8">
        <f t="shared" si="98"/>
        <v>0.50804358292557183</v>
      </c>
    </row>
    <row r="1751" spans="1:24" x14ac:dyDescent="0.35">
      <c r="A1751" s="6" t="s">
        <v>25</v>
      </c>
      <c r="B1751" s="7" t="s">
        <v>2035</v>
      </c>
      <c r="D1751" s="6" t="s">
        <v>2036</v>
      </c>
      <c r="E1751" s="6">
        <v>4</v>
      </c>
      <c r="F1751" s="6">
        <v>47</v>
      </c>
      <c r="G1751" s="6" t="s">
        <v>1978</v>
      </c>
      <c r="I1751" s="8">
        <v>81.037749722222202</v>
      </c>
      <c r="J1751" s="8">
        <v>0.36575368055555602</v>
      </c>
      <c r="K1751" s="6" t="s">
        <v>4450</v>
      </c>
      <c r="L1751" s="9">
        <v>44030</v>
      </c>
      <c r="N1751" s="6">
        <v>42</v>
      </c>
      <c r="O1751" s="6" t="s">
        <v>4417</v>
      </c>
      <c r="Q1751" s="10" t="s">
        <v>1839</v>
      </c>
      <c r="R1751" s="10">
        <v>119</v>
      </c>
      <c r="S1751" s="10">
        <v>124</v>
      </c>
      <c r="T1751" s="10">
        <f t="shared" si="100"/>
        <v>121.5</v>
      </c>
      <c r="U1751" s="11"/>
      <c r="V1751" s="8">
        <v>-9.3034903972625749</v>
      </c>
      <c r="W1751" s="8">
        <v>-72.76020506286622</v>
      </c>
      <c r="X1751" s="8">
        <f t="shared" si="98"/>
        <v>1.6677181152343792</v>
      </c>
    </row>
    <row r="1752" spans="1:24" x14ac:dyDescent="0.35">
      <c r="A1752" s="6" t="s">
        <v>25</v>
      </c>
      <c r="B1752" s="7" t="s">
        <v>2037</v>
      </c>
      <c r="D1752" s="6" t="s">
        <v>2038</v>
      </c>
      <c r="E1752" s="6">
        <v>4</v>
      </c>
      <c r="F1752" s="6">
        <v>47</v>
      </c>
      <c r="G1752" s="6" t="s">
        <v>1978</v>
      </c>
      <c r="I1752" s="8">
        <v>81.037749722222202</v>
      </c>
      <c r="J1752" s="8">
        <v>0.36575368055555602</v>
      </c>
      <c r="K1752" s="6" t="s">
        <v>4450</v>
      </c>
      <c r="L1752" s="9">
        <v>44030</v>
      </c>
      <c r="N1752" s="6">
        <v>42</v>
      </c>
      <c r="O1752" s="6" t="s">
        <v>4417</v>
      </c>
      <c r="Q1752" s="10" t="s">
        <v>2039</v>
      </c>
      <c r="R1752" s="10">
        <v>104</v>
      </c>
      <c r="S1752" s="10">
        <v>109</v>
      </c>
      <c r="T1752" s="10">
        <f t="shared" si="100"/>
        <v>106.5</v>
      </c>
      <c r="U1752" s="11"/>
      <c r="V1752" s="8">
        <v>-2.8679890993118287</v>
      </c>
      <c r="W1752" s="8">
        <v>-22.921872465133667</v>
      </c>
      <c r="X1752" s="8">
        <f t="shared" si="98"/>
        <v>2.2040329360962119E-2</v>
      </c>
    </row>
    <row r="1753" spans="1:24" x14ac:dyDescent="0.35">
      <c r="A1753" s="6" t="s">
        <v>25</v>
      </c>
      <c r="B1753" s="7" t="s">
        <v>2040</v>
      </c>
      <c r="D1753" s="6" t="s">
        <v>2041</v>
      </c>
      <c r="E1753" s="6">
        <v>4</v>
      </c>
      <c r="F1753" s="6">
        <v>47</v>
      </c>
      <c r="G1753" s="6" t="s">
        <v>1978</v>
      </c>
      <c r="I1753" s="8">
        <v>81.037749722222202</v>
      </c>
      <c r="J1753" s="8">
        <v>0.36575368055555602</v>
      </c>
      <c r="K1753" s="6" t="s">
        <v>4450</v>
      </c>
      <c r="L1753" s="9">
        <v>44030</v>
      </c>
      <c r="N1753" s="6">
        <v>42</v>
      </c>
      <c r="O1753" s="6" t="s">
        <v>4417</v>
      </c>
      <c r="Q1753" s="10" t="s">
        <v>2042</v>
      </c>
      <c r="R1753" s="10">
        <v>129</v>
      </c>
      <c r="S1753" s="10">
        <v>135</v>
      </c>
      <c r="T1753" s="10">
        <f t="shared" si="100"/>
        <v>132</v>
      </c>
      <c r="U1753" s="11"/>
      <c r="V1753" s="8">
        <v>-8.2224896381378194</v>
      </c>
      <c r="W1753" s="8">
        <v>-62.554859573364254</v>
      </c>
      <c r="X1753" s="8">
        <f t="shared" si="98"/>
        <v>3.225057531738301</v>
      </c>
    </row>
    <row r="1754" spans="1:24" x14ac:dyDescent="0.35">
      <c r="A1754" s="6" t="s">
        <v>25</v>
      </c>
      <c r="B1754" s="7" t="s">
        <v>2043</v>
      </c>
      <c r="D1754" s="6" t="s">
        <v>2044</v>
      </c>
      <c r="E1754" s="6">
        <v>4</v>
      </c>
      <c r="F1754" s="6">
        <v>47</v>
      </c>
      <c r="G1754" s="6" t="s">
        <v>1978</v>
      </c>
      <c r="I1754" s="8">
        <v>81.037749722222202</v>
      </c>
      <c r="J1754" s="8">
        <v>0.36575368055555602</v>
      </c>
      <c r="K1754" s="6" t="s">
        <v>4450</v>
      </c>
      <c r="L1754" s="9">
        <v>44030</v>
      </c>
      <c r="N1754" s="6">
        <v>42</v>
      </c>
      <c r="O1754" s="6" t="s">
        <v>4417</v>
      </c>
      <c r="Q1754" s="10" t="s">
        <v>2045</v>
      </c>
      <c r="R1754" s="10">
        <v>45</v>
      </c>
      <c r="S1754" s="10">
        <v>49</v>
      </c>
      <c r="T1754" s="10">
        <f t="shared" si="100"/>
        <v>47</v>
      </c>
      <c r="U1754" s="11"/>
      <c r="V1754" s="8">
        <v>0.1664268161475656</v>
      </c>
      <c r="W1754" s="8">
        <v>1.7896814591884618</v>
      </c>
      <c r="X1754" s="8">
        <f t="shared" si="98"/>
        <v>0.45826693000793695</v>
      </c>
    </row>
    <row r="1755" spans="1:24" x14ac:dyDescent="0.35">
      <c r="A1755" s="6" t="s">
        <v>25</v>
      </c>
      <c r="B1755" s="6" t="s">
        <v>3562</v>
      </c>
      <c r="D1755" s="6" t="s">
        <v>3864</v>
      </c>
      <c r="E1755" s="6">
        <v>4</v>
      </c>
      <c r="F1755" s="6">
        <v>47</v>
      </c>
      <c r="G1755" s="6" t="s">
        <v>4166</v>
      </c>
      <c r="I1755" s="8">
        <v>81.037749722222202</v>
      </c>
      <c r="J1755" s="8">
        <v>0.36575368055555602</v>
      </c>
      <c r="K1755" s="6" t="s">
        <v>2610</v>
      </c>
      <c r="L1755" s="9">
        <v>44030</v>
      </c>
      <c r="N1755" s="6">
        <v>42</v>
      </c>
      <c r="O1755" s="6" t="s">
        <v>4417</v>
      </c>
      <c r="V1755" s="8">
        <v>-1.7402143056011197</v>
      </c>
      <c r="W1755" s="8">
        <v>-13.98988066215515</v>
      </c>
      <c r="X1755" s="27">
        <f t="shared" si="98"/>
        <v>-6.8166217346192326E-2</v>
      </c>
    </row>
    <row r="1756" spans="1:24" x14ac:dyDescent="0.35">
      <c r="A1756" s="6" t="s">
        <v>25</v>
      </c>
      <c r="B1756" s="6" t="s">
        <v>2046</v>
      </c>
      <c r="D1756" s="6" t="s">
        <v>2047</v>
      </c>
      <c r="G1756" s="6" t="s">
        <v>2048</v>
      </c>
      <c r="I1756" s="8">
        <v>81.037749722222202</v>
      </c>
      <c r="J1756" s="8">
        <v>0.36575368055555602</v>
      </c>
      <c r="K1756" s="6" t="s">
        <v>4450</v>
      </c>
      <c r="L1756" s="9">
        <v>44030</v>
      </c>
      <c r="N1756" s="6">
        <v>42</v>
      </c>
      <c r="O1756" s="6" t="s">
        <v>4417</v>
      </c>
      <c r="Q1756" s="6" t="s">
        <v>1986</v>
      </c>
      <c r="T1756" s="10"/>
      <c r="U1756" s="6">
        <v>0.7</v>
      </c>
      <c r="V1756" s="8">
        <v>-2.4419336992502219</v>
      </c>
      <c r="W1756" s="8">
        <v>-19.837300658226013</v>
      </c>
      <c r="X1756" s="8">
        <f t="shared" si="98"/>
        <v>-0.30183106422423833</v>
      </c>
    </row>
    <row r="1757" spans="1:24" x14ac:dyDescent="0.35">
      <c r="A1757" s="6" t="s">
        <v>25</v>
      </c>
      <c r="B1757" s="6" t="s">
        <v>3563</v>
      </c>
      <c r="D1757" s="6" t="s">
        <v>3865</v>
      </c>
      <c r="E1757" s="6">
        <v>4</v>
      </c>
      <c r="F1757" s="6">
        <v>47</v>
      </c>
      <c r="G1757" s="6" t="s">
        <v>4167</v>
      </c>
      <c r="I1757" s="8">
        <v>80.888305694444455</v>
      </c>
      <c r="J1757" s="8">
        <v>-0.14805444444444441</v>
      </c>
      <c r="K1757" s="6" t="s">
        <v>2610</v>
      </c>
      <c r="L1757" s="9">
        <v>44031</v>
      </c>
      <c r="N1757" s="6">
        <v>43</v>
      </c>
      <c r="O1757" s="6" t="s">
        <v>4403</v>
      </c>
      <c r="V1757" s="8">
        <v>-1.9532856092071531</v>
      </c>
      <c r="W1757" s="8">
        <v>-14.069334483337402</v>
      </c>
      <c r="X1757" s="27">
        <f t="shared" si="98"/>
        <v>1.5569503903198232</v>
      </c>
    </row>
    <row r="1758" spans="1:24" x14ac:dyDescent="0.35">
      <c r="A1758" s="6" t="s">
        <v>25</v>
      </c>
      <c r="B1758" s="7" t="s">
        <v>2049</v>
      </c>
      <c r="D1758" s="6" t="s">
        <v>2050</v>
      </c>
      <c r="E1758" s="6">
        <v>4</v>
      </c>
      <c r="F1758" s="6">
        <v>48</v>
      </c>
      <c r="G1758" s="6" t="s">
        <v>546</v>
      </c>
      <c r="I1758" s="8">
        <v>80.754295347222197</v>
      </c>
      <c r="J1758" s="8">
        <v>-0.488818958333333</v>
      </c>
      <c r="K1758" s="6" t="s">
        <v>29</v>
      </c>
      <c r="L1758" s="9">
        <v>44032</v>
      </c>
      <c r="N1758" s="6">
        <v>43</v>
      </c>
      <c r="O1758" s="6" t="s">
        <v>4403</v>
      </c>
      <c r="Q1758" s="10" t="s">
        <v>2051</v>
      </c>
      <c r="R1758" s="10">
        <v>148</v>
      </c>
      <c r="S1758" s="10">
        <v>153</v>
      </c>
      <c r="T1758" s="10">
        <f t="shared" ref="T1758:T1795" si="101">AVERAGE(R1758:S1758)</f>
        <v>150.5</v>
      </c>
      <c r="U1758" s="11"/>
      <c r="V1758" s="8">
        <v>-4.6788336685180667</v>
      </c>
      <c r="W1758" s="8">
        <v>-35.113993194580075</v>
      </c>
      <c r="X1758" s="8">
        <f t="shared" si="98"/>
        <v>2.3166761535644582</v>
      </c>
    </row>
    <row r="1759" spans="1:24" x14ac:dyDescent="0.35">
      <c r="A1759" s="6" t="s">
        <v>25</v>
      </c>
      <c r="B1759" s="7" t="s">
        <v>2052</v>
      </c>
      <c r="D1759" s="6" t="s">
        <v>2053</v>
      </c>
      <c r="E1759" s="6">
        <v>4</v>
      </c>
      <c r="F1759" s="6">
        <v>48</v>
      </c>
      <c r="G1759" s="6" t="s">
        <v>546</v>
      </c>
      <c r="I1759" s="8">
        <v>80.754295347222197</v>
      </c>
      <c r="J1759" s="8">
        <v>-0.488818958333333</v>
      </c>
      <c r="K1759" s="6" t="s">
        <v>29</v>
      </c>
      <c r="L1759" s="9">
        <v>44032</v>
      </c>
      <c r="N1759" s="6">
        <v>43</v>
      </c>
      <c r="O1759" s="6" t="s">
        <v>4403</v>
      </c>
      <c r="Q1759" s="10" t="s">
        <v>2054</v>
      </c>
      <c r="R1759" s="10">
        <v>145</v>
      </c>
      <c r="S1759" s="10">
        <v>148</v>
      </c>
      <c r="T1759" s="10">
        <f t="shared" si="101"/>
        <v>146.5</v>
      </c>
      <c r="U1759" s="11"/>
      <c r="V1759" s="8">
        <v>-4.5759615271568306</v>
      </c>
      <c r="W1759" s="8">
        <v>-35.932391220092768</v>
      </c>
      <c r="X1759" s="8">
        <f t="shared" si="98"/>
        <v>0.67530099716187664</v>
      </c>
    </row>
    <row r="1760" spans="1:24" x14ac:dyDescent="0.35">
      <c r="A1760" s="6" t="s">
        <v>25</v>
      </c>
      <c r="B1760" s="7" t="s">
        <v>2055</v>
      </c>
      <c r="D1760" s="6" t="s">
        <v>2056</v>
      </c>
      <c r="E1760" s="6">
        <v>4</v>
      </c>
      <c r="F1760" s="6">
        <v>48</v>
      </c>
      <c r="G1760" s="6" t="s">
        <v>546</v>
      </c>
      <c r="I1760" s="8">
        <v>80.754295347222197</v>
      </c>
      <c r="J1760" s="8">
        <v>-0.488818958333333</v>
      </c>
      <c r="K1760" s="6" t="s">
        <v>29</v>
      </c>
      <c r="L1760" s="9">
        <v>44032</v>
      </c>
      <c r="N1760" s="6">
        <v>43</v>
      </c>
      <c r="O1760" s="6" t="s">
        <v>4403</v>
      </c>
      <c r="Q1760" s="10" t="s">
        <v>2057</v>
      </c>
      <c r="R1760" s="10">
        <v>80</v>
      </c>
      <c r="S1760" s="10">
        <v>85</v>
      </c>
      <c r="T1760" s="10">
        <f t="shared" si="101"/>
        <v>82.5</v>
      </c>
      <c r="U1760" s="11"/>
      <c r="V1760" s="8">
        <v>-3.0150084360122684</v>
      </c>
      <c r="W1760" s="8">
        <v>-24.246252632141115</v>
      </c>
      <c r="X1760" s="8">
        <f t="shared" si="98"/>
        <v>-0.12618514404296732</v>
      </c>
    </row>
    <row r="1761" spans="1:24" x14ac:dyDescent="0.35">
      <c r="A1761" s="6" t="s">
        <v>25</v>
      </c>
      <c r="B1761" s="7" t="s">
        <v>2058</v>
      </c>
      <c r="D1761" s="6" t="s">
        <v>2059</v>
      </c>
      <c r="E1761" s="6">
        <v>4</v>
      </c>
      <c r="F1761" s="6">
        <v>48</v>
      </c>
      <c r="G1761" s="6" t="s">
        <v>546</v>
      </c>
      <c r="I1761" s="8">
        <v>80.754295347222197</v>
      </c>
      <c r="J1761" s="8">
        <v>-0.488818958333333</v>
      </c>
      <c r="K1761" s="6" t="s">
        <v>29</v>
      </c>
      <c r="L1761" s="9">
        <v>44032</v>
      </c>
      <c r="N1761" s="6">
        <v>43</v>
      </c>
      <c r="O1761" s="6" t="s">
        <v>4403</v>
      </c>
      <c r="Q1761" s="10" t="s">
        <v>2060</v>
      </c>
      <c r="R1761" s="10">
        <v>75</v>
      </c>
      <c r="S1761" s="10">
        <v>80</v>
      </c>
      <c r="T1761" s="10">
        <f t="shared" si="101"/>
        <v>77.5</v>
      </c>
      <c r="U1761" s="11"/>
      <c r="V1761" s="8">
        <v>-3.3855677490711216</v>
      </c>
      <c r="W1761" s="8">
        <v>-26.093419940948486</v>
      </c>
      <c r="X1761" s="8">
        <f t="shared" ref="X1761:X1824" si="102">W1761-(8*V1761)</f>
        <v>0.99112205162048639</v>
      </c>
    </row>
    <row r="1762" spans="1:24" x14ac:dyDescent="0.35">
      <c r="A1762" s="6" t="s">
        <v>25</v>
      </c>
      <c r="B1762" s="7" t="s">
        <v>2061</v>
      </c>
      <c r="D1762" s="6" t="s">
        <v>2062</v>
      </c>
      <c r="E1762" s="6">
        <v>4</v>
      </c>
      <c r="F1762" s="6">
        <v>48</v>
      </c>
      <c r="G1762" s="6" t="s">
        <v>546</v>
      </c>
      <c r="I1762" s="8">
        <v>80.754295347222197</v>
      </c>
      <c r="J1762" s="8">
        <v>-0.488818958333333</v>
      </c>
      <c r="K1762" s="6" t="s">
        <v>29</v>
      </c>
      <c r="L1762" s="9">
        <v>44032</v>
      </c>
      <c r="N1762" s="6">
        <v>43</v>
      </c>
      <c r="O1762" s="6" t="s">
        <v>4403</v>
      </c>
      <c r="Q1762" s="10" t="s">
        <v>1719</v>
      </c>
      <c r="R1762" s="10">
        <v>5</v>
      </c>
      <c r="S1762" s="10">
        <v>10</v>
      </c>
      <c r="T1762" s="10">
        <f t="shared" si="101"/>
        <v>7.5</v>
      </c>
      <c r="U1762" s="11"/>
      <c r="V1762" s="8">
        <v>-4.5829228626251233</v>
      </c>
      <c r="W1762" s="8">
        <v>-35.083179211425772</v>
      </c>
      <c r="X1762" s="8">
        <f t="shared" si="102"/>
        <v>1.5802036895752138</v>
      </c>
    </row>
    <row r="1763" spans="1:24" x14ac:dyDescent="0.35">
      <c r="A1763" s="6" t="s">
        <v>25</v>
      </c>
      <c r="B1763" s="7" t="s">
        <v>2063</v>
      </c>
      <c r="D1763" s="6" t="s">
        <v>2064</v>
      </c>
      <c r="E1763" s="6">
        <v>4</v>
      </c>
      <c r="F1763" s="6">
        <v>48</v>
      </c>
      <c r="G1763" s="6" t="s">
        <v>546</v>
      </c>
      <c r="I1763" s="8">
        <v>80.754295347222197</v>
      </c>
      <c r="J1763" s="8">
        <v>-0.488818958333333</v>
      </c>
      <c r="K1763" s="6" t="s">
        <v>29</v>
      </c>
      <c r="L1763" s="9">
        <v>44032</v>
      </c>
      <c r="N1763" s="6">
        <v>43</v>
      </c>
      <c r="O1763" s="6" t="s">
        <v>4403</v>
      </c>
      <c r="Q1763" s="10" t="s">
        <v>2065</v>
      </c>
      <c r="R1763" s="10">
        <v>39</v>
      </c>
      <c r="S1763" s="10">
        <v>45</v>
      </c>
      <c r="T1763" s="10">
        <f t="shared" si="101"/>
        <v>42</v>
      </c>
      <c r="U1763" s="11"/>
      <c r="V1763" s="8">
        <v>-4.0829459801673895</v>
      </c>
      <c r="W1763" s="8">
        <v>-31.81111690406799</v>
      </c>
      <c r="X1763" s="8">
        <f t="shared" si="102"/>
        <v>0.85245093727112575</v>
      </c>
    </row>
    <row r="1764" spans="1:24" x14ac:dyDescent="0.35">
      <c r="A1764" s="6" t="s">
        <v>25</v>
      </c>
      <c r="B1764" s="7" t="s">
        <v>2066</v>
      </c>
      <c r="D1764" s="6" t="s">
        <v>2067</v>
      </c>
      <c r="E1764" s="6">
        <v>4</v>
      </c>
      <c r="F1764" s="6">
        <v>48</v>
      </c>
      <c r="G1764" s="6" t="s">
        <v>546</v>
      </c>
      <c r="I1764" s="8">
        <v>80.754295347222197</v>
      </c>
      <c r="J1764" s="8">
        <v>-0.488818958333333</v>
      </c>
      <c r="K1764" s="6" t="s">
        <v>29</v>
      </c>
      <c r="L1764" s="9">
        <v>44032</v>
      </c>
      <c r="N1764" s="6">
        <v>43</v>
      </c>
      <c r="O1764" s="6" t="s">
        <v>4403</v>
      </c>
      <c r="Q1764" s="10" t="s">
        <v>1683</v>
      </c>
      <c r="R1764" s="10">
        <v>0</v>
      </c>
      <c r="S1764" s="10">
        <v>5</v>
      </c>
      <c r="T1764" s="10">
        <f t="shared" si="101"/>
        <v>2.5</v>
      </c>
      <c r="U1764" s="11"/>
      <c r="V1764" s="8">
        <v>-4.4525648389816288</v>
      </c>
      <c r="W1764" s="8">
        <v>-35.638878081130983</v>
      </c>
      <c r="X1764" s="8">
        <f t="shared" si="102"/>
        <v>-1.8359369277952453E-2</v>
      </c>
    </row>
    <row r="1765" spans="1:24" x14ac:dyDescent="0.35">
      <c r="A1765" s="6" t="s">
        <v>25</v>
      </c>
      <c r="B1765" s="7" t="s">
        <v>2068</v>
      </c>
      <c r="D1765" s="6" t="s">
        <v>2069</v>
      </c>
      <c r="E1765" s="6">
        <v>4</v>
      </c>
      <c r="F1765" s="6">
        <v>48</v>
      </c>
      <c r="G1765" s="6" t="s">
        <v>546</v>
      </c>
      <c r="I1765" s="8">
        <v>80.754295347222197</v>
      </c>
      <c r="J1765" s="8">
        <v>-0.488818958333333</v>
      </c>
      <c r="K1765" s="6" t="s">
        <v>29</v>
      </c>
      <c r="L1765" s="9">
        <v>44032</v>
      </c>
      <c r="N1765" s="6">
        <v>43</v>
      </c>
      <c r="O1765" s="6" t="s">
        <v>4403</v>
      </c>
      <c r="Q1765" s="10" t="s">
        <v>1982</v>
      </c>
      <c r="R1765" s="10">
        <v>30</v>
      </c>
      <c r="S1765" s="10">
        <v>35</v>
      </c>
      <c r="T1765" s="10">
        <f t="shared" si="101"/>
        <v>32.5</v>
      </c>
      <c r="U1765" s="11"/>
      <c r="V1765" s="8">
        <v>-4.3846578777313239</v>
      </c>
      <c r="W1765" s="8">
        <v>-33.964325836181636</v>
      </c>
      <c r="X1765" s="8">
        <f t="shared" si="102"/>
        <v>1.1129371856689545</v>
      </c>
    </row>
    <row r="1766" spans="1:24" x14ac:dyDescent="0.35">
      <c r="A1766" s="6" t="s">
        <v>25</v>
      </c>
      <c r="B1766" s="7" t="s">
        <v>2070</v>
      </c>
      <c r="D1766" s="6" t="s">
        <v>2071</v>
      </c>
      <c r="E1766" s="6">
        <v>4</v>
      </c>
      <c r="F1766" s="6">
        <v>48</v>
      </c>
      <c r="G1766" s="6" t="s">
        <v>546</v>
      </c>
      <c r="I1766" s="8">
        <v>80.754295347222197</v>
      </c>
      <c r="J1766" s="8">
        <v>-0.488818958333333</v>
      </c>
      <c r="K1766" s="6" t="s">
        <v>29</v>
      </c>
      <c r="L1766" s="9">
        <v>44032</v>
      </c>
      <c r="N1766" s="6">
        <v>43</v>
      </c>
      <c r="O1766" s="6" t="s">
        <v>4403</v>
      </c>
      <c r="Q1766" s="10" t="s">
        <v>2072</v>
      </c>
      <c r="R1766" s="10">
        <v>115</v>
      </c>
      <c r="S1766" s="10">
        <v>120</v>
      </c>
      <c r="T1766" s="10">
        <f t="shared" si="101"/>
        <v>117.5</v>
      </c>
      <c r="U1766" s="11"/>
      <c r="V1766" s="8">
        <v>-1.4746751006126404</v>
      </c>
      <c r="W1766" s="8">
        <v>-11.352610090255737</v>
      </c>
      <c r="X1766" s="8">
        <f t="shared" si="102"/>
        <v>0.44479071464538578</v>
      </c>
    </row>
    <row r="1767" spans="1:24" x14ac:dyDescent="0.35">
      <c r="A1767" s="6" t="s">
        <v>25</v>
      </c>
      <c r="B1767" s="7" t="s">
        <v>2073</v>
      </c>
      <c r="D1767" s="6" t="s">
        <v>2074</v>
      </c>
      <c r="E1767" s="6">
        <v>4</v>
      </c>
      <c r="F1767" s="6">
        <v>48</v>
      </c>
      <c r="G1767" s="6" t="s">
        <v>546</v>
      </c>
      <c r="I1767" s="8">
        <v>80.754295347222197</v>
      </c>
      <c r="J1767" s="8">
        <v>-0.488818958333333</v>
      </c>
      <c r="K1767" s="6" t="s">
        <v>29</v>
      </c>
      <c r="L1767" s="9">
        <v>44032</v>
      </c>
      <c r="N1767" s="6">
        <v>43</v>
      </c>
      <c r="O1767" s="6" t="s">
        <v>4403</v>
      </c>
      <c r="Q1767" s="10" t="s">
        <v>1979</v>
      </c>
      <c r="R1767" s="10">
        <v>25</v>
      </c>
      <c r="S1767" s="10">
        <v>30</v>
      </c>
      <c r="T1767" s="10">
        <f t="shared" si="101"/>
        <v>27.5</v>
      </c>
      <c r="U1767" s="11"/>
      <c r="V1767" s="8">
        <v>-4.6174062221527103</v>
      </c>
      <c r="W1767" s="8">
        <v>-35.306530368804928</v>
      </c>
      <c r="X1767" s="8">
        <f t="shared" si="102"/>
        <v>1.6327194084167544</v>
      </c>
    </row>
    <row r="1768" spans="1:24" x14ac:dyDescent="0.35">
      <c r="A1768" s="6" t="s">
        <v>25</v>
      </c>
      <c r="B1768" s="7" t="s">
        <v>2075</v>
      </c>
      <c r="D1768" s="6" t="s">
        <v>2076</v>
      </c>
      <c r="E1768" s="6">
        <v>4</v>
      </c>
      <c r="F1768" s="6">
        <v>48</v>
      </c>
      <c r="G1768" s="6" t="s">
        <v>546</v>
      </c>
      <c r="I1768" s="8">
        <v>80.754295347222197</v>
      </c>
      <c r="J1768" s="8">
        <v>-0.488818958333333</v>
      </c>
      <c r="K1768" s="6" t="s">
        <v>29</v>
      </c>
      <c r="L1768" s="9">
        <v>44032</v>
      </c>
      <c r="N1768" s="6">
        <v>43</v>
      </c>
      <c r="O1768" s="6" t="s">
        <v>4403</v>
      </c>
      <c r="Q1768" s="10" t="s">
        <v>2077</v>
      </c>
      <c r="R1768" s="10">
        <v>110</v>
      </c>
      <c r="S1768" s="10">
        <v>115</v>
      </c>
      <c r="T1768" s="10">
        <f t="shared" si="101"/>
        <v>112.5</v>
      </c>
      <c r="U1768" s="11"/>
      <c r="V1768" s="8">
        <v>-1.6631458018302923</v>
      </c>
      <c r="W1768" s="8">
        <v>-11.956790755271912</v>
      </c>
      <c r="X1768" s="8">
        <f t="shared" si="102"/>
        <v>1.3483756593704257</v>
      </c>
    </row>
    <row r="1769" spans="1:24" x14ac:dyDescent="0.35">
      <c r="A1769" s="6" t="s">
        <v>25</v>
      </c>
      <c r="B1769" s="7" t="s">
        <v>2078</v>
      </c>
      <c r="D1769" s="6" t="s">
        <v>2079</v>
      </c>
      <c r="E1769" s="6">
        <v>4</v>
      </c>
      <c r="F1769" s="6">
        <v>48</v>
      </c>
      <c r="G1769" s="6" t="s">
        <v>546</v>
      </c>
      <c r="I1769" s="8">
        <v>80.754295347222197</v>
      </c>
      <c r="J1769" s="8">
        <v>-0.488818958333333</v>
      </c>
      <c r="K1769" s="6" t="s">
        <v>29</v>
      </c>
      <c r="L1769" s="9">
        <v>44032</v>
      </c>
      <c r="N1769" s="6">
        <v>43</v>
      </c>
      <c r="O1769" s="6" t="s">
        <v>4403</v>
      </c>
      <c r="Q1769" s="10" t="s">
        <v>2005</v>
      </c>
      <c r="R1769" s="10">
        <v>10</v>
      </c>
      <c r="S1769" s="10">
        <v>15</v>
      </c>
      <c r="T1769" s="10">
        <f t="shared" si="101"/>
        <v>12.5</v>
      </c>
      <c r="U1769" s="11"/>
      <c r="V1769" s="8">
        <v>-4.6904693363189702</v>
      </c>
      <c r="W1769" s="8">
        <v>-36.284075534820552</v>
      </c>
      <c r="X1769" s="8">
        <f t="shared" si="102"/>
        <v>1.2396791557312099</v>
      </c>
    </row>
    <row r="1770" spans="1:24" x14ac:dyDescent="0.35">
      <c r="A1770" s="6" t="s">
        <v>25</v>
      </c>
      <c r="B1770" s="7" t="s">
        <v>2080</v>
      </c>
      <c r="D1770" s="6" t="s">
        <v>2081</v>
      </c>
      <c r="E1770" s="6">
        <v>4</v>
      </c>
      <c r="F1770" s="6">
        <v>48</v>
      </c>
      <c r="G1770" s="6" t="s">
        <v>546</v>
      </c>
      <c r="I1770" s="8">
        <v>80.754295347222197</v>
      </c>
      <c r="J1770" s="8">
        <v>-0.488818958333333</v>
      </c>
      <c r="K1770" s="6" t="s">
        <v>29</v>
      </c>
      <c r="L1770" s="9">
        <v>44032</v>
      </c>
      <c r="N1770" s="6">
        <v>43</v>
      </c>
      <c r="O1770" s="6" t="s">
        <v>4403</v>
      </c>
      <c r="Q1770" s="10" t="s">
        <v>2082</v>
      </c>
      <c r="R1770" s="10">
        <v>45</v>
      </c>
      <c r="S1770" s="10">
        <v>50</v>
      </c>
      <c r="T1770" s="10">
        <f t="shared" si="101"/>
        <v>47.5</v>
      </c>
      <c r="U1770" s="11"/>
      <c r="V1770" s="8">
        <v>-3.6945811832427986</v>
      </c>
      <c r="W1770" s="8">
        <v>-28.318438880920411</v>
      </c>
      <c r="X1770" s="8">
        <f t="shared" si="102"/>
        <v>1.238210585021978</v>
      </c>
    </row>
    <row r="1771" spans="1:24" x14ac:dyDescent="0.35">
      <c r="A1771" s="6" t="s">
        <v>25</v>
      </c>
      <c r="B1771" s="7" t="s">
        <v>2083</v>
      </c>
      <c r="D1771" s="6" t="s">
        <v>2084</v>
      </c>
      <c r="E1771" s="6">
        <v>4</v>
      </c>
      <c r="F1771" s="6">
        <v>48</v>
      </c>
      <c r="G1771" s="6" t="s">
        <v>546</v>
      </c>
      <c r="I1771" s="8">
        <v>80.754295347222197</v>
      </c>
      <c r="J1771" s="8">
        <v>-0.488818958333333</v>
      </c>
      <c r="K1771" s="6" t="s">
        <v>29</v>
      </c>
      <c r="L1771" s="9">
        <v>44032</v>
      </c>
      <c r="N1771" s="6">
        <v>43</v>
      </c>
      <c r="O1771" s="6" t="s">
        <v>4403</v>
      </c>
      <c r="Q1771" s="10" t="s">
        <v>2085</v>
      </c>
      <c r="R1771" s="10">
        <v>135</v>
      </c>
      <c r="S1771" s="10">
        <v>140</v>
      </c>
      <c r="T1771" s="10">
        <f t="shared" si="101"/>
        <v>137.5</v>
      </c>
      <c r="U1771" s="11"/>
      <c r="V1771" s="8">
        <v>-6.7821773345947269</v>
      </c>
      <c r="W1771" s="8">
        <v>-53.486570880889886</v>
      </c>
      <c r="X1771" s="8">
        <f t="shared" si="102"/>
        <v>0.77084779586792962</v>
      </c>
    </row>
    <row r="1772" spans="1:24" x14ac:dyDescent="0.35">
      <c r="A1772" s="6" t="s">
        <v>25</v>
      </c>
      <c r="B1772" s="7" t="s">
        <v>2086</v>
      </c>
      <c r="D1772" s="6" t="s">
        <v>2087</v>
      </c>
      <c r="E1772" s="6">
        <v>4</v>
      </c>
      <c r="F1772" s="6">
        <v>48</v>
      </c>
      <c r="G1772" s="6" t="s">
        <v>546</v>
      </c>
      <c r="I1772" s="8">
        <v>80.754295347222197</v>
      </c>
      <c r="J1772" s="8">
        <v>-0.488818958333333</v>
      </c>
      <c r="K1772" s="6" t="s">
        <v>29</v>
      </c>
      <c r="L1772" s="9">
        <v>44032</v>
      </c>
      <c r="N1772" s="6">
        <v>43</v>
      </c>
      <c r="O1772" s="6" t="s">
        <v>4403</v>
      </c>
      <c r="Q1772" s="10" t="s">
        <v>2088</v>
      </c>
      <c r="R1772" s="10">
        <v>35</v>
      </c>
      <c r="S1772" s="10">
        <v>39</v>
      </c>
      <c r="T1772" s="10">
        <f t="shared" si="101"/>
        <v>37</v>
      </c>
      <c r="U1772" s="11"/>
      <c r="V1772" s="8">
        <v>-4.2431950996398928</v>
      </c>
      <c r="W1772" s="8">
        <v>-32.697530105590815</v>
      </c>
      <c r="X1772" s="8">
        <f t="shared" si="102"/>
        <v>1.2480306915283279</v>
      </c>
    </row>
    <row r="1773" spans="1:24" x14ac:dyDescent="0.35">
      <c r="A1773" s="6" t="s">
        <v>25</v>
      </c>
      <c r="B1773" s="7" t="s">
        <v>2089</v>
      </c>
      <c r="D1773" s="6" t="s">
        <v>2090</v>
      </c>
      <c r="E1773" s="6">
        <v>4</v>
      </c>
      <c r="F1773" s="6">
        <v>48</v>
      </c>
      <c r="G1773" s="6" t="s">
        <v>546</v>
      </c>
      <c r="I1773" s="8">
        <v>80.754295347222197</v>
      </c>
      <c r="J1773" s="8">
        <v>-0.488818958333333</v>
      </c>
      <c r="K1773" s="6" t="s">
        <v>29</v>
      </c>
      <c r="L1773" s="9">
        <v>44032</v>
      </c>
      <c r="N1773" s="6">
        <v>43</v>
      </c>
      <c r="O1773" s="6" t="s">
        <v>4403</v>
      </c>
      <c r="Q1773" s="10" t="s">
        <v>2091</v>
      </c>
      <c r="R1773" s="10">
        <v>85</v>
      </c>
      <c r="S1773" s="10">
        <v>90</v>
      </c>
      <c r="T1773" s="10">
        <f t="shared" si="101"/>
        <v>87.5</v>
      </c>
      <c r="U1773" s="11"/>
      <c r="V1773" s="8">
        <v>-2.4474301994323735</v>
      </c>
      <c r="W1773" s="8">
        <v>-18.973312252044678</v>
      </c>
      <c r="X1773" s="8">
        <f t="shared" si="102"/>
        <v>0.60612934341430957</v>
      </c>
    </row>
    <row r="1774" spans="1:24" x14ac:dyDescent="0.35">
      <c r="A1774" s="6" t="s">
        <v>25</v>
      </c>
      <c r="B1774" s="7" t="s">
        <v>2092</v>
      </c>
      <c r="D1774" s="6" t="s">
        <v>2093</v>
      </c>
      <c r="E1774" s="6">
        <v>4</v>
      </c>
      <c r="F1774" s="6">
        <v>48</v>
      </c>
      <c r="G1774" s="6" t="s">
        <v>546</v>
      </c>
      <c r="I1774" s="8">
        <v>80.754295347222197</v>
      </c>
      <c r="J1774" s="8">
        <v>-0.488818958333333</v>
      </c>
      <c r="K1774" s="6" t="s">
        <v>29</v>
      </c>
      <c r="L1774" s="9">
        <v>44032</v>
      </c>
      <c r="N1774" s="6">
        <v>43</v>
      </c>
      <c r="O1774" s="6" t="s">
        <v>4403</v>
      </c>
      <c r="Q1774" s="10" t="s">
        <v>2094</v>
      </c>
      <c r="R1774" s="10">
        <v>120</v>
      </c>
      <c r="S1774" s="10">
        <v>125</v>
      </c>
      <c r="T1774" s="10">
        <f t="shared" si="101"/>
        <v>122.5</v>
      </c>
      <c r="U1774" s="11"/>
      <c r="V1774" s="8">
        <v>-1.9176022304534917</v>
      </c>
      <c r="W1774" s="8">
        <v>-14.813483164405824</v>
      </c>
      <c r="X1774" s="8">
        <f t="shared" si="102"/>
        <v>0.52733467922210941</v>
      </c>
    </row>
    <row r="1775" spans="1:24" x14ac:dyDescent="0.35">
      <c r="A1775" s="6" t="s">
        <v>25</v>
      </c>
      <c r="B1775" s="7" t="s">
        <v>2095</v>
      </c>
      <c r="D1775" s="6" t="s">
        <v>2096</v>
      </c>
      <c r="E1775" s="6">
        <v>4</v>
      </c>
      <c r="F1775" s="6">
        <v>48</v>
      </c>
      <c r="G1775" s="6" t="s">
        <v>546</v>
      </c>
      <c r="I1775" s="8">
        <v>80.754295347222197</v>
      </c>
      <c r="J1775" s="8">
        <v>-0.488818958333333</v>
      </c>
      <c r="K1775" s="6" t="s">
        <v>29</v>
      </c>
      <c r="L1775" s="9">
        <v>44032</v>
      </c>
      <c r="N1775" s="6">
        <v>43</v>
      </c>
      <c r="O1775" s="6" t="s">
        <v>4403</v>
      </c>
      <c r="Q1775" s="10" t="s">
        <v>2097</v>
      </c>
      <c r="R1775" s="10">
        <v>60</v>
      </c>
      <c r="S1775" s="10">
        <v>65</v>
      </c>
      <c r="T1775" s="10">
        <f t="shared" si="101"/>
        <v>62.5</v>
      </c>
      <c r="U1775" s="11"/>
      <c r="V1775" s="8">
        <v>-3.1285181831359865</v>
      </c>
      <c r="W1775" s="8">
        <v>-24.382479867553712</v>
      </c>
      <c r="X1775" s="8">
        <f t="shared" si="102"/>
        <v>0.64566559753417962</v>
      </c>
    </row>
    <row r="1776" spans="1:24" x14ac:dyDescent="0.35">
      <c r="A1776" s="6" t="s">
        <v>25</v>
      </c>
      <c r="B1776" s="7" t="s">
        <v>2098</v>
      </c>
      <c r="D1776" s="6" t="s">
        <v>2099</v>
      </c>
      <c r="E1776" s="6">
        <v>4</v>
      </c>
      <c r="F1776" s="6">
        <v>48</v>
      </c>
      <c r="G1776" s="6" t="s">
        <v>546</v>
      </c>
      <c r="I1776" s="8">
        <v>80.754295347222197</v>
      </c>
      <c r="J1776" s="8">
        <v>-0.488818958333333</v>
      </c>
      <c r="K1776" s="6" t="s">
        <v>29</v>
      </c>
      <c r="L1776" s="9">
        <v>44032</v>
      </c>
      <c r="N1776" s="6">
        <v>43</v>
      </c>
      <c r="O1776" s="6" t="s">
        <v>4403</v>
      </c>
      <c r="Q1776" s="10" t="s">
        <v>1999</v>
      </c>
      <c r="R1776" s="10">
        <v>20</v>
      </c>
      <c r="S1776" s="10">
        <v>25</v>
      </c>
      <c r="T1776" s="10">
        <f t="shared" si="101"/>
        <v>22.5</v>
      </c>
      <c r="U1776" s="11"/>
      <c r="V1776" s="8">
        <v>-4.801194608116151</v>
      </c>
      <c r="W1776" s="8">
        <v>-36.86352964172363</v>
      </c>
      <c r="X1776" s="8">
        <f t="shared" si="102"/>
        <v>1.5460272232055772</v>
      </c>
    </row>
    <row r="1777" spans="1:24" x14ac:dyDescent="0.35">
      <c r="A1777" s="6" t="s">
        <v>25</v>
      </c>
      <c r="B1777" s="7" t="s">
        <v>2100</v>
      </c>
      <c r="D1777" s="6" t="s">
        <v>2101</v>
      </c>
      <c r="E1777" s="6">
        <v>4</v>
      </c>
      <c r="F1777" s="6">
        <v>48</v>
      </c>
      <c r="G1777" s="6" t="s">
        <v>546</v>
      </c>
      <c r="I1777" s="8">
        <v>80.754295347222197</v>
      </c>
      <c r="J1777" s="8">
        <v>-0.488818958333333</v>
      </c>
      <c r="K1777" s="6" t="s">
        <v>29</v>
      </c>
      <c r="L1777" s="9">
        <v>44032</v>
      </c>
      <c r="N1777" s="6">
        <v>43</v>
      </c>
      <c r="O1777" s="6" t="s">
        <v>4403</v>
      </c>
      <c r="Q1777" s="10" t="s">
        <v>2002</v>
      </c>
      <c r="R1777" s="10">
        <v>15</v>
      </c>
      <c r="S1777" s="10">
        <v>20</v>
      </c>
      <c r="T1777" s="10">
        <f t="shared" si="101"/>
        <v>17.5</v>
      </c>
      <c r="U1777" s="11"/>
      <c r="V1777" s="8">
        <v>-4.7862550443649292</v>
      </c>
      <c r="W1777" s="8">
        <v>-37.14543683776855</v>
      </c>
      <c r="X1777" s="8">
        <f t="shared" si="102"/>
        <v>1.1446035171508839</v>
      </c>
    </row>
    <row r="1778" spans="1:24" x14ac:dyDescent="0.35">
      <c r="A1778" s="6" t="s">
        <v>25</v>
      </c>
      <c r="B1778" s="7" t="s">
        <v>2102</v>
      </c>
      <c r="D1778" s="6" t="s">
        <v>2103</v>
      </c>
      <c r="E1778" s="6">
        <v>4</v>
      </c>
      <c r="F1778" s="6">
        <v>48</v>
      </c>
      <c r="G1778" s="6" t="s">
        <v>546</v>
      </c>
      <c r="I1778" s="8">
        <v>80.754295347222197</v>
      </c>
      <c r="J1778" s="8">
        <v>-0.488818958333333</v>
      </c>
      <c r="K1778" s="6" t="s">
        <v>29</v>
      </c>
      <c r="L1778" s="9">
        <v>44032</v>
      </c>
      <c r="N1778" s="6">
        <v>43</v>
      </c>
      <c r="O1778" s="6" t="s">
        <v>4403</v>
      </c>
      <c r="Q1778" s="10" t="s">
        <v>2104</v>
      </c>
      <c r="R1778" s="10">
        <v>50</v>
      </c>
      <c r="S1778" s="10">
        <v>55</v>
      </c>
      <c r="T1778" s="10">
        <f t="shared" si="101"/>
        <v>52.5</v>
      </c>
      <c r="U1778" s="11"/>
      <c r="V1778" s="8">
        <v>-3.377826572799683</v>
      </c>
      <c r="W1778" s="8">
        <v>-25.827045537567134</v>
      </c>
      <c r="X1778" s="8">
        <f t="shared" si="102"/>
        <v>1.1955670448303302</v>
      </c>
    </row>
    <row r="1779" spans="1:24" x14ac:dyDescent="0.35">
      <c r="A1779" s="6" t="s">
        <v>25</v>
      </c>
      <c r="B1779" s="7" t="s">
        <v>2105</v>
      </c>
      <c r="D1779" s="6" t="s">
        <v>2106</v>
      </c>
      <c r="E1779" s="6">
        <v>4</v>
      </c>
      <c r="F1779" s="6">
        <v>48</v>
      </c>
      <c r="G1779" s="6" t="s">
        <v>546</v>
      </c>
      <c r="I1779" s="8">
        <v>80.754295347222197</v>
      </c>
      <c r="J1779" s="8">
        <v>-0.488818958333333</v>
      </c>
      <c r="K1779" s="6" t="s">
        <v>29</v>
      </c>
      <c r="L1779" s="9">
        <v>44032</v>
      </c>
      <c r="N1779" s="6">
        <v>43</v>
      </c>
      <c r="O1779" s="6" t="s">
        <v>4403</v>
      </c>
      <c r="Q1779" s="10" t="s">
        <v>2107</v>
      </c>
      <c r="R1779" s="10">
        <v>95</v>
      </c>
      <c r="S1779" s="10">
        <v>100</v>
      </c>
      <c r="T1779" s="10">
        <f t="shared" si="101"/>
        <v>97.5</v>
      </c>
      <c r="U1779" s="11"/>
      <c r="V1779" s="8">
        <v>-2.1781229375839239</v>
      </c>
      <c r="W1779" s="8">
        <v>-16.481512651062012</v>
      </c>
      <c r="X1779" s="8">
        <f t="shared" si="102"/>
        <v>0.94347084960937977</v>
      </c>
    </row>
    <row r="1780" spans="1:24" x14ac:dyDescent="0.35">
      <c r="A1780" s="6" t="s">
        <v>25</v>
      </c>
      <c r="B1780" s="7" t="s">
        <v>2108</v>
      </c>
      <c r="D1780" s="6" t="s">
        <v>2109</v>
      </c>
      <c r="E1780" s="6">
        <v>4</v>
      </c>
      <c r="F1780" s="6">
        <v>48</v>
      </c>
      <c r="G1780" s="6" t="s">
        <v>546</v>
      </c>
      <c r="I1780" s="8">
        <v>80.754295347222197</v>
      </c>
      <c r="J1780" s="8">
        <v>-0.488818958333333</v>
      </c>
      <c r="K1780" s="6" t="s">
        <v>29</v>
      </c>
      <c r="L1780" s="9">
        <v>44032</v>
      </c>
      <c r="N1780" s="6">
        <v>43</v>
      </c>
      <c r="O1780" s="6" t="s">
        <v>4403</v>
      </c>
      <c r="Q1780" s="10" t="s">
        <v>2110</v>
      </c>
      <c r="R1780" s="10">
        <v>100</v>
      </c>
      <c r="S1780" s="10">
        <v>105</v>
      </c>
      <c r="T1780" s="10">
        <f t="shared" si="101"/>
        <v>102.5</v>
      </c>
      <c r="U1780" s="11"/>
      <c r="V1780" s="8">
        <v>-2.0821137365341187</v>
      </c>
      <c r="W1780" s="8">
        <v>-15.794802710151673</v>
      </c>
      <c r="X1780" s="8">
        <f t="shared" si="102"/>
        <v>0.86210718212127624</v>
      </c>
    </row>
    <row r="1781" spans="1:24" x14ac:dyDescent="0.35">
      <c r="A1781" s="6" t="s">
        <v>25</v>
      </c>
      <c r="B1781" s="7" t="s">
        <v>2111</v>
      </c>
      <c r="D1781" s="6" t="s">
        <v>2112</v>
      </c>
      <c r="E1781" s="6">
        <v>4</v>
      </c>
      <c r="F1781" s="6">
        <v>48</v>
      </c>
      <c r="G1781" s="6" t="s">
        <v>546</v>
      </c>
      <c r="I1781" s="8">
        <v>80.754295347222197</v>
      </c>
      <c r="J1781" s="8">
        <v>-0.488818958333333</v>
      </c>
      <c r="K1781" s="6" t="s">
        <v>29</v>
      </c>
      <c r="L1781" s="9">
        <v>44032</v>
      </c>
      <c r="N1781" s="6">
        <v>43</v>
      </c>
      <c r="O1781" s="6" t="s">
        <v>4403</v>
      </c>
      <c r="Q1781" s="10" t="s">
        <v>2113</v>
      </c>
      <c r="R1781" s="10">
        <v>140</v>
      </c>
      <c r="S1781" s="10">
        <v>145</v>
      </c>
      <c r="T1781" s="10">
        <f t="shared" si="101"/>
        <v>142.5</v>
      </c>
      <c r="U1781" s="11"/>
      <c r="V1781" s="8">
        <v>-5.2834217285156253</v>
      </c>
      <c r="W1781" s="8">
        <v>-42.107446996307367</v>
      </c>
      <c r="X1781" s="8">
        <f t="shared" si="102"/>
        <v>0.15992683181763567</v>
      </c>
    </row>
    <row r="1782" spans="1:24" x14ac:dyDescent="0.35">
      <c r="A1782" s="6" t="s">
        <v>25</v>
      </c>
      <c r="B1782" s="7" t="s">
        <v>2114</v>
      </c>
      <c r="D1782" s="6" t="s">
        <v>2115</v>
      </c>
      <c r="E1782" s="6">
        <v>4</v>
      </c>
      <c r="F1782" s="6">
        <v>48</v>
      </c>
      <c r="G1782" s="6" t="s">
        <v>546</v>
      </c>
      <c r="I1782" s="8">
        <v>80.754295347222197</v>
      </c>
      <c r="J1782" s="8">
        <v>-0.488818958333333</v>
      </c>
      <c r="K1782" s="6" t="s">
        <v>29</v>
      </c>
      <c r="L1782" s="9">
        <v>44032</v>
      </c>
      <c r="N1782" s="6">
        <v>43</v>
      </c>
      <c r="O1782" s="6" t="s">
        <v>4403</v>
      </c>
      <c r="Q1782" s="10" t="s">
        <v>2116</v>
      </c>
      <c r="R1782" s="10">
        <v>105</v>
      </c>
      <c r="S1782" s="10">
        <v>110</v>
      </c>
      <c r="T1782" s="10">
        <f t="shared" si="101"/>
        <v>107.5</v>
      </c>
      <c r="U1782" s="11"/>
      <c r="V1782" s="8">
        <v>-2.0047699121475224</v>
      </c>
      <c r="W1782" s="8">
        <v>-14.981993898963928</v>
      </c>
      <c r="X1782" s="8">
        <f t="shared" si="102"/>
        <v>1.0561653982162511</v>
      </c>
    </row>
    <row r="1783" spans="1:24" x14ac:dyDescent="0.35">
      <c r="A1783" s="6" t="s">
        <v>25</v>
      </c>
      <c r="B1783" s="7" t="s">
        <v>2117</v>
      </c>
      <c r="D1783" s="6" t="s">
        <v>2118</v>
      </c>
      <c r="E1783" s="6">
        <v>4</v>
      </c>
      <c r="F1783" s="6">
        <v>48</v>
      </c>
      <c r="G1783" s="6" t="s">
        <v>546</v>
      </c>
      <c r="I1783" s="8">
        <v>80.754295347222197</v>
      </c>
      <c r="J1783" s="8">
        <v>-0.488818958333333</v>
      </c>
      <c r="K1783" s="6" t="s">
        <v>29</v>
      </c>
      <c r="L1783" s="9">
        <v>44032</v>
      </c>
      <c r="N1783" s="6">
        <v>43</v>
      </c>
      <c r="O1783" s="6" t="s">
        <v>4403</v>
      </c>
      <c r="Q1783" s="10" t="s">
        <v>2119</v>
      </c>
      <c r="R1783" s="10">
        <v>70</v>
      </c>
      <c r="S1783" s="10">
        <v>75</v>
      </c>
      <c r="T1783" s="10">
        <f t="shared" si="101"/>
        <v>72.5</v>
      </c>
      <c r="U1783" s="11"/>
      <c r="V1783" s="8">
        <v>-3.4159958490371714</v>
      </c>
      <c r="W1783" s="8">
        <v>-26.158174684143066</v>
      </c>
      <c r="X1783" s="8">
        <f t="shared" si="102"/>
        <v>1.1697921081543043</v>
      </c>
    </row>
    <row r="1784" spans="1:24" x14ac:dyDescent="0.35">
      <c r="A1784" s="6" t="s">
        <v>25</v>
      </c>
      <c r="B1784" s="7" t="s">
        <v>2120</v>
      </c>
      <c r="D1784" s="6" t="s">
        <v>2121</v>
      </c>
      <c r="E1784" s="6">
        <v>4</v>
      </c>
      <c r="F1784" s="6">
        <v>48</v>
      </c>
      <c r="G1784" s="6" t="s">
        <v>546</v>
      </c>
      <c r="I1784" s="8">
        <v>80.754295347222197</v>
      </c>
      <c r="J1784" s="8">
        <v>-0.488818958333333</v>
      </c>
      <c r="K1784" s="6" t="s">
        <v>29</v>
      </c>
      <c r="L1784" s="9">
        <v>44032</v>
      </c>
      <c r="N1784" s="6">
        <v>43</v>
      </c>
      <c r="O1784" s="6" t="s">
        <v>4403</v>
      </c>
      <c r="Q1784" s="10" t="s">
        <v>2122</v>
      </c>
      <c r="R1784" s="10">
        <v>55</v>
      </c>
      <c r="S1784" s="10">
        <v>60</v>
      </c>
      <c r="T1784" s="10">
        <f t="shared" si="101"/>
        <v>57.5</v>
      </c>
      <c r="U1784" s="11"/>
      <c r="V1784" s="8">
        <v>-3.1335355212688447</v>
      </c>
      <c r="W1784" s="8">
        <v>-22.930991773605346</v>
      </c>
      <c r="X1784" s="8">
        <f t="shared" si="102"/>
        <v>2.137292396545412</v>
      </c>
    </row>
    <row r="1785" spans="1:24" x14ac:dyDescent="0.35">
      <c r="A1785" s="6" t="s">
        <v>25</v>
      </c>
      <c r="B1785" s="7" t="s">
        <v>2123</v>
      </c>
      <c r="D1785" s="6" t="s">
        <v>2124</v>
      </c>
      <c r="E1785" s="6">
        <v>4</v>
      </c>
      <c r="F1785" s="6">
        <v>48</v>
      </c>
      <c r="G1785" s="6" t="s">
        <v>546</v>
      </c>
      <c r="I1785" s="8">
        <v>80.754295347222197</v>
      </c>
      <c r="J1785" s="8">
        <v>-0.488818958333333</v>
      </c>
      <c r="K1785" s="6" t="s">
        <v>29</v>
      </c>
      <c r="L1785" s="9">
        <v>44032</v>
      </c>
      <c r="N1785" s="6">
        <v>43</v>
      </c>
      <c r="O1785" s="6" t="s">
        <v>4403</v>
      </c>
      <c r="Q1785" s="10" t="s">
        <v>2125</v>
      </c>
      <c r="R1785" s="10">
        <v>153</v>
      </c>
      <c r="S1785" s="10">
        <v>160</v>
      </c>
      <c r="T1785" s="10">
        <f t="shared" si="101"/>
        <v>156.5</v>
      </c>
      <c r="U1785" s="11"/>
      <c r="V1785" s="8">
        <v>-5.2008943667411804</v>
      </c>
      <c r="W1785" s="8">
        <v>-37.481903285980223</v>
      </c>
      <c r="X1785" s="8">
        <f t="shared" si="102"/>
        <v>4.1252516479492201</v>
      </c>
    </row>
    <row r="1786" spans="1:24" x14ac:dyDescent="0.35">
      <c r="A1786" s="6" t="s">
        <v>25</v>
      </c>
      <c r="B1786" s="7" t="s">
        <v>2126</v>
      </c>
      <c r="D1786" s="6" t="s">
        <v>2127</v>
      </c>
      <c r="E1786" s="6">
        <v>4</v>
      </c>
      <c r="F1786" s="6">
        <v>48</v>
      </c>
      <c r="G1786" s="6" t="s">
        <v>546</v>
      </c>
      <c r="I1786" s="8">
        <v>80.754295347222197</v>
      </c>
      <c r="J1786" s="8">
        <v>-0.488818958333333</v>
      </c>
      <c r="K1786" s="6" t="s">
        <v>29</v>
      </c>
      <c r="L1786" s="9">
        <v>44032</v>
      </c>
      <c r="N1786" s="6">
        <v>43</v>
      </c>
      <c r="O1786" s="6" t="s">
        <v>4403</v>
      </c>
      <c r="Q1786" s="10" t="s">
        <v>2128</v>
      </c>
      <c r="R1786" s="10">
        <v>203</v>
      </c>
      <c r="S1786" s="10">
        <v>208</v>
      </c>
      <c r="T1786" s="10">
        <f t="shared" si="101"/>
        <v>205.5</v>
      </c>
      <c r="U1786" s="11"/>
      <c r="V1786" s="8">
        <v>0.36629645338654521</v>
      </c>
      <c r="W1786" s="8">
        <v>4.2653193782642482</v>
      </c>
      <c r="X1786" s="8">
        <f t="shared" si="102"/>
        <v>1.3349477511718866</v>
      </c>
    </row>
    <row r="1787" spans="1:24" x14ac:dyDescent="0.35">
      <c r="A1787" s="6" t="s">
        <v>25</v>
      </c>
      <c r="B1787" s="7" t="s">
        <v>2129</v>
      </c>
      <c r="D1787" s="6" t="s">
        <v>2130</v>
      </c>
      <c r="E1787" s="6">
        <v>4</v>
      </c>
      <c r="F1787" s="6">
        <v>48</v>
      </c>
      <c r="G1787" s="6" t="s">
        <v>546</v>
      </c>
      <c r="I1787" s="8">
        <v>80.754295347222197</v>
      </c>
      <c r="J1787" s="8">
        <v>-0.488818958333333</v>
      </c>
      <c r="K1787" s="6" t="s">
        <v>29</v>
      </c>
      <c r="L1787" s="9">
        <v>44032</v>
      </c>
      <c r="N1787" s="6">
        <v>43</v>
      </c>
      <c r="O1787" s="6" t="s">
        <v>4403</v>
      </c>
      <c r="Q1787" s="10" t="s">
        <v>2131</v>
      </c>
      <c r="R1787" s="10">
        <v>90</v>
      </c>
      <c r="S1787" s="10">
        <v>95</v>
      </c>
      <c r="T1787" s="10">
        <f t="shared" si="101"/>
        <v>92.5</v>
      </c>
      <c r="U1787" s="11"/>
      <c r="V1787" s="8">
        <v>-1.907821376562119</v>
      </c>
      <c r="W1787" s="8">
        <v>-13.730305028915405</v>
      </c>
      <c r="X1787" s="8">
        <f t="shared" si="102"/>
        <v>1.5322659835815475</v>
      </c>
    </row>
    <row r="1788" spans="1:24" x14ac:dyDescent="0.35">
      <c r="A1788" s="6" t="s">
        <v>25</v>
      </c>
      <c r="B1788" s="7" t="s">
        <v>2132</v>
      </c>
      <c r="D1788" s="6" t="s">
        <v>2133</v>
      </c>
      <c r="E1788" s="6">
        <v>4</v>
      </c>
      <c r="F1788" s="6">
        <v>48</v>
      </c>
      <c r="G1788" s="6" t="s">
        <v>546</v>
      </c>
      <c r="I1788" s="8">
        <v>80.754295347222197</v>
      </c>
      <c r="J1788" s="8">
        <v>-0.488818958333333</v>
      </c>
      <c r="K1788" s="6" t="s">
        <v>29</v>
      </c>
      <c r="L1788" s="9">
        <v>44032</v>
      </c>
      <c r="N1788" s="6">
        <v>43</v>
      </c>
      <c r="O1788" s="6" t="s">
        <v>4403</v>
      </c>
      <c r="Q1788" s="10" t="s">
        <v>2134</v>
      </c>
      <c r="R1788" s="10">
        <v>125</v>
      </c>
      <c r="S1788" s="10">
        <v>130</v>
      </c>
      <c r="T1788" s="10">
        <f t="shared" si="101"/>
        <v>127.5</v>
      </c>
      <c r="U1788" s="11"/>
      <c r="V1788" s="8">
        <v>-2.5818069698810575</v>
      </c>
      <c r="W1788" s="8">
        <v>-19.436798449516296</v>
      </c>
      <c r="X1788" s="8">
        <f t="shared" si="102"/>
        <v>1.2176573095321643</v>
      </c>
    </row>
    <row r="1789" spans="1:24" x14ac:dyDescent="0.35">
      <c r="A1789" s="6" t="s">
        <v>25</v>
      </c>
      <c r="B1789" s="7" t="s">
        <v>2135</v>
      </c>
      <c r="D1789" s="6" t="s">
        <v>2136</v>
      </c>
      <c r="E1789" s="6">
        <v>4</v>
      </c>
      <c r="F1789" s="6">
        <v>48</v>
      </c>
      <c r="G1789" s="6" t="s">
        <v>546</v>
      </c>
      <c r="I1789" s="8">
        <v>80.754295347222197</v>
      </c>
      <c r="J1789" s="8">
        <v>-0.488818958333333</v>
      </c>
      <c r="K1789" s="6" t="s">
        <v>29</v>
      </c>
      <c r="L1789" s="9">
        <v>44032</v>
      </c>
      <c r="N1789" s="6">
        <v>43</v>
      </c>
      <c r="O1789" s="6" t="s">
        <v>4403</v>
      </c>
      <c r="Q1789" s="10" t="s">
        <v>2137</v>
      </c>
      <c r="R1789" s="10">
        <v>168</v>
      </c>
      <c r="S1789" s="10">
        <v>173</v>
      </c>
      <c r="T1789" s="10">
        <f t="shared" si="101"/>
        <v>170.5</v>
      </c>
      <c r="U1789" s="11"/>
      <c r="V1789" s="8">
        <v>-4.6056551566123964</v>
      </c>
      <c r="W1789" s="8">
        <v>-35.774659936904911</v>
      </c>
      <c r="X1789" s="8">
        <f t="shared" si="102"/>
        <v>1.0705813159942608</v>
      </c>
    </row>
    <row r="1790" spans="1:24" x14ac:dyDescent="0.35">
      <c r="A1790" s="6" t="s">
        <v>25</v>
      </c>
      <c r="B1790" s="7" t="s">
        <v>2138</v>
      </c>
      <c r="D1790" s="6" t="s">
        <v>2139</v>
      </c>
      <c r="E1790" s="6">
        <v>4</v>
      </c>
      <c r="F1790" s="6">
        <v>48</v>
      </c>
      <c r="G1790" s="6" t="s">
        <v>546</v>
      </c>
      <c r="I1790" s="8">
        <v>80.754295347222197</v>
      </c>
      <c r="J1790" s="8">
        <v>-0.488818958333333</v>
      </c>
      <c r="K1790" s="6" t="s">
        <v>29</v>
      </c>
      <c r="L1790" s="9">
        <v>44032</v>
      </c>
      <c r="N1790" s="6">
        <v>43</v>
      </c>
      <c r="O1790" s="6" t="s">
        <v>4403</v>
      </c>
      <c r="Q1790" s="10" t="s">
        <v>2140</v>
      </c>
      <c r="R1790" s="10">
        <v>173</v>
      </c>
      <c r="S1790" s="10">
        <v>178</v>
      </c>
      <c r="T1790" s="10">
        <f t="shared" si="101"/>
        <v>175.5</v>
      </c>
      <c r="U1790" s="11"/>
      <c r="V1790" s="8">
        <v>-2.5953085374236107</v>
      </c>
      <c r="W1790" s="8">
        <v>-19.668728132247924</v>
      </c>
      <c r="X1790" s="8">
        <f t="shared" si="102"/>
        <v>1.093740167140961</v>
      </c>
    </row>
    <row r="1791" spans="1:24" x14ac:dyDescent="0.35">
      <c r="A1791" s="6" t="s">
        <v>25</v>
      </c>
      <c r="B1791" s="7" t="s">
        <v>2141</v>
      </c>
      <c r="D1791" s="6" t="s">
        <v>2142</v>
      </c>
      <c r="E1791" s="6">
        <v>4</v>
      </c>
      <c r="F1791" s="6">
        <v>48</v>
      </c>
      <c r="G1791" s="6" t="s">
        <v>546</v>
      </c>
      <c r="I1791" s="8">
        <v>80.754295347222197</v>
      </c>
      <c r="J1791" s="8">
        <v>-0.488818958333333</v>
      </c>
      <c r="K1791" s="6" t="s">
        <v>29</v>
      </c>
      <c r="L1791" s="9">
        <v>44032</v>
      </c>
      <c r="N1791" s="6">
        <v>43</v>
      </c>
      <c r="O1791" s="6" t="s">
        <v>4403</v>
      </c>
      <c r="Q1791" s="10" t="s">
        <v>2143</v>
      </c>
      <c r="R1791" s="10">
        <v>178</v>
      </c>
      <c r="S1791" s="10">
        <v>183</v>
      </c>
      <c r="T1791" s="10">
        <f t="shared" si="101"/>
        <v>180.5</v>
      </c>
      <c r="U1791" s="11"/>
      <c r="V1791" s="8">
        <v>-0.77245413848757782</v>
      </c>
      <c r="W1791" s="8">
        <v>-5.9752675175666807</v>
      </c>
      <c r="X1791" s="8">
        <f t="shared" si="102"/>
        <v>0.20436559033394186</v>
      </c>
    </row>
    <row r="1792" spans="1:24" x14ac:dyDescent="0.35">
      <c r="A1792" s="6" t="s">
        <v>25</v>
      </c>
      <c r="B1792" s="7" t="s">
        <v>2144</v>
      </c>
      <c r="D1792" s="6" t="s">
        <v>2145</v>
      </c>
      <c r="E1792" s="6">
        <v>4</v>
      </c>
      <c r="F1792" s="6">
        <v>48</v>
      </c>
      <c r="G1792" s="6" t="s">
        <v>546</v>
      </c>
      <c r="I1792" s="8">
        <v>80.754295347222197</v>
      </c>
      <c r="J1792" s="8">
        <v>-0.488818958333333</v>
      </c>
      <c r="K1792" s="6" t="s">
        <v>29</v>
      </c>
      <c r="L1792" s="9">
        <v>44032</v>
      </c>
      <c r="N1792" s="6">
        <v>43</v>
      </c>
      <c r="O1792" s="6" t="s">
        <v>4403</v>
      </c>
      <c r="Q1792" s="10" t="s">
        <v>1736</v>
      </c>
      <c r="R1792" s="10">
        <v>163</v>
      </c>
      <c r="S1792" s="10">
        <v>168</v>
      </c>
      <c r="T1792" s="10">
        <f t="shared" si="101"/>
        <v>165.5</v>
      </c>
      <c r="U1792" s="11"/>
      <c r="V1792" s="8">
        <v>-4.3878616710901266</v>
      </c>
      <c r="W1792" s="8">
        <v>-32.726824914932251</v>
      </c>
      <c r="X1792" s="8">
        <f t="shared" si="102"/>
        <v>2.3760684537887613</v>
      </c>
    </row>
    <row r="1793" spans="1:25" x14ac:dyDescent="0.35">
      <c r="A1793" s="6" t="s">
        <v>25</v>
      </c>
      <c r="B1793" s="7" t="s">
        <v>2146</v>
      </c>
      <c r="D1793" s="6" t="s">
        <v>2147</v>
      </c>
      <c r="E1793" s="6">
        <v>4</v>
      </c>
      <c r="F1793" s="6">
        <v>48</v>
      </c>
      <c r="G1793" s="6" t="s">
        <v>546</v>
      </c>
      <c r="I1793" s="8">
        <v>80.754295347222197</v>
      </c>
      <c r="J1793" s="8">
        <v>-0.488818958333333</v>
      </c>
      <c r="K1793" s="6" t="s">
        <v>29</v>
      </c>
      <c r="L1793" s="9">
        <v>44032</v>
      </c>
      <c r="N1793" s="6">
        <v>43</v>
      </c>
      <c r="O1793" s="6" t="s">
        <v>4403</v>
      </c>
      <c r="Q1793" s="10" t="s">
        <v>2148</v>
      </c>
      <c r="R1793" s="10">
        <v>183</v>
      </c>
      <c r="S1793" s="10">
        <v>188</v>
      </c>
      <c r="T1793" s="10">
        <f t="shared" si="101"/>
        <v>185.5</v>
      </c>
      <c r="U1793" s="11"/>
      <c r="V1793" s="8">
        <v>-0.3698263479173185</v>
      </c>
      <c r="W1793" s="8">
        <v>-2.680679186582565</v>
      </c>
      <c r="X1793" s="8">
        <f t="shared" si="102"/>
        <v>0.277931596755983</v>
      </c>
    </row>
    <row r="1794" spans="1:25" x14ac:dyDescent="0.35">
      <c r="A1794" s="6" t="s">
        <v>25</v>
      </c>
      <c r="B1794" s="7" t="s">
        <v>2149</v>
      </c>
      <c r="D1794" s="6" t="s">
        <v>2150</v>
      </c>
      <c r="E1794" s="6">
        <v>4</v>
      </c>
      <c r="F1794" s="6">
        <v>48</v>
      </c>
      <c r="G1794" s="6" t="s">
        <v>546</v>
      </c>
      <c r="I1794" s="8">
        <v>80.754295347222197</v>
      </c>
      <c r="J1794" s="8">
        <v>-0.488818958333333</v>
      </c>
      <c r="K1794" s="6" t="s">
        <v>29</v>
      </c>
      <c r="L1794" s="9">
        <v>44032</v>
      </c>
      <c r="N1794" s="6">
        <v>43</v>
      </c>
      <c r="O1794" s="6" t="s">
        <v>4403</v>
      </c>
      <c r="Q1794" s="10" t="s">
        <v>2151</v>
      </c>
      <c r="R1794" s="10">
        <v>130</v>
      </c>
      <c r="S1794" s="10">
        <v>135</v>
      </c>
      <c r="T1794" s="10">
        <f t="shared" si="101"/>
        <v>132.5</v>
      </c>
      <c r="U1794" s="11"/>
      <c r="V1794" s="8">
        <v>-5.1166669842004779</v>
      </c>
      <c r="W1794" s="8">
        <v>-40.173906728744498</v>
      </c>
      <c r="X1794" s="8">
        <f t="shared" si="102"/>
        <v>0.75942914485932533</v>
      </c>
    </row>
    <row r="1795" spans="1:25" x14ac:dyDescent="0.35">
      <c r="A1795" s="6" t="s">
        <v>25</v>
      </c>
      <c r="B1795" s="7" t="s">
        <v>2152</v>
      </c>
      <c r="D1795" s="6" t="s">
        <v>2153</v>
      </c>
      <c r="E1795" s="6">
        <v>4</v>
      </c>
      <c r="F1795" s="6">
        <v>48</v>
      </c>
      <c r="G1795" s="6" t="s">
        <v>546</v>
      </c>
      <c r="I1795" s="8">
        <v>80.754295347222197</v>
      </c>
      <c r="J1795" s="8">
        <v>-0.488818958333333</v>
      </c>
      <c r="K1795" s="6" t="s">
        <v>29</v>
      </c>
      <c r="L1795" s="9">
        <v>44032</v>
      </c>
      <c r="N1795" s="6">
        <v>43</v>
      </c>
      <c r="O1795" s="6" t="s">
        <v>4403</v>
      </c>
      <c r="Q1795" s="10" t="s">
        <v>2154</v>
      </c>
      <c r="R1795" s="10">
        <v>160</v>
      </c>
      <c r="S1795" s="10">
        <v>163</v>
      </c>
      <c r="T1795" s="10">
        <f t="shared" si="101"/>
        <v>161.5</v>
      </c>
      <c r="U1795" s="11"/>
      <c r="V1795" s="8">
        <v>-4.7768730171918872</v>
      </c>
      <c r="W1795" s="8">
        <v>-35.626918470382691</v>
      </c>
      <c r="X1795" s="8">
        <f t="shared" si="102"/>
        <v>2.5880656671524065</v>
      </c>
    </row>
    <row r="1796" spans="1:25" x14ac:dyDescent="0.35">
      <c r="A1796" s="6" t="s">
        <v>25</v>
      </c>
      <c r="B1796" s="7" t="s">
        <v>2195</v>
      </c>
      <c r="D1796" s="6" t="s">
        <v>2196</v>
      </c>
      <c r="E1796" s="6">
        <v>4</v>
      </c>
      <c r="F1796" s="6">
        <v>48</v>
      </c>
      <c r="G1796" s="6" t="s">
        <v>2197</v>
      </c>
      <c r="I1796" s="8">
        <v>80.754295347222197</v>
      </c>
      <c r="J1796" s="8">
        <v>-0.488818958333333</v>
      </c>
      <c r="K1796" s="6" t="s">
        <v>4450</v>
      </c>
      <c r="L1796" s="9">
        <v>44032</v>
      </c>
      <c r="N1796" s="6">
        <v>43</v>
      </c>
      <c r="O1796" s="6" t="s">
        <v>4403</v>
      </c>
      <c r="Q1796" s="10" t="s">
        <v>1986</v>
      </c>
      <c r="R1796" s="10"/>
      <c r="S1796" s="10"/>
      <c r="T1796" s="10"/>
      <c r="U1796" s="11"/>
      <c r="V1796" s="8">
        <v>-6.2698060741424566</v>
      </c>
      <c r="W1796" s="8">
        <v>-48.610915140151981</v>
      </c>
      <c r="X1796" s="8">
        <f t="shared" si="102"/>
        <v>1.5475334529876719</v>
      </c>
    </row>
    <row r="1797" spans="1:25" x14ac:dyDescent="0.35">
      <c r="A1797" s="6" t="s">
        <v>25</v>
      </c>
      <c r="B1797" s="7" t="s">
        <v>2155</v>
      </c>
      <c r="D1797" s="6" t="s">
        <v>2156</v>
      </c>
      <c r="E1797" s="6">
        <v>4</v>
      </c>
      <c r="F1797" s="6">
        <v>48</v>
      </c>
      <c r="G1797" s="6" t="s">
        <v>546</v>
      </c>
      <c r="I1797" s="8">
        <v>80.754295347222197</v>
      </c>
      <c r="J1797" s="8">
        <v>-0.488818958333333</v>
      </c>
      <c r="K1797" s="6" t="s">
        <v>29</v>
      </c>
      <c r="L1797" s="9">
        <v>44032</v>
      </c>
      <c r="N1797" s="6">
        <v>43</v>
      </c>
      <c r="O1797" s="6" t="s">
        <v>4403</v>
      </c>
      <c r="Q1797" s="10" t="s">
        <v>2157</v>
      </c>
      <c r="R1797" s="10">
        <v>198</v>
      </c>
      <c r="S1797" s="10">
        <v>203</v>
      </c>
      <c r="T1797" s="10">
        <f t="shared" ref="T1797:T1814" si="103">AVERAGE(R1797:S1797)</f>
        <v>200.5</v>
      </c>
      <c r="U1797" s="11"/>
      <c r="V1797" s="8">
        <v>0.16718348762616517</v>
      </c>
      <c r="W1797" s="8">
        <v>2.1504252775907515</v>
      </c>
      <c r="X1797" s="8">
        <f t="shared" si="102"/>
        <v>0.81295737658143019</v>
      </c>
    </row>
    <row r="1798" spans="1:25" x14ac:dyDescent="0.35">
      <c r="A1798" s="6" t="s">
        <v>25</v>
      </c>
      <c r="B1798" s="7" t="s">
        <v>2158</v>
      </c>
      <c r="D1798" s="6" t="s">
        <v>2159</v>
      </c>
      <c r="E1798" s="6">
        <v>4</v>
      </c>
      <c r="F1798" s="6">
        <v>48</v>
      </c>
      <c r="G1798" s="6" t="s">
        <v>546</v>
      </c>
      <c r="I1798" s="8">
        <v>80.754295347222197</v>
      </c>
      <c r="J1798" s="8">
        <v>-0.488818958333333</v>
      </c>
      <c r="K1798" s="6" t="s">
        <v>29</v>
      </c>
      <c r="L1798" s="9">
        <v>44032</v>
      </c>
      <c r="N1798" s="6">
        <v>43</v>
      </c>
      <c r="O1798" s="6" t="s">
        <v>4403</v>
      </c>
      <c r="Q1798" s="10" t="s">
        <v>2160</v>
      </c>
      <c r="R1798" s="10">
        <v>208</v>
      </c>
      <c r="S1798" s="10">
        <v>213</v>
      </c>
      <c r="T1798" s="10">
        <f t="shared" si="103"/>
        <v>210.5</v>
      </c>
      <c r="U1798" s="11"/>
      <c r="V1798" s="8">
        <v>0.58999998397231113</v>
      </c>
      <c r="W1798" s="8">
        <v>5.6104993782043469</v>
      </c>
      <c r="X1798" s="8">
        <f t="shared" si="102"/>
        <v>0.89049950642585785</v>
      </c>
    </row>
    <row r="1799" spans="1:25" x14ac:dyDescent="0.35">
      <c r="A1799" s="6" t="s">
        <v>25</v>
      </c>
      <c r="B1799" s="7" t="s">
        <v>2161</v>
      </c>
      <c r="D1799" s="6" t="s">
        <v>2162</v>
      </c>
      <c r="E1799" s="6">
        <v>4</v>
      </c>
      <c r="F1799" s="6">
        <v>48</v>
      </c>
      <c r="G1799" s="6" t="s">
        <v>546</v>
      </c>
      <c r="I1799" s="8">
        <v>80.754295347222197</v>
      </c>
      <c r="J1799" s="8">
        <v>-0.488818958333333</v>
      </c>
      <c r="K1799" s="6" t="s">
        <v>29</v>
      </c>
      <c r="L1799" s="9">
        <v>44032</v>
      </c>
      <c r="N1799" s="6">
        <v>43</v>
      </c>
      <c r="O1799" s="6" t="s">
        <v>4403</v>
      </c>
      <c r="Q1799" s="10" t="s">
        <v>2163</v>
      </c>
      <c r="R1799" s="10">
        <v>65</v>
      </c>
      <c r="S1799" s="10">
        <v>70</v>
      </c>
      <c r="T1799" s="10">
        <f t="shared" si="103"/>
        <v>67.5</v>
      </c>
      <c r="U1799" s="11"/>
      <c r="V1799" s="8">
        <v>-3.3539262083053591</v>
      </c>
      <c r="W1799" s="8">
        <v>-25.795531488418579</v>
      </c>
      <c r="X1799" s="8">
        <f t="shared" si="102"/>
        <v>1.0358781780242943</v>
      </c>
    </row>
    <row r="1800" spans="1:25" x14ac:dyDescent="0.35">
      <c r="A1800" s="6" t="s">
        <v>25</v>
      </c>
      <c r="B1800" s="7" t="s">
        <v>2164</v>
      </c>
      <c r="D1800" s="6" t="s">
        <v>2165</v>
      </c>
      <c r="E1800" s="6">
        <v>4</v>
      </c>
      <c r="F1800" s="6">
        <v>48</v>
      </c>
      <c r="G1800" s="6" t="s">
        <v>546</v>
      </c>
      <c r="I1800" s="8">
        <v>80.754295347222197</v>
      </c>
      <c r="J1800" s="8">
        <v>-0.488818958333333</v>
      </c>
      <c r="K1800" s="6" t="s">
        <v>29</v>
      </c>
      <c r="L1800" s="9">
        <v>44032</v>
      </c>
      <c r="N1800" s="6">
        <v>43</v>
      </c>
      <c r="O1800" s="6" t="s">
        <v>4403</v>
      </c>
      <c r="Q1800" s="10" t="s">
        <v>2166</v>
      </c>
      <c r="R1800" s="10">
        <v>193</v>
      </c>
      <c r="S1800" s="10">
        <v>198</v>
      </c>
      <c r="T1800" s="10">
        <f t="shared" si="103"/>
        <v>195.5</v>
      </c>
      <c r="U1800" s="11"/>
      <c r="V1800" s="8">
        <v>2.7226406556368026E-2</v>
      </c>
      <c r="W1800" s="8">
        <v>0.79416143655776972</v>
      </c>
      <c r="X1800" s="8">
        <f t="shared" si="102"/>
        <v>0.57635018410682548</v>
      </c>
    </row>
    <row r="1801" spans="1:25" x14ac:dyDescent="0.35">
      <c r="A1801" s="6" t="s">
        <v>25</v>
      </c>
      <c r="B1801" s="6" t="s">
        <v>2167</v>
      </c>
      <c r="D1801" s="6" t="s">
        <v>2168</v>
      </c>
      <c r="E1801" s="6">
        <v>4</v>
      </c>
      <c r="F1801" s="6">
        <v>48</v>
      </c>
      <c r="I1801" s="8">
        <v>80.754295347222197</v>
      </c>
      <c r="J1801" s="8">
        <v>-0.488818958333333</v>
      </c>
      <c r="K1801" s="6" t="s">
        <v>29</v>
      </c>
      <c r="L1801" s="9">
        <v>44032</v>
      </c>
      <c r="N1801" s="6">
        <v>43</v>
      </c>
      <c r="O1801" s="6" t="s">
        <v>4403</v>
      </c>
      <c r="R1801" s="6">
        <v>0</v>
      </c>
      <c r="S1801" s="6">
        <v>10</v>
      </c>
      <c r="T1801" s="10">
        <f t="shared" si="103"/>
        <v>5</v>
      </c>
      <c r="U1801" s="15">
        <v>1.5</v>
      </c>
      <c r="V1801" s="8">
        <v>0.36245420373916654</v>
      </c>
      <c r="W1801" s="8">
        <v>2.5655406853675844</v>
      </c>
      <c r="X1801" s="8">
        <f t="shared" si="102"/>
        <v>-0.33409294454574789</v>
      </c>
      <c r="Y1801" s="6" t="s">
        <v>1760</v>
      </c>
    </row>
    <row r="1802" spans="1:25" x14ac:dyDescent="0.35">
      <c r="A1802" s="6" t="s">
        <v>25</v>
      </c>
      <c r="B1802" s="6" t="s">
        <v>2169</v>
      </c>
      <c r="D1802" s="6" t="s">
        <v>2170</v>
      </c>
      <c r="E1802" s="6">
        <v>4</v>
      </c>
      <c r="F1802" s="6">
        <v>48</v>
      </c>
      <c r="I1802" s="8">
        <v>80.754295347222197</v>
      </c>
      <c r="J1802" s="8">
        <v>-0.488818958333333</v>
      </c>
      <c r="K1802" s="6" t="s">
        <v>29</v>
      </c>
      <c r="L1802" s="9">
        <v>44032</v>
      </c>
      <c r="N1802" s="6">
        <v>43</v>
      </c>
      <c r="O1802" s="6" t="s">
        <v>4403</v>
      </c>
      <c r="R1802" s="6">
        <v>10</v>
      </c>
      <c r="S1802" s="6">
        <v>20</v>
      </c>
      <c r="T1802" s="10">
        <f t="shared" si="103"/>
        <v>15</v>
      </c>
      <c r="U1802" s="15">
        <v>0.9</v>
      </c>
      <c r="V1802" s="8">
        <v>0.74459708676338221</v>
      </c>
      <c r="W1802" s="8">
        <v>4.4602035503387452</v>
      </c>
      <c r="X1802" s="8">
        <f t="shared" si="102"/>
        <v>-1.4965731437683125</v>
      </c>
      <c r="Y1802" s="6" t="s">
        <v>1760</v>
      </c>
    </row>
    <row r="1803" spans="1:25" x14ac:dyDescent="0.35">
      <c r="A1803" s="6" t="s">
        <v>25</v>
      </c>
      <c r="B1803" s="6" t="s">
        <v>2171</v>
      </c>
      <c r="D1803" s="6" t="s">
        <v>2172</v>
      </c>
      <c r="E1803" s="6">
        <v>4</v>
      </c>
      <c r="F1803" s="6">
        <v>48</v>
      </c>
      <c r="I1803" s="8">
        <v>80.754295347222197</v>
      </c>
      <c r="J1803" s="8">
        <v>-0.488818958333333</v>
      </c>
      <c r="K1803" s="6" t="s">
        <v>29</v>
      </c>
      <c r="L1803" s="9">
        <v>44032</v>
      </c>
      <c r="N1803" s="6">
        <v>43</v>
      </c>
      <c r="O1803" s="6" t="s">
        <v>4403</v>
      </c>
      <c r="R1803" s="6">
        <v>20</v>
      </c>
      <c r="S1803" s="6">
        <v>30</v>
      </c>
      <c r="T1803" s="10">
        <f t="shared" si="103"/>
        <v>25</v>
      </c>
      <c r="U1803" s="15">
        <v>1.8</v>
      </c>
      <c r="V1803" s="8">
        <v>0.60167502486705771</v>
      </c>
      <c r="W1803" s="8">
        <v>4.8051431007385261</v>
      </c>
      <c r="X1803" s="8">
        <f t="shared" si="102"/>
        <v>-8.2570981979355196E-3</v>
      </c>
      <c r="Y1803" s="6" t="s">
        <v>1760</v>
      </c>
    </row>
    <row r="1804" spans="1:25" x14ac:dyDescent="0.35">
      <c r="A1804" s="6" t="s">
        <v>25</v>
      </c>
      <c r="B1804" s="6" t="s">
        <v>2173</v>
      </c>
      <c r="D1804" s="6" t="s">
        <v>2174</v>
      </c>
      <c r="E1804" s="6">
        <v>4</v>
      </c>
      <c r="F1804" s="6">
        <v>48</v>
      </c>
      <c r="I1804" s="8">
        <v>80.754295347222197</v>
      </c>
      <c r="J1804" s="8">
        <v>-0.488818958333333</v>
      </c>
      <c r="K1804" s="6" t="s">
        <v>29</v>
      </c>
      <c r="L1804" s="9">
        <v>44032</v>
      </c>
      <c r="N1804" s="6">
        <v>43</v>
      </c>
      <c r="O1804" s="6" t="s">
        <v>4403</v>
      </c>
      <c r="R1804" s="6">
        <v>30</v>
      </c>
      <c r="S1804" s="6">
        <v>40</v>
      </c>
      <c r="T1804" s="10">
        <f t="shared" si="103"/>
        <v>35</v>
      </c>
      <c r="U1804" s="15">
        <v>2</v>
      </c>
      <c r="V1804" s="8">
        <v>0.29030429618060599</v>
      </c>
      <c r="W1804" s="8">
        <v>2.4267050170898434</v>
      </c>
      <c r="X1804" s="8">
        <f t="shared" si="102"/>
        <v>0.1042706476449955</v>
      </c>
      <c r="Y1804" s="6" t="s">
        <v>1760</v>
      </c>
    </row>
    <row r="1805" spans="1:25" x14ac:dyDescent="0.35">
      <c r="A1805" s="6" t="s">
        <v>25</v>
      </c>
      <c r="B1805" s="6" t="s">
        <v>2175</v>
      </c>
      <c r="D1805" s="6" t="s">
        <v>2176</v>
      </c>
      <c r="E1805" s="6">
        <v>4</v>
      </c>
      <c r="F1805" s="6">
        <v>48</v>
      </c>
      <c r="I1805" s="8">
        <v>80.754295347222197</v>
      </c>
      <c r="J1805" s="8">
        <v>-0.488818958333333</v>
      </c>
      <c r="K1805" s="6" t="s">
        <v>29</v>
      </c>
      <c r="L1805" s="9">
        <v>44032</v>
      </c>
      <c r="N1805" s="6">
        <v>43</v>
      </c>
      <c r="O1805" s="6" t="s">
        <v>4403</v>
      </c>
      <c r="R1805" s="6">
        <v>40</v>
      </c>
      <c r="S1805" s="6">
        <v>50</v>
      </c>
      <c r="T1805" s="10">
        <f t="shared" si="103"/>
        <v>45</v>
      </c>
      <c r="U1805" s="15">
        <v>2.4</v>
      </c>
      <c r="V1805" s="8">
        <v>7.2233612738549474E-2</v>
      </c>
      <c r="W1805" s="8">
        <v>0.9478965740203863</v>
      </c>
      <c r="X1805" s="8">
        <f t="shared" si="102"/>
        <v>0.3700276721119905</v>
      </c>
      <c r="Y1805" s="6" t="s">
        <v>1760</v>
      </c>
    </row>
    <row r="1806" spans="1:25" x14ac:dyDescent="0.35">
      <c r="A1806" s="6" t="s">
        <v>25</v>
      </c>
      <c r="B1806" s="6" t="s">
        <v>2177</v>
      </c>
      <c r="D1806" s="6" t="s">
        <v>2178</v>
      </c>
      <c r="E1806" s="6">
        <v>4</v>
      </c>
      <c r="F1806" s="6">
        <v>48</v>
      </c>
      <c r="I1806" s="8">
        <v>80.754295347222197</v>
      </c>
      <c r="J1806" s="8">
        <v>-0.488818958333333</v>
      </c>
      <c r="K1806" s="6" t="s">
        <v>29</v>
      </c>
      <c r="L1806" s="9">
        <v>44032</v>
      </c>
      <c r="N1806" s="6">
        <v>43</v>
      </c>
      <c r="O1806" s="6" t="s">
        <v>4403</v>
      </c>
      <c r="R1806" s="6">
        <v>50</v>
      </c>
      <c r="S1806" s="6">
        <v>60</v>
      </c>
      <c r="T1806" s="10">
        <f t="shared" si="103"/>
        <v>55</v>
      </c>
      <c r="U1806" s="15">
        <v>2.7</v>
      </c>
      <c r="V1806" s="8">
        <v>-0.10068898393213783</v>
      </c>
      <c r="W1806" s="8">
        <v>-9.4768304049969165E-2</v>
      </c>
      <c r="X1806" s="8">
        <f t="shared" si="102"/>
        <v>0.71074356740713351</v>
      </c>
      <c r="Y1806" s="6" t="s">
        <v>1760</v>
      </c>
    </row>
    <row r="1807" spans="1:25" x14ac:dyDescent="0.35">
      <c r="A1807" s="6" t="s">
        <v>25</v>
      </c>
      <c r="B1807" s="6" t="s">
        <v>2179</v>
      </c>
      <c r="D1807" s="6" t="s">
        <v>2180</v>
      </c>
      <c r="E1807" s="6">
        <v>4</v>
      </c>
      <c r="F1807" s="6">
        <v>48</v>
      </c>
      <c r="I1807" s="8">
        <v>80.754295347222197</v>
      </c>
      <c r="J1807" s="8">
        <v>-0.488818958333333</v>
      </c>
      <c r="K1807" s="6" t="s">
        <v>29</v>
      </c>
      <c r="L1807" s="9">
        <v>44032</v>
      </c>
      <c r="N1807" s="6">
        <v>43</v>
      </c>
      <c r="O1807" s="6" t="s">
        <v>4403</v>
      </c>
      <c r="R1807" s="6">
        <v>60</v>
      </c>
      <c r="S1807" s="6">
        <v>74</v>
      </c>
      <c r="T1807" s="10">
        <f t="shared" si="103"/>
        <v>67</v>
      </c>
      <c r="U1807" s="15">
        <v>2.7</v>
      </c>
      <c r="V1807" s="8">
        <v>-9.0301067590713852E-2</v>
      </c>
      <c r="W1807" s="8">
        <v>-0.25642169094085676</v>
      </c>
      <c r="X1807" s="8">
        <f t="shared" si="102"/>
        <v>0.46598684978485405</v>
      </c>
      <c r="Y1807" s="6" t="s">
        <v>1760</v>
      </c>
    </row>
    <row r="1808" spans="1:25" x14ac:dyDescent="0.35">
      <c r="A1808" s="6" t="s">
        <v>25</v>
      </c>
      <c r="B1808" s="6" t="s">
        <v>2181</v>
      </c>
      <c r="D1808" s="6" t="s">
        <v>2182</v>
      </c>
      <c r="E1808" s="6">
        <v>4</v>
      </c>
      <c r="F1808" s="6">
        <v>48</v>
      </c>
      <c r="I1808" s="8">
        <v>80.754295347222197</v>
      </c>
      <c r="J1808" s="8">
        <v>-0.488818958333333</v>
      </c>
      <c r="K1808" s="6" t="s">
        <v>29</v>
      </c>
      <c r="L1808" s="9">
        <v>44032</v>
      </c>
      <c r="N1808" s="6">
        <v>43</v>
      </c>
      <c r="O1808" s="6" t="s">
        <v>4403</v>
      </c>
      <c r="R1808" s="6">
        <v>74</v>
      </c>
      <c r="S1808" s="6">
        <v>84</v>
      </c>
      <c r="T1808" s="10">
        <f t="shared" si="103"/>
        <v>79</v>
      </c>
      <c r="U1808" s="15">
        <v>2.5</v>
      </c>
      <c r="V1808" s="8">
        <v>6.6774645164609042E-2</v>
      </c>
      <c r="W1808" s="8">
        <v>0.8948202023506161</v>
      </c>
      <c r="X1808" s="8">
        <f t="shared" si="102"/>
        <v>0.36062304103374376</v>
      </c>
      <c r="Y1808" s="6" t="s">
        <v>1760</v>
      </c>
    </row>
    <row r="1809" spans="1:25" x14ac:dyDescent="0.35">
      <c r="A1809" s="6" t="s">
        <v>25</v>
      </c>
      <c r="B1809" s="6" t="s">
        <v>2183</v>
      </c>
      <c r="D1809" s="6" t="s">
        <v>2184</v>
      </c>
      <c r="E1809" s="6">
        <v>4</v>
      </c>
      <c r="F1809" s="6">
        <v>48</v>
      </c>
      <c r="I1809" s="8">
        <v>80.754295347222197</v>
      </c>
      <c r="J1809" s="8">
        <v>-0.488818958333333</v>
      </c>
      <c r="K1809" s="6" t="s">
        <v>29</v>
      </c>
      <c r="L1809" s="9">
        <v>44032</v>
      </c>
      <c r="N1809" s="6">
        <v>43</v>
      </c>
      <c r="O1809" s="6" t="s">
        <v>4403</v>
      </c>
      <c r="R1809" s="6">
        <v>84</v>
      </c>
      <c r="S1809" s="6">
        <v>94</v>
      </c>
      <c r="T1809" s="10">
        <f t="shared" si="103"/>
        <v>89</v>
      </c>
      <c r="U1809" s="15">
        <v>2.2000000000000002</v>
      </c>
      <c r="V1809" s="8">
        <v>0.27139844508469085</v>
      </c>
      <c r="W1809" s="8">
        <v>2.3463745365142827</v>
      </c>
      <c r="X1809" s="8">
        <f t="shared" si="102"/>
        <v>0.17518697583675591</v>
      </c>
      <c r="Y1809" s="6" t="s">
        <v>1760</v>
      </c>
    </row>
    <row r="1810" spans="1:25" x14ac:dyDescent="0.35">
      <c r="A1810" s="6" t="s">
        <v>25</v>
      </c>
      <c r="B1810" s="6" t="s">
        <v>2185</v>
      </c>
      <c r="D1810" s="6" t="s">
        <v>2186</v>
      </c>
      <c r="E1810" s="6">
        <v>4</v>
      </c>
      <c r="F1810" s="6">
        <v>48</v>
      </c>
      <c r="I1810" s="8">
        <v>80.754295347222197</v>
      </c>
      <c r="J1810" s="8">
        <v>-0.488818958333333</v>
      </c>
      <c r="K1810" s="6" t="s">
        <v>29</v>
      </c>
      <c r="L1810" s="9">
        <v>44032</v>
      </c>
      <c r="N1810" s="6">
        <v>43</v>
      </c>
      <c r="O1810" s="6" t="s">
        <v>4403</v>
      </c>
      <c r="R1810" s="6">
        <v>94</v>
      </c>
      <c r="S1810" s="6">
        <v>104</v>
      </c>
      <c r="T1810" s="10">
        <f t="shared" si="103"/>
        <v>99</v>
      </c>
      <c r="U1810" s="15">
        <v>1.8</v>
      </c>
      <c r="V1810" s="8">
        <v>0.33302246117591827</v>
      </c>
      <c r="W1810" s="8">
        <v>2.8061397285461429</v>
      </c>
      <c r="X1810" s="8">
        <f t="shared" si="102"/>
        <v>0.14196003913879673</v>
      </c>
      <c r="Y1810" s="6" t="s">
        <v>1760</v>
      </c>
    </row>
    <row r="1811" spans="1:25" x14ac:dyDescent="0.35">
      <c r="A1811" s="6" t="s">
        <v>25</v>
      </c>
      <c r="B1811" s="6" t="s">
        <v>2187</v>
      </c>
      <c r="D1811" s="6" t="s">
        <v>2188</v>
      </c>
      <c r="E1811" s="6">
        <v>4</v>
      </c>
      <c r="F1811" s="6">
        <v>48</v>
      </c>
      <c r="I1811" s="8">
        <v>80.754295347222197</v>
      </c>
      <c r="J1811" s="8">
        <v>-0.488818958333333</v>
      </c>
      <c r="K1811" s="6" t="s">
        <v>29</v>
      </c>
      <c r="L1811" s="9">
        <v>44032</v>
      </c>
      <c r="N1811" s="6">
        <v>43</v>
      </c>
      <c r="O1811" s="6" t="s">
        <v>4403</v>
      </c>
      <c r="R1811" s="6">
        <v>104</v>
      </c>
      <c r="S1811" s="6">
        <v>114.5</v>
      </c>
      <c r="T1811" s="10">
        <f t="shared" si="103"/>
        <v>109.25</v>
      </c>
      <c r="U1811" s="15">
        <v>1.5</v>
      </c>
      <c r="V1811" s="8">
        <v>-0.36740928223729141</v>
      </c>
      <c r="W1811" s="8">
        <v>-2.1585980587005613</v>
      </c>
      <c r="X1811" s="8">
        <f t="shared" si="102"/>
        <v>0.78067619919776998</v>
      </c>
      <c r="Y1811" s="6" t="s">
        <v>1760</v>
      </c>
    </row>
    <row r="1812" spans="1:25" x14ac:dyDescent="0.35">
      <c r="A1812" s="6" t="s">
        <v>25</v>
      </c>
      <c r="B1812" s="6" t="s">
        <v>2189</v>
      </c>
      <c r="D1812" s="6" t="s">
        <v>2190</v>
      </c>
      <c r="E1812" s="6">
        <v>4</v>
      </c>
      <c r="F1812" s="6">
        <v>48</v>
      </c>
      <c r="I1812" s="8">
        <v>80.754295347222197</v>
      </c>
      <c r="J1812" s="8">
        <v>-0.488818958333333</v>
      </c>
      <c r="K1812" s="6" t="s">
        <v>29</v>
      </c>
      <c r="L1812" s="9">
        <v>44032</v>
      </c>
      <c r="N1812" s="6">
        <v>43</v>
      </c>
      <c r="O1812" s="6" t="s">
        <v>4403</v>
      </c>
      <c r="R1812" s="6">
        <v>114.5</v>
      </c>
      <c r="S1812" s="6">
        <v>125</v>
      </c>
      <c r="T1812" s="10">
        <f t="shared" si="103"/>
        <v>119.75</v>
      </c>
      <c r="U1812" s="15">
        <v>0.7</v>
      </c>
      <c r="V1812" s="8">
        <v>-2.6008805880546575</v>
      </c>
      <c r="W1812" s="8">
        <v>-19.479295440673827</v>
      </c>
      <c r="X1812" s="8">
        <f t="shared" si="102"/>
        <v>1.3277492637634332</v>
      </c>
      <c r="Y1812" s="6" t="s">
        <v>1760</v>
      </c>
    </row>
    <row r="1813" spans="1:25" x14ac:dyDescent="0.35">
      <c r="A1813" s="6" t="s">
        <v>25</v>
      </c>
      <c r="B1813" s="6" t="s">
        <v>2191</v>
      </c>
      <c r="D1813" s="6" t="s">
        <v>2192</v>
      </c>
      <c r="E1813" s="6">
        <v>4</v>
      </c>
      <c r="F1813" s="6">
        <v>48</v>
      </c>
      <c r="I1813" s="8">
        <v>80.754295347222197</v>
      </c>
      <c r="J1813" s="8">
        <v>-0.488818958333333</v>
      </c>
      <c r="K1813" s="6" t="s">
        <v>29</v>
      </c>
      <c r="L1813" s="9">
        <v>44032</v>
      </c>
      <c r="N1813" s="6">
        <v>43</v>
      </c>
      <c r="O1813" s="6" t="s">
        <v>4403</v>
      </c>
      <c r="R1813" s="6">
        <v>125</v>
      </c>
      <c r="S1813" s="6">
        <v>136</v>
      </c>
      <c r="T1813" s="10">
        <f t="shared" si="103"/>
        <v>130.5</v>
      </c>
      <c r="U1813" s="15">
        <v>0.8</v>
      </c>
      <c r="V1813" s="8">
        <v>-6.3768850407600404</v>
      </c>
      <c r="W1813" s="8">
        <v>-49.470676574707028</v>
      </c>
      <c r="X1813" s="8">
        <f t="shared" si="102"/>
        <v>1.5444037513732951</v>
      </c>
      <c r="Y1813" s="6" t="s">
        <v>1760</v>
      </c>
    </row>
    <row r="1814" spans="1:25" x14ac:dyDescent="0.35">
      <c r="A1814" s="6" t="s">
        <v>25</v>
      </c>
      <c r="B1814" s="6" t="s">
        <v>2193</v>
      </c>
      <c r="D1814" s="6" t="s">
        <v>2194</v>
      </c>
      <c r="E1814" s="6">
        <v>4</v>
      </c>
      <c r="F1814" s="6">
        <v>48</v>
      </c>
      <c r="I1814" s="8">
        <v>80.754295347222197</v>
      </c>
      <c r="J1814" s="8">
        <v>-0.488818958333333</v>
      </c>
      <c r="K1814" s="6" t="s">
        <v>29</v>
      </c>
      <c r="L1814" s="9">
        <v>44032</v>
      </c>
      <c r="N1814" s="6">
        <v>43</v>
      </c>
      <c r="O1814" s="6" t="s">
        <v>4403</v>
      </c>
      <c r="R1814" s="6">
        <v>136</v>
      </c>
      <c r="S1814" s="6">
        <v>145</v>
      </c>
      <c r="T1814" s="10">
        <f t="shared" si="103"/>
        <v>140.5</v>
      </c>
      <c r="U1814" s="15">
        <v>1.3</v>
      </c>
      <c r="V1814" s="8">
        <v>-5.8394105086326604</v>
      </c>
      <c r="W1814" s="8">
        <v>-44.813117614746091</v>
      </c>
      <c r="X1814" s="8">
        <f t="shared" si="102"/>
        <v>1.9021664543151928</v>
      </c>
      <c r="Y1814" s="6" t="s">
        <v>1760</v>
      </c>
    </row>
    <row r="1815" spans="1:25" x14ac:dyDescent="0.35">
      <c r="A1815" s="6" t="s">
        <v>25</v>
      </c>
      <c r="B1815" s="7" t="s">
        <v>2198</v>
      </c>
      <c r="D1815" s="6" t="s">
        <v>2199</v>
      </c>
      <c r="E1815" s="6">
        <v>4</v>
      </c>
      <c r="F1815" s="6">
        <v>48</v>
      </c>
      <c r="G1815" s="6" t="s">
        <v>2200</v>
      </c>
      <c r="I1815" s="8">
        <v>80.606701388888894</v>
      </c>
      <c r="J1815" s="8">
        <v>-0.56539812499999997</v>
      </c>
      <c r="K1815" s="6" t="s">
        <v>4450</v>
      </c>
      <c r="L1815" s="9">
        <v>44033</v>
      </c>
      <c r="N1815" s="6">
        <v>43</v>
      </c>
      <c r="O1815" s="6" t="s">
        <v>4395</v>
      </c>
      <c r="Q1815" s="10" t="s">
        <v>401</v>
      </c>
      <c r="R1815" s="10"/>
      <c r="S1815" s="10"/>
      <c r="T1815" s="10"/>
      <c r="U1815" s="11"/>
      <c r="V1815" s="8">
        <v>-5.9390551702499401</v>
      </c>
      <c r="W1815" s="8">
        <v>-44.378786800384518</v>
      </c>
      <c r="X1815" s="8">
        <f t="shared" si="102"/>
        <v>3.1336545616150033</v>
      </c>
    </row>
    <row r="1816" spans="1:25" x14ac:dyDescent="0.35">
      <c r="A1816" s="6" t="s">
        <v>25</v>
      </c>
      <c r="B1816" s="7" t="s">
        <v>2201</v>
      </c>
      <c r="D1816" s="6" t="s">
        <v>2202</v>
      </c>
      <c r="E1816" s="6">
        <v>4</v>
      </c>
      <c r="F1816" s="6">
        <v>48</v>
      </c>
      <c r="G1816" s="6" t="s">
        <v>1985</v>
      </c>
      <c r="I1816" s="8">
        <v>80.606701388888894</v>
      </c>
      <c r="J1816" s="8">
        <v>-0.56539812499999997</v>
      </c>
      <c r="K1816" s="6" t="s">
        <v>4450</v>
      </c>
      <c r="L1816" s="9">
        <v>44033</v>
      </c>
      <c r="N1816" s="6">
        <v>43</v>
      </c>
      <c r="O1816" s="6" t="s">
        <v>4395</v>
      </c>
      <c r="Q1816" s="10" t="s">
        <v>1986</v>
      </c>
      <c r="R1816" s="10"/>
      <c r="S1816" s="10"/>
      <c r="T1816" s="10"/>
      <c r="U1816" s="11"/>
      <c r="V1816" s="8">
        <v>-5.8798928787231448</v>
      </c>
      <c r="W1816" s="8">
        <v>-45.067511764526365</v>
      </c>
      <c r="X1816" s="8">
        <f t="shared" si="102"/>
        <v>1.9716312652587931</v>
      </c>
    </row>
    <row r="1817" spans="1:25" x14ac:dyDescent="0.35">
      <c r="A1817" s="6" t="s">
        <v>25</v>
      </c>
      <c r="B1817" s="7" t="s">
        <v>2203</v>
      </c>
      <c r="D1817" s="6" t="s">
        <v>2204</v>
      </c>
      <c r="E1817" s="6">
        <v>4</v>
      </c>
      <c r="F1817" s="6">
        <v>48</v>
      </c>
      <c r="G1817" s="6" t="s">
        <v>2200</v>
      </c>
      <c r="I1817" s="8">
        <v>80.606701388888894</v>
      </c>
      <c r="J1817" s="8">
        <v>-0.56539812499999997</v>
      </c>
      <c r="K1817" s="6" t="s">
        <v>4450</v>
      </c>
      <c r="L1817" s="9">
        <v>44033</v>
      </c>
      <c r="N1817" s="6">
        <v>43</v>
      </c>
      <c r="O1817" s="6" t="s">
        <v>4395</v>
      </c>
      <c r="Q1817" s="10" t="s">
        <v>401</v>
      </c>
      <c r="R1817" s="10"/>
      <c r="S1817" s="10"/>
      <c r="T1817" s="10"/>
      <c r="U1817" s="11"/>
      <c r="V1817" s="8">
        <v>-5.777852215480805</v>
      </c>
      <c r="W1817" s="8">
        <v>-44.07487102508545</v>
      </c>
      <c r="X1817" s="8">
        <f t="shared" si="102"/>
        <v>2.1479466987609896</v>
      </c>
    </row>
    <row r="1818" spans="1:25" x14ac:dyDescent="0.35">
      <c r="A1818" s="6" t="s">
        <v>25</v>
      </c>
      <c r="B1818" s="7" t="s">
        <v>2205</v>
      </c>
      <c r="D1818" s="6" t="s">
        <v>2206</v>
      </c>
      <c r="E1818" s="6">
        <v>4</v>
      </c>
      <c r="F1818" s="6">
        <v>48</v>
      </c>
      <c r="G1818" s="6" t="s">
        <v>2197</v>
      </c>
      <c r="I1818" s="8">
        <v>80.606701388888894</v>
      </c>
      <c r="J1818" s="8">
        <v>-0.56539812499999997</v>
      </c>
      <c r="K1818" s="6" t="s">
        <v>4450</v>
      </c>
      <c r="L1818" s="9">
        <v>44033</v>
      </c>
      <c r="N1818" s="6">
        <v>43</v>
      </c>
      <c r="O1818" s="6" t="s">
        <v>4395</v>
      </c>
      <c r="Q1818" s="10" t="s">
        <v>1986</v>
      </c>
      <c r="R1818" s="10"/>
      <c r="S1818" s="10"/>
      <c r="T1818" s="10"/>
      <c r="U1818" s="11"/>
      <c r="V1818" s="8">
        <v>-7.4216524049758901</v>
      </c>
      <c r="W1818" s="8">
        <v>-57.229990478515631</v>
      </c>
      <c r="X1818" s="8">
        <f t="shared" si="102"/>
        <v>2.1432287612914891</v>
      </c>
    </row>
    <row r="1819" spans="1:25" x14ac:dyDescent="0.35">
      <c r="A1819" s="6" t="s">
        <v>25</v>
      </c>
      <c r="B1819" s="6" t="s">
        <v>3564</v>
      </c>
      <c r="D1819" s="6" t="s">
        <v>3866</v>
      </c>
      <c r="E1819" s="6">
        <v>4</v>
      </c>
      <c r="F1819" s="6">
        <v>48</v>
      </c>
      <c r="G1819" s="6" t="s">
        <v>4168</v>
      </c>
      <c r="I1819" s="8">
        <v>80.606701388888894</v>
      </c>
      <c r="J1819" s="8">
        <v>-0.56539812499999997</v>
      </c>
      <c r="K1819" s="6" t="s">
        <v>2610</v>
      </c>
      <c r="L1819" s="9">
        <v>44033</v>
      </c>
      <c r="N1819" s="6">
        <v>43</v>
      </c>
      <c r="O1819" s="6" t="s">
        <v>4395</v>
      </c>
      <c r="V1819" s="8">
        <v>-1.8188331309175489</v>
      </c>
      <c r="W1819" s="8">
        <v>-13.930426861953734</v>
      </c>
      <c r="X1819" s="27">
        <f t="shared" si="102"/>
        <v>0.62023818538665765</v>
      </c>
    </row>
    <row r="1820" spans="1:25" x14ac:dyDescent="0.35">
      <c r="A1820" s="6" t="s">
        <v>25</v>
      </c>
      <c r="B1820" s="7" t="s">
        <v>2210</v>
      </c>
      <c r="D1820" s="6" t="s">
        <v>2211</v>
      </c>
      <c r="E1820" s="6">
        <v>4</v>
      </c>
      <c r="F1820" s="6">
        <v>48</v>
      </c>
      <c r="G1820" s="6" t="s">
        <v>393</v>
      </c>
      <c r="I1820" s="8">
        <v>80.477765486111096</v>
      </c>
      <c r="J1820" s="8">
        <v>-0.53689541666666696</v>
      </c>
      <c r="K1820" s="6" t="s">
        <v>390</v>
      </c>
      <c r="L1820" s="9">
        <v>44034</v>
      </c>
      <c r="N1820" s="6">
        <v>43</v>
      </c>
      <c r="O1820" s="6" t="s">
        <v>4415</v>
      </c>
      <c r="Q1820" s="10"/>
      <c r="R1820" s="10"/>
      <c r="S1820" s="10"/>
      <c r="T1820" s="10"/>
      <c r="U1820" s="11"/>
      <c r="V1820" s="8">
        <v>-2.8911885738372813</v>
      </c>
      <c r="W1820" s="8">
        <v>-21.277681993865968</v>
      </c>
      <c r="X1820" s="8">
        <f t="shared" si="102"/>
        <v>1.8518265968322822</v>
      </c>
    </row>
    <row r="1821" spans="1:25" x14ac:dyDescent="0.35">
      <c r="A1821" s="6" t="s">
        <v>25</v>
      </c>
      <c r="B1821" s="7" t="s">
        <v>2212</v>
      </c>
      <c r="D1821" s="6" t="s">
        <v>2213</v>
      </c>
      <c r="E1821" s="6">
        <v>4</v>
      </c>
      <c r="F1821" s="6">
        <v>48</v>
      </c>
      <c r="G1821" s="6" t="s">
        <v>2214</v>
      </c>
      <c r="I1821" s="8">
        <v>80.477765486111096</v>
      </c>
      <c r="J1821" s="8">
        <v>-0.53689541666666696</v>
      </c>
      <c r="K1821" s="6" t="s">
        <v>390</v>
      </c>
      <c r="L1821" s="9">
        <v>44034</v>
      </c>
      <c r="N1821" s="6">
        <v>43</v>
      </c>
      <c r="O1821" s="6" t="s">
        <v>4415</v>
      </c>
      <c r="Q1821" s="10"/>
      <c r="R1821" s="10"/>
      <c r="S1821" s="10">
        <v>80</v>
      </c>
      <c r="T1821" s="10">
        <f>AVERAGE(R1821:S1821)</f>
        <v>80</v>
      </c>
      <c r="U1821" s="11"/>
      <c r="V1821" s="8">
        <v>-2.4234079908132555</v>
      </c>
      <c r="W1821" s="8">
        <v>-17.194298017501829</v>
      </c>
      <c r="X1821" s="8">
        <f t="shared" si="102"/>
        <v>2.1929659090042151</v>
      </c>
    </row>
    <row r="1822" spans="1:25" x14ac:dyDescent="0.35">
      <c r="A1822" s="6" t="s">
        <v>25</v>
      </c>
      <c r="B1822" s="7" t="s">
        <v>2215</v>
      </c>
      <c r="D1822" s="6" t="s">
        <v>2216</v>
      </c>
      <c r="E1822" s="6">
        <v>4</v>
      </c>
      <c r="F1822" s="6">
        <v>48</v>
      </c>
      <c r="G1822" s="6" t="s">
        <v>389</v>
      </c>
      <c r="I1822" s="8">
        <v>80.477765486111096</v>
      </c>
      <c r="J1822" s="8">
        <v>-0.53689541666666696</v>
      </c>
      <c r="K1822" s="6" t="s">
        <v>390</v>
      </c>
      <c r="L1822" s="9">
        <v>44034</v>
      </c>
      <c r="N1822" s="6">
        <v>43</v>
      </c>
      <c r="O1822" s="6" t="s">
        <v>4415</v>
      </c>
      <c r="Q1822" s="10"/>
      <c r="R1822" s="10"/>
      <c r="S1822" s="10">
        <v>45</v>
      </c>
      <c r="T1822" s="10">
        <f>AVERAGE(R1822:S1822)</f>
        <v>45</v>
      </c>
      <c r="U1822" s="11"/>
      <c r="V1822" s="8">
        <v>-2.8122359488010407</v>
      </c>
      <c r="W1822" s="8">
        <v>-20.293448731422423</v>
      </c>
      <c r="X1822" s="8">
        <f t="shared" si="102"/>
        <v>2.2044388589859025</v>
      </c>
    </row>
    <row r="1823" spans="1:25" x14ac:dyDescent="0.35">
      <c r="A1823" s="6" t="s">
        <v>25</v>
      </c>
      <c r="B1823" s="7" t="s">
        <v>2217</v>
      </c>
      <c r="D1823" s="6" t="s">
        <v>2218</v>
      </c>
      <c r="E1823" s="6">
        <v>4</v>
      </c>
      <c r="F1823" s="6">
        <v>48</v>
      </c>
      <c r="G1823" s="6" t="s">
        <v>2214</v>
      </c>
      <c r="I1823" s="8">
        <v>80.477765486111096</v>
      </c>
      <c r="J1823" s="8">
        <v>-0.53689541666666696</v>
      </c>
      <c r="K1823" s="6" t="s">
        <v>390</v>
      </c>
      <c r="L1823" s="9">
        <v>44034</v>
      </c>
      <c r="N1823" s="6">
        <v>43</v>
      </c>
      <c r="O1823" s="6" t="s">
        <v>4415</v>
      </c>
      <c r="Q1823" s="10"/>
      <c r="R1823" s="10"/>
      <c r="S1823" s="10">
        <v>110</v>
      </c>
      <c r="T1823" s="10">
        <f>AVERAGE(R1823:S1823)</f>
        <v>110</v>
      </c>
      <c r="U1823" s="11"/>
      <c r="V1823" s="8">
        <v>-1.9671976099014286</v>
      </c>
      <c r="W1823" s="8">
        <v>-13.837016909122466</v>
      </c>
      <c r="X1823" s="8">
        <f t="shared" si="102"/>
        <v>1.9005639700889621</v>
      </c>
    </row>
    <row r="1824" spans="1:25" x14ac:dyDescent="0.35">
      <c r="A1824" s="6" t="s">
        <v>25</v>
      </c>
      <c r="B1824" s="7" t="s">
        <v>2219</v>
      </c>
      <c r="D1824" s="6" t="s">
        <v>2220</v>
      </c>
      <c r="E1824" s="6">
        <v>4</v>
      </c>
      <c r="F1824" s="6">
        <v>48</v>
      </c>
      <c r="G1824" s="6" t="s">
        <v>389</v>
      </c>
      <c r="I1824" s="8">
        <v>80.477765486111096</v>
      </c>
      <c r="J1824" s="8">
        <v>-0.53689541666666696</v>
      </c>
      <c r="K1824" s="6" t="s">
        <v>390</v>
      </c>
      <c r="L1824" s="9">
        <v>44034</v>
      </c>
      <c r="N1824" s="6">
        <v>43</v>
      </c>
      <c r="O1824" s="6" t="s">
        <v>4415</v>
      </c>
      <c r="Q1824" s="10">
        <v>1</v>
      </c>
      <c r="R1824" s="10"/>
      <c r="S1824" s="10">
        <v>1</v>
      </c>
      <c r="T1824" s="10">
        <f>AVERAGE(R1824:S1824)</f>
        <v>1</v>
      </c>
      <c r="U1824" s="11"/>
      <c r="V1824" s="8">
        <v>-1.9525638363361355</v>
      </c>
      <c r="W1824" s="8">
        <v>-13.331549797058106</v>
      </c>
      <c r="X1824" s="8">
        <f t="shared" si="102"/>
        <v>2.2889608936309784</v>
      </c>
    </row>
    <row r="1825" spans="1:25" x14ac:dyDescent="0.35">
      <c r="A1825" s="6" t="s">
        <v>25</v>
      </c>
      <c r="B1825" s="7" t="s">
        <v>2207</v>
      </c>
      <c r="D1825" s="6" t="s">
        <v>2208</v>
      </c>
      <c r="E1825" s="6">
        <v>4</v>
      </c>
      <c r="F1825" s="6">
        <v>48</v>
      </c>
      <c r="G1825" s="6" t="s">
        <v>546</v>
      </c>
      <c r="I1825" s="8">
        <v>80.477765486111096</v>
      </c>
      <c r="J1825" s="8">
        <v>-0.53689541666666696</v>
      </c>
      <c r="K1825" s="6" t="s">
        <v>29</v>
      </c>
      <c r="L1825" s="9">
        <v>44034</v>
      </c>
      <c r="N1825" s="6">
        <v>43</v>
      </c>
      <c r="O1825" s="6" t="s">
        <v>4415</v>
      </c>
      <c r="Q1825" s="10" t="s">
        <v>2209</v>
      </c>
      <c r="R1825" s="10">
        <v>188</v>
      </c>
      <c r="S1825" s="10">
        <v>193</v>
      </c>
      <c r="T1825" s="10">
        <f>AVERAGE(R1825:S1825)</f>
        <v>190.5</v>
      </c>
      <c r="U1825" s="11"/>
      <c r="V1825" s="8">
        <v>-0.16036709180474326</v>
      </c>
      <c r="W1825" s="8">
        <v>-0.30798417687416108</v>
      </c>
      <c r="X1825" s="8">
        <f t="shared" ref="X1825:X1888" si="104">W1825-(8*V1825)</f>
        <v>0.97495255756378496</v>
      </c>
    </row>
    <row r="1826" spans="1:25" x14ac:dyDescent="0.35">
      <c r="A1826" s="6" t="s">
        <v>25</v>
      </c>
      <c r="B1826" s="6" t="s">
        <v>3565</v>
      </c>
      <c r="D1826" s="6" t="s">
        <v>3867</v>
      </c>
      <c r="E1826" s="6">
        <v>4</v>
      </c>
      <c r="F1826" s="6">
        <v>48</v>
      </c>
      <c r="G1826" s="6" t="s">
        <v>4169</v>
      </c>
      <c r="I1826" s="8">
        <v>80.477765486111096</v>
      </c>
      <c r="J1826" s="8">
        <v>-0.53689541666666696</v>
      </c>
      <c r="K1826" s="6" t="s">
        <v>2610</v>
      </c>
      <c r="L1826" s="9">
        <v>44034</v>
      </c>
      <c r="N1826" s="6">
        <v>43</v>
      </c>
      <c r="O1826" s="6" t="s">
        <v>4415</v>
      </c>
      <c r="V1826" s="8">
        <v>-1.5752974687433241</v>
      </c>
      <c r="W1826" s="8">
        <v>-12.785880722236632</v>
      </c>
      <c r="X1826" s="27">
        <f t="shared" si="104"/>
        <v>-0.18350097229003914</v>
      </c>
    </row>
    <row r="1827" spans="1:25" x14ac:dyDescent="0.35">
      <c r="A1827" s="6" t="s">
        <v>25</v>
      </c>
      <c r="B1827" s="6" t="s">
        <v>3566</v>
      </c>
      <c r="D1827" s="6" t="s">
        <v>3868</v>
      </c>
      <c r="E1827" s="6">
        <v>4</v>
      </c>
      <c r="F1827" s="6">
        <v>48</v>
      </c>
      <c r="G1827" s="6" t="s">
        <v>4170</v>
      </c>
      <c r="I1827" s="8">
        <v>80.351312638888928</v>
      </c>
      <c r="J1827" s="8">
        <v>-0.63090777777777851</v>
      </c>
      <c r="K1827" s="6" t="s">
        <v>2610</v>
      </c>
      <c r="L1827" s="9">
        <v>44035</v>
      </c>
      <c r="N1827" s="6">
        <v>43</v>
      </c>
      <c r="O1827" s="6" t="s">
        <v>4412</v>
      </c>
      <c r="V1827" s="8">
        <v>-1.9972488929843903</v>
      </c>
      <c r="W1827" s="8">
        <v>-14.685791986656188</v>
      </c>
      <c r="X1827" s="27">
        <f t="shared" si="104"/>
        <v>1.2921991572189349</v>
      </c>
    </row>
    <row r="1828" spans="1:25" x14ac:dyDescent="0.35">
      <c r="A1828" s="6" t="s">
        <v>25</v>
      </c>
      <c r="B1828" s="6" t="s">
        <v>3567</v>
      </c>
      <c r="D1828" s="6" t="s">
        <v>3869</v>
      </c>
      <c r="E1828" s="6">
        <v>4</v>
      </c>
      <c r="F1828" s="6">
        <v>48</v>
      </c>
      <c r="G1828" s="6" t="s">
        <v>4171</v>
      </c>
      <c r="I1828" s="8">
        <v>80.198576000000003</v>
      </c>
      <c r="J1828" s="8">
        <v>-0.57530899999999996</v>
      </c>
      <c r="K1828" s="6" t="s">
        <v>2610</v>
      </c>
      <c r="L1828" s="9">
        <v>44036</v>
      </c>
      <c r="N1828" s="6">
        <v>43</v>
      </c>
      <c r="O1828" s="6" t="s">
        <v>4417</v>
      </c>
      <c r="V1828" s="8">
        <v>-2.1225323464155199</v>
      </c>
      <c r="W1828" s="8">
        <v>-16.324970084190369</v>
      </c>
      <c r="X1828" s="27">
        <f t="shared" si="104"/>
        <v>0.6552886871337904</v>
      </c>
    </row>
    <row r="1829" spans="1:25" x14ac:dyDescent="0.35">
      <c r="A1829" s="6" t="s">
        <v>25</v>
      </c>
      <c r="B1829" s="6" t="s">
        <v>3069</v>
      </c>
      <c r="D1829" s="6" t="s">
        <v>3164</v>
      </c>
      <c r="E1829" s="6">
        <v>4</v>
      </c>
      <c r="F1829" s="6">
        <v>48</v>
      </c>
      <c r="G1829" s="6" t="s">
        <v>3323</v>
      </c>
      <c r="I1829" s="8">
        <v>80.198576000000003</v>
      </c>
      <c r="J1829" s="8">
        <v>-0.57530899999999996</v>
      </c>
      <c r="K1829" s="6" t="s">
        <v>198</v>
      </c>
      <c r="L1829" s="9">
        <v>44036</v>
      </c>
      <c r="M1829" s="18">
        <v>0.48055555555555557</v>
      </c>
      <c r="N1829" s="6">
        <v>43</v>
      </c>
      <c r="O1829" s="6" t="s">
        <v>4417</v>
      </c>
      <c r="R1829" s="6">
        <v>5</v>
      </c>
      <c r="S1829" s="6">
        <v>2</v>
      </c>
      <c r="V1829" s="8">
        <v>-0.64060093739032742</v>
      </c>
      <c r="W1829" s="8">
        <v>-4.7027592213630669</v>
      </c>
      <c r="X1829" s="8">
        <f t="shared" si="104"/>
        <v>0.42204827775955245</v>
      </c>
      <c r="Y1829" s="6" t="s">
        <v>3207</v>
      </c>
    </row>
    <row r="1830" spans="1:25" x14ac:dyDescent="0.35">
      <c r="A1830" s="6" t="s">
        <v>25</v>
      </c>
      <c r="B1830" s="6" t="s">
        <v>3070</v>
      </c>
      <c r="D1830" s="6" t="s">
        <v>3165</v>
      </c>
      <c r="E1830" s="6">
        <v>4</v>
      </c>
      <c r="F1830" s="6">
        <v>48</v>
      </c>
      <c r="G1830" s="6" t="s">
        <v>3324</v>
      </c>
      <c r="I1830" s="8">
        <v>80.198576000000003</v>
      </c>
      <c r="J1830" s="8">
        <v>-0.57530899999999996</v>
      </c>
      <c r="K1830" s="6" t="s">
        <v>198</v>
      </c>
      <c r="L1830" s="9">
        <v>44036</v>
      </c>
      <c r="M1830" s="18">
        <v>0.49305555555555558</v>
      </c>
      <c r="N1830" s="6">
        <v>43</v>
      </c>
      <c r="O1830" s="6" t="s">
        <v>4417</v>
      </c>
      <c r="R1830" s="6">
        <v>15</v>
      </c>
      <c r="S1830" s="6">
        <v>13</v>
      </c>
      <c r="V1830" s="8">
        <v>-0.73567892410755165</v>
      </c>
      <c r="W1830" s="8">
        <v>-5.0494607160568235</v>
      </c>
      <c r="X1830" s="8">
        <f t="shared" si="104"/>
        <v>0.83597067680358972</v>
      </c>
      <c r="Y1830" s="6" t="s">
        <v>3208</v>
      </c>
    </row>
    <row r="1831" spans="1:25" x14ac:dyDescent="0.35">
      <c r="A1831" s="6" t="s">
        <v>25</v>
      </c>
      <c r="B1831" s="6" t="s">
        <v>3071</v>
      </c>
      <c r="D1831" s="6" t="s">
        <v>3166</v>
      </c>
      <c r="E1831" s="6">
        <v>4</v>
      </c>
      <c r="F1831" s="6">
        <v>48</v>
      </c>
      <c r="G1831" s="6" t="s">
        <v>3325</v>
      </c>
      <c r="I1831" s="8">
        <v>80.198576000000003</v>
      </c>
      <c r="J1831" s="8">
        <v>-0.57530899999999996</v>
      </c>
      <c r="K1831" s="6" t="s">
        <v>198</v>
      </c>
      <c r="L1831" s="9">
        <v>44036</v>
      </c>
      <c r="M1831" s="18">
        <v>0.50694444444444442</v>
      </c>
      <c r="N1831" s="6">
        <v>43</v>
      </c>
      <c r="O1831" s="6" t="s">
        <v>4417</v>
      </c>
      <c r="R1831" s="6">
        <v>12</v>
      </c>
      <c r="S1831" s="6">
        <v>9</v>
      </c>
      <c r="V1831" s="8">
        <v>-3.5436639484405528</v>
      </c>
      <c r="W1831" s="8">
        <v>-26.582969927597045</v>
      </c>
      <c r="X1831" s="8">
        <f t="shared" si="104"/>
        <v>1.7663416599273773</v>
      </c>
      <c r="Y1831" s="6" t="s">
        <v>3209</v>
      </c>
    </row>
    <row r="1832" spans="1:25" x14ac:dyDescent="0.35">
      <c r="A1832" s="6" t="s">
        <v>25</v>
      </c>
      <c r="B1832" s="6" t="s">
        <v>3072</v>
      </c>
      <c r="D1832" s="6" t="s">
        <v>3167</v>
      </c>
      <c r="E1832" s="6">
        <v>4</v>
      </c>
      <c r="F1832" s="6">
        <v>48</v>
      </c>
      <c r="G1832" s="6" t="s">
        <v>3326</v>
      </c>
      <c r="I1832" s="8">
        <v>80.198576000000003</v>
      </c>
      <c r="J1832" s="8">
        <v>-0.57530899999999996</v>
      </c>
      <c r="K1832" s="6" t="s">
        <v>198</v>
      </c>
      <c r="L1832" s="9">
        <v>44036</v>
      </c>
      <c r="M1832" s="18">
        <v>0.52083333333333337</v>
      </c>
      <c r="N1832" s="6">
        <v>43</v>
      </c>
      <c r="O1832" s="6" t="s">
        <v>4417</v>
      </c>
      <c r="R1832" s="6">
        <v>6</v>
      </c>
      <c r="S1832" s="6">
        <v>3</v>
      </c>
      <c r="V1832" s="8">
        <v>-25.568931681060789</v>
      </c>
      <c r="W1832" s="8">
        <v>-193.12965183715818</v>
      </c>
      <c r="X1832" s="8">
        <f t="shared" si="104"/>
        <v>11.421801611328135</v>
      </c>
      <c r="Y1832" s="6" t="s">
        <v>3210</v>
      </c>
    </row>
    <row r="1833" spans="1:25" x14ac:dyDescent="0.35">
      <c r="A1833" s="6" t="s">
        <v>25</v>
      </c>
      <c r="B1833" s="6" t="s">
        <v>3073</v>
      </c>
      <c r="D1833" s="6" t="s">
        <v>3167</v>
      </c>
      <c r="E1833" s="6">
        <v>4</v>
      </c>
      <c r="F1833" s="6">
        <v>48</v>
      </c>
      <c r="G1833" s="6" t="s">
        <v>3326</v>
      </c>
      <c r="I1833" s="8">
        <v>80.198576000000003</v>
      </c>
      <c r="J1833" s="8">
        <v>-0.57530899999999996</v>
      </c>
      <c r="K1833" s="6" t="s">
        <v>198</v>
      </c>
      <c r="L1833" s="9">
        <v>44036</v>
      </c>
      <c r="M1833" s="18">
        <v>0.31666666666666665</v>
      </c>
      <c r="N1833" s="6">
        <v>43</v>
      </c>
      <c r="O1833" s="6" t="s">
        <v>4417</v>
      </c>
      <c r="R1833" s="6">
        <v>3</v>
      </c>
      <c r="S1833" s="6">
        <v>0</v>
      </c>
      <c r="V1833" s="8">
        <v>-22.745640806579591</v>
      </c>
      <c r="W1833" s="8">
        <v>-171.43382336120604</v>
      </c>
      <c r="X1833" s="8">
        <f t="shared" si="104"/>
        <v>10.531303091430686</v>
      </c>
      <c r="Y1833" s="6" t="s">
        <v>3210</v>
      </c>
    </row>
    <row r="1834" spans="1:25" x14ac:dyDescent="0.35">
      <c r="A1834" s="6" t="s">
        <v>25</v>
      </c>
      <c r="B1834" s="6" t="s">
        <v>3568</v>
      </c>
      <c r="D1834" s="6" t="s">
        <v>3870</v>
      </c>
      <c r="E1834" s="6">
        <v>4</v>
      </c>
      <c r="F1834" s="6">
        <v>48</v>
      </c>
      <c r="G1834" s="6" t="s">
        <v>4172</v>
      </c>
      <c r="I1834" s="8">
        <v>79.992951000000005</v>
      </c>
      <c r="J1834" s="8">
        <v>-0.65327800000000003</v>
      </c>
      <c r="K1834" s="6" t="s">
        <v>2610</v>
      </c>
      <c r="L1834" s="9">
        <v>44037</v>
      </c>
      <c r="N1834" s="6">
        <v>44</v>
      </c>
      <c r="O1834" s="6" t="s">
        <v>4392</v>
      </c>
      <c r="V1834" s="8">
        <v>-2.3933294532775875</v>
      </c>
      <c r="W1834" s="8">
        <v>-16.827364336013794</v>
      </c>
      <c r="X1834" s="27">
        <f t="shared" si="104"/>
        <v>2.3192712902069061</v>
      </c>
    </row>
    <row r="1835" spans="1:25" x14ac:dyDescent="0.35">
      <c r="A1835" s="6" t="s">
        <v>25</v>
      </c>
      <c r="B1835" s="6" t="s">
        <v>3063</v>
      </c>
      <c r="D1835" s="6" t="s">
        <v>3162</v>
      </c>
      <c r="E1835" s="6">
        <v>4</v>
      </c>
      <c r="F1835" s="6">
        <v>48</v>
      </c>
      <c r="G1835" s="6" t="s">
        <v>3322</v>
      </c>
      <c r="I1835" s="8">
        <v>79.992951000000005</v>
      </c>
      <c r="J1835" s="8">
        <v>-0.65327800000000003</v>
      </c>
      <c r="K1835" s="6" t="s">
        <v>198</v>
      </c>
      <c r="L1835" s="9">
        <v>44037</v>
      </c>
      <c r="M1835" s="18">
        <v>0.31666666666666665</v>
      </c>
      <c r="N1835" s="6">
        <v>43</v>
      </c>
      <c r="O1835" s="6" t="s">
        <v>4392</v>
      </c>
      <c r="R1835" s="6">
        <v>7</v>
      </c>
      <c r="S1835" s="6">
        <v>4</v>
      </c>
      <c r="V1835" s="8">
        <v>-23.917580276870719</v>
      </c>
      <c r="W1835" s="8">
        <v>-179.67299357299805</v>
      </c>
      <c r="X1835" s="8">
        <f t="shared" si="104"/>
        <v>11.667648641967702</v>
      </c>
    </row>
    <row r="1836" spans="1:25" x14ac:dyDescent="0.35">
      <c r="A1836" s="6" t="s">
        <v>25</v>
      </c>
      <c r="B1836" s="6" t="s">
        <v>3569</v>
      </c>
      <c r="D1836" s="6" t="s">
        <v>3871</v>
      </c>
      <c r="E1836" s="6">
        <v>4</v>
      </c>
      <c r="F1836" s="6">
        <v>48</v>
      </c>
      <c r="G1836" s="6" t="s">
        <v>4173</v>
      </c>
      <c r="I1836" s="8">
        <v>79.785923263888876</v>
      </c>
      <c r="J1836" s="8">
        <v>-1.7680510416666673</v>
      </c>
      <c r="K1836" s="6" t="s">
        <v>2610</v>
      </c>
      <c r="L1836" s="9">
        <v>44038</v>
      </c>
      <c r="N1836" s="6">
        <v>44</v>
      </c>
      <c r="O1836" s="6" t="s">
        <v>4418</v>
      </c>
      <c r="V1836" s="8">
        <v>-2.0827956743717193</v>
      </c>
      <c r="W1836" s="8">
        <v>-15.778916045188904</v>
      </c>
      <c r="X1836" s="27">
        <f t="shared" si="104"/>
        <v>0.88344934978485057</v>
      </c>
    </row>
    <row r="1837" spans="1:25" x14ac:dyDescent="0.35">
      <c r="A1837" s="6" t="s">
        <v>25</v>
      </c>
      <c r="B1837" s="6" t="s">
        <v>3570</v>
      </c>
      <c r="D1837" s="6" t="s">
        <v>3872</v>
      </c>
      <c r="E1837" s="6">
        <v>4</v>
      </c>
      <c r="F1837" s="6">
        <v>49</v>
      </c>
      <c r="G1837" s="6" t="s">
        <v>4174</v>
      </c>
      <c r="I1837" s="8">
        <v>79.587830486111088</v>
      </c>
      <c r="J1837" s="8">
        <v>-2.3422056250000001</v>
      </c>
      <c r="K1837" s="6" t="s">
        <v>2610</v>
      </c>
      <c r="L1837" s="9">
        <v>44039</v>
      </c>
      <c r="N1837" s="6">
        <v>44</v>
      </c>
      <c r="O1837" s="6" t="s">
        <v>4419</v>
      </c>
      <c r="V1837" s="8">
        <v>-2.2458924018859863</v>
      </c>
      <c r="W1837" s="8">
        <v>-16.523998756408691</v>
      </c>
      <c r="X1837" s="27">
        <f t="shared" si="104"/>
        <v>1.4431404586791992</v>
      </c>
    </row>
    <row r="1838" spans="1:25" x14ac:dyDescent="0.35">
      <c r="A1838" s="6" t="s">
        <v>25</v>
      </c>
      <c r="B1838" s="7" t="s">
        <v>2221</v>
      </c>
      <c r="D1838" s="6" t="s">
        <v>2222</v>
      </c>
      <c r="E1838" s="6">
        <v>4</v>
      </c>
      <c r="F1838" s="6">
        <v>49</v>
      </c>
      <c r="G1838" s="6" t="s">
        <v>393</v>
      </c>
      <c r="I1838" s="8">
        <v>79.355558402777802</v>
      </c>
      <c r="J1838" s="8">
        <v>-2.69302333333333</v>
      </c>
      <c r="K1838" s="6" t="s">
        <v>390</v>
      </c>
      <c r="L1838" s="9">
        <v>44040</v>
      </c>
      <c r="N1838" s="6">
        <v>44</v>
      </c>
      <c r="O1838" s="6" t="s">
        <v>4420</v>
      </c>
      <c r="Q1838" s="10"/>
      <c r="R1838" s="10"/>
      <c r="S1838" s="10"/>
      <c r="T1838" s="10"/>
      <c r="U1838" s="11"/>
      <c r="V1838" s="8">
        <v>-3.0589566786766054</v>
      </c>
      <c r="W1838" s="8">
        <v>-23.03216266059875</v>
      </c>
      <c r="X1838" s="8">
        <f t="shared" si="104"/>
        <v>1.4394907688140925</v>
      </c>
    </row>
    <row r="1839" spans="1:25" x14ac:dyDescent="0.35">
      <c r="A1839" s="6" t="s">
        <v>25</v>
      </c>
      <c r="B1839" s="6" t="s">
        <v>3571</v>
      </c>
      <c r="D1839" s="6" t="s">
        <v>3873</v>
      </c>
      <c r="E1839" s="6">
        <v>4</v>
      </c>
      <c r="F1839" s="6">
        <v>49</v>
      </c>
      <c r="G1839" s="6" t="s">
        <v>4175</v>
      </c>
      <c r="I1839" s="8">
        <v>79.355558402777817</v>
      </c>
      <c r="J1839" s="8">
        <v>-2.6930233333333322</v>
      </c>
      <c r="K1839" s="6" t="s">
        <v>2610</v>
      </c>
      <c r="L1839" s="9">
        <v>44040</v>
      </c>
      <c r="N1839" s="6">
        <v>44</v>
      </c>
      <c r="O1839" s="6" t="s">
        <v>4420</v>
      </c>
      <c r="V1839" s="8">
        <v>-2.0536398291110998</v>
      </c>
      <c r="W1839" s="8">
        <v>-16.403024024963379</v>
      </c>
      <c r="X1839" s="27">
        <f t="shared" si="104"/>
        <v>2.6094607925418956E-2</v>
      </c>
    </row>
    <row r="1840" spans="1:25" x14ac:dyDescent="0.35">
      <c r="A1840" s="6" t="s">
        <v>25</v>
      </c>
      <c r="B1840" s="7" t="s">
        <v>2223</v>
      </c>
      <c r="D1840" s="6" t="s">
        <v>2224</v>
      </c>
      <c r="E1840" s="6">
        <v>4</v>
      </c>
      <c r="F1840" s="6">
        <v>49</v>
      </c>
      <c r="G1840" s="6" t="s">
        <v>335</v>
      </c>
      <c r="I1840" s="8">
        <v>79.191449375000005</v>
      </c>
      <c r="J1840" s="8">
        <v>-2.6081078472222199</v>
      </c>
      <c r="K1840" s="6" t="s">
        <v>29</v>
      </c>
      <c r="L1840" s="9">
        <v>44041</v>
      </c>
      <c r="N1840" s="6">
        <v>44</v>
      </c>
      <c r="O1840" s="6" t="s">
        <v>4421</v>
      </c>
      <c r="Q1840" s="10" t="s">
        <v>2039</v>
      </c>
      <c r="R1840" s="10">
        <v>104</v>
      </c>
      <c r="S1840" s="10">
        <v>109</v>
      </c>
      <c r="T1840" s="10">
        <f t="shared" ref="T1840:T1867" si="105">AVERAGE(R1840:S1840)</f>
        <v>106.5</v>
      </c>
      <c r="U1840" s="11"/>
      <c r="V1840" s="8">
        <v>-4.6891976872126273</v>
      </c>
      <c r="W1840" s="8">
        <v>-35.025410625457766</v>
      </c>
      <c r="X1840" s="8">
        <f t="shared" si="104"/>
        <v>2.4881708722432521</v>
      </c>
    </row>
    <row r="1841" spans="1:24" x14ac:dyDescent="0.35">
      <c r="A1841" s="6" t="s">
        <v>25</v>
      </c>
      <c r="B1841" s="7" t="s">
        <v>2225</v>
      </c>
      <c r="D1841" s="6" t="s">
        <v>2226</v>
      </c>
      <c r="E1841" s="6">
        <v>4</v>
      </c>
      <c r="F1841" s="6">
        <v>49</v>
      </c>
      <c r="G1841" s="6" t="s">
        <v>335</v>
      </c>
      <c r="I1841" s="8">
        <v>79.191449375000005</v>
      </c>
      <c r="J1841" s="8">
        <v>-2.6081078472222199</v>
      </c>
      <c r="K1841" s="6" t="s">
        <v>29</v>
      </c>
      <c r="L1841" s="9">
        <v>44041</v>
      </c>
      <c r="N1841" s="6">
        <v>44</v>
      </c>
      <c r="O1841" s="6" t="s">
        <v>4421</v>
      </c>
      <c r="Q1841" s="10" t="s">
        <v>1992</v>
      </c>
      <c r="R1841" s="10">
        <v>40</v>
      </c>
      <c r="S1841" s="10">
        <v>45</v>
      </c>
      <c r="T1841" s="10">
        <f t="shared" si="105"/>
        <v>42.5</v>
      </c>
      <c r="U1841" s="11"/>
      <c r="V1841" s="8">
        <v>-1.3697632867098396E-2</v>
      </c>
      <c r="W1841" s="8">
        <v>0.10724218663573222</v>
      </c>
      <c r="X1841" s="8">
        <f t="shared" si="104"/>
        <v>0.21682324957251939</v>
      </c>
    </row>
    <row r="1842" spans="1:24" x14ac:dyDescent="0.35">
      <c r="A1842" s="6" t="s">
        <v>25</v>
      </c>
      <c r="B1842" s="7" t="s">
        <v>2227</v>
      </c>
      <c r="D1842" s="6" t="s">
        <v>2228</v>
      </c>
      <c r="E1842" s="6">
        <v>4</v>
      </c>
      <c r="F1842" s="6">
        <v>49</v>
      </c>
      <c r="G1842" s="6" t="s">
        <v>335</v>
      </c>
      <c r="I1842" s="8">
        <v>79.191449375000005</v>
      </c>
      <c r="J1842" s="8">
        <v>-2.6081078472222199</v>
      </c>
      <c r="K1842" s="6" t="s">
        <v>29</v>
      </c>
      <c r="L1842" s="9">
        <v>44041</v>
      </c>
      <c r="N1842" s="6">
        <v>44</v>
      </c>
      <c r="O1842" s="6" t="s">
        <v>4421</v>
      </c>
      <c r="Q1842" s="10" t="s">
        <v>2082</v>
      </c>
      <c r="R1842" s="10">
        <v>45</v>
      </c>
      <c r="S1842" s="10">
        <v>50</v>
      </c>
      <c r="T1842" s="10">
        <f t="shared" si="105"/>
        <v>47.5</v>
      </c>
      <c r="U1842" s="11"/>
      <c r="V1842" s="8">
        <v>-5.6012931802868565E-2</v>
      </c>
      <c r="W1842" s="8">
        <v>-0.11793466327190373</v>
      </c>
      <c r="X1842" s="8">
        <f t="shared" si="104"/>
        <v>0.3301687911510448</v>
      </c>
    </row>
    <row r="1843" spans="1:24" x14ac:dyDescent="0.35">
      <c r="A1843" s="6" t="s">
        <v>25</v>
      </c>
      <c r="B1843" s="7" t="s">
        <v>2229</v>
      </c>
      <c r="D1843" s="6" t="s">
        <v>2230</v>
      </c>
      <c r="E1843" s="6">
        <v>4</v>
      </c>
      <c r="F1843" s="6">
        <v>49</v>
      </c>
      <c r="G1843" s="6" t="s">
        <v>335</v>
      </c>
      <c r="I1843" s="8">
        <v>79.191449375000005</v>
      </c>
      <c r="J1843" s="8">
        <v>-2.6081078472222199</v>
      </c>
      <c r="K1843" s="6" t="s">
        <v>29</v>
      </c>
      <c r="L1843" s="9">
        <v>44041</v>
      </c>
      <c r="N1843" s="6">
        <v>44</v>
      </c>
      <c r="O1843" s="6" t="s">
        <v>4421</v>
      </c>
      <c r="Q1843" s="10" t="s">
        <v>1999</v>
      </c>
      <c r="R1843" s="10">
        <v>20</v>
      </c>
      <c r="S1843" s="10">
        <v>25</v>
      </c>
      <c r="T1843" s="10">
        <f t="shared" si="105"/>
        <v>22.5</v>
      </c>
      <c r="U1843" s="11"/>
      <c r="V1843" s="8">
        <v>0.41690907028913543</v>
      </c>
      <c r="W1843" s="8">
        <v>3.6868773659706116</v>
      </c>
      <c r="X1843" s="8">
        <f t="shared" si="104"/>
        <v>0.35160480365752811</v>
      </c>
    </row>
    <row r="1844" spans="1:24" x14ac:dyDescent="0.35">
      <c r="A1844" s="6" t="s">
        <v>25</v>
      </c>
      <c r="B1844" s="7" t="s">
        <v>2231</v>
      </c>
      <c r="D1844" s="6" t="s">
        <v>2232</v>
      </c>
      <c r="E1844" s="6">
        <v>4</v>
      </c>
      <c r="F1844" s="6">
        <v>49</v>
      </c>
      <c r="G1844" s="6" t="s">
        <v>335</v>
      </c>
      <c r="I1844" s="8">
        <v>79.191449375000005</v>
      </c>
      <c r="J1844" s="8">
        <v>-2.6081078472222199</v>
      </c>
      <c r="K1844" s="6" t="s">
        <v>29</v>
      </c>
      <c r="L1844" s="9">
        <v>44041</v>
      </c>
      <c r="N1844" s="6">
        <v>44</v>
      </c>
      <c r="O1844" s="6" t="s">
        <v>4421</v>
      </c>
      <c r="Q1844" s="10" t="s">
        <v>1989</v>
      </c>
      <c r="R1844" s="10">
        <v>35</v>
      </c>
      <c r="S1844" s="10">
        <v>40</v>
      </c>
      <c r="T1844" s="10">
        <f t="shared" si="105"/>
        <v>37.5</v>
      </c>
      <c r="U1844" s="11"/>
      <c r="V1844" s="8">
        <v>6.4850229419767966E-2</v>
      </c>
      <c r="W1844" s="8">
        <v>-0.34498176717758178</v>
      </c>
      <c r="X1844" s="8">
        <f t="shared" si="104"/>
        <v>-0.8637836025357255</v>
      </c>
    </row>
    <row r="1845" spans="1:24" x14ac:dyDescent="0.35">
      <c r="A1845" s="6" t="s">
        <v>25</v>
      </c>
      <c r="B1845" s="7" t="s">
        <v>2233</v>
      </c>
      <c r="D1845" s="6" t="s">
        <v>2234</v>
      </c>
      <c r="E1845" s="6">
        <v>4</v>
      </c>
      <c r="F1845" s="6">
        <v>49</v>
      </c>
      <c r="G1845" s="6" t="s">
        <v>335</v>
      </c>
      <c r="I1845" s="8">
        <v>79.191449375000005</v>
      </c>
      <c r="J1845" s="8">
        <v>-2.6081078472222199</v>
      </c>
      <c r="K1845" s="6" t="s">
        <v>29</v>
      </c>
      <c r="L1845" s="9">
        <v>44041</v>
      </c>
      <c r="N1845" s="6">
        <v>44</v>
      </c>
      <c r="O1845" s="6" t="s">
        <v>4421</v>
      </c>
      <c r="Q1845" s="10" t="s">
        <v>1836</v>
      </c>
      <c r="R1845" s="10">
        <v>94</v>
      </c>
      <c r="S1845" s="10">
        <v>99</v>
      </c>
      <c r="T1845" s="10">
        <f t="shared" si="105"/>
        <v>96.5</v>
      </c>
      <c r="U1845" s="11"/>
      <c r="V1845" s="8">
        <v>-2.9076287750244139</v>
      </c>
      <c r="W1845" s="8">
        <v>-21.899343069076536</v>
      </c>
      <c r="X1845" s="8">
        <f t="shared" si="104"/>
        <v>1.3616871311187744</v>
      </c>
    </row>
    <row r="1846" spans="1:24" x14ac:dyDescent="0.35">
      <c r="A1846" s="6" t="s">
        <v>25</v>
      </c>
      <c r="B1846" s="7" t="s">
        <v>2235</v>
      </c>
      <c r="D1846" s="6" t="s">
        <v>2236</v>
      </c>
      <c r="E1846" s="6">
        <v>4</v>
      </c>
      <c r="F1846" s="6">
        <v>49</v>
      </c>
      <c r="G1846" s="6" t="s">
        <v>335</v>
      </c>
      <c r="I1846" s="8">
        <v>79.191449375000005</v>
      </c>
      <c r="J1846" s="8">
        <v>-2.6081078472222199</v>
      </c>
      <c r="K1846" s="6" t="s">
        <v>29</v>
      </c>
      <c r="L1846" s="9">
        <v>44041</v>
      </c>
      <c r="N1846" s="6">
        <v>44</v>
      </c>
      <c r="O1846" s="6" t="s">
        <v>4421</v>
      </c>
      <c r="Q1846" s="10" t="s">
        <v>1979</v>
      </c>
      <c r="R1846" s="10">
        <v>25</v>
      </c>
      <c r="S1846" s="10">
        <v>30</v>
      </c>
      <c r="T1846" s="10">
        <f t="shared" si="105"/>
        <v>27.5</v>
      </c>
      <c r="U1846" s="11"/>
      <c r="V1846" s="8">
        <v>0.17350080291628822</v>
      </c>
      <c r="W1846" s="8">
        <v>1.4735623445510873</v>
      </c>
      <c r="X1846" s="8">
        <f t="shared" si="104"/>
        <v>8.5555921220781483E-2</v>
      </c>
    </row>
    <row r="1847" spans="1:24" x14ac:dyDescent="0.35">
      <c r="A1847" s="6" t="s">
        <v>25</v>
      </c>
      <c r="B1847" s="7" t="s">
        <v>2237</v>
      </c>
      <c r="D1847" s="6" t="s">
        <v>2238</v>
      </c>
      <c r="E1847" s="6">
        <v>4</v>
      </c>
      <c r="F1847" s="6">
        <v>49</v>
      </c>
      <c r="G1847" s="6" t="s">
        <v>335</v>
      </c>
      <c r="I1847" s="8">
        <v>79.191449375000005</v>
      </c>
      <c r="J1847" s="8">
        <v>-2.6081078472222199</v>
      </c>
      <c r="K1847" s="6" t="s">
        <v>29</v>
      </c>
      <c r="L1847" s="9">
        <v>44041</v>
      </c>
      <c r="N1847" s="6">
        <v>44</v>
      </c>
      <c r="O1847" s="6" t="s">
        <v>4421</v>
      </c>
      <c r="Q1847" s="10" t="s">
        <v>1982</v>
      </c>
      <c r="R1847" s="10">
        <v>30</v>
      </c>
      <c r="S1847" s="10">
        <v>35</v>
      </c>
      <c r="T1847" s="10">
        <f t="shared" si="105"/>
        <v>32.5</v>
      </c>
      <c r="U1847" s="11"/>
      <c r="V1847" s="8">
        <v>-7.5860587164758549E-3</v>
      </c>
      <c r="W1847" s="8">
        <v>0.24096596658229871</v>
      </c>
      <c r="X1847" s="8">
        <f t="shared" si="104"/>
        <v>0.30165443631410555</v>
      </c>
    </row>
    <row r="1848" spans="1:24" x14ac:dyDescent="0.35">
      <c r="A1848" s="6" t="s">
        <v>25</v>
      </c>
      <c r="B1848" s="7" t="s">
        <v>2239</v>
      </c>
      <c r="D1848" s="6" t="s">
        <v>2240</v>
      </c>
      <c r="E1848" s="6">
        <v>4</v>
      </c>
      <c r="F1848" s="6">
        <v>49</v>
      </c>
      <c r="G1848" s="6" t="s">
        <v>335</v>
      </c>
      <c r="I1848" s="8">
        <v>79.191449375000005</v>
      </c>
      <c r="J1848" s="8">
        <v>-2.6081078472222199</v>
      </c>
      <c r="K1848" s="6" t="s">
        <v>29</v>
      </c>
      <c r="L1848" s="9">
        <v>44041</v>
      </c>
      <c r="N1848" s="6">
        <v>44</v>
      </c>
      <c r="O1848" s="6" t="s">
        <v>4421</v>
      </c>
      <c r="Q1848" s="10" t="s">
        <v>2032</v>
      </c>
      <c r="R1848" s="10">
        <v>5</v>
      </c>
      <c r="S1848" s="10">
        <v>10</v>
      </c>
      <c r="T1848" s="10">
        <f t="shared" si="105"/>
        <v>7.5</v>
      </c>
      <c r="U1848" s="11"/>
      <c r="V1848" s="8">
        <v>1.261518983316422</v>
      </c>
      <c r="W1848" s="8">
        <v>8.3871043243408199</v>
      </c>
      <c r="X1848" s="8">
        <f t="shared" si="104"/>
        <v>-1.705047542190556</v>
      </c>
    </row>
    <row r="1849" spans="1:24" x14ac:dyDescent="0.35">
      <c r="A1849" s="6" t="s">
        <v>25</v>
      </c>
      <c r="B1849" s="7" t="s">
        <v>2241</v>
      </c>
      <c r="D1849" s="6" t="s">
        <v>2242</v>
      </c>
      <c r="E1849" s="6">
        <v>4</v>
      </c>
      <c r="F1849" s="6">
        <v>49</v>
      </c>
      <c r="G1849" s="6" t="s">
        <v>335</v>
      </c>
      <c r="I1849" s="8">
        <v>79.191449375000005</v>
      </c>
      <c r="J1849" s="8">
        <v>-2.6081078472222199</v>
      </c>
      <c r="K1849" s="6" t="s">
        <v>29</v>
      </c>
      <c r="L1849" s="9">
        <v>44041</v>
      </c>
      <c r="N1849" s="6">
        <v>44</v>
      </c>
      <c r="O1849" s="6" t="s">
        <v>4421</v>
      </c>
      <c r="Q1849" s="10" t="s">
        <v>1799</v>
      </c>
      <c r="R1849" s="10">
        <v>74</v>
      </c>
      <c r="S1849" s="10">
        <v>79</v>
      </c>
      <c r="T1849" s="10">
        <f t="shared" si="105"/>
        <v>76.5</v>
      </c>
      <c r="U1849" s="11"/>
      <c r="V1849" s="8">
        <v>-0.71199279289245565</v>
      </c>
      <c r="W1849" s="8">
        <v>-5.4451549839973454</v>
      </c>
      <c r="X1849" s="8">
        <f t="shared" si="104"/>
        <v>0.25078735914229977</v>
      </c>
    </row>
    <row r="1850" spans="1:24" x14ac:dyDescent="0.35">
      <c r="A1850" s="6" t="s">
        <v>25</v>
      </c>
      <c r="B1850" s="7" t="s">
        <v>2243</v>
      </c>
      <c r="D1850" s="6" t="s">
        <v>2244</v>
      </c>
      <c r="E1850" s="6">
        <v>4</v>
      </c>
      <c r="F1850" s="6">
        <v>49</v>
      </c>
      <c r="G1850" s="6" t="s">
        <v>335</v>
      </c>
      <c r="I1850" s="8">
        <v>79.191449375000005</v>
      </c>
      <c r="J1850" s="8">
        <v>-2.6081078472222199</v>
      </c>
      <c r="K1850" s="6" t="s">
        <v>29</v>
      </c>
      <c r="L1850" s="9">
        <v>44041</v>
      </c>
      <c r="N1850" s="6">
        <v>44</v>
      </c>
      <c r="O1850" s="6" t="s">
        <v>4421</v>
      </c>
      <c r="Q1850" s="10" t="s">
        <v>2104</v>
      </c>
      <c r="R1850" s="10">
        <v>50</v>
      </c>
      <c r="S1850" s="10">
        <v>55</v>
      </c>
      <c r="T1850" s="10">
        <f t="shared" si="105"/>
        <v>52.5</v>
      </c>
      <c r="U1850" s="11"/>
      <c r="V1850" s="8">
        <v>-0.1792919951856134</v>
      </c>
      <c r="W1850" s="8">
        <v>-2.1441615724563596</v>
      </c>
      <c r="X1850" s="8">
        <f t="shared" si="104"/>
        <v>-0.70982561097145247</v>
      </c>
    </row>
    <row r="1851" spans="1:24" x14ac:dyDescent="0.35">
      <c r="A1851" s="6" t="s">
        <v>25</v>
      </c>
      <c r="B1851" s="7" t="s">
        <v>2245</v>
      </c>
      <c r="D1851" s="6" t="s">
        <v>2246</v>
      </c>
      <c r="E1851" s="6">
        <v>4</v>
      </c>
      <c r="F1851" s="6">
        <v>49</v>
      </c>
      <c r="G1851" s="6" t="s">
        <v>335</v>
      </c>
      <c r="I1851" s="8">
        <v>79.191449375000005</v>
      </c>
      <c r="J1851" s="8">
        <v>-2.6081078472222199</v>
      </c>
      <c r="K1851" s="6" t="s">
        <v>29</v>
      </c>
      <c r="L1851" s="9">
        <v>44041</v>
      </c>
      <c r="N1851" s="6">
        <v>44</v>
      </c>
      <c r="O1851" s="6" t="s">
        <v>4421</v>
      </c>
      <c r="Q1851" s="10" t="s">
        <v>2005</v>
      </c>
      <c r="R1851" s="10">
        <v>10</v>
      </c>
      <c r="S1851" s="10">
        <v>15</v>
      </c>
      <c r="T1851" s="10">
        <f t="shared" si="105"/>
        <v>12.5</v>
      </c>
      <c r="U1851" s="11"/>
      <c r="V1851" s="8">
        <v>1.2553505444049839</v>
      </c>
      <c r="W1851" s="8">
        <v>9.4728514041900631</v>
      </c>
      <c r="X1851" s="8">
        <f t="shared" si="104"/>
        <v>-0.56995295104980848</v>
      </c>
    </row>
    <row r="1852" spans="1:24" x14ac:dyDescent="0.35">
      <c r="A1852" s="6" t="s">
        <v>25</v>
      </c>
      <c r="B1852" s="7" t="s">
        <v>2247</v>
      </c>
      <c r="D1852" s="6" t="s">
        <v>2248</v>
      </c>
      <c r="E1852" s="6">
        <v>4</v>
      </c>
      <c r="F1852" s="6">
        <v>49</v>
      </c>
      <c r="G1852" s="6" t="s">
        <v>335</v>
      </c>
      <c r="I1852" s="8">
        <v>79.191449375000005</v>
      </c>
      <c r="J1852" s="8">
        <v>-2.6081078472222199</v>
      </c>
      <c r="K1852" s="6" t="s">
        <v>29</v>
      </c>
      <c r="L1852" s="9">
        <v>44041</v>
      </c>
      <c r="N1852" s="6">
        <v>44</v>
      </c>
      <c r="O1852" s="6" t="s">
        <v>4421</v>
      </c>
      <c r="Q1852" s="10" t="s">
        <v>1848</v>
      </c>
      <c r="R1852" s="10">
        <v>89</v>
      </c>
      <c r="S1852" s="10">
        <v>94</v>
      </c>
      <c r="T1852" s="10">
        <f t="shared" si="105"/>
        <v>91.5</v>
      </c>
      <c r="U1852" s="11"/>
      <c r="V1852" s="8">
        <v>-2.8091133163452149</v>
      </c>
      <c r="W1852" s="8">
        <v>-21.369841943740845</v>
      </c>
      <c r="X1852" s="8">
        <f t="shared" si="104"/>
        <v>1.1030645870208744</v>
      </c>
    </row>
    <row r="1853" spans="1:24" x14ac:dyDescent="0.35">
      <c r="A1853" s="6" t="s">
        <v>25</v>
      </c>
      <c r="B1853" s="7" t="s">
        <v>2249</v>
      </c>
      <c r="D1853" s="6" t="s">
        <v>2250</v>
      </c>
      <c r="E1853" s="6">
        <v>4</v>
      </c>
      <c r="F1853" s="6">
        <v>49</v>
      </c>
      <c r="G1853" s="6" t="s">
        <v>335</v>
      </c>
      <c r="I1853" s="8">
        <v>79.191449375000005</v>
      </c>
      <c r="J1853" s="8">
        <v>-2.6081078472222199</v>
      </c>
      <c r="K1853" s="6" t="s">
        <v>29</v>
      </c>
      <c r="L1853" s="9">
        <v>44041</v>
      </c>
      <c r="N1853" s="6">
        <v>44</v>
      </c>
      <c r="O1853" s="6" t="s">
        <v>4421</v>
      </c>
      <c r="Q1853" s="10" t="s">
        <v>1877</v>
      </c>
      <c r="R1853" s="10">
        <v>99</v>
      </c>
      <c r="S1853" s="10">
        <v>104</v>
      </c>
      <c r="T1853" s="10">
        <f t="shared" si="105"/>
        <v>101.5</v>
      </c>
      <c r="U1853" s="11"/>
      <c r="V1853" s="8">
        <v>-4.6520868652343745</v>
      </c>
      <c r="W1853" s="8">
        <v>-35.92225552749634</v>
      </c>
      <c r="X1853" s="8">
        <f t="shared" si="104"/>
        <v>1.2944393943786565</v>
      </c>
    </row>
    <row r="1854" spans="1:24" x14ac:dyDescent="0.35">
      <c r="A1854" s="6" t="s">
        <v>25</v>
      </c>
      <c r="B1854" s="7" t="s">
        <v>2251</v>
      </c>
      <c r="D1854" s="6" t="s">
        <v>2252</v>
      </c>
      <c r="E1854" s="6">
        <v>4</v>
      </c>
      <c r="F1854" s="6">
        <v>49</v>
      </c>
      <c r="G1854" s="6" t="s">
        <v>335</v>
      </c>
      <c r="I1854" s="8">
        <v>79.191449375000005</v>
      </c>
      <c r="J1854" s="8">
        <v>-2.6081078472222199</v>
      </c>
      <c r="K1854" s="6" t="s">
        <v>29</v>
      </c>
      <c r="L1854" s="9">
        <v>44041</v>
      </c>
      <c r="N1854" s="6">
        <v>44</v>
      </c>
      <c r="O1854" s="6" t="s">
        <v>4421</v>
      </c>
      <c r="Q1854" s="10" t="s">
        <v>1793</v>
      </c>
      <c r="R1854" s="10">
        <v>79</v>
      </c>
      <c r="S1854" s="10">
        <v>84</v>
      </c>
      <c r="T1854" s="10">
        <f t="shared" si="105"/>
        <v>81.5</v>
      </c>
      <c r="U1854" s="11"/>
      <c r="V1854" s="8">
        <v>-1.2814317105293278</v>
      </c>
      <c r="W1854" s="8">
        <v>-9.8561495943069453</v>
      </c>
      <c r="X1854" s="8">
        <f t="shared" si="104"/>
        <v>0.39530408992767718</v>
      </c>
    </row>
    <row r="1855" spans="1:24" x14ac:dyDescent="0.35">
      <c r="A1855" s="6" t="s">
        <v>25</v>
      </c>
      <c r="B1855" s="7" t="s">
        <v>2253</v>
      </c>
      <c r="D1855" s="6" t="s">
        <v>2254</v>
      </c>
      <c r="E1855" s="6">
        <v>4</v>
      </c>
      <c r="F1855" s="6">
        <v>49</v>
      </c>
      <c r="G1855" s="6" t="s">
        <v>335</v>
      </c>
      <c r="I1855" s="8">
        <v>79.191449375000005</v>
      </c>
      <c r="J1855" s="8">
        <v>-2.6081078472222199</v>
      </c>
      <c r="K1855" s="6" t="s">
        <v>29</v>
      </c>
      <c r="L1855" s="9">
        <v>44041</v>
      </c>
      <c r="N1855" s="6">
        <v>44</v>
      </c>
      <c r="O1855" s="6" t="s">
        <v>4421</v>
      </c>
      <c r="Q1855" s="10" t="s">
        <v>1842</v>
      </c>
      <c r="R1855" s="10">
        <v>84</v>
      </c>
      <c r="S1855" s="10">
        <v>89</v>
      </c>
      <c r="T1855" s="10">
        <f t="shared" si="105"/>
        <v>86.5</v>
      </c>
      <c r="U1855" s="11"/>
      <c r="V1855" s="8">
        <v>-1.6144086030721667</v>
      </c>
      <c r="W1855" s="8">
        <v>-11.854724161148072</v>
      </c>
      <c r="X1855" s="8">
        <f t="shared" si="104"/>
        <v>1.0605446634292619</v>
      </c>
    </row>
    <row r="1856" spans="1:24" x14ac:dyDescent="0.35">
      <c r="A1856" s="6" t="s">
        <v>25</v>
      </c>
      <c r="B1856" s="7" t="s">
        <v>2255</v>
      </c>
      <c r="D1856" s="6" t="s">
        <v>2256</v>
      </c>
      <c r="E1856" s="6">
        <v>4</v>
      </c>
      <c r="F1856" s="6">
        <v>49</v>
      </c>
      <c r="G1856" s="6" t="s">
        <v>335</v>
      </c>
      <c r="I1856" s="8">
        <v>79.191449375000005</v>
      </c>
      <c r="J1856" s="8">
        <v>-2.6081078472222199</v>
      </c>
      <c r="K1856" s="6" t="s">
        <v>29</v>
      </c>
      <c r="L1856" s="9">
        <v>44041</v>
      </c>
      <c r="N1856" s="6">
        <v>44</v>
      </c>
      <c r="O1856" s="6" t="s">
        <v>4421</v>
      </c>
      <c r="Q1856" s="10" t="s">
        <v>2257</v>
      </c>
      <c r="R1856" s="10">
        <v>60</v>
      </c>
      <c r="S1856" s="10">
        <v>67</v>
      </c>
      <c r="T1856" s="10">
        <f t="shared" si="105"/>
        <v>63.5</v>
      </c>
      <c r="U1856" s="11"/>
      <c r="V1856" s="8">
        <v>-0.17984158395230793</v>
      </c>
      <c r="W1856" s="8">
        <v>-0.36454409080743833</v>
      </c>
      <c r="X1856" s="8">
        <f t="shared" si="104"/>
        <v>1.074188580811025</v>
      </c>
    </row>
    <row r="1857" spans="1:25" x14ac:dyDescent="0.35">
      <c r="A1857" s="6" t="s">
        <v>25</v>
      </c>
      <c r="B1857" s="6" t="s">
        <v>2258</v>
      </c>
      <c r="D1857" s="6" t="s">
        <v>2259</v>
      </c>
      <c r="E1857" s="6">
        <v>4</v>
      </c>
      <c r="F1857" s="6">
        <v>49</v>
      </c>
      <c r="I1857" s="8">
        <v>79.191449375000005</v>
      </c>
      <c r="J1857" s="8">
        <v>-2.6081078472222199</v>
      </c>
      <c r="K1857" s="6" t="s">
        <v>29</v>
      </c>
      <c r="L1857" s="9">
        <v>44041</v>
      </c>
      <c r="N1857" s="6">
        <v>44</v>
      </c>
      <c r="O1857" s="6" t="s">
        <v>4421</v>
      </c>
      <c r="R1857" s="6">
        <v>0</v>
      </c>
      <c r="S1857" s="6">
        <v>10</v>
      </c>
      <c r="T1857" s="10">
        <f t="shared" si="105"/>
        <v>5</v>
      </c>
      <c r="U1857" s="15">
        <v>1.1000000000000001</v>
      </c>
      <c r="V1857" s="8">
        <v>0.81948229316472987</v>
      </c>
      <c r="W1857" s="8">
        <v>6.3070068886756907</v>
      </c>
      <c r="X1857" s="8">
        <f t="shared" si="104"/>
        <v>-0.24885145664214825</v>
      </c>
      <c r="Y1857" s="6" t="s">
        <v>1760</v>
      </c>
    </row>
    <row r="1858" spans="1:25" x14ac:dyDescent="0.35">
      <c r="A1858" s="6" t="s">
        <v>25</v>
      </c>
      <c r="B1858" s="6" t="s">
        <v>2260</v>
      </c>
      <c r="D1858" s="6" t="s">
        <v>2261</v>
      </c>
      <c r="E1858" s="6">
        <v>4</v>
      </c>
      <c r="F1858" s="6">
        <v>49</v>
      </c>
      <c r="I1858" s="8">
        <v>79.191449375000005</v>
      </c>
      <c r="J1858" s="8">
        <v>-2.6081078472222199</v>
      </c>
      <c r="K1858" s="6" t="s">
        <v>29</v>
      </c>
      <c r="L1858" s="9">
        <v>44041</v>
      </c>
      <c r="N1858" s="6">
        <v>44</v>
      </c>
      <c r="O1858" s="6" t="s">
        <v>4421</v>
      </c>
      <c r="R1858" s="6">
        <v>10</v>
      </c>
      <c r="S1858" s="6">
        <v>20</v>
      </c>
      <c r="T1858" s="10">
        <f t="shared" si="105"/>
        <v>15</v>
      </c>
      <c r="U1858" s="15">
        <v>1.5</v>
      </c>
      <c r="V1858" s="8">
        <v>0.81097364822626139</v>
      </c>
      <c r="W1858" s="8">
        <v>6.3867610257148737</v>
      </c>
      <c r="X1858" s="8">
        <f t="shared" si="104"/>
        <v>-0.10102816009521742</v>
      </c>
      <c r="Y1858" s="6" t="s">
        <v>1760</v>
      </c>
    </row>
    <row r="1859" spans="1:25" x14ac:dyDescent="0.35">
      <c r="A1859" s="6" t="s">
        <v>25</v>
      </c>
      <c r="B1859" s="6" t="s">
        <v>2262</v>
      </c>
      <c r="D1859" s="6" t="s">
        <v>2263</v>
      </c>
      <c r="E1859" s="6">
        <v>4</v>
      </c>
      <c r="F1859" s="6">
        <v>49</v>
      </c>
      <c r="I1859" s="8">
        <v>79.191449375000005</v>
      </c>
      <c r="J1859" s="8">
        <v>-2.6081078472222199</v>
      </c>
      <c r="K1859" s="6" t="s">
        <v>29</v>
      </c>
      <c r="L1859" s="9">
        <v>44041</v>
      </c>
      <c r="N1859" s="6">
        <v>44</v>
      </c>
      <c r="O1859" s="6" t="s">
        <v>4421</v>
      </c>
      <c r="R1859" s="6">
        <v>20</v>
      </c>
      <c r="S1859" s="6">
        <v>30</v>
      </c>
      <c r="T1859" s="10">
        <f t="shared" si="105"/>
        <v>25</v>
      </c>
      <c r="U1859" s="15">
        <v>1.1000000000000001</v>
      </c>
      <c r="V1859" s="8">
        <v>0.32236852324604959</v>
      </c>
      <c r="W1859" s="8">
        <v>3.1751851969242093</v>
      </c>
      <c r="X1859" s="8">
        <f t="shared" si="104"/>
        <v>0.59623701095581261</v>
      </c>
      <c r="Y1859" s="6" t="s">
        <v>1760</v>
      </c>
    </row>
    <row r="1860" spans="1:25" x14ac:dyDescent="0.35">
      <c r="A1860" s="6" t="s">
        <v>25</v>
      </c>
      <c r="B1860" s="6" t="s">
        <v>2264</v>
      </c>
      <c r="D1860" s="6" t="s">
        <v>2265</v>
      </c>
      <c r="E1860" s="6">
        <v>4</v>
      </c>
      <c r="F1860" s="6">
        <v>49</v>
      </c>
      <c r="I1860" s="8">
        <v>79.191449375000005</v>
      </c>
      <c r="J1860" s="8">
        <v>-2.6081078472222199</v>
      </c>
      <c r="K1860" s="6" t="s">
        <v>29</v>
      </c>
      <c r="L1860" s="9">
        <v>44041</v>
      </c>
      <c r="N1860" s="6">
        <v>44</v>
      </c>
      <c r="O1860" s="6" t="s">
        <v>4421</v>
      </c>
      <c r="R1860" s="6">
        <v>30</v>
      </c>
      <c r="S1860" s="6">
        <v>40</v>
      </c>
      <c r="T1860" s="10">
        <f t="shared" si="105"/>
        <v>35</v>
      </c>
      <c r="U1860" s="15">
        <v>1.4</v>
      </c>
      <c r="V1860" s="8">
        <v>-3.8299095287919145E-2</v>
      </c>
      <c r="W1860" s="8">
        <v>4.7145653760433073E-2</v>
      </c>
      <c r="X1860" s="8">
        <f t="shared" si="104"/>
        <v>0.35353841606378622</v>
      </c>
      <c r="Y1860" s="6" t="s">
        <v>1760</v>
      </c>
    </row>
    <row r="1861" spans="1:25" x14ac:dyDescent="0.35">
      <c r="A1861" s="6" t="s">
        <v>25</v>
      </c>
      <c r="B1861" s="6" t="s">
        <v>2266</v>
      </c>
      <c r="D1861" s="6" t="s">
        <v>2267</v>
      </c>
      <c r="E1861" s="6">
        <v>4</v>
      </c>
      <c r="F1861" s="6">
        <v>49</v>
      </c>
      <c r="I1861" s="8">
        <v>79.191449375000005</v>
      </c>
      <c r="J1861" s="8">
        <v>-2.6081078472222199</v>
      </c>
      <c r="K1861" s="6" t="s">
        <v>29</v>
      </c>
      <c r="L1861" s="9">
        <v>44041</v>
      </c>
      <c r="N1861" s="6">
        <v>44</v>
      </c>
      <c r="O1861" s="6" t="s">
        <v>4421</v>
      </c>
      <c r="R1861" s="6">
        <v>40</v>
      </c>
      <c r="S1861" s="6">
        <v>50</v>
      </c>
      <c r="T1861" s="10">
        <f t="shared" si="105"/>
        <v>45</v>
      </c>
      <c r="U1861" s="15">
        <v>1.5</v>
      </c>
      <c r="V1861" s="8">
        <v>-0.24117422682046866</v>
      </c>
      <c r="W1861" s="8">
        <v>-1.8402972902297974</v>
      </c>
      <c r="X1861" s="8">
        <f t="shared" si="104"/>
        <v>8.9096524333951876E-2</v>
      </c>
      <c r="Y1861" s="6" t="s">
        <v>1760</v>
      </c>
    </row>
    <row r="1862" spans="1:25" x14ac:dyDescent="0.35">
      <c r="A1862" s="6" t="s">
        <v>25</v>
      </c>
      <c r="B1862" s="6" t="s">
        <v>2268</v>
      </c>
      <c r="D1862" s="6" t="s">
        <v>2269</v>
      </c>
      <c r="E1862" s="6">
        <v>4</v>
      </c>
      <c r="F1862" s="6">
        <v>49</v>
      </c>
      <c r="I1862" s="8">
        <v>79.191449375000005</v>
      </c>
      <c r="J1862" s="8">
        <v>-2.6081078472222199</v>
      </c>
      <c r="K1862" s="6" t="s">
        <v>29</v>
      </c>
      <c r="L1862" s="9">
        <v>44041</v>
      </c>
      <c r="N1862" s="6">
        <v>44</v>
      </c>
      <c r="O1862" s="6" t="s">
        <v>4421</v>
      </c>
      <c r="R1862" s="6">
        <v>50</v>
      </c>
      <c r="S1862" s="6">
        <v>60</v>
      </c>
      <c r="T1862" s="10">
        <f t="shared" si="105"/>
        <v>55</v>
      </c>
      <c r="U1862" s="15">
        <v>1.5</v>
      </c>
      <c r="V1862" s="8">
        <v>-0.43599791669845545</v>
      </c>
      <c r="W1862" s="8">
        <v>-3.6214328302383429</v>
      </c>
      <c r="X1862" s="8">
        <f t="shared" si="104"/>
        <v>-0.13344949665069938</v>
      </c>
      <c r="Y1862" s="6" t="s">
        <v>1760</v>
      </c>
    </row>
    <row r="1863" spans="1:25" x14ac:dyDescent="0.35">
      <c r="A1863" s="6" t="s">
        <v>25</v>
      </c>
      <c r="B1863" s="6" t="s">
        <v>2270</v>
      </c>
      <c r="D1863" s="6" t="s">
        <v>2271</v>
      </c>
      <c r="E1863" s="6">
        <v>4</v>
      </c>
      <c r="F1863" s="6">
        <v>49</v>
      </c>
      <c r="I1863" s="8">
        <v>79.191449375000005</v>
      </c>
      <c r="J1863" s="8">
        <v>-2.6081078472222199</v>
      </c>
      <c r="K1863" s="6" t="s">
        <v>29</v>
      </c>
      <c r="L1863" s="9">
        <v>44041</v>
      </c>
      <c r="N1863" s="6">
        <v>44</v>
      </c>
      <c r="O1863" s="6" t="s">
        <v>4421</v>
      </c>
      <c r="R1863" s="6">
        <v>60</v>
      </c>
      <c r="S1863" s="6">
        <v>69</v>
      </c>
      <c r="T1863" s="10">
        <f t="shared" si="105"/>
        <v>64.5</v>
      </c>
      <c r="U1863" s="15">
        <v>1.1000000000000001</v>
      </c>
      <c r="V1863" s="8">
        <v>-0.66008268594741859</v>
      </c>
      <c r="W1863" s="8">
        <v>-5.3064681152343747</v>
      </c>
      <c r="X1863" s="8">
        <f t="shared" si="104"/>
        <v>-2.5806627655025949E-2</v>
      </c>
      <c r="Y1863" s="6" t="s">
        <v>1760</v>
      </c>
    </row>
    <row r="1864" spans="1:25" x14ac:dyDescent="0.35">
      <c r="A1864" s="6" t="s">
        <v>25</v>
      </c>
      <c r="B1864" s="6" t="s">
        <v>2272</v>
      </c>
      <c r="D1864" s="6" t="s">
        <v>2273</v>
      </c>
      <c r="E1864" s="6">
        <v>4</v>
      </c>
      <c r="F1864" s="6">
        <v>49</v>
      </c>
      <c r="I1864" s="8">
        <v>79.191449375000005</v>
      </c>
      <c r="J1864" s="8">
        <v>-2.6081078472222199</v>
      </c>
      <c r="K1864" s="6" t="s">
        <v>29</v>
      </c>
      <c r="L1864" s="9">
        <v>44041</v>
      </c>
      <c r="N1864" s="6">
        <v>44</v>
      </c>
      <c r="O1864" s="6" t="s">
        <v>4421</v>
      </c>
      <c r="R1864" s="6">
        <v>69</v>
      </c>
      <c r="S1864" s="6">
        <v>78</v>
      </c>
      <c r="T1864" s="10">
        <f t="shared" si="105"/>
        <v>73.5</v>
      </c>
      <c r="U1864" s="15">
        <v>1.1000000000000001</v>
      </c>
      <c r="V1864" s="8">
        <v>-0.28502922391891505</v>
      </c>
      <c r="W1864" s="8">
        <v>-2.1970170015335087</v>
      </c>
      <c r="X1864" s="8">
        <f t="shared" si="104"/>
        <v>8.3216789817811776E-2</v>
      </c>
      <c r="Y1864" s="6" t="s">
        <v>1760</v>
      </c>
    </row>
    <row r="1865" spans="1:25" x14ac:dyDescent="0.35">
      <c r="A1865" s="6" t="s">
        <v>25</v>
      </c>
      <c r="B1865" s="6" t="s">
        <v>2274</v>
      </c>
      <c r="D1865" s="6" t="s">
        <v>2275</v>
      </c>
      <c r="E1865" s="6">
        <v>4</v>
      </c>
      <c r="F1865" s="6">
        <v>49</v>
      </c>
      <c r="I1865" s="8">
        <v>79.191449375000005</v>
      </c>
      <c r="J1865" s="8">
        <v>-2.6081078472222199</v>
      </c>
      <c r="K1865" s="6" t="s">
        <v>29</v>
      </c>
      <c r="L1865" s="9">
        <v>44041</v>
      </c>
      <c r="N1865" s="6">
        <v>44</v>
      </c>
      <c r="O1865" s="6" t="s">
        <v>4421</v>
      </c>
      <c r="R1865" s="6">
        <v>78</v>
      </c>
      <c r="S1865" s="6">
        <v>87</v>
      </c>
      <c r="T1865" s="10">
        <f t="shared" si="105"/>
        <v>82.5</v>
      </c>
      <c r="U1865" s="15">
        <v>0.9</v>
      </c>
      <c r="V1865" s="8">
        <v>-0.40169670850038536</v>
      </c>
      <c r="W1865" s="8">
        <v>-3.2490490831375127</v>
      </c>
      <c r="X1865" s="8">
        <f t="shared" si="104"/>
        <v>-3.5475415134429866E-2</v>
      </c>
      <c r="Y1865" s="6" t="s">
        <v>1760</v>
      </c>
    </row>
    <row r="1866" spans="1:25" x14ac:dyDescent="0.35">
      <c r="A1866" s="6" t="s">
        <v>25</v>
      </c>
      <c r="B1866" s="6" t="s">
        <v>2276</v>
      </c>
      <c r="D1866" s="6" t="s">
        <v>2277</v>
      </c>
      <c r="E1866" s="6">
        <v>4</v>
      </c>
      <c r="F1866" s="6">
        <v>49</v>
      </c>
      <c r="I1866" s="8">
        <v>79.191449375000005</v>
      </c>
      <c r="J1866" s="8">
        <v>-2.6081078472222199</v>
      </c>
      <c r="K1866" s="6" t="s">
        <v>29</v>
      </c>
      <c r="L1866" s="9">
        <v>44041</v>
      </c>
      <c r="N1866" s="6">
        <v>44</v>
      </c>
      <c r="O1866" s="6" t="s">
        <v>4421</v>
      </c>
      <c r="R1866" s="6">
        <v>87</v>
      </c>
      <c r="S1866" s="6">
        <v>96</v>
      </c>
      <c r="T1866" s="10">
        <f t="shared" si="105"/>
        <v>91.5</v>
      </c>
      <c r="U1866" s="15">
        <v>0.5</v>
      </c>
      <c r="V1866" s="8">
        <v>-1.0703042607307431</v>
      </c>
      <c r="W1866" s="8">
        <v>-8.2111578029632568</v>
      </c>
      <c r="X1866" s="8">
        <f t="shared" si="104"/>
        <v>0.35127628288268831</v>
      </c>
      <c r="Y1866" s="6" t="s">
        <v>1760</v>
      </c>
    </row>
    <row r="1867" spans="1:25" x14ac:dyDescent="0.35">
      <c r="A1867" s="6" t="s">
        <v>25</v>
      </c>
      <c r="B1867" s="6" t="s">
        <v>2278</v>
      </c>
      <c r="D1867" s="6" t="s">
        <v>2279</v>
      </c>
      <c r="E1867" s="6">
        <v>4</v>
      </c>
      <c r="F1867" s="6">
        <v>49</v>
      </c>
      <c r="I1867" s="8">
        <v>79.191449375000005</v>
      </c>
      <c r="J1867" s="8">
        <v>-2.6081078472222199</v>
      </c>
      <c r="K1867" s="6" t="s">
        <v>29</v>
      </c>
      <c r="L1867" s="9">
        <v>44041</v>
      </c>
      <c r="N1867" s="6">
        <v>44</v>
      </c>
      <c r="O1867" s="6" t="s">
        <v>4421</v>
      </c>
      <c r="R1867" s="6">
        <v>96</v>
      </c>
      <c r="S1867" s="6">
        <v>111</v>
      </c>
      <c r="T1867" s="10">
        <f t="shared" si="105"/>
        <v>103.5</v>
      </c>
      <c r="U1867" s="15">
        <v>1</v>
      </c>
      <c r="V1867" s="8">
        <v>-4.1412991571426403</v>
      </c>
      <c r="W1867" s="8">
        <v>-32.343875044250488</v>
      </c>
      <c r="X1867" s="8">
        <f t="shared" si="104"/>
        <v>0.78651821289063406</v>
      </c>
      <c r="Y1867" s="6" t="s">
        <v>1760</v>
      </c>
    </row>
    <row r="1868" spans="1:25" x14ac:dyDescent="0.35">
      <c r="A1868" s="6" t="s">
        <v>25</v>
      </c>
      <c r="B1868" s="6" t="s">
        <v>3572</v>
      </c>
      <c r="D1868" s="6" t="s">
        <v>3874</v>
      </c>
      <c r="E1868" s="6">
        <v>4</v>
      </c>
      <c r="F1868" s="6">
        <v>49</v>
      </c>
      <c r="G1868" s="6" t="s">
        <v>4176</v>
      </c>
      <c r="I1868" s="8">
        <v>79.191449375000005</v>
      </c>
      <c r="J1868" s="8">
        <v>-2.6081078472222199</v>
      </c>
      <c r="K1868" s="6" t="s">
        <v>2610</v>
      </c>
      <c r="L1868" s="9">
        <v>44041</v>
      </c>
      <c r="N1868" s="6">
        <v>44</v>
      </c>
      <c r="O1868" s="6" t="s">
        <v>4421</v>
      </c>
      <c r="V1868" s="8">
        <v>-2.2327922522544861</v>
      </c>
      <c r="W1868" s="8">
        <v>-17.390504570007323</v>
      </c>
      <c r="X1868" s="27">
        <f t="shared" si="104"/>
        <v>0.47183344802856553</v>
      </c>
    </row>
    <row r="1869" spans="1:25" x14ac:dyDescent="0.35">
      <c r="A1869" s="6" t="s">
        <v>25</v>
      </c>
      <c r="B1869" s="6" t="s">
        <v>3573</v>
      </c>
      <c r="D1869" s="6" t="s">
        <v>3875</v>
      </c>
      <c r="E1869" s="6">
        <v>4</v>
      </c>
      <c r="F1869" s="6">
        <v>49</v>
      </c>
      <c r="G1869" s="6" t="s">
        <v>4177</v>
      </c>
      <c r="I1869" s="8">
        <v>79.100619097222221</v>
      </c>
      <c r="J1869" s="8">
        <v>-2.5113251388888886</v>
      </c>
      <c r="K1869" s="6" t="s">
        <v>2610</v>
      </c>
      <c r="L1869" s="9">
        <v>44042</v>
      </c>
      <c r="N1869" s="6">
        <v>44</v>
      </c>
      <c r="O1869" s="6" t="s">
        <v>4422</v>
      </c>
      <c r="V1869" s="8">
        <v>-2.1427471756458281</v>
      </c>
      <c r="W1869" s="8">
        <v>-16.835467567443846</v>
      </c>
      <c r="X1869" s="27">
        <f t="shared" si="104"/>
        <v>0.3065098377227784</v>
      </c>
    </row>
    <row r="1870" spans="1:25" x14ac:dyDescent="0.35">
      <c r="A1870" s="6" t="s">
        <v>25</v>
      </c>
      <c r="B1870" s="6" t="s">
        <v>3574</v>
      </c>
      <c r="D1870" s="6" t="s">
        <v>3876</v>
      </c>
      <c r="E1870" s="6">
        <v>4</v>
      </c>
      <c r="F1870" s="6">
        <v>49</v>
      </c>
      <c r="G1870" s="6" t="s">
        <v>4178</v>
      </c>
      <c r="I1870" s="8">
        <v>78.960223402777785</v>
      </c>
      <c r="J1870" s="8">
        <v>-2.4572034722222211</v>
      </c>
      <c r="K1870" s="6" t="s">
        <v>2610</v>
      </c>
      <c r="L1870" s="9">
        <v>44043</v>
      </c>
      <c r="N1870" s="6">
        <v>44</v>
      </c>
      <c r="O1870" s="6" t="s">
        <v>4422</v>
      </c>
      <c r="V1870" s="8">
        <v>-2.1925668990135194</v>
      </c>
      <c r="W1870" s="8">
        <v>-16.906519660949705</v>
      </c>
      <c r="X1870" s="27">
        <f t="shared" si="104"/>
        <v>0.63401553115845033</v>
      </c>
    </row>
    <row r="1871" spans="1:25" x14ac:dyDescent="0.35">
      <c r="A1871" s="6" t="s">
        <v>25</v>
      </c>
      <c r="B1871" s="6" t="s">
        <v>3575</v>
      </c>
      <c r="D1871" s="6" t="s">
        <v>3877</v>
      </c>
      <c r="E1871" s="6">
        <v>4</v>
      </c>
      <c r="F1871" s="6">
        <v>49</v>
      </c>
      <c r="G1871" s="6" t="s">
        <v>4179</v>
      </c>
      <c r="I1871" s="8">
        <v>78.853661388888895</v>
      </c>
      <c r="J1871" s="8">
        <v>-2.3725330555555542</v>
      </c>
      <c r="K1871" s="6" t="s">
        <v>2610</v>
      </c>
      <c r="L1871" s="9">
        <v>44044</v>
      </c>
      <c r="N1871" s="6">
        <v>44</v>
      </c>
      <c r="O1871" s="6" t="s">
        <v>4423</v>
      </c>
      <c r="V1871" s="8">
        <v>-2.0129341160774228</v>
      </c>
      <c r="W1871" s="8">
        <v>-15.19863851547241</v>
      </c>
      <c r="X1871" s="27">
        <f t="shared" si="104"/>
        <v>0.90483441314697188</v>
      </c>
    </row>
    <row r="1872" spans="1:25" x14ac:dyDescent="0.35">
      <c r="A1872" s="6" t="s">
        <v>25</v>
      </c>
      <c r="B1872" s="6" t="s">
        <v>3576</v>
      </c>
      <c r="D1872" s="6" t="s">
        <v>3878</v>
      </c>
      <c r="E1872" s="6">
        <v>4</v>
      </c>
      <c r="F1872" s="6">
        <v>49</v>
      </c>
      <c r="G1872" s="6" t="s">
        <v>4180</v>
      </c>
      <c r="I1872" s="8">
        <v>78.999486388888897</v>
      </c>
      <c r="J1872" s="8">
        <v>-2.9352163194444452</v>
      </c>
      <c r="K1872" s="6" t="s">
        <v>2610</v>
      </c>
      <c r="L1872" s="9">
        <v>44045</v>
      </c>
      <c r="N1872" s="6">
        <v>45</v>
      </c>
      <c r="O1872" s="6" t="s">
        <v>4424</v>
      </c>
      <c r="V1872" s="8">
        <v>-2.1477029883384704</v>
      </c>
      <c r="W1872" s="8">
        <v>-17.127210693359373</v>
      </c>
      <c r="X1872" s="27">
        <f t="shared" si="104"/>
        <v>5.4413213348389888E-2</v>
      </c>
    </row>
    <row r="1873" spans="1:24" x14ac:dyDescent="0.35">
      <c r="A1873" s="6" t="s">
        <v>25</v>
      </c>
      <c r="B1873" s="6" t="s">
        <v>3577</v>
      </c>
      <c r="D1873" s="6" t="s">
        <v>3879</v>
      </c>
      <c r="E1873" s="6">
        <v>4</v>
      </c>
      <c r="F1873" s="6">
        <v>50</v>
      </c>
      <c r="G1873" s="6" t="s">
        <v>4181</v>
      </c>
      <c r="I1873" s="8">
        <v>78.722031250000057</v>
      </c>
      <c r="J1873" s="8">
        <v>-4.3242449305555537</v>
      </c>
      <c r="K1873" s="6" t="s">
        <v>2610</v>
      </c>
      <c r="L1873" s="9">
        <v>44046</v>
      </c>
      <c r="N1873" s="6">
        <v>45</v>
      </c>
      <c r="O1873" s="6" t="s">
        <v>4425</v>
      </c>
      <c r="V1873" s="8">
        <v>-2.0678146779060369</v>
      </c>
      <c r="W1873" s="8">
        <v>-16.989844932556153</v>
      </c>
      <c r="X1873" s="27">
        <f t="shared" si="104"/>
        <v>-0.4473275093078577</v>
      </c>
    </row>
    <row r="1874" spans="1:24" x14ac:dyDescent="0.35">
      <c r="A1874" s="6" t="s">
        <v>25</v>
      </c>
      <c r="B1874" s="6" t="s">
        <v>3578</v>
      </c>
      <c r="D1874" s="6" t="s">
        <v>3880</v>
      </c>
      <c r="E1874" s="6">
        <v>4</v>
      </c>
      <c r="F1874" s="6">
        <v>50</v>
      </c>
      <c r="G1874" s="6" t="s">
        <v>4182</v>
      </c>
      <c r="I1874" s="8">
        <v>78.999969236111113</v>
      </c>
      <c r="J1874" s="8">
        <v>-3.0755222222222227</v>
      </c>
      <c r="K1874" s="6" t="s">
        <v>2610</v>
      </c>
      <c r="L1874" s="9">
        <v>44047</v>
      </c>
      <c r="N1874" s="6">
        <v>45</v>
      </c>
      <c r="O1874" s="6" t="s">
        <v>4392</v>
      </c>
      <c r="V1874" s="8">
        <v>-2.1565031313419341</v>
      </c>
      <c r="W1874" s="8">
        <v>-16.976138076782227</v>
      </c>
      <c r="X1874" s="27">
        <f t="shared" si="104"/>
        <v>0.27588697395324502</v>
      </c>
    </row>
    <row r="1875" spans="1:24" x14ac:dyDescent="0.35">
      <c r="A1875" s="6" t="s">
        <v>25</v>
      </c>
      <c r="B1875" s="6" t="s">
        <v>3579</v>
      </c>
      <c r="D1875" s="6" t="s">
        <v>3881</v>
      </c>
      <c r="E1875" s="6">
        <v>4</v>
      </c>
      <c r="F1875" s="6">
        <v>50</v>
      </c>
      <c r="G1875" s="6" t="s">
        <v>4183</v>
      </c>
      <c r="I1875" s="8">
        <v>78.589818333333326</v>
      </c>
      <c r="J1875" s="8">
        <v>-2.4695461111111117</v>
      </c>
      <c r="K1875" s="6" t="s">
        <v>2610</v>
      </c>
      <c r="L1875" s="9">
        <v>44048</v>
      </c>
      <c r="N1875" s="6">
        <v>45</v>
      </c>
      <c r="O1875" s="6" t="s">
        <v>4408</v>
      </c>
      <c r="V1875" s="8">
        <v>-1.4849380915403361</v>
      </c>
      <c r="W1875" s="8">
        <v>-10.923072006225587</v>
      </c>
      <c r="X1875" s="27">
        <f t="shared" si="104"/>
        <v>0.95643272609710195</v>
      </c>
    </row>
    <row r="1876" spans="1:24" x14ac:dyDescent="0.35">
      <c r="A1876" s="6" t="s">
        <v>25</v>
      </c>
      <c r="B1876" s="6" t="s">
        <v>3580</v>
      </c>
      <c r="D1876" s="6" t="s">
        <v>3882</v>
      </c>
      <c r="E1876" s="6">
        <v>4</v>
      </c>
      <c r="F1876" s="6">
        <v>50</v>
      </c>
      <c r="G1876" s="6" t="s">
        <v>4184</v>
      </c>
      <c r="I1876" s="8">
        <v>78.437815763888949</v>
      </c>
      <c r="J1876" s="8">
        <v>-7.0805127777777805</v>
      </c>
      <c r="K1876" s="6" t="s">
        <v>2610</v>
      </c>
      <c r="L1876" s="9">
        <v>44049</v>
      </c>
      <c r="N1876" s="6">
        <v>45</v>
      </c>
      <c r="O1876" s="6" t="s">
        <v>4426</v>
      </c>
      <c r="V1876" s="8">
        <v>-2.3995583769321449</v>
      </c>
      <c r="W1876" s="8">
        <v>-17.989482891082766</v>
      </c>
      <c r="X1876" s="27">
        <f t="shared" si="104"/>
        <v>1.2069841243743937</v>
      </c>
    </row>
    <row r="1877" spans="1:24" x14ac:dyDescent="0.35">
      <c r="A1877" s="6" t="s">
        <v>25</v>
      </c>
      <c r="B1877" s="6" t="s">
        <v>3581</v>
      </c>
      <c r="D1877" s="6" t="s">
        <v>3883</v>
      </c>
      <c r="E1877" s="6">
        <v>4</v>
      </c>
      <c r="F1877" s="6">
        <v>50</v>
      </c>
      <c r="G1877" s="6" t="s">
        <v>4185</v>
      </c>
      <c r="I1877" s="8">
        <v>79.649489930555561</v>
      </c>
      <c r="J1877" s="8">
        <v>-4.9034634027777777</v>
      </c>
      <c r="K1877" s="6" t="s">
        <v>2610</v>
      </c>
      <c r="L1877" s="9">
        <v>44050</v>
      </c>
      <c r="N1877" s="6">
        <v>45</v>
      </c>
      <c r="O1877" s="6" t="s">
        <v>4427</v>
      </c>
      <c r="V1877" s="8">
        <v>-2.3982562724590304</v>
      </c>
      <c r="W1877" s="8">
        <v>-17.674089958190919</v>
      </c>
      <c r="X1877" s="27">
        <f t="shared" si="104"/>
        <v>1.5119602214813241</v>
      </c>
    </row>
    <row r="1878" spans="1:24" x14ac:dyDescent="0.35">
      <c r="A1878" s="6" t="s">
        <v>25</v>
      </c>
      <c r="B1878" s="6" t="s">
        <v>3582</v>
      </c>
      <c r="D1878" s="6" t="s">
        <v>3884</v>
      </c>
      <c r="E1878" s="6">
        <v>4</v>
      </c>
      <c r="F1878" s="6">
        <v>50</v>
      </c>
      <c r="G1878" s="6" t="s">
        <v>4186</v>
      </c>
      <c r="I1878" s="8">
        <v>79.895975625000034</v>
      </c>
      <c r="J1878" s="8">
        <v>-3.757039374999998</v>
      </c>
      <c r="K1878" s="6" t="s">
        <v>2610</v>
      </c>
      <c r="L1878" s="9">
        <v>44051</v>
      </c>
      <c r="N1878" s="6">
        <v>45</v>
      </c>
      <c r="O1878" s="6" t="s">
        <v>4422</v>
      </c>
      <c r="V1878" s="8">
        <v>-2.512161970996857</v>
      </c>
      <c r="W1878" s="8">
        <v>-18.649657871246337</v>
      </c>
      <c r="X1878" s="27">
        <f t="shared" si="104"/>
        <v>1.4476378967285193</v>
      </c>
    </row>
    <row r="1879" spans="1:24" x14ac:dyDescent="0.35">
      <c r="A1879" s="6" t="s">
        <v>25</v>
      </c>
      <c r="B1879" s="6" t="s">
        <v>3583</v>
      </c>
      <c r="D1879" s="6" t="s">
        <v>3885</v>
      </c>
      <c r="E1879" s="6">
        <v>4</v>
      </c>
      <c r="F1879" s="6">
        <v>50</v>
      </c>
      <c r="G1879" s="6" t="s">
        <v>4187</v>
      </c>
      <c r="I1879" s="8">
        <v>79.882942499999999</v>
      </c>
      <c r="J1879" s="8">
        <v>-4.6274257638888887</v>
      </c>
      <c r="K1879" s="6" t="s">
        <v>2610</v>
      </c>
      <c r="L1879" s="9">
        <v>44052</v>
      </c>
      <c r="N1879" s="6">
        <v>46</v>
      </c>
      <c r="O1879" s="6" t="s">
        <v>4428</v>
      </c>
      <c r="V1879" s="8">
        <v>-2.468190756225586</v>
      </c>
      <c r="W1879" s="8">
        <v>-17.427039367675782</v>
      </c>
      <c r="X1879" s="27">
        <f t="shared" si="104"/>
        <v>2.3184866821289063</v>
      </c>
    </row>
    <row r="1880" spans="1:24" x14ac:dyDescent="0.35">
      <c r="A1880" s="6" t="s">
        <v>25</v>
      </c>
      <c r="B1880" s="6" t="s">
        <v>3584</v>
      </c>
      <c r="D1880" s="6" t="s">
        <v>3886</v>
      </c>
      <c r="E1880" s="6">
        <v>4</v>
      </c>
      <c r="F1880" s="6">
        <v>50</v>
      </c>
      <c r="G1880" s="6" t="s">
        <v>4188</v>
      </c>
      <c r="I1880" s="8">
        <v>79.908903472222249</v>
      </c>
      <c r="J1880" s="8">
        <v>-5.4450144444444426</v>
      </c>
      <c r="K1880" s="6" t="s">
        <v>2610</v>
      </c>
      <c r="L1880" s="9">
        <v>44053</v>
      </c>
      <c r="N1880" s="6">
        <v>46</v>
      </c>
      <c r="O1880" s="6" t="s">
        <v>4429</v>
      </c>
      <c r="V1880" s="8">
        <v>-2.406392376565933</v>
      </c>
      <c r="W1880" s="8">
        <v>-17.980613662719726</v>
      </c>
      <c r="X1880" s="27">
        <f t="shared" si="104"/>
        <v>1.2705253498077376</v>
      </c>
    </row>
    <row r="1881" spans="1:24" x14ac:dyDescent="0.35">
      <c r="A1881" s="6" t="s">
        <v>25</v>
      </c>
      <c r="B1881" s="6" t="s">
        <v>3585</v>
      </c>
      <c r="D1881" s="6" t="s">
        <v>3887</v>
      </c>
      <c r="E1881" s="6">
        <v>4</v>
      </c>
      <c r="F1881" s="6">
        <v>50</v>
      </c>
      <c r="G1881" s="6" t="s">
        <v>4189</v>
      </c>
      <c r="I1881" s="8">
        <v>79.967091180555556</v>
      </c>
      <c r="J1881" s="8">
        <v>-5.773707083333333</v>
      </c>
      <c r="K1881" s="6" t="s">
        <v>2610</v>
      </c>
      <c r="L1881" s="9">
        <v>44054</v>
      </c>
      <c r="N1881" s="6">
        <v>46</v>
      </c>
      <c r="O1881" s="6" t="s">
        <v>4403</v>
      </c>
      <c r="V1881" s="8">
        <v>-2.4436575845718385</v>
      </c>
      <c r="W1881" s="8">
        <v>-18.388426334381105</v>
      </c>
      <c r="X1881" s="27">
        <f t="shared" si="104"/>
        <v>1.1608343421936027</v>
      </c>
    </row>
    <row r="1882" spans="1:24" x14ac:dyDescent="0.35">
      <c r="A1882" s="6" t="s">
        <v>25</v>
      </c>
      <c r="B1882" s="6" t="s">
        <v>3586</v>
      </c>
      <c r="D1882" s="6" t="s">
        <v>3888</v>
      </c>
      <c r="E1882" s="6">
        <v>5</v>
      </c>
      <c r="F1882" s="6">
        <v>59</v>
      </c>
      <c r="G1882" s="6" t="s">
        <v>4190</v>
      </c>
      <c r="I1882" s="8">
        <v>80.086312430555594</v>
      </c>
      <c r="J1882" s="8">
        <v>-6.1385360416666677</v>
      </c>
      <c r="K1882" s="6" t="s">
        <v>2610</v>
      </c>
      <c r="L1882" s="9">
        <v>44055</v>
      </c>
      <c r="N1882" s="6">
        <v>46</v>
      </c>
      <c r="O1882" s="6" t="s">
        <v>4421</v>
      </c>
      <c r="V1882" s="8">
        <v>-2.3949221908092495</v>
      </c>
      <c r="W1882" s="8">
        <v>-17.990933086395263</v>
      </c>
      <c r="X1882" s="27">
        <f t="shared" si="104"/>
        <v>1.1684444400787335</v>
      </c>
    </row>
    <row r="1883" spans="1:24" x14ac:dyDescent="0.35">
      <c r="A1883" s="6" t="s">
        <v>25</v>
      </c>
      <c r="B1883" s="6" t="s">
        <v>3587</v>
      </c>
      <c r="D1883" s="6" t="s">
        <v>3889</v>
      </c>
      <c r="E1883" s="6">
        <v>5</v>
      </c>
      <c r="F1883" s="6">
        <v>59</v>
      </c>
      <c r="G1883" s="6" t="s">
        <v>4191</v>
      </c>
      <c r="I1883" s="8">
        <v>80.746198472222204</v>
      </c>
      <c r="J1883" s="8">
        <v>-6.385419166666666</v>
      </c>
      <c r="K1883" s="6" t="s">
        <v>2610</v>
      </c>
      <c r="L1883" s="9">
        <v>44056</v>
      </c>
      <c r="N1883" s="6">
        <v>46</v>
      </c>
      <c r="O1883" s="6" t="s">
        <v>4414</v>
      </c>
      <c r="V1883" s="8">
        <v>-2.651855460548401</v>
      </c>
      <c r="W1883" s="8">
        <v>-19.206446010589602</v>
      </c>
      <c r="X1883" s="27">
        <f t="shared" si="104"/>
        <v>2.0083976737976066</v>
      </c>
    </row>
    <row r="1884" spans="1:24" x14ac:dyDescent="0.35">
      <c r="A1884" s="6" t="s">
        <v>25</v>
      </c>
      <c r="B1884" s="6" t="s">
        <v>3588</v>
      </c>
      <c r="D1884" s="6" t="s">
        <v>3890</v>
      </c>
      <c r="E1884" s="6">
        <v>5</v>
      </c>
      <c r="F1884" s="6">
        <v>59</v>
      </c>
      <c r="G1884" s="6" t="s">
        <v>4192</v>
      </c>
      <c r="I1884" s="8">
        <v>83.009091458333316</v>
      </c>
      <c r="J1884" s="8">
        <v>-9.430011944444443</v>
      </c>
      <c r="K1884" s="6" t="s">
        <v>2610</v>
      </c>
      <c r="L1884" s="9">
        <v>44057</v>
      </c>
      <c r="N1884" s="6">
        <v>46</v>
      </c>
      <c r="O1884" s="6" t="s">
        <v>4403</v>
      </c>
      <c r="V1884" s="8">
        <v>-2.6728617176055911</v>
      </c>
      <c r="W1884" s="8">
        <v>-19.046399585723879</v>
      </c>
      <c r="X1884" s="27">
        <f t="shared" si="104"/>
        <v>2.3364941551208496</v>
      </c>
    </row>
    <row r="1885" spans="1:24" x14ac:dyDescent="0.35">
      <c r="A1885" s="6" t="s">
        <v>25</v>
      </c>
      <c r="B1885" s="6" t="s">
        <v>3589</v>
      </c>
      <c r="D1885" s="6" t="s">
        <v>3891</v>
      </c>
      <c r="E1885" s="6">
        <v>5</v>
      </c>
      <c r="F1885" s="6">
        <v>59</v>
      </c>
      <c r="G1885" s="6" t="s">
        <v>4193</v>
      </c>
      <c r="I1885" s="8">
        <v>85.117205069444481</v>
      </c>
      <c r="J1885" s="8">
        <v>-15.458313055555546</v>
      </c>
      <c r="K1885" s="6" t="s">
        <v>2610</v>
      </c>
      <c r="L1885" s="9">
        <v>44058</v>
      </c>
      <c r="N1885" s="6">
        <v>46</v>
      </c>
      <c r="O1885" s="6" t="s">
        <v>4395</v>
      </c>
      <c r="V1885" s="8">
        <v>-2.5917272944831855</v>
      </c>
      <c r="W1885" s="8">
        <v>-19.214675820159911</v>
      </c>
      <c r="X1885" s="27">
        <f t="shared" si="104"/>
        <v>1.5191425357055728</v>
      </c>
    </row>
    <row r="1886" spans="1:24" x14ac:dyDescent="0.35">
      <c r="A1886" s="6" t="s">
        <v>25</v>
      </c>
      <c r="B1886" s="6" t="s">
        <v>3590</v>
      </c>
      <c r="D1886" s="6" t="s">
        <v>3892</v>
      </c>
      <c r="E1886" s="6">
        <v>5</v>
      </c>
      <c r="F1886" s="6">
        <v>59</v>
      </c>
      <c r="G1886" s="6" t="s">
        <v>4194</v>
      </c>
      <c r="I1886" s="8">
        <v>86.741118750000041</v>
      </c>
      <c r="J1886" s="8">
        <v>-29.234400208333334</v>
      </c>
      <c r="K1886" s="6" t="s">
        <v>2610</v>
      </c>
      <c r="L1886" s="9">
        <v>44059</v>
      </c>
      <c r="N1886" s="6">
        <v>47</v>
      </c>
      <c r="O1886" s="6" t="s">
        <v>4405</v>
      </c>
      <c r="V1886" s="8">
        <v>-2.9341081023597724</v>
      </c>
      <c r="W1886" s="8">
        <v>-21.708270258712766</v>
      </c>
      <c r="X1886" s="27">
        <f t="shared" si="104"/>
        <v>1.7645945601654134</v>
      </c>
    </row>
    <row r="1887" spans="1:24" x14ac:dyDescent="0.35">
      <c r="A1887" s="6" t="s">
        <v>25</v>
      </c>
      <c r="B1887" s="6" t="s">
        <v>3591</v>
      </c>
      <c r="D1887" s="6" t="s">
        <v>3893</v>
      </c>
      <c r="E1887" s="6">
        <v>5</v>
      </c>
      <c r="F1887" s="6">
        <v>59</v>
      </c>
      <c r="G1887" s="6" t="s">
        <v>4195</v>
      </c>
      <c r="I1887" s="8">
        <v>88.100207013888934</v>
      </c>
      <c r="J1887" s="8">
        <v>-36.783021111111097</v>
      </c>
      <c r="K1887" s="6" t="s">
        <v>2610</v>
      </c>
      <c r="L1887" s="9">
        <v>44060</v>
      </c>
      <c r="N1887" s="6">
        <v>47</v>
      </c>
      <c r="O1887" s="6" t="s">
        <v>4403</v>
      </c>
      <c r="V1887" s="8">
        <v>-3.3428370623970043</v>
      </c>
      <c r="W1887" s="8">
        <v>-24.179506501007083</v>
      </c>
      <c r="X1887" s="27">
        <f t="shared" si="104"/>
        <v>2.5631899981689514</v>
      </c>
    </row>
    <row r="1888" spans="1:24" x14ac:dyDescent="0.35">
      <c r="A1888" s="6" t="s">
        <v>25</v>
      </c>
      <c r="B1888" s="6" t="s">
        <v>3592</v>
      </c>
      <c r="D1888" s="6" t="s">
        <v>3894</v>
      </c>
      <c r="E1888" s="6">
        <v>5</v>
      </c>
      <c r="F1888" s="6">
        <v>59</v>
      </c>
      <c r="G1888" s="6" t="s">
        <v>4196</v>
      </c>
      <c r="I1888" s="8">
        <v>89.018136874999954</v>
      </c>
      <c r="J1888" s="8">
        <v>-35.278087361111112</v>
      </c>
      <c r="K1888" s="6" t="s">
        <v>2610</v>
      </c>
      <c r="L1888" s="9">
        <v>44061</v>
      </c>
      <c r="N1888" s="6">
        <v>47</v>
      </c>
      <c r="O1888" s="6" t="s">
        <v>4393</v>
      </c>
      <c r="V1888" s="8">
        <v>-3.2005504881286622</v>
      </c>
      <c r="W1888" s="8">
        <v>-24.702666566467286</v>
      </c>
      <c r="X1888" s="27">
        <f t="shared" si="104"/>
        <v>0.9017373385620111</v>
      </c>
    </row>
    <row r="1889" spans="1:25" x14ac:dyDescent="0.35">
      <c r="A1889" s="6" t="s">
        <v>25</v>
      </c>
      <c r="B1889" s="6" t="s">
        <v>3593</v>
      </c>
      <c r="D1889" s="6" t="s">
        <v>3895</v>
      </c>
      <c r="E1889" s="6">
        <v>5</v>
      </c>
      <c r="F1889" s="6">
        <v>59</v>
      </c>
      <c r="G1889" s="6" t="s">
        <v>4197</v>
      </c>
      <c r="I1889" s="8">
        <v>89.846500000000034</v>
      </c>
      <c r="J1889" s="8">
        <v>49.476448402777791</v>
      </c>
      <c r="K1889" s="6" t="s">
        <v>2610</v>
      </c>
      <c r="L1889" s="9">
        <v>44062</v>
      </c>
      <c r="N1889" s="6">
        <v>47</v>
      </c>
      <c r="O1889" s="6" t="s">
        <v>4394</v>
      </c>
      <c r="V1889" s="8">
        <v>-3.4444554535293581</v>
      </c>
      <c r="W1889" s="8">
        <v>-26.023658177947997</v>
      </c>
      <c r="X1889" s="27">
        <f t="shared" ref="X1889:X1952" si="106">W1889-(8*V1889)</f>
        <v>1.5319854502868679</v>
      </c>
    </row>
    <row r="1890" spans="1:25" x14ac:dyDescent="0.35">
      <c r="A1890" s="6" t="s">
        <v>25</v>
      </c>
      <c r="B1890" s="6" t="s">
        <v>3594</v>
      </c>
      <c r="D1890" s="6" t="s">
        <v>3896</v>
      </c>
      <c r="E1890" s="6">
        <v>5</v>
      </c>
      <c r="F1890" s="6">
        <v>59</v>
      </c>
      <c r="G1890" s="6" t="s">
        <v>4198</v>
      </c>
      <c r="I1890" s="8">
        <v>88.913649722222218</v>
      </c>
      <c r="J1890" s="8">
        <v>105.55276451388889</v>
      </c>
      <c r="K1890" s="6" t="s">
        <v>2610</v>
      </c>
      <c r="L1890" s="9">
        <v>44063</v>
      </c>
      <c r="N1890" s="6">
        <v>47</v>
      </c>
      <c r="O1890" s="6" t="s">
        <v>4430</v>
      </c>
      <c r="V1890" s="8">
        <v>-1.8597342845344542</v>
      </c>
      <c r="W1890" s="8">
        <v>-13.87192981300354</v>
      </c>
      <c r="X1890" s="27">
        <f t="shared" si="106"/>
        <v>1.005944463272094</v>
      </c>
    </row>
    <row r="1891" spans="1:25" x14ac:dyDescent="0.35">
      <c r="A1891" s="6" t="s">
        <v>25</v>
      </c>
      <c r="B1891" s="6" t="s">
        <v>3595</v>
      </c>
      <c r="D1891" s="6" t="s">
        <v>3897</v>
      </c>
      <c r="E1891" s="6">
        <v>5</v>
      </c>
      <c r="F1891" s="6">
        <v>59</v>
      </c>
      <c r="G1891" s="6" t="s">
        <v>4199</v>
      </c>
      <c r="I1891" s="8">
        <v>87.755193888888911</v>
      </c>
      <c r="J1891" s="8">
        <v>104.35164555555556</v>
      </c>
      <c r="K1891" s="6" t="s">
        <v>2610</v>
      </c>
      <c r="L1891" s="9">
        <v>44064</v>
      </c>
      <c r="N1891" s="6">
        <v>47</v>
      </c>
      <c r="O1891" s="6" t="s">
        <v>4397</v>
      </c>
      <c r="V1891" s="8">
        <v>-1.1408723527336124</v>
      </c>
      <c r="W1891" s="8">
        <v>-8.2082814117431653</v>
      </c>
      <c r="X1891" s="27">
        <f t="shared" si="106"/>
        <v>0.91869741012573414</v>
      </c>
    </row>
    <row r="1892" spans="1:25" x14ac:dyDescent="0.35">
      <c r="A1892" s="6" t="s">
        <v>25</v>
      </c>
      <c r="B1892" s="6" t="s">
        <v>3596</v>
      </c>
      <c r="D1892" s="6" t="s">
        <v>3898</v>
      </c>
      <c r="E1892" s="6">
        <v>5</v>
      </c>
      <c r="F1892" s="6">
        <v>59</v>
      </c>
      <c r="G1892" s="6" t="s">
        <v>4200</v>
      </c>
      <c r="I1892" s="8">
        <v>87.743263819444451</v>
      </c>
      <c r="J1892" s="8">
        <v>104.6638960416667</v>
      </c>
      <c r="K1892" s="6" t="s">
        <v>2610</v>
      </c>
      <c r="L1892" s="9">
        <v>44065</v>
      </c>
      <c r="N1892" s="6">
        <v>48</v>
      </c>
      <c r="O1892" s="6" t="s">
        <v>4397</v>
      </c>
      <c r="V1892" s="8">
        <v>-1.1665779196166999</v>
      </c>
      <c r="W1892" s="8">
        <v>-8.5732901569366469</v>
      </c>
      <c r="X1892" s="27">
        <f t="shared" si="106"/>
        <v>0.75933319999695215</v>
      </c>
    </row>
    <row r="1893" spans="1:25" x14ac:dyDescent="0.35">
      <c r="A1893" s="6" t="s">
        <v>25</v>
      </c>
      <c r="B1893" s="6" t="s">
        <v>2280</v>
      </c>
      <c r="D1893" s="6" t="s">
        <v>2281</v>
      </c>
      <c r="E1893" s="6">
        <v>5</v>
      </c>
      <c r="F1893" s="6">
        <v>58</v>
      </c>
      <c r="G1893" s="6" t="s">
        <v>2282</v>
      </c>
      <c r="I1893" s="8">
        <v>87.743263819444451</v>
      </c>
      <c r="J1893" s="8">
        <v>104.6638960416667</v>
      </c>
      <c r="K1893" s="7" t="s">
        <v>2610</v>
      </c>
      <c r="L1893" s="9">
        <v>44065</v>
      </c>
      <c r="N1893" s="6">
        <v>47</v>
      </c>
      <c r="O1893" s="6" t="s">
        <v>4397</v>
      </c>
      <c r="T1893" s="10"/>
      <c r="V1893" s="8">
        <v>-1.2522735150754449</v>
      </c>
      <c r="W1893" s="8">
        <v>-9.1507937359809866</v>
      </c>
      <c r="X1893" s="8">
        <f t="shared" si="106"/>
        <v>0.8673943846225729</v>
      </c>
    </row>
    <row r="1894" spans="1:25" x14ac:dyDescent="0.35">
      <c r="A1894" s="6" t="s">
        <v>25</v>
      </c>
      <c r="B1894" s="6" t="s">
        <v>3076</v>
      </c>
      <c r="D1894" s="6" t="s">
        <v>3169</v>
      </c>
      <c r="E1894" s="6">
        <v>5</v>
      </c>
      <c r="F1894" s="6">
        <v>59</v>
      </c>
      <c r="G1894" s="6" t="s">
        <v>3277</v>
      </c>
      <c r="I1894" s="8">
        <v>87.751934000000006</v>
      </c>
      <c r="J1894" s="8">
        <v>104.545247</v>
      </c>
      <c r="K1894" s="6" t="s">
        <v>198</v>
      </c>
      <c r="L1894" s="9">
        <v>44065</v>
      </c>
      <c r="M1894" s="18">
        <v>0.47916666666666669</v>
      </c>
      <c r="N1894" s="6">
        <v>48</v>
      </c>
      <c r="O1894" s="6" t="s">
        <v>4397</v>
      </c>
      <c r="R1894" s="6">
        <v>2.5</v>
      </c>
      <c r="S1894" s="6">
        <v>0</v>
      </c>
      <c r="V1894" s="8">
        <v>-1.1973555152177813</v>
      </c>
      <c r="W1894" s="8">
        <v>-8.5664467545509346</v>
      </c>
      <c r="X1894" s="8">
        <f t="shared" si="106"/>
        <v>1.0123973671913156</v>
      </c>
      <c r="Y1894" s="6" t="s">
        <v>3276</v>
      </c>
    </row>
    <row r="1895" spans="1:25" x14ac:dyDescent="0.35">
      <c r="A1895" s="6" t="s">
        <v>25</v>
      </c>
      <c r="B1895" s="6" t="s">
        <v>3077</v>
      </c>
      <c r="D1895" s="6" t="s">
        <v>3169</v>
      </c>
      <c r="E1895" s="6">
        <v>5</v>
      </c>
      <c r="F1895" s="6">
        <v>59</v>
      </c>
      <c r="G1895" s="6" t="s">
        <v>3277</v>
      </c>
      <c r="I1895" s="8">
        <v>87.751934000000006</v>
      </c>
      <c r="J1895" s="8">
        <v>104.545247</v>
      </c>
      <c r="K1895" s="6" t="s">
        <v>198</v>
      </c>
      <c r="L1895" s="9">
        <v>44065</v>
      </c>
      <c r="M1895" s="18">
        <v>0.47916666666666669</v>
      </c>
      <c r="N1895" s="6">
        <v>48</v>
      </c>
      <c r="O1895" s="6" t="s">
        <v>4397</v>
      </c>
      <c r="R1895" s="6">
        <v>5</v>
      </c>
      <c r="S1895" s="6">
        <v>2.5</v>
      </c>
      <c r="V1895" s="8">
        <v>-3.6014146297454834</v>
      </c>
      <c r="W1895" s="8">
        <v>-28.832678947448731</v>
      </c>
      <c r="X1895" s="8">
        <f t="shared" si="106"/>
        <v>-2.1361909484863162E-2</v>
      </c>
      <c r="Y1895" s="6" t="s">
        <v>3211</v>
      </c>
    </row>
    <row r="1896" spans="1:25" x14ac:dyDescent="0.35">
      <c r="A1896" s="6" t="s">
        <v>25</v>
      </c>
      <c r="B1896" s="6" t="s">
        <v>3597</v>
      </c>
      <c r="D1896" s="6" t="s">
        <v>3899</v>
      </c>
      <c r="E1896" s="6">
        <v>5</v>
      </c>
      <c r="F1896" s="6">
        <v>59</v>
      </c>
      <c r="G1896" s="6" t="s">
        <v>4201</v>
      </c>
      <c r="I1896" s="8">
        <v>87.762466527777789</v>
      </c>
      <c r="J1896" s="8">
        <v>105.94114284722228</v>
      </c>
      <c r="K1896" s="6" t="s">
        <v>2610</v>
      </c>
      <c r="L1896" s="9">
        <v>44066</v>
      </c>
      <c r="N1896" s="6">
        <v>49</v>
      </c>
      <c r="O1896" s="6" t="s">
        <v>4394</v>
      </c>
      <c r="V1896" s="8">
        <v>-1.4079206162834168</v>
      </c>
      <c r="W1896" s="8">
        <v>-10.876482181167603</v>
      </c>
      <c r="X1896" s="27">
        <f t="shared" si="106"/>
        <v>0.38688274909973153</v>
      </c>
    </row>
    <row r="1897" spans="1:25" x14ac:dyDescent="0.35">
      <c r="A1897" s="6" t="s">
        <v>25</v>
      </c>
      <c r="B1897" s="6" t="s">
        <v>3598</v>
      </c>
      <c r="D1897" s="6" t="s">
        <v>3900</v>
      </c>
      <c r="E1897" s="6">
        <v>5</v>
      </c>
      <c r="F1897" s="6">
        <v>59</v>
      </c>
      <c r="G1897" s="6" t="s">
        <v>4202</v>
      </c>
      <c r="I1897" s="8">
        <v>87.777626944444464</v>
      </c>
      <c r="J1897" s="8">
        <v>105.62898840277781</v>
      </c>
      <c r="K1897" s="6" t="s">
        <v>2610</v>
      </c>
      <c r="L1897" s="9">
        <v>44067</v>
      </c>
      <c r="N1897" s="6">
        <v>49</v>
      </c>
      <c r="O1897" s="6" t="s">
        <v>4398</v>
      </c>
      <c r="V1897" s="8">
        <v>-1.4736600185775752</v>
      </c>
      <c r="W1897" s="8">
        <v>-10.505694244003296</v>
      </c>
      <c r="X1897" s="27">
        <f t="shared" si="106"/>
        <v>1.2835859046173059</v>
      </c>
    </row>
    <row r="1898" spans="1:25" x14ac:dyDescent="0.35">
      <c r="A1898" s="6" t="s">
        <v>25</v>
      </c>
      <c r="B1898" s="6" t="s">
        <v>3599</v>
      </c>
      <c r="D1898" s="6" t="s">
        <v>3901</v>
      </c>
      <c r="E1898" s="6">
        <v>5</v>
      </c>
      <c r="F1898" s="6">
        <v>59</v>
      </c>
      <c r="G1898" s="6" t="s">
        <v>4203</v>
      </c>
      <c r="I1898" s="8">
        <v>87.78256944444442</v>
      </c>
      <c r="J1898" s="8">
        <v>104.54531194444441</v>
      </c>
      <c r="K1898" s="6" t="s">
        <v>2610</v>
      </c>
      <c r="L1898" s="9">
        <v>44068</v>
      </c>
      <c r="N1898" s="6">
        <v>49</v>
      </c>
      <c r="O1898" s="6" t="s">
        <v>4431</v>
      </c>
      <c r="V1898" s="8">
        <v>-1.503870878829956</v>
      </c>
      <c r="W1898" s="8">
        <v>-11.448591281509401</v>
      </c>
      <c r="X1898" s="27">
        <f t="shared" si="106"/>
        <v>0.58237574913024659</v>
      </c>
    </row>
    <row r="1899" spans="1:25" x14ac:dyDescent="0.35">
      <c r="A1899" s="6" t="s">
        <v>25</v>
      </c>
      <c r="B1899" s="6" t="s">
        <v>3600</v>
      </c>
      <c r="D1899" s="6" t="s">
        <v>3902</v>
      </c>
      <c r="E1899" s="6">
        <v>5</v>
      </c>
      <c r="F1899" s="6">
        <v>59</v>
      </c>
      <c r="G1899" s="6" t="s">
        <v>4204</v>
      </c>
      <c r="I1899" s="8">
        <v>87.856689444444427</v>
      </c>
      <c r="J1899" s="8">
        <v>105.28007326388888</v>
      </c>
      <c r="K1899" s="6" t="s">
        <v>2610</v>
      </c>
      <c r="L1899" s="9">
        <v>44069</v>
      </c>
      <c r="N1899" s="6">
        <v>49</v>
      </c>
      <c r="O1899" s="6" t="s">
        <v>4432</v>
      </c>
      <c r="V1899" s="8">
        <v>-1.7291403728866583</v>
      </c>
      <c r="W1899" s="8">
        <v>-12.678593631362915</v>
      </c>
      <c r="X1899" s="27">
        <f t="shared" si="106"/>
        <v>1.1545293517303516</v>
      </c>
    </row>
    <row r="1900" spans="1:25" x14ac:dyDescent="0.35">
      <c r="A1900" s="6" t="s">
        <v>25</v>
      </c>
      <c r="B1900" s="6" t="s">
        <v>3601</v>
      </c>
      <c r="D1900" s="6" t="s">
        <v>3903</v>
      </c>
      <c r="E1900" s="6">
        <v>5</v>
      </c>
      <c r="F1900" s="6">
        <v>59</v>
      </c>
      <c r="G1900" s="6" t="s">
        <v>4205</v>
      </c>
      <c r="I1900" s="8">
        <v>87.945329000000001</v>
      </c>
      <c r="J1900" s="8">
        <v>107.49315799999999</v>
      </c>
      <c r="K1900" s="6" t="s">
        <v>2610</v>
      </c>
      <c r="L1900" s="9">
        <v>44070</v>
      </c>
      <c r="N1900" s="6">
        <v>49</v>
      </c>
      <c r="O1900" s="6" t="s">
        <v>4392</v>
      </c>
      <c r="V1900" s="8">
        <v>-2.0568938604736333</v>
      </c>
      <c r="W1900" s="8">
        <v>-15.797777406311036</v>
      </c>
      <c r="X1900" s="27">
        <f t="shared" si="106"/>
        <v>0.65737347747803021</v>
      </c>
    </row>
    <row r="1901" spans="1:25" x14ac:dyDescent="0.35">
      <c r="A1901" s="6" t="s">
        <v>25</v>
      </c>
      <c r="B1901" s="6" t="s">
        <v>3075</v>
      </c>
      <c r="D1901" s="6" t="s">
        <v>3168</v>
      </c>
      <c r="E1901" s="6">
        <v>5</v>
      </c>
      <c r="F1901" s="6">
        <v>59</v>
      </c>
      <c r="G1901" s="6" t="s">
        <v>3279</v>
      </c>
      <c r="I1901" s="8">
        <v>87.945329000000001</v>
      </c>
      <c r="J1901" s="8">
        <v>107.49315799999999</v>
      </c>
      <c r="K1901" s="6" t="s">
        <v>198</v>
      </c>
      <c r="L1901" s="9">
        <v>44070</v>
      </c>
      <c r="M1901" s="18">
        <v>0.35416666666666669</v>
      </c>
      <c r="N1901" s="6">
        <v>49</v>
      </c>
      <c r="O1901" s="6" t="s">
        <v>4392</v>
      </c>
      <c r="R1901" s="6">
        <v>5</v>
      </c>
      <c r="S1901" s="6">
        <v>2</v>
      </c>
      <c r="V1901" s="8">
        <v>-3.1145740405082707</v>
      </c>
      <c r="W1901" s="8">
        <v>-24.089609257316589</v>
      </c>
      <c r="X1901" s="8">
        <f t="shared" si="106"/>
        <v>0.82698306674957678</v>
      </c>
      <c r="Y1901" s="6" t="s">
        <v>3278</v>
      </c>
    </row>
    <row r="1902" spans="1:25" x14ac:dyDescent="0.35">
      <c r="A1902" s="6" t="s">
        <v>25</v>
      </c>
      <c r="B1902" s="6" t="s">
        <v>3602</v>
      </c>
      <c r="D1902" s="6" t="s">
        <v>3904</v>
      </c>
      <c r="E1902" s="6">
        <v>5</v>
      </c>
      <c r="F1902" s="6">
        <v>59</v>
      </c>
      <c r="G1902" s="6" t="s">
        <v>4206</v>
      </c>
      <c r="I1902" s="8">
        <v>88.042061250000003</v>
      </c>
      <c r="J1902" s="8">
        <v>108.877606180556</v>
      </c>
      <c r="K1902" s="6" t="s">
        <v>2610</v>
      </c>
      <c r="L1902" s="9">
        <v>44071</v>
      </c>
      <c r="N1902" s="6">
        <v>49</v>
      </c>
      <c r="O1902" s="6" t="s">
        <v>4412</v>
      </c>
      <c r="V1902" s="8">
        <v>-2.1195260939025875</v>
      </c>
      <c r="W1902" s="8">
        <v>-16.116536882400514</v>
      </c>
      <c r="X1902" s="27">
        <f t="shared" si="106"/>
        <v>0.83967186882018652</v>
      </c>
    </row>
    <row r="1903" spans="1:25" x14ac:dyDescent="0.35">
      <c r="A1903" s="6" t="s">
        <v>25</v>
      </c>
      <c r="B1903" s="6" t="s">
        <v>2283</v>
      </c>
      <c r="D1903" s="6" t="s">
        <v>2284</v>
      </c>
      <c r="E1903" s="6">
        <v>5</v>
      </c>
      <c r="F1903" s="6">
        <v>59</v>
      </c>
      <c r="G1903" s="6" t="s">
        <v>2285</v>
      </c>
      <c r="I1903" s="8">
        <v>88.042061249999989</v>
      </c>
      <c r="J1903" s="8">
        <v>108.87760618055556</v>
      </c>
      <c r="K1903" s="6" t="s">
        <v>4450</v>
      </c>
      <c r="L1903" s="9">
        <v>44071</v>
      </c>
      <c r="N1903" s="6">
        <v>49</v>
      </c>
      <c r="O1903" s="6" t="s">
        <v>4392</v>
      </c>
      <c r="T1903" s="10"/>
      <c r="U1903" s="6">
        <v>0</v>
      </c>
      <c r="V1903" s="8">
        <v>-4.9010649195909508</v>
      </c>
      <c r="W1903" s="8">
        <v>-39.021008266448973</v>
      </c>
      <c r="X1903" s="8">
        <f t="shared" si="106"/>
        <v>0.18751109027863322</v>
      </c>
    </row>
    <row r="1904" spans="1:25" x14ac:dyDescent="0.35">
      <c r="A1904" s="6" t="s">
        <v>25</v>
      </c>
      <c r="B1904" s="6" t="s">
        <v>2286</v>
      </c>
      <c r="D1904" s="6" t="s">
        <v>2287</v>
      </c>
      <c r="E1904" s="6">
        <v>5</v>
      </c>
      <c r="F1904" s="6">
        <v>59</v>
      </c>
      <c r="G1904" s="6" t="s">
        <v>2288</v>
      </c>
      <c r="I1904" s="8">
        <v>88.042061249999989</v>
      </c>
      <c r="J1904" s="8">
        <v>108.87760618055556</v>
      </c>
      <c r="K1904" s="6" t="s">
        <v>4450</v>
      </c>
      <c r="L1904" s="9">
        <v>44071</v>
      </c>
      <c r="N1904" s="6">
        <v>49</v>
      </c>
      <c r="O1904" s="6" t="s">
        <v>4392</v>
      </c>
      <c r="T1904" s="10"/>
      <c r="U1904" s="6">
        <v>0</v>
      </c>
      <c r="V1904" s="8">
        <v>-5.7462437355518343</v>
      </c>
      <c r="W1904" s="8">
        <v>-42.874226033020015</v>
      </c>
      <c r="X1904" s="8">
        <f t="shared" si="106"/>
        <v>3.0957238513946592</v>
      </c>
    </row>
    <row r="1905" spans="1:25" s="12" customFormat="1" x14ac:dyDescent="0.35">
      <c r="A1905" s="6" t="s">
        <v>25</v>
      </c>
      <c r="B1905" s="6" t="s">
        <v>3603</v>
      </c>
      <c r="C1905" s="6"/>
      <c r="D1905" s="6" t="s">
        <v>3905</v>
      </c>
      <c r="E1905" s="6">
        <v>5</v>
      </c>
      <c r="F1905" s="6">
        <v>59</v>
      </c>
      <c r="G1905" s="6" t="s">
        <v>4207</v>
      </c>
      <c r="H1905" s="6"/>
      <c r="I1905" s="8">
        <v>88.122116736111153</v>
      </c>
      <c r="J1905" s="8">
        <v>109.64438479166667</v>
      </c>
      <c r="K1905" s="6" t="s">
        <v>2610</v>
      </c>
      <c r="L1905" s="9">
        <v>44072</v>
      </c>
      <c r="M1905" s="6"/>
      <c r="N1905" s="6">
        <v>49</v>
      </c>
      <c r="O1905" s="6" t="s">
        <v>4412</v>
      </c>
      <c r="P1905" s="6"/>
      <c r="Q1905" s="6"/>
      <c r="R1905" s="6"/>
      <c r="S1905" s="6"/>
      <c r="T1905" s="6"/>
      <c r="U1905" s="6"/>
      <c r="V1905" s="8">
        <v>-2.4234617285156257</v>
      </c>
      <c r="W1905" s="8">
        <v>-18.197777404785157</v>
      </c>
      <c r="X1905" s="27">
        <f t="shared" si="106"/>
        <v>1.1899164233398487</v>
      </c>
      <c r="Y1905" s="6"/>
    </row>
    <row r="1906" spans="1:25" s="12" customFormat="1" x14ac:dyDescent="0.35">
      <c r="A1906" s="6" t="s">
        <v>25</v>
      </c>
      <c r="B1906" s="6" t="s">
        <v>2289</v>
      </c>
      <c r="C1906" s="6"/>
      <c r="D1906" s="6" t="s">
        <v>2290</v>
      </c>
      <c r="E1906" s="6">
        <v>5</v>
      </c>
      <c r="F1906" s="6">
        <v>59</v>
      </c>
      <c r="G1906" s="6" t="s">
        <v>2291</v>
      </c>
      <c r="H1906" s="6"/>
      <c r="I1906" s="8">
        <v>88.122116736111153</v>
      </c>
      <c r="J1906" s="8">
        <v>109.64438479166667</v>
      </c>
      <c r="K1906" s="6" t="s">
        <v>390</v>
      </c>
      <c r="L1906" s="9">
        <v>44072</v>
      </c>
      <c r="M1906" s="6"/>
      <c r="N1906" s="6">
        <v>49</v>
      </c>
      <c r="O1906" s="6" t="s">
        <v>4412</v>
      </c>
      <c r="P1906" s="6"/>
      <c r="Q1906" s="6"/>
      <c r="R1906" s="6"/>
      <c r="S1906" s="6"/>
      <c r="T1906" s="10"/>
      <c r="U1906" s="6">
        <v>2.5</v>
      </c>
      <c r="V1906" s="8">
        <v>-2.9217555280327798</v>
      </c>
      <c r="W1906" s="8">
        <v>-21.894009266853331</v>
      </c>
      <c r="X1906" s="8">
        <f t="shared" si="106"/>
        <v>1.4800349574089076</v>
      </c>
      <c r="Y1906" s="6"/>
    </row>
    <row r="1907" spans="1:25" s="12" customFormat="1" x14ac:dyDescent="0.35">
      <c r="A1907" s="6" t="s">
        <v>25</v>
      </c>
      <c r="B1907" s="6" t="s">
        <v>2292</v>
      </c>
      <c r="C1907" s="6"/>
      <c r="D1907" s="6" t="s">
        <v>2293</v>
      </c>
      <c r="E1907" s="6">
        <v>5</v>
      </c>
      <c r="F1907" s="6">
        <v>59</v>
      </c>
      <c r="G1907" s="6" t="s">
        <v>2291</v>
      </c>
      <c r="H1907" s="6"/>
      <c r="I1907" s="8">
        <v>88.122116736111153</v>
      </c>
      <c r="J1907" s="8">
        <v>109.64438479166667</v>
      </c>
      <c r="K1907" s="6" t="s">
        <v>390</v>
      </c>
      <c r="L1907" s="9">
        <v>44072</v>
      </c>
      <c r="M1907" s="6"/>
      <c r="N1907" s="6">
        <v>49</v>
      </c>
      <c r="O1907" s="6" t="s">
        <v>4412</v>
      </c>
      <c r="P1907" s="6"/>
      <c r="Q1907" s="6"/>
      <c r="R1907" s="6"/>
      <c r="S1907" s="6"/>
      <c r="T1907" s="10"/>
      <c r="U1907" s="6">
        <v>15.2</v>
      </c>
      <c r="V1907" s="8">
        <v>-2.2163720726668839</v>
      </c>
      <c r="W1907" s="8">
        <v>-17.435921283721925</v>
      </c>
      <c r="X1907" s="8">
        <f t="shared" si="106"/>
        <v>0.29505529761314619</v>
      </c>
      <c r="Y1907" s="6"/>
    </row>
    <row r="1908" spans="1:25" s="12" customFormat="1" x14ac:dyDescent="0.35">
      <c r="A1908" s="6" t="s">
        <v>25</v>
      </c>
      <c r="B1908" s="6" t="s">
        <v>2294</v>
      </c>
      <c r="C1908" s="6"/>
      <c r="D1908" s="6" t="s">
        <v>2295</v>
      </c>
      <c r="E1908" s="6">
        <v>5</v>
      </c>
      <c r="F1908" s="6">
        <v>59</v>
      </c>
      <c r="G1908" s="6" t="s">
        <v>2291</v>
      </c>
      <c r="H1908" s="6"/>
      <c r="I1908" s="8">
        <v>88.122116736111195</v>
      </c>
      <c r="J1908" s="8">
        <v>109.64438479166699</v>
      </c>
      <c r="K1908" s="6" t="s">
        <v>390</v>
      </c>
      <c r="L1908" s="9">
        <v>44072</v>
      </c>
      <c r="M1908" s="6"/>
      <c r="N1908" s="6">
        <v>49</v>
      </c>
      <c r="O1908" s="6" t="s">
        <v>4412</v>
      </c>
      <c r="P1908" s="6"/>
      <c r="Q1908" s="6"/>
      <c r="R1908" s="6"/>
      <c r="S1908" s="6"/>
      <c r="T1908" s="10"/>
      <c r="U1908" s="6">
        <v>29.6</v>
      </c>
      <c r="V1908" s="8">
        <v>-2.5287579846382142</v>
      </c>
      <c r="W1908" s="8">
        <v>-18.315175781249998</v>
      </c>
      <c r="X1908" s="8">
        <f t="shared" si="106"/>
        <v>1.9148880958557157</v>
      </c>
      <c r="Y1908" s="6"/>
    </row>
    <row r="1909" spans="1:25" x14ac:dyDescent="0.35">
      <c r="A1909" s="6" t="s">
        <v>25</v>
      </c>
      <c r="B1909" s="6" t="s">
        <v>2296</v>
      </c>
      <c r="D1909" s="6" t="s">
        <v>2297</v>
      </c>
      <c r="E1909" s="6">
        <v>5</v>
      </c>
      <c r="F1909" s="6">
        <v>59</v>
      </c>
      <c r="G1909" s="6" t="s">
        <v>2298</v>
      </c>
      <c r="I1909" s="8">
        <v>88.122116736111195</v>
      </c>
      <c r="J1909" s="8">
        <v>109.64438479166699</v>
      </c>
      <c r="K1909" s="6" t="s">
        <v>390</v>
      </c>
      <c r="L1909" s="9">
        <v>44072</v>
      </c>
      <c r="N1909" s="6">
        <v>49</v>
      </c>
      <c r="O1909" s="6" t="s">
        <v>4412</v>
      </c>
      <c r="T1909" s="10"/>
      <c r="U1909" s="6">
        <v>3.2</v>
      </c>
      <c r="V1909" s="8">
        <v>-2.8914624445676811</v>
      </c>
      <c r="W1909" s="8">
        <v>-20.33855049133301</v>
      </c>
      <c r="X1909" s="8">
        <f t="shared" si="106"/>
        <v>2.7931490652084392</v>
      </c>
    </row>
    <row r="1910" spans="1:25" x14ac:dyDescent="0.35">
      <c r="A1910" s="6" t="s">
        <v>25</v>
      </c>
      <c r="B1910" s="6" t="s">
        <v>2299</v>
      </c>
      <c r="D1910" s="6" t="s">
        <v>2300</v>
      </c>
      <c r="E1910" s="6">
        <v>5</v>
      </c>
      <c r="F1910" s="6">
        <v>59</v>
      </c>
      <c r="G1910" s="6" t="s">
        <v>2298</v>
      </c>
      <c r="I1910" s="8">
        <v>88.122116736111195</v>
      </c>
      <c r="J1910" s="8">
        <v>109.64438479166699</v>
      </c>
      <c r="K1910" s="6" t="s">
        <v>390</v>
      </c>
      <c r="L1910" s="9">
        <v>44072</v>
      </c>
      <c r="N1910" s="6">
        <v>49</v>
      </c>
      <c r="O1910" s="6" t="s">
        <v>4412</v>
      </c>
      <c r="T1910" s="10"/>
      <c r="V1910" s="8">
        <v>-2.6089176903009417</v>
      </c>
      <c r="W1910" s="8">
        <v>-17.914257854461667</v>
      </c>
      <c r="X1910" s="8">
        <f t="shared" si="106"/>
        <v>2.9570836679458665</v>
      </c>
    </row>
    <row r="1911" spans="1:25" x14ac:dyDescent="0.35">
      <c r="A1911" s="6" t="s">
        <v>25</v>
      </c>
      <c r="B1911" s="6" t="s">
        <v>2301</v>
      </c>
      <c r="D1911" s="6" t="s">
        <v>2302</v>
      </c>
      <c r="E1911" s="6">
        <v>5</v>
      </c>
      <c r="F1911" s="6">
        <v>59</v>
      </c>
      <c r="G1911" s="6" t="s">
        <v>2298</v>
      </c>
      <c r="I1911" s="8">
        <v>88.122116736111195</v>
      </c>
      <c r="J1911" s="8">
        <v>109.64438479166699</v>
      </c>
      <c r="K1911" s="6" t="s">
        <v>390</v>
      </c>
      <c r="L1911" s="9">
        <v>44072</v>
      </c>
      <c r="N1911" s="6">
        <v>49</v>
      </c>
      <c r="O1911" s="6" t="s">
        <v>4412</v>
      </c>
      <c r="T1911" s="10"/>
      <c r="U1911" s="6">
        <v>29.8</v>
      </c>
      <c r="V1911" s="8">
        <v>-2.5793154176712041</v>
      </c>
      <c r="W1911" s="8">
        <v>-18.733150909423827</v>
      </c>
      <c r="X1911" s="8">
        <f t="shared" si="106"/>
        <v>1.9013724319458056</v>
      </c>
    </row>
    <row r="1912" spans="1:25" x14ac:dyDescent="0.35">
      <c r="A1912" s="6" t="s">
        <v>25</v>
      </c>
      <c r="B1912" s="6" t="s">
        <v>2303</v>
      </c>
      <c r="D1912" s="6" t="s">
        <v>2304</v>
      </c>
      <c r="E1912" s="6">
        <v>5</v>
      </c>
      <c r="F1912" s="6">
        <v>59</v>
      </c>
      <c r="G1912" s="6" t="s">
        <v>2305</v>
      </c>
      <c r="I1912" s="8">
        <v>88.122116736111195</v>
      </c>
      <c r="J1912" s="8">
        <v>109.64438479166699</v>
      </c>
      <c r="K1912" s="6" t="s">
        <v>390</v>
      </c>
      <c r="L1912" s="9">
        <v>44072</v>
      </c>
      <c r="N1912" s="6">
        <v>49</v>
      </c>
      <c r="O1912" s="6" t="s">
        <v>4412</v>
      </c>
      <c r="T1912" s="10"/>
      <c r="U1912" s="6">
        <v>0</v>
      </c>
      <c r="V1912" s="8">
        <v>-2.4621888425946237</v>
      </c>
      <c r="W1912" s="8">
        <v>-18.592757833099366</v>
      </c>
      <c r="X1912" s="8">
        <f t="shared" si="106"/>
        <v>1.1047529076576232</v>
      </c>
    </row>
    <row r="1913" spans="1:25" x14ac:dyDescent="0.35">
      <c r="A1913" s="6" t="s">
        <v>25</v>
      </c>
      <c r="B1913" s="6" t="s">
        <v>2306</v>
      </c>
      <c r="D1913" s="6" t="s">
        <v>2307</v>
      </c>
      <c r="E1913" s="6">
        <v>5</v>
      </c>
      <c r="F1913" s="6">
        <v>59</v>
      </c>
      <c r="G1913" s="6" t="s">
        <v>2308</v>
      </c>
      <c r="I1913" s="8">
        <v>88.122116736111195</v>
      </c>
      <c r="J1913" s="8">
        <v>109.64438479166699</v>
      </c>
      <c r="K1913" s="6" t="s">
        <v>390</v>
      </c>
      <c r="L1913" s="9">
        <v>44072</v>
      </c>
      <c r="N1913" s="6">
        <v>49</v>
      </c>
      <c r="O1913" s="6" t="s">
        <v>4412</v>
      </c>
      <c r="T1913" s="10"/>
      <c r="U1913" s="6">
        <v>0.3</v>
      </c>
      <c r="V1913" s="8">
        <v>-3.6953062066078188</v>
      </c>
      <c r="W1913" s="8">
        <v>-28.256653358459474</v>
      </c>
      <c r="X1913" s="8">
        <f t="shared" si="106"/>
        <v>1.305796294403077</v>
      </c>
    </row>
    <row r="1914" spans="1:25" x14ac:dyDescent="0.35">
      <c r="A1914" s="6" t="s">
        <v>25</v>
      </c>
      <c r="B1914" s="6" t="s">
        <v>3604</v>
      </c>
      <c r="D1914" s="6" t="s">
        <v>3906</v>
      </c>
      <c r="E1914" s="6">
        <v>5</v>
      </c>
      <c r="F1914" s="6">
        <v>59</v>
      </c>
      <c r="G1914" s="6" t="s">
        <v>4208</v>
      </c>
      <c r="I1914" s="8">
        <v>88.230938680555539</v>
      </c>
      <c r="J1914" s="8">
        <v>112.23333048611109</v>
      </c>
      <c r="K1914" s="6" t="s">
        <v>2610</v>
      </c>
      <c r="L1914" s="9">
        <v>44073</v>
      </c>
      <c r="N1914" s="6">
        <v>50</v>
      </c>
      <c r="O1914" s="6" t="s">
        <v>4367</v>
      </c>
      <c r="V1914" s="8">
        <v>-2.7641434378051764</v>
      </c>
      <c r="W1914" s="8">
        <v>-20.60479634475708</v>
      </c>
      <c r="X1914" s="27">
        <f t="shared" si="106"/>
        <v>1.5083511576843307</v>
      </c>
    </row>
    <row r="1915" spans="1:25" s="17" customFormat="1" x14ac:dyDescent="0.35">
      <c r="A1915" s="6" t="s">
        <v>25</v>
      </c>
      <c r="B1915" s="6" t="s">
        <v>2309</v>
      </c>
      <c r="C1915" s="6"/>
      <c r="D1915" s="6" t="s">
        <v>2310</v>
      </c>
      <c r="E1915" s="6">
        <v>5</v>
      </c>
      <c r="F1915" s="6">
        <v>59</v>
      </c>
      <c r="G1915" s="6"/>
      <c r="H1915" s="6"/>
      <c r="I1915" s="8">
        <v>88.299658402777794</v>
      </c>
      <c r="J1915" s="8">
        <v>114.11509069444401</v>
      </c>
      <c r="K1915" s="6" t="s">
        <v>29</v>
      </c>
      <c r="L1915" s="9">
        <v>44074</v>
      </c>
      <c r="M1915" s="6"/>
      <c r="N1915" s="6">
        <v>50</v>
      </c>
      <c r="O1915" s="6" t="s">
        <v>4396</v>
      </c>
      <c r="P1915" s="6"/>
      <c r="Q1915" s="6"/>
      <c r="R1915" s="6">
        <v>0</v>
      </c>
      <c r="S1915" s="6">
        <v>10</v>
      </c>
      <c r="T1915" s="10">
        <f t="shared" ref="T1915:T1930" si="107">AVERAGE(R1915:S1915)</f>
        <v>5</v>
      </c>
      <c r="U1915" s="15">
        <v>2.6</v>
      </c>
      <c r="V1915" s="8">
        <v>0.68363178920745815</v>
      </c>
      <c r="W1915" s="8">
        <v>5.387434023475647</v>
      </c>
      <c r="X1915" s="8">
        <f t="shared" si="106"/>
        <v>-8.1620290184018174E-2</v>
      </c>
      <c r="Y1915" s="6" t="s">
        <v>1760</v>
      </c>
    </row>
    <row r="1916" spans="1:25" x14ac:dyDescent="0.35">
      <c r="A1916" s="6" t="s">
        <v>25</v>
      </c>
      <c r="B1916" s="6" t="s">
        <v>2311</v>
      </c>
      <c r="D1916" s="6" t="s">
        <v>2312</v>
      </c>
      <c r="E1916" s="6">
        <v>5</v>
      </c>
      <c r="F1916" s="6">
        <v>59</v>
      </c>
      <c r="I1916" s="8">
        <v>88.299658402777794</v>
      </c>
      <c r="J1916" s="8">
        <v>114.11509069444401</v>
      </c>
      <c r="K1916" s="6" t="s">
        <v>29</v>
      </c>
      <c r="L1916" s="9">
        <v>44074</v>
      </c>
      <c r="N1916" s="6">
        <v>50</v>
      </c>
      <c r="O1916" s="6" t="s">
        <v>4396</v>
      </c>
      <c r="R1916" s="6">
        <v>10</v>
      </c>
      <c r="S1916" s="6">
        <v>20</v>
      </c>
      <c r="T1916" s="10">
        <f t="shared" si="107"/>
        <v>15</v>
      </c>
      <c r="U1916" s="15">
        <v>2.6</v>
      </c>
      <c r="V1916" s="8">
        <v>0.71434338593483027</v>
      </c>
      <c r="W1916" s="8">
        <v>5.8991903224945066</v>
      </c>
      <c r="X1916" s="8">
        <f t="shared" si="106"/>
        <v>0.18444323501586446</v>
      </c>
      <c r="Y1916" s="6" t="s">
        <v>1760</v>
      </c>
    </row>
    <row r="1917" spans="1:25" x14ac:dyDescent="0.35">
      <c r="A1917" s="6" t="s">
        <v>25</v>
      </c>
      <c r="B1917" s="6" t="s">
        <v>2313</v>
      </c>
      <c r="D1917" s="6" t="s">
        <v>2314</v>
      </c>
      <c r="E1917" s="6">
        <v>5</v>
      </c>
      <c r="F1917" s="6">
        <v>59</v>
      </c>
      <c r="I1917" s="8">
        <v>88.299658402777794</v>
      </c>
      <c r="J1917" s="8">
        <v>114.11509069444401</v>
      </c>
      <c r="K1917" s="6" t="s">
        <v>29</v>
      </c>
      <c r="L1917" s="9">
        <v>44074</v>
      </c>
      <c r="N1917" s="6">
        <v>50</v>
      </c>
      <c r="O1917" s="6" t="s">
        <v>4396</v>
      </c>
      <c r="R1917" s="6">
        <v>20</v>
      </c>
      <c r="S1917" s="6">
        <v>30</v>
      </c>
      <c r="T1917" s="10">
        <f t="shared" si="107"/>
        <v>25</v>
      </c>
      <c r="U1917" s="15">
        <v>2.7</v>
      </c>
      <c r="V1917" s="8">
        <v>0.75408320224285108</v>
      </c>
      <c r="W1917" s="8">
        <v>5.6370424848556517</v>
      </c>
      <c r="X1917" s="8">
        <f t="shared" si="106"/>
        <v>-0.39562313308715691</v>
      </c>
      <c r="Y1917" s="6" t="s">
        <v>1760</v>
      </c>
    </row>
    <row r="1918" spans="1:25" x14ac:dyDescent="0.35">
      <c r="A1918" s="6" t="s">
        <v>25</v>
      </c>
      <c r="B1918" s="6" t="s">
        <v>2315</v>
      </c>
      <c r="D1918" s="6" t="s">
        <v>2316</v>
      </c>
      <c r="E1918" s="6">
        <v>5</v>
      </c>
      <c r="F1918" s="6">
        <v>59</v>
      </c>
      <c r="I1918" s="8">
        <v>88.299658402777794</v>
      </c>
      <c r="J1918" s="8">
        <v>114.11509069444401</v>
      </c>
      <c r="K1918" s="6" t="s">
        <v>29</v>
      </c>
      <c r="L1918" s="9">
        <v>44074</v>
      </c>
      <c r="N1918" s="6">
        <v>50</v>
      </c>
      <c r="O1918" s="6" t="s">
        <v>4396</v>
      </c>
      <c r="R1918" s="6">
        <v>30</v>
      </c>
      <c r="S1918" s="6">
        <v>40</v>
      </c>
      <c r="T1918" s="10">
        <f t="shared" si="107"/>
        <v>35</v>
      </c>
      <c r="U1918" s="15">
        <v>2.8</v>
      </c>
      <c r="V1918" s="8">
        <v>0.58474015033245075</v>
      </c>
      <c r="W1918" s="8">
        <v>4.0074859443664552</v>
      </c>
      <c r="X1918" s="8">
        <f t="shared" si="106"/>
        <v>-0.67043525829315076</v>
      </c>
      <c r="Y1918" s="6" t="s">
        <v>1760</v>
      </c>
    </row>
    <row r="1919" spans="1:25" x14ac:dyDescent="0.35">
      <c r="A1919" s="6" t="s">
        <v>25</v>
      </c>
      <c r="B1919" s="6" t="s">
        <v>2317</v>
      </c>
      <c r="D1919" s="6" t="s">
        <v>2318</v>
      </c>
      <c r="E1919" s="6">
        <v>5</v>
      </c>
      <c r="F1919" s="6">
        <v>59</v>
      </c>
      <c r="I1919" s="8">
        <v>88.299658402777794</v>
      </c>
      <c r="J1919" s="8">
        <v>114.11509069444401</v>
      </c>
      <c r="K1919" s="6" t="s">
        <v>29</v>
      </c>
      <c r="L1919" s="9">
        <v>44074</v>
      </c>
      <c r="N1919" s="6">
        <v>50</v>
      </c>
      <c r="O1919" s="6" t="s">
        <v>4396</v>
      </c>
      <c r="R1919" s="6">
        <v>40</v>
      </c>
      <c r="S1919" s="6">
        <v>50</v>
      </c>
      <c r="T1919" s="10">
        <f t="shared" si="107"/>
        <v>45</v>
      </c>
      <c r="U1919" s="15">
        <v>2.9</v>
      </c>
      <c r="V1919" s="8">
        <v>0.65801348729133657</v>
      </c>
      <c r="W1919" s="8">
        <v>5.3724083776473996</v>
      </c>
      <c r="X1919" s="8">
        <f t="shared" si="106"/>
        <v>0.10830047931670705</v>
      </c>
      <c r="Y1919" s="6" t="s">
        <v>1760</v>
      </c>
    </row>
    <row r="1920" spans="1:25" x14ac:dyDescent="0.35">
      <c r="A1920" s="6" t="s">
        <v>25</v>
      </c>
      <c r="B1920" s="6" t="s">
        <v>2319</v>
      </c>
      <c r="D1920" s="6" t="s">
        <v>2320</v>
      </c>
      <c r="E1920" s="6">
        <v>5</v>
      </c>
      <c r="F1920" s="6">
        <v>59</v>
      </c>
      <c r="I1920" s="8">
        <v>88.299658402777794</v>
      </c>
      <c r="J1920" s="8">
        <v>114.11509069444401</v>
      </c>
      <c r="K1920" s="6" t="s">
        <v>29</v>
      </c>
      <c r="L1920" s="9">
        <v>44074</v>
      </c>
      <c r="N1920" s="6">
        <v>50</v>
      </c>
      <c r="O1920" s="6" t="s">
        <v>4396</v>
      </c>
      <c r="R1920" s="6">
        <v>50</v>
      </c>
      <c r="S1920" s="6">
        <v>60</v>
      </c>
      <c r="T1920" s="10">
        <f t="shared" si="107"/>
        <v>55</v>
      </c>
      <c r="U1920" s="15">
        <v>2.2000000000000002</v>
      </c>
      <c r="V1920" s="8">
        <v>0.80240600223541259</v>
      </c>
      <c r="W1920" s="8">
        <v>7.065324937820435</v>
      </c>
      <c r="X1920" s="8">
        <f t="shared" si="106"/>
        <v>0.64607691993713434</v>
      </c>
      <c r="Y1920" s="6" t="s">
        <v>1760</v>
      </c>
    </row>
    <row r="1921" spans="1:25" x14ac:dyDescent="0.35">
      <c r="A1921" s="6" t="s">
        <v>25</v>
      </c>
      <c r="B1921" s="6" t="s">
        <v>2321</v>
      </c>
      <c r="D1921" s="6" t="s">
        <v>2322</v>
      </c>
      <c r="E1921" s="6">
        <v>5</v>
      </c>
      <c r="F1921" s="6">
        <v>59</v>
      </c>
      <c r="I1921" s="8">
        <v>88.299658402777794</v>
      </c>
      <c r="J1921" s="8">
        <v>114.11509069444401</v>
      </c>
      <c r="K1921" s="6" t="s">
        <v>29</v>
      </c>
      <c r="L1921" s="9">
        <v>44074</v>
      </c>
      <c r="N1921" s="6">
        <v>50</v>
      </c>
      <c r="O1921" s="6" t="s">
        <v>4396</v>
      </c>
      <c r="R1921" s="6">
        <v>60</v>
      </c>
      <c r="S1921" s="6">
        <v>70</v>
      </c>
      <c r="T1921" s="10">
        <f t="shared" si="107"/>
        <v>65</v>
      </c>
      <c r="U1921" s="15">
        <v>1.5</v>
      </c>
      <c r="V1921" s="8">
        <v>0.68166448326110829</v>
      </c>
      <c r="W1921" s="8">
        <v>5.9603549451828011</v>
      </c>
      <c r="X1921" s="8">
        <f t="shared" si="106"/>
        <v>0.50703907909393475</v>
      </c>
      <c r="Y1921" s="6" t="s">
        <v>1760</v>
      </c>
    </row>
    <row r="1922" spans="1:25" x14ac:dyDescent="0.35">
      <c r="A1922" s="6" t="s">
        <v>25</v>
      </c>
      <c r="B1922" s="6" t="s">
        <v>2323</v>
      </c>
      <c r="D1922" s="6" t="s">
        <v>2324</v>
      </c>
      <c r="E1922" s="6">
        <v>5</v>
      </c>
      <c r="F1922" s="6">
        <v>59</v>
      </c>
      <c r="I1922" s="8">
        <v>88.299658402777794</v>
      </c>
      <c r="J1922" s="8">
        <v>114.11509069444401</v>
      </c>
      <c r="K1922" s="6" t="s">
        <v>29</v>
      </c>
      <c r="L1922" s="9">
        <v>44074</v>
      </c>
      <c r="N1922" s="6">
        <v>50</v>
      </c>
      <c r="O1922" s="6" t="s">
        <v>4396</v>
      </c>
      <c r="R1922" s="6">
        <v>70</v>
      </c>
      <c r="S1922" s="6">
        <v>80</v>
      </c>
      <c r="T1922" s="10">
        <f t="shared" si="107"/>
        <v>75</v>
      </c>
      <c r="U1922" s="15">
        <v>2</v>
      </c>
      <c r="V1922" s="8">
        <v>0.84955186362266522</v>
      </c>
      <c r="W1922" s="8">
        <v>7.2893956918716425</v>
      </c>
      <c r="X1922" s="8">
        <f t="shared" si="106"/>
        <v>0.49298078289032077</v>
      </c>
      <c r="Y1922" s="6" t="s">
        <v>1760</v>
      </c>
    </row>
    <row r="1923" spans="1:25" x14ac:dyDescent="0.35">
      <c r="A1923" s="6" t="s">
        <v>25</v>
      </c>
      <c r="B1923" s="6" t="s">
        <v>2325</v>
      </c>
      <c r="D1923" s="6" t="s">
        <v>2326</v>
      </c>
      <c r="E1923" s="6">
        <v>5</v>
      </c>
      <c r="F1923" s="6">
        <v>59</v>
      </c>
      <c r="I1923" s="8">
        <v>88.299658402777794</v>
      </c>
      <c r="J1923" s="8">
        <v>114.11509069444401</v>
      </c>
      <c r="K1923" s="6" t="s">
        <v>29</v>
      </c>
      <c r="L1923" s="9">
        <v>44074</v>
      </c>
      <c r="N1923" s="6">
        <v>50</v>
      </c>
      <c r="O1923" s="6" t="s">
        <v>4396</v>
      </c>
      <c r="R1923" s="6">
        <v>80</v>
      </c>
      <c r="S1923" s="6">
        <v>88</v>
      </c>
      <c r="T1923" s="10">
        <f t="shared" si="107"/>
        <v>84</v>
      </c>
      <c r="U1923" s="15">
        <v>2.6</v>
      </c>
      <c r="V1923" s="8">
        <v>0.82747396225929226</v>
      </c>
      <c r="W1923" s="8">
        <v>7.5930643243789682</v>
      </c>
      <c r="X1923" s="8">
        <f t="shared" si="106"/>
        <v>0.97327262630463007</v>
      </c>
      <c r="Y1923" s="6" t="s">
        <v>1760</v>
      </c>
    </row>
    <row r="1924" spans="1:25" x14ac:dyDescent="0.35">
      <c r="A1924" s="6" t="s">
        <v>25</v>
      </c>
      <c r="B1924" s="6" t="s">
        <v>2327</v>
      </c>
      <c r="D1924" s="6" t="s">
        <v>2328</v>
      </c>
      <c r="E1924" s="6">
        <v>5</v>
      </c>
      <c r="F1924" s="6">
        <v>59</v>
      </c>
      <c r="I1924" s="8">
        <v>88.299658402777794</v>
      </c>
      <c r="J1924" s="8">
        <v>114.11509069444401</v>
      </c>
      <c r="K1924" s="6" t="s">
        <v>29</v>
      </c>
      <c r="L1924" s="9">
        <v>44074</v>
      </c>
      <c r="N1924" s="6">
        <v>50</v>
      </c>
      <c r="O1924" s="6" t="s">
        <v>4396</v>
      </c>
      <c r="R1924" s="6">
        <v>88</v>
      </c>
      <c r="S1924" s="6">
        <v>100</v>
      </c>
      <c r="T1924" s="10">
        <f t="shared" si="107"/>
        <v>94</v>
      </c>
      <c r="U1924" s="15">
        <v>0.5</v>
      </c>
      <c r="V1924" s="8">
        <v>-1.6281353357315067</v>
      </c>
      <c r="W1924" s="8">
        <v>-12.33398307609558</v>
      </c>
      <c r="X1924" s="8">
        <f t="shared" si="106"/>
        <v>0.69109960975647411</v>
      </c>
      <c r="Y1924" s="6" t="s">
        <v>1760</v>
      </c>
    </row>
    <row r="1925" spans="1:25" x14ac:dyDescent="0.35">
      <c r="A1925" s="6" t="s">
        <v>25</v>
      </c>
      <c r="B1925" s="6" t="s">
        <v>2329</v>
      </c>
      <c r="D1925" s="6" t="s">
        <v>2330</v>
      </c>
      <c r="E1925" s="6">
        <v>5</v>
      </c>
      <c r="F1925" s="6">
        <v>59</v>
      </c>
      <c r="I1925" s="8">
        <v>88.299658402777794</v>
      </c>
      <c r="J1925" s="8">
        <v>114.11509069444401</v>
      </c>
      <c r="K1925" s="6" t="s">
        <v>29</v>
      </c>
      <c r="L1925" s="9">
        <v>44074</v>
      </c>
      <c r="N1925" s="6">
        <v>50</v>
      </c>
      <c r="O1925" s="6" t="s">
        <v>4396</v>
      </c>
      <c r="R1925" s="6">
        <v>100</v>
      </c>
      <c r="S1925" s="6">
        <v>110</v>
      </c>
      <c r="T1925" s="10">
        <f t="shared" si="107"/>
        <v>105</v>
      </c>
      <c r="U1925" s="15">
        <v>0.3</v>
      </c>
      <c r="V1925" s="8">
        <v>-1.2928663685798645</v>
      </c>
      <c r="W1925" s="8">
        <v>-10.27475860404968</v>
      </c>
      <c r="X1925" s="8">
        <f t="shared" si="106"/>
        <v>6.8172344589235934E-2</v>
      </c>
      <c r="Y1925" s="6" t="s">
        <v>1760</v>
      </c>
    </row>
    <row r="1926" spans="1:25" x14ac:dyDescent="0.35">
      <c r="A1926" s="6" t="s">
        <v>25</v>
      </c>
      <c r="B1926" s="6" t="s">
        <v>2331</v>
      </c>
      <c r="D1926" s="6" t="s">
        <v>2332</v>
      </c>
      <c r="E1926" s="6">
        <v>5</v>
      </c>
      <c r="F1926" s="6">
        <v>59</v>
      </c>
      <c r="I1926" s="8">
        <v>88.299658402777794</v>
      </c>
      <c r="J1926" s="8">
        <v>114.11509069444401</v>
      </c>
      <c r="K1926" s="6" t="s">
        <v>29</v>
      </c>
      <c r="L1926" s="9">
        <v>44074</v>
      </c>
      <c r="N1926" s="6">
        <v>50</v>
      </c>
      <c r="O1926" s="6" t="s">
        <v>4396</v>
      </c>
      <c r="R1926" s="6">
        <v>110</v>
      </c>
      <c r="S1926" s="6">
        <v>120</v>
      </c>
      <c r="T1926" s="10">
        <f t="shared" si="107"/>
        <v>115</v>
      </c>
      <c r="U1926" s="15">
        <v>0.2</v>
      </c>
      <c r="V1926" s="8">
        <v>-0.94102679734230055</v>
      </c>
      <c r="W1926" s="8">
        <v>-6.395501721382141</v>
      </c>
      <c r="X1926" s="8">
        <f t="shared" si="106"/>
        <v>1.1327126573562634</v>
      </c>
      <c r="Y1926" s="6" t="s">
        <v>1760</v>
      </c>
    </row>
    <row r="1927" spans="1:25" x14ac:dyDescent="0.35">
      <c r="A1927" s="6" t="s">
        <v>25</v>
      </c>
      <c r="B1927" s="6" t="s">
        <v>2333</v>
      </c>
      <c r="D1927" s="6" t="s">
        <v>2334</v>
      </c>
      <c r="E1927" s="6">
        <v>5</v>
      </c>
      <c r="F1927" s="6">
        <v>59</v>
      </c>
      <c r="I1927" s="8">
        <v>88.299658402777794</v>
      </c>
      <c r="J1927" s="8">
        <v>114.11509069444401</v>
      </c>
      <c r="K1927" s="6" t="s">
        <v>29</v>
      </c>
      <c r="L1927" s="9">
        <v>44074</v>
      </c>
      <c r="N1927" s="6">
        <v>50</v>
      </c>
      <c r="O1927" s="6" t="s">
        <v>4396</v>
      </c>
      <c r="R1927" s="6">
        <v>120</v>
      </c>
      <c r="S1927" s="6">
        <v>130</v>
      </c>
      <c r="T1927" s="10">
        <f t="shared" si="107"/>
        <v>125</v>
      </c>
      <c r="U1927" s="15">
        <v>0.4</v>
      </c>
      <c r="V1927" s="8">
        <v>-1.0013023644690803E-3</v>
      </c>
      <c r="W1927" s="8">
        <v>0.91188753318786619</v>
      </c>
      <c r="X1927" s="8">
        <f t="shared" si="106"/>
        <v>0.9198979521036188</v>
      </c>
      <c r="Y1927" s="6" t="s">
        <v>1760</v>
      </c>
    </row>
    <row r="1928" spans="1:25" x14ac:dyDescent="0.35">
      <c r="A1928" s="6" t="s">
        <v>25</v>
      </c>
      <c r="B1928" s="6" t="s">
        <v>2335</v>
      </c>
      <c r="D1928" s="6" t="s">
        <v>2336</v>
      </c>
      <c r="E1928" s="6">
        <v>5</v>
      </c>
      <c r="F1928" s="6">
        <v>59</v>
      </c>
      <c r="I1928" s="8">
        <v>88.299658402777794</v>
      </c>
      <c r="J1928" s="8">
        <v>114.11509069444401</v>
      </c>
      <c r="K1928" s="6" t="s">
        <v>29</v>
      </c>
      <c r="L1928" s="9">
        <v>44074</v>
      </c>
      <c r="N1928" s="6">
        <v>50</v>
      </c>
      <c r="O1928" s="6" t="s">
        <v>4396</v>
      </c>
      <c r="R1928" s="6">
        <v>130</v>
      </c>
      <c r="S1928" s="6">
        <v>140</v>
      </c>
      <c r="T1928" s="10">
        <f t="shared" si="107"/>
        <v>135</v>
      </c>
      <c r="U1928" s="15">
        <v>1.7</v>
      </c>
      <c r="V1928" s="8">
        <v>0.43570907397270187</v>
      </c>
      <c r="W1928" s="8">
        <v>3.3952688784599308</v>
      </c>
      <c r="X1928" s="8">
        <f t="shared" si="106"/>
        <v>-9.0403713321684176E-2</v>
      </c>
      <c r="Y1928" s="6" t="s">
        <v>1760</v>
      </c>
    </row>
    <row r="1929" spans="1:25" x14ac:dyDescent="0.35">
      <c r="A1929" s="6" t="s">
        <v>25</v>
      </c>
      <c r="B1929" s="6" t="s">
        <v>2337</v>
      </c>
      <c r="D1929" s="6" t="s">
        <v>2338</v>
      </c>
      <c r="E1929" s="6">
        <v>5</v>
      </c>
      <c r="F1929" s="6">
        <v>59</v>
      </c>
      <c r="I1929" s="8">
        <v>88.299658402777794</v>
      </c>
      <c r="J1929" s="8">
        <v>114.11509069444401</v>
      </c>
      <c r="K1929" s="6" t="s">
        <v>29</v>
      </c>
      <c r="L1929" s="9">
        <v>44074</v>
      </c>
      <c r="N1929" s="6">
        <v>50</v>
      </c>
      <c r="O1929" s="6" t="s">
        <v>4396</v>
      </c>
      <c r="R1929" s="6">
        <v>140</v>
      </c>
      <c r="S1929" s="6">
        <v>150</v>
      </c>
      <c r="T1929" s="10">
        <f t="shared" si="107"/>
        <v>145</v>
      </c>
      <c r="U1929" s="15">
        <v>1.9</v>
      </c>
      <c r="V1929" s="8">
        <v>0.17208584551215206</v>
      </c>
      <c r="W1929" s="8">
        <v>2.286063248634338</v>
      </c>
      <c r="X1929" s="8">
        <f t="shared" si="106"/>
        <v>0.9093764845371215</v>
      </c>
      <c r="Y1929" s="6" t="s">
        <v>1760</v>
      </c>
    </row>
    <row r="1930" spans="1:25" x14ac:dyDescent="0.35">
      <c r="A1930" s="6" t="s">
        <v>25</v>
      </c>
      <c r="B1930" s="6" t="s">
        <v>2339</v>
      </c>
      <c r="D1930" s="6" t="s">
        <v>2340</v>
      </c>
      <c r="E1930" s="6">
        <v>5</v>
      </c>
      <c r="F1930" s="6">
        <v>59</v>
      </c>
      <c r="I1930" s="8">
        <v>88.299658402777794</v>
      </c>
      <c r="J1930" s="8">
        <v>114.11509069444401</v>
      </c>
      <c r="K1930" s="6" t="s">
        <v>29</v>
      </c>
      <c r="L1930" s="9">
        <v>44074</v>
      </c>
      <c r="N1930" s="6">
        <v>50</v>
      </c>
      <c r="O1930" s="6" t="s">
        <v>4396</v>
      </c>
      <c r="R1930" s="6">
        <v>150</v>
      </c>
      <c r="S1930" s="6">
        <v>160</v>
      </c>
      <c r="T1930" s="10">
        <f t="shared" si="107"/>
        <v>155</v>
      </c>
      <c r="U1930" s="15">
        <v>1.6</v>
      </c>
      <c r="V1930" s="8">
        <v>0.6293125745773317</v>
      </c>
      <c r="W1930" s="8">
        <v>5.8288054246902474</v>
      </c>
      <c r="X1930" s="8">
        <f t="shared" si="106"/>
        <v>0.79430482807159386</v>
      </c>
      <c r="Y1930" s="6" t="s">
        <v>1760</v>
      </c>
    </row>
    <row r="1931" spans="1:25" x14ac:dyDescent="0.35">
      <c r="A1931" s="6" t="s">
        <v>25</v>
      </c>
      <c r="B1931" s="6" t="s">
        <v>3605</v>
      </c>
      <c r="D1931" s="6" t="s">
        <v>3907</v>
      </c>
      <c r="E1931" s="6">
        <v>5</v>
      </c>
      <c r="F1931" s="6">
        <v>60</v>
      </c>
      <c r="G1931" s="6" t="s">
        <v>4209</v>
      </c>
      <c r="I1931" s="8">
        <v>88.269293597222202</v>
      </c>
      <c r="J1931" s="8">
        <v>113.41361530555599</v>
      </c>
      <c r="K1931" s="6" t="s">
        <v>2610</v>
      </c>
      <c r="L1931" s="9">
        <v>44074</v>
      </c>
      <c r="N1931" s="6">
        <v>50</v>
      </c>
      <c r="O1931" s="6" t="s">
        <v>4396</v>
      </c>
      <c r="V1931" s="8">
        <v>-2.9808297056579591</v>
      </c>
      <c r="W1931" s="8">
        <v>-21.951965232849119</v>
      </c>
      <c r="X1931" s="27">
        <f t="shared" si="106"/>
        <v>1.894672412414554</v>
      </c>
    </row>
    <row r="1932" spans="1:25" x14ac:dyDescent="0.35">
      <c r="A1932" s="6" t="s">
        <v>25</v>
      </c>
      <c r="B1932" s="6" t="s">
        <v>2341</v>
      </c>
      <c r="D1932" s="6" t="s">
        <v>2342</v>
      </c>
      <c r="E1932" s="6">
        <v>5</v>
      </c>
      <c r="F1932" s="6">
        <v>60</v>
      </c>
      <c r="G1932" s="6" t="s">
        <v>2343</v>
      </c>
      <c r="I1932" s="8">
        <v>88.299658402777794</v>
      </c>
      <c r="J1932" s="8">
        <v>114.11509069444401</v>
      </c>
      <c r="K1932" s="6" t="s">
        <v>4450</v>
      </c>
      <c r="L1932" s="9">
        <v>44074</v>
      </c>
      <c r="N1932" s="6">
        <v>50</v>
      </c>
      <c r="O1932" s="6" t="s">
        <v>4396</v>
      </c>
      <c r="T1932" s="10"/>
      <c r="U1932" s="6">
        <v>3</v>
      </c>
      <c r="V1932" s="8">
        <v>-3.2222785589933398</v>
      </c>
      <c r="W1932" s="8">
        <v>-25.16416170501709</v>
      </c>
      <c r="X1932" s="8">
        <f t="shared" si="106"/>
        <v>0.61406676692962847</v>
      </c>
    </row>
    <row r="1933" spans="1:25" x14ac:dyDescent="0.35">
      <c r="A1933" s="6" t="s">
        <v>25</v>
      </c>
      <c r="B1933" s="6" t="s">
        <v>3078</v>
      </c>
      <c r="D1933" s="6" t="s">
        <v>3170</v>
      </c>
      <c r="E1933" s="6">
        <v>5</v>
      </c>
      <c r="F1933" s="6">
        <v>60</v>
      </c>
      <c r="G1933" s="6" t="s">
        <v>3281</v>
      </c>
      <c r="I1933" s="8">
        <v>88.284475999999998</v>
      </c>
      <c r="J1933" s="8">
        <v>113.764353</v>
      </c>
      <c r="K1933" s="6" t="s">
        <v>198</v>
      </c>
      <c r="L1933" s="9">
        <v>44074</v>
      </c>
      <c r="M1933" s="18">
        <v>0.20138888888888887</v>
      </c>
      <c r="N1933" s="6">
        <v>50</v>
      </c>
      <c r="O1933" s="6" t="s">
        <v>4396</v>
      </c>
      <c r="R1933" s="6">
        <v>4</v>
      </c>
      <c r="S1933" s="6">
        <v>1</v>
      </c>
      <c r="V1933" s="8">
        <v>-1.6869805758476264</v>
      </c>
      <c r="W1933" s="8">
        <v>-13.223916931152345</v>
      </c>
      <c r="X1933" s="8">
        <f t="shared" si="106"/>
        <v>0.27192767562866571</v>
      </c>
      <c r="Y1933" s="6" t="s">
        <v>3280</v>
      </c>
    </row>
    <row r="1934" spans="1:25" x14ac:dyDescent="0.35">
      <c r="A1934" s="6" t="s">
        <v>25</v>
      </c>
      <c r="B1934" s="6" t="s">
        <v>3606</v>
      </c>
      <c r="D1934" s="6" t="s">
        <v>3908</v>
      </c>
      <c r="E1934" s="6">
        <v>5</v>
      </c>
      <c r="F1934" s="6">
        <v>60</v>
      </c>
      <c r="G1934" s="6" t="s">
        <v>4210</v>
      </c>
      <c r="I1934" s="8">
        <v>88.359878750000021</v>
      </c>
      <c r="J1934" s="8">
        <v>115.76352923611108</v>
      </c>
      <c r="K1934" s="6" t="s">
        <v>2610</v>
      </c>
      <c r="L1934" s="9">
        <v>44075</v>
      </c>
      <c r="N1934" s="6">
        <v>50</v>
      </c>
      <c r="O1934" s="6" t="s">
        <v>4394</v>
      </c>
      <c r="V1934" s="8">
        <v>-3.0984002737426763</v>
      </c>
      <c r="W1934" s="8">
        <v>-22.84095124053955</v>
      </c>
      <c r="X1934" s="27">
        <f t="shared" si="106"/>
        <v>1.9462509494018612</v>
      </c>
    </row>
    <row r="1935" spans="1:25" x14ac:dyDescent="0.35">
      <c r="A1935" s="6" t="s">
        <v>25</v>
      </c>
      <c r="B1935" s="6" t="s">
        <v>2344</v>
      </c>
      <c r="D1935" s="6" t="s">
        <v>2345</v>
      </c>
      <c r="E1935" s="6">
        <v>5</v>
      </c>
      <c r="F1935" s="6">
        <v>60</v>
      </c>
      <c r="G1935" s="6" t="s">
        <v>2346</v>
      </c>
      <c r="I1935" s="8">
        <v>88.359878750000021</v>
      </c>
      <c r="J1935" s="8">
        <v>115.76352923611108</v>
      </c>
      <c r="K1935" s="6" t="s">
        <v>4450</v>
      </c>
      <c r="L1935" s="9">
        <v>44075</v>
      </c>
      <c r="N1935" s="6">
        <v>50</v>
      </c>
      <c r="O1935" s="6" t="s">
        <v>4394</v>
      </c>
      <c r="T1935" s="10"/>
      <c r="U1935" s="6">
        <v>0</v>
      </c>
      <c r="V1935" s="8">
        <v>-2.6405577554941178</v>
      </c>
      <c r="W1935" s="8">
        <v>-21.725085628509518</v>
      </c>
      <c r="X1935" s="8">
        <f t="shared" si="106"/>
        <v>-0.60062358455657616</v>
      </c>
    </row>
    <row r="1936" spans="1:25" x14ac:dyDescent="0.35">
      <c r="A1936" s="6" t="s">
        <v>25</v>
      </c>
      <c r="B1936" s="6" t="s">
        <v>3607</v>
      </c>
      <c r="D1936" s="6" t="s">
        <v>3909</v>
      </c>
      <c r="E1936" s="6">
        <v>5</v>
      </c>
      <c r="F1936" s="6">
        <v>60</v>
      </c>
      <c r="G1936" s="6" t="s">
        <v>4211</v>
      </c>
      <c r="I1936" s="8">
        <v>88.451552013888801</v>
      </c>
      <c r="J1936" s="8">
        <v>117.87424222222199</v>
      </c>
      <c r="K1936" s="6" t="s">
        <v>2610</v>
      </c>
      <c r="L1936" s="9">
        <v>44076</v>
      </c>
      <c r="N1936" s="6">
        <v>50</v>
      </c>
      <c r="O1936" s="6" t="s">
        <v>4398</v>
      </c>
      <c r="V1936" s="8">
        <v>-3.1200771917724617</v>
      </c>
      <c r="W1936" s="8">
        <v>-24.266348529815676</v>
      </c>
      <c r="X1936" s="27">
        <f t="shared" si="106"/>
        <v>0.69426900436401695</v>
      </c>
    </row>
    <row r="1937" spans="1:25" x14ac:dyDescent="0.35">
      <c r="A1937" s="6" t="s">
        <v>25</v>
      </c>
      <c r="B1937" s="6" t="s">
        <v>2356</v>
      </c>
      <c r="D1937" s="6" t="s">
        <v>2357</v>
      </c>
      <c r="E1937" s="6">
        <v>5</v>
      </c>
      <c r="F1937" s="6">
        <v>60</v>
      </c>
      <c r="G1937" s="6" t="s">
        <v>2358</v>
      </c>
      <c r="I1937" s="8">
        <v>88.451552013888843</v>
      </c>
      <c r="J1937" s="8">
        <v>117.87424222222229</v>
      </c>
      <c r="K1937" s="6" t="s">
        <v>4450</v>
      </c>
      <c r="L1937" s="9">
        <v>44076</v>
      </c>
      <c r="N1937" s="6">
        <v>50</v>
      </c>
      <c r="O1937" s="6" t="s">
        <v>4398</v>
      </c>
      <c r="T1937" s="10"/>
      <c r="U1937" s="6">
        <v>0.8</v>
      </c>
      <c r="V1937" s="8">
        <v>-2.8167738999366758</v>
      </c>
      <c r="W1937" s="8">
        <v>-21.632470058441164</v>
      </c>
      <c r="X1937" s="8">
        <f t="shared" si="106"/>
        <v>0.9017211410522421</v>
      </c>
    </row>
    <row r="1938" spans="1:25" x14ac:dyDescent="0.35">
      <c r="A1938" s="6" t="s">
        <v>25</v>
      </c>
      <c r="B1938" s="6" t="s">
        <v>2359</v>
      </c>
      <c r="D1938" s="6" t="s">
        <v>2360</v>
      </c>
      <c r="E1938" s="6">
        <v>5</v>
      </c>
      <c r="F1938" s="6">
        <v>60</v>
      </c>
      <c r="G1938" s="6" t="s">
        <v>2358</v>
      </c>
      <c r="I1938" s="8">
        <v>88.451552013888843</v>
      </c>
      <c r="J1938" s="8">
        <v>117.87424222222229</v>
      </c>
      <c r="K1938" s="6" t="s">
        <v>4450</v>
      </c>
      <c r="L1938" s="9">
        <v>44076</v>
      </c>
      <c r="N1938" s="6">
        <v>50</v>
      </c>
      <c r="O1938" s="6" t="s">
        <v>4398</v>
      </c>
      <c r="T1938" s="10"/>
      <c r="U1938" s="6">
        <v>24.4</v>
      </c>
      <c r="V1938" s="8">
        <v>-1.6404606485158202</v>
      </c>
      <c r="W1938" s="8">
        <v>-11.161598630905152</v>
      </c>
      <c r="X1938" s="8">
        <f t="shared" si="106"/>
        <v>1.9620865572214097</v>
      </c>
    </row>
    <row r="1939" spans="1:25" x14ac:dyDescent="0.35">
      <c r="A1939" s="6" t="s">
        <v>25</v>
      </c>
      <c r="B1939" s="6" t="s">
        <v>2361</v>
      </c>
      <c r="D1939" s="6" t="s">
        <v>2362</v>
      </c>
      <c r="E1939" s="6">
        <v>5</v>
      </c>
      <c r="F1939" s="6">
        <v>60</v>
      </c>
      <c r="G1939" s="6" t="s">
        <v>2358</v>
      </c>
      <c r="I1939" s="8">
        <v>88.451552013888801</v>
      </c>
      <c r="J1939" s="8">
        <v>117.87424222222199</v>
      </c>
      <c r="K1939" s="6" t="s">
        <v>4450</v>
      </c>
      <c r="L1939" s="9">
        <v>44076</v>
      </c>
      <c r="N1939" s="6">
        <v>50</v>
      </c>
      <c r="O1939" s="6" t="s">
        <v>4398</v>
      </c>
      <c r="T1939" s="10"/>
      <c r="U1939" s="6">
        <v>29</v>
      </c>
      <c r="V1939" s="8">
        <v>-3.1770753981113438</v>
      </c>
      <c r="W1939" s="8">
        <v>-23.767661624908449</v>
      </c>
      <c r="X1939" s="8">
        <f t="shared" si="106"/>
        <v>1.6489415599823012</v>
      </c>
    </row>
    <row r="1940" spans="1:25" x14ac:dyDescent="0.35">
      <c r="A1940" s="6" t="s">
        <v>25</v>
      </c>
      <c r="B1940" s="6" t="s">
        <v>2363</v>
      </c>
      <c r="D1940" s="6" t="s">
        <v>2364</v>
      </c>
      <c r="E1940" s="6">
        <v>5</v>
      </c>
      <c r="F1940" s="6">
        <v>60</v>
      </c>
      <c r="G1940" s="6" t="s">
        <v>2358</v>
      </c>
      <c r="I1940" s="8">
        <v>88.451552013888801</v>
      </c>
      <c r="J1940" s="8">
        <v>117.87424222222199</v>
      </c>
      <c r="K1940" s="6" t="s">
        <v>4450</v>
      </c>
      <c r="L1940" s="9">
        <v>44076</v>
      </c>
      <c r="N1940" s="6">
        <v>50</v>
      </c>
      <c r="O1940" s="6" t="s">
        <v>4398</v>
      </c>
      <c r="T1940" s="10"/>
      <c r="U1940" s="6">
        <v>6.5</v>
      </c>
      <c r="V1940" s="8">
        <v>-2.3552409799337393</v>
      </c>
      <c r="W1940" s="8">
        <v>-18.620346497535706</v>
      </c>
      <c r="X1940" s="8">
        <f t="shared" si="106"/>
        <v>0.22158134193420764</v>
      </c>
    </row>
    <row r="1941" spans="1:25" x14ac:dyDescent="0.35">
      <c r="A1941" s="6" t="s">
        <v>25</v>
      </c>
      <c r="B1941" s="6" t="s">
        <v>2365</v>
      </c>
      <c r="D1941" s="6" t="s">
        <v>2366</v>
      </c>
      <c r="E1941" s="6">
        <v>5</v>
      </c>
      <c r="F1941" s="6">
        <v>60</v>
      </c>
      <c r="G1941" s="6" t="s">
        <v>2358</v>
      </c>
      <c r="I1941" s="8">
        <v>88.451552013888801</v>
      </c>
      <c r="J1941" s="8">
        <v>117.87424222222199</v>
      </c>
      <c r="K1941" s="6" t="s">
        <v>4450</v>
      </c>
      <c r="L1941" s="9">
        <v>44076</v>
      </c>
      <c r="N1941" s="6">
        <v>50</v>
      </c>
      <c r="O1941" s="6" t="s">
        <v>4398</v>
      </c>
      <c r="T1941" s="10"/>
      <c r="U1941" s="6">
        <v>7.5</v>
      </c>
      <c r="V1941" s="8">
        <v>-2.3328749618172644</v>
      </c>
      <c r="W1941" s="8">
        <v>-18.040025223731995</v>
      </c>
      <c r="X1941" s="8">
        <f t="shared" si="106"/>
        <v>0.62297447080612045</v>
      </c>
    </row>
    <row r="1942" spans="1:25" x14ac:dyDescent="0.35">
      <c r="A1942" s="6" t="s">
        <v>25</v>
      </c>
      <c r="B1942" s="6" t="s">
        <v>2347</v>
      </c>
      <c r="D1942" s="6" t="s">
        <v>2348</v>
      </c>
      <c r="E1942" s="6">
        <v>5</v>
      </c>
      <c r="F1942" s="6">
        <v>60</v>
      </c>
      <c r="G1942" s="6" t="s">
        <v>2349</v>
      </c>
      <c r="I1942" s="8">
        <v>88.451552013888801</v>
      </c>
      <c r="J1942" s="8">
        <v>117.87424222222199</v>
      </c>
      <c r="K1942" s="6" t="s">
        <v>390</v>
      </c>
      <c r="L1942" s="9">
        <v>44076</v>
      </c>
      <c r="N1942" s="6">
        <v>50</v>
      </c>
      <c r="O1942" s="6" t="s">
        <v>4398</v>
      </c>
      <c r="T1942" s="10"/>
      <c r="U1942" s="6">
        <v>4.4000000000000004</v>
      </c>
      <c r="V1942" s="8">
        <v>-2.8772448306322103</v>
      </c>
      <c r="W1942" s="8">
        <v>-21.859890762329101</v>
      </c>
      <c r="X1942" s="8">
        <f t="shared" si="106"/>
        <v>1.1580678827285809</v>
      </c>
    </row>
    <row r="1943" spans="1:25" x14ac:dyDescent="0.35">
      <c r="A1943" s="6" t="s">
        <v>25</v>
      </c>
      <c r="B1943" s="6" t="s">
        <v>2350</v>
      </c>
      <c r="D1943" s="6" t="s">
        <v>2351</v>
      </c>
      <c r="E1943" s="6">
        <v>5</v>
      </c>
      <c r="F1943" s="6">
        <v>60</v>
      </c>
      <c r="G1943" s="6" t="s">
        <v>2349</v>
      </c>
      <c r="I1943" s="8">
        <v>88.451552013888801</v>
      </c>
      <c r="J1943" s="8">
        <v>117.87424222222199</v>
      </c>
      <c r="K1943" s="6" t="s">
        <v>390</v>
      </c>
      <c r="L1943" s="9">
        <v>44076</v>
      </c>
      <c r="N1943" s="6">
        <v>50</v>
      </c>
      <c r="O1943" s="6" t="s">
        <v>4398</v>
      </c>
      <c r="T1943" s="10"/>
      <c r="V1943" s="8">
        <v>-3.0882892697954181</v>
      </c>
      <c r="W1943" s="8">
        <v>-22.702965839385989</v>
      </c>
      <c r="X1943" s="8">
        <f t="shared" si="106"/>
        <v>2.0033483189773555</v>
      </c>
    </row>
    <row r="1944" spans="1:25" x14ac:dyDescent="0.35">
      <c r="A1944" s="6" t="s">
        <v>25</v>
      </c>
      <c r="B1944" s="6" t="s">
        <v>2352</v>
      </c>
      <c r="D1944" s="6" t="s">
        <v>2353</v>
      </c>
      <c r="E1944" s="6">
        <v>5</v>
      </c>
      <c r="F1944" s="6">
        <v>60</v>
      </c>
      <c r="G1944" s="6" t="s">
        <v>2349</v>
      </c>
      <c r="I1944" s="8">
        <v>88.451552013888801</v>
      </c>
      <c r="J1944" s="8">
        <v>117.87424222222199</v>
      </c>
      <c r="K1944" s="6" t="s">
        <v>390</v>
      </c>
      <c r="L1944" s="9">
        <v>44076</v>
      </c>
      <c r="N1944" s="6">
        <v>50</v>
      </c>
      <c r="O1944" s="6" t="s">
        <v>4398</v>
      </c>
      <c r="T1944" s="10"/>
      <c r="U1944" s="6">
        <v>28.8</v>
      </c>
      <c r="V1944" s="8">
        <v>-3.2619074981117251</v>
      </c>
      <c r="W1944" s="8">
        <v>-22.960830795288089</v>
      </c>
      <c r="X1944" s="8">
        <f t="shared" si="106"/>
        <v>3.1344291896057115</v>
      </c>
    </row>
    <row r="1945" spans="1:25" x14ac:dyDescent="0.35">
      <c r="A1945" s="6" t="s">
        <v>25</v>
      </c>
      <c r="B1945" s="6" t="s">
        <v>2354</v>
      </c>
      <c r="D1945" s="6" t="s">
        <v>2355</v>
      </c>
      <c r="E1945" s="6">
        <v>5</v>
      </c>
      <c r="F1945" s="6">
        <v>60</v>
      </c>
      <c r="G1945" s="6" t="s">
        <v>2349</v>
      </c>
      <c r="I1945" s="8">
        <v>88.451552013888801</v>
      </c>
      <c r="J1945" s="8">
        <v>117.87424222222199</v>
      </c>
      <c r="K1945" s="6" t="s">
        <v>390</v>
      </c>
      <c r="L1945" s="9">
        <v>44076</v>
      </c>
      <c r="N1945" s="6">
        <v>50</v>
      </c>
      <c r="O1945" s="6" t="s">
        <v>4398</v>
      </c>
      <c r="T1945" s="10"/>
      <c r="V1945" s="8">
        <v>-3.2102264605665205</v>
      </c>
      <c r="W1945" s="8">
        <v>-23.437177894592285</v>
      </c>
      <c r="X1945" s="8">
        <f t="shared" si="106"/>
        <v>2.2446337899398792</v>
      </c>
    </row>
    <row r="1946" spans="1:25" x14ac:dyDescent="0.35">
      <c r="A1946" s="6" t="s">
        <v>25</v>
      </c>
      <c r="B1946" s="6" t="s">
        <v>2367</v>
      </c>
      <c r="D1946" s="6" t="s">
        <v>2368</v>
      </c>
      <c r="E1946" s="6">
        <v>5</v>
      </c>
      <c r="F1946" s="6">
        <v>60</v>
      </c>
      <c r="G1946" s="6" t="s">
        <v>2369</v>
      </c>
      <c r="I1946" s="8">
        <v>88.451552013888801</v>
      </c>
      <c r="J1946" s="8">
        <v>117.87424222222199</v>
      </c>
      <c r="K1946" s="6" t="s">
        <v>4450</v>
      </c>
      <c r="L1946" s="9">
        <v>44076</v>
      </c>
      <c r="N1946" s="6">
        <v>50</v>
      </c>
      <c r="O1946" s="6" t="s">
        <v>4398</v>
      </c>
      <c r="T1946" s="10"/>
      <c r="U1946" s="6">
        <v>0</v>
      </c>
      <c r="V1946" s="8">
        <v>-4.9379301538467413</v>
      </c>
      <c r="W1946" s="8">
        <v>-36.963003845214843</v>
      </c>
      <c r="X1946" s="8">
        <f t="shared" si="106"/>
        <v>2.5404373855590876</v>
      </c>
    </row>
    <row r="1947" spans="1:25" x14ac:dyDescent="0.35">
      <c r="A1947" s="6" t="s">
        <v>25</v>
      </c>
      <c r="B1947" s="6" t="s">
        <v>3608</v>
      </c>
      <c r="D1947" s="6" t="s">
        <v>3910</v>
      </c>
      <c r="E1947" s="6">
        <v>5</v>
      </c>
      <c r="F1947" s="6">
        <v>60</v>
      </c>
      <c r="G1947" s="6" t="s">
        <v>4212</v>
      </c>
      <c r="I1947" s="8">
        <v>88.600894722222208</v>
      </c>
      <c r="J1947" s="8">
        <v>119.99195250000002</v>
      </c>
      <c r="K1947" s="6" t="s">
        <v>2610</v>
      </c>
      <c r="L1947" s="9">
        <v>44077</v>
      </c>
      <c r="N1947" s="6">
        <v>50</v>
      </c>
      <c r="O1947" s="6" t="s">
        <v>4367</v>
      </c>
      <c r="V1947" s="8">
        <v>-3.1342343115234375</v>
      </c>
      <c r="W1947" s="8">
        <v>-22.824073490142823</v>
      </c>
      <c r="X1947" s="27">
        <f t="shared" si="106"/>
        <v>2.249801002044677</v>
      </c>
    </row>
    <row r="1948" spans="1:25" x14ac:dyDescent="0.35">
      <c r="A1948" s="6" t="s">
        <v>25</v>
      </c>
      <c r="B1948" s="6" t="s">
        <v>3609</v>
      </c>
      <c r="D1948" s="6" t="s">
        <v>3911</v>
      </c>
      <c r="E1948" s="6">
        <v>5</v>
      </c>
      <c r="F1948" s="6">
        <v>60</v>
      </c>
      <c r="G1948" s="6" t="s">
        <v>4213</v>
      </c>
      <c r="I1948" s="8">
        <v>88.697669000000005</v>
      </c>
      <c r="J1948" s="8">
        <v>120.650948</v>
      </c>
      <c r="K1948" s="6" t="s">
        <v>2610</v>
      </c>
      <c r="L1948" s="9">
        <v>44078</v>
      </c>
      <c r="N1948" s="6">
        <v>50</v>
      </c>
      <c r="O1948" s="6" t="s">
        <v>4402</v>
      </c>
      <c r="V1948" s="8">
        <v>-3.2423605513000493</v>
      </c>
      <c r="W1948" s="8">
        <v>-23.422938629150391</v>
      </c>
      <c r="X1948" s="27">
        <f t="shared" si="106"/>
        <v>2.5159457812500037</v>
      </c>
    </row>
    <row r="1949" spans="1:25" x14ac:dyDescent="0.35">
      <c r="A1949" s="6" t="s">
        <v>25</v>
      </c>
      <c r="B1949" s="6" t="s">
        <v>3079</v>
      </c>
      <c r="D1949" s="6" t="s">
        <v>3171</v>
      </c>
      <c r="E1949" s="6">
        <v>5</v>
      </c>
      <c r="F1949" s="6">
        <v>60</v>
      </c>
      <c r="G1949" s="6" t="s">
        <v>3283</v>
      </c>
      <c r="I1949" s="8">
        <v>88.697669000000005</v>
      </c>
      <c r="J1949" s="8">
        <v>120.650948</v>
      </c>
      <c r="K1949" s="6" t="s">
        <v>198</v>
      </c>
      <c r="L1949" s="9">
        <v>44078</v>
      </c>
      <c r="M1949" s="18">
        <v>0.18055555555555555</v>
      </c>
      <c r="N1949" s="6">
        <v>50</v>
      </c>
      <c r="O1949" s="6" t="s">
        <v>4402</v>
      </c>
      <c r="R1949" s="6">
        <v>3.5</v>
      </c>
      <c r="V1949" s="8">
        <v>-8.9029781578063965</v>
      </c>
      <c r="W1949" s="8">
        <v>-67.84558181762695</v>
      </c>
      <c r="X1949" s="8">
        <f t="shared" si="106"/>
        <v>3.3782434448242213</v>
      </c>
      <c r="Y1949" s="6" t="s">
        <v>3282</v>
      </c>
    </row>
    <row r="1950" spans="1:25" x14ac:dyDescent="0.35">
      <c r="A1950" s="6" t="s">
        <v>25</v>
      </c>
      <c r="B1950" s="6" t="s">
        <v>3610</v>
      </c>
      <c r="D1950" s="6" t="s">
        <v>3912</v>
      </c>
      <c r="E1950" s="6">
        <v>5</v>
      </c>
      <c r="F1950" s="6">
        <v>60</v>
      </c>
      <c r="G1950" s="6" t="s">
        <v>4214</v>
      </c>
      <c r="I1950" s="8">
        <v>88.744063194444493</v>
      </c>
      <c r="J1950" s="8">
        <v>119.351095625</v>
      </c>
      <c r="K1950" s="6" t="s">
        <v>2610</v>
      </c>
      <c r="L1950" s="9">
        <v>44079</v>
      </c>
      <c r="N1950" s="6">
        <v>50</v>
      </c>
      <c r="O1950" s="6" t="s">
        <v>4433</v>
      </c>
      <c r="V1950" s="8">
        <v>-2.9826917509460449</v>
      </c>
      <c r="W1950" s="8">
        <v>-22.494623023986815</v>
      </c>
      <c r="X1950" s="27">
        <f t="shared" si="106"/>
        <v>1.3669109835815441</v>
      </c>
    </row>
    <row r="1951" spans="1:25" x14ac:dyDescent="0.35">
      <c r="A1951" s="6" t="s">
        <v>25</v>
      </c>
      <c r="B1951" s="6" t="s">
        <v>2370</v>
      </c>
      <c r="D1951" s="6" t="s">
        <v>2371</v>
      </c>
      <c r="E1951" s="6">
        <v>5</v>
      </c>
      <c r="F1951" s="6">
        <v>60</v>
      </c>
      <c r="G1951" s="6" t="s">
        <v>2349</v>
      </c>
      <c r="I1951" s="8">
        <v>88.74406319444445</v>
      </c>
      <c r="J1951" s="8">
        <v>119.35109562499994</v>
      </c>
      <c r="K1951" s="6" t="s">
        <v>390</v>
      </c>
      <c r="L1951" s="9">
        <v>44079</v>
      </c>
      <c r="N1951" s="6">
        <v>50</v>
      </c>
      <c r="O1951" s="6" t="s">
        <v>4433</v>
      </c>
      <c r="T1951" s="10"/>
      <c r="U1951" s="6">
        <v>4.5999999999999996</v>
      </c>
      <c r="V1951" s="8">
        <v>-3.2220278706550598</v>
      </c>
      <c r="W1951" s="8">
        <v>-23.117172454833984</v>
      </c>
      <c r="X1951" s="8">
        <f t="shared" si="106"/>
        <v>2.6590505104064945</v>
      </c>
    </row>
    <row r="1952" spans="1:25" x14ac:dyDescent="0.35">
      <c r="A1952" s="6" t="s">
        <v>25</v>
      </c>
      <c r="B1952" s="6" t="s">
        <v>2372</v>
      </c>
      <c r="D1952" s="6" t="s">
        <v>2373</v>
      </c>
      <c r="E1952" s="6">
        <v>5</v>
      </c>
      <c r="F1952" s="6">
        <v>60</v>
      </c>
      <c r="G1952" s="6" t="s">
        <v>2349</v>
      </c>
      <c r="I1952" s="8">
        <v>88.74406319444445</v>
      </c>
      <c r="J1952" s="8">
        <v>119.35109562499994</v>
      </c>
      <c r="K1952" s="6" t="s">
        <v>390</v>
      </c>
      <c r="L1952" s="9">
        <v>44079</v>
      </c>
      <c r="N1952" s="6">
        <v>50</v>
      </c>
      <c r="O1952" s="6" t="s">
        <v>4433</v>
      </c>
      <c r="T1952" s="10"/>
      <c r="U1952" s="6">
        <v>20</v>
      </c>
      <c r="V1952" s="8">
        <v>-3.230219655275345</v>
      </c>
      <c r="W1952" s="8">
        <v>-23.529979640960693</v>
      </c>
      <c r="X1952" s="8">
        <f t="shared" si="106"/>
        <v>2.311777601242067</v>
      </c>
    </row>
    <row r="1953" spans="1:25" x14ac:dyDescent="0.35">
      <c r="A1953" s="6" t="s">
        <v>25</v>
      </c>
      <c r="B1953" s="6" t="s">
        <v>2374</v>
      </c>
      <c r="D1953" s="6" t="s">
        <v>2375</v>
      </c>
      <c r="E1953" s="6">
        <v>5</v>
      </c>
      <c r="F1953" s="6">
        <v>60</v>
      </c>
      <c r="G1953" s="6" t="s">
        <v>2349</v>
      </c>
      <c r="I1953" s="8">
        <v>88.74406319444445</v>
      </c>
      <c r="J1953" s="8">
        <v>119.35109562499994</v>
      </c>
      <c r="K1953" s="6" t="s">
        <v>390</v>
      </c>
      <c r="L1953" s="9">
        <v>44079</v>
      </c>
      <c r="N1953" s="6">
        <v>50</v>
      </c>
      <c r="O1953" s="6" t="s">
        <v>4433</v>
      </c>
      <c r="T1953" s="10"/>
      <c r="U1953" s="6">
        <v>1.9</v>
      </c>
      <c r="V1953" s="8">
        <v>-3.0696729698181149</v>
      </c>
      <c r="W1953" s="8">
        <v>-22.730184799194337</v>
      </c>
      <c r="X1953" s="8">
        <f t="shared" ref="X1953:X2016" si="108">W1953-(8*V1953)</f>
        <v>1.8271989593505822</v>
      </c>
    </row>
    <row r="1954" spans="1:25" x14ac:dyDescent="0.35">
      <c r="A1954" s="6" t="s">
        <v>25</v>
      </c>
      <c r="B1954" s="6" t="s">
        <v>3611</v>
      </c>
      <c r="D1954" s="6" t="s">
        <v>3913</v>
      </c>
      <c r="E1954" s="6">
        <v>5</v>
      </c>
      <c r="F1954" s="6">
        <v>60</v>
      </c>
      <c r="G1954" s="6" t="s">
        <v>4215</v>
      </c>
      <c r="I1954" s="8">
        <v>88.746387222222268</v>
      </c>
      <c r="J1954" s="8">
        <v>117.04357506944444</v>
      </c>
      <c r="K1954" s="6" t="s">
        <v>2610</v>
      </c>
      <c r="L1954" s="9">
        <v>44080</v>
      </c>
      <c r="N1954" s="6">
        <v>51</v>
      </c>
      <c r="O1954" s="28" t="s">
        <v>4434</v>
      </c>
      <c r="V1954" s="8">
        <v>-3.1013961767578131</v>
      </c>
      <c r="W1954" s="8">
        <v>-22.355469146728517</v>
      </c>
      <c r="X1954" s="27">
        <f t="shared" si="108"/>
        <v>2.4557002673339881</v>
      </c>
    </row>
    <row r="1955" spans="1:25" x14ac:dyDescent="0.35">
      <c r="A1955" s="6" t="s">
        <v>25</v>
      </c>
      <c r="B1955" s="6" t="s">
        <v>2376</v>
      </c>
      <c r="D1955" s="6" t="s">
        <v>2377</v>
      </c>
      <c r="E1955" s="6">
        <v>5</v>
      </c>
      <c r="F1955" s="6">
        <v>61</v>
      </c>
      <c r="I1955" s="8">
        <v>88.700402291666705</v>
      </c>
      <c r="J1955" s="8">
        <v>111.973632708333</v>
      </c>
      <c r="K1955" s="6" t="s">
        <v>29</v>
      </c>
      <c r="L1955" s="9">
        <v>44081</v>
      </c>
      <c r="N1955" s="6">
        <v>51</v>
      </c>
      <c r="O1955" s="6" t="s">
        <v>4434</v>
      </c>
      <c r="R1955" s="6">
        <v>0</v>
      </c>
      <c r="S1955" s="6">
        <v>10</v>
      </c>
      <c r="T1955" s="10">
        <f t="shared" ref="T1955:T1968" si="109">AVERAGE(R1955:S1955)</f>
        <v>5</v>
      </c>
      <c r="U1955" s="15">
        <v>0.7</v>
      </c>
      <c r="V1955" s="8">
        <v>-0.32769956411480911</v>
      </c>
      <c r="W1955" s="8">
        <v>-2.3467788492202772</v>
      </c>
      <c r="X1955" s="8">
        <f t="shared" si="108"/>
        <v>0.2748176636981956</v>
      </c>
      <c r="Y1955" s="6" t="s">
        <v>1760</v>
      </c>
    </row>
    <row r="1956" spans="1:25" x14ac:dyDescent="0.35">
      <c r="A1956" s="6" t="s">
        <v>25</v>
      </c>
      <c r="B1956" s="6" t="s">
        <v>2378</v>
      </c>
      <c r="D1956" s="6" t="s">
        <v>2379</v>
      </c>
      <c r="E1956" s="6">
        <v>5</v>
      </c>
      <c r="F1956" s="6">
        <v>61</v>
      </c>
      <c r="I1956" s="8">
        <v>88.700402291666705</v>
      </c>
      <c r="J1956" s="8">
        <v>111.973632708333</v>
      </c>
      <c r="K1956" s="6" t="s">
        <v>29</v>
      </c>
      <c r="L1956" s="9">
        <v>44081</v>
      </c>
      <c r="N1956" s="6">
        <v>51</v>
      </c>
      <c r="O1956" s="6" t="s">
        <v>4434</v>
      </c>
      <c r="R1956" s="6">
        <v>10</v>
      </c>
      <c r="S1956" s="6">
        <v>20</v>
      </c>
      <c r="T1956" s="10">
        <f t="shared" si="109"/>
        <v>15</v>
      </c>
      <c r="U1956" s="15">
        <v>0.3</v>
      </c>
      <c r="V1956" s="8">
        <v>-2.9547320716083243E-2</v>
      </c>
      <c r="W1956" s="8">
        <v>-0.60888550018370147</v>
      </c>
      <c r="X1956" s="8">
        <f t="shared" si="108"/>
        <v>-0.37250693445503552</v>
      </c>
      <c r="Y1956" s="6" t="s">
        <v>1760</v>
      </c>
    </row>
    <row r="1957" spans="1:25" x14ac:dyDescent="0.35">
      <c r="A1957" s="6" t="s">
        <v>25</v>
      </c>
      <c r="B1957" s="6" t="s">
        <v>2380</v>
      </c>
      <c r="D1957" s="6" t="s">
        <v>2381</v>
      </c>
      <c r="E1957" s="6">
        <v>5</v>
      </c>
      <c r="F1957" s="6">
        <v>61</v>
      </c>
      <c r="I1957" s="8">
        <v>88.700402291666705</v>
      </c>
      <c r="J1957" s="8">
        <v>111.973632708333</v>
      </c>
      <c r="K1957" s="6" t="s">
        <v>29</v>
      </c>
      <c r="L1957" s="9">
        <v>44081</v>
      </c>
      <c r="N1957" s="6">
        <v>51</v>
      </c>
      <c r="O1957" s="6" t="s">
        <v>4434</v>
      </c>
      <c r="R1957" s="6">
        <v>20</v>
      </c>
      <c r="S1957" s="6">
        <v>30</v>
      </c>
      <c r="T1957" s="10">
        <f t="shared" si="109"/>
        <v>25</v>
      </c>
      <c r="U1957" s="15">
        <v>0</v>
      </c>
      <c r="V1957" s="8">
        <v>-0.34013130444288209</v>
      </c>
      <c r="W1957" s="8">
        <v>-2.7513381812334057</v>
      </c>
      <c r="X1957" s="8">
        <f t="shared" si="108"/>
        <v>-3.0287745690348977E-2</v>
      </c>
      <c r="Y1957" s="6" t="s">
        <v>1760</v>
      </c>
    </row>
    <row r="1958" spans="1:25" x14ac:dyDescent="0.35">
      <c r="A1958" s="6" t="s">
        <v>25</v>
      </c>
      <c r="B1958" s="6" t="s">
        <v>2382</v>
      </c>
      <c r="D1958" s="6" t="s">
        <v>2383</v>
      </c>
      <c r="E1958" s="6">
        <v>5</v>
      </c>
      <c r="F1958" s="6">
        <v>61</v>
      </c>
      <c r="I1958" s="8">
        <v>88.700402291666705</v>
      </c>
      <c r="J1958" s="8">
        <v>111.973632708333</v>
      </c>
      <c r="K1958" s="6" t="s">
        <v>29</v>
      </c>
      <c r="L1958" s="9">
        <v>44081</v>
      </c>
      <c r="N1958" s="6">
        <v>51</v>
      </c>
      <c r="O1958" s="6" t="s">
        <v>4434</v>
      </c>
      <c r="R1958" s="6">
        <v>30</v>
      </c>
      <c r="S1958" s="6">
        <v>40</v>
      </c>
      <c r="T1958" s="10">
        <f t="shared" si="109"/>
        <v>35</v>
      </c>
      <c r="U1958" s="15">
        <v>0.3</v>
      </c>
      <c r="V1958" s="8">
        <v>0.35556041927635657</v>
      </c>
      <c r="W1958" s="8">
        <v>3.5344309510231016</v>
      </c>
      <c r="X1958" s="8">
        <f t="shared" si="108"/>
        <v>0.68994759681224904</v>
      </c>
      <c r="Y1958" s="6" t="s">
        <v>1760</v>
      </c>
    </row>
    <row r="1959" spans="1:25" x14ac:dyDescent="0.35">
      <c r="A1959" s="6" t="s">
        <v>25</v>
      </c>
      <c r="B1959" s="6" t="s">
        <v>2384</v>
      </c>
      <c r="D1959" s="6" t="s">
        <v>2385</v>
      </c>
      <c r="E1959" s="6">
        <v>5</v>
      </c>
      <c r="F1959" s="6">
        <v>61</v>
      </c>
      <c r="I1959" s="8">
        <v>88.700402291666705</v>
      </c>
      <c r="J1959" s="8">
        <v>111.973632708333</v>
      </c>
      <c r="K1959" s="6" t="s">
        <v>29</v>
      </c>
      <c r="L1959" s="9">
        <v>44081</v>
      </c>
      <c r="N1959" s="6">
        <v>51</v>
      </c>
      <c r="O1959" s="6" t="s">
        <v>4434</v>
      </c>
      <c r="R1959" s="6">
        <v>40</v>
      </c>
      <c r="S1959" s="6">
        <v>50</v>
      </c>
      <c r="T1959" s="10">
        <f t="shared" si="109"/>
        <v>45</v>
      </c>
      <c r="U1959" s="15">
        <v>0.5</v>
      </c>
      <c r="V1959" s="8">
        <v>0.35105890373885618</v>
      </c>
      <c r="W1959" s="8">
        <v>2.9855260068416598</v>
      </c>
      <c r="X1959" s="8">
        <f t="shared" si="108"/>
        <v>0.1770547769308104</v>
      </c>
      <c r="Y1959" s="6" t="s">
        <v>1760</v>
      </c>
    </row>
    <row r="1960" spans="1:25" x14ac:dyDescent="0.35">
      <c r="A1960" s="6" t="s">
        <v>25</v>
      </c>
      <c r="B1960" s="6" t="s">
        <v>2386</v>
      </c>
      <c r="D1960" s="6" t="s">
        <v>2387</v>
      </c>
      <c r="E1960" s="6">
        <v>5</v>
      </c>
      <c r="F1960" s="6">
        <v>61</v>
      </c>
      <c r="I1960" s="8">
        <v>88.700402291666705</v>
      </c>
      <c r="J1960" s="8">
        <v>111.973632708333</v>
      </c>
      <c r="K1960" s="6" t="s">
        <v>29</v>
      </c>
      <c r="L1960" s="9">
        <v>44081</v>
      </c>
      <c r="N1960" s="6">
        <v>51</v>
      </c>
      <c r="O1960" s="6" t="s">
        <v>4434</v>
      </c>
      <c r="R1960" s="6">
        <v>50</v>
      </c>
      <c r="S1960" s="6">
        <v>60</v>
      </c>
      <c r="T1960" s="10">
        <f t="shared" si="109"/>
        <v>55</v>
      </c>
      <c r="U1960" s="15">
        <v>0.9</v>
      </c>
      <c r="V1960" s="8">
        <v>0.37627752669155623</v>
      </c>
      <c r="W1960" s="8">
        <v>4.7214343931913376</v>
      </c>
      <c r="X1960" s="8">
        <f t="shared" si="108"/>
        <v>1.7112141796588878</v>
      </c>
      <c r="Y1960" s="6" t="s">
        <v>1760</v>
      </c>
    </row>
    <row r="1961" spans="1:25" x14ac:dyDescent="0.35">
      <c r="A1961" s="6" t="s">
        <v>25</v>
      </c>
      <c r="B1961" s="6" t="s">
        <v>2388</v>
      </c>
      <c r="D1961" s="6" t="s">
        <v>2389</v>
      </c>
      <c r="E1961" s="6">
        <v>5</v>
      </c>
      <c r="F1961" s="6">
        <v>61</v>
      </c>
      <c r="I1961" s="8">
        <v>88.700402291666705</v>
      </c>
      <c r="J1961" s="8">
        <v>111.973632708333</v>
      </c>
      <c r="K1961" s="6" t="s">
        <v>29</v>
      </c>
      <c r="L1961" s="9">
        <v>44081</v>
      </c>
      <c r="N1961" s="6">
        <v>51</v>
      </c>
      <c r="O1961" s="6" t="s">
        <v>4434</v>
      </c>
      <c r="R1961" s="6">
        <v>60</v>
      </c>
      <c r="S1961" s="6">
        <v>70</v>
      </c>
      <c r="T1961" s="10">
        <f t="shared" si="109"/>
        <v>65</v>
      </c>
      <c r="U1961" s="15">
        <v>1.2</v>
      </c>
      <c r="V1961" s="8">
        <v>0.49224884517431244</v>
      </c>
      <c r="W1961" s="8">
        <v>3.5043006166458124</v>
      </c>
      <c r="X1961" s="8">
        <f t="shared" si="108"/>
        <v>-0.43369014474868717</v>
      </c>
      <c r="Y1961" s="6" t="s">
        <v>1760</v>
      </c>
    </row>
    <row r="1962" spans="1:25" x14ac:dyDescent="0.35">
      <c r="A1962" s="6" t="s">
        <v>25</v>
      </c>
      <c r="B1962" s="6" t="s">
        <v>2390</v>
      </c>
      <c r="D1962" s="6" t="s">
        <v>2391</v>
      </c>
      <c r="E1962" s="6">
        <v>5</v>
      </c>
      <c r="F1962" s="6">
        <v>61</v>
      </c>
      <c r="I1962" s="8">
        <v>88.700402291666705</v>
      </c>
      <c r="J1962" s="8">
        <v>111.973632708333</v>
      </c>
      <c r="K1962" s="6" t="s">
        <v>29</v>
      </c>
      <c r="L1962" s="9">
        <v>44081</v>
      </c>
      <c r="N1962" s="6">
        <v>51</v>
      </c>
      <c r="O1962" s="6" t="s">
        <v>4434</v>
      </c>
      <c r="R1962" s="6">
        <v>70</v>
      </c>
      <c r="S1962" s="6">
        <v>80</v>
      </c>
      <c r="T1962" s="10">
        <f t="shared" si="109"/>
        <v>75</v>
      </c>
      <c r="U1962" s="15">
        <v>3</v>
      </c>
      <c r="V1962" s="8">
        <v>0.43626049751043344</v>
      </c>
      <c r="W1962" s="8">
        <v>3.6935426937580109</v>
      </c>
      <c r="X1962" s="8">
        <f t="shared" si="108"/>
        <v>0.20345871367454338</v>
      </c>
      <c r="Y1962" s="6" t="s">
        <v>1760</v>
      </c>
    </row>
    <row r="1963" spans="1:25" x14ac:dyDescent="0.35">
      <c r="A1963" s="6" t="s">
        <v>25</v>
      </c>
      <c r="B1963" s="6" t="s">
        <v>2392</v>
      </c>
      <c r="D1963" s="6" t="s">
        <v>2393</v>
      </c>
      <c r="E1963" s="6">
        <v>5</v>
      </c>
      <c r="F1963" s="6">
        <v>61</v>
      </c>
      <c r="I1963" s="8">
        <v>88.700402291666705</v>
      </c>
      <c r="J1963" s="8">
        <v>111.973632708333</v>
      </c>
      <c r="K1963" s="6" t="s">
        <v>29</v>
      </c>
      <c r="L1963" s="9">
        <v>44081</v>
      </c>
      <c r="N1963" s="6">
        <v>51</v>
      </c>
      <c r="O1963" s="6" t="s">
        <v>4434</v>
      </c>
      <c r="R1963" s="6">
        <v>80</v>
      </c>
      <c r="S1963" s="6">
        <v>90</v>
      </c>
      <c r="T1963" s="10">
        <f t="shared" si="109"/>
        <v>85</v>
      </c>
      <c r="U1963" s="15">
        <v>3.1</v>
      </c>
      <c r="V1963" s="8">
        <v>0.67475790311336536</v>
      </c>
      <c r="W1963" s="8">
        <v>3.8651122178375719</v>
      </c>
      <c r="X1963" s="8">
        <f t="shared" si="108"/>
        <v>-1.5329510070693511</v>
      </c>
      <c r="Y1963" s="6" t="s">
        <v>1760</v>
      </c>
    </row>
    <row r="1964" spans="1:25" x14ac:dyDescent="0.35">
      <c r="A1964" s="6" t="s">
        <v>25</v>
      </c>
      <c r="B1964" s="6" t="s">
        <v>2394</v>
      </c>
      <c r="D1964" s="6" t="s">
        <v>2395</v>
      </c>
      <c r="E1964" s="6">
        <v>5</v>
      </c>
      <c r="F1964" s="6">
        <v>61</v>
      </c>
      <c r="I1964" s="8">
        <v>88.700402291666705</v>
      </c>
      <c r="J1964" s="8">
        <v>111.973632708333</v>
      </c>
      <c r="K1964" s="6" t="s">
        <v>29</v>
      </c>
      <c r="L1964" s="9">
        <v>44081</v>
      </c>
      <c r="N1964" s="6">
        <v>51</v>
      </c>
      <c r="O1964" s="6" t="s">
        <v>4434</v>
      </c>
      <c r="R1964" s="6">
        <v>90</v>
      </c>
      <c r="S1964" s="6">
        <v>100</v>
      </c>
      <c r="T1964" s="10">
        <f t="shared" si="109"/>
        <v>95</v>
      </c>
      <c r="U1964" s="15">
        <v>2.7</v>
      </c>
      <c r="V1964" s="8">
        <v>0.57804952139616039</v>
      </c>
      <c r="W1964" s="8">
        <v>5.2959255332469954</v>
      </c>
      <c r="X1964" s="8">
        <f t="shared" si="108"/>
        <v>0.6715293620777123</v>
      </c>
      <c r="Y1964" s="6" t="s">
        <v>1760</v>
      </c>
    </row>
    <row r="1965" spans="1:25" x14ac:dyDescent="0.35">
      <c r="A1965" s="6" t="s">
        <v>25</v>
      </c>
      <c r="B1965" s="6" t="s">
        <v>2396</v>
      </c>
      <c r="D1965" s="6" t="s">
        <v>2397</v>
      </c>
      <c r="E1965" s="6">
        <v>5</v>
      </c>
      <c r="F1965" s="6">
        <v>61</v>
      </c>
      <c r="I1965" s="8">
        <v>88.700402291666705</v>
      </c>
      <c r="J1965" s="8">
        <v>111.973632708333</v>
      </c>
      <c r="K1965" s="6" t="s">
        <v>29</v>
      </c>
      <c r="L1965" s="9">
        <v>44081</v>
      </c>
      <c r="N1965" s="6">
        <v>51</v>
      </c>
      <c r="O1965" s="6" t="s">
        <v>4434</v>
      </c>
      <c r="R1965" s="6">
        <v>100</v>
      </c>
      <c r="S1965" s="6">
        <v>110</v>
      </c>
      <c r="T1965" s="10">
        <f t="shared" si="109"/>
        <v>105</v>
      </c>
      <c r="U1965" s="15">
        <v>2.7</v>
      </c>
      <c r="V1965" s="8">
        <v>0.52753250337600688</v>
      </c>
      <c r="W1965" s="8">
        <v>3.9121907855987548</v>
      </c>
      <c r="X1965" s="8">
        <f t="shared" si="108"/>
        <v>-0.30806924140930025</v>
      </c>
      <c r="Y1965" s="6" t="s">
        <v>1760</v>
      </c>
    </row>
    <row r="1966" spans="1:25" x14ac:dyDescent="0.35">
      <c r="A1966" s="6" t="s">
        <v>25</v>
      </c>
      <c r="B1966" s="6" t="s">
        <v>2398</v>
      </c>
      <c r="D1966" s="6" t="s">
        <v>2399</v>
      </c>
      <c r="E1966" s="6">
        <v>5</v>
      </c>
      <c r="F1966" s="6">
        <v>61</v>
      </c>
      <c r="I1966" s="8">
        <v>88.700402291666705</v>
      </c>
      <c r="J1966" s="8">
        <v>111.973632708333</v>
      </c>
      <c r="K1966" s="6" t="s">
        <v>29</v>
      </c>
      <c r="L1966" s="9">
        <v>44081</v>
      </c>
      <c r="N1966" s="6">
        <v>51</v>
      </c>
      <c r="O1966" s="6" t="s">
        <v>4434</v>
      </c>
      <c r="R1966" s="6">
        <v>110</v>
      </c>
      <c r="S1966" s="6">
        <v>120</v>
      </c>
      <c r="T1966" s="10">
        <f t="shared" si="109"/>
        <v>115</v>
      </c>
      <c r="U1966" s="15">
        <v>2.9</v>
      </c>
      <c r="V1966" s="8">
        <v>0.69538383210659083</v>
      </c>
      <c r="W1966" s="8">
        <v>5.7336314930438999</v>
      </c>
      <c r="X1966" s="8">
        <f t="shared" si="108"/>
        <v>0.17056083619117324</v>
      </c>
      <c r="Y1966" s="6" t="s">
        <v>1760</v>
      </c>
    </row>
    <row r="1967" spans="1:25" x14ac:dyDescent="0.35">
      <c r="A1967" s="6" t="s">
        <v>25</v>
      </c>
      <c r="B1967" s="6" t="s">
        <v>2400</v>
      </c>
      <c r="D1967" s="6" t="s">
        <v>2401</v>
      </c>
      <c r="E1967" s="6">
        <v>5</v>
      </c>
      <c r="F1967" s="6">
        <v>61</v>
      </c>
      <c r="I1967" s="8">
        <v>88.700402291666705</v>
      </c>
      <c r="J1967" s="8">
        <v>111.973632708333</v>
      </c>
      <c r="K1967" s="6" t="s">
        <v>29</v>
      </c>
      <c r="L1967" s="9">
        <v>44081</v>
      </c>
      <c r="N1967" s="6">
        <v>51</v>
      </c>
      <c r="O1967" s="6" t="s">
        <v>4434</v>
      </c>
      <c r="R1967" s="6">
        <v>120</v>
      </c>
      <c r="S1967" s="6">
        <v>130</v>
      </c>
      <c r="T1967" s="10">
        <f t="shared" si="109"/>
        <v>125</v>
      </c>
      <c r="U1967" s="15">
        <v>2.4</v>
      </c>
      <c r="V1967" s="8">
        <v>0.88820762861728686</v>
      </c>
      <c r="W1967" s="8">
        <v>7.4461161396026627</v>
      </c>
      <c r="X1967" s="8">
        <f t="shared" si="108"/>
        <v>0.34045511066436784</v>
      </c>
      <c r="Y1967" s="6" t="s">
        <v>1760</v>
      </c>
    </row>
    <row r="1968" spans="1:25" x14ac:dyDescent="0.35">
      <c r="A1968" s="6" t="s">
        <v>25</v>
      </c>
      <c r="B1968" s="6" t="s">
        <v>2402</v>
      </c>
      <c r="D1968" s="6" t="s">
        <v>2403</v>
      </c>
      <c r="E1968" s="6">
        <v>5</v>
      </c>
      <c r="F1968" s="6">
        <v>61</v>
      </c>
      <c r="I1968" s="8">
        <v>88.700402291666705</v>
      </c>
      <c r="J1968" s="8">
        <v>111.973632708333</v>
      </c>
      <c r="K1968" s="6" t="s">
        <v>29</v>
      </c>
      <c r="L1968" s="9">
        <v>44081</v>
      </c>
      <c r="N1968" s="6">
        <v>51</v>
      </c>
      <c r="O1968" s="6" t="s">
        <v>4434</v>
      </c>
      <c r="R1968" s="6">
        <v>130</v>
      </c>
      <c r="S1968" s="6">
        <v>139</v>
      </c>
      <c r="T1968" s="10">
        <f t="shared" si="109"/>
        <v>134.5</v>
      </c>
      <c r="U1968" s="15">
        <v>3</v>
      </c>
      <c r="V1968" s="8">
        <v>0.7314626279568669</v>
      </c>
      <c r="W1968" s="8">
        <v>5.8479816784381873</v>
      </c>
      <c r="X1968" s="8">
        <f t="shared" si="108"/>
        <v>-3.7193452167478824E-3</v>
      </c>
      <c r="Y1968" s="6" t="s">
        <v>1760</v>
      </c>
    </row>
    <row r="1969" spans="1:25" x14ac:dyDescent="0.35">
      <c r="A1969" s="6" t="s">
        <v>25</v>
      </c>
      <c r="B1969" s="6" t="s">
        <v>3612</v>
      </c>
      <c r="D1969" s="6" t="s">
        <v>3914</v>
      </c>
      <c r="E1969" s="6">
        <v>5</v>
      </c>
      <c r="F1969" s="6">
        <v>61</v>
      </c>
      <c r="G1969" s="6" t="s">
        <v>4216</v>
      </c>
      <c r="I1969" s="8">
        <v>88.700402291666705</v>
      </c>
      <c r="J1969" s="8">
        <v>111.973632708333</v>
      </c>
      <c r="K1969" s="6" t="s">
        <v>2610</v>
      </c>
      <c r="L1969" s="9">
        <v>44081</v>
      </c>
      <c r="N1969" s="6">
        <v>51</v>
      </c>
      <c r="O1969" s="6" t="s">
        <v>4434</v>
      </c>
      <c r="V1969" s="8">
        <v>-3.1726754663753507</v>
      </c>
      <c r="W1969" s="8">
        <v>-23.304829589080811</v>
      </c>
      <c r="X1969" s="27">
        <f t="shared" si="108"/>
        <v>2.076574141921995</v>
      </c>
    </row>
    <row r="1970" spans="1:25" x14ac:dyDescent="0.35">
      <c r="A1970" s="6" t="s">
        <v>25</v>
      </c>
      <c r="B1970" s="6" t="s">
        <v>2404</v>
      </c>
      <c r="D1970" s="6" t="s">
        <v>2405</v>
      </c>
      <c r="E1970" s="6">
        <v>5</v>
      </c>
      <c r="F1970" s="6">
        <v>61</v>
      </c>
      <c r="G1970" s="6" t="s">
        <v>2406</v>
      </c>
      <c r="I1970" s="8">
        <v>88.700402291666705</v>
      </c>
      <c r="J1970" s="8">
        <v>111.973632708333</v>
      </c>
      <c r="K1970" s="6" t="s">
        <v>29</v>
      </c>
      <c r="L1970" s="9">
        <v>44081</v>
      </c>
      <c r="N1970" s="6">
        <v>51</v>
      </c>
      <c r="O1970" s="6" t="s">
        <v>4434</v>
      </c>
      <c r="T1970" s="10"/>
      <c r="U1970" s="6">
        <v>1.3</v>
      </c>
      <c r="V1970" s="8">
        <v>-2.5661941001415256</v>
      </c>
      <c r="W1970" s="8">
        <v>-19.068419090270996</v>
      </c>
      <c r="X1970" s="8">
        <f t="shared" si="108"/>
        <v>1.4611337108612084</v>
      </c>
    </row>
    <row r="1971" spans="1:25" x14ac:dyDescent="0.35">
      <c r="A1971" s="6" t="s">
        <v>25</v>
      </c>
      <c r="B1971" s="6" t="s">
        <v>3613</v>
      </c>
      <c r="D1971" s="6" t="s">
        <v>3915</v>
      </c>
      <c r="E1971" s="6">
        <v>5</v>
      </c>
      <c r="F1971" s="6">
        <v>61</v>
      </c>
      <c r="G1971" s="6" t="s">
        <v>4217</v>
      </c>
      <c r="I1971" s="8">
        <v>88.676109999999994</v>
      </c>
      <c r="J1971" s="8">
        <v>112.66196600000001</v>
      </c>
      <c r="K1971" s="6" t="s">
        <v>2610</v>
      </c>
      <c r="L1971" s="9">
        <v>44082</v>
      </c>
      <c r="N1971" s="6">
        <v>51</v>
      </c>
      <c r="O1971" s="6" t="s">
        <v>4435</v>
      </c>
      <c r="V1971" s="8">
        <v>-3.0957947642374037</v>
      </c>
      <c r="W1971" s="8">
        <v>-22.975678805541989</v>
      </c>
      <c r="X1971" s="27">
        <f t="shared" si="108"/>
        <v>1.790679308357241</v>
      </c>
    </row>
    <row r="1972" spans="1:25" x14ac:dyDescent="0.35">
      <c r="A1972" s="6" t="s">
        <v>25</v>
      </c>
      <c r="B1972" s="6" t="s">
        <v>3082</v>
      </c>
      <c r="D1972" s="6" t="s">
        <v>3172</v>
      </c>
      <c r="E1972" s="6">
        <v>5</v>
      </c>
      <c r="F1972" s="6">
        <v>61</v>
      </c>
      <c r="G1972" s="6" t="s">
        <v>3285</v>
      </c>
      <c r="I1972" s="8">
        <v>88.676109999999994</v>
      </c>
      <c r="J1972" s="8">
        <v>112.66196600000001</v>
      </c>
      <c r="K1972" s="6" t="s">
        <v>198</v>
      </c>
      <c r="L1972" s="9">
        <v>44082</v>
      </c>
      <c r="M1972" s="18">
        <v>0.29722222222222222</v>
      </c>
      <c r="N1972" s="6">
        <v>51</v>
      </c>
      <c r="O1972" s="6" t="s">
        <v>4435</v>
      </c>
      <c r="R1972" s="6">
        <v>3.5</v>
      </c>
      <c r="S1972" s="6">
        <v>2.5</v>
      </c>
      <c r="V1972" s="8">
        <v>-10.268660057830809</v>
      </c>
      <c r="W1972" s="8">
        <v>-79.657069168090814</v>
      </c>
      <c r="X1972" s="8">
        <f t="shared" si="108"/>
        <v>2.4922112945556592</v>
      </c>
      <c r="Y1972" s="6" t="s">
        <v>3284</v>
      </c>
    </row>
    <row r="1973" spans="1:25" x14ac:dyDescent="0.35">
      <c r="A1973" s="6" t="s">
        <v>25</v>
      </c>
      <c r="B1973" s="6" t="s">
        <v>3614</v>
      </c>
      <c r="D1973" s="6" t="s">
        <v>3916</v>
      </c>
      <c r="E1973" s="6">
        <v>5</v>
      </c>
      <c r="F1973" s="6">
        <v>61</v>
      </c>
      <c r="G1973" s="6" t="s">
        <v>4218</v>
      </c>
      <c r="I1973" s="8">
        <v>88.722359513888875</v>
      </c>
      <c r="J1973" s="8">
        <v>111.1908485416667</v>
      </c>
      <c r="K1973" s="6" t="s">
        <v>2610</v>
      </c>
      <c r="L1973" s="9">
        <v>44083</v>
      </c>
      <c r="N1973" s="6">
        <v>51</v>
      </c>
      <c r="O1973" s="6" t="s">
        <v>4436</v>
      </c>
      <c r="V1973" s="8">
        <v>-3.1537053119707101</v>
      </c>
      <c r="W1973" s="8">
        <v>-23.09072508926392</v>
      </c>
      <c r="X1973" s="27">
        <f t="shared" si="108"/>
        <v>2.1389174065017613</v>
      </c>
    </row>
    <row r="1974" spans="1:25" x14ac:dyDescent="0.35">
      <c r="A1974" s="6" t="s">
        <v>25</v>
      </c>
      <c r="B1974" s="6" t="s">
        <v>2407</v>
      </c>
      <c r="D1974" s="6" t="s">
        <v>2408</v>
      </c>
      <c r="E1974" s="6">
        <v>5</v>
      </c>
      <c r="F1974" s="6">
        <v>61</v>
      </c>
      <c r="G1974" s="6" t="s">
        <v>2409</v>
      </c>
      <c r="I1974" s="8">
        <v>88.722359513888875</v>
      </c>
      <c r="J1974" s="8">
        <v>111.1908485416667</v>
      </c>
      <c r="K1974" s="6" t="s">
        <v>4450</v>
      </c>
      <c r="L1974" s="9">
        <v>44083</v>
      </c>
      <c r="N1974" s="6">
        <v>51</v>
      </c>
      <c r="O1974" s="6" t="s">
        <v>4436</v>
      </c>
      <c r="T1974" s="10"/>
      <c r="U1974" s="6">
        <v>5.0999999999999996</v>
      </c>
      <c r="V1974" s="8">
        <v>-2.3417473969459541</v>
      </c>
      <c r="W1974" s="8">
        <v>-16.112235500335693</v>
      </c>
      <c r="X1974" s="8">
        <f t="shared" si="108"/>
        <v>2.6217436752319401</v>
      </c>
    </row>
    <row r="1975" spans="1:25" x14ac:dyDescent="0.35">
      <c r="A1975" s="6" t="s">
        <v>25</v>
      </c>
      <c r="B1975" s="6" t="s">
        <v>2410</v>
      </c>
      <c r="D1975" s="6" t="s">
        <v>2411</v>
      </c>
      <c r="E1975" s="6">
        <v>5</v>
      </c>
      <c r="F1975" s="6">
        <v>61</v>
      </c>
      <c r="G1975" s="6" t="s">
        <v>2412</v>
      </c>
      <c r="I1975" s="8">
        <v>88.722359513888875</v>
      </c>
      <c r="J1975" s="8">
        <v>111.1908485416667</v>
      </c>
      <c r="K1975" s="6" t="s">
        <v>4450</v>
      </c>
      <c r="L1975" s="9">
        <v>44083</v>
      </c>
      <c r="N1975" s="6">
        <v>51</v>
      </c>
      <c r="O1975" s="6" t="s">
        <v>4436</v>
      </c>
      <c r="T1975" s="10"/>
      <c r="U1975" s="6">
        <v>2.9</v>
      </c>
      <c r="V1975" s="8">
        <v>-2.5236380381584169</v>
      </c>
      <c r="W1975" s="8">
        <v>-18.140043548583986</v>
      </c>
      <c r="X1975" s="8">
        <f t="shared" si="108"/>
        <v>2.0490607566833496</v>
      </c>
    </row>
    <row r="1976" spans="1:25" x14ac:dyDescent="0.35">
      <c r="A1976" s="6" t="s">
        <v>25</v>
      </c>
      <c r="B1976" s="6" t="s">
        <v>2413</v>
      </c>
      <c r="D1976" s="6" t="s">
        <v>2414</v>
      </c>
      <c r="E1976" s="6">
        <v>5</v>
      </c>
      <c r="F1976" s="6">
        <v>61</v>
      </c>
      <c r="G1976" s="6" t="s">
        <v>2415</v>
      </c>
      <c r="I1976" s="8">
        <v>88.722359513888904</v>
      </c>
      <c r="J1976" s="8">
        <v>111.19084854166699</v>
      </c>
      <c r="K1976" s="6" t="s">
        <v>4450</v>
      </c>
      <c r="L1976" s="9">
        <v>44083</v>
      </c>
      <c r="N1976" s="6">
        <v>51</v>
      </c>
      <c r="O1976" s="6" t="s">
        <v>4436</v>
      </c>
      <c r="T1976" s="10"/>
      <c r="U1976" s="6">
        <v>0.2</v>
      </c>
      <c r="V1976" s="8">
        <v>-1.7753955185222621</v>
      </c>
      <c r="W1976" s="8">
        <v>-12.408706993103028</v>
      </c>
      <c r="X1976" s="8">
        <f t="shared" si="108"/>
        <v>1.7944571550750688</v>
      </c>
    </row>
    <row r="1977" spans="1:25" x14ac:dyDescent="0.35">
      <c r="A1977" s="6" t="s">
        <v>25</v>
      </c>
      <c r="B1977" s="6" t="s">
        <v>2416</v>
      </c>
      <c r="D1977" s="6" t="s">
        <v>2417</v>
      </c>
      <c r="E1977" s="6">
        <v>5</v>
      </c>
      <c r="F1977" s="6">
        <v>61</v>
      </c>
      <c r="G1977" s="6" t="s">
        <v>2418</v>
      </c>
      <c r="I1977" s="8">
        <v>88.722359513888904</v>
      </c>
      <c r="J1977" s="8">
        <v>111.19084854166699</v>
      </c>
      <c r="K1977" s="6" t="s">
        <v>4450</v>
      </c>
      <c r="L1977" s="9">
        <v>44083</v>
      </c>
      <c r="N1977" s="6">
        <v>51</v>
      </c>
      <c r="O1977" s="6" t="s">
        <v>4436</v>
      </c>
      <c r="T1977" s="10"/>
      <c r="U1977" s="6">
        <v>4</v>
      </c>
      <c r="V1977" s="8">
        <v>-3.1930734541225436</v>
      </c>
      <c r="W1977" s="8">
        <v>-22.911508941650389</v>
      </c>
      <c r="X1977" s="8">
        <f t="shared" si="108"/>
        <v>2.6330786913299598</v>
      </c>
    </row>
    <row r="1978" spans="1:25" x14ac:dyDescent="0.35">
      <c r="A1978" s="6" t="s">
        <v>25</v>
      </c>
      <c r="B1978" s="6" t="s">
        <v>2419</v>
      </c>
      <c r="D1978" s="6" t="s">
        <v>2420</v>
      </c>
      <c r="E1978" s="6">
        <v>5</v>
      </c>
      <c r="F1978" s="6">
        <v>61</v>
      </c>
      <c r="G1978" s="6" t="s">
        <v>2421</v>
      </c>
      <c r="I1978" s="8">
        <v>88.722359513888904</v>
      </c>
      <c r="J1978" s="8">
        <v>111.19084854166699</v>
      </c>
      <c r="K1978" s="6" t="s">
        <v>4450</v>
      </c>
      <c r="L1978" s="9">
        <v>44083</v>
      </c>
      <c r="N1978" s="6">
        <v>51</v>
      </c>
      <c r="O1978" s="6" t="s">
        <v>4436</v>
      </c>
      <c r="T1978" s="10"/>
      <c r="U1978" s="6">
        <v>3.7</v>
      </c>
      <c r="V1978" s="8">
        <v>-2.2850872247028353</v>
      </c>
      <c r="W1978" s="8">
        <v>-15.55744017791748</v>
      </c>
      <c r="X1978" s="8">
        <f t="shared" si="108"/>
        <v>2.723257619705203</v>
      </c>
    </row>
    <row r="1979" spans="1:25" x14ac:dyDescent="0.35">
      <c r="A1979" s="6" t="s">
        <v>25</v>
      </c>
      <c r="B1979" s="6" t="s">
        <v>2422</v>
      </c>
      <c r="D1979" s="6" t="s">
        <v>2423</v>
      </c>
      <c r="E1979" s="6">
        <v>5</v>
      </c>
      <c r="F1979" s="6">
        <v>61</v>
      </c>
      <c r="G1979" s="6" t="s">
        <v>2424</v>
      </c>
      <c r="I1979" s="8">
        <v>88.722359513888904</v>
      </c>
      <c r="J1979" s="8">
        <v>111.19084854166699</v>
      </c>
      <c r="K1979" s="6" t="s">
        <v>4450</v>
      </c>
      <c r="L1979" s="9">
        <v>44083</v>
      </c>
      <c r="N1979" s="6">
        <v>51</v>
      </c>
      <c r="O1979" s="6" t="s">
        <v>4436</v>
      </c>
      <c r="T1979" s="10"/>
      <c r="U1979" s="6">
        <v>10.7</v>
      </c>
      <c r="V1979" s="8">
        <v>-1.7447041061925885</v>
      </c>
      <c r="W1979" s="8">
        <v>-12.14357176208496</v>
      </c>
      <c r="X1979" s="8">
        <f t="shared" si="108"/>
        <v>1.8140610874557481</v>
      </c>
    </row>
    <row r="1980" spans="1:25" x14ac:dyDescent="0.35">
      <c r="A1980" s="6" t="s">
        <v>25</v>
      </c>
      <c r="B1980" s="6" t="s">
        <v>2425</v>
      </c>
      <c r="D1980" s="6" t="s">
        <v>2426</v>
      </c>
      <c r="E1980" s="6">
        <v>5</v>
      </c>
      <c r="F1980" s="6">
        <v>61</v>
      </c>
      <c r="G1980" s="6" t="s">
        <v>2427</v>
      </c>
      <c r="I1980" s="8">
        <v>88.722359513888904</v>
      </c>
      <c r="J1980" s="8">
        <v>111.19084854166699</v>
      </c>
      <c r="K1980" s="6" t="s">
        <v>4450</v>
      </c>
      <c r="L1980" s="9">
        <v>44083</v>
      </c>
      <c r="N1980" s="6">
        <v>51</v>
      </c>
      <c r="O1980" s="6" t="s">
        <v>4436</v>
      </c>
      <c r="T1980" s="10"/>
      <c r="U1980" s="6">
        <v>11.2</v>
      </c>
      <c r="V1980" s="8">
        <v>-1.7637827569055557</v>
      </c>
      <c r="W1980" s="8">
        <v>-11.624226333618164</v>
      </c>
      <c r="X1980" s="8">
        <f t="shared" si="108"/>
        <v>2.4860357216262816</v>
      </c>
    </row>
    <row r="1981" spans="1:25" x14ac:dyDescent="0.35">
      <c r="A1981" s="6" t="s">
        <v>25</v>
      </c>
      <c r="B1981" s="6" t="s">
        <v>2428</v>
      </c>
      <c r="D1981" s="6" t="s">
        <v>2429</v>
      </c>
      <c r="E1981" s="6">
        <v>5</v>
      </c>
      <c r="F1981" s="6">
        <v>61</v>
      </c>
      <c r="G1981" s="6" t="s">
        <v>2430</v>
      </c>
      <c r="I1981" s="8">
        <v>88.722359513888904</v>
      </c>
      <c r="J1981" s="8">
        <v>111.19084854166699</v>
      </c>
      <c r="K1981" s="6" t="s">
        <v>4450</v>
      </c>
      <c r="L1981" s="9">
        <v>44083</v>
      </c>
      <c r="N1981" s="6">
        <v>51</v>
      </c>
      <c r="O1981" s="6" t="s">
        <v>4436</v>
      </c>
      <c r="T1981" s="10"/>
      <c r="U1981" s="6">
        <v>7.8</v>
      </c>
      <c r="V1981" s="8">
        <v>-2.3256004626560216</v>
      </c>
      <c r="W1981" s="8">
        <v>-16.41851055908203</v>
      </c>
      <c r="X1981" s="8">
        <f t="shared" si="108"/>
        <v>2.1862931421661429</v>
      </c>
    </row>
    <row r="1982" spans="1:25" x14ac:dyDescent="0.35">
      <c r="A1982" s="6" t="s">
        <v>25</v>
      </c>
      <c r="B1982" s="6" t="s">
        <v>2431</v>
      </c>
      <c r="D1982" s="6" t="s">
        <v>2432</v>
      </c>
      <c r="E1982" s="6">
        <v>5</v>
      </c>
      <c r="F1982" s="6">
        <v>61</v>
      </c>
      <c r="G1982" s="6" t="s">
        <v>2433</v>
      </c>
      <c r="I1982" s="8">
        <v>88.722359513888904</v>
      </c>
      <c r="J1982" s="8">
        <v>111.19084854166699</v>
      </c>
      <c r="K1982" s="6" t="s">
        <v>4450</v>
      </c>
      <c r="L1982" s="9">
        <v>44083</v>
      </c>
      <c r="N1982" s="6">
        <v>51</v>
      </c>
      <c r="O1982" s="6" t="s">
        <v>4436</v>
      </c>
      <c r="T1982" s="10"/>
      <c r="U1982" s="6">
        <v>8.9</v>
      </c>
      <c r="V1982" s="8">
        <v>-1.9449482257175441</v>
      </c>
      <c r="W1982" s="8">
        <v>-13.695643478393555</v>
      </c>
      <c r="X1982" s="8">
        <f t="shared" si="108"/>
        <v>1.8639423273467983</v>
      </c>
    </row>
    <row r="1983" spans="1:25" x14ac:dyDescent="0.35">
      <c r="A1983" s="6" t="s">
        <v>25</v>
      </c>
      <c r="B1983" s="6" t="s">
        <v>2434</v>
      </c>
      <c r="D1983" s="6" t="s">
        <v>2435</v>
      </c>
      <c r="E1983" s="6">
        <v>5</v>
      </c>
      <c r="F1983" s="6">
        <v>61</v>
      </c>
      <c r="G1983" s="6" t="s">
        <v>2436</v>
      </c>
      <c r="I1983" s="8">
        <v>88.722359513888904</v>
      </c>
      <c r="J1983" s="8">
        <v>111.19084854166699</v>
      </c>
      <c r="K1983" s="6" t="s">
        <v>4450</v>
      </c>
      <c r="L1983" s="9">
        <v>44083</v>
      </c>
      <c r="N1983" s="6">
        <v>51</v>
      </c>
      <c r="O1983" s="6" t="s">
        <v>4436</v>
      </c>
      <c r="T1983" s="10"/>
      <c r="U1983" s="6">
        <v>9.1</v>
      </c>
      <c r="V1983" s="8">
        <v>-1.4501772098350525</v>
      </c>
      <c r="W1983" s="8">
        <v>-9.3971129150390631</v>
      </c>
      <c r="X1983" s="8">
        <f t="shared" si="108"/>
        <v>2.2043047636413569</v>
      </c>
    </row>
    <row r="1984" spans="1:25" x14ac:dyDescent="0.35">
      <c r="A1984" s="6" t="s">
        <v>25</v>
      </c>
      <c r="B1984" s="6" t="s">
        <v>2437</v>
      </c>
      <c r="D1984" s="6" t="s">
        <v>2438</v>
      </c>
      <c r="E1984" s="6">
        <v>5</v>
      </c>
      <c r="F1984" s="6">
        <v>61</v>
      </c>
      <c r="G1984" s="6" t="s">
        <v>2439</v>
      </c>
      <c r="I1984" s="8">
        <v>88.722359513888904</v>
      </c>
      <c r="J1984" s="8">
        <v>111.19084854166699</v>
      </c>
      <c r="K1984" s="6" t="s">
        <v>4450</v>
      </c>
      <c r="L1984" s="9">
        <v>44083</v>
      </c>
      <c r="N1984" s="6">
        <v>51</v>
      </c>
      <c r="O1984" s="6" t="s">
        <v>4436</v>
      </c>
      <c r="T1984" s="10"/>
      <c r="U1984" s="6">
        <v>8.5</v>
      </c>
      <c r="V1984" s="8">
        <v>-1.7963523621368414</v>
      </c>
      <c r="W1984" s="8">
        <v>-12.648750869750977</v>
      </c>
      <c r="X1984" s="8">
        <f t="shared" si="108"/>
        <v>1.7220680273437541</v>
      </c>
    </row>
    <row r="1985" spans="1:24" x14ac:dyDescent="0.35">
      <c r="A1985" s="6" t="s">
        <v>25</v>
      </c>
      <c r="B1985" s="6" t="s">
        <v>2440</v>
      </c>
      <c r="D1985" s="6" t="s">
        <v>2441</v>
      </c>
      <c r="E1985" s="6">
        <v>5</v>
      </c>
      <c r="F1985" s="6">
        <v>61</v>
      </c>
      <c r="G1985" s="6" t="s">
        <v>2442</v>
      </c>
      <c r="I1985" s="8">
        <v>88.722359513888904</v>
      </c>
      <c r="J1985" s="8">
        <v>111.19084854166699</v>
      </c>
      <c r="K1985" s="6" t="s">
        <v>4450</v>
      </c>
      <c r="L1985" s="9">
        <v>44083</v>
      </c>
      <c r="N1985" s="6">
        <v>51</v>
      </c>
      <c r="O1985" s="6" t="s">
        <v>4436</v>
      </c>
      <c r="T1985" s="10"/>
      <c r="U1985" s="6">
        <v>4.0999999999999996</v>
      </c>
      <c r="V1985" s="8">
        <v>-1.9230166115570064</v>
      </c>
      <c r="W1985" s="8">
        <v>-13.020551101684569</v>
      </c>
      <c r="X1985" s="8">
        <f t="shared" si="108"/>
        <v>2.363581790771482</v>
      </c>
    </row>
    <row r="1986" spans="1:24" x14ac:dyDescent="0.35">
      <c r="A1986" s="6" t="s">
        <v>25</v>
      </c>
      <c r="B1986" s="6" t="s">
        <v>3615</v>
      </c>
      <c r="D1986" s="6" t="s">
        <v>3917</v>
      </c>
      <c r="E1986" s="6">
        <v>5</v>
      </c>
      <c r="F1986" s="6">
        <v>61</v>
      </c>
      <c r="G1986" s="6" t="s">
        <v>4219</v>
      </c>
      <c r="I1986" s="8">
        <v>88.711912361111132</v>
      </c>
      <c r="J1986" s="8">
        <v>106.89097458333339</v>
      </c>
      <c r="K1986" s="6" t="s">
        <v>2610</v>
      </c>
      <c r="L1986" s="9">
        <v>44084</v>
      </c>
      <c r="N1986" s="6">
        <v>51</v>
      </c>
      <c r="O1986" s="6" t="s">
        <v>4437</v>
      </c>
      <c r="V1986" s="8">
        <v>-3.0480237314414973</v>
      </c>
      <c r="W1986" s="8">
        <v>-22.071272628784179</v>
      </c>
      <c r="X1986" s="27">
        <f t="shared" si="108"/>
        <v>2.3129172227477994</v>
      </c>
    </row>
    <row r="1987" spans="1:24" x14ac:dyDescent="0.35">
      <c r="A1987" s="6" t="s">
        <v>25</v>
      </c>
      <c r="B1987" s="6" t="s">
        <v>3616</v>
      </c>
      <c r="D1987" s="6" t="s">
        <v>3918</v>
      </c>
      <c r="E1987" s="6">
        <v>5</v>
      </c>
      <c r="F1987" s="6">
        <v>61</v>
      </c>
      <c r="G1987" s="6" t="s">
        <v>4220</v>
      </c>
      <c r="I1987" s="8">
        <v>88.746488055555531</v>
      </c>
      <c r="J1987" s="8">
        <v>103.83785590277779</v>
      </c>
      <c r="K1987" s="6" t="s">
        <v>2610</v>
      </c>
      <c r="L1987" s="9">
        <v>44085</v>
      </c>
      <c r="N1987" s="6">
        <v>51</v>
      </c>
      <c r="O1987" s="6" t="s">
        <v>4438</v>
      </c>
      <c r="V1987" s="8">
        <v>-3.1701027078342432</v>
      </c>
      <c r="W1987" s="8">
        <v>-23.337776321411134</v>
      </c>
      <c r="X1987" s="27">
        <f t="shared" si="108"/>
        <v>2.0230453412628115</v>
      </c>
    </row>
    <row r="1988" spans="1:24" x14ac:dyDescent="0.35">
      <c r="A1988" s="6" t="s">
        <v>25</v>
      </c>
      <c r="B1988" s="6" t="s">
        <v>3617</v>
      </c>
      <c r="D1988" s="6" t="s">
        <v>3919</v>
      </c>
      <c r="E1988" s="6">
        <v>5</v>
      </c>
      <c r="F1988" s="6">
        <v>61</v>
      </c>
      <c r="G1988" s="6" t="s">
        <v>4221</v>
      </c>
      <c r="I1988" s="8">
        <v>88.778702638888888</v>
      </c>
      <c r="J1988" s="8">
        <v>100.92500562499998</v>
      </c>
      <c r="K1988" s="6" t="s">
        <v>2610</v>
      </c>
      <c r="L1988" s="9">
        <v>44086</v>
      </c>
      <c r="N1988" s="6">
        <v>51</v>
      </c>
      <c r="O1988" s="6" t="s">
        <v>4436</v>
      </c>
      <c r="V1988" s="8">
        <v>-3.0954501378250123</v>
      </c>
      <c r="W1988" s="8">
        <v>-23.017758365631103</v>
      </c>
      <c r="X1988" s="27">
        <f t="shared" si="108"/>
        <v>1.7458427369689957</v>
      </c>
    </row>
    <row r="1989" spans="1:24" x14ac:dyDescent="0.35">
      <c r="A1989" s="6" t="s">
        <v>25</v>
      </c>
      <c r="B1989" s="6" t="s">
        <v>2443</v>
      </c>
      <c r="D1989" s="6" t="s">
        <v>2444</v>
      </c>
      <c r="E1989" s="6">
        <v>5</v>
      </c>
      <c r="F1989" s="6">
        <v>61</v>
      </c>
      <c r="G1989" s="6" t="s">
        <v>2445</v>
      </c>
      <c r="I1989" s="8">
        <v>88.778702638888888</v>
      </c>
      <c r="J1989" s="8">
        <v>100.92500562499998</v>
      </c>
      <c r="K1989" s="6" t="s">
        <v>4450</v>
      </c>
      <c r="L1989" s="9">
        <v>44086</v>
      </c>
      <c r="N1989" s="6">
        <v>51</v>
      </c>
      <c r="O1989" s="6" t="s">
        <v>4436</v>
      </c>
      <c r="R1989" s="6">
        <v>0</v>
      </c>
      <c r="S1989" s="6">
        <v>10</v>
      </c>
      <c r="T1989" s="10">
        <f t="shared" ref="T1989:T1997" si="110">AVERAGE(R1989:S1989)</f>
        <v>5</v>
      </c>
      <c r="U1989" s="6">
        <v>3.1</v>
      </c>
      <c r="V1989" s="8">
        <v>-2.7428651680755616</v>
      </c>
      <c r="W1989" s="8">
        <v>-20.503425842285157</v>
      </c>
      <c r="X1989" s="8">
        <f t="shared" si="108"/>
        <v>1.4394955023193354</v>
      </c>
    </row>
    <row r="1990" spans="1:24" x14ac:dyDescent="0.35">
      <c r="A1990" s="6" t="s">
        <v>25</v>
      </c>
      <c r="B1990" s="6" t="s">
        <v>2446</v>
      </c>
      <c r="D1990" s="6" t="s">
        <v>2447</v>
      </c>
      <c r="E1990" s="6">
        <v>5</v>
      </c>
      <c r="F1990" s="6">
        <v>61</v>
      </c>
      <c r="G1990" s="6" t="s">
        <v>2445</v>
      </c>
      <c r="I1990" s="8">
        <v>88.778702638888888</v>
      </c>
      <c r="J1990" s="8">
        <v>100.92500562499998</v>
      </c>
      <c r="K1990" s="6" t="s">
        <v>4450</v>
      </c>
      <c r="L1990" s="9">
        <v>44086</v>
      </c>
      <c r="N1990" s="6">
        <v>51</v>
      </c>
      <c r="O1990" s="6" t="s">
        <v>4436</v>
      </c>
      <c r="R1990" s="6">
        <v>10</v>
      </c>
      <c r="S1990" s="6">
        <v>20</v>
      </c>
      <c r="T1990" s="10">
        <f t="shared" si="110"/>
        <v>15</v>
      </c>
      <c r="U1990" s="6">
        <v>4.2</v>
      </c>
      <c r="V1990" s="8">
        <v>-1.8530732092666626</v>
      </c>
      <c r="W1990" s="8">
        <v>-13.170230255126953</v>
      </c>
      <c r="X1990" s="8">
        <f t="shared" si="108"/>
        <v>1.6543554190063485</v>
      </c>
    </row>
    <row r="1991" spans="1:24" x14ac:dyDescent="0.35">
      <c r="A1991" s="6" t="s">
        <v>25</v>
      </c>
      <c r="B1991" s="6" t="s">
        <v>2448</v>
      </c>
      <c r="D1991" s="6" t="s">
        <v>2449</v>
      </c>
      <c r="E1991" s="6">
        <v>5</v>
      </c>
      <c r="F1991" s="6">
        <v>61</v>
      </c>
      <c r="G1991" s="6" t="s">
        <v>2445</v>
      </c>
      <c r="I1991" s="8">
        <v>88.778702638888888</v>
      </c>
      <c r="J1991" s="8">
        <v>100.92500562499998</v>
      </c>
      <c r="K1991" s="6" t="s">
        <v>4450</v>
      </c>
      <c r="L1991" s="9">
        <v>44086</v>
      </c>
      <c r="N1991" s="6">
        <v>51</v>
      </c>
      <c r="O1991" s="6" t="s">
        <v>4436</v>
      </c>
      <c r="R1991" s="6">
        <v>0</v>
      </c>
      <c r="S1991" s="6">
        <v>10</v>
      </c>
      <c r="T1991" s="10">
        <f t="shared" si="110"/>
        <v>5</v>
      </c>
      <c r="U1991" s="6">
        <v>4.2</v>
      </c>
      <c r="V1991" s="8">
        <v>0.28492807017862809</v>
      </c>
      <c r="W1991" s="8">
        <v>1.0836181406021113</v>
      </c>
      <c r="X1991" s="8">
        <f t="shared" si="108"/>
        <v>-1.1958064208269135</v>
      </c>
    </row>
    <row r="1992" spans="1:24" x14ac:dyDescent="0.35">
      <c r="A1992" s="6" t="s">
        <v>25</v>
      </c>
      <c r="B1992" s="6" t="s">
        <v>2450</v>
      </c>
      <c r="D1992" s="6" t="s">
        <v>2451</v>
      </c>
      <c r="E1992" s="6">
        <v>5</v>
      </c>
      <c r="F1992" s="6">
        <v>61</v>
      </c>
      <c r="G1992" s="6" t="s">
        <v>2445</v>
      </c>
      <c r="I1992" s="8">
        <v>88.778702638888902</v>
      </c>
      <c r="J1992" s="8">
        <v>100.925005625</v>
      </c>
      <c r="K1992" s="6" t="s">
        <v>4450</v>
      </c>
      <c r="L1992" s="9">
        <v>44086</v>
      </c>
      <c r="N1992" s="6">
        <v>51</v>
      </c>
      <c r="O1992" s="6" t="s">
        <v>4436</v>
      </c>
      <c r="R1992" s="6">
        <v>10</v>
      </c>
      <c r="S1992" s="6">
        <v>20</v>
      </c>
      <c r="T1992" s="10">
        <f t="shared" si="110"/>
        <v>15</v>
      </c>
      <c r="U1992" s="6">
        <v>4.0999999999999996</v>
      </c>
      <c r="V1992" s="8">
        <v>0.42490755001306535</v>
      </c>
      <c r="W1992" s="8">
        <v>1.9561965631484983</v>
      </c>
      <c r="X1992" s="8">
        <f t="shared" si="108"/>
        <v>-1.4430638369560245</v>
      </c>
    </row>
    <row r="1993" spans="1:24" x14ac:dyDescent="0.35">
      <c r="A1993" s="6" t="s">
        <v>25</v>
      </c>
      <c r="B1993" s="6" t="s">
        <v>2452</v>
      </c>
      <c r="D1993" s="6" t="s">
        <v>2453</v>
      </c>
      <c r="E1993" s="6">
        <v>5</v>
      </c>
      <c r="F1993" s="6">
        <v>61</v>
      </c>
      <c r="G1993" s="6" t="s">
        <v>2445</v>
      </c>
      <c r="I1993" s="8">
        <v>88.778702638888902</v>
      </c>
      <c r="J1993" s="8">
        <v>100.925005625</v>
      </c>
      <c r="K1993" s="6" t="s">
        <v>4450</v>
      </c>
      <c r="L1993" s="9">
        <v>44086</v>
      </c>
      <c r="N1993" s="6">
        <v>51</v>
      </c>
      <c r="O1993" s="6" t="s">
        <v>4436</v>
      </c>
      <c r="R1993" s="6">
        <v>20</v>
      </c>
      <c r="S1993" s="6">
        <v>30</v>
      </c>
      <c r="T1993" s="10">
        <f t="shared" si="110"/>
        <v>25</v>
      </c>
      <c r="U1993" s="6">
        <v>3.3</v>
      </c>
      <c r="V1993" s="8">
        <v>0.49424433917403232</v>
      </c>
      <c r="W1993" s="8">
        <v>3.0523560513496397</v>
      </c>
      <c r="X1993" s="8">
        <f t="shared" si="108"/>
        <v>-0.90159866204261885</v>
      </c>
    </row>
    <row r="1994" spans="1:24" x14ac:dyDescent="0.35">
      <c r="A1994" s="6" t="s">
        <v>25</v>
      </c>
      <c r="B1994" s="6" t="s">
        <v>2454</v>
      </c>
      <c r="D1994" s="6" t="s">
        <v>2455</v>
      </c>
      <c r="E1994" s="6">
        <v>5</v>
      </c>
      <c r="F1994" s="6">
        <v>61</v>
      </c>
      <c r="G1994" s="6" t="s">
        <v>2445</v>
      </c>
      <c r="I1994" s="8">
        <v>88.778702638888902</v>
      </c>
      <c r="J1994" s="8">
        <v>100.925005625</v>
      </c>
      <c r="K1994" s="6" t="s">
        <v>4450</v>
      </c>
      <c r="L1994" s="9">
        <v>44086</v>
      </c>
      <c r="N1994" s="6">
        <v>51</v>
      </c>
      <c r="O1994" s="6" t="s">
        <v>4436</v>
      </c>
      <c r="R1994" s="6">
        <v>30</v>
      </c>
      <c r="S1994" s="6">
        <v>40</v>
      </c>
      <c r="T1994" s="10">
        <f t="shared" si="110"/>
        <v>35</v>
      </c>
      <c r="U1994" s="6">
        <v>2.1</v>
      </c>
      <c r="V1994" s="8">
        <v>0.62304967466592776</v>
      </c>
      <c r="W1994" s="8">
        <v>4.223219024205207</v>
      </c>
      <c r="X1994" s="8">
        <f t="shared" si="108"/>
        <v>-0.76117837312221504</v>
      </c>
    </row>
    <row r="1995" spans="1:24" x14ac:dyDescent="0.35">
      <c r="A1995" s="6" t="s">
        <v>25</v>
      </c>
      <c r="B1995" s="6" t="s">
        <v>2456</v>
      </c>
      <c r="D1995" s="6" t="s">
        <v>2457</v>
      </c>
      <c r="E1995" s="6">
        <v>5</v>
      </c>
      <c r="F1995" s="6">
        <v>61</v>
      </c>
      <c r="G1995" s="6" t="s">
        <v>2445</v>
      </c>
      <c r="I1995" s="8">
        <v>88.778702638888902</v>
      </c>
      <c r="J1995" s="8">
        <v>100.925005625</v>
      </c>
      <c r="K1995" s="6" t="s">
        <v>4450</v>
      </c>
      <c r="L1995" s="9">
        <v>44086</v>
      </c>
      <c r="N1995" s="6">
        <v>51</v>
      </c>
      <c r="O1995" s="6" t="s">
        <v>4436</v>
      </c>
      <c r="R1995" s="6">
        <v>40</v>
      </c>
      <c r="S1995" s="6">
        <v>50</v>
      </c>
      <c r="T1995" s="10">
        <f t="shared" si="110"/>
        <v>45</v>
      </c>
      <c r="U1995" s="6">
        <v>2.1</v>
      </c>
      <c r="V1995" s="8">
        <v>0.58017398736476888</v>
      </c>
      <c r="W1995" s="8">
        <v>2.8108957652091977</v>
      </c>
      <c r="X1995" s="8">
        <f t="shared" si="108"/>
        <v>-1.8304961337089534</v>
      </c>
    </row>
    <row r="1996" spans="1:24" x14ac:dyDescent="0.35">
      <c r="A1996" s="6" t="s">
        <v>25</v>
      </c>
      <c r="B1996" s="6" t="s">
        <v>2458</v>
      </c>
      <c r="D1996" s="6" t="s">
        <v>2459</v>
      </c>
      <c r="E1996" s="6">
        <v>5</v>
      </c>
      <c r="F1996" s="6">
        <v>61</v>
      </c>
      <c r="G1996" s="6" t="s">
        <v>2445</v>
      </c>
      <c r="I1996" s="8">
        <v>88.778702638888902</v>
      </c>
      <c r="J1996" s="8">
        <v>100.925005625</v>
      </c>
      <c r="K1996" s="6" t="s">
        <v>4450</v>
      </c>
      <c r="L1996" s="9">
        <v>44086</v>
      </c>
      <c r="N1996" s="6">
        <v>51</v>
      </c>
      <c r="O1996" s="6" t="s">
        <v>4436</v>
      </c>
      <c r="R1996" s="6">
        <v>50</v>
      </c>
      <c r="S1996" s="6">
        <v>60</v>
      </c>
      <c r="T1996" s="10">
        <f t="shared" si="110"/>
        <v>55</v>
      </c>
      <c r="U1996" s="6">
        <v>1.6</v>
      </c>
      <c r="V1996" s="8">
        <v>0.30032487836927135</v>
      </c>
      <c r="W1996" s="8">
        <v>1.9686034832954402</v>
      </c>
      <c r="X1996" s="8">
        <f t="shared" si="108"/>
        <v>-0.43399554365873061</v>
      </c>
    </row>
    <row r="1997" spans="1:24" x14ac:dyDescent="0.35">
      <c r="A1997" s="6" t="s">
        <v>25</v>
      </c>
      <c r="B1997" s="6" t="s">
        <v>2460</v>
      </c>
      <c r="D1997" s="6" t="s">
        <v>2461</v>
      </c>
      <c r="E1997" s="6">
        <v>5</v>
      </c>
      <c r="F1997" s="6">
        <v>61</v>
      </c>
      <c r="G1997" s="6" t="s">
        <v>2445</v>
      </c>
      <c r="I1997" s="8">
        <v>88.778702638888902</v>
      </c>
      <c r="J1997" s="8">
        <v>100.925005625</v>
      </c>
      <c r="K1997" s="6" t="s">
        <v>4450</v>
      </c>
      <c r="L1997" s="9">
        <v>44086</v>
      </c>
      <c r="N1997" s="6">
        <v>51</v>
      </c>
      <c r="O1997" s="6" t="s">
        <v>4436</v>
      </c>
      <c r="R1997" s="6">
        <v>60</v>
      </c>
      <c r="S1997" s="6">
        <v>70</v>
      </c>
      <c r="T1997" s="10">
        <f t="shared" si="110"/>
        <v>65</v>
      </c>
      <c r="U1997" s="6">
        <v>1</v>
      </c>
      <c r="V1997" s="8">
        <v>-3.3785387312412265</v>
      </c>
      <c r="W1997" s="8">
        <v>-28.272163751220702</v>
      </c>
      <c r="X1997" s="8">
        <f t="shared" si="108"/>
        <v>-1.2438539012908905</v>
      </c>
    </row>
    <row r="1998" spans="1:24" x14ac:dyDescent="0.35">
      <c r="A1998" s="6" t="s">
        <v>25</v>
      </c>
      <c r="B1998" s="6" t="s">
        <v>2462</v>
      </c>
      <c r="D1998" s="6" t="s">
        <v>2463</v>
      </c>
      <c r="E1998" s="6">
        <v>5</v>
      </c>
      <c r="F1998" s="6">
        <v>61</v>
      </c>
      <c r="G1998" s="6" t="s">
        <v>2445</v>
      </c>
      <c r="I1998" s="8">
        <v>88.778702638888902</v>
      </c>
      <c r="J1998" s="8">
        <v>100.925005625</v>
      </c>
      <c r="K1998" s="6" t="s">
        <v>4450</v>
      </c>
      <c r="L1998" s="9">
        <v>44086</v>
      </c>
      <c r="N1998" s="6">
        <v>51</v>
      </c>
      <c r="O1998" s="6" t="s">
        <v>4436</v>
      </c>
      <c r="T1998" s="10"/>
      <c r="U1998" s="6">
        <v>2.6</v>
      </c>
      <c r="V1998" s="8">
        <v>-0.4405374794244768</v>
      </c>
      <c r="W1998" s="8">
        <v>-5.5889369264602671</v>
      </c>
      <c r="X1998" s="8">
        <f t="shared" si="108"/>
        <v>-2.0646370910644527</v>
      </c>
    </row>
    <row r="1999" spans="1:24" x14ac:dyDescent="0.35">
      <c r="A1999" s="6" t="s">
        <v>25</v>
      </c>
      <c r="B1999" s="6" t="s">
        <v>2464</v>
      </c>
      <c r="D1999" s="6" t="s">
        <v>2465</v>
      </c>
      <c r="E1999" s="6">
        <v>5</v>
      </c>
      <c r="F1999" s="6">
        <v>61</v>
      </c>
      <c r="G1999" s="6" t="s">
        <v>2445</v>
      </c>
      <c r="I1999" s="8">
        <v>88.778702638888902</v>
      </c>
      <c r="J1999" s="8">
        <v>100.925005625</v>
      </c>
      <c r="K1999" s="6" t="s">
        <v>4450</v>
      </c>
      <c r="L1999" s="9">
        <v>44086</v>
      </c>
      <c r="N1999" s="6">
        <v>51</v>
      </c>
      <c r="O1999" s="6" t="s">
        <v>4436</v>
      </c>
      <c r="T1999" s="10"/>
      <c r="U1999" s="6">
        <v>2.8</v>
      </c>
      <c r="V1999" s="8">
        <v>-0.90242108830213552</v>
      </c>
      <c r="W1999" s="8">
        <v>-8.9138023830413822</v>
      </c>
      <c r="X1999" s="8">
        <f t="shared" si="108"/>
        <v>-1.694433676624298</v>
      </c>
    </row>
    <row r="2000" spans="1:24" x14ac:dyDescent="0.35">
      <c r="A2000" s="6" t="s">
        <v>25</v>
      </c>
      <c r="B2000" s="6" t="s">
        <v>2466</v>
      </c>
      <c r="D2000" s="6" t="s">
        <v>2467</v>
      </c>
      <c r="E2000" s="6">
        <v>5</v>
      </c>
      <c r="F2000" s="6">
        <v>61</v>
      </c>
      <c r="G2000" s="6" t="s">
        <v>2445</v>
      </c>
      <c r="I2000" s="8">
        <v>88.778702638888902</v>
      </c>
      <c r="J2000" s="8">
        <v>100.925005625</v>
      </c>
      <c r="K2000" s="6" t="s">
        <v>4450</v>
      </c>
      <c r="L2000" s="9">
        <v>44086</v>
      </c>
      <c r="N2000" s="6">
        <v>51</v>
      </c>
      <c r="O2000" s="6" t="s">
        <v>4436</v>
      </c>
      <c r="T2000" s="10"/>
      <c r="U2000" s="6">
        <v>1.1000000000000001</v>
      </c>
      <c r="V2000" s="8">
        <v>-1.3152130827856063</v>
      </c>
      <c r="W2000" s="8">
        <v>-10.124282871818544</v>
      </c>
      <c r="X2000" s="8">
        <f t="shared" si="108"/>
        <v>0.3974217904663071</v>
      </c>
    </row>
    <row r="2001" spans="1:25" x14ac:dyDescent="0.35">
      <c r="A2001" s="6" t="s">
        <v>25</v>
      </c>
      <c r="B2001" s="6" t="s">
        <v>2468</v>
      </c>
      <c r="D2001" s="6" t="s">
        <v>2469</v>
      </c>
      <c r="E2001" s="6">
        <v>5</v>
      </c>
      <c r="F2001" s="6">
        <v>61</v>
      </c>
      <c r="G2001" s="6" t="s">
        <v>2445</v>
      </c>
      <c r="I2001" s="8">
        <v>88.778702638888902</v>
      </c>
      <c r="J2001" s="8">
        <v>100.925005625</v>
      </c>
      <c r="K2001" s="6" t="s">
        <v>4450</v>
      </c>
      <c r="L2001" s="9">
        <v>44086</v>
      </c>
      <c r="N2001" s="6">
        <v>51</v>
      </c>
      <c r="O2001" s="6" t="s">
        <v>4436</v>
      </c>
      <c r="T2001" s="10"/>
      <c r="U2001" s="6">
        <v>1.2</v>
      </c>
      <c r="V2001" s="8">
        <v>-1.0420535440397258</v>
      </c>
      <c r="W2001" s="8">
        <v>-7.4909053979873663</v>
      </c>
      <c r="X2001" s="8">
        <f t="shared" si="108"/>
        <v>0.84552295433044034</v>
      </c>
    </row>
    <row r="2002" spans="1:25" x14ac:dyDescent="0.35">
      <c r="A2002" s="6" t="s">
        <v>25</v>
      </c>
      <c r="B2002" s="6" t="s">
        <v>2470</v>
      </c>
      <c r="D2002" s="6" t="s">
        <v>2471</v>
      </c>
      <c r="E2002" s="6">
        <v>5</v>
      </c>
      <c r="F2002" s="6">
        <v>61</v>
      </c>
      <c r="G2002" s="6" t="s">
        <v>2445</v>
      </c>
      <c r="I2002" s="8">
        <v>88.778702638888902</v>
      </c>
      <c r="J2002" s="8">
        <v>100.925005625</v>
      </c>
      <c r="K2002" s="6" t="s">
        <v>4450</v>
      </c>
      <c r="L2002" s="9">
        <v>44086</v>
      </c>
      <c r="N2002" s="6">
        <v>51</v>
      </c>
      <c r="O2002" s="6" t="s">
        <v>4436</v>
      </c>
      <c r="T2002" s="10"/>
      <c r="U2002" s="6">
        <v>2.6</v>
      </c>
      <c r="V2002" s="8">
        <v>-0.93721454747915223</v>
      </c>
      <c r="W2002" s="8">
        <v>-9.9265109401702869</v>
      </c>
      <c r="X2002" s="8">
        <f t="shared" si="108"/>
        <v>-2.4287945603370691</v>
      </c>
    </row>
    <row r="2003" spans="1:25" x14ac:dyDescent="0.35">
      <c r="A2003" s="6" t="s">
        <v>25</v>
      </c>
      <c r="B2003" s="6" t="s">
        <v>2472</v>
      </c>
      <c r="D2003" s="6" t="s">
        <v>2473</v>
      </c>
      <c r="E2003" s="6">
        <v>5</v>
      </c>
      <c r="F2003" s="6">
        <v>61</v>
      </c>
      <c r="G2003" s="6" t="s">
        <v>2445</v>
      </c>
      <c r="I2003" s="8">
        <v>88.778702638888902</v>
      </c>
      <c r="J2003" s="8">
        <v>100.925005625</v>
      </c>
      <c r="K2003" s="6" t="s">
        <v>4450</v>
      </c>
      <c r="L2003" s="9">
        <v>44086</v>
      </c>
      <c r="N2003" s="6">
        <v>51</v>
      </c>
      <c r="O2003" s="6" t="s">
        <v>4436</v>
      </c>
      <c r="R2003" s="6">
        <v>0</v>
      </c>
      <c r="S2003" s="6">
        <v>5</v>
      </c>
      <c r="T2003" s="10">
        <f>AVERAGE(R2003:S2003)</f>
        <v>2.5</v>
      </c>
      <c r="U2003" s="6">
        <v>3.2</v>
      </c>
      <c r="V2003" s="8">
        <v>-0.38843078833341582</v>
      </c>
      <c r="W2003" s="8">
        <v>-2.8173719658613203</v>
      </c>
      <c r="X2003" s="8">
        <f t="shared" si="108"/>
        <v>0.29007434080600625</v>
      </c>
    </row>
    <row r="2004" spans="1:25" x14ac:dyDescent="0.35">
      <c r="A2004" s="6" t="s">
        <v>25</v>
      </c>
      <c r="B2004" s="6" t="s">
        <v>2474</v>
      </c>
      <c r="D2004" s="6" t="s">
        <v>2475</v>
      </c>
      <c r="E2004" s="6">
        <v>5</v>
      </c>
      <c r="F2004" s="6">
        <v>61</v>
      </c>
      <c r="G2004" s="6" t="s">
        <v>2445</v>
      </c>
      <c r="I2004" s="8">
        <v>88.778702638888902</v>
      </c>
      <c r="J2004" s="8">
        <v>100.925005625</v>
      </c>
      <c r="K2004" s="6" t="s">
        <v>4450</v>
      </c>
      <c r="L2004" s="9">
        <v>44086</v>
      </c>
      <c r="N2004" s="6">
        <v>51</v>
      </c>
      <c r="O2004" s="6" t="s">
        <v>4436</v>
      </c>
      <c r="R2004" s="6">
        <v>5</v>
      </c>
      <c r="S2004" s="6">
        <v>10</v>
      </c>
      <c r="T2004" s="10">
        <f>AVERAGE(R2004:S2004)</f>
        <v>7.5</v>
      </c>
      <c r="U2004" s="6">
        <v>1</v>
      </c>
      <c r="V2004" s="8">
        <v>-1.4115506972575187</v>
      </c>
      <c r="W2004" s="8">
        <v>-10.72926009016037</v>
      </c>
      <c r="X2004" s="8">
        <f t="shared" si="108"/>
        <v>0.5631454878997797</v>
      </c>
    </row>
    <row r="2005" spans="1:25" x14ac:dyDescent="0.35">
      <c r="A2005" s="6" t="s">
        <v>25</v>
      </c>
      <c r="B2005" s="6" t="s">
        <v>2476</v>
      </c>
      <c r="D2005" s="6" t="s">
        <v>2477</v>
      </c>
      <c r="E2005" s="6">
        <v>5</v>
      </c>
      <c r="F2005" s="6">
        <v>61</v>
      </c>
      <c r="G2005" s="6" t="s">
        <v>2445</v>
      </c>
      <c r="I2005" s="8">
        <v>88.778702638888902</v>
      </c>
      <c r="J2005" s="8">
        <v>100.925005625</v>
      </c>
      <c r="K2005" s="6" t="s">
        <v>4450</v>
      </c>
      <c r="L2005" s="9">
        <v>44086</v>
      </c>
      <c r="N2005" s="6">
        <v>51</v>
      </c>
      <c r="O2005" s="6" t="s">
        <v>4436</v>
      </c>
      <c r="T2005" s="10"/>
      <c r="U2005" s="6">
        <v>8.1</v>
      </c>
      <c r="V2005" s="8">
        <v>-2.5358551843070987</v>
      </c>
      <c r="W2005" s="8">
        <v>-18.470878480720518</v>
      </c>
      <c r="X2005" s="8">
        <f t="shared" si="108"/>
        <v>1.8159629937362709</v>
      </c>
    </row>
    <row r="2006" spans="1:25" x14ac:dyDescent="0.35">
      <c r="A2006" s="6" t="s">
        <v>25</v>
      </c>
      <c r="B2006" s="6" t="s">
        <v>2478</v>
      </c>
      <c r="D2006" s="6" t="s">
        <v>2479</v>
      </c>
      <c r="E2006" s="6">
        <v>5</v>
      </c>
      <c r="F2006" s="6">
        <v>61</v>
      </c>
      <c r="G2006" s="6" t="s">
        <v>2445</v>
      </c>
      <c r="I2006" s="8">
        <v>88.778702638888902</v>
      </c>
      <c r="J2006" s="8">
        <v>100.925005625</v>
      </c>
      <c r="K2006" s="6" t="s">
        <v>4450</v>
      </c>
      <c r="L2006" s="9">
        <v>44086</v>
      </c>
      <c r="N2006" s="6">
        <v>51</v>
      </c>
      <c r="O2006" s="6" t="s">
        <v>4436</v>
      </c>
      <c r="T2006" s="10"/>
      <c r="U2006" s="6">
        <v>23</v>
      </c>
      <c r="V2006" s="8">
        <v>-2.0788362257480619</v>
      </c>
      <c r="W2006" s="8">
        <v>-12.83668600845337</v>
      </c>
      <c r="X2006" s="8">
        <f t="shared" si="108"/>
        <v>3.7940037975311256</v>
      </c>
    </row>
    <row r="2007" spans="1:25" x14ac:dyDescent="0.35">
      <c r="A2007" s="6" t="s">
        <v>25</v>
      </c>
      <c r="B2007" s="6" t="s">
        <v>2480</v>
      </c>
      <c r="D2007" s="6" t="s">
        <v>2481</v>
      </c>
      <c r="E2007" s="6">
        <v>5</v>
      </c>
      <c r="F2007" s="6">
        <v>61</v>
      </c>
      <c r="G2007" s="6" t="s">
        <v>2445</v>
      </c>
      <c r="I2007" s="8">
        <v>88.778702638888902</v>
      </c>
      <c r="J2007" s="8">
        <v>100.925005625</v>
      </c>
      <c r="K2007" s="6" t="s">
        <v>4450</v>
      </c>
      <c r="L2007" s="9">
        <v>44086</v>
      </c>
      <c r="N2007" s="6">
        <v>51</v>
      </c>
      <c r="O2007" s="6" t="s">
        <v>4436</v>
      </c>
      <c r="T2007" s="10"/>
      <c r="U2007" s="6">
        <v>29</v>
      </c>
      <c r="V2007" s="8">
        <v>-3.1292336175441746</v>
      </c>
      <c r="W2007" s="8">
        <v>-23.836186909675597</v>
      </c>
      <c r="X2007" s="8">
        <f t="shared" si="108"/>
        <v>1.1976820306778002</v>
      </c>
    </row>
    <row r="2008" spans="1:25" x14ac:dyDescent="0.35">
      <c r="A2008" s="6" t="s">
        <v>25</v>
      </c>
      <c r="B2008" s="6" t="s">
        <v>2482</v>
      </c>
      <c r="D2008" s="6" t="s">
        <v>2483</v>
      </c>
      <c r="E2008" s="6">
        <v>5</v>
      </c>
      <c r="F2008" s="6">
        <v>61</v>
      </c>
      <c r="G2008" s="6" t="s">
        <v>2445</v>
      </c>
      <c r="I2008" s="8">
        <v>88.778702638888902</v>
      </c>
      <c r="J2008" s="8">
        <v>100.925005625</v>
      </c>
      <c r="K2008" s="6" t="s">
        <v>4450</v>
      </c>
      <c r="L2008" s="9">
        <v>44086</v>
      </c>
      <c r="N2008" s="6">
        <v>51</v>
      </c>
      <c r="O2008" s="6" t="s">
        <v>4436</v>
      </c>
      <c r="T2008" s="10"/>
      <c r="U2008" s="6">
        <v>29.2</v>
      </c>
      <c r="V2008" s="8">
        <v>-3.1793396623134615</v>
      </c>
      <c r="W2008" s="8">
        <v>-23.192574360847473</v>
      </c>
      <c r="X2008" s="8">
        <f t="shared" si="108"/>
        <v>2.2421429376602191</v>
      </c>
    </row>
    <row r="2009" spans="1:25" x14ac:dyDescent="0.35">
      <c r="A2009" s="6" t="s">
        <v>25</v>
      </c>
      <c r="B2009" s="6" t="s">
        <v>3618</v>
      </c>
      <c r="D2009" s="6" t="s">
        <v>3920</v>
      </c>
      <c r="E2009" s="6">
        <v>5</v>
      </c>
      <c r="F2009" s="6">
        <v>61</v>
      </c>
      <c r="G2009" s="6" t="s">
        <v>4222</v>
      </c>
      <c r="I2009" s="8">
        <v>88.887539861111065</v>
      </c>
      <c r="J2009" s="8">
        <v>97.118331736111088</v>
      </c>
      <c r="K2009" s="6" t="s">
        <v>2610</v>
      </c>
      <c r="L2009" s="9">
        <v>44087</v>
      </c>
      <c r="N2009" s="6">
        <v>52</v>
      </c>
      <c r="O2009" s="6" t="s">
        <v>4397</v>
      </c>
      <c r="V2009" s="8">
        <v>-3.0663942672920221</v>
      </c>
      <c r="W2009" s="8">
        <v>-22.221007175445557</v>
      </c>
      <c r="X2009" s="27">
        <f t="shared" si="108"/>
        <v>2.3101469628906202</v>
      </c>
    </row>
    <row r="2010" spans="1:25" x14ac:dyDescent="0.35">
      <c r="A2010" s="6" t="s">
        <v>25</v>
      </c>
      <c r="B2010" s="6" t="s">
        <v>2484</v>
      </c>
      <c r="D2010" s="6" t="s">
        <v>2485</v>
      </c>
      <c r="E2010" s="6">
        <v>5</v>
      </c>
      <c r="F2010" s="6">
        <v>61</v>
      </c>
      <c r="I2010" s="8">
        <v>89.023700416666699</v>
      </c>
      <c r="J2010" s="8">
        <v>102.473466597222</v>
      </c>
      <c r="K2010" s="6" t="s">
        <v>29</v>
      </c>
      <c r="L2010" s="9">
        <v>44088</v>
      </c>
      <c r="N2010" s="6">
        <v>52</v>
      </c>
      <c r="O2010" s="6" t="s">
        <v>4394</v>
      </c>
      <c r="R2010" s="6">
        <v>0</v>
      </c>
      <c r="S2010" s="6">
        <v>10.5</v>
      </c>
      <c r="T2010" s="10">
        <f t="shared" ref="T2010:T2018" si="111">AVERAGE(R2010:S2010)</f>
        <v>5.25</v>
      </c>
      <c r="U2010" s="15">
        <v>0.6</v>
      </c>
      <c r="V2010" s="8">
        <v>-1.549546630651355</v>
      </c>
      <c r="W2010" s="8">
        <v>-12.9000032497406</v>
      </c>
      <c r="X2010" s="8">
        <f t="shared" si="108"/>
        <v>-0.5036302045297596</v>
      </c>
      <c r="Y2010" s="6" t="s">
        <v>1760</v>
      </c>
    </row>
    <row r="2011" spans="1:25" x14ac:dyDescent="0.35">
      <c r="A2011" s="6" t="s">
        <v>25</v>
      </c>
      <c r="B2011" s="6" t="s">
        <v>2486</v>
      </c>
      <c r="D2011" s="6" t="s">
        <v>2487</v>
      </c>
      <c r="E2011" s="6">
        <v>5</v>
      </c>
      <c r="F2011" s="6">
        <v>61</v>
      </c>
      <c r="I2011" s="8">
        <v>89.023700416666699</v>
      </c>
      <c r="J2011" s="8">
        <v>102.473466597222</v>
      </c>
      <c r="K2011" s="6" t="s">
        <v>29</v>
      </c>
      <c r="L2011" s="9">
        <v>44088</v>
      </c>
      <c r="N2011" s="6">
        <v>52</v>
      </c>
      <c r="O2011" s="6" t="s">
        <v>4394</v>
      </c>
      <c r="R2011" s="6">
        <v>10.5</v>
      </c>
      <c r="S2011" s="6">
        <v>21</v>
      </c>
      <c r="T2011" s="10">
        <f t="shared" si="111"/>
        <v>15.75</v>
      </c>
      <c r="U2011" s="15">
        <v>0</v>
      </c>
      <c r="V2011" s="8">
        <v>-1.0214502492427828</v>
      </c>
      <c r="W2011" s="8">
        <v>-7.1310679492950442</v>
      </c>
      <c r="X2011" s="8">
        <f t="shared" si="108"/>
        <v>1.0405340446472184</v>
      </c>
      <c r="Y2011" s="6" t="s">
        <v>1760</v>
      </c>
    </row>
    <row r="2012" spans="1:25" x14ac:dyDescent="0.35">
      <c r="A2012" s="6" t="s">
        <v>25</v>
      </c>
      <c r="B2012" s="6" t="s">
        <v>2488</v>
      </c>
      <c r="D2012" s="6" t="s">
        <v>2489</v>
      </c>
      <c r="E2012" s="6">
        <v>5</v>
      </c>
      <c r="F2012" s="6">
        <v>61</v>
      </c>
      <c r="I2012" s="8">
        <v>89.023700416666699</v>
      </c>
      <c r="J2012" s="8">
        <v>102.473466597222</v>
      </c>
      <c r="K2012" s="6" t="s">
        <v>29</v>
      </c>
      <c r="L2012" s="9">
        <v>44088</v>
      </c>
      <c r="N2012" s="6">
        <v>52</v>
      </c>
      <c r="O2012" s="6" t="s">
        <v>4394</v>
      </c>
      <c r="R2012" s="6">
        <v>21</v>
      </c>
      <c r="S2012" s="6">
        <v>31.5</v>
      </c>
      <c r="T2012" s="10">
        <f t="shared" si="111"/>
        <v>26.25</v>
      </c>
      <c r="U2012" s="15">
        <v>0.4</v>
      </c>
      <c r="V2012" s="8">
        <v>-0.32039320539236094</v>
      </c>
      <c r="W2012" s="8">
        <v>-1.1638963304162027</v>
      </c>
      <c r="X2012" s="8">
        <f t="shared" si="108"/>
        <v>1.3992493127226848</v>
      </c>
      <c r="Y2012" s="6" t="s">
        <v>1760</v>
      </c>
    </row>
    <row r="2013" spans="1:25" x14ac:dyDescent="0.35">
      <c r="A2013" s="6" t="s">
        <v>25</v>
      </c>
      <c r="B2013" s="6" t="s">
        <v>2490</v>
      </c>
      <c r="D2013" s="6" t="s">
        <v>2491</v>
      </c>
      <c r="E2013" s="6">
        <v>5</v>
      </c>
      <c r="F2013" s="6">
        <v>61</v>
      </c>
      <c r="I2013" s="8">
        <v>89.023700416666699</v>
      </c>
      <c r="J2013" s="8">
        <v>102.473466597222</v>
      </c>
      <c r="K2013" s="6" t="s">
        <v>29</v>
      </c>
      <c r="L2013" s="9">
        <v>44088</v>
      </c>
      <c r="N2013" s="6">
        <v>52</v>
      </c>
      <c r="O2013" s="6" t="s">
        <v>4394</v>
      </c>
      <c r="R2013" s="6">
        <v>31.5</v>
      </c>
      <c r="S2013" s="6">
        <v>42</v>
      </c>
      <c r="T2013" s="10">
        <f t="shared" si="111"/>
        <v>36.75</v>
      </c>
      <c r="U2013" s="15">
        <v>0.8</v>
      </c>
      <c r="V2013" s="8">
        <v>5.911839677095386E-2</v>
      </c>
      <c r="W2013" s="8">
        <v>1.3719565261900426</v>
      </c>
      <c r="X2013" s="8">
        <f t="shared" si="108"/>
        <v>0.89900935202241172</v>
      </c>
      <c r="Y2013" s="6" t="s">
        <v>1760</v>
      </c>
    </row>
    <row r="2014" spans="1:25" x14ac:dyDescent="0.35">
      <c r="A2014" s="6" t="s">
        <v>25</v>
      </c>
      <c r="B2014" s="6" t="s">
        <v>2492</v>
      </c>
      <c r="D2014" s="6" t="s">
        <v>2493</v>
      </c>
      <c r="E2014" s="6">
        <v>5</v>
      </c>
      <c r="F2014" s="6">
        <v>61</v>
      </c>
      <c r="I2014" s="8">
        <v>89.023700416666699</v>
      </c>
      <c r="J2014" s="8">
        <v>102.473466597222</v>
      </c>
      <c r="K2014" s="6" t="s">
        <v>29</v>
      </c>
      <c r="L2014" s="9">
        <v>44088</v>
      </c>
      <c r="N2014" s="6">
        <v>52</v>
      </c>
      <c r="O2014" s="6" t="s">
        <v>4394</v>
      </c>
      <c r="R2014" s="6">
        <v>42</v>
      </c>
      <c r="S2014" s="6">
        <v>52.5</v>
      </c>
      <c r="T2014" s="10">
        <f t="shared" si="111"/>
        <v>47.25</v>
      </c>
      <c r="U2014" s="15">
        <v>1.3</v>
      </c>
      <c r="V2014" s="8">
        <v>0.19640456290245015</v>
      </c>
      <c r="W2014" s="8">
        <v>1.9442955316305162</v>
      </c>
      <c r="X2014" s="8">
        <f t="shared" si="108"/>
        <v>0.37305902841091498</v>
      </c>
      <c r="Y2014" s="6" t="s">
        <v>1760</v>
      </c>
    </row>
    <row r="2015" spans="1:25" x14ac:dyDescent="0.35">
      <c r="A2015" s="6" t="s">
        <v>25</v>
      </c>
      <c r="B2015" s="6" t="s">
        <v>2494</v>
      </c>
      <c r="D2015" s="6" t="s">
        <v>2495</v>
      </c>
      <c r="E2015" s="6">
        <v>5</v>
      </c>
      <c r="F2015" s="6">
        <v>61</v>
      </c>
      <c r="I2015" s="8">
        <v>89.023700416666699</v>
      </c>
      <c r="J2015" s="8">
        <v>102.473466597222</v>
      </c>
      <c r="K2015" s="6" t="s">
        <v>29</v>
      </c>
      <c r="L2015" s="9">
        <v>44088</v>
      </c>
      <c r="N2015" s="6">
        <v>52</v>
      </c>
      <c r="O2015" s="6" t="s">
        <v>4394</v>
      </c>
      <c r="R2015" s="6">
        <v>52.5</v>
      </c>
      <c r="S2015" s="6">
        <v>63</v>
      </c>
      <c r="T2015" s="10">
        <f t="shared" si="111"/>
        <v>57.75</v>
      </c>
      <c r="U2015" s="15">
        <v>1</v>
      </c>
      <c r="V2015" s="8">
        <v>0.35529534657001488</v>
      </c>
      <c r="W2015" s="8">
        <v>3.0069196743965154</v>
      </c>
      <c r="X2015" s="8">
        <f t="shared" si="108"/>
        <v>0.16455690183639637</v>
      </c>
      <c r="Y2015" s="6" t="s">
        <v>1760</v>
      </c>
    </row>
    <row r="2016" spans="1:25" x14ac:dyDescent="0.35">
      <c r="A2016" s="6" t="s">
        <v>25</v>
      </c>
      <c r="B2016" s="6" t="s">
        <v>2496</v>
      </c>
      <c r="D2016" s="6" t="s">
        <v>2497</v>
      </c>
      <c r="E2016" s="6">
        <v>5</v>
      </c>
      <c r="F2016" s="6">
        <v>61</v>
      </c>
      <c r="I2016" s="8">
        <v>89.023700416666699</v>
      </c>
      <c r="J2016" s="8">
        <v>102.473466597222</v>
      </c>
      <c r="K2016" s="6" t="s">
        <v>29</v>
      </c>
      <c r="L2016" s="9">
        <v>44088</v>
      </c>
      <c r="N2016" s="6">
        <v>52</v>
      </c>
      <c r="O2016" s="6" t="s">
        <v>4394</v>
      </c>
      <c r="R2016" s="6">
        <v>63</v>
      </c>
      <c r="S2016" s="6">
        <v>73.5</v>
      </c>
      <c r="T2016" s="10">
        <f t="shared" si="111"/>
        <v>68.25</v>
      </c>
      <c r="U2016" s="15">
        <v>1.8</v>
      </c>
      <c r="V2016" s="8">
        <v>0.26859126044511761</v>
      </c>
      <c r="W2016" s="8">
        <v>2.7523659701347354</v>
      </c>
      <c r="X2016" s="8">
        <f t="shared" si="108"/>
        <v>0.60363588657379452</v>
      </c>
      <c r="Y2016" s="6" t="s">
        <v>1760</v>
      </c>
    </row>
    <row r="2017" spans="1:25" x14ac:dyDescent="0.35">
      <c r="A2017" s="6" t="s">
        <v>25</v>
      </c>
      <c r="B2017" s="6" t="s">
        <v>2498</v>
      </c>
      <c r="D2017" s="6" t="s">
        <v>2499</v>
      </c>
      <c r="E2017" s="6">
        <v>5</v>
      </c>
      <c r="F2017" s="6">
        <v>61</v>
      </c>
      <c r="I2017" s="8">
        <v>89.023700416666699</v>
      </c>
      <c r="J2017" s="8">
        <v>102.473466597222</v>
      </c>
      <c r="K2017" s="6" t="s">
        <v>29</v>
      </c>
      <c r="L2017" s="9">
        <v>44088</v>
      </c>
      <c r="N2017" s="6">
        <v>52</v>
      </c>
      <c r="O2017" s="6" t="s">
        <v>4394</v>
      </c>
      <c r="R2017" s="6">
        <v>73.5</v>
      </c>
      <c r="S2017" s="6">
        <v>84</v>
      </c>
      <c r="T2017" s="10">
        <f t="shared" si="111"/>
        <v>78.75</v>
      </c>
      <c r="U2017" s="15">
        <v>2.1</v>
      </c>
      <c r="V2017" s="8">
        <v>0.43527446372509015</v>
      </c>
      <c r="W2017" s="8">
        <v>4.5339330062866212</v>
      </c>
      <c r="X2017" s="8">
        <f t="shared" ref="X2017:X2080" si="112">W2017-(8*V2017)</f>
        <v>1.0517372964859</v>
      </c>
      <c r="Y2017" s="6" t="s">
        <v>1760</v>
      </c>
    </row>
    <row r="2018" spans="1:25" x14ac:dyDescent="0.35">
      <c r="A2018" s="6" t="s">
        <v>25</v>
      </c>
      <c r="B2018" s="6" t="s">
        <v>2500</v>
      </c>
      <c r="D2018" s="6" t="s">
        <v>2501</v>
      </c>
      <c r="E2018" s="6">
        <v>5</v>
      </c>
      <c r="F2018" s="6">
        <v>61</v>
      </c>
      <c r="I2018" s="8">
        <v>89.023700416666699</v>
      </c>
      <c r="J2018" s="8">
        <v>102.473466597222</v>
      </c>
      <c r="K2018" s="6" t="s">
        <v>29</v>
      </c>
      <c r="L2018" s="9">
        <v>44088</v>
      </c>
      <c r="N2018" s="6">
        <v>52</v>
      </c>
      <c r="O2018" s="6" t="s">
        <v>4394</v>
      </c>
      <c r="R2018" s="6">
        <v>84</v>
      </c>
      <c r="S2018" s="6">
        <v>95</v>
      </c>
      <c r="T2018" s="10">
        <f t="shared" si="111"/>
        <v>89.5</v>
      </c>
      <c r="U2018" s="15">
        <v>2.2999999999999998</v>
      </c>
      <c r="V2018" s="8">
        <v>0.54413100070953324</v>
      </c>
      <c r="W2018" s="8">
        <v>4.9335378394126899</v>
      </c>
      <c r="X2018" s="8">
        <f t="shared" si="112"/>
        <v>0.58048983373642393</v>
      </c>
      <c r="Y2018" s="6" t="s">
        <v>1760</v>
      </c>
    </row>
    <row r="2019" spans="1:25" x14ac:dyDescent="0.35">
      <c r="A2019" s="6" t="s">
        <v>25</v>
      </c>
      <c r="B2019" s="6" t="s">
        <v>3619</v>
      </c>
      <c r="D2019" s="6" t="s">
        <v>3921</v>
      </c>
      <c r="E2019" s="6">
        <v>5</v>
      </c>
      <c r="F2019" s="6">
        <v>62</v>
      </c>
      <c r="G2019" s="6" t="s">
        <v>4223</v>
      </c>
      <c r="I2019" s="8">
        <v>89.023700416666699</v>
      </c>
      <c r="J2019" s="8">
        <v>102.473466597222</v>
      </c>
      <c r="K2019" s="6" t="s">
        <v>2610</v>
      </c>
      <c r="L2019" s="9">
        <v>44088</v>
      </c>
      <c r="N2019" s="6">
        <v>52</v>
      </c>
      <c r="O2019" s="6" t="s">
        <v>4394</v>
      </c>
      <c r="V2019" s="8">
        <v>-3.109935577602386</v>
      </c>
      <c r="W2019" s="8">
        <v>-23.265047096252442</v>
      </c>
      <c r="X2019" s="27">
        <f t="shared" si="112"/>
        <v>1.6144375245666467</v>
      </c>
    </row>
    <row r="2020" spans="1:25" x14ac:dyDescent="0.35">
      <c r="A2020" s="6" t="s">
        <v>25</v>
      </c>
      <c r="B2020" s="6" t="s">
        <v>2502</v>
      </c>
      <c r="D2020" s="6" t="s">
        <v>2503</v>
      </c>
      <c r="E2020" s="6">
        <v>5</v>
      </c>
      <c r="F2020" s="6">
        <v>61</v>
      </c>
      <c r="G2020" s="6" t="s">
        <v>2369</v>
      </c>
      <c r="I2020" s="8">
        <v>89.023700416666699</v>
      </c>
      <c r="J2020" s="8">
        <v>102.473466597222</v>
      </c>
      <c r="K2020" s="6" t="s">
        <v>4450</v>
      </c>
      <c r="L2020" s="9">
        <v>44088</v>
      </c>
      <c r="N2020" s="6">
        <v>52</v>
      </c>
      <c r="O2020" s="6" t="s">
        <v>4394</v>
      </c>
      <c r="T2020" s="10"/>
      <c r="U2020" s="6">
        <v>9.9</v>
      </c>
      <c r="V2020" s="8">
        <v>-12.592798570632937</v>
      </c>
      <c r="W2020" s="8">
        <v>-93.335709888458254</v>
      </c>
      <c r="X2020" s="8">
        <f t="shared" si="112"/>
        <v>7.4066786766052388</v>
      </c>
    </row>
    <row r="2021" spans="1:25" x14ac:dyDescent="0.35">
      <c r="A2021" s="6" t="s">
        <v>25</v>
      </c>
      <c r="B2021" s="6" t="s">
        <v>2504</v>
      </c>
      <c r="D2021" s="6" t="s">
        <v>2505</v>
      </c>
      <c r="E2021" s="6">
        <v>5</v>
      </c>
      <c r="F2021" s="6">
        <v>61</v>
      </c>
      <c r="G2021" s="6" t="s">
        <v>2369</v>
      </c>
      <c r="I2021" s="8">
        <v>89.023700416666699</v>
      </c>
      <c r="J2021" s="8">
        <v>102.473466597222</v>
      </c>
      <c r="K2021" s="6" t="s">
        <v>4450</v>
      </c>
      <c r="L2021" s="9">
        <v>44088</v>
      </c>
      <c r="N2021" s="6">
        <v>52</v>
      </c>
      <c r="O2021" s="6" t="s">
        <v>4394</v>
      </c>
      <c r="T2021" s="10"/>
      <c r="U2021" s="6">
        <v>23</v>
      </c>
      <c r="V2021" s="8">
        <v>-3.0977497487068177</v>
      </c>
      <c r="W2021" s="8">
        <v>-22.711607777595518</v>
      </c>
      <c r="X2021" s="8">
        <f t="shared" si="112"/>
        <v>2.0703902120590243</v>
      </c>
    </row>
    <row r="2022" spans="1:25" x14ac:dyDescent="0.35">
      <c r="A2022" s="6" t="s">
        <v>25</v>
      </c>
      <c r="B2022" s="6" t="s">
        <v>2506</v>
      </c>
      <c r="D2022" s="6" t="s">
        <v>2507</v>
      </c>
      <c r="E2022" s="6">
        <v>5</v>
      </c>
      <c r="F2022" s="6">
        <v>61</v>
      </c>
      <c r="G2022" s="6" t="s">
        <v>2369</v>
      </c>
      <c r="I2022" s="8">
        <v>89.023700416666699</v>
      </c>
      <c r="J2022" s="8">
        <v>102.473466597222</v>
      </c>
      <c r="K2022" s="6" t="s">
        <v>4450</v>
      </c>
      <c r="L2022" s="9">
        <v>44088</v>
      </c>
      <c r="N2022" s="6">
        <v>52</v>
      </c>
      <c r="O2022" s="6" t="s">
        <v>4394</v>
      </c>
      <c r="T2022" s="10"/>
      <c r="U2022" s="6">
        <v>29</v>
      </c>
      <c r="V2022" s="8">
        <v>-3.0883994493484499</v>
      </c>
      <c r="W2022" s="8">
        <v>-24.117668392181393</v>
      </c>
      <c r="X2022" s="8">
        <f t="shared" si="112"/>
        <v>0.58952720260620595</v>
      </c>
    </row>
    <row r="2023" spans="1:25" x14ac:dyDescent="0.35">
      <c r="A2023" s="6" t="s">
        <v>25</v>
      </c>
      <c r="B2023" s="6" t="s">
        <v>2508</v>
      </c>
      <c r="D2023" s="6" t="s">
        <v>2509</v>
      </c>
      <c r="E2023" s="6">
        <v>5</v>
      </c>
      <c r="F2023" s="6">
        <v>61</v>
      </c>
      <c r="G2023" s="6" t="s">
        <v>2369</v>
      </c>
      <c r="I2023" s="8">
        <v>89.023700416666699</v>
      </c>
      <c r="J2023" s="8">
        <v>102.473466597222</v>
      </c>
      <c r="K2023" s="6" t="s">
        <v>4450</v>
      </c>
      <c r="L2023" s="9">
        <v>44088</v>
      </c>
      <c r="N2023" s="6">
        <v>52</v>
      </c>
      <c r="O2023" s="6" t="s">
        <v>4394</v>
      </c>
      <c r="R2023" s="6">
        <v>0</v>
      </c>
      <c r="S2023" s="6">
        <v>10</v>
      </c>
      <c r="T2023" s="10">
        <f t="shared" ref="T2023:T2031" si="113">AVERAGE(R2023:S2023)</f>
        <v>5</v>
      </c>
      <c r="U2023" s="6">
        <v>0.5</v>
      </c>
      <c r="V2023" s="8">
        <v>-2.8520486111640935</v>
      </c>
      <c r="W2023" s="8">
        <v>-22.180103702545168</v>
      </c>
      <c r="X2023" s="8">
        <f t="shared" si="112"/>
        <v>0.63628518676758006</v>
      </c>
    </row>
    <row r="2024" spans="1:25" x14ac:dyDescent="0.35">
      <c r="A2024" s="6" t="s">
        <v>25</v>
      </c>
      <c r="B2024" s="6" t="s">
        <v>2510</v>
      </c>
      <c r="D2024" s="6" t="s">
        <v>2511</v>
      </c>
      <c r="E2024" s="6">
        <v>5</v>
      </c>
      <c r="F2024" s="6">
        <v>61</v>
      </c>
      <c r="G2024" s="6" t="s">
        <v>2369</v>
      </c>
      <c r="I2024" s="8">
        <v>89.023700416666699</v>
      </c>
      <c r="J2024" s="8">
        <v>102.473466597222</v>
      </c>
      <c r="K2024" s="6" t="s">
        <v>4450</v>
      </c>
      <c r="L2024" s="9">
        <v>44088</v>
      </c>
      <c r="N2024" s="6">
        <v>52</v>
      </c>
      <c r="O2024" s="6" t="s">
        <v>4394</v>
      </c>
      <c r="R2024" s="6">
        <v>10</v>
      </c>
      <c r="S2024" s="6">
        <v>20</v>
      </c>
      <c r="T2024" s="10">
        <f t="shared" si="113"/>
        <v>15</v>
      </c>
      <c r="U2024" s="6">
        <v>4.2</v>
      </c>
      <c r="V2024" s="8">
        <v>-2.3936527408361434</v>
      </c>
      <c r="W2024" s="8">
        <v>-18.4504605178833</v>
      </c>
      <c r="X2024" s="8">
        <f t="shared" si="112"/>
        <v>0.69876140880584714</v>
      </c>
    </row>
    <row r="2025" spans="1:25" x14ac:dyDescent="0.35">
      <c r="A2025" s="6" t="s">
        <v>25</v>
      </c>
      <c r="B2025" s="6" t="s">
        <v>2512</v>
      </c>
      <c r="D2025" s="6" t="s">
        <v>2513</v>
      </c>
      <c r="E2025" s="6">
        <v>5</v>
      </c>
      <c r="F2025" s="6">
        <v>61</v>
      </c>
      <c r="G2025" s="6" t="s">
        <v>2369</v>
      </c>
      <c r="I2025" s="8">
        <v>89.023700416666699</v>
      </c>
      <c r="J2025" s="8">
        <v>102.473466597222</v>
      </c>
      <c r="K2025" s="6" t="s">
        <v>4450</v>
      </c>
      <c r="L2025" s="9">
        <v>44088</v>
      </c>
      <c r="N2025" s="6">
        <v>52</v>
      </c>
      <c r="O2025" s="6" t="s">
        <v>4394</v>
      </c>
      <c r="R2025" s="6">
        <v>0</v>
      </c>
      <c r="S2025" s="6">
        <v>10</v>
      </c>
      <c r="T2025" s="10">
        <f t="shared" si="113"/>
        <v>5</v>
      </c>
      <c r="U2025" s="6">
        <v>3.2</v>
      </c>
      <c r="V2025" s="8">
        <v>0.42436173230409652</v>
      </c>
      <c r="W2025" s="8">
        <v>1.7769805577397342</v>
      </c>
      <c r="X2025" s="8">
        <f t="shared" si="112"/>
        <v>-1.617913300693038</v>
      </c>
    </row>
    <row r="2026" spans="1:25" x14ac:dyDescent="0.35">
      <c r="A2026" s="6" t="s">
        <v>25</v>
      </c>
      <c r="B2026" s="6" t="s">
        <v>2514</v>
      </c>
      <c r="D2026" s="6" t="s">
        <v>2515</v>
      </c>
      <c r="E2026" s="6">
        <v>5</v>
      </c>
      <c r="F2026" s="6">
        <v>61</v>
      </c>
      <c r="G2026" s="6" t="s">
        <v>2369</v>
      </c>
      <c r="I2026" s="8">
        <v>89.023700416666699</v>
      </c>
      <c r="J2026" s="8">
        <v>102.473466597222</v>
      </c>
      <c r="K2026" s="6" t="s">
        <v>4450</v>
      </c>
      <c r="L2026" s="9">
        <v>44088</v>
      </c>
      <c r="N2026" s="6">
        <v>52</v>
      </c>
      <c r="O2026" s="6" t="s">
        <v>4394</v>
      </c>
      <c r="R2026" s="6">
        <v>10</v>
      </c>
      <c r="S2026" s="6">
        <v>20</v>
      </c>
      <c r="T2026" s="10">
        <f t="shared" si="113"/>
        <v>15</v>
      </c>
      <c r="U2026" s="6">
        <v>2.2999999999999998</v>
      </c>
      <c r="V2026" s="8">
        <v>0.9033321834301945</v>
      </c>
      <c r="W2026" s="8">
        <v>7.9941165225982669</v>
      </c>
      <c r="X2026" s="8">
        <f t="shared" si="112"/>
        <v>0.76745905515671087</v>
      </c>
    </row>
    <row r="2027" spans="1:25" x14ac:dyDescent="0.35">
      <c r="A2027" s="6" t="s">
        <v>25</v>
      </c>
      <c r="B2027" s="6" t="s">
        <v>2516</v>
      </c>
      <c r="D2027" s="6" t="s">
        <v>2517</v>
      </c>
      <c r="E2027" s="6">
        <v>5</v>
      </c>
      <c r="F2027" s="6">
        <v>61</v>
      </c>
      <c r="G2027" s="6" t="s">
        <v>2369</v>
      </c>
      <c r="I2027" s="8">
        <v>89.023700416666699</v>
      </c>
      <c r="J2027" s="8">
        <v>102.473466597222</v>
      </c>
      <c r="K2027" s="6" t="s">
        <v>4450</v>
      </c>
      <c r="L2027" s="9">
        <v>44088</v>
      </c>
      <c r="N2027" s="6">
        <v>52</v>
      </c>
      <c r="O2027" s="6" t="s">
        <v>4394</v>
      </c>
      <c r="R2027" s="6">
        <v>20</v>
      </c>
      <c r="S2027" s="6">
        <v>30</v>
      </c>
      <c r="T2027" s="10">
        <f t="shared" si="113"/>
        <v>25</v>
      </c>
      <c r="U2027" s="6">
        <v>2.1</v>
      </c>
      <c r="V2027" s="8">
        <v>0.94443612849712422</v>
      </c>
      <c r="W2027" s="8">
        <v>5.064645800113678</v>
      </c>
      <c r="X2027" s="8">
        <f t="shared" si="112"/>
        <v>-2.4908432278633157</v>
      </c>
    </row>
    <row r="2028" spans="1:25" x14ac:dyDescent="0.35">
      <c r="A2028" s="6" t="s">
        <v>25</v>
      </c>
      <c r="B2028" s="6" t="s">
        <v>2518</v>
      </c>
      <c r="D2028" s="6" t="s">
        <v>2519</v>
      </c>
      <c r="E2028" s="6">
        <v>5</v>
      </c>
      <c r="F2028" s="6">
        <v>61</v>
      </c>
      <c r="G2028" s="6" t="s">
        <v>2369</v>
      </c>
      <c r="I2028" s="8">
        <v>89.023700416666699</v>
      </c>
      <c r="J2028" s="8">
        <v>102.473466597222</v>
      </c>
      <c r="K2028" s="6" t="s">
        <v>4450</v>
      </c>
      <c r="L2028" s="9">
        <v>44088</v>
      </c>
      <c r="N2028" s="6">
        <v>52</v>
      </c>
      <c r="O2028" s="6" t="s">
        <v>4394</v>
      </c>
      <c r="R2028" s="6">
        <v>30</v>
      </c>
      <c r="S2028" s="6">
        <v>40</v>
      </c>
      <c r="T2028" s="10">
        <f t="shared" si="113"/>
        <v>35</v>
      </c>
      <c r="U2028" s="6">
        <v>2.2000000000000002</v>
      </c>
      <c r="V2028" s="8">
        <v>0.69021871243476873</v>
      </c>
      <c r="W2028" s="8">
        <v>4.9086233520984646</v>
      </c>
      <c r="X2028" s="8">
        <f t="shared" si="112"/>
        <v>-0.6131263473796853</v>
      </c>
    </row>
    <row r="2029" spans="1:25" x14ac:dyDescent="0.35">
      <c r="A2029" s="6" t="s">
        <v>25</v>
      </c>
      <c r="B2029" s="6" t="s">
        <v>2520</v>
      </c>
      <c r="D2029" s="6" t="s">
        <v>2521</v>
      </c>
      <c r="E2029" s="6">
        <v>5</v>
      </c>
      <c r="F2029" s="6">
        <v>61</v>
      </c>
      <c r="G2029" s="6" t="s">
        <v>2369</v>
      </c>
      <c r="I2029" s="8">
        <v>89.023700416666699</v>
      </c>
      <c r="J2029" s="8">
        <v>102.473466597222</v>
      </c>
      <c r="K2029" s="6" t="s">
        <v>4450</v>
      </c>
      <c r="L2029" s="9">
        <v>44088</v>
      </c>
      <c r="N2029" s="6">
        <v>52</v>
      </c>
      <c r="O2029" s="6" t="s">
        <v>4394</v>
      </c>
      <c r="R2029" s="6">
        <v>40</v>
      </c>
      <c r="S2029" s="6">
        <v>50</v>
      </c>
      <c r="T2029" s="10">
        <f t="shared" si="113"/>
        <v>45</v>
      </c>
      <c r="U2029" s="6">
        <v>2.8</v>
      </c>
      <c r="V2029" s="8">
        <v>0.62139115762710584</v>
      </c>
      <c r="W2029" s="8">
        <v>2.3045432552099223</v>
      </c>
      <c r="X2029" s="8">
        <f t="shared" si="112"/>
        <v>-2.6665860058069244</v>
      </c>
    </row>
    <row r="2030" spans="1:25" x14ac:dyDescent="0.35">
      <c r="A2030" s="6" t="s">
        <v>25</v>
      </c>
      <c r="B2030" s="6" t="s">
        <v>2522</v>
      </c>
      <c r="D2030" s="6" t="s">
        <v>2523</v>
      </c>
      <c r="E2030" s="6">
        <v>5</v>
      </c>
      <c r="F2030" s="6">
        <v>61</v>
      </c>
      <c r="G2030" s="6" t="s">
        <v>2369</v>
      </c>
      <c r="I2030" s="8">
        <v>89.023700416666699</v>
      </c>
      <c r="J2030" s="8">
        <v>102.473466597222</v>
      </c>
      <c r="K2030" s="6" t="s">
        <v>4450</v>
      </c>
      <c r="L2030" s="9">
        <v>44088</v>
      </c>
      <c r="N2030" s="6">
        <v>52</v>
      </c>
      <c r="O2030" s="6" t="s">
        <v>4394</v>
      </c>
      <c r="R2030" s="6">
        <v>50</v>
      </c>
      <c r="S2030" s="6">
        <v>60</v>
      </c>
      <c r="T2030" s="10">
        <f t="shared" si="113"/>
        <v>55</v>
      </c>
      <c r="U2030" s="6">
        <v>2.7</v>
      </c>
      <c r="V2030" s="8">
        <v>0.7259854542016988</v>
      </c>
      <c r="W2030" s="8">
        <v>4.0139616002440448</v>
      </c>
      <c r="X2030" s="8">
        <f t="shared" si="112"/>
        <v>-1.7939220333695456</v>
      </c>
    </row>
    <row r="2031" spans="1:25" x14ac:dyDescent="0.35">
      <c r="A2031" s="6" t="s">
        <v>25</v>
      </c>
      <c r="B2031" s="6" t="s">
        <v>2524</v>
      </c>
      <c r="D2031" s="6" t="s">
        <v>2525</v>
      </c>
      <c r="E2031" s="6">
        <v>5</v>
      </c>
      <c r="F2031" s="6">
        <v>61</v>
      </c>
      <c r="G2031" s="6" t="s">
        <v>2369</v>
      </c>
      <c r="I2031" s="8">
        <v>89.023700416666699</v>
      </c>
      <c r="J2031" s="8">
        <v>102.473466597222</v>
      </c>
      <c r="K2031" s="6" t="s">
        <v>4450</v>
      </c>
      <c r="L2031" s="9">
        <v>44088</v>
      </c>
      <c r="N2031" s="6">
        <v>52</v>
      </c>
      <c r="O2031" s="6" t="s">
        <v>4394</v>
      </c>
      <c r="R2031" s="6">
        <v>60</v>
      </c>
      <c r="S2031" s="6">
        <v>70</v>
      </c>
      <c r="T2031" s="10">
        <f t="shared" si="113"/>
        <v>65</v>
      </c>
      <c r="U2031" s="6">
        <v>2.1</v>
      </c>
      <c r="V2031" s="8">
        <v>0.83349648885130889</v>
      </c>
      <c r="W2031" s="8">
        <v>6.8532406790256495</v>
      </c>
      <c r="X2031" s="8">
        <f t="shared" si="112"/>
        <v>0.18526876821517835</v>
      </c>
    </row>
    <row r="2032" spans="1:25" x14ac:dyDescent="0.35">
      <c r="A2032" s="6" t="s">
        <v>25</v>
      </c>
      <c r="B2032" s="6" t="s">
        <v>3620</v>
      </c>
      <c r="D2032" s="6" t="s">
        <v>3922</v>
      </c>
      <c r="E2032" s="6">
        <v>5</v>
      </c>
      <c r="F2032" s="6">
        <v>62</v>
      </c>
      <c r="G2032" s="6" t="s">
        <v>4224</v>
      </c>
      <c r="I2032" s="8">
        <v>89.060095263888897</v>
      </c>
      <c r="J2032" s="8">
        <v>108.015119708333</v>
      </c>
      <c r="K2032" s="6" t="s">
        <v>2610</v>
      </c>
      <c r="L2032" s="9">
        <v>44089</v>
      </c>
      <c r="N2032" s="6">
        <v>52</v>
      </c>
      <c r="O2032" s="6" t="s">
        <v>4431</v>
      </c>
      <c r="V2032" s="8">
        <v>-3.1398118271541597</v>
      </c>
      <c r="W2032" s="8">
        <v>-23.008805347442628</v>
      </c>
      <c r="X2032" s="27">
        <f t="shared" si="112"/>
        <v>2.1096892697906497</v>
      </c>
    </row>
    <row r="2033" spans="1:25" x14ac:dyDescent="0.35">
      <c r="A2033" s="6" t="s">
        <v>25</v>
      </c>
      <c r="B2033" s="6" t="s">
        <v>2529</v>
      </c>
      <c r="D2033" s="6" t="s">
        <v>2530</v>
      </c>
      <c r="E2033" s="6">
        <v>5</v>
      </c>
      <c r="F2033" s="6">
        <v>61</v>
      </c>
      <c r="G2033" s="6" t="s">
        <v>2531</v>
      </c>
      <c r="I2033" s="8">
        <v>89.069436736111143</v>
      </c>
      <c r="J2033" s="8">
        <v>107.55595229166673</v>
      </c>
      <c r="K2033" s="6" t="s">
        <v>4450</v>
      </c>
      <c r="L2033" s="9">
        <v>44089</v>
      </c>
      <c r="N2033" s="6">
        <v>52</v>
      </c>
      <c r="O2033" s="6" t="s">
        <v>4431</v>
      </c>
      <c r="T2033" s="10"/>
      <c r="U2033" s="6">
        <v>29.1</v>
      </c>
      <c r="V2033" s="8">
        <v>-3.169064548182488</v>
      </c>
      <c r="W2033" s="8">
        <v>-23.086050694465637</v>
      </c>
      <c r="X2033" s="8">
        <f t="shared" si="112"/>
        <v>2.2664656909942664</v>
      </c>
    </row>
    <row r="2034" spans="1:25" x14ac:dyDescent="0.35">
      <c r="A2034" s="6" t="s">
        <v>25</v>
      </c>
      <c r="B2034" s="6" t="s">
        <v>2532</v>
      </c>
      <c r="D2034" s="6" t="s">
        <v>2533</v>
      </c>
      <c r="E2034" s="6">
        <v>5</v>
      </c>
      <c r="F2034" s="6">
        <v>61</v>
      </c>
      <c r="G2034" s="6" t="s">
        <v>2531</v>
      </c>
      <c r="I2034" s="8">
        <v>89.069436736111143</v>
      </c>
      <c r="J2034" s="8">
        <v>107.55595229166673</v>
      </c>
      <c r="K2034" s="6" t="s">
        <v>4450</v>
      </c>
      <c r="L2034" s="9">
        <v>44089</v>
      </c>
      <c r="N2034" s="6">
        <v>52</v>
      </c>
      <c r="O2034" s="6" t="s">
        <v>4431</v>
      </c>
      <c r="T2034" s="10"/>
      <c r="U2034" s="6">
        <v>29.2</v>
      </c>
      <c r="V2034" s="8">
        <v>-3.1987159215688705</v>
      </c>
      <c r="W2034" s="8">
        <v>-22.8946088514328</v>
      </c>
      <c r="X2034" s="8">
        <f t="shared" si="112"/>
        <v>2.6951185211181645</v>
      </c>
    </row>
    <row r="2035" spans="1:25" x14ac:dyDescent="0.35">
      <c r="A2035" s="6" t="s">
        <v>25</v>
      </c>
      <c r="B2035" s="6" t="s">
        <v>2534</v>
      </c>
      <c r="D2035" s="6" t="s">
        <v>2535</v>
      </c>
      <c r="E2035" s="6">
        <v>5</v>
      </c>
      <c r="F2035" s="6">
        <v>61</v>
      </c>
      <c r="G2035" s="6" t="s">
        <v>2531</v>
      </c>
      <c r="I2035" s="8">
        <v>89.069436736111101</v>
      </c>
      <c r="J2035" s="8">
        <v>107.555952291667</v>
      </c>
      <c r="K2035" s="6" t="s">
        <v>4450</v>
      </c>
      <c r="L2035" s="9">
        <v>44089</v>
      </c>
      <c r="N2035" s="6">
        <v>52</v>
      </c>
      <c r="O2035" s="6" t="s">
        <v>4431</v>
      </c>
      <c r="T2035" s="10"/>
      <c r="U2035" s="6">
        <v>29.2</v>
      </c>
      <c r="V2035" s="8">
        <v>-3.2296047860622403</v>
      </c>
      <c r="W2035" s="8">
        <v>-23.336744136810303</v>
      </c>
      <c r="X2035" s="8">
        <f t="shared" si="112"/>
        <v>2.5000941516876196</v>
      </c>
    </row>
    <row r="2036" spans="1:25" x14ac:dyDescent="0.35">
      <c r="A2036" s="6" t="s">
        <v>25</v>
      </c>
      <c r="B2036" s="6" t="s">
        <v>2526</v>
      </c>
      <c r="D2036" s="6" t="s">
        <v>2527</v>
      </c>
      <c r="E2036" s="6">
        <v>5</v>
      </c>
      <c r="F2036" s="6">
        <v>61</v>
      </c>
      <c r="G2036" s="6" t="s">
        <v>2528</v>
      </c>
      <c r="I2036" s="8">
        <v>89.069436736111101</v>
      </c>
      <c r="J2036" s="8">
        <v>107.555952291667</v>
      </c>
      <c r="K2036" s="6" t="s">
        <v>390</v>
      </c>
      <c r="L2036" s="9">
        <v>44089</v>
      </c>
      <c r="N2036" s="6">
        <v>52</v>
      </c>
      <c r="O2036" s="6" t="s">
        <v>4431</v>
      </c>
      <c r="T2036" s="10"/>
      <c r="U2036" s="6">
        <v>4.3</v>
      </c>
      <c r="V2036" s="8">
        <v>-1.7033796544313426</v>
      </c>
      <c r="W2036" s="8">
        <v>-12.607147305488587</v>
      </c>
      <c r="X2036" s="8">
        <f t="shared" si="112"/>
        <v>1.0198899299621544</v>
      </c>
    </row>
    <row r="2037" spans="1:25" x14ac:dyDescent="0.35">
      <c r="A2037" s="6" t="s">
        <v>25</v>
      </c>
      <c r="B2037" s="6" t="s">
        <v>3084</v>
      </c>
      <c r="D2037" s="6" t="s">
        <v>3173</v>
      </c>
      <c r="E2037" s="6">
        <v>5</v>
      </c>
      <c r="F2037" s="6">
        <v>62</v>
      </c>
      <c r="G2037" s="6" t="s">
        <v>3288</v>
      </c>
      <c r="I2037" s="8">
        <v>89.064766000000006</v>
      </c>
      <c r="J2037" s="8">
        <v>107.78553599999999</v>
      </c>
      <c r="K2037" s="6" t="s">
        <v>198</v>
      </c>
      <c r="L2037" s="9">
        <v>44089</v>
      </c>
      <c r="M2037" s="18">
        <v>0.38194444444444442</v>
      </c>
      <c r="N2037" s="6">
        <v>52</v>
      </c>
      <c r="O2037" s="6" t="s">
        <v>4431</v>
      </c>
      <c r="R2037" s="6">
        <v>3</v>
      </c>
      <c r="S2037" s="6">
        <v>0</v>
      </c>
      <c r="V2037" s="8">
        <v>-12.531260216522217</v>
      </c>
      <c r="W2037" s="8">
        <v>-96.039039230346674</v>
      </c>
      <c r="X2037" s="8">
        <f t="shared" si="112"/>
        <v>4.2110425018310593</v>
      </c>
      <c r="Y2037" s="6" t="s">
        <v>3289</v>
      </c>
    </row>
    <row r="2038" spans="1:25" x14ac:dyDescent="0.35">
      <c r="A2038" s="6" t="s">
        <v>25</v>
      </c>
      <c r="B2038" s="6" t="s">
        <v>3621</v>
      </c>
      <c r="D2038" s="6" t="s">
        <v>3923</v>
      </c>
      <c r="E2038" s="6">
        <v>5</v>
      </c>
      <c r="F2038" s="6">
        <v>62</v>
      </c>
      <c r="G2038" s="6" t="s">
        <v>4225</v>
      </c>
      <c r="I2038" s="8">
        <v>89.070619444444446</v>
      </c>
      <c r="J2038" s="8">
        <v>108.96614326388897</v>
      </c>
      <c r="K2038" s="6" t="s">
        <v>2610</v>
      </c>
      <c r="L2038" s="9">
        <v>44090</v>
      </c>
      <c r="N2038" s="6">
        <v>52</v>
      </c>
      <c r="O2038" s="6" t="s">
        <v>4439</v>
      </c>
      <c r="V2038" s="8">
        <v>-3.1857744199943543</v>
      </c>
      <c r="W2038" s="8">
        <v>-23.424744216918945</v>
      </c>
      <c r="X2038" s="27">
        <f t="shared" si="112"/>
        <v>2.0614511430358888</v>
      </c>
    </row>
    <row r="2039" spans="1:25" x14ac:dyDescent="0.35">
      <c r="A2039" s="6" t="s">
        <v>25</v>
      </c>
      <c r="B2039" s="6" t="s">
        <v>2536</v>
      </c>
      <c r="D2039" s="6" t="s">
        <v>2537</v>
      </c>
      <c r="E2039" s="6">
        <v>5</v>
      </c>
      <c r="F2039" s="6">
        <v>61</v>
      </c>
      <c r="G2039" s="6" t="s">
        <v>2538</v>
      </c>
      <c r="I2039" s="8">
        <v>89.070619444444446</v>
      </c>
      <c r="J2039" s="8">
        <v>108.96614326388897</v>
      </c>
      <c r="K2039" s="6" t="s">
        <v>4450</v>
      </c>
      <c r="L2039" s="9">
        <v>44090</v>
      </c>
      <c r="N2039" s="6">
        <v>52</v>
      </c>
      <c r="O2039" s="6" t="s">
        <v>4439</v>
      </c>
      <c r="T2039" s="10"/>
      <c r="U2039" s="6">
        <v>29.2</v>
      </c>
      <c r="V2039" s="8">
        <v>-3.1876912690639498</v>
      </c>
      <c r="W2039" s="8">
        <v>-22.993139993667601</v>
      </c>
      <c r="X2039" s="8">
        <f t="shared" si="112"/>
        <v>2.5083901588439979</v>
      </c>
    </row>
    <row r="2040" spans="1:25" x14ac:dyDescent="0.35">
      <c r="A2040" s="6" t="s">
        <v>25</v>
      </c>
      <c r="B2040" s="6" t="s">
        <v>3622</v>
      </c>
      <c r="D2040" s="6" t="s">
        <v>3924</v>
      </c>
      <c r="E2040" s="6">
        <v>5</v>
      </c>
      <c r="F2040" s="6">
        <v>62</v>
      </c>
      <c r="G2040" s="6" t="s">
        <v>4226</v>
      </c>
      <c r="I2040" s="8">
        <v>89.027778472222295</v>
      </c>
      <c r="J2040" s="8">
        <v>107.640505763889</v>
      </c>
      <c r="K2040" s="6" t="s">
        <v>2610</v>
      </c>
      <c r="L2040" s="9">
        <v>44091</v>
      </c>
      <c r="N2040" s="6">
        <v>52</v>
      </c>
      <c r="O2040" s="6" t="s">
        <v>4440</v>
      </c>
      <c r="V2040" s="8">
        <v>-3.1648267848205567</v>
      </c>
      <c r="W2040" s="8">
        <v>-22.684340850830079</v>
      </c>
      <c r="X2040" s="27">
        <f t="shared" si="112"/>
        <v>2.6342734277343745</v>
      </c>
    </row>
    <row r="2041" spans="1:25" x14ac:dyDescent="0.35">
      <c r="A2041" s="6" t="s">
        <v>25</v>
      </c>
      <c r="B2041" s="6" t="s">
        <v>2539</v>
      </c>
      <c r="D2041" s="6" t="s">
        <v>2540</v>
      </c>
      <c r="E2041" s="6">
        <v>5</v>
      </c>
      <c r="F2041" s="6">
        <v>61</v>
      </c>
      <c r="G2041" s="6" t="s">
        <v>2285</v>
      </c>
      <c r="I2041" s="8">
        <v>89.027778472222295</v>
      </c>
      <c r="J2041" s="8">
        <v>107.64050576388888</v>
      </c>
      <c r="K2041" s="6" t="s">
        <v>4450</v>
      </c>
      <c r="L2041" s="9">
        <v>44091</v>
      </c>
      <c r="N2041" s="6">
        <v>52</v>
      </c>
      <c r="O2041" s="6" t="s">
        <v>4440</v>
      </c>
      <c r="T2041" s="10"/>
      <c r="U2041" s="6">
        <v>29</v>
      </c>
      <c r="V2041" s="8">
        <v>-3.2241924933433541</v>
      </c>
      <c r="W2041" s="8">
        <v>-23.966456012725828</v>
      </c>
      <c r="X2041" s="8">
        <f t="shared" si="112"/>
        <v>1.8270839340210046</v>
      </c>
    </row>
    <row r="2042" spans="1:25" x14ac:dyDescent="0.35">
      <c r="A2042" s="6" t="s">
        <v>25</v>
      </c>
      <c r="B2042" s="6" t="s">
        <v>2541</v>
      </c>
      <c r="D2042" s="6" t="s">
        <v>2542</v>
      </c>
      <c r="E2042" s="6">
        <v>5</v>
      </c>
      <c r="F2042" s="6">
        <v>61</v>
      </c>
      <c r="G2042" s="6" t="s">
        <v>2285</v>
      </c>
      <c r="I2042" s="8">
        <v>89.027778472222295</v>
      </c>
      <c r="J2042" s="8">
        <v>107.64050576388888</v>
      </c>
      <c r="K2042" s="6" t="s">
        <v>4450</v>
      </c>
      <c r="L2042" s="9">
        <v>44091</v>
      </c>
      <c r="N2042" s="6">
        <v>52</v>
      </c>
      <c r="O2042" s="6" t="s">
        <v>4440</v>
      </c>
      <c r="T2042" s="10"/>
      <c r="U2042" s="6">
        <v>29.1</v>
      </c>
      <c r="V2042" s="8">
        <v>-3.2038405152797695</v>
      </c>
      <c r="W2042" s="8">
        <v>-23.752140983581544</v>
      </c>
      <c r="X2042" s="8">
        <f t="shared" si="112"/>
        <v>1.8785831386566123</v>
      </c>
    </row>
    <row r="2043" spans="1:25" x14ac:dyDescent="0.35">
      <c r="A2043" s="6" t="s">
        <v>25</v>
      </c>
      <c r="B2043" s="6" t="s">
        <v>3623</v>
      </c>
      <c r="D2043" s="6" t="s">
        <v>3925</v>
      </c>
      <c r="E2043" s="6">
        <v>5</v>
      </c>
      <c r="F2043" s="6">
        <v>62</v>
      </c>
      <c r="G2043" s="6" t="s">
        <v>4227</v>
      </c>
      <c r="I2043" s="8">
        <v>89.083823055555541</v>
      </c>
      <c r="J2043" s="8">
        <v>107.19341506944446</v>
      </c>
      <c r="K2043" s="6" t="s">
        <v>2610</v>
      </c>
      <c r="L2043" s="9">
        <v>44092</v>
      </c>
      <c r="N2043" s="6">
        <v>52</v>
      </c>
      <c r="O2043" s="6" t="s">
        <v>4441</v>
      </c>
      <c r="V2043" s="8">
        <v>-3.1487320384693143</v>
      </c>
      <c r="W2043" s="8">
        <v>-23.112821437835692</v>
      </c>
      <c r="X2043" s="27">
        <f t="shared" si="112"/>
        <v>2.0770348699188226</v>
      </c>
    </row>
    <row r="2044" spans="1:25" x14ac:dyDescent="0.35">
      <c r="A2044" s="6" t="s">
        <v>25</v>
      </c>
      <c r="B2044" s="6" t="s">
        <v>2543</v>
      </c>
      <c r="D2044" s="6" t="s">
        <v>2544</v>
      </c>
      <c r="E2044" s="6">
        <v>5</v>
      </c>
      <c r="F2044" s="6">
        <v>61</v>
      </c>
      <c r="G2044" s="6" t="s">
        <v>2285</v>
      </c>
      <c r="I2044" s="8">
        <v>89.083823055555541</v>
      </c>
      <c r="J2044" s="8">
        <v>107.19341506944446</v>
      </c>
      <c r="K2044" s="6" t="s">
        <v>4450</v>
      </c>
      <c r="L2044" s="9">
        <v>44092</v>
      </c>
      <c r="N2044" s="6">
        <v>52</v>
      </c>
      <c r="O2044" s="6" t="s">
        <v>4441</v>
      </c>
      <c r="T2044" s="10"/>
      <c r="U2044" s="6">
        <v>2.4</v>
      </c>
      <c r="V2044" s="8">
        <v>-9.0593595050811757</v>
      </c>
      <c r="W2044" s="8">
        <v>-68.654126342773438</v>
      </c>
      <c r="X2044" s="8">
        <f t="shared" si="112"/>
        <v>3.8207496978759679</v>
      </c>
    </row>
    <row r="2045" spans="1:25" x14ac:dyDescent="0.35">
      <c r="A2045" s="6" t="s">
        <v>25</v>
      </c>
      <c r="B2045" s="6" t="s">
        <v>2545</v>
      </c>
      <c r="D2045" s="6" t="s">
        <v>2546</v>
      </c>
      <c r="E2045" s="6">
        <v>5</v>
      </c>
      <c r="F2045" s="6">
        <v>61</v>
      </c>
      <c r="G2045" s="6" t="s">
        <v>2285</v>
      </c>
      <c r="I2045" s="8">
        <v>89.083823055555541</v>
      </c>
      <c r="J2045" s="8">
        <v>107.19341506944446</v>
      </c>
      <c r="K2045" s="6" t="s">
        <v>4450</v>
      </c>
      <c r="L2045" s="9">
        <v>44092</v>
      </c>
      <c r="N2045" s="6">
        <v>52</v>
      </c>
      <c r="O2045" s="6" t="s">
        <v>4441</v>
      </c>
      <c r="T2045" s="10"/>
      <c r="U2045" s="6">
        <v>5.3</v>
      </c>
      <c r="V2045" s="8">
        <v>-1.3090401221752166</v>
      </c>
      <c r="W2045" s="8">
        <v>-9.3003621768951437</v>
      </c>
      <c r="X2045" s="8">
        <f t="shared" si="112"/>
        <v>1.1719588005065891</v>
      </c>
    </row>
    <row r="2046" spans="1:25" x14ac:dyDescent="0.35">
      <c r="A2046" s="6" t="s">
        <v>25</v>
      </c>
      <c r="B2046" s="6" t="s">
        <v>2547</v>
      </c>
      <c r="D2046" s="6" t="s">
        <v>2548</v>
      </c>
      <c r="E2046" s="6">
        <v>5</v>
      </c>
      <c r="F2046" s="6">
        <v>61</v>
      </c>
      <c r="G2046" s="6" t="s">
        <v>2285</v>
      </c>
      <c r="I2046" s="8">
        <v>89.083823055555499</v>
      </c>
      <c r="J2046" s="8">
        <v>107.193415069444</v>
      </c>
      <c r="K2046" s="6" t="s">
        <v>4450</v>
      </c>
      <c r="L2046" s="9">
        <v>44092</v>
      </c>
      <c r="N2046" s="6">
        <v>52</v>
      </c>
      <c r="O2046" s="6" t="s">
        <v>4441</v>
      </c>
      <c r="T2046" s="10"/>
      <c r="U2046" s="6">
        <v>4.3</v>
      </c>
      <c r="V2046" s="8">
        <v>-0.1599634468495843</v>
      </c>
      <c r="W2046" s="8">
        <v>-1.4212953485846525</v>
      </c>
      <c r="X2046" s="8">
        <f t="shared" si="112"/>
        <v>-0.14158777378797804</v>
      </c>
    </row>
    <row r="2047" spans="1:25" x14ac:dyDescent="0.35">
      <c r="A2047" s="6" t="s">
        <v>25</v>
      </c>
      <c r="B2047" s="6" t="s">
        <v>2549</v>
      </c>
      <c r="D2047" s="6" t="s">
        <v>2550</v>
      </c>
      <c r="E2047" s="6">
        <v>5</v>
      </c>
      <c r="F2047" s="6">
        <v>61</v>
      </c>
      <c r="G2047" s="6" t="s">
        <v>2285</v>
      </c>
      <c r="I2047" s="8">
        <v>89.083823055555499</v>
      </c>
      <c r="J2047" s="8">
        <v>107.193415069444</v>
      </c>
      <c r="K2047" s="6" t="s">
        <v>4450</v>
      </c>
      <c r="L2047" s="9">
        <v>44092</v>
      </c>
      <c r="N2047" s="6">
        <v>52</v>
      </c>
      <c r="O2047" s="6" t="s">
        <v>4441</v>
      </c>
      <c r="T2047" s="10"/>
      <c r="U2047" s="6">
        <v>2.6</v>
      </c>
      <c r="V2047" s="8">
        <v>0.3677203878819944</v>
      </c>
      <c r="W2047" s="8">
        <v>2.7266706094741826</v>
      </c>
      <c r="X2047" s="8">
        <f t="shared" si="112"/>
        <v>-0.21509249358177263</v>
      </c>
    </row>
    <row r="2048" spans="1:25" x14ac:dyDescent="0.35">
      <c r="A2048" s="6" t="s">
        <v>25</v>
      </c>
      <c r="B2048" s="6" t="s">
        <v>2551</v>
      </c>
      <c r="D2048" s="6" t="s">
        <v>2552</v>
      </c>
      <c r="E2048" s="6">
        <v>5</v>
      </c>
      <c r="F2048" s="6">
        <v>61</v>
      </c>
      <c r="G2048" s="6" t="s">
        <v>2285</v>
      </c>
      <c r="I2048" s="8">
        <v>89.083823055555499</v>
      </c>
      <c r="J2048" s="8">
        <v>107.193415069444</v>
      </c>
      <c r="K2048" s="6" t="s">
        <v>4450</v>
      </c>
      <c r="L2048" s="9">
        <v>44092</v>
      </c>
      <c r="N2048" s="6">
        <v>52</v>
      </c>
      <c r="O2048" s="6" t="s">
        <v>4441</v>
      </c>
      <c r="T2048" s="10"/>
      <c r="U2048" s="6">
        <v>2.4</v>
      </c>
      <c r="V2048" s="8">
        <v>4.6801202753931556E-2</v>
      </c>
      <c r="W2048" s="8">
        <v>1.7039541006088257</v>
      </c>
      <c r="X2048" s="8">
        <f t="shared" si="112"/>
        <v>1.3295444785773731</v>
      </c>
    </row>
    <row r="2049" spans="1:25" x14ac:dyDescent="0.35">
      <c r="A2049" s="6" t="s">
        <v>25</v>
      </c>
      <c r="B2049" s="6" t="s">
        <v>2553</v>
      </c>
      <c r="D2049" s="6" t="s">
        <v>2554</v>
      </c>
      <c r="E2049" s="6">
        <v>5</v>
      </c>
      <c r="F2049" s="6">
        <v>61</v>
      </c>
      <c r="G2049" s="6" t="s">
        <v>2285</v>
      </c>
      <c r="I2049" s="8">
        <v>89.083823055555499</v>
      </c>
      <c r="J2049" s="8">
        <v>107.193415069444</v>
      </c>
      <c r="K2049" s="6" t="s">
        <v>4450</v>
      </c>
      <c r="L2049" s="9">
        <v>44092</v>
      </c>
      <c r="N2049" s="6">
        <v>52</v>
      </c>
      <c r="O2049" s="6" t="s">
        <v>4441</v>
      </c>
      <c r="T2049" s="10"/>
      <c r="U2049" s="6">
        <v>2.6</v>
      </c>
      <c r="V2049" s="8">
        <v>0.44462419844269735</v>
      </c>
      <c r="W2049" s="8">
        <v>3.1751750934123995</v>
      </c>
      <c r="X2049" s="8">
        <f t="shared" si="112"/>
        <v>-0.38181849412917934</v>
      </c>
    </row>
    <row r="2050" spans="1:25" x14ac:dyDescent="0.35">
      <c r="A2050" s="6" t="s">
        <v>25</v>
      </c>
      <c r="B2050" s="6" t="s">
        <v>2555</v>
      </c>
      <c r="D2050" s="6" t="s">
        <v>2556</v>
      </c>
      <c r="E2050" s="6">
        <v>5</v>
      </c>
      <c r="F2050" s="6">
        <v>61</v>
      </c>
      <c r="G2050" s="6" t="s">
        <v>2285</v>
      </c>
      <c r="I2050" s="8">
        <v>89.083823055555499</v>
      </c>
      <c r="J2050" s="8">
        <v>107.193415069444</v>
      </c>
      <c r="K2050" s="6" t="s">
        <v>4450</v>
      </c>
      <c r="L2050" s="9">
        <v>44092</v>
      </c>
      <c r="N2050" s="6">
        <v>52</v>
      </c>
      <c r="O2050" s="6" t="s">
        <v>4441</v>
      </c>
      <c r="T2050" s="10"/>
      <c r="U2050" s="6">
        <v>2.2999999999999998</v>
      </c>
      <c r="V2050" s="8">
        <v>0.66601516132354799</v>
      </c>
      <c r="W2050" s="8">
        <v>5.0338525962829594</v>
      </c>
      <c r="X2050" s="8">
        <f t="shared" si="112"/>
        <v>-0.29426869430542446</v>
      </c>
    </row>
    <row r="2051" spans="1:25" x14ac:dyDescent="0.35">
      <c r="A2051" s="6" t="s">
        <v>25</v>
      </c>
      <c r="B2051" s="6" t="s">
        <v>2557</v>
      </c>
      <c r="D2051" s="6" t="s">
        <v>2558</v>
      </c>
      <c r="E2051" s="6">
        <v>5</v>
      </c>
      <c r="F2051" s="6">
        <v>61</v>
      </c>
      <c r="G2051" s="6" t="s">
        <v>2285</v>
      </c>
      <c r="I2051" s="8">
        <v>89.083823055555499</v>
      </c>
      <c r="J2051" s="8">
        <v>107.193415069444</v>
      </c>
      <c r="K2051" s="6" t="s">
        <v>4450</v>
      </c>
      <c r="L2051" s="9">
        <v>44092</v>
      </c>
      <c r="N2051" s="6">
        <v>52</v>
      </c>
      <c r="O2051" s="6" t="s">
        <v>4441</v>
      </c>
      <c r="T2051" s="10"/>
      <c r="U2051" s="6">
        <v>2.6</v>
      </c>
      <c r="V2051" s="8">
        <v>0.68566359882354799</v>
      </c>
      <c r="W2051" s="8">
        <v>4.4899046325683605</v>
      </c>
      <c r="X2051" s="8">
        <f t="shared" si="112"/>
        <v>-0.99540415802002347</v>
      </c>
    </row>
    <row r="2052" spans="1:25" x14ac:dyDescent="0.35">
      <c r="A2052" s="6" t="s">
        <v>25</v>
      </c>
      <c r="B2052" s="6" t="s">
        <v>2559</v>
      </c>
      <c r="D2052" s="6" t="s">
        <v>2560</v>
      </c>
      <c r="E2052" s="6">
        <v>5</v>
      </c>
      <c r="F2052" s="6">
        <v>61</v>
      </c>
      <c r="G2052" s="6" t="s">
        <v>2285</v>
      </c>
      <c r="I2052" s="8">
        <v>89.083823055555499</v>
      </c>
      <c r="J2052" s="8">
        <v>107.193415069444</v>
      </c>
      <c r="K2052" s="6" t="s">
        <v>4450</v>
      </c>
      <c r="L2052" s="9">
        <v>44092</v>
      </c>
      <c r="N2052" s="6">
        <v>52</v>
      </c>
      <c r="O2052" s="6" t="s">
        <v>4441</v>
      </c>
      <c r="T2052" s="10"/>
      <c r="U2052" s="6">
        <v>2.1</v>
      </c>
      <c r="V2052" s="8">
        <v>0.77955054657459311</v>
      </c>
      <c r="W2052" s="8">
        <v>5.3373455238342284</v>
      </c>
      <c r="X2052" s="8">
        <f t="shared" si="112"/>
        <v>-0.8990588487625164</v>
      </c>
    </row>
    <row r="2053" spans="1:25" x14ac:dyDescent="0.35">
      <c r="A2053" s="6" t="s">
        <v>25</v>
      </c>
      <c r="B2053" s="6" t="s">
        <v>2561</v>
      </c>
      <c r="D2053" s="6" t="s">
        <v>2562</v>
      </c>
      <c r="E2053" s="6">
        <v>5</v>
      </c>
      <c r="F2053" s="6">
        <v>61</v>
      </c>
      <c r="G2053" s="6" t="s">
        <v>2285</v>
      </c>
      <c r="I2053" s="8">
        <v>89.083823055555499</v>
      </c>
      <c r="J2053" s="8">
        <v>107.193415069444</v>
      </c>
      <c r="K2053" s="6" t="s">
        <v>4450</v>
      </c>
      <c r="L2053" s="9">
        <v>44092</v>
      </c>
      <c r="N2053" s="6">
        <v>52</v>
      </c>
      <c r="O2053" s="6" t="s">
        <v>4441</v>
      </c>
      <c r="T2053" s="10"/>
      <c r="U2053" s="6">
        <v>2.1</v>
      </c>
      <c r="V2053" s="8">
        <v>0.6937910651445387</v>
      </c>
      <c r="W2053" s="8">
        <v>5.431420106887817</v>
      </c>
      <c r="X2053" s="8">
        <f t="shared" si="112"/>
        <v>-0.11890841426849263</v>
      </c>
    </row>
    <row r="2054" spans="1:25" x14ac:dyDescent="0.35">
      <c r="A2054" s="6" t="s">
        <v>25</v>
      </c>
      <c r="B2054" s="6" t="s">
        <v>2563</v>
      </c>
      <c r="D2054" s="6" t="s">
        <v>2564</v>
      </c>
      <c r="E2054" s="6">
        <v>5</v>
      </c>
      <c r="F2054" s="6">
        <v>61</v>
      </c>
      <c r="G2054" s="6" t="s">
        <v>2285</v>
      </c>
      <c r="I2054" s="8">
        <v>89.083823055555499</v>
      </c>
      <c r="J2054" s="8">
        <v>107.193415069444</v>
      </c>
      <c r="K2054" s="6" t="s">
        <v>4450</v>
      </c>
      <c r="L2054" s="9">
        <v>44092</v>
      </c>
      <c r="N2054" s="6">
        <v>52</v>
      </c>
      <c r="O2054" s="6" t="s">
        <v>4441</v>
      </c>
      <c r="T2054" s="10"/>
      <c r="U2054" s="6">
        <v>2.2999999999999998</v>
      </c>
      <c r="V2054" s="8">
        <v>0.65981350331306476</v>
      </c>
      <c r="W2054" s="8">
        <v>5.0468271923065178</v>
      </c>
      <c r="X2054" s="8">
        <f t="shared" si="112"/>
        <v>-0.23168083419800034</v>
      </c>
    </row>
    <row r="2055" spans="1:25" x14ac:dyDescent="0.35">
      <c r="A2055" s="6" t="s">
        <v>25</v>
      </c>
      <c r="B2055" s="6" t="s">
        <v>2565</v>
      </c>
      <c r="D2055" s="6" t="s">
        <v>2566</v>
      </c>
      <c r="E2055" s="6">
        <v>5</v>
      </c>
      <c r="F2055" s="6">
        <v>61</v>
      </c>
      <c r="G2055" s="6" t="s">
        <v>2285</v>
      </c>
      <c r="I2055" s="8">
        <v>89.083823055555499</v>
      </c>
      <c r="J2055" s="8">
        <v>107.193415069444</v>
      </c>
      <c r="K2055" s="6" t="s">
        <v>4450</v>
      </c>
      <c r="L2055" s="9">
        <v>44092</v>
      </c>
      <c r="N2055" s="6">
        <v>52</v>
      </c>
      <c r="O2055" s="6" t="s">
        <v>4441</v>
      </c>
      <c r="T2055" s="10"/>
      <c r="U2055" s="6">
        <v>2.2000000000000002</v>
      </c>
      <c r="V2055" s="8">
        <v>0.61995106415748658</v>
      </c>
      <c r="W2055" s="8">
        <v>4.5747682571411143</v>
      </c>
      <c r="X2055" s="8">
        <f t="shared" si="112"/>
        <v>-0.38484025611877826</v>
      </c>
    </row>
    <row r="2056" spans="1:25" x14ac:dyDescent="0.35">
      <c r="A2056" s="6" t="s">
        <v>25</v>
      </c>
      <c r="B2056" s="6" t="s">
        <v>2567</v>
      </c>
      <c r="D2056" s="6" t="s">
        <v>2568</v>
      </c>
      <c r="E2056" s="6">
        <v>5</v>
      </c>
      <c r="F2056" s="6">
        <v>61</v>
      </c>
      <c r="G2056" s="6" t="s">
        <v>2285</v>
      </c>
      <c r="I2056" s="8">
        <v>89.083823055555499</v>
      </c>
      <c r="J2056" s="8">
        <v>107.193415069444</v>
      </c>
      <c r="K2056" s="6" t="s">
        <v>4450</v>
      </c>
      <c r="L2056" s="9">
        <v>44092</v>
      </c>
      <c r="N2056" s="6">
        <v>52</v>
      </c>
      <c r="O2056" s="6" t="s">
        <v>4441</v>
      </c>
      <c r="T2056" s="10"/>
      <c r="U2056" s="6">
        <v>1.6</v>
      </c>
      <c r="V2056" s="8">
        <v>0.5900009283304215</v>
      </c>
      <c r="W2056" s="8">
        <v>4.941100940704346</v>
      </c>
      <c r="X2056" s="8">
        <f t="shared" si="112"/>
        <v>0.22109351406097399</v>
      </c>
    </row>
    <row r="2057" spans="1:25" x14ac:dyDescent="0.35">
      <c r="A2057" s="6" t="s">
        <v>25</v>
      </c>
      <c r="B2057" s="6" t="s">
        <v>2569</v>
      </c>
      <c r="D2057" s="6" t="s">
        <v>2570</v>
      </c>
      <c r="E2057" s="6">
        <v>5</v>
      </c>
      <c r="F2057" s="6">
        <v>61</v>
      </c>
      <c r="G2057" s="6" t="s">
        <v>2285</v>
      </c>
      <c r="I2057" s="8">
        <v>89.083823055555499</v>
      </c>
      <c r="J2057" s="8">
        <v>107.193415069444</v>
      </c>
      <c r="K2057" s="6" t="s">
        <v>4450</v>
      </c>
      <c r="L2057" s="9">
        <v>44092</v>
      </c>
      <c r="N2057" s="6">
        <v>52</v>
      </c>
      <c r="O2057" s="6" t="s">
        <v>4441</v>
      </c>
      <c r="T2057" s="10"/>
      <c r="U2057" s="6">
        <v>1.2</v>
      </c>
      <c r="V2057" s="8">
        <v>0.75131858099699045</v>
      </c>
      <c r="W2057" s="8">
        <v>5.8852733010649683</v>
      </c>
      <c r="X2057" s="8">
        <f t="shared" si="112"/>
        <v>-0.12527534691095532</v>
      </c>
    </row>
    <row r="2058" spans="1:25" x14ac:dyDescent="0.35">
      <c r="A2058" s="6" t="s">
        <v>25</v>
      </c>
      <c r="B2058" s="6" t="s">
        <v>2571</v>
      </c>
      <c r="D2058" s="6" t="s">
        <v>2572</v>
      </c>
      <c r="E2058" s="6">
        <v>5</v>
      </c>
      <c r="F2058" s="6">
        <v>61</v>
      </c>
      <c r="G2058" s="6" t="s">
        <v>2285</v>
      </c>
      <c r="I2058" s="8">
        <v>89.083823055555499</v>
      </c>
      <c r="J2058" s="8">
        <v>107.193415069444</v>
      </c>
      <c r="K2058" s="6" t="s">
        <v>4450</v>
      </c>
      <c r="L2058" s="9">
        <v>44092</v>
      </c>
      <c r="N2058" s="6">
        <v>52</v>
      </c>
      <c r="O2058" s="6" t="s">
        <v>4441</v>
      </c>
      <c r="T2058" s="10"/>
      <c r="U2058" s="6">
        <v>1.2</v>
      </c>
      <c r="V2058" s="8">
        <v>0.86138395364284548</v>
      </c>
      <c r="W2058" s="8">
        <v>5.7808504782319066</v>
      </c>
      <c r="X2058" s="8">
        <f t="shared" si="112"/>
        <v>-1.1102211509108573</v>
      </c>
    </row>
    <row r="2059" spans="1:25" x14ac:dyDescent="0.35">
      <c r="A2059" s="6" t="s">
        <v>25</v>
      </c>
      <c r="B2059" s="6" t="s">
        <v>2573</v>
      </c>
      <c r="D2059" s="6" t="s">
        <v>2574</v>
      </c>
      <c r="E2059" s="6">
        <v>5</v>
      </c>
      <c r="F2059" s="6">
        <v>61</v>
      </c>
      <c r="G2059" s="6" t="s">
        <v>2285</v>
      </c>
      <c r="I2059" s="8">
        <v>89.083823055555499</v>
      </c>
      <c r="J2059" s="8">
        <v>107.193415069444</v>
      </c>
      <c r="K2059" s="6" t="s">
        <v>4450</v>
      </c>
      <c r="L2059" s="9">
        <v>44092</v>
      </c>
      <c r="N2059" s="6">
        <v>52</v>
      </c>
      <c r="O2059" s="6" t="s">
        <v>4441</v>
      </c>
      <c r="T2059" s="10"/>
      <c r="U2059" s="6">
        <v>1.2</v>
      </c>
      <c r="V2059" s="8">
        <v>0.71580753154754651</v>
      </c>
      <c r="W2059" s="8">
        <v>4.9325473201274868</v>
      </c>
      <c r="X2059" s="8">
        <f t="shared" si="112"/>
        <v>-0.79391293225288528</v>
      </c>
    </row>
    <row r="2060" spans="1:25" x14ac:dyDescent="0.35">
      <c r="A2060" s="6" t="s">
        <v>25</v>
      </c>
      <c r="B2060" s="6" t="s">
        <v>3085</v>
      </c>
      <c r="D2060" s="6" t="s">
        <v>3174</v>
      </c>
      <c r="E2060" s="6">
        <v>5</v>
      </c>
      <c r="F2060" s="6">
        <v>62</v>
      </c>
      <c r="G2060" s="6" t="s">
        <v>3287</v>
      </c>
      <c r="I2060" s="8">
        <v>89.070548000000002</v>
      </c>
      <c r="J2060" s="8">
        <v>107.34374200000001</v>
      </c>
      <c r="K2060" s="6" t="s">
        <v>198</v>
      </c>
      <c r="L2060" s="9">
        <v>44092</v>
      </c>
      <c r="M2060" s="18">
        <v>0.35069444444444442</v>
      </c>
      <c r="N2060" s="6">
        <v>52</v>
      </c>
      <c r="O2060" s="6" t="s">
        <v>4441</v>
      </c>
      <c r="R2060" s="6">
        <v>6.5</v>
      </c>
      <c r="S2060" s="6">
        <v>3.5</v>
      </c>
      <c r="V2060" s="8">
        <v>-16.644530567932129</v>
      </c>
      <c r="W2060" s="8">
        <v>-126.08250144958497</v>
      </c>
      <c r="X2060" s="8">
        <f t="shared" si="112"/>
        <v>7.0737430938720678</v>
      </c>
      <c r="Y2060" s="6" t="s">
        <v>3286</v>
      </c>
    </row>
    <row r="2061" spans="1:25" x14ac:dyDescent="0.35">
      <c r="A2061" s="6" t="s">
        <v>25</v>
      </c>
      <c r="B2061" s="6" t="s">
        <v>3086</v>
      </c>
      <c r="D2061" s="6" t="s">
        <v>3174</v>
      </c>
      <c r="E2061" s="6">
        <v>5</v>
      </c>
      <c r="F2061" s="6">
        <v>62</v>
      </c>
      <c r="G2061" s="6" t="s">
        <v>3287</v>
      </c>
      <c r="I2061" s="8">
        <v>89.070548000000002</v>
      </c>
      <c r="J2061" s="8">
        <v>107.34374200000001</v>
      </c>
      <c r="K2061" s="6" t="s">
        <v>198</v>
      </c>
      <c r="L2061" s="9">
        <v>44092</v>
      </c>
      <c r="M2061" s="18">
        <v>0.35069444444444442</v>
      </c>
      <c r="N2061" s="6">
        <v>52</v>
      </c>
      <c r="O2061" s="6" t="s">
        <v>4441</v>
      </c>
      <c r="R2061" s="6">
        <v>3.5</v>
      </c>
      <c r="S2061" s="6">
        <v>0</v>
      </c>
      <c r="V2061" s="8">
        <v>-17.718377476501463</v>
      </c>
      <c r="W2061" s="8">
        <v>-135.83587646484375</v>
      </c>
      <c r="X2061" s="8">
        <f t="shared" si="112"/>
        <v>5.9111433471679504</v>
      </c>
      <c r="Y2061" s="6" t="s">
        <v>401</v>
      </c>
    </row>
    <row r="2062" spans="1:25" x14ac:dyDescent="0.35">
      <c r="A2062" s="6" t="s">
        <v>25</v>
      </c>
      <c r="B2062" s="6" t="s">
        <v>3624</v>
      </c>
      <c r="D2062" s="6" t="s">
        <v>3926</v>
      </c>
      <c r="E2062" s="6">
        <v>5</v>
      </c>
      <c r="F2062" s="6">
        <v>62</v>
      </c>
      <c r="G2062" s="6" t="s">
        <v>4228</v>
      </c>
      <c r="I2062" s="8">
        <v>89.14459236111108</v>
      </c>
      <c r="J2062" s="8">
        <v>110.31327354166669</v>
      </c>
      <c r="K2062" s="6" t="s">
        <v>2610</v>
      </c>
      <c r="L2062" s="9">
        <v>44093</v>
      </c>
      <c r="N2062" s="6">
        <v>52</v>
      </c>
      <c r="O2062" s="6" t="s">
        <v>4442</v>
      </c>
      <c r="V2062" s="8">
        <v>-3.1344434320354457</v>
      </c>
      <c r="W2062" s="8">
        <v>-23.801719850921629</v>
      </c>
      <c r="X2062" s="27">
        <f t="shared" si="112"/>
        <v>1.2738276053619373</v>
      </c>
    </row>
    <row r="2063" spans="1:25" x14ac:dyDescent="0.35">
      <c r="A2063" s="6" t="s">
        <v>25</v>
      </c>
      <c r="B2063" s="6" t="s">
        <v>3625</v>
      </c>
      <c r="D2063" s="6" t="s">
        <v>3927</v>
      </c>
      <c r="E2063" s="6">
        <v>5</v>
      </c>
      <c r="F2063" s="6">
        <v>62</v>
      </c>
      <c r="G2063" s="6" t="s">
        <v>4229</v>
      </c>
      <c r="I2063" s="8">
        <v>89.046868958333349</v>
      </c>
      <c r="J2063" s="8">
        <v>109.84335062499999</v>
      </c>
      <c r="K2063" s="6" t="s">
        <v>2610</v>
      </c>
      <c r="L2063" s="9">
        <v>44094</v>
      </c>
      <c r="N2063" s="6">
        <v>53</v>
      </c>
      <c r="O2063" s="6" t="s">
        <v>4263</v>
      </c>
      <c r="V2063" s="8">
        <v>-3.2573425473594662</v>
      </c>
      <c r="W2063" s="8">
        <v>-23.526944605255125</v>
      </c>
      <c r="X2063" s="27">
        <f t="shared" si="112"/>
        <v>2.5317957736206047</v>
      </c>
    </row>
    <row r="2064" spans="1:25" x14ac:dyDescent="0.35">
      <c r="A2064" s="6" t="s">
        <v>25</v>
      </c>
      <c r="B2064" s="6" t="s">
        <v>3626</v>
      </c>
      <c r="D2064" s="6" t="s">
        <v>3928</v>
      </c>
      <c r="E2064" s="6">
        <v>5</v>
      </c>
      <c r="F2064" s="6">
        <v>63</v>
      </c>
      <c r="G2064" s="6" t="s">
        <v>4230</v>
      </c>
      <c r="I2064" s="8">
        <v>88.402355069444468</v>
      </c>
      <c r="J2064" s="8">
        <v>104.63764118055548</v>
      </c>
      <c r="K2064" s="6" t="s">
        <v>2610</v>
      </c>
      <c r="L2064" s="9">
        <v>44095</v>
      </c>
      <c r="N2064" s="6">
        <v>53</v>
      </c>
      <c r="O2064" s="6" t="s">
        <v>4443</v>
      </c>
      <c r="V2064" s="8">
        <v>-2.7839372765445711</v>
      </c>
      <c r="W2064" s="8">
        <v>-20.79998075714111</v>
      </c>
      <c r="X2064" s="27">
        <f t="shared" si="112"/>
        <v>1.4715174552154586</v>
      </c>
    </row>
    <row r="2065" spans="1:69" x14ac:dyDescent="0.35">
      <c r="A2065" s="6" t="s">
        <v>25</v>
      </c>
      <c r="B2065" s="6" t="s">
        <v>3627</v>
      </c>
      <c r="D2065" s="6" t="s">
        <v>3929</v>
      </c>
      <c r="E2065" s="6">
        <v>5</v>
      </c>
      <c r="F2065" s="6">
        <v>63</v>
      </c>
      <c r="G2065" s="6" t="s">
        <v>4231</v>
      </c>
      <c r="I2065" s="8">
        <v>86.937904027777805</v>
      </c>
      <c r="J2065" s="8">
        <v>96.65669486111112</v>
      </c>
      <c r="K2065" s="6" t="s">
        <v>2610</v>
      </c>
      <c r="L2065" s="9">
        <v>44096</v>
      </c>
      <c r="N2065" s="6">
        <v>53</v>
      </c>
      <c r="O2065" s="6" t="s">
        <v>4373</v>
      </c>
      <c r="V2065" s="8">
        <v>-1.1599925672435758</v>
      </c>
      <c r="W2065" s="8">
        <v>-6.8930969938278208</v>
      </c>
      <c r="X2065" s="27">
        <f t="shared" si="112"/>
        <v>2.3868435441207856</v>
      </c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  <c r="BB2065" s="7"/>
      <c r="BC2065" s="7"/>
      <c r="BD2065" s="7"/>
      <c r="BE2065" s="7"/>
      <c r="BF2065" s="7"/>
      <c r="BG2065" s="7"/>
      <c r="BH2065" s="7"/>
      <c r="BI2065" s="7"/>
      <c r="BJ2065" s="7"/>
      <c r="BK2065" s="7"/>
      <c r="BL2065" s="7"/>
      <c r="BM2065" s="7"/>
      <c r="BN2065" s="7"/>
      <c r="BO2065" s="7"/>
      <c r="BP2065" s="7"/>
      <c r="BQ2065" s="7"/>
    </row>
    <row r="2066" spans="1:69" x14ac:dyDescent="0.35">
      <c r="A2066" s="6" t="s">
        <v>25</v>
      </c>
      <c r="B2066" s="6" t="s">
        <v>2575</v>
      </c>
      <c r="D2066" s="6" t="s">
        <v>2576</v>
      </c>
      <c r="E2066" s="6">
        <v>5</v>
      </c>
      <c r="F2066" s="6">
        <v>62</v>
      </c>
      <c r="G2066" s="6" t="s">
        <v>2349</v>
      </c>
      <c r="I2066" s="8">
        <v>86.937904027777805</v>
      </c>
      <c r="J2066" s="8">
        <v>96.65669486111112</v>
      </c>
      <c r="K2066" s="6" t="s">
        <v>390</v>
      </c>
      <c r="L2066" s="9">
        <v>44096</v>
      </c>
      <c r="N2066" s="6">
        <v>53</v>
      </c>
      <c r="O2066" s="6" t="s">
        <v>4373</v>
      </c>
      <c r="T2066" s="10"/>
      <c r="U2066" s="6">
        <v>0</v>
      </c>
      <c r="V2066" s="8">
        <v>-3.0393504710197452</v>
      </c>
      <c r="W2066" s="8">
        <v>-21.860043209075929</v>
      </c>
      <c r="X2066" s="8">
        <f t="shared" si="112"/>
        <v>2.4547605590820325</v>
      </c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  <c r="BB2066" s="7"/>
      <c r="BC2066" s="7"/>
      <c r="BD2066" s="7"/>
      <c r="BE2066" s="7"/>
      <c r="BF2066" s="7"/>
      <c r="BG2066" s="7"/>
      <c r="BH2066" s="7"/>
      <c r="BI2066" s="7"/>
      <c r="BJ2066" s="7"/>
      <c r="BK2066" s="7"/>
      <c r="BL2066" s="7"/>
      <c r="BM2066" s="7"/>
      <c r="BN2066" s="7"/>
      <c r="BO2066" s="7"/>
      <c r="BP2066" s="7"/>
      <c r="BQ2066" s="7"/>
    </row>
    <row r="2067" spans="1:69" x14ac:dyDescent="0.35">
      <c r="A2067" s="6" t="s">
        <v>25</v>
      </c>
      <c r="B2067" s="6" t="s">
        <v>2577</v>
      </c>
      <c r="D2067" s="6" t="s">
        <v>2578</v>
      </c>
      <c r="E2067" s="6">
        <v>5</v>
      </c>
      <c r="F2067" s="6">
        <v>62</v>
      </c>
      <c r="G2067" s="6" t="s">
        <v>2349</v>
      </c>
      <c r="I2067" s="8">
        <v>86.937904027777805</v>
      </c>
      <c r="J2067" s="8">
        <v>96.65669486111112</v>
      </c>
      <c r="K2067" s="6" t="s">
        <v>390</v>
      </c>
      <c r="L2067" s="9">
        <v>44096</v>
      </c>
      <c r="N2067" s="6">
        <v>53</v>
      </c>
      <c r="O2067" s="6" t="s">
        <v>4373</v>
      </c>
      <c r="T2067" s="10"/>
      <c r="U2067" s="6">
        <v>12.5</v>
      </c>
      <c r="V2067" s="8">
        <v>-3.2867671937942506</v>
      </c>
      <c r="W2067" s="8">
        <v>-24.150442531585693</v>
      </c>
      <c r="X2067" s="8">
        <f t="shared" si="112"/>
        <v>2.1436950187683124</v>
      </c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  <c r="BB2067" s="7"/>
      <c r="BC2067" s="7"/>
      <c r="BD2067" s="7"/>
      <c r="BE2067" s="7"/>
      <c r="BF2067" s="7"/>
      <c r="BG2067" s="7"/>
      <c r="BH2067" s="7"/>
      <c r="BI2067" s="7"/>
      <c r="BJ2067" s="7"/>
      <c r="BK2067" s="7"/>
      <c r="BL2067" s="7"/>
      <c r="BM2067" s="7"/>
      <c r="BN2067" s="7"/>
      <c r="BO2067" s="7"/>
      <c r="BP2067" s="7"/>
      <c r="BQ2067" s="7"/>
    </row>
    <row r="2068" spans="1:69" x14ac:dyDescent="0.35">
      <c r="A2068" s="6" t="s">
        <v>25</v>
      </c>
      <c r="B2068" s="6" t="s">
        <v>2579</v>
      </c>
      <c r="D2068" s="6" t="s">
        <v>2580</v>
      </c>
      <c r="E2068" s="6">
        <v>5</v>
      </c>
      <c r="F2068" s="6">
        <v>62</v>
      </c>
      <c r="G2068" s="6" t="s">
        <v>2349</v>
      </c>
      <c r="I2068" s="8">
        <v>86.937904027777805</v>
      </c>
      <c r="J2068" s="8">
        <v>96.65669486111112</v>
      </c>
      <c r="K2068" s="6" t="s">
        <v>390</v>
      </c>
      <c r="L2068" s="9">
        <v>44096</v>
      </c>
      <c r="N2068" s="6">
        <v>53</v>
      </c>
      <c r="O2068" s="6" t="s">
        <v>4373</v>
      </c>
      <c r="T2068" s="10"/>
      <c r="U2068" s="6">
        <v>28.8</v>
      </c>
      <c r="V2068" s="8">
        <v>-3.2895333824157711</v>
      </c>
      <c r="W2068" s="8">
        <v>-23.808259300231935</v>
      </c>
      <c r="X2068" s="8">
        <f t="shared" si="112"/>
        <v>2.5080077590942338</v>
      </c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/>
      <c r="BA2068" s="7"/>
      <c r="BB2068" s="7"/>
      <c r="BC2068" s="7"/>
      <c r="BD2068" s="7"/>
      <c r="BE2068" s="7"/>
      <c r="BF2068" s="7"/>
      <c r="BG2068" s="7"/>
      <c r="BH2068" s="7"/>
      <c r="BI2068" s="7"/>
      <c r="BJ2068" s="7"/>
      <c r="BK2068" s="7"/>
      <c r="BL2068" s="7"/>
      <c r="BM2068" s="7"/>
      <c r="BN2068" s="7"/>
      <c r="BO2068" s="7"/>
      <c r="BP2068" s="7"/>
      <c r="BQ2068" s="7"/>
    </row>
    <row r="2069" spans="1:69" x14ac:dyDescent="0.35">
      <c r="A2069" s="6" t="s">
        <v>25</v>
      </c>
      <c r="B2069" s="6" t="s">
        <v>2581</v>
      </c>
      <c r="D2069" s="6" t="s">
        <v>2582</v>
      </c>
      <c r="E2069" s="6">
        <v>5</v>
      </c>
      <c r="F2069" s="6">
        <v>62</v>
      </c>
      <c r="G2069" s="6" t="s">
        <v>2349</v>
      </c>
      <c r="I2069" s="8">
        <v>86.937904027777805</v>
      </c>
      <c r="J2069" s="8">
        <v>96.65669486111112</v>
      </c>
      <c r="K2069" s="6" t="s">
        <v>390</v>
      </c>
      <c r="L2069" s="9">
        <v>44096</v>
      </c>
      <c r="N2069" s="6">
        <v>53</v>
      </c>
      <c r="O2069" s="6" t="s">
        <v>4373</v>
      </c>
      <c r="T2069" s="10"/>
      <c r="U2069" s="6">
        <v>29.1</v>
      </c>
      <c r="V2069" s="8">
        <v>-3.2910169909000389</v>
      </c>
      <c r="W2069" s="8">
        <v>-23.692583683013915</v>
      </c>
      <c r="X2069" s="8">
        <f t="shared" si="112"/>
        <v>2.6355522441863961</v>
      </c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7"/>
      <c r="BC2069" s="7"/>
      <c r="BD2069" s="7"/>
      <c r="BE2069" s="7"/>
      <c r="BF2069" s="7"/>
      <c r="BG2069" s="7"/>
      <c r="BH2069" s="7"/>
      <c r="BI2069" s="7"/>
      <c r="BJ2069" s="7"/>
      <c r="BK2069" s="7"/>
      <c r="BL2069" s="7"/>
      <c r="BM2069" s="7"/>
      <c r="BN2069" s="7"/>
      <c r="BO2069" s="7"/>
      <c r="BP2069" s="7"/>
      <c r="BQ2069" s="7"/>
    </row>
    <row r="2070" spans="1:69" x14ac:dyDescent="0.35">
      <c r="A2070" s="6" t="s">
        <v>25</v>
      </c>
      <c r="B2070" s="6" t="s">
        <v>3628</v>
      </c>
      <c r="D2070" s="6" t="s">
        <v>3930</v>
      </c>
      <c r="E2070" s="6">
        <v>5</v>
      </c>
      <c r="F2070" s="6">
        <v>63</v>
      </c>
      <c r="G2070" s="6" t="s">
        <v>4232</v>
      </c>
      <c r="I2070" s="8">
        <v>85.989258888888912</v>
      </c>
      <c r="J2070" s="8">
        <v>77.286910416666672</v>
      </c>
      <c r="K2070" s="6" t="s">
        <v>2610</v>
      </c>
      <c r="L2070" s="9">
        <v>44097</v>
      </c>
      <c r="N2070" s="6">
        <v>53</v>
      </c>
      <c r="O2070" s="6" t="s">
        <v>4394</v>
      </c>
      <c r="V2070" s="8">
        <v>-0.47783426833391207</v>
      </c>
      <c r="W2070" s="8">
        <v>-3.3541241301536551</v>
      </c>
      <c r="X2070" s="27">
        <f t="shared" si="112"/>
        <v>0.4685500165176415</v>
      </c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  <c r="BB2070" s="7"/>
      <c r="BC2070" s="7"/>
      <c r="BD2070" s="7"/>
      <c r="BE2070" s="7"/>
      <c r="BF2070" s="7"/>
      <c r="BG2070" s="7"/>
      <c r="BH2070" s="7"/>
      <c r="BI2070" s="7"/>
      <c r="BJ2070" s="7"/>
      <c r="BK2070" s="7"/>
      <c r="BL2070" s="7"/>
      <c r="BM2070" s="7"/>
      <c r="BN2070" s="7"/>
      <c r="BO2070" s="7"/>
      <c r="BP2070" s="7"/>
      <c r="BQ2070" s="7"/>
    </row>
    <row r="2071" spans="1:69" x14ac:dyDescent="0.35">
      <c r="A2071" s="6" t="s">
        <v>25</v>
      </c>
      <c r="B2071" s="6" t="s">
        <v>3629</v>
      </c>
      <c r="D2071" s="6" t="s">
        <v>3931</v>
      </c>
      <c r="E2071" s="6">
        <v>5</v>
      </c>
      <c r="F2071" s="6">
        <v>63</v>
      </c>
      <c r="G2071" s="6" t="s">
        <v>4233</v>
      </c>
      <c r="I2071" s="8">
        <v>86.00515645833336</v>
      </c>
      <c r="J2071" s="8">
        <v>59.437783958333362</v>
      </c>
      <c r="K2071" s="6" t="s">
        <v>2610</v>
      </c>
      <c r="L2071" s="9">
        <v>44098</v>
      </c>
      <c r="N2071" s="6">
        <v>53</v>
      </c>
      <c r="O2071" s="6" t="s">
        <v>4405</v>
      </c>
      <c r="V2071" s="8">
        <v>-0.66404361951589574</v>
      </c>
      <c r="W2071" s="8">
        <v>-5.33698470249176</v>
      </c>
      <c r="X2071" s="27">
        <f t="shared" si="112"/>
        <v>-2.4635746364594091E-2</v>
      </c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  <c r="BB2071" s="7"/>
      <c r="BC2071" s="7"/>
      <c r="BD2071" s="7"/>
      <c r="BE2071" s="7"/>
      <c r="BF2071" s="7"/>
      <c r="BG2071" s="7"/>
      <c r="BH2071" s="7"/>
      <c r="BI2071" s="7"/>
      <c r="BJ2071" s="7"/>
      <c r="BK2071" s="7"/>
      <c r="BL2071" s="7"/>
      <c r="BM2071" s="7"/>
      <c r="BN2071" s="7"/>
      <c r="BO2071" s="7"/>
      <c r="BP2071" s="7"/>
      <c r="BQ2071" s="7"/>
    </row>
    <row r="2072" spans="1:69" x14ac:dyDescent="0.35">
      <c r="A2072" s="6" t="s">
        <v>25</v>
      </c>
      <c r="B2072" s="6" t="s">
        <v>2583</v>
      </c>
      <c r="D2072" s="6" t="s">
        <v>2584</v>
      </c>
      <c r="E2072" s="6">
        <v>5</v>
      </c>
      <c r="F2072" s="6">
        <v>62</v>
      </c>
      <c r="G2072" s="6" t="s">
        <v>2585</v>
      </c>
      <c r="I2072" s="8">
        <v>86.00515645833336</v>
      </c>
      <c r="J2072" s="8">
        <v>59.437783958333362</v>
      </c>
      <c r="K2072" s="6" t="s">
        <v>29</v>
      </c>
      <c r="L2072" s="9">
        <v>44098</v>
      </c>
      <c r="N2072" s="6">
        <v>53</v>
      </c>
      <c r="O2072" s="6" t="s">
        <v>4405</v>
      </c>
      <c r="T2072" s="10"/>
      <c r="U2072" s="6">
        <v>1.1000000000000001</v>
      </c>
      <c r="V2072" s="8">
        <v>-13.969888166236878</v>
      </c>
      <c r="W2072" s="8">
        <v>-102.66700883865357</v>
      </c>
      <c r="X2072" s="8">
        <f t="shared" si="112"/>
        <v>9.092096491241449</v>
      </c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/>
      <c r="BA2072" s="7"/>
      <c r="BB2072" s="7"/>
      <c r="BC2072" s="7"/>
      <c r="BD2072" s="7"/>
      <c r="BE2072" s="7"/>
      <c r="BF2072" s="7"/>
      <c r="BG2072" s="7"/>
      <c r="BH2072" s="7"/>
      <c r="BI2072" s="7"/>
      <c r="BJ2072" s="7"/>
      <c r="BK2072" s="7"/>
      <c r="BL2072" s="7"/>
      <c r="BM2072" s="7"/>
      <c r="BN2072" s="7"/>
      <c r="BO2072" s="7"/>
      <c r="BP2072" s="7"/>
      <c r="BQ2072" s="7"/>
    </row>
    <row r="2073" spans="1:69" x14ac:dyDescent="0.35">
      <c r="A2073" s="6" t="s">
        <v>25</v>
      </c>
      <c r="B2073" s="6" t="s">
        <v>2586</v>
      </c>
      <c r="D2073" s="6" t="s">
        <v>2587</v>
      </c>
      <c r="E2073" s="6">
        <v>5</v>
      </c>
      <c r="F2073" s="6">
        <v>62</v>
      </c>
      <c r="G2073" s="6" t="s">
        <v>2585</v>
      </c>
      <c r="I2073" s="8">
        <v>86.00515645833336</v>
      </c>
      <c r="J2073" s="8">
        <v>59.437783958333362</v>
      </c>
      <c r="K2073" s="6" t="s">
        <v>29</v>
      </c>
      <c r="L2073" s="9">
        <v>44098</v>
      </c>
      <c r="N2073" s="6">
        <v>53</v>
      </c>
      <c r="O2073" s="6" t="s">
        <v>4405</v>
      </c>
      <c r="T2073" s="10"/>
      <c r="U2073" s="6">
        <v>1.2</v>
      </c>
      <c r="V2073" s="8">
        <v>-10.160480966854095</v>
      </c>
      <c r="W2073" s="8">
        <v>-77.111558639526365</v>
      </c>
      <c r="X2073" s="8">
        <f t="shared" si="112"/>
        <v>4.1722890953063967</v>
      </c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/>
      <c r="BA2073" s="7"/>
      <c r="BB2073" s="7"/>
      <c r="BC2073" s="7"/>
      <c r="BD2073" s="7"/>
      <c r="BE2073" s="7"/>
      <c r="BF2073" s="7"/>
      <c r="BG2073" s="7"/>
      <c r="BH2073" s="7"/>
      <c r="BI2073" s="7"/>
      <c r="BJ2073" s="7"/>
      <c r="BK2073" s="7"/>
      <c r="BL2073" s="7"/>
      <c r="BM2073" s="7"/>
      <c r="BN2073" s="7"/>
      <c r="BO2073" s="7"/>
      <c r="BP2073" s="7"/>
      <c r="BQ2073" s="7"/>
    </row>
    <row r="2074" spans="1:69" x14ac:dyDescent="0.35">
      <c r="A2074" s="6" t="s">
        <v>25</v>
      </c>
      <c r="B2074" s="6" t="s">
        <v>2588</v>
      </c>
      <c r="D2074" s="6" t="s">
        <v>2589</v>
      </c>
      <c r="E2074" s="6">
        <v>5</v>
      </c>
      <c r="F2074" s="6">
        <v>62</v>
      </c>
      <c r="G2074" s="6" t="s">
        <v>2585</v>
      </c>
      <c r="I2074" s="8">
        <v>86.00515645833336</v>
      </c>
      <c r="J2074" s="8">
        <v>59.437783958333362</v>
      </c>
      <c r="K2074" s="6" t="s">
        <v>29</v>
      </c>
      <c r="L2074" s="9">
        <v>44098</v>
      </c>
      <c r="N2074" s="6">
        <v>53</v>
      </c>
      <c r="O2074" s="6" t="s">
        <v>4405</v>
      </c>
      <c r="T2074" s="10"/>
      <c r="U2074" s="6">
        <v>0.2</v>
      </c>
      <c r="V2074" s="8">
        <v>-12.066347982215881</v>
      </c>
      <c r="W2074" s="8">
        <v>-90.705422348022466</v>
      </c>
      <c r="X2074" s="8">
        <f t="shared" si="112"/>
        <v>5.8253615097045781</v>
      </c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  <c r="BB2074" s="7"/>
      <c r="BC2074" s="7"/>
      <c r="BD2074" s="7"/>
      <c r="BE2074" s="7"/>
      <c r="BF2074" s="7"/>
      <c r="BG2074" s="7"/>
      <c r="BH2074" s="7"/>
      <c r="BI2074" s="7"/>
      <c r="BJ2074" s="7"/>
      <c r="BK2074" s="7"/>
      <c r="BL2074" s="7"/>
      <c r="BM2074" s="7"/>
      <c r="BN2074" s="7"/>
      <c r="BO2074" s="7"/>
      <c r="BP2074" s="7"/>
      <c r="BQ2074" s="7"/>
    </row>
    <row r="2075" spans="1:69" x14ac:dyDescent="0.35">
      <c r="A2075" s="6" t="s">
        <v>25</v>
      </c>
      <c r="B2075" s="6" t="s">
        <v>3630</v>
      </c>
      <c r="D2075" s="6" t="s">
        <v>3932</v>
      </c>
      <c r="E2075" s="6">
        <v>5</v>
      </c>
      <c r="F2075" s="6">
        <v>63</v>
      </c>
      <c r="G2075" s="6" t="s">
        <v>4234</v>
      </c>
      <c r="I2075" s="8">
        <v>85.974043194444448</v>
      </c>
      <c r="J2075" s="8">
        <v>47.666961736111112</v>
      </c>
      <c r="K2075" s="6" t="s">
        <v>2610</v>
      </c>
      <c r="L2075" s="9">
        <v>44099</v>
      </c>
      <c r="N2075" s="6">
        <v>53</v>
      </c>
      <c r="O2075" s="6" t="s">
        <v>4391</v>
      </c>
      <c r="V2075" s="8">
        <v>-0.44277741050958641</v>
      </c>
      <c r="W2075" s="8">
        <v>-3.3777075132369996</v>
      </c>
      <c r="X2075" s="27">
        <f t="shared" si="112"/>
        <v>0.16451177083969171</v>
      </c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  <c r="AZ2075" s="7"/>
      <c r="BA2075" s="7"/>
      <c r="BB2075" s="7"/>
      <c r="BC2075" s="7"/>
      <c r="BD2075" s="7"/>
      <c r="BE2075" s="7"/>
      <c r="BF2075" s="7"/>
      <c r="BG2075" s="7"/>
      <c r="BH2075" s="7"/>
      <c r="BI2075" s="7"/>
      <c r="BJ2075" s="7"/>
      <c r="BK2075" s="7"/>
      <c r="BL2075" s="7"/>
      <c r="BM2075" s="7"/>
      <c r="BN2075" s="7"/>
      <c r="BO2075" s="7"/>
      <c r="BP2075" s="7"/>
      <c r="BQ2075" s="7"/>
    </row>
    <row r="2076" spans="1:69" x14ac:dyDescent="0.35">
      <c r="A2076" s="6" t="s">
        <v>25</v>
      </c>
      <c r="B2076" s="6" t="s">
        <v>3631</v>
      </c>
      <c r="D2076" s="6" t="s">
        <v>3933</v>
      </c>
      <c r="E2076" s="6">
        <v>5</v>
      </c>
      <c r="F2076" s="6">
        <v>63</v>
      </c>
      <c r="G2076" s="6" t="s">
        <v>4235</v>
      </c>
      <c r="I2076" s="8">
        <v>85.896379791666689</v>
      </c>
      <c r="J2076" s="8">
        <v>34.421204722222221</v>
      </c>
      <c r="K2076" s="6" t="s">
        <v>2610</v>
      </c>
      <c r="L2076" s="9">
        <v>44100</v>
      </c>
      <c r="N2076" s="6">
        <v>53</v>
      </c>
      <c r="O2076" s="6" t="s">
        <v>4261</v>
      </c>
      <c r="V2076" s="8">
        <v>-0.90476772070169409</v>
      </c>
      <c r="W2076" s="8">
        <v>-6.1534437707901013</v>
      </c>
      <c r="X2076" s="27">
        <f t="shared" si="112"/>
        <v>1.0846979948234514</v>
      </c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  <c r="BB2076" s="7"/>
      <c r="BC2076" s="7"/>
      <c r="BD2076" s="7"/>
      <c r="BE2076" s="7"/>
      <c r="BF2076" s="7"/>
      <c r="BG2076" s="7"/>
      <c r="BH2076" s="7"/>
      <c r="BI2076" s="7"/>
      <c r="BJ2076" s="7"/>
      <c r="BK2076" s="7"/>
      <c r="BL2076" s="7"/>
      <c r="BM2076" s="7"/>
      <c r="BN2076" s="7"/>
      <c r="BO2076" s="7"/>
      <c r="BP2076" s="7"/>
      <c r="BQ2076" s="7"/>
    </row>
    <row r="2077" spans="1:69" x14ac:dyDescent="0.35">
      <c r="A2077" s="6" t="s">
        <v>25</v>
      </c>
      <c r="B2077" s="6" t="s">
        <v>3632</v>
      </c>
      <c r="D2077" s="6" t="s">
        <v>3934</v>
      </c>
      <c r="E2077" s="6">
        <v>5</v>
      </c>
      <c r="F2077" s="6">
        <v>63</v>
      </c>
      <c r="G2077" s="6" t="s">
        <v>4236</v>
      </c>
      <c r="I2077" s="8">
        <v>84.06703958333334</v>
      </c>
      <c r="J2077" s="8">
        <v>31.960330208333339</v>
      </c>
      <c r="K2077" s="6" t="s">
        <v>2610</v>
      </c>
      <c r="L2077" s="9">
        <v>44101</v>
      </c>
      <c r="N2077" s="6">
        <v>53</v>
      </c>
      <c r="O2077" s="6" t="s">
        <v>4444</v>
      </c>
      <c r="V2077" s="8">
        <v>-0.2334143800759319</v>
      </c>
      <c r="W2077" s="8">
        <v>-1.0133723479449745</v>
      </c>
      <c r="X2077" s="27">
        <f t="shared" si="112"/>
        <v>0.85394269266248068</v>
      </c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  <c r="AZ2077" s="7"/>
      <c r="BA2077" s="7"/>
      <c r="BB2077" s="7"/>
      <c r="BC2077" s="7"/>
      <c r="BD2077" s="7"/>
      <c r="BE2077" s="7"/>
      <c r="BF2077" s="7"/>
      <c r="BG2077" s="7"/>
      <c r="BH2077" s="7"/>
      <c r="BI2077" s="7"/>
      <c r="BJ2077" s="7"/>
      <c r="BK2077" s="7"/>
      <c r="BL2077" s="7"/>
      <c r="BM2077" s="7"/>
      <c r="BN2077" s="7"/>
      <c r="BO2077" s="7"/>
      <c r="BP2077" s="7"/>
      <c r="BQ2077" s="7"/>
    </row>
    <row r="2078" spans="1:69" x14ac:dyDescent="0.35">
      <c r="A2078" s="6" t="s">
        <v>25</v>
      </c>
      <c r="B2078" s="6" t="s">
        <v>3633</v>
      </c>
      <c r="D2078" s="6" t="s">
        <v>3935</v>
      </c>
      <c r="E2078" s="6">
        <v>5</v>
      </c>
      <c r="F2078" s="6">
        <v>63</v>
      </c>
      <c r="G2078" s="6" t="s">
        <v>4237</v>
      </c>
      <c r="I2078" s="8">
        <v>83.057039444444456</v>
      </c>
      <c r="J2078" s="8">
        <v>24.638751180555559</v>
      </c>
      <c r="K2078" s="6" t="s">
        <v>2610</v>
      </c>
      <c r="L2078" s="9">
        <v>44102</v>
      </c>
      <c r="N2078" s="6">
        <v>54</v>
      </c>
      <c r="O2078" s="6" t="s">
        <v>4445</v>
      </c>
      <c r="V2078" s="8">
        <v>-0.40322801596820357</v>
      </c>
      <c r="W2078" s="8">
        <v>-1.9526550193428998</v>
      </c>
      <c r="X2078" s="27">
        <f t="shared" si="112"/>
        <v>1.2731691084027288</v>
      </c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  <c r="AZ2078" s="7"/>
      <c r="BA2078" s="7"/>
      <c r="BB2078" s="7"/>
      <c r="BC2078" s="7"/>
      <c r="BD2078" s="7"/>
      <c r="BE2078" s="7"/>
      <c r="BF2078" s="7"/>
      <c r="BG2078" s="7"/>
      <c r="BH2078" s="7"/>
      <c r="BI2078" s="7"/>
      <c r="BJ2078" s="7"/>
      <c r="BK2078" s="7"/>
      <c r="BL2078" s="7"/>
      <c r="BM2078" s="7"/>
      <c r="BN2078" s="7"/>
      <c r="BO2078" s="7"/>
      <c r="BP2078" s="7"/>
      <c r="BQ2078" s="7"/>
    </row>
    <row r="2079" spans="1:69" x14ac:dyDescent="0.35">
      <c r="A2079" s="6" t="s">
        <v>25</v>
      </c>
      <c r="B2079" s="6" t="s">
        <v>3634</v>
      </c>
      <c r="D2079" s="6" t="s">
        <v>3936</v>
      </c>
      <c r="E2079" s="6">
        <v>5</v>
      </c>
      <c r="F2079" s="6">
        <v>63</v>
      </c>
      <c r="G2079" s="6" t="s">
        <v>4238</v>
      </c>
      <c r="I2079" s="8">
        <v>81.844373750000017</v>
      </c>
      <c r="J2079" s="8">
        <v>11.63024243055556</v>
      </c>
      <c r="K2079" s="6" t="s">
        <v>2610</v>
      </c>
      <c r="L2079" s="9">
        <v>44103</v>
      </c>
      <c r="N2079" s="6">
        <v>54</v>
      </c>
      <c r="O2079" s="6" t="s">
        <v>4446</v>
      </c>
      <c r="V2079" s="8">
        <v>-0.11394574307054264</v>
      </c>
      <c r="W2079" s="8">
        <v>1.4586809784174294E-2</v>
      </c>
      <c r="X2079" s="27">
        <f t="shared" si="112"/>
        <v>0.92615275434851541</v>
      </c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  <c r="AZ2079" s="7"/>
      <c r="BA2079" s="7"/>
      <c r="BB2079" s="7"/>
      <c r="BC2079" s="7"/>
      <c r="BD2079" s="7"/>
      <c r="BE2079" s="7"/>
      <c r="BF2079" s="7"/>
      <c r="BG2079" s="7"/>
      <c r="BH2079" s="7"/>
      <c r="BI2079" s="7"/>
      <c r="BJ2079" s="7"/>
      <c r="BK2079" s="7"/>
      <c r="BL2079" s="7"/>
      <c r="BM2079" s="7"/>
      <c r="BN2079" s="7"/>
      <c r="BO2079" s="7"/>
      <c r="BP2079" s="7"/>
      <c r="BQ2079" s="7"/>
    </row>
    <row r="2080" spans="1:69" x14ac:dyDescent="0.35">
      <c r="A2080" s="6" t="s">
        <v>25</v>
      </c>
      <c r="B2080" s="6" t="s">
        <v>3635</v>
      </c>
      <c r="D2080" s="6" t="s">
        <v>3937</v>
      </c>
      <c r="E2080" s="6">
        <v>5</v>
      </c>
      <c r="F2080" s="6">
        <v>63</v>
      </c>
      <c r="G2080" s="6" t="s">
        <v>4239</v>
      </c>
      <c r="I2080" s="8">
        <v>81.551648402777786</v>
      </c>
      <c r="J2080" s="8">
        <v>2.4391142361111111</v>
      </c>
      <c r="K2080" s="6" t="s">
        <v>2610</v>
      </c>
      <c r="L2080" s="9">
        <v>44104</v>
      </c>
      <c r="N2080" s="6">
        <v>54</v>
      </c>
      <c r="O2080" s="6" t="s">
        <v>4447</v>
      </c>
      <c r="V2080" s="8">
        <v>-0.2039909045189619</v>
      </c>
      <c r="W2080" s="8">
        <v>-0.64321353157609706</v>
      </c>
      <c r="X2080" s="27">
        <f t="shared" si="112"/>
        <v>0.98871370457559815</v>
      </c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  <c r="AZ2080" s="7"/>
      <c r="BA2080" s="7"/>
      <c r="BB2080" s="7"/>
      <c r="BC2080" s="7"/>
      <c r="BD2080" s="7"/>
      <c r="BE2080" s="7"/>
      <c r="BF2080" s="7"/>
      <c r="BG2080" s="7"/>
      <c r="BH2080" s="7"/>
      <c r="BI2080" s="7"/>
      <c r="BJ2080" s="7"/>
      <c r="BK2080" s="7"/>
      <c r="BL2080" s="7"/>
      <c r="BM2080" s="7"/>
      <c r="BN2080" s="7"/>
      <c r="BO2080" s="7"/>
      <c r="BP2080" s="7"/>
      <c r="BQ2080" s="7"/>
    </row>
    <row r="2081" spans="1:69" x14ac:dyDescent="0.35">
      <c r="A2081" s="6" t="s">
        <v>25</v>
      </c>
      <c r="B2081" s="6" t="s">
        <v>3636</v>
      </c>
      <c r="D2081" s="6" t="s">
        <v>3938</v>
      </c>
      <c r="E2081" s="6">
        <v>5</v>
      </c>
      <c r="F2081" s="6">
        <v>63</v>
      </c>
      <c r="G2081" s="6" t="s">
        <v>4240</v>
      </c>
      <c r="I2081" s="8">
        <v>79.918396805555517</v>
      </c>
      <c r="J2081" s="8">
        <v>6.9952836805555547</v>
      </c>
      <c r="K2081" s="6" t="s">
        <v>2610</v>
      </c>
      <c r="L2081" s="9">
        <v>44105</v>
      </c>
      <c r="N2081" s="6">
        <v>54</v>
      </c>
      <c r="O2081" s="6" t="s">
        <v>4448</v>
      </c>
      <c r="V2081" s="8">
        <v>0.21212417104840314</v>
      </c>
      <c r="W2081" s="8">
        <v>2.4691709303855895</v>
      </c>
      <c r="X2081" s="27">
        <f t="shared" ref="X2081:X2144" si="114">W2081-(8*V2081)</f>
        <v>0.7721775619983644</v>
      </c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7"/>
      <c r="BC2081" s="7"/>
      <c r="BD2081" s="7"/>
      <c r="BE2081" s="7"/>
      <c r="BF2081" s="7"/>
      <c r="BG2081" s="7"/>
      <c r="BH2081" s="7"/>
      <c r="BI2081" s="7"/>
      <c r="BJ2081" s="7"/>
      <c r="BK2081" s="7"/>
      <c r="BL2081" s="7"/>
      <c r="BM2081" s="7"/>
      <c r="BN2081" s="7"/>
      <c r="BO2081" s="7"/>
      <c r="BP2081" s="7"/>
      <c r="BQ2081" s="7"/>
    </row>
    <row r="2082" spans="1:69" x14ac:dyDescent="0.35">
      <c r="A2082" s="13"/>
      <c r="B2082" s="13" t="s">
        <v>2611</v>
      </c>
      <c r="C2082" s="13" t="s">
        <v>4451</v>
      </c>
      <c r="D2082" s="13" t="s">
        <v>2929</v>
      </c>
      <c r="E2082" s="13">
        <v>4</v>
      </c>
      <c r="F2082" s="13">
        <v>48</v>
      </c>
      <c r="G2082" s="13" t="s">
        <v>4452</v>
      </c>
      <c r="H2082" s="13"/>
      <c r="I2082" s="13"/>
      <c r="J2082" s="13"/>
      <c r="K2082" s="13"/>
      <c r="L2082" s="22"/>
      <c r="M2082" s="13"/>
      <c r="N2082" s="13"/>
      <c r="O2082" s="13"/>
      <c r="P2082" s="13"/>
      <c r="Q2082" s="13"/>
      <c r="R2082" s="13">
        <v>110</v>
      </c>
      <c r="S2082" s="13">
        <v>115</v>
      </c>
      <c r="T2082" s="13"/>
      <c r="U2082" s="13">
        <v>0.7</v>
      </c>
      <c r="V2082" s="23">
        <v>-1.7433341901779174</v>
      </c>
      <c r="W2082" s="23">
        <v>-12.194698776245117</v>
      </c>
      <c r="X2082" s="23">
        <f t="shared" si="114"/>
        <v>1.7519747451782219</v>
      </c>
      <c r="Y2082" s="13"/>
    </row>
    <row r="2083" spans="1:69" x14ac:dyDescent="0.35">
      <c r="A2083" s="13"/>
      <c r="B2083" s="13" t="s">
        <v>2612</v>
      </c>
      <c r="C2083" s="13" t="s">
        <v>4451</v>
      </c>
      <c r="D2083" s="13" t="s">
        <v>2930</v>
      </c>
      <c r="E2083" s="13">
        <v>4</v>
      </c>
      <c r="F2083" s="13">
        <v>48</v>
      </c>
      <c r="G2083" s="13" t="s">
        <v>4453</v>
      </c>
      <c r="H2083" s="13"/>
      <c r="I2083" s="13"/>
      <c r="J2083" s="13"/>
      <c r="K2083" s="13"/>
      <c r="L2083" s="22"/>
      <c r="M2083" s="13"/>
      <c r="N2083" s="13"/>
      <c r="O2083" s="13"/>
      <c r="P2083" s="13"/>
      <c r="Q2083" s="13"/>
      <c r="R2083" s="13">
        <v>115</v>
      </c>
      <c r="S2083" s="13">
        <v>120</v>
      </c>
      <c r="T2083" s="13"/>
      <c r="U2083" s="13">
        <v>0.9</v>
      </c>
      <c r="V2083" s="23">
        <v>-4.8735230434417733</v>
      </c>
      <c r="W2083" s="23">
        <v>-38.318798240661621</v>
      </c>
      <c r="X2083" s="23">
        <f t="shared" si="114"/>
        <v>0.66938610687256528</v>
      </c>
      <c r="Y2083" s="13"/>
    </row>
    <row r="2084" spans="1:69" x14ac:dyDescent="0.35">
      <c r="A2084" s="13"/>
      <c r="B2084" s="13" t="s">
        <v>2613</v>
      </c>
      <c r="C2084" s="13" t="s">
        <v>4451</v>
      </c>
      <c r="D2084" s="13" t="s">
        <v>2931</v>
      </c>
      <c r="E2084" s="13">
        <v>4</v>
      </c>
      <c r="F2084" s="13">
        <v>48</v>
      </c>
      <c r="G2084" s="13" t="s">
        <v>4454</v>
      </c>
      <c r="H2084" s="13"/>
      <c r="I2084" s="13"/>
      <c r="J2084" s="13"/>
      <c r="K2084" s="13"/>
      <c r="L2084" s="22"/>
      <c r="M2084" s="13"/>
      <c r="N2084" s="13"/>
      <c r="O2084" s="13"/>
      <c r="P2084" s="13"/>
      <c r="Q2084" s="13"/>
      <c r="R2084" s="13"/>
      <c r="S2084" s="13"/>
      <c r="T2084" s="13"/>
      <c r="U2084" s="13">
        <v>6.8</v>
      </c>
      <c r="V2084" s="23">
        <v>-4.2703356044769301</v>
      </c>
      <c r="W2084" s="23">
        <v>-32.200164718627931</v>
      </c>
      <c r="X2084" s="23">
        <f t="shared" si="114"/>
        <v>1.9625201171875091</v>
      </c>
      <c r="Y2084" s="13"/>
    </row>
    <row r="2085" spans="1:69" x14ac:dyDescent="0.35">
      <c r="A2085" s="13"/>
      <c r="B2085" s="13" t="s">
        <v>2614</v>
      </c>
      <c r="C2085" s="13" t="s">
        <v>4451</v>
      </c>
      <c r="D2085" s="13" t="s">
        <v>2932</v>
      </c>
      <c r="E2085" s="13">
        <v>4</v>
      </c>
      <c r="F2085" s="13">
        <v>48</v>
      </c>
      <c r="G2085" s="13" t="s">
        <v>4455</v>
      </c>
      <c r="H2085" s="13"/>
      <c r="I2085" s="13"/>
      <c r="J2085" s="13"/>
      <c r="K2085" s="13"/>
      <c r="L2085" s="22"/>
      <c r="M2085" s="13"/>
      <c r="N2085" s="13"/>
      <c r="O2085" s="13"/>
      <c r="P2085" s="13"/>
      <c r="Q2085" s="13"/>
      <c r="R2085" s="13"/>
      <c r="S2085" s="13"/>
      <c r="T2085" s="13"/>
      <c r="U2085" s="13">
        <v>1.9</v>
      </c>
      <c r="V2085" s="23">
        <v>-4.2499114063262944</v>
      </c>
      <c r="W2085" s="23">
        <v>-32.595743621826173</v>
      </c>
      <c r="X2085" s="23">
        <f t="shared" si="114"/>
        <v>1.4035476287841817</v>
      </c>
      <c r="Y2085" s="13"/>
    </row>
    <row r="2086" spans="1:69" x14ac:dyDescent="0.35">
      <c r="A2086" s="13"/>
      <c r="B2086" s="13" t="s">
        <v>2615</v>
      </c>
      <c r="C2086" s="13" t="s">
        <v>4451</v>
      </c>
      <c r="D2086" s="13" t="s">
        <v>2933</v>
      </c>
      <c r="E2086" s="13">
        <v>4</v>
      </c>
      <c r="F2086" s="13">
        <v>48</v>
      </c>
      <c r="G2086" s="13" t="s">
        <v>4456</v>
      </c>
      <c r="H2086" s="13"/>
      <c r="I2086" s="13"/>
      <c r="J2086" s="13"/>
      <c r="K2086" s="13"/>
      <c r="L2086" s="22"/>
      <c r="M2086" s="13"/>
      <c r="N2086" s="13"/>
      <c r="O2086" s="13"/>
      <c r="P2086" s="13"/>
      <c r="Q2086" s="13"/>
      <c r="R2086" s="13"/>
      <c r="S2086" s="13"/>
      <c r="T2086" s="13"/>
      <c r="U2086" s="13">
        <v>1.5</v>
      </c>
      <c r="V2086" s="23">
        <v>-3.4413310840606695</v>
      </c>
      <c r="W2086" s="23">
        <v>-26.226455299377442</v>
      </c>
      <c r="X2086" s="23">
        <f t="shared" si="114"/>
        <v>1.3041933731079141</v>
      </c>
      <c r="Y2086" s="13"/>
    </row>
    <row r="2087" spans="1:69" x14ac:dyDescent="0.35">
      <c r="A2087" s="13"/>
      <c r="B2087" s="13" t="s">
        <v>2616</v>
      </c>
      <c r="C2087" s="13" t="s">
        <v>4451</v>
      </c>
      <c r="D2087" s="13" t="s">
        <v>2934</v>
      </c>
      <c r="E2087" s="13">
        <v>4</v>
      </c>
      <c r="F2087" s="13">
        <v>48</v>
      </c>
      <c r="G2087" s="13" t="s">
        <v>4457</v>
      </c>
      <c r="H2087" s="13"/>
      <c r="I2087" s="13"/>
      <c r="J2087" s="13"/>
      <c r="K2087" s="13"/>
      <c r="L2087" s="22"/>
      <c r="M2087" s="13"/>
      <c r="N2087" s="13"/>
      <c r="O2087" s="13"/>
      <c r="P2087" s="13"/>
      <c r="Q2087" s="13"/>
      <c r="R2087" s="13"/>
      <c r="S2087" s="13"/>
      <c r="T2087" s="13"/>
      <c r="U2087" s="13">
        <v>0.6</v>
      </c>
      <c r="V2087" s="23">
        <v>-8.3902868354797349</v>
      </c>
      <c r="W2087" s="23">
        <v>-64.145422309875485</v>
      </c>
      <c r="X2087" s="23">
        <f t="shared" si="114"/>
        <v>2.9768723739623937</v>
      </c>
      <c r="Y2087" s="13"/>
    </row>
    <row r="2088" spans="1:69" x14ac:dyDescent="0.35">
      <c r="A2088" s="13"/>
      <c r="B2088" s="13" t="s">
        <v>2617</v>
      </c>
      <c r="C2088" s="13" t="s">
        <v>4451</v>
      </c>
      <c r="D2088" s="13" t="s">
        <v>2935</v>
      </c>
      <c r="E2088" s="13">
        <v>4</v>
      </c>
      <c r="F2088" s="13">
        <v>48</v>
      </c>
      <c r="G2088" s="13" t="s">
        <v>4452</v>
      </c>
      <c r="H2088" s="13"/>
      <c r="I2088" s="13"/>
      <c r="J2088" s="13"/>
      <c r="K2088" s="13"/>
      <c r="L2088" s="22"/>
      <c r="M2088" s="13"/>
      <c r="N2088" s="13"/>
      <c r="O2088" s="13"/>
      <c r="P2088" s="13"/>
      <c r="Q2088" s="13"/>
      <c r="R2088" s="13">
        <v>269</v>
      </c>
      <c r="S2088" s="13">
        <v>274</v>
      </c>
      <c r="T2088" s="13"/>
      <c r="U2088" s="13">
        <v>4.8</v>
      </c>
      <c r="V2088" s="23">
        <v>2.955913566887361E-2</v>
      </c>
      <c r="W2088" s="23">
        <v>1.0086057520508762</v>
      </c>
      <c r="X2088" s="23">
        <f t="shared" si="114"/>
        <v>0.77213266669988734</v>
      </c>
      <c r="Y2088" s="13"/>
    </row>
    <row r="2089" spans="1:69" x14ac:dyDescent="0.35">
      <c r="A2089" s="13"/>
      <c r="B2089" s="13" t="s">
        <v>2618</v>
      </c>
      <c r="C2089" s="13" t="s">
        <v>4451</v>
      </c>
      <c r="D2089" s="13" t="s">
        <v>2936</v>
      </c>
      <c r="E2089" s="13">
        <v>4</v>
      </c>
      <c r="F2089" s="13">
        <v>48</v>
      </c>
      <c r="G2089" s="13" t="s">
        <v>4453</v>
      </c>
      <c r="H2089" s="13"/>
      <c r="I2089" s="13"/>
      <c r="J2089" s="13"/>
      <c r="K2089" s="13"/>
      <c r="L2089" s="22"/>
      <c r="M2089" s="13"/>
      <c r="N2089" s="13"/>
      <c r="O2089" s="13"/>
      <c r="P2089" s="13"/>
      <c r="Q2089" s="13"/>
      <c r="R2089" s="13">
        <v>274</v>
      </c>
      <c r="S2089" s="13">
        <v>279</v>
      </c>
      <c r="T2089" s="13"/>
      <c r="U2089" s="13">
        <v>4.3</v>
      </c>
      <c r="V2089" s="23">
        <v>-6.4077492967247462E-2</v>
      </c>
      <c r="W2089" s="23">
        <v>1.2270419201850891</v>
      </c>
      <c r="X2089" s="23">
        <f t="shared" si="114"/>
        <v>1.7396618639230688</v>
      </c>
      <c r="Y2089" s="13"/>
    </row>
    <row r="2090" spans="1:69" x14ac:dyDescent="0.35">
      <c r="A2090" s="13"/>
      <c r="B2090" s="13" t="s">
        <v>2619</v>
      </c>
      <c r="C2090" s="13" t="s">
        <v>4451</v>
      </c>
      <c r="D2090" s="13" t="s">
        <v>2937</v>
      </c>
      <c r="E2090" s="13">
        <v>4</v>
      </c>
      <c r="F2090" s="13">
        <v>48</v>
      </c>
      <c r="G2090" s="13" t="s">
        <v>4457</v>
      </c>
      <c r="H2090" s="13"/>
      <c r="I2090" s="13"/>
      <c r="J2090" s="13"/>
      <c r="K2090" s="13"/>
      <c r="L2090" s="22"/>
      <c r="M2090" s="13"/>
      <c r="N2090" s="13"/>
      <c r="O2090" s="13"/>
      <c r="P2090" s="13"/>
      <c r="Q2090" s="13"/>
      <c r="R2090" s="13"/>
      <c r="S2090" s="13"/>
      <c r="T2090" s="13"/>
      <c r="U2090" s="13">
        <v>1</v>
      </c>
      <c r="V2090" s="23">
        <v>-8.6218309350585969</v>
      </c>
      <c r="W2090" s="23">
        <v>-64.662002365112301</v>
      </c>
      <c r="X2090" s="23">
        <f t="shared" si="114"/>
        <v>4.3126451153564744</v>
      </c>
      <c r="Y2090" s="13"/>
    </row>
    <row r="2091" spans="1:69" x14ac:dyDescent="0.35">
      <c r="A2091" s="13"/>
      <c r="B2091" s="13" t="s">
        <v>2620</v>
      </c>
      <c r="C2091" s="13" t="s">
        <v>4451</v>
      </c>
      <c r="D2091" s="13" t="s">
        <v>2938</v>
      </c>
      <c r="E2091" s="13">
        <v>4</v>
      </c>
      <c r="F2091" s="13">
        <v>48</v>
      </c>
      <c r="G2091" s="13" t="s">
        <v>4458</v>
      </c>
      <c r="H2091" s="13"/>
      <c r="I2091" s="13"/>
      <c r="J2091" s="13"/>
      <c r="K2091" s="13"/>
      <c r="L2091" s="22"/>
      <c r="M2091" s="13"/>
      <c r="N2091" s="13"/>
      <c r="O2091" s="13"/>
      <c r="P2091" s="13"/>
      <c r="Q2091" s="13"/>
      <c r="R2091" s="13"/>
      <c r="S2091" s="13"/>
      <c r="T2091" s="13"/>
      <c r="U2091" s="13">
        <v>28.4</v>
      </c>
      <c r="V2091" s="23">
        <v>-2.265758896789551</v>
      </c>
      <c r="W2091" s="23">
        <v>-15.637762362480164</v>
      </c>
      <c r="X2091" s="23">
        <f t="shared" si="114"/>
        <v>2.4883088118362444</v>
      </c>
      <c r="Y2091" s="13"/>
    </row>
    <row r="2092" spans="1:69" x14ac:dyDescent="0.35">
      <c r="A2092" s="13"/>
      <c r="B2092" s="13" t="s">
        <v>2621</v>
      </c>
      <c r="C2092" s="13" t="s">
        <v>4451</v>
      </c>
      <c r="D2092" s="13" t="s">
        <v>2939</v>
      </c>
      <c r="E2092" s="13">
        <v>4</v>
      </c>
      <c r="F2092" s="13">
        <v>48</v>
      </c>
      <c r="G2092" s="13" t="s">
        <v>4452</v>
      </c>
      <c r="H2092" s="13"/>
      <c r="I2092" s="13"/>
      <c r="J2092" s="13"/>
      <c r="K2092" s="13"/>
      <c r="L2092" s="22"/>
      <c r="M2092" s="13"/>
      <c r="N2092" s="13"/>
      <c r="O2092" s="13"/>
      <c r="P2092" s="13"/>
      <c r="Q2092" s="13"/>
      <c r="R2092" s="13">
        <v>152</v>
      </c>
      <c r="S2092" s="13">
        <v>157</v>
      </c>
      <c r="T2092" s="13"/>
      <c r="U2092" s="13">
        <v>3.1</v>
      </c>
      <c r="V2092" s="23">
        <v>0.35171805994212635</v>
      </c>
      <c r="W2092" s="23">
        <v>4.5339988851547233</v>
      </c>
      <c r="X2092" s="23">
        <f t="shared" si="114"/>
        <v>1.7202544056177125</v>
      </c>
      <c r="Y2092" s="13"/>
    </row>
    <row r="2093" spans="1:69" x14ac:dyDescent="0.35">
      <c r="A2093" s="13"/>
      <c r="B2093" s="13" t="s">
        <v>2622</v>
      </c>
      <c r="C2093" s="13" t="s">
        <v>4451</v>
      </c>
      <c r="D2093" s="13" t="s">
        <v>2940</v>
      </c>
      <c r="E2093" s="13">
        <v>4</v>
      </c>
      <c r="F2093" s="13">
        <v>48</v>
      </c>
      <c r="G2093" s="13" t="s">
        <v>4453</v>
      </c>
      <c r="H2093" s="13"/>
      <c r="I2093" s="13"/>
      <c r="J2093" s="13"/>
      <c r="K2093" s="13"/>
      <c r="L2093" s="22"/>
      <c r="M2093" s="13"/>
      <c r="N2093" s="13"/>
      <c r="O2093" s="13"/>
      <c r="P2093" s="13"/>
      <c r="Q2093" s="13"/>
      <c r="R2093" s="13">
        <v>157</v>
      </c>
      <c r="S2093" s="13">
        <v>163</v>
      </c>
      <c r="T2093" s="13"/>
      <c r="U2093" s="13">
        <v>2.6</v>
      </c>
      <c r="V2093" s="23">
        <v>0.52720271521806739</v>
      </c>
      <c r="W2093" s="23">
        <v>5.2299377479553222</v>
      </c>
      <c r="X2093" s="23">
        <f t="shared" si="114"/>
        <v>1.0123160262107831</v>
      </c>
      <c r="Y2093" s="13"/>
    </row>
    <row r="2094" spans="1:69" x14ac:dyDescent="0.35">
      <c r="A2094" s="13"/>
      <c r="B2094" s="13" t="s">
        <v>2623</v>
      </c>
      <c r="C2094" s="13" t="s">
        <v>4451</v>
      </c>
      <c r="D2094" s="13" t="s">
        <v>2941</v>
      </c>
      <c r="E2094" s="13">
        <v>4</v>
      </c>
      <c r="F2094" s="13">
        <v>48</v>
      </c>
      <c r="G2094" s="13" t="s">
        <v>4458</v>
      </c>
      <c r="H2094" s="13"/>
      <c r="I2094" s="13"/>
      <c r="J2094" s="13"/>
      <c r="K2094" s="13"/>
      <c r="L2094" s="22"/>
      <c r="M2094" s="13"/>
      <c r="N2094" s="13"/>
      <c r="O2094" s="13"/>
      <c r="P2094" s="13"/>
      <c r="Q2094" s="13"/>
      <c r="R2094" s="13"/>
      <c r="S2094" s="13"/>
      <c r="T2094" s="13"/>
      <c r="U2094" s="13">
        <v>29.8</v>
      </c>
      <c r="V2094" s="23">
        <v>-2.3113262766599654</v>
      </c>
      <c r="W2094" s="23">
        <v>-17.007317977905274</v>
      </c>
      <c r="X2094" s="23">
        <f t="shared" si="114"/>
        <v>1.4832922353744493</v>
      </c>
      <c r="Y2094" s="13"/>
    </row>
    <row r="2095" spans="1:69" x14ac:dyDescent="0.35">
      <c r="A2095" s="13"/>
      <c r="B2095" s="13" t="s">
        <v>2624</v>
      </c>
      <c r="C2095" s="13" t="s">
        <v>4451</v>
      </c>
      <c r="D2095" s="13" t="s">
        <v>2942</v>
      </c>
      <c r="E2095" s="13">
        <v>4</v>
      </c>
      <c r="F2095" s="13">
        <v>48</v>
      </c>
      <c r="G2095" s="13" t="s">
        <v>4452</v>
      </c>
      <c r="H2095" s="13"/>
      <c r="I2095" s="13"/>
      <c r="J2095" s="13"/>
      <c r="K2095" s="13"/>
      <c r="L2095" s="22"/>
      <c r="M2095" s="13"/>
      <c r="N2095" s="13"/>
      <c r="O2095" s="13"/>
      <c r="P2095" s="13"/>
      <c r="Q2095" s="13"/>
      <c r="R2095" s="13">
        <v>281</v>
      </c>
      <c r="S2095" s="13">
        <v>286</v>
      </c>
      <c r="T2095" s="13"/>
      <c r="U2095" s="13">
        <v>4.2</v>
      </c>
      <c r="V2095" s="23">
        <v>0.29364081120729457</v>
      </c>
      <c r="W2095" s="23">
        <v>3.7952488534450532</v>
      </c>
      <c r="X2095" s="23">
        <f t="shared" si="114"/>
        <v>1.4461223637866967</v>
      </c>
      <c r="Y2095" s="13"/>
    </row>
    <row r="2096" spans="1:69" x14ac:dyDescent="0.35">
      <c r="A2096" s="13"/>
      <c r="B2096" s="13" t="s">
        <v>2625</v>
      </c>
      <c r="C2096" s="13" t="s">
        <v>4451</v>
      </c>
      <c r="D2096" s="13" t="s">
        <v>2943</v>
      </c>
      <c r="E2096" s="13">
        <v>4</v>
      </c>
      <c r="F2096" s="13">
        <v>48</v>
      </c>
      <c r="G2096" s="13" t="s">
        <v>4453</v>
      </c>
      <c r="H2096" s="13"/>
      <c r="I2096" s="13"/>
      <c r="J2096" s="13"/>
      <c r="K2096" s="13"/>
      <c r="L2096" s="22"/>
      <c r="M2096" s="13"/>
      <c r="N2096" s="13"/>
      <c r="O2096" s="13"/>
      <c r="P2096" s="13"/>
      <c r="Q2096" s="13"/>
      <c r="R2096" s="13">
        <v>286</v>
      </c>
      <c r="S2096" s="13">
        <v>291</v>
      </c>
      <c r="T2096" s="13"/>
      <c r="U2096" s="13">
        <v>3.8</v>
      </c>
      <c r="V2096" s="23">
        <v>0.34989907476305981</v>
      </c>
      <c r="W2096" s="23">
        <v>3.1768421463966359</v>
      </c>
      <c r="X2096" s="23">
        <f t="shared" si="114"/>
        <v>0.37764954829215736</v>
      </c>
      <c r="Y2096" s="13"/>
    </row>
    <row r="2097" spans="1:25" x14ac:dyDescent="0.35">
      <c r="A2097" s="13"/>
      <c r="B2097" s="13" t="s">
        <v>2626</v>
      </c>
      <c r="C2097" s="13" t="s">
        <v>4451</v>
      </c>
      <c r="D2097" s="13" t="s">
        <v>2944</v>
      </c>
      <c r="E2097" s="13">
        <v>4</v>
      </c>
      <c r="F2097" s="13">
        <v>48</v>
      </c>
      <c r="G2097" s="13" t="s">
        <v>4458</v>
      </c>
      <c r="H2097" s="13"/>
      <c r="I2097" s="13"/>
      <c r="J2097" s="13"/>
      <c r="K2097" s="13"/>
      <c r="L2097" s="22"/>
      <c r="M2097" s="13"/>
      <c r="N2097" s="13"/>
      <c r="O2097" s="13"/>
      <c r="P2097" s="13"/>
      <c r="Q2097" s="13"/>
      <c r="R2097" s="13"/>
      <c r="S2097" s="13"/>
      <c r="T2097" s="13"/>
      <c r="U2097" s="13">
        <v>29.9</v>
      </c>
      <c r="V2097" s="23">
        <v>-2.3265424748659136</v>
      </c>
      <c r="W2097" s="23">
        <v>-16.539671157836914</v>
      </c>
      <c r="X2097" s="23">
        <f t="shared" si="114"/>
        <v>2.0726686410903952</v>
      </c>
      <c r="Y2097" s="13"/>
    </row>
    <row r="2098" spans="1:25" x14ac:dyDescent="0.35">
      <c r="A2098" s="13"/>
      <c r="B2098" s="13" t="s">
        <v>2627</v>
      </c>
      <c r="C2098" s="13" t="s">
        <v>4451</v>
      </c>
      <c r="D2098" s="13" t="s">
        <v>2945</v>
      </c>
      <c r="E2098" s="13">
        <v>4</v>
      </c>
      <c r="F2098" s="13">
        <v>48</v>
      </c>
      <c r="G2098" s="13" t="s">
        <v>4457</v>
      </c>
      <c r="H2098" s="13"/>
      <c r="I2098" s="13"/>
      <c r="J2098" s="13"/>
      <c r="K2098" s="13"/>
      <c r="L2098" s="22"/>
      <c r="M2098" s="13"/>
      <c r="N2098" s="13"/>
      <c r="O2098" s="13"/>
      <c r="P2098" s="13"/>
      <c r="Q2098" s="13"/>
      <c r="R2098" s="13"/>
      <c r="S2098" s="13"/>
      <c r="T2098" s="13"/>
      <c r="U2098" s="13">
        <v>1.2</v>
      </c>
      <c r="V2098" s="23">
        <v>-2.9248598056030275</v>
      </c>
      <c r="W2098" s="23">
        <v>-20.611870641708379</v>
      </c>
      <c r="X2098" s="23">
        <f t="shared" si="114"/>
        <v>2.7870078031158414</v>
      </c>
      <c r="Y2098" s="13"/>
    </row>
    <row r="2099" spans="1:25" x14ac:dyDescent="0.35">
      <c r="A2099" s="13"/>
      <c r="B2099" s="13" t="s">
        <v>2628</v>
      </c>
      <c r="C2099" s="13" t="s">
        <v>4451</v>
      </c>
      <c r="D2099" s="13" t="s">
        <v>2946</v>
      </c>
      <c r="E2099" s="13">
        <v>4</v>
      </c>
      <c r="F2099" s="13">
        <v>48</v>
      </c>
      <c r="G2099" s="13" t="s">
        <v>4452</v>
      </c>
      <c r="H2099" s="13"/>
      <c r="I2099" s="13"/>
      <c r="J2099" s="13"/>
      <c r="K2099" s="13"/>
      <c r="L2099" s="22"/>
      <c r="M2099" s="13"/>
      <c r="N2099" s="13"/>
      <c r="O2099" s="13"/>
      <c r="P2099" s="13"/>
      <c r="Q2099" s="13"/>
      <c r="R2099" s="13">
        <v>43</v>
      </c>
      <c r="S2099" s="13">
        <v>48</v>
      </c>
      <c r="T2099" s="13"/>
      <c r="U2099" s="13">
        <v>1.8</v>
      </c>
      <c r="V2099" s="23">
        <v>0.42558217391371744</v>
      </c>
      <c r="W2099" s="23">
        <v>3.8836198978424079</v>
      </c>
      <c r="X2099" s="23">
        <f t="shared" si="114"/>
        <v>0.47896250653266836</v>
      </c>
      <c r="Y2099" s="13"/>
    </row>
    <row r="2100" spans="1:25" x14ac:dyDescent="0.35">
      <c r="A2100" s="13"/>
      <c r="B2100" s="13" t="s">
        <v>2629</v>
      </c>
      <c r="C2100" s="13" t="s">
        <v>4451</v>
      </c>
      <c r="D2100" s="13" t="s">
        <v>2947</v>
      </c>
      <c r="E2100" s="13">
        <v>4</v>
      </c>
      <c r="F2100" s="13">
        <v>48</v>
      </c>
      <c r="G2100" s="13" t="s">
        <v>4453</v>
      </c>
      <c r="H2100" s="13"/>
      <c r="I2100" s="13"/>
      <c r="J2100" s="13"/>
      <c r="K2100" s="13"/>
      <c r="L2100" s="22"/>
      <c r="M2100" s="13"/>
      <c r="N2100" s="13"/>
      <c r="O2100" s="13"/>
      <c r="P2100" s="13"/>
      <c r="Q2100" s="13"/>
      <c r="R2100" s="13">
        <v>48</v>
      </c>
      <c r="S2100" s="13">
        <v>53</v>
      </c>
      <c r="T2100" s="13"/>
      <c r="U2100" s="13">
        <v>0.8</v>
      </c>
      <c r="V2100" s="23">
        <v>-0.44908061885833706</v>
      </c>
      <c r="W2100" s="23">
        <v>-3.8807224721908558</v>
      </c>
      <c r="X2100" s="23">
        <f t="shared" si="114"/>
        <v>-0.28807752132415931</v>
      </c>
      <c r="Y2100" s="13"/>
    </row>
    <row r="2101" spans="1:25" x14ac:dyDescent="0.35">
      <c r="A2101" s="13"/>
      <c r="B2101" s="13" t="s">
        <v>2630</v>
      </c>
      <c r="C2101" s="13" t="s">
        <v>4451</v>
      </c>
      <c r="D2101" s="13" t="s">
        <v>2948</v>
      </c>
      <c r="E2101" s="13">
        <v>4</v>
      </c>
      <c r="F2101" s="13">
        <v>48</v>
      </c>
      <c r="G2101" s="13" t="s">
        <v>4459</v>
      </c>
      <c r="H2101" s="13"/>
      <c r="I2101" s="13"/>
      <c r="J2101" s="13"/>
      <c r="K2101" s="13"/>
      <c r="L2101" s="22"/>
      <c r="M2101" s="13"/>
      <c r="N2101" s="13"/>
      <c r="O2101" s="13"/>
      <c r="P2101" s="13"/>
      <c r="Q2101" s="13"/>
      <c r="R2101" s="13"/>
      <c r="S2101" s="13"/>
      <c r="T2101" s="13"/>
      <c r="U2101" s="13">
        <v>2.2999999999999998</v>
      </c>
      <c r="V2101" s="23">
        <v>-1.1163370664715764</v>
      </c>
      <c r="W2101" s="23">
        <v>-9.2277414398193365</v>
      </c>
      <c r="X2101" s="23">
        <f t="shared" si="114"/>
        <v>-0.29704490804672545</v>
      </c>
      <c r="Y2101" s="13"/>
    </row>
    <row r="2102" spans="1:25" x14ac:dyDescent="0.35">
      <c r="A2102" s="13"/>
      <c r="B2102" s="13" t="s">
        <v>2631</v>
      </c>
      <c r="C2102" s="13" t="s">
        <v>4451</v>
      </c>
      <c r="D2102" s="13" t="s">
        <v>2949</v>
      </c>
      <c r="E2102" s="13">
        <v>4</v>
      </c>
      <c r="F2102" s="13">
        <v>48</v>
      </c>
      <c r="G2102" s="13" t="s">
        <v>4455</v>
      </c>
      <c r="H2102" s="13"/>
      <c r="I2102" s="13"/>
      <c r="J2102" s="13"/>
      <c r="K2102" s="13"/>
      <c r="L2102" s="22"/>
      <c r="M2102" s="13"/>
      <c r="N2102" s="13"/>
      <c r="O2102" s="13"/>
      <c r="P2102" s="13"/>
      <c r="Q2102" s="13"/>
      <c r="R2102" s="13"/>
      <c r="S2102" s="13"/>
      <c r="T2102" s="13"/>
      <c r="U2102" s="13">
        <v>3.5</v>
      </c>
      <c r="V2102" s="23">
        <v>-0.76223528343439062</v>
      </c>
      <c r="W2102" s="23">
        <v>-6.8683985233306881</v>
      </c>
      <c r="X2102" s="23">
        <f t="shared" si="114"/>
        <v>-0.77051625585556316</v>
      </c>
      <c r="Y2102" s="13"/>
    </row>
    <row r="2103" spans="1:25" x14ac:dyDescent="0.35">
      <c r="A2103" s="13"/>
      <c r="B2103" s="13" t="s">
        <v>2632</v>
      </c>
      <c r="C2103" s="13" t="s">
        <v>4451</v>
      </c>
      <c r="D2103" s="13" t="s">
        <v>2950</v>
      </c>
      <c r="E2103" s="13">
        <v>4</v>
      </c>
      <c r="F2103" s="13">
        <v>48</v>
      </c>
      <c r="G2103" s="13" t="s">
        <v>4457</v>
      </c>
      <c r="H2103" s="13"/>
      <c r="I2103" s="13"/>
      <c r="J2103" s="13"/>
      <c r="K2103" s="13"/>
      <c r="L2103" s="22"/>
      <c r="M2103" s="13"/>
      <c r="N2103" s="13"/>
      <c r="O2103" s="13"/>
      <c r="P2103" s="13"/>
      <c r="Q2103" s="13"/>
      <c r="R2103" s="13"/>
      <c r="S2103" s="13"/>
      <c r="T2103" s="13"/>
      <c r="U2103" s="13">
        <v>1.9</v>
      </c>
      <c r="V2103" s="23">
        <v>-2.3414213245391853</v>
      </c>
      <c r="W2103" s="23">
        <v>-17.787888679504395</v>
      </c>
      <c r="X2103" s="23">
        <f t="shared" si="114"/>
        <v>0.94348191680908755</v>
      </c>
      <c r="Y2103" s="13"/>
    </row>
    <row r="2104" spans="1:25" x14ac:dyDescent="0.35">
      <c r="A2104" s="13"/>
      <c r="B2104" s="13" t="s">
        <v>2633</v>
      </c>
      <c r="C2104" s="13" t="s">
        <v>4451</v>
      </c>
      <c r="D2104" s="13" t="s">
        <v>2951</v>
      </c>
      <c r="E2104" s="13">
        <v>4</v>
      </c>
      <c r="F2104" s="13">
        <v>48</v>
      </c>
      <c r="G2104" s="13" t="s">
        <v>4454</v>
      </c>
      <c r="H2104" s="13"/>
      <c r="I2104" s="13"/>
      <c r="J2104" s="13"/>
      <c r="K2104" s="13"/>
      <c r="L2104" s="22"/>
      <c r="M2104" s="13"/>
      <c r="N2104" s="13"/>
      <c r="O2104" s="13"/>
      <c r="P2104" s="13"/>
      <c r="Q2104" s="13"/>
      <c r="R2104" s="13"/>
      <c r="S2104" s="13"/>
      <c r="T2104" s="13"/>
      <c r="U2104" s="13">
        <v>8.6999999999999993</v>
      </c>
      <c r="V2104" s="23">
        <v>-2.3259573852539068</v>
      </c>
      <c r="W2104" s="23">
        <v>-18.223501411437987</v>
      </c>
      <c r="X2104" s="23">
        <f t="shared" si="114"/>
        <v>0.38415767059326811</v>
      </c>
      <c r="Y2104" s="13"/>
    </row>
    <row r="2105" spans="1:25" x14ac:dyDescent="0.35">
      <c r="A2105" s="13"/>
      <c r="B2105" s="13" t="s">
        <v>2634</v>
      </c>
      <c r="C2105" s="13" t="s">
        <v>4451</v>
      </c>
      <c r="D2105" s="13" t="s">
        <v>2952</v>
      </c>
      <c r="E2105" s="13">
        <v>4</v>
      </c>
      <c r="F2105" s="13">
        <v>48</v>
      </c>
      <c r="G2105" s="13" t="s">
        <v>4458</v>
      </c>
      <c r="H2105" s="13"/>
      <c r="I2105" s="13"/>
      <c r="J2105" s="13"/>
      <c r="K2105" s="13"/>
      <c r="L2105" s="22"/>
      <c r="M2105" s="13"/>
      <c r="N2105" s="13"/>
      <c r="O2105" s="13"/>
      <c r="P2105" s="13"/>
      <c r="Q2105" s="13"/>
      <c r="R2105" s="13"/>
      <c r="S2105" s="13"/>
      <c r="T2105" s="13"/>
      <c r="U2105" s="13">
        <v>24.9</v>
      </c>
      <c r="V2105" s="23">
        <v>-2.0974727966308593</v>
      </c>
      <c r="W2105" s="23">
        <v>-15.976966259002685</v>
      </c>
      <c r="X2105" s="23">
        <f t="shared" si="114"/>
        <v>0.80281611404418918</v>
      </c>
      <c r="Y2105" s="13"/>
    </row>
    <row r="2106" spans="1:25" x14ac:dyDescent="0.35">
      <c r="A2106" s="13"/>
      <c r="B2106" s="13" t="s">
        <v>2635</v>
      </c>
      <c r="C2106" s="13" t="s">
        <v>4451</v>
      </c>
      <c r="D2106" s="13" t="s">
        <v>2953</v>
      </c>
      <c r="E2106" s="13">
        <v>4</v>
      </c>
      <c r="F2106" s="13">
        <v>48</v>
      </c>
      <c r="G2106" s="13" t="s">
        <v>4452</v>
      </c>
      <c r="H2106" s="13"/>
      <c r="I2106" s="13"/>
      <c r="J2106" s="13"/>
      <c r="K2106" s="13"/>
      <c r="L2106" s="22"/>
      <c r="M2106" s="13"/>
      <c r="N2106" s="13"/>
      <c r="O2106" s="13"/>
      <c r="P2106" s="13"/>
      <c r="Q2106" s="13"/>
      <c r="R2106" s="13">
        <v>75</v>
      </c>
      <c r="S2106" s="13">
        <v>80</v>
      </c>
      <c r="T2106" s="13"/>
      <c r="U2106" s="13">
        <v>0.9</v>
      </c>
      <c r="V2106" s="23">
        <v>-3.3396355659484862</v>
      </c>
      <c r="W2106" s="23">
        <v>-25.016645168304443</v>
      </c>
      <c r="X2106" s="23">
        <f t="shared" si="114"/>
        <v>1.7004393592834468</v>
      </c>
      <c r="Y2106" s="13"/>
    </row>
    <row r="2107" spans="1:25" x14ac:dyDescent="0.35">
      <c r="A2107" s="13"/>
      <c r="B2107" s="13" t="s">
        <v>2636</v>
      </c>
      <c r="C2107" s="13" t="s">
        <v>4451</v>
      </c>
      <c r="D2107" s="13" t="s">
        <v>2954</v>
      </c>
      <c r="E2107" s="13">
        <v>4</v>
      </c>
      <c r="F2107" s="13">
        <v>48</v>
      </c>
      <c r="G2107" s="13" t="s">
        <v>4453</v>
      </c>
      <c r="H2107" s="13"/>
      <c r="I2107" s="13"/>
      <c r="J2107" s="13"/>
      <c r="K2107" s="13"/>
      <c r="L2107" s="22"/>
      <c r="M2107" s="13"/>
      <c r="N2107" s="13"/>
      <c r="O2107" s="13"/>
      <c r="P2107" s="13"/>
      <c r="Q2107" s="13"/>
      <c r="R2107" s="13">
        <v>80</v>
      </c>
      <c r="S2107" s="13">
        <v>85</v>
      </c>
      <c r="T2107" s="13"/>
      <c r="U2107" s="13">
        <v>0.5</v>
      </c>
      <c r="V2107" s="23">
        <v>-5.3846407424926772</v>
      </c>
      <c r="W2107" s="23">
        <v>-42.29886782836914</v>
      </c>
      <c r="X2107" s="23">
        <f t="shared" si="114"/>
        <v>0.77825811157227776</v>
      </c>
      <c r="Y2107" s="13"/>
    </row>
    <row r="2108" spans="1:25" x14ac:dyDescent="0.35">
      <c r="A2108" s="13"/>
      <c r="B2108" s="13" t="s">
        <v>2637</v>
      </c>
      <c r="C2108" s="13" t="s">
        <v>4451</v>
      </c>
      <c r="D2108" s="13" t="s">
        <v>2955</v>
      </c>
      <c r="E2108" s="13">
        <v>4</v>
      </c>
      <c r="F2108" s="13">
        <v>48</v>
      </c>
      <c r="G2108" s="13" t="s">
        <v>4455</v>
      </c>
      <c r="H2108" s="13"/>
      <c r="I2108" s="13"/>
      <c r="J2108" s="13"/>
      <c r="K2108" s="13"/>
      <c r="L2108" s="22"/>
      <c r="M2108" s="13"/>
      <c r="N2108" s="13"/>
      <c r="O2108" s="13"/>
      <c r="P2108" s="13"/>
      <c r="Q2108" s="13"/>
      <c r="R2108" s="13"/>
      <c r="S2108" s="13"/>
      <c r="T2108" s="13"/>
      <c r="U2108" s="13">
        <v>1.4</v>
      </c>
      <c r="V2108" s="23">
        <v>-2.6183929435729985</v>
      </c>
      <c r="W2108" s="23">
        <v>-21.74207127380371</v>
      </c>
      <c r="X2108" s="23">
        <f t="shared" si="114"/>
        <v>-0.79492772521972199</v>
      </c>
      <c r="Y2108" s="13"/>
    </row>
    <row r="2109" spans="1:25" x14ac:dyDescent="0.35">
      <c r="A2109" s="13"/>
      <c r="B2109" s="13" t="s">
        <v>2638</v>
      </c>
      <c r="C2109" s="13" t="s">
        <v>4451</v>
      </c>
      <c r="D2109" s="13" t="s">
        <v>2956</v>
      </c>
      <c r="E2109" s="13">
        <v>4</v>
      </c>
      <c r="F2109" s="13">
        <v>48</v>
      </c>
      <c r="G2109" s="13" t="s">
        <v>4456</v>
      </c>
      <c r="H2109" s="13"/>
      <c r="I2109" s="13"/>
      <c r="J2109" s="13"/>
      <c r="K2109" s="13"/>
      <c r="L2109" s="22"/>
      <c r="M2109" s="13"/>
      <c r="N2109" s="13"/>
      <c r="O2109" s="13"/>
      <c r="P2109" s="13"/>
      <c r="Q2109" s="13"/>
      <c r="R2109" s="13"/>
      <c r="S2109" s="13"/>
      <c r="T2109" s="13"/>
      <c r="U2109" s="13">
        <v>2.2999999999999998</v>
      </c>
      <c r="V2109" s="23">
        <v>-2.7399627754211431</v>
      </c>
      <c r="W2109" s="23">
        <v>-21.754167213439942</v>
      </c>
      <c r="X2109" s="23">
        <f t="shared" si="114"/>
        <v>0.16553498992920268</v>
      </c>
      <c r="Y2109" s="13"/>
    </row>
    <row r="2110" spans="1:25" x14ac:dyDescent="0.35">
      <c r="A2110" s="13"/>
      <c r="B2110" s="13" t="s">
        <v>2639</v>
      </c>
      <c r="C2110" s="13" t="s">
        <v>4451</v>
      </c>
      <c r="D2110" s="13" t="s">
        <v>2957</v>
      </c>
      <c r="E2110" s="13">
        <v>4</v>
      </c>
      <c r="F2110" s="13">
        <v>48</v>
      </c>
      <c r="G2110" s="13" t="s">
        <v>4454</v>
      </c>
      <c r="H2110" s="13"/>
      <c r="I2110" s="13"/>
      <c r="J2110" s="13"/>
      <c r="K2110" s="13"/>
      <c r="L2110" s="22"/>
      <c r="M2110" s="13"/>
      <c r="N2110" s="13"/>
      <c r="O2110" s="13"/>
      <c r="P2110" s="13"/>
      <c r="Q2110" s="13"/>
      <c r="R2110" s="13"/>
      <c r="S2110" s="13"/>
      <c r="T2110" s="13"/>
      <c r="U2110" s="13">
        <v>16.3</v>
      </c>
      <c r="V2110" s="23">
        <v>-2.7520269647598266</v>
      </c>
      <c r="W2110" s="23">
        <v>-20.134740837097169</v>
      </c>
      <c r="X2110" s="23">
        <f t="shared" si="114"/>
        <v>1.8814748809814432</v>
      </c>
      <c r="Y2110" s="13"/>
    </row>
    <row r="2111" spans="1:25" x14ac:dyDescent="0.35">
      <c r="A2111" s="13"/>
      <c r="B2111" s="13" t="s">
        <v>2640</v>
      </c>
      <c r="C2111" s="13"/>
      <c r="D2111" s="13" t="s">
        <v>2958</v>
      </c>
      <c r="E2111" s="13">
        <v>1</v>
      </c>
      <c r="F2111" s="13">
        <v>5</v>
      </c>
      <c r="G2111" s="13"/>
      <c r="H2111" s="13"/>
      <c r="I2111" s="13"/>
      <c r="J2111" s="13"/>
      <c r="K2111" s="13" t="s">
        <v>29</v>
      </c>
      <c r="L2111" s="22"/>
      <c r="M2111" s="13"/>
      <c r="N2111" s="13"/>
      <c r="O2111" s="13"/>
      <c r="P2111" s="13"/>
      <c r="Q2111" s="13"/>
      <c r="R2111" s="13"/>
      <c r="S2111" s="13"/>
      <c r="T2111" s="13"/>
      <c r="U2111" s="13"/>
      <c r="V2111" s="23">
        <v>-2.3991375111103057</v>
      </c>
      <c r="W2111" s="23">
        <v>-19.635501373291017</v>
      </c>
      <c r="X2111" s="23">
        <f t="shared" si="114"/>
        <v>-0.44240128440857163</v>
      </c>
      <c r="Y2111" s="13"/>
    </row>
    <row r="2112" spans="1:25" x14ac:dyDescent="0.35">
      <c r="A2112" s="13"/>
      <c r="B2112" s="13" t="s">
        <v>2641</v>
      </c>
      <c r="C2112" s="13"/>
      <c r="D2112" s="13" t="s">
        <v>2959</v>
      </c>
      <c r="E2112" s="13">
        <v>1</v>
      </c>
      <c r="F2112" s="13">
        <v>5</v>
      </c>
      <c r="G2112" s="13"/>
      <c r="H2112" s="13"/>
      <c r="I2112" s="13"/>
      <c r="J2112" s="13"/>
      <c r="K2112" s="13" t="s">
        <v>29</v>
      </c>
      <c r="L2112" s="22"/>
      <c r="M2112" s="13"/>
      <c r="N2112" s="13"/>
      <c r="O2112" s="13"/>
      <c r="P2112" s="13"/>
      <c r="Q2112" s="13"/>
      <c r="R2112" s="13"/>
      <c r="S2112" s="13"/>
      <c r="T2112" s="13"/>
      <c r="U2112" s="13"/>
      <c r="V2112" s="23">
        <v>-0.62012124652862566</v>
      </c>
      <c r="W2112" s="23">
        <v>-4.9406228809356687</v>
      </c>
      <c r="X2112" s="23">
        <f t="shared" si="114"/>
        <v>2.0347091293336561E-2</v>
      </c>
      <c r="Y2112" s="13"/>
    </row>
    <row r="2113" spans="1:25" x14ac:dyDescent="0.35">
      <c r="A2113" s="13"/>
      <c r="B2113" s="13" t="s">
        <v>2642</v>
      </c>
      <c r="C2113" s="13"/>
      <c r="D2113" s="13" t="s">
        <v>2960</v>
      </c>
      <c r="E2113" s="13">
        <v>1</v>
      </c>
      <c r="F2113" s="13">
        <v>5</v>
      </c>
      <c r="G2113" s="13"/>
      <c r="H2113" s="13"/>
      <c r="I2113" s="13"/>
      <c r="J2113" s="13"/>
      <c r="K2113" s="13" t="s">
        <v>29</v>
      </c>
      <c r="L2113" s="22"/>
      <c r="M2113" s="13"/>
      <c r="N2113" s="13"/>
      <c r="O2113" s="13"/>
      <c r="P2113" s="13"/>
      <c r="Q2113" s="13"/>
      <c r="R2113" s="13"/>
      <c r="S2113" s="13"/>
      <c r="T2113" s="13"/>
      <c r="U2113" s="13"/>
      <c r="V2113" s="23">
        <v>-0.60618516681313506</v>
      </c>
      <c r="W2113" s="23">
        <v>-4.6456207497119903</v>
      </c>
      <c r="X2113" s="23">
        <f t="shared" si="114"/>
        <v>0.2038605847930901</v>
      </c>
      <c r="Y2113" s="13"/>
    </row>
    <row r="2114" spans="1:25" x14ac:dyDescent="0.35">
      <c r="A2114" s="13"/>
      <c r="B2114" s="13" t="s">
        <v>2643</v>
      </c>
      <c r="C2114" s="13"/>
      <c r="D2114" s="13" t="s">
        <v>2961</v>
      </c>
      <c r="E2114" s="13">
        <v>1</v>
      </c>
      <c r="F2114" s="13">
        <v>5</v>
      </c>
      <c r="G2114" s="13"/>
      <c r="H2114" s="13"/>
      <c r="I2114" s="13"/>
      <c r="J2114" s="13"/>
      <c r="K2114" s="13" t="s">
        <v>29</v>
      </c>
      <c r="L2114" s="22"/>
      <c r="M2114" s="13"/>
      <c r="N2114" s="13"/>
      <c r="O2114" s="13"/>
      <c r="P2114" s="13"/>
      <c r="Q2114" s="13"/>
      <c r="R2114" s="13"/>
      <c r="S2114" s="13"/>
      <c r="T2114" s="13"/>
      <c r="U2114" s="13"/>
      <c r="V2114" s="23">
        <v>-0.57069054362893068</v>
      </c>
      <c r="W2114" s="23">
        <v>-4.3234388364553453</v>
      </c>
      <c r="X2114" s="23">
        <f t="shared" si="114"/>
        <v>0.24208551257610011</v>
      </c>
      <c r="Y2114" s="13"/>
    </row>
    <row r="2115" spans="1:25" x14ac:dyDescent="0.35">
      <c r="A2115" s="13"/>
      <c r="B2115" s="13" t="s">
        <v>2644</v>
      </c>
      <c r="C2115" s="13"/>
      <c r="D2115" s="13" t="s">
        <v>2962</v>
      </c>
      <c r="E2115" s="13">
        <v>1</v>
      </c>
      <c r="F2115" s="13">
        <v>5</v>
      </c>
      <c r="G2115" s="13"/>
      <c r="H2115" s="13"/>
      <c r="I2115" s="13"/>
      <c r="J2115" s="13"/>
      <c r="K2115" s="13" t="s">
        <v>29</v>
      </c>
      <c r="L2115" s="22"/>
      <c r="M2115" s="13"/>
      <c r="N2115" s="13"/>
      <c r="O2115" s="13"/>
      <c r="P2115" s="13"/>
      <c r="Q2115" s="13"/>
      <c r="R2115" s="13"/>
      <c r="S2115" s="13"/>
      <c r="T2115" s="13"/>
      <c r="U2115" s="13"/>
      <c r="V2115" s="23">
        <v>-0.21620678614795225</v>
      </c>
      <c r="W2115" s="23">
        <v>-1.2722127469331026</v>
      </c>
      <c r="X2115" s="23">
        <f t="shared" si="114"/>
        <v>0.45744154225051536</v>
      </c>
      <c r="Y2115" s="13"/>
    </row>
    <row r="2116" spans="1:25" x14ac:dyDescent="0.35">
      <c r="A2116" s="13"/>
      <c r="B2116" s="13" t="s">
        <v>2645</v>
      </c>
      <c r="C2116" s="13"/>
      <c r="D2116" s="13" t="s">
        <v>2963</v>
      </c>
      <c r="E2116" s="13">
        <v>1</v>
      </c>
      <c r="F2116" s="13">
        <v>5</v>
      </c>
      <c r="G2116" s="13"/>
      <c r="H2116" s="13"/>
      <c r="I2116" s="13"/>
      <c r="J2116" s="13"/>
      <c r="K2116" s="13" t="s">
        <v>29</v>
      </c>
      <c r="L2116" s="22"/>
      <c r="M2116" s="13"/>
      <c r="N2116" s="13"/>
      <c r="O2116" s="13"/>
      <c r="P2116" s="13"/>
      <c r="Q2116" s="13"/>
      <c r="R2116" s="13"/>
      <c r="S2116" s="13"/>
      <c r="T2116" s="13"/>
      <c r="U2116" s="13"/>
      <c r="V2116" s="23">
        <v>0.82844211433887527</v>
      </c>
      <c r="W2116" s="23">
        <v>6.8403445878028881</v>
      </c>
      <c r="X2116" s="23">
        <f t="shared" si="114"/>
        <v>0.21280767309188597</v>
      </c>
      <c r="Y2116" s="13"/>
    </row>
    <row r="2117" spans="1:25" x14ac:dyDescent="0.35">
      <c r="A2117" s="13"/>
      <c r="B2117" s="13" t="s">
        <v>2646</v>
      </c>
      <c r="C2117" s="13"/>
      <c r="D2117" s="13" t="s">
        <v>2964</v>
      </c>
      <c r="E2117" s="13">
        <v>1</v>
      </c>
      <c r="F2117" s="13">
        <v>5</v>
      </c>
      <c r="G2117" s="13"/>
      <c r="H2117" s="13"/>
      <c r="I2117" s="13"/>
      <c r="J2117" s="13"/>
      <c r="K2117" s="13" t="s">
        <v>29</v>
      </c>
      <c r="L2117" s="22"/>
      <c r="M2117" s="13"/>
      <c r="N2117" s="13"/>
      <c r="O2117" s="13"/>
      <c r="P2117" s="13"/>
      <c r="Q2117" s="13"/>
      <c r="R2117" s="13"/>
      <c r="S2117" s="13"/>
      <c r="T2117" s="13"/>
      <c r="U2117" s="13"/>
      <c r="V2117" s="23">
        <v>1.2032711375808716</v>
      </c>
      <c r="W2117" s="23">
        <v>9.9235417118072533</v>
      </c>
      <c r="X2117" s="23">
        <f t="shared" si="114"/>
        <v>0.2973726111602808</v>
      </c>
      <c r="Y2117" s="13"/>
    </row>
    <row r="2118" spans="1:25" x14ac:dyDescent="0.35">
      <c r="A2118" s="13"/>
      <c r="B2118" s="13" t="s">
        <v>2647</v>
      </c>
      <c r="C2118" s="13"/>
      <c r="D2118" s="13" t="s">
        <v>2965</v>
      </c>
      <c r="E2118" s="13">
        <v>1</v>
      </c>
      <c r="F2118" s="13">
        <v>5</v>
      </c>
      <c r="G2118" s="13"/>
      <c r="H2118" s="13"/>
      <c r="I2118" s="13"/>
      <c r="J2118" s="13"/>
      <c r="K2118" s="13" t="s">
        <v>29</v>
      </c>
      <c r="L2118" s="22"/>
      <c r="M2118" s="13"/>
      <c r="N2118" s="13"/>
      <c r="O2118" s="13"/>
      <c r="P2118" s="13"/>
      <c r="Q2118" s="13"/>
      <c r="R2118" s="13"/>
      <c r="S2118" s="13"/>
      <c r="T2118" s="13"/>
      <c r="U2118" s="13"/>
      <c r="V2118" s="23">
        <v>1.0522255731678005</v>
      </c>
      <c r="W2118" s="23">
        <v>7.5916581811904926</v>
      </c>
      <c r="X2118" s="23">
        <f t="shared" si="114"/>
        <v>-0.82614640415191154</v>
      </c>
      <c r="Y2118" s="13"/>
    </row>
    <row r="2119" spans="1:25" x14ac:dyDescent="0.35">
      <c r="A2119" s="13"/>
      <c r="B2119" s="13" t="s">
        <v>2648</v>
      </c>
      <c r="C2119" s="13"/>
      <c r="D2119" s="13" t="s">
        <v>2966</v>
      </c>
      <c r="E2119" s="13">
        <v>1</v>
      </c>
      <c r="F2119" s="13">
        <v>7</v>
      </c>
      <c r="G2119" s="13"/>
      <c r="H2119" s="13"/>
      <c r="I2119" s="13"/>
      <c r="J2119" s="13"/>
      <c r="K2119" s="13" t="s">
        <v>29</v>
      </c>
      <c r="L2119" s="22"/>
      <c r="M2119" s="13"/>
      <c r="N2119" s="13"/>
      <c r="O2119" s="13"/>
      <c r="P2119" s="13"/>
      <c r="Q2119" s="13"/>
      <c r="R2119" s="13"/>
      <c r="S2119" s="13"/>
      <c r="T2119" s="13"/>
      <c r="U2119" s="13"/>
      <c r="V2119" s="23">
        <v>-5.6801248136901856</v>
      </c>
      <c r="W2119" s="23">
        <v>-45.724090476989737</v>
      </c>
      <c r="X2119" s="23">
        <f t="shared" si="114"/>
        <v>-0.28309196746825194</v>
      </c>
      <c r="Y2119" s="13"/>
    </row>
    <row r="2120" spans="1:25" x14ac:dyDescent="0.35">
      <c r="A2120" s="13"/>
      <c r="B2120" s="13" t="s">
        <v>2649</v>
      </c>
      <c r="C2120" s="13"/>
      <c r="D2120" s="13" t="s">
        <v>2967</v>
      </c>
      <c r="E2120" s="13">
        <v>1</v>
      </c>
      <c r="F2120" s="13">
        <v>7</v>
      </c>
      <c r="G2120" s="13"/>
      <c r="H2120" s="13"/>
      <c r="I2120" s="13"/>
      <c r="J2120" s="13"/>
      <c r="K2120" s="13" t="s">
        <v>29</v>
      </c>
      <c r="L2120" s="22"/>
      <c r="M2120" s="13"/>
      <c r="N2120" s="13"/>
      <c r="O2120" s="13"/>
      <c r="P2120" s="13"/>
      <c r="Q2120" s="13"/>
      <c r="R2120" s="13"/>
      <c r="S2120" s="13"/>
      <c r="T2120" s="13"/>
      <c r="U2120" s="13"/>
      <c r="V2120" s="23">
        <v>-2.4008020340347294</v>
      </c>
      <c r="W2120" s="23">
        <v>-18.518932605743409</v>
      </c>
      <c r="X2120" s="23">
        <f t="shared" si="114"/>
        <v>0.68748366653442616</v>
      </c>
      <c r="Y2120" s="13"/>
    </row>
    <row r="2121" spans="1:25" x14ac:dyDescent="0.35">
      <c r="A2121" s="13"/>
      <c r="B2121" s="13" t="s">
        <v>2650</v>
      </c>
      <c r="C2121" s="13"/>
      <c r="D2121" s="13" t="s">
        <v>2968</v>
      </c>
      <c r="E2121" s="13">
        <v>1</v>
      </c>
      <c r="F2121" s="13">
        <v>7</v>
      </c>
      <c r="G2121" s="13"/>
      <c r="H2121" s="13"/>
      <c r="I2121" s="13"/>
      <c r="J2121" s="13"/>
      <c r="K2121" s="13" t="s">
        <v>29</v>
      </c>
      <c r="L2121" s="22"/>
      <c r="M2121" s="13"/>
      <c r="N2121" s="13"/>
      <c r="O2121" s="13"/>
      <c r="P2121" s="13"/>
      <c r="Q2121" s="13"/>
      <c r="R2121" s="13"/>
      <c r="S2121" s="13"/>
      <c r="T2121" s="13"/>
      <c r="U2121" s="13"/>
      <c r="V2121" s="23">
        <v>-1.685419621839523</v>
      </c>
      <c r="W2121" s="23">
        <v>-13.77002112007141</v>
      </c>
      <c r="X2121" s="23">
        <f t="shared" si="114"/>
        <v>-0.28666414535522655</v>
      </c>
      <c r="Y2121" s="13"/>
    </row>
    <row r="2122" spans="1:25" x14ac:dyDescent="0.35">
      <c r="A2122" s="13"/>
      <c r="B2122" s="13" t="s">
        <v>2651</v>
      </c>
      <c r="C2122" s="13"/>
      <c r="D2122" s="13" t="s">
        <v>2969</v>
      </c>
      <c r="E2122" s="13">
        <v>1</v>
      </c>
      <c r="F2122" s="13">
        <v>7</v>
      </c>
      <c r="G2122" s="13"/>
      <c r="H2122" s="13"/>
      <c r="I2122" s="13"/>
      <c r="J2122" s="13"/>
      <c r="K2122" s="13" t="s">
        <v>29</v>
      </c>
      <c r="L2122" s="22"/>
      <c r="M2122" s="13"/>
      <c r="N2122" s="13"/>
      <c r="O2122" s="13"/>
      <c r="P2122" s="13"/>
      <c r="Q2122" s="13"/>
      <c r="R2122" s="13"/>
      <c r="S2122" s="13"/>
      <c r="T2122" s="13"/>
      <c r="U2122" s="13"/>
      <c r="V2122" s="23">
        <v>0.64180702231884035</v>
      </c>
      <c r="W2122" s="23">
        <v>5.1605969896316539</v>
      </c>
      <c r="X2122" s="23">
        <f t="shared" si="114"/>
        <v>2.6140811080931137E-2</v>
      </c>
      <c r="Y2122" s="13"/>
    </row>
    <row r="2123" spans="1:25" x14ac:dyDescent="0.35">
      <c r="A2123" s="13"/>
      <c r="B2123" s="13" t="s">
        <v>2652</v>
      </c>
      <c r="C2123" s="13"/>
      <c r="D2123" s="13" t="s">
        <v>2970</v>
      </c>
      <c r="E2123" s="13">
        <v>1</v>
      </c>
      <c r="F2123" s="13">
        <v>7</v>
      </c>
      <c r="G2123" s="13"/>
      <c r="H2123" s="13"/>
      <c r="I2123" s="13"/>
      <c r="J2123" s="13"/>
      <c r="K2123" s="13" t="s">
        <v>29</v>
      </c>
      <c r="L2123" s="22"/>
      <c r="M2123" s="13"/>
      <c r="N2123" s="13"/>
      <c r="O2123" s="13"/>
      <c r="P2123" s="13"/>
      <c r="Q2123" s="13"/>
      <c r="R2123" s="13"/>
      <c r="S2123" s="13"/>
      <c r="T2123" s="13"/>
      <c r="U2123" s="13"/>
      <c r="V2123" s="23">
        <v>1.2656396962261198</v>
      </c>
      <c r="W2123" s="23">
        <v>9.9812274351120003</v>
      </c>
      <c r="X2123" s="23">
        <f t="shared" si="114"/>
        <v>-0.14389013469695833</v>
      </c>
      <c r="Y2123" s="13"/>
    </row>
    <row r="2124" spans="1:25" x14ac:dyDescent="0.35">
      <c r="A2124" s="13"/>
      <c r="B2124" s="13" t="s">
        <v>2653</v>
      </c>
      <c r="C2124" s="13"/>
      <c r="D2124" s="13" t="s">
        <v>2971</v>
      </c>
      <c r="E2124" s="13">
        <v>1</v>
      </c>
      <c r="F2124" s="13">
        <v>7</v>
      </c>
      <c r="G2124" s="13"/>
      <c r="H2124" s="13"/>
      <c r="I2124" s="13"/>
      <c r="J2124" s="13"/>
      <c r="K2124" s="13" t="s">
        <v>29</v>
      </c>
      <c r="L2124" s="22"/>
      <c r="M2124" s="13"/>
      <c r="N2124" s="13"/>
      <c r="O2124" s="13"/>
      <c r="P2124" s="13"/>
      <c r="Q2124" s="13"/>
      <c r="R2124" s="13"/>
      <c r="S2124" s="13"/>
      <c r="T2124" s="13"/>
      <c r="U2124" s="13"/>
      <c r="V2124" s="23">
        <v>1.0140745172357555</v>
      </c>
      <c r="W2124" s="23">
        <v>8.8695441045761108</v>
      </c>
      <c r="X2124" s="23">
        <f t="shared" si="114"/>
        <v>0.75694796669006692</v>
      </c>
      <c r="Y2124" s="13"/>
    </row>
    <row r="2125" spans="1:25" x14ac:dyDescent="0.35">
      <c r="A2125" s="13"/>
      <c r="B2125" s="13" t="s">
        <v>2654</v>
      </c>
      <c r="C2125" s="13"/>
      <c r="D2125" s="13" t="s">
        <v>2972</v>
      </c>
      <c r="E2125" s="13">
        <v>1</v>
      </c>
      <c r="F2125" s="13">
        <v>7</v>
      </c>
      <c r="G2125" s="13"/>
      <c r="H2125" s="13"/>
      <c r="I2125" s="13"/>
      <c r="J2125" s="13"/>
      <c r="K2125" s="13" t="s">
        <v>29</v>
      </c>
      <c r="L2125" s="22"/>
      <c r="M2125" s="13"/>
      <c r="N2125" s="13"/>
      <c r="O2125" s="13"/>
      <c r="P2125" s="13"/>
      <c r="Q2125" s="13"/>
      <c r="R2125" s="13"/>
      <c r="S2125" s="13"/>
      <c r="T2125" s="13"/>
      <c r="U2125" s="13"/>
      <c r="V2125" s="23">
        <v>0.83345298157692005</v>
      </c>
      <c r="W2125" s="23">
        <v>6.6307670917510997</v>
      </c>
      <c r="X2125" s="23">
        <f t="shared" si="114"/>
        <v>-3.6856760864260707E-2</v>
      </c>
      <c r="Y2125" s="13"/>
    </row>
    <row r="2126" spans="1:25" x14ac:dyDescent="0.35">
      <c r="A2126" s="13"/>
      <c r="B2126" s="13" t="s">
        <v>2655</v>
      </c>
      <c r="C2126" s="13"/>
      <c r="D2126" s="13" t="s">
        <v>2973</v>
      </c>
      <c r="E2126" s="13">
        <v>1</v>
      </c>
      <c r="F2126" s="13">
        <v>7</v>
      </c>
      <c r="G2126" s="13"/>
      <c r="H2126" s="13"/>
      <c r="I2126" s="13"/>
      <c r="J2126" s="13"/>
      <c r="K2126" s="13" t="s">
        <v>29</v>
      </c>
      <c r="L2126" s="22"/>
      <c r="M2126" s="13"/>
      <c r="N2126" s="13"/>
      <c r="O2126" s="13"/>
      <c r="P2126" s="13"/>
      <c r="Q2126" s="13"/>
      <c r="R2126" s="13"/>
      <c r="S2126" s="13"/>
      <c r="T2126" s="13"/>
      <c r="U2126" s="13"/>
      <c r="V2126" s="23">
        <v>1.0547903668284411</v>
      </c>
      <c r="W2126" s="23">
        <v>7.2140259380340579</v>
      </c>
      <c r="X2126" s="23">
        <f t="shared" si="114"/>
        <v>-1.2242969965934707</v>
      </c>
      <c r="Y2126" s="13"/>
    </row>
    <row r="2127" spans="1:25" x14ac:dyDescent="0.35">
      <c r="A2127" s="13"/>
      <c r="B2127" s="13" t="s">
        <v>2656</v>
      </c>
      <c r="C2127" s="13"/>
      <c r="D2127" s="13" t="s">
        <v>2974</v>
      </c>
      <c r="E2127" s="13">
        <v>1</v>
      </c>
      <c r="F2127" s="13">
        <v>7</v>
      </c>
      <c r="G2127" s="13"/>
      <c r="H2127" s="13"/>
      <c r="I2127" s="13"/>
      <c r="J2127" s="13"/>
      <c r="K2127" s="13" t="s">
        <v>29</v>
      </c>
      <c r="L2127" s="22"/>
      <c r="M2127" s="13"/>
      <c r="N2127" s="13"/>
      <c r="O2127" s="13"/>
      <c r="P2127" s="13"/>
      <c r="Q2127" s="13"/>
      <c r="R2127" s="13"/>
      <c r="S2127" s="13"/>
      <c r="T2127" s="13"/>
      <c r="U2127" s="13"/>
      <c r="V2127" s="23">
        <v>-17.763156858444212</v>
      </c>
      <c r="W2127" s="23">
        <v>-126.21714489746094</v>
      </c>
      <c r="X2127" s="23">
        <f t="shared" si="114"/>
        <v>15.888109970092756</v>
      </c>
      <c r="Y2127" s="13"/>
    </row>
    <row r="2128" spans="1:25" x14ac:dyDescent="0.35">
      <c r="A2128" s="13"/>
      <c r="B2128" s="13" t="s">
        <v>2657</v>
      </c>
      <c r="C2128" s="13"/>
      <c r="D2128" s="13" t="s">
        <v>2975</v>
      </c>
      <c r="E2128" s="13">
        <v>1</v>
      </c>
      <c r="F2128" s="13">
        <v>7</v>
      </c>
      <c r="G2128" s="13"/>
      <c r="H2128" s="13"/>
      <c r="I2128" s="13"/>
      <c r="J2128" s="13"/>
      <c r="K2128" s="13" t="s">
        <v>29</v>
      </c>
      <c r="L2128" s="22"/>
      <c r="M2128" s="13"/>
      <c r="N2128" s="13"/>
      <c r="O2128" s="13"/>
      <c r="P2128" s="13"/>
      <c r="Q2128" s="13"/>
      <c r="R2128" s="13"/>
      <c r="S2128" s="13"/>
      <c r="T2128" s="13"/>
      <c r="U2128" s="13"/>
      <c r="V2128" s="23">
        <v>-14.132342096328733</v>
      </c>
      <c r="W2128" s="23">
        <v>-99.044538047790525</v>
      </c>
      <c r="X2128" s="23">
        <f t="shared" si="114"/>
        <v>14.014198722839339</v>
      </c>
      <c r="Y2128" s="13"/>
    </row>
    <row r="2129" spans="1:25" x14ac:dyDescent="0.35">
      <c r="A2129" s="13"/>
      <c r="B2129" s="13" t="s">
        <v>2658</v>
      </c>
      <c r="C2129" s="13"/>
      <c r="D2129" s="13" t="s">
        <v>2976</v>
      </c>
      <c r="E2129" s="13">
        <v>1</v>
      </c>
      <c r="F2129" s="13">
        <v>7</v>
      </c>
      <c r="G2129" s="13"/>
      <c r="H2129" s="13"/>
      <c r="I2129" s="13"/>
      <c r="J2129" s="13"/>
      <c r="K2129" s="13" t="s">
        <v>29</v>
      </c>
      <c r="L2129" s="22"/>
      <c r="M2129" s="13"/>
      <c r="N2129" s="13"/>
      <c r="O2129" s="13"/>
      <c r="P2129" s="13"/>
      <c r="Q2129" s="13"/>
      <c r="R2129" s="13"/>
      <c r="S2129" s="13"/>
      <c r="T2129" s="13"/>
      <c r="U2129" s="13"/>
      <c r="V2129" s="23">
        <v>-9.6411563358306864</v>
      </c>
      <c r="W2129" s="23">
        <v>-73.620976531982421</v>
      </c>
      <c r="X2129" s="23">
        <f t="shared" si="114"/>
        <v>3.50827415466307</v>
      </c>
      <c r="Y2129" s="13"/>
    </row>
    <row r="2130" spans="1:25" x14ac:dyDescent="0.35">
      <c r="A2130" s="13"/>
      <c r="B2130" s="13" t="s">
        <v>2659</v>
      </c>
      <c r="C2130" s="13"/>
      <c r="D2130" s="13" t="s">
        <v>2977</v>
      </c>
      <c r="E2130" s="13">
        <v>1</v>
      </c>
      <c r="F2130" s="13">
        <v>7</v>
      </c>
      <c r="G2130" s="13"/>
      <c r="H2130" s="13"/>
      <c r="I2130" s="13"/>
      <c r="J2130" s="13"/>
      <c r="K2130" s="13" t="s">
        <v>29</v>
      </c>
      <c r="L2130" s="22"/>
      <c r="M2130" s="13"/>
      <c r="N2130" s="13"/>
      <c r="O2130" s="13"/>
      <c r="P2130" s="13"/>
      <c r="Q2130" s="13"/>
      <c r="R2130" s="13"/>
      <c r="S2130" s="13"/>
      <c r="T2130" s="13"/>
      <c r="U2130" s="13"/>
      <c r="V2130" s="23">
        <v>-7.9991916189193715</v>
      </c>
      <c r="W2130" s="23">
        <v>-64.970911720275879</v>
      </c>
      <c r="X2130" s="23">
        <f t="shared" si="114"/>
        <v>-0.97737876892090725</v>
      </c>
      <c r="Y2130" s="13"/>
    </row>
    <row r="2131" spans="1:25" x14ac:dyDescent="0.35">
      <c r="A2131" s="13"/>
      <c r="B2131" s="13" t="s">
        <v>2660</v>
      </c>
      <c r="C2131" s="13"/>
      <c r="D2131" s="13" t="s">
        <v>2978</v>
      </c>
      <c r="E2131" s="13">
        <v>1</v>
      </c>
      <c r="F2131" s="13">
        <v>9</v>
      </c>
      <c r="G2131" s="13"/>
      <c r="H2131" s="13"/>
      <c r="I2131" s="13"/>
      <c r="J2131" s="13"/>
      <c r="K2131" s="13" t="s">
        <v>29</v>
      </c>
      <c r="L2131" s="22"/>
      <c r="M2131" s="13"/>
      <c r="N2131" s="13"/>
      <c r="O2131" s="13"/>
      <c r="P2131" s="13"/>
      <c r="Q2131" s="13"/>
      <c r="R2131" s="13"/>
      <c r="S2131" s="13"/>
      <c r="T2131" s="13"/>
      <c r="U2131" s="13"/>
      <c r="V2131" s="23">
        <v>-4.6632911095619196</v>
      </c>
      <c r="W2131" s="23">
        <v>-39.069432971954349</v>
      </c>
      <c r="X2131" s="23">
        <f t="shared" si="114"/>
        <v>-1.763104095458992</v>
      </c>
      <c r="Y2131" s="13"/>
    </row>
    <row r="2132" spans="1:25" x14ac:dyDescent="0.35">
      <c r="A2132" s="13"/>
      <c r="B2132" s="13" t="s">
        <v>2661</v>
      </c>
      <c r="C2132" s="13"/>
      <c r="D2132" s="13" t="s">
        <v>2979</v>
      </c>
      <c r="E2132" s="13">
        <v>1</v>
      </c>
      <c r="F2132" s="13">
        <v>9</v>
      </c>
      <c r="G2132" s="13"/>
      <c r="H2132" s="13"/>
      <c r="I2132" s="13"/>
      <c r="J2132" s="13"/>
      <c r="K2132" s="13" t="s">
        <v>29</v>
      </c>
      <c r="L2132" s="22"/>
      <c r="M2132" s="13"/>
      <c r="N2132" s="13"/>
      <c r="O2132" s="13"/>
      <c r="P2132" s="13"/>
      <c r="Q2132" s="13"/>
      <c r="R2132" s="13"/>
      <c r="S2132" s="13"/>
      <c r="T2132" s="13"/>
      <c r="U2132" s="13"/>
      <c r="V2132" s="23">
        <v>-1.2875422672033314</v>
      </c>
      <c r="W2132" s="23">
        <v>-11.071940663337708</v>
      </c>
      <c r="X2132" s="23">
        <f t="shared" si="114"/>
        <v>-0.77160252571105659</v>
      </c>
      <c r="Y2132" s="13"/>
    </row>
    <row r="2133" spans="1:25" x14ac:dyDescent="0.35">
      <c r="A2133" s="13"/>
      <c r="B2133" s="13" t="s">
        <v>2662</v>
      </c>
      <c r="C2133" s="13"/>
      <c r="D2133" s="13" t="s">
        <v>2980</v>
      </c>
      <c r="E2133" s="13">
        <v>1</v>
      </c>
      <c r="F2133" s="13">
        <v>9</v>
      </c>
      <c r="G2133" s="13"/>
      <c r="H2133" s="13"/>
      <c r="I2133" s="13"/>
      <c r="J2133" s="13"/>
      <c r="K2133" s="13" t="s">
        <v>29</v>
      </c>
      <c r="L2133" s="22"/>
      <c r="M2133" s="13"/>
      <c r="N2133" s="13"/>
      <c r="O2133" s="13"/>
      <c r="P2133" s="13"/>
      <c r="Q2133" s="13"/>
      <c r="R2133" s="13"/>
      <c r="S2133" s="13"/>
      <c r="T2133" s="13"/>
      <c r="U2133" s="13"/>
      <c r="V2133" s="23">
        <v>3.7520499598235023E-2</v>
      </c>
      <c r="W2133" s="23">
        <v>0.44209363651275629</v>
      </c>
      <c r="X2133" s="23">
        <f t="shared" si="114"/>
        <v>0.14192963972687611</v>
      </c>
      <c r="Y2133" s="13"/>
    </row>
    <row r="2134" spans="1:25" x14ac:dyDescent="0.35">
      <c r="A2134" s="13"/>
      <c r="B2134" s="13" t="s">
        <v>2663</v>
      </c>
      <c r="C2134" s="13"/>
      <c r="D2134" s="13" t="s">
        <v>2981</v>
      </c>
      <c r="E2134" s="13">
        <v>1</v>
      </c>
      <c r="F2134" s="13">
        <v>9</v>
      </c>
      <c r="G2134" s="13"/>
      <c r="H2134" s="13"/>
      <c r="I2134" s="13"/>
      <c r="J2134" s="13"/>
      <c r="K2134" s="13" t="s">
        <v>29</v>
      </c>
      <c r="L2134" s="22"/>
      <c r="M2134" s="13"/>
      <c r="N2134" s="13"/>
      <c r="O2134" s="13"/>
      <c r="P2134" s="13"/>
      <c r="Q2134" s="13"/>
      <c r="R2134" s="13"/>
      <c r="S2134" s="13"/>
      <c r="T2134" s="13"/>
      <c r="U2134" s="13"/>
      <c r="V2134" s="23">
        <v>-1.2833847824335094</v>
      </c>
      <c r="W2134" s="23">
        <v>-10.326321056365968</v>
      </c>
      <c r="X2134" s="23">
        <f t="shared" si="114"/>
        <v>-5.9242796897892802E-2</v>
      </c>
      <c r="Y2134" s="13"/>
    </row>
    <row r="2135" spans="1:25" x14ac:dyDescent="0.35">
      <c r="A2135" s="13"/>
      <c r="B2135" s="13" t="s">
        <v>2664</v>
      </c>
      <c r="C2135" s="13"/>
      <c r="D2135" s="13" t="s">
        <v>2982</v>
      </c>
      <c r="E2135" s="13">
        <v>1</v>
      </c>
      <c r="F2135" s="13">
        <v>9</v>
      </c>
      <c r="G2135" s="13"/>
      <c r="H2135" s="13"/>
      <c r="I2135" s="13"/>
      <c r="J2135" s="13"/>
      <c r="K2135" s="13" t="s">
        <v>29</v>
      </c>
      <c r="L2135" s="22"/>
      <c r="M2135" s="13"/>
      <c r="N2135" s="13"/>
      <c r="O2135" s="13"/>
      <c r="P2135" s="13"/>
      <c r="Q2135" s="13"/>
      <c r="R2135" s="13"/>
      <c r="S2135" s="13"/>
      <c r="T2135" s="13"/>
      <c r="U2135" s="13"/>
      <c r="V2135" s="23">
        <v>0.58551190727949154</v>
      </c>
      <c r="W2135" s="23">
        <v>4.2927572770118729</v>
      </c>
      <c r="X2135" s="23">
        <f t="shared" si="114"/>
        <v>-0.39133798122405938</v>
      </c>
      <c r="Y2135" s="13"/>
    </row>
    <row r="2136" spans="1:25" x14ac:dyDescent="0.35">
      <c r="A2136" s="13"/>
      <c r="B2136" s="13" t="s">
        <v>2665</v>
      </c>
      <c r="C2136" s="13"/>
      <c r="D2136" s="13" t="s">
        <v>2983</v>
      </c>
      <c r="E2136" s="13">
        <v>1</v>
      </c>
      <c r="F2136" s="13">
        <v>9</v>
      </c>
      <c r="G2136" s="13"/>
      <c r="H2136" s="13"/>
      <c r="I2136" s="13"/>
      <c r="J2136" s="13"/>
      <c r="K2136" s="13" t="s">
        <v>29</v>
      </c>
      <c r="L2136" s="22"/>
      <c r="M2136" s="13"/>
      <c r="N2136" s="13"/>
      <c r="O2136" s="13"/>
      <c r="P2136" s="13"/>
      <c r="Q2136" s="13"/>
      <c r="R2136" s="13"/>
      <c r="S2136" s="13"/>
      <c r="T2136" s="13"/>
      <c r="U2136" s="13"/>
      <c r="V2136" s="23">
        <v>1.1409206248998642</v>
      </c>
      <c r="W2136" s="23">
        <v>9.6190507629394517</v>
      </c>
      <c r="X2136" s="23">
        <f t="shared" si="114"/>
        <v>0.49168576374053785</v>
      </c>
      <c r="Y2136" s="13"/>
    </row>
    <row r="2137" spans="1:25" x14ac:dyDescent="0.35">
      <c r="A2137" s="13"/>
      <c r="B2137" s="13" t="s">
        <v>2666</v>
      </c>
      <c r="C2137" s="13"/>
      <c r="D2137" s="13" t="s">
        <v>2984</v>
      </c>
      <c r="E2137" s="13">
        <v>1</v>
      </c>
      <c r="F2137" s="13">
        <v>9</v>
      </c>
      <c r="G2137" s="13"/>
      <c r="H2137" s="13"/>
      <c r="I2137" s="13"/>
      <c r="J2137" s="13"/>
      <c r="K2137" s="13" t="s">
        <v>29</v>
      </c>
      <c r="L2137" s="22"/>
      <c r="M2137" s="13"/>
      <c r="N2137" s="13"/>
      <c r="O2137" s="13"/>
      <c r="P2137" s="13"/>
      <c r="Q2137" s="13"/>
      <c r="R2137" s="13"/>
      <c r="S2137" s="13"/>
      <c r="T2137" s="13"/>
      <c r="U2137" s="13"/>
      <c r="V2137" s="23">
        <v>0.94925628798007988</v>
      </c>
      <c r="W2137" s="23">
        <v>8.4155916793823238</v>
      </c>
      <c r="X2137" s="23">
        <f t="shared" si="114"/>
        <v>0.82154137554168472</v>
      </c>
      <c r="Y2137" s="13"/>
    </row>
    <row r="2138" spans="1:25" x14ac:dyDescent="0.35">
      <c r="A2138" s="13"/>
      <c r="B2138" s="13" t="s">
        <v>2667</v>
      </c>
      <c r="C2138" s="13"/>
      <c r="D2138" s="13" t="s">
        <v>2985</v>
      </c>
      <c r="E2138" s="13">
        <v>1</v>
      </c>
      <c r="F2138" s="13">
        <v>9</v>
      </c>
      <c r="G2138" s="13"/>
      <c r="H2138" s="13"/>
      <c r="I2138" s="13"/>
      <c r="J2138" s="13"/>
      <c r="K2138" s="13" t="s">
        <v>29</v>
      </c>
      <c r="L2138" s="22"/>
      <c r="M2138" s="13"/>
      <c r="N2138" s="13"/>
      <c r="O2138" s="13"/>
      <c r="P2138" s="13"/>
      <c r="Q2138" s="13"/>
      <c r="R2138" s="13"/>
      <c r="S2138" s="13"/>
      <c r="T2138" s="13"/>
      <c r="U2138" s="13"/>
      <c r="V2138" s="23">
        <v>0.7437585380852223</v>
      </c>
      <c r="W2138" s="23">
        <v>6.1948538711547849</v>
      </c>
      <c r="X2138" s="23">
        <f t="shared" si="114"/>
        <v>0.24478556647300653</v>
      </c>
      <c r="Y2138" s="13"/>
    </row>
    <row r="2139" spans="1:25" x14ac:dyDescent="0.35">
      <c r="A2139" s="13"/>
      <c r="B2139" s="13" t="s">
        <v>2668</v>
      </c>
      <c r="C2139" s="13"/>
      <c r="D2139" s="13" t="s">
        <v>2986</v>
      </c>
      <c r="E2139" s="13">
        <v>1</v>
      </c>
      <c r="F2139" s="13">
        <v>9</v>
      </c>
      <c r="G2139" s="13"/>
      <c r="H2139" s="13"/>
      <c r="I2139" s="13"/>
      <c r="J2139" s="13"/>
      <c r="K2139" s="13" t="s">
        <v>29</v>
      </c>
      <c r="L2139" s="22"/>
      <c r="M2139" s="13"/>
      <c r="N2139" s="13"/>
      <c r="O2139" s="13"/>
      <c r="P2139" s="13"/>
      <c r="Q2139" s="13"/>
      <c r="R2139" s="13"/>
      <c r="S2139" s="13"/>
      <c r="T2139" s="13"/>
      <c r="U2139" s="13"/>
      <c r="V2139" s="23">
        <v>0.9349901537060733</v>
      </c>
      <c r="W2139" s="23">
        <v>6.4950316772460939</v>
      </c>
      <c r="X2139" s="23">
        <f t="shared" si="114"/>
        <v>-0.98488955240249254</v>
      </c>
      <c r="Y2139" s="13"/>
    </row>
    <row r="2140" spans="1:25" x14ac:dyDescent="0.35">
      <c r="A2140" s="13"/>
      <c r="B2140" s="13" t="s">
        <v>2669</v>
      </c>
      <c r="C2140" s="13"/>
      <c r="D2140" s="13" t="s">
        <v>2987</v>
      </c>
      <c r="E2140" s="13">
        <v>1</v>
      </c>
      <c r="F2140" s="13">
        <v>9</v>
      </c>
      <c r="G2140" s="13"/>
      <c r="H2140" s="13"/>
      <c r="I2140" s="13"/>
      <c r="J2140" s="13"/>
      <c r="K2140" s="13" t="s">
        <v>29</v>
      </c>
      <c r="L2140" s="22"/>
      <c r="M2140" s="13"/>
      <c r="N2140" s="13"/>
      <c r="O2140" s="13"/>
      <c r="P2140" s="13"/>
      <c r="Q2140" s="13"/>
      <c r="R2140" s="13"/>
      <c r="S2140" s="13"/>
      <c r="T2140" s="13"/>
      <c r="U2140" s="13"/>
      <c r="V2140" s="23">
        <v>0.66844406733512862</v>
      </c>
      <c r="W2140" s="23">
        <v>5.7686716308593757</v>
      </c>
      <c r="X2140" s="23">
        <f t="shared" si="114"/>
        <v>0.42111909217834675</v>
      </c>
      <c r="Y2140" s="13"/>
    </row>
    <row r="2141" spans="1:25" x14ac:dyDescent="0.35">
      <c r="A2141" s="13"/>
      <c r="B2141" s="13" t="s">
        <v>2670</v>
      </c>
      <c r="C2141" s="13"/>
      <c r="D2141" s="13" t="s">
        <v>2988</v>
      </c>
      <c r="E2141" s="13">
        <v>1</v>
      </c>
      <c r="F2141" s="13">
        <v>9</v>
      </c>
      <c r="G2141" s="13"/>
      <c r="H2141" s="13"/>
      <c r="I2141" s="13"/>
      <c r="J2141" s="13"/>
      <c r="K2141" s="13" t="s">
        <v>29</v>
      </c>
      <c r="L2141" s="22"/>
      <c r="M2141" s="13"/>
      <c r="N2141" s="13"/>
      <c r="O2141" s="13"/>
      <c r="P2141" s="13"/>
      <c r="Q2141" s="13"/>
      <c r="R2141" s="13"/>
      <c r="S2141" s="13"/>
      <c r="T2141" s="13"/>
      <c r="U2141" s="13"/>
      <c r="V2141" s="23">
        <v>0.81270670423507685</v>
      </c>
      <c r="W2141" s="23">
        <v>6.368462692260743</v>
      </c>
      <c r="X2141" s="23">
        <f t="shared" si="114"/>
        <v>-0.13319094161987177</v>
      </c>
      <c r="Y2141" s="13"/>
    </row>
    <row r="2142" spans="1:25" x14ac:dyDescent="0.35">
      <c r="A2142" s="13"/>
      <c r="B2142" s="13" t="s">
        <v>2671</v>
      </c>
      <c r="C2142" s="13"/>
      <c r="D2142" s="13" t="s">
        <v>2989</v>
      </c>
      <c r="E2142" s="13">
        <v>1</v>
      </c>
      <c r="F2142" s="13">
        <v>5</v>
      </c>
      <c r="G2142" s="13"/>
      <c r="H2142" s="13"/>
      <c r="I2142" s="13"/>
      <c r="J2142" s="13"/>
      <c r="K2142" s="13" t="s">
        <v>29</v>
      </c>
      <c r="L2142" s="22"/>
      <c r="M2142" s="13"/>
      <c r="N2142" s="13"/>
      <c r="O2142" s="13"/>
      <c r="P2142" s="13"/>
      <c r="Q2142" s="13"/>
      <c r="R2142" s="13"/>
      <c r="S2142" s="13"/>
      <c r="T2142" s="13"/>
      <c r="U2142" s="13"/>
      <c r="V2142" s="23">
        <v>-5.3263295697212234</v>
      </c>
      <c r="W2142" s="23">
        <v>-41.39712829589844</v>
      </c>
      <c r="X2142" s="23">
        <f t="shared" si="114"/>
        <v>1.2135082618713469</v>
      </c>
      <c r="Y2142" s="13"/>
    </row>
    <row r="2143" spans="1:25" x14ac:dyDescent="0.35">
      <c r="A2143" s="13"/>
      <c r="B2143" s="13" t="s">
        <v>2672</v>
      </c>
      <c r="C2143" s="13"/>
      <c r="D2143" s="13" t="s">
        <v>2990</v>
      </c>
      <c r="E2143" s="13">
        <v>1</v>
      </c>
      <c r="F2143" s="13">
        <v>5</v>
      </c>
      <c r="G2143" s="13"/>
      <c r="H2143" s="13"/>
      <c r="I2143" s="13"/>
      <c r="J2143" s="13"/>
      <c r="K2143" s="13" t="s">
        <v>29</v>
      </c>
      <c r="L2143" s="22"/>
      <c r="M2143" s="13"/>
      <c r="N2143" s="13"/>
      <c r="O2143" s="13"/>
      <c r="P2143" s="13"/>
      <c r="Q2143" s="13"/>
      <c r="R2143" s="13"/>
      <c r="S2143" s="13"/>
      <c r="T2143" s="13"/>
      <c r="U2143" s="13"/>
      <c r="V2143" s="23">
        <v>-4.2222807477951054</v>
      </c>
      <c r="W2143" s="23">
        <v>-32.99936755371094</v>
      </c>
      <c r="X2143" s="23">
        <f t="shared" si="114"/>
        <v>0.77887842864990375</v>
      </c>
      <c r="Y2143" s="13"/>
    </row>
    <row r="2144" spans="1:25" x14ac:dyDescent="0.35">
      <c r="A2144" s="13"/>
      <c r="B2144" s="13" t="s">
        <v>2673</v>
      </c>
      <c r="C2144" s="13"/>
      <c r="D2144" s="13" t="s">
        <v>2991</v>
      </c>
      <c r="E2144" s="13">
        <v>1</v>
      </c>
      <c r="F2144" s="13">
        <v>5</v>
      </c>
      <c r="G2144" s="13"/>
      <c r="H2144" s="13"/>
      <c r="I2144" s="13"/>
      <c r="J2144" s="13"/>
      <c r="K2144" s="13" t="s">
        <v>29</v>
      </c>
      <c r="L2144" s="22"/>
      <c r="M2144" s="13"/>
      <c r="N2144" s="13"/>
      <c r="O2144" s="13"/>
      <c r="P2144" s="13"/>
      <c r="Q2144" s="13"/>
      <c r="R2144" s="13"/>
      <c r="S2144" s="13"/>
      <c r="T2144" s="13"/>
      <c r="U2144" s="13"/>
      <c r="V2144" s="23">
        <v>-3.741646180057526</v>
      </c>
      <c r="W2144" s="23">
        <v>-29.61334033203125</v>
      </c>
      <c r="X2144" s="23">
        <f t="shared" si="114"/>
        <v>0.31982910842895862</v>
      </c>
      <c r="Y2144" s="13"/>
    </row>
    <row r="2145" spans="1:25" x14ac:dyDescent="0.35">
      <c r="A2145" s="13"/>
      <c r="B2145" s="13" t="s">
        <v>2674</v>
      </c>
      <c r="C2145" s="13"/>
      <c r="D2145" s="13" t="s">
        <v>2992</v>
      </c>
      <c r="E2145" s="13">
        <v>1</v>
      </c>
      <c r="F2145" s="13">
        <v>5</v>
      </c>
      <c r="G2145" s="13"/>
      <c r="H2145" s="13"/>
      <c r="I2145" s="13"/>
      <c r="J2145" s="13"/>
      <c r="K2145" s="13" t="s">
        <v>29</v>
      </c>
      <c r="L2145" s="22"/>
      <c r="M2145" s="13"/>
      <c r="N2145" s="13"/>
      <c r="O2145" s="13"/>
      <c r="P2145" s="13"/>
      <c r="Q2145" s="13"/>
      <c r="R2145" s="13"/>
      <c r="S2145" s="13"/>
      <c r="T2145" s="13"/>
      <c r="U2145" s="13"/>
      <c r="V2145" s="23">
        <v>-3.4665472506523134</v>
      </c>
      <c r="W2145" s="23">
        <v>-27.180290649414061</v>
      </c>
      <c r="X2145" s="23">
        <f t="shared" ref="X2145:X2208" si="115">W2145-(8*V2145)</f>
        <v>0.55208735580444568</v>
      </c>
      <c r="Y2145" s="13"/>
    </row>
    <row r="2146" spans="1:25" x14ac:dyDescent="0.35">
      <c r="A2146" s="13"/>
      <c r="B2146" s="13" t="s">
        <v>2675</v>
      </c>
      <c r="C2146" s="13"/>
      <c r="D2146" s="13" t="s">
        <v>2993</v>
      </c>
      <c r="E2146" s="13">
        <v>1</v>
      </c>
      <c r="F2146" s="13">
        <v>5</v>
      </c>
      <c r="G2146" s="13"/>
      <c r="H2146" s="13"/>
      <c r="I2146" s="13"/>
      <c r="J2146" s="13"/>
      <c r="K2146" s="13" t="s">
        <v>29</v>
      </c>
      <c r="L2146" s="22"/>
      <c r="M2146" s="13"/>
      <c r="N2146" s="13"/>
      <c r="O2146" s="13"/>
      <c r="P2146" s="13"/>
      <c r="Q2146" s="13"/>
      <c r="R2146" s="13"/>
      <c r="S2146" s="13"/>
      <c r="T2146" s="13"/>
      <c r="U2146" s="13"/>
      <c r="V2146" s="23">
        <v>-3.4372634719848625</v>
      </c>
      <c r="W2146" s="23">
        <v>-26.550230407714842</v>
      </c>
      <c r="X2146" s="23">
        <f t="shared" si="115"/>
        <v>0.94787736816405754</v>
      </c>
      <c r="Y2146" s="13"/>
    </row>
    <row r="2147" spans="1:25" x14ac:dyDescent="0.35">
      <c r="A2147" s="13"/>
      <c r="B2147" s="13" t="s">
        <v>2676</v>
      </c>
      <c r="C2147" s="13"/>
      <c r="D2147" s="13" t="s">
        <v>2994</v>
      </c>
      <c r="E2147" s="13">
        <v>1</v>
      </c>
      <c r="F2147" s="13">
        <v>5</v>
      </c>
      <c r="G2147" s="13"/>
      <c r="H2147" s="13"/>
      <c r="I2147" s="13"/>
      <c r="J2147" s="13"/>
      <c r="K2147" s="13" t="s">
        <v>29</v>
      </c>
      <c r="L2147" s="22"/>
      <c r="M2147" s="13"/>
      <c r="N2147" s="13"/>
      <c r="O2147" s="13"/>
      <c r="P2147" s="13"/>
      <c r="Q2147" s="13"/>
      <c r="R2147" s="13"/>
      <c r="S2147" s="13"/>
      <c r="T2147" s="13"/>
      <c r="U2147" s="13"/>
      <c r="V2147" s="23">
        <v>-4.4702452062606808</v>
      </c>
      <c r="W2147" s="23">
        <v>-33.24138098144531</v>
      </c>
      <c r="X2147" s="23">
        <f t="shared" si="115"/>
        <v>2.520580668640136</v>
      </c>
      <c r="Y2147" s="13"/>
    </row>
    <row r="2148" spans="1:25" x14ac:dyDescent="0.35">
      <c r="A2148" s="13"/>
      <c r="B2148" s="13" t="s">
        <v>2677</v>
      </c>
      <c r="C2148" s="13"/>
      <c r="D2148" s="13" t="s">
        <v>2995</v>
      </c>
      <c r="E2148" s="13">
        <v>1</v>
      </c>
      <c r="F2148" s="13">
        <v>5</v>
      </c>
      <c r="G2148" s="13"/>
      <c r="H2148" s="13"/>
      <c r="I2148" s="13"/>
      <c r="J2148" s="13"/>
      <c r="K2148" s="13" t="s">
        <v>29</v>
      </c>
      <c r="L2148" s="22"/>
      <c r="M2148" s="13"/>
      <c r="N2148" s="13"/>
      <c r="O2148" s="13"/>
      <c r="P2148" s="13"/>
      <c r="Q2148" s="13"/>
      <c r="R2148" s="13"/>
      <c r="S2148" s="13"/>
      <c r="T2148" s="13"/>
      <c r="U2148" s="13"/>
      <c r="V2148" s="23">
        <v>-4.3735958456039441</v>
      </c>
      <c r="W2148" s="23">
        <v>-33.03910144042969</v>
      </c>
      <c r="X2148" s="23">
        <f t="shared" si="115"/>
        <v>1.9496653244018631</v>
      </c>
      <c r="Y2148" s="13"/>
    </row>
    <row r="2149" spans="1:25" x14ac:dyDescent="0.35">
      <c r="A2149" s="13"/>
      <c r="B2149" s="13" t="s">
        <v>2678</v>
      </c>
      <c r="C2149" s="13"/>
      <c r="D2149" s="13" t="s">
        <v>2996</v>
      </c>
      <c r="E2149" s="13">
        <v>1</v>
      </c>
      <c r="F2149" s="13">
        <v>5</v>
      </c>
      <c r="G2149" s="13"/>
      <c r="H2149" s="13"/>
      <c r="I2149" s="13"/>
      <c r="J2149" s="13"/>
      <c r="K2149" s="13" t="s">
        <v>29</v>
      </c>
      <c r="L2149" s="22"/>
      <c r="M2149" s="13"/>
      <c r="N2149" s="13"/>
      <c r="O2149" s="13"/>
      <c r="P2149" s="13"/>
      <c r="Q2149" s="13"/>
      <c r="R2149" s="13"/>
      <c r="S2149" s="13"/>
      <c r="T2149" s="13"/>
      <c r="U2149" s="13"/>
      <c r="V2149" s="23">
        <v>-2.6546592864990237</v>
      </c>
      <c r="W2149" s="23">
        <v>-20.664740728759764</v>
      </c>
      <c r="X2149" s="23">
        <f t="shared" si="115"/>
        <v>0.57253356323242599</v>
      </c>
      <c r="Y2149" s="13"/>
    </row>
    <row r="2150" spans="1:25" x14ac:dyDescent="0.35">
      <c r="A2150" s="13"/>
      <c r="B2150" s="13" t="s">
        <v>2679</v>
      </c>
      <c r="C2150" s="13"/>
      <c r="D2150" s="13" t="s">
        <v>2997</v>
      </c>
      <c r="E2150" s="13">
        <v>1</v>
      </c>
      <c r="F2150" s="13">
        <v>5</v>
      </c>
      <c r="G2150" s="13"/>
      <c r="H2150" s="13"/>
      <c r="I2150" s="13"/>
      <c r="J2150" s="13"/>
      <c r="K2150" s="13" t="s">
        <v>29</v>
      </c>
      <c r="L2150" s="22"/>
      <c r="M2150" s="13"/>
      <c r="N2150" s="13"/>
      <c r="O2150" s="13"/>
      <c r="P2150" s="13"/>
      <c r="Q2150" s="13"/>
      <c r="R2150" s="13"/>
      <c r="S2150" s="13"/>
      <c r="T2150" s="13"/>
      <c r="U2150" s="13"/>
      <c r="V2150" s="23">
        <v>-2.4140345821380613</v>
      </c>
      <c r="W2150" s="23">
        <v>-18.158405462646481</v>
      </c>
      <c r="X2150" s="23">
        <f t="shared" si="115"/>
        <v>1.1538711944580093</v>
      </c>
      <c r="Y2150" s="13"/>
    </row>
    <row r="2151" spans="1:25" x14ac:dyDescent="0.35">
      <c r="A2151" s="13"/>
      <c r="B2151" s="13" t="s">
        <v>2680</v>
      </c>
      <c r="C2151" s="13"/>
      <c r="D2151" s="13" t="s">
        <v>2998</v>
      </c>
      <c r="E2151" s="13">
        <v>1</v>
      </c>
      <c r="F2151" s="13">
        <v>5</v>
      </c>
      <c r="G2151" s="13"/>
      <c r="H2151" s="13"/>
      <c r="I2151" s="13"/>
      <c r="J2151" s="13"/>
      <c r="K2151" s="13" t="s">
        <v>29</v>
      </c>
      <c r="L2151" s="22"/>
      <c r="M2151" s="13"/>
      <c r="N2151" s="13"/>
      <c r="O2151" s="13"/>
      <c r="P2151" s="13"/>
      <c r="Q2151" s="13"/>
      <c r="R2151" s="13"/>
      <c r="S2151" s="13"/>
      <c r="T2151" s="13"/>
      <c r="U2151" s="13"/>
      <c r="V2151" s="23">
        <v>-1.7546881917715069</v>
      </c>
      <c r="W2151" s="23">
        <v>-13.580393438720703</v>
      </c>
      <c r="X2151" s="23">
        <f t="shared" si="115"/>
        <v>0.45711209545135212</v>
      </c>
      <c r="Y2151" s="13"/>
    </row>
    <row r="2152" spans="1:25" x14ac:dyDescent="0.35">
      <c r="A2152" s="13"/>
      <c r="B2152" s="13" t="s">
        <v>2681</v>
      </c>
      <c r="C2152" s="13"/>
      <c r="D2152" s="13" t="s">
        <v>2999</v>
      </c>
      <c r="E2152" s="13">
        <v>1</v>
      </c>
      <c r="F2152" s="13">
        <v>5</v>
      </c>
      <c r="G2152" s="13"/>
      <c r="H2152" s="13"/>
      <c r="I2152" s="13"/>
      <c r="J2152" s="13"/>
      <c r="K2152" s="13" t="s">
        <v>29</v>
      </c>
      <c r="L2152" s="22"/>
      <c r="M2152" s="13"/>
      <c r="N2152" s="13"/>
      <c r="O2152" s="13"/>
      <c r="P2152" s="13"/>
      <c r="Q2152" s="13"/>
      <c r="R2152" s="13"/>
      <c r="S2152" s="13"/>
      <c r="T2152" s="13"/>
      <c r="U2152" s="13"/>
      <c r="V2152" s="23">
        <v>-1.6631989667415621</v>
      </c>
      <c r="W2152" s="23">
        <v>-12.188547979736327</v>
      </c>
      <c r="X2152" s="23">
        <f t="shared" si="115"/>
        <v>1.1170437541961693</v>
      </c>
      <c r="Y2152" s="13"/>
    </row>
    <row r="2153" spans="1:25" x14ac:dyDescent="0.35">
      <c r="A2153" s="13"/>
      <c r="B2153" s="13" t="s">
        <v>2682</v>
      </c>
      <c r="C2153" s="13"/>
      <c r="D2153" s="13" t="s">
        <v>3000</v>
      </c>
      <c r="E2153" s="13">
        <v>1</v>
      </c>
      <c r="F2153" s="13">
        <v>5</v>
      </c>
      <c r="G2153" s="13"/>
      <c r="H2153" s="13"/>
      <c r="I2153" s="13"/>
      <c r="J2153" s="13"/>
      <c r="K2153" s="13" t="s">
        <v>29</v>
      </c>
      <c r="L2153" s="22"/>
      <c r="M2153" s="13"/>
      <c r="N2153" s="13"/>
      <c r="O2153" s="13"/>
      <c r="P2153" s="13"/>
      <c r="Q2153" s="13"/>
      <c r="R2153" s="13"/>
      <c r="S2153" s="13"/>
      <c r="T2153" s="13"/>
      <c r="U2153" s="13"/>
      <c r="V2153" s="23">
        <v>-1.4608356539010998</v>
      </c>
      <c r="W2153" s="23">
        <v>-11.102181875610352</v>
      </c>
      <c r="X2153" s="23">
        <f t="shared" si="115"/>
        <v>0.58450335559844646</v>
      </c>
      <c r="Y2153" s="13"/>
    </row>
    <row r="2154" spans="1:25" x14ac:dyDescent="0.35">
      <c r="A2154" s="13"/>
      <c r="B2154" s="13" t="s">
        <v>2683</v>
      </c>
      <c r="C2154" s="13"/>
      <c r="D2154" s="13" t="s">
        <v>3001</v>
      </c>
      <c r="E2154" s="13">
        <v>1</v>
      </c>
      <c r="F2154" s="13">
        <v>5</v>
      </c>
      <c r="G2154" s="13"/>
      <c r="H2154" s="13"/>
      <c r="I2154" s="13"/>
      <c r="J2154" s="13"/>
      <c r="K2154" s="13" t="s">
        <v>29</v>
      </c>
      <c r="L2154" s="22"/>
      <c r="M2154" s="13"/>
      <c r="N2154" s="13"/>
      <c r="O2154" s="13"/>
      <c r="P2154" s="13"/>
      <c r="Q2154" s="13"/>
      <c r="R2154" s="13"/>
      <c r="S2154" s="13"/>
      <c r="T2154" s="13"/>
      <c r="U2154" s="13"/>
      <c r="V2154" s="23">
        <v>-2.1834040389060974</v>
      </c>
      <c r="W2154" s="23">
        <v>-16.888667974853515</v>
      </c>
      <c r="X2154" s="23">
        <f t="shared" si="115"/>
        <v>0.57856433639526372</v>
      </c>
      <c r="Y2154" s="13"/>
    </row>
    <row r="2155" spans="1:25" x14ac:dyDescent="0.35">
      <c r="A2155" s="13"/>
      <c r="B2155" s="13" t="s">
        <v>2684</v>
      </c>
      <c r="C2155" s="13"/>
      <c r="D2155" s="13" t="s">
        <v>3002</v>
      </c>
      <c r="E2155" s="13">
        <v>1</v>
      </c>
      <c r="F2155" s="13">
        <v>5</v>
      </c>
      <c r="G2155" s="13"/>
      <c r="H2155" s="13"/>
      <c r="I2155" s="13"/>
      <c r="J2155" s="13"/>
      <c r="K2155" s="13" t="s">
        <v>29</v>
      </c>
      <c r="L2155" s="22"/>
      <c r="M2155" s="13"/>
      <c r="N2155" s="13"/>
      <c r="O2155" s="13"/>
      <c r="P2155" s="13"/>
      <c r="Q2155" s="13"/>
      <c r="R2155" s="13"/>
      <c r="S2155" s="13"/>
      <c r="T2155" s="13"/>
      <c r="U2155" s="13"/>
      <c r="V2155" s="23">
        <v>-3.254439302444458</v>
      </c>
      <c r="W2155" s="23">
        <v>-24.021669317626952</v>
      </c>
      <c r="X2155" s="23">
        <f t="shared" si="115"/>
        <v>2.0138451019287125</v>
      </c>
      <c r="Y2155" s="13"/>
    </row>
    <row r="2156" spans="1:25" x14ac:dyDescent="0.35">
      <c r="A2156" s="13"/>
      <c r="B2156" s="13" t="s">
        <v>2685</v>
      </c>
      <c r="C2156" s="13"/>
      <c r="D2156" s="13" t="s">
        <v>3003</v>
      </c>
      <c r="E2156" s="13">
        <v>1</v>
      </c>
      <c r="F2156" s="13">
        <v>5</v>
      </c>
      <c r="G2156" s="13"/>
      <c r="H2156" s="13"/>
      <c r="I2156" s="13"/>
      <c r="J2156" s="13"/>
      <c r="K2156" s="13" t="s">
        <v>29</v>
      </c>
      <c r="L2156" s="22"/>
      <c r="M2156" s="13"/>
      <c r="N2156" s="13"/>
      <c r="O2156" s="13"/>
      <c r="P2156" s="13"/>
      <c r="Q2156" s="13"/>
      <c r="R2156" s="13"/>
      <c r="S2156" s="13"/>
      <c r="T2156" s="13"/>
      <c r="U2156" s="13"/>
      <c r="V2156" s="23">
        <v>-1.6941379759311679</v>
      </c>
      <c r="W2156" s="23">
        <v>-12.873581442260743</v>
      </c>
      <c r="X2156" s="23">
        <f t="shared" si="115"/>
        <v>0.67952236518859976</v>
      </c>
      <c r="Y2156" s="13"/>
    </row>
    <row r="2157" spans="1:25" x14ac:dyDescent="0.35">
      <c r="A2157" s="13"/>
      <c r="B2157" s="13" t="s">
        <v>2686</v>
      </c>
      <c r="C2157" s="13"/>
      <c r="D2157" s="13" t="s">
        <v>3004</v>
      </c>
      <c r="E2157" s="13">
        <v>1</v>
      </c>
      <c r="F2157" s="13">
        <v>7</v>
      </c>
      <c r="G2157" s="13"/>
      <c r="H2157" s="13"/>
      <c r="I2157" s="13"/>
      <c r="J2157" s="13"/>
      <c r="K2157" s="13" t="s">
        <v>29</v>
      </c>
      <c r="L2157" s="22"/>
      <c r="M2157" s="13"/>
      <c r="N2157" s="13"/>
      <c r="O2157" s="13"/>
      <c r="P2157" s="13"/>
      <c r="Q2157" s="13"/>
      <c r="R2157" s="13"/>
      <c r="S2157" s="13"/>
      <c r="T2157" s="13"/>
      <c r="U2157" s="13"/>
      <c r="V2157" s="23">
        <v>-4.716859909057618</v>
      </c>
      <c r="W2157" s="23">
        <v>-35.642342443847653</v>
      </c>
      <c r="X2157" s="23">
        <f t="shared" si="115"/>
        <v>2.0925368286132908</v>
      </c>
      <c r="Y2157" s="13"/>
    </row>
    <row r="2158" spans="1:25" x14ac:dyDescent="0.35">
      <c r="A2158" s="13"/>
      <c r="B2158" s="13" t="s">
        <v>2687</v>
      </c>
      <c r="C2158" s="13"/>
      <c r="D2158" s="13" t="s">
        <v>3005</v>
      </c>
      <c r="E2158" s="13">
        <v>1</v>
      </c>
      <c r="F2158" s="13">
        <v>7</v>
      </c>
      <c r="G2158" s="13"/>
      <c r="H2158" s="13"/>
      <c r="I2158" s="13"/>
      <c r="J2158" s="13"/>
      <c r="K2158" s="13" t="s">
        <v>29</v>
      </c>
      <c r="L2158" s="22"/>
      <c r="M2158" s="13"/>
      <c r="N2158" s="13"/>
      <c r="O2158" s="13"/>
      <c r="P2158" s="13"/>
      <c r="Q2158" s="13"/>
      <c r="R2158" s="13"/>
      <c r="S2158" s="13"/>
      <c r="T2158" s="13"/>
      <c r="U2158" s="13"/>
      <c r="V2158" s="23">
        <v>-3.8346515128612522</v>
      </c>
      <c r="W2158" s="23">
        <v>-29.323179541015623</v>
      </c>
      <c r="X2158" s="23">
        <f t="shared" si="115"/>
        <v>1.3540325618743942</v>
      </c>
      <c r="Y2158" s="13"/>
    </row>
    <row r="2159" spans="1:25" x14ac:dyDescent="0.35">
      <c r="A2159" s="13"/>
      <c r="B2159" s="13" t="s">
        <v>2688</v>
      </c>
      <c r="C2159" s="13"/>
      <c r="D2159" s="13" t="s">
        <v>3006</v>
      </c>
      <c r="E2159" s="13">
        <v>1</v>
      </c>
      <c r="F2159" s="13">
        <v>7</v>
      </c>
      <c r="G2159" s="13"/>
      <c r="H2159" s="13"/>
      <c r="I2159" s="13"/>
      <c r="J2159" s="13"/>
      <c r="K2159" s="13" t="s">
        <v>29</v>
      </c>
      <c r="L2159" s="22"/>
      <c r="M2159" s="13"/>
      <c r="N2159" s="13"/>
      <c r="O2159" s="13"/>
      <c r="P2159" s="13"/>
      <c r="Q2159" s="13"/>
      <c r="R2159" s="13"/>
      <c r="S2159" s="13"/>
      <c r="T2159" s="13"/>
      <c r="U2159" s="13"/>
      <c r="V2159" s="23">
        <v>-3.8450382967853547</v>
      </c>
      <c r="W2159" s="23">
        <v>-29.180727133369444</v>
      </c>
      <c r="X2159" s="23">
        <f t="shared" si="115"/>
        <v>1.5795792409133931</v>
      </c>
      <c r="Y2159" s="13"/>
    </row>
    <row r="2160" spans="1:25" x14ac:dyDescent="0.35">
      <c r="A2160" s="13"/>
      <c r="B2160" s="13" t="s">
        <v>2689</v>
      </c>
      <c r="C2160" s="13"/>
      <c r="D2160" s="13" t="s">
        <v>3007</v>
      </c>
      <c r="E2160" s="13">
        <v>1</v>
      </c>
      <c r="F2160" s="13">
        <v>7</v>
      </c>
      <c r="G2160" s="13"/>
      <c r="H2160" s="13"/>
      <c r="I2160" s="13"/>
      <c r="J2160" s="13"/>
      <c r="K2160" s="13" t="s">
        <v>29</v>
      </c>
      <c r="L2160" s="22"/>
      <c r="M2160" s="13"/>
      <c r="N2160" s="13"/>
      <c r="O2160" s="13"/>
      <c r="P2160" s="13"/>
      <c r="Q2160" s="13"/>
      <c r="R2160" s="13"/>
      <c r="S2160" s="13"/>
      <c r="T2160" s="13"/>
      <c r="U2160" s="13"/>
      <c r="V2160" s="23">
        <v>-3.4040831397438049</v>
      </c>
      <c r="W2160" s="23">
        <v>-25.863561127281191</v>
      </c>
      <c r="X2160" s="23">
        <f t="shared" si="115"/>
        <v>1.3691039906692488</v>
      </c>
      <c r="Y2160" s="13"/>
    </row>
    <row r="2161" spans="1:25" x14ac:dyDescent="0.35">
      <c r="A2161" s="13"/>
      <c r="B2161" s="13" t="s">
        <v>2690</v>
      </c>
      <c r="C2161" s="13"/>
      <c r="D2161" s="13" t="s">
        <v>3008</v>
      </c>
      <c r="E2161" s="13">
        <v>1</v>
      </c>
      <c r="F2161" s="13">
        <v>7</v>
      </c>
      <c r="G2161" s="13"/>
      <c r="H2161" s="13"/>
      <c r="I2161" s="13"/>
      <c r="J2161" s="13"/>
      <c r="K2161" s="13" t="s">
        <v>29</v>
      </c>
      <c r="L2161" s="22"/>
      <c r="M2161" s="13"/>
      <c r="N2161" s="13"/>
      <c r="O2161" s="13"/>
      <c r="P2161" s="13"/>
      <c r="Q2161" s="13"/>
      <c r="R2161" s="13"/>
      <c r="S2161" s="13"/>
      <c r="T2161" s="13"/>
      <c r="U2161" s="13"/>
      <c r="V2161" s="23">
        <v>-3.3175853615665436</v>
      </c>
      <c r="W2161" s="23">
        <v>-25.06160065422058</v>
      </c>
      <c r="X2161" s="23">
        <f t="shared" si="115"/>
        <v>1.4790822383117685</v>
      </c>
      <c r="Y2161" s="13"/>
    </row>
    <row r="2162" spans="1:25" x14ac:dyDescent="0.35">
      <c r="A2162" s="13"/>
      <c r="B2162" s="13" t="s">
        <v>2691</v>
      </c>
      <c r="C2162" s="13"/>
      <c r="D2162" s="13" t="s">
        <v>3009</v>
      </c>
      <c r="E2162" s="13">
        <v>1</v>
      </c>
      <c r="F2162" s="13">
        <v>7</v>
      </c>
      <c r="G2162" s="13"/>
      <c r="H2162" s="13"/>
      <c r="I2162" s="13"/>
      <c r="J2162" s="13"/>
      <c r="K2162" s="13" t="s">
        <v>29</v>
      </c>
      <c r="L2162" s="22"/>
      <c r="M2162" s="13"/>
      <c r="N2162" s="13"/>
      <c r="O2162" s="13"/>
      <c r="P2162" s="13"/>
      <c r="Q2162" s="13"/>
      <c r="R2162" s="13"/>
      <c r="S2162" s="13"/>
      <c r="T2162" s="13"/>
      <c r="U2162" s="13"/>
      <c r="V2162" s="23">
        <v>-3.7132982693481442</v>
      </c>
      <c r="W2162" s="23">
        <v>-28.87850822944641</v>
      </c>
      <c r="X2162" s="23">
        <f t="shared" si="115"/>
        <v>0.82787792533874338</v>
      </c>
      <c r="Y2162" s="13"/>
    </row>
    <row r="2163" spans="1:25" x14ac:dyDescent="0.35">
      <c r="A2163" s="13"/>
      <c r="B2163" s="13" t="s">
        <v>2692</v>
      </c>
      <c r="C2163" s="13"/>
      <c r="D2163" s="13" t="s">
        <v>3010</v>
      </c>
      <c r="E2163" s="13">
        <v>1</v>
      </c>
      <c r="F2163" s="13">
        <v>7</v>
      </c>
      <c r="G2163" s="13"/>
      <c r="H2163" s="13"/>
      <c r="I2163" s="13"/>
      <c r="J2163" s="13"/>
      <c r="K2163" s="13" t="s">
        <v>29</v>
      </c>
      <c r="L2163" s="22"/>
      <c r="M2163" s="13"/>
      <c r="N2163" s="13"/>
      <c r="O2163" s="13"/>
      <c r="P2163" s="13"/>
      <c r="Q2163" s="13"/>
      <c r="R2163" s="13"/>
      <c r="S2163" s="13"/>
      <c r="T2163" s="13"/>
      <c r="U2163" s="13"/>
      <c r="V2163" s="23">
        <v>-4.2762401257324214</v>
      </c>
      <c r="W2163" s="23">
        <v>-32.250398024749757</v>
      </c>
      <c r="X2163" s="23">
        <f t="shared" si="115"/>
        <v>1.9595229811096146</v>
      </c>
      <c r="Y2163" s="13"/>
    </row>
    <row r="2164" spans="1:25" x14ac:dyDescent="0.35">
      <c r="A2164" s="13"/>
      <c r="B2164" s="13" t="s">
        <v>2693</v>
      </c>
      <c r="C2164" s="13"/>
      <c r="D2164" s="13" t="s">
        <v>3011</v>
      </c>
      <c r="E2164" s="13">
        <v>1</v>
      </c>
      <c r="F2164" s="13">
        <v>7</v>
      </c>
      <c r="G2164" s="13"/>
      <c r="H2164" s="13"/>
      <c r="I2164" s="13"/>
      <c r="J2164" s="13"/>
      <c r="K2164" s="13" t="s">
        <v>29</v>
      </c>
      <c r="L2164" s="22"/>
      <c r="M2164" s="13"/>
      <c r="N2164" s="13"/>
      <c r="O2164" s="13"/>
      <c r="P2164" s="13"/>
      <c r="Q2164" s="13"/>
      <c r="R2164" s="13"/>
      <c r="S2164" s="13"/>
      <c r="T2164" s="13"/>
      <c r="U2164" s="13"/>
      <c r="V2164" s="23">
        <v>-3.5599715290832523</v>
      </c>
      <c r="W2164" s="23">
        <v>-27.684500567626955</v>
      </c>
      <c r="X2164" s="23">
        <f t="shared" si="115"/>
        <v>0.79527166503906344</v>
      </c>
      <c r="Y2164" s="13"/>
    </row>
    <row r="2165" spans="1:25" x14ac:dyDescent="0.35">
      <c r="A2165" s="13"/>
      <c r="B2165" s="13" t="s">
        <v>2694</v>
      </c>
      <c r="C2165" s="13"/>
      <c r="D2165" s="13" t="s">
        <v>3012</v>
      </c>
      <c r="E2165" s="13">
        <v>1</v>
      </c>
      <c r="F2165" s="13">
        <v>7</v>
      </c>
      <c r="G2165" s="13"/>
      <c r="H2165" s="13"/>
      <c r="I2165" s="13"/>
      <c r="J2165" s="13"/>
      <c r="K2165" s="13" t="s">
        <v>29</v>
      </c>
      <c r="L2165" s="22"/>
      <c r="M2165" s="13"/>
      <c r="N2165" s="13"/>
      <c r="O2165" s="13"/>
      <c r="P2165" s="13"/>
      <c r="Q2165" s="13"/>
      <c r="R2165" s="13"/>
      <c r="S2165" s="13"/>
      <c r="T2165" s="13"/>
      <c r="U2165" s="13"/>
      <c r="V2165" s="23">
        <v>-2.9690920239257812</v>
      </c>
      <c r="W2165" s="23">
        <v>-22.948805237960816</v>
      </c>
      <c r="X2165" s="23">
        <f t="shared" si="115"/>
        <v>0.80393095344543397</v>
      </c>
      <c r="Y2165" s="13"/>
    </row>
    <row r="2166" spans="1:25" x14ac:dyDescent="0.35">
      <c r="A2166" s="13"/>
      <c r="B2166" s="13" t="s">
        <v>2695</v>
      </c>
      <c r="C2166" s="13"/>
      <c r="D2166" s="13" t="s">
        <v>3013</v>
      </c>
      <c r="E2166" s="13">
        <v>1</v>
      </c>
      <c r="F2166" s="13">
        <v>7</v>
      </c>
      <c r="G2166" s="13"/>
      <c r="H2166" s="13"/>
      <c r="I2166" s="13"/>
      <c r="J2166" s="13"/>
      <c r="K2166" s="13" t="s">
        <v>29</v>
      </c>
      <c r="L2166" s="22"/>
      <c r="M2166" s="13"/>
      <c r="N2166" s="13"/>
      <c r="O2166" s="13"/>
      <c r="P2166" s="13"/>
      <c r="Q2166" s="13"/>
      <c r="R2166" s="13"/>
      <c r="S2166" s="13"/>
      <c r="T2166" s="13"/>
      <c r="U2166" s="13"/>
      <c r="V2166" s="23">
        <v>-2.8463606968688957</v>
      </c>
      <c r="W2166" s="23">
        <v>-22.232677670669556</v>
      </c>
      <c r="X2166" s="23">
        <f t="shared" si="115"/>
        <v>0.53820790428160947</v>
      </c>
      <c r="Y2166" s="13"/>
    </row>
    <row r="2167" spans="1:25" x14ac:dyDescent="0.35">
      <c r="A2167" s="13"/>
      <c r="B2167" s="13" t="s">
        <v>2696</v>
      </c>
      <c r="C2167" s="13"/>
      <c r="D2167" s="13" t="s">
        <v>3014</v>
      </c>
      <c r="E2167" s="13">
        <v>1</v>
      </c>
      <c r="F2167" s="13">
        <v>7</v>
      </c>
      <c r="G2167" s="13"/>
      <c r="H2167" s="13"/>
      <c r="I2167" s="13"/>
      <c r="J2167" s="13"/>
      <c r="K2167" s="13" t="s">
        <v>29</v>
      </c>
      <c r="L2167" s="22"/>
      <c r="M2167" s="13"/>
      <c r="N2167" s="13"/>
      <c r="O2167" s="13"/>
      <c r="P2167" s="13"/>
      <c r="Q2167" s="13"/>
      <c r="R2167" s="13"/>
      <c r="S2167" s="13"/>
      <c r="T2167" s="13"/>
      <c r="U2167" s="13"/>
      <c r="V2167" s="23">
        <v>-3.0948656369018552</v>
      </c>
      <c r="W2167" s="23">
        <v>-25.927840216827395</v>
      </c>
      <c r="X2167" s="23">
        <f t="shared" si="115"/>
        <v>-1.1689151216125531</v>
      </c>
      <c r="Y2167" s="13"/>
    </row>
    <row r="2168" spans="1:25" x14ac:dyDescent="0.35">
      <c r="A2168" s="13"/>
      <c r="B2168" s="13" t="s">
        <v>2697</v>
      </c>
      <c r="C2168" s="13"/>
      <c r="D2168" s="13" t="s">
        <v>3015</v>
      </c>
      <c r="E2168" s="13">
        <v>1</v>
      </c>
      <c r="F2168" s="13">
        <v>7</v>
      </c>
      <c r="G2168" s="13"/>
      <c r="H2168" s="13"/>
      <c r="I2168" s="13"/>
      <c r="J2168" s="13"/>
      <c r="K2168" s="13" t="s">
        <v>29</v>
      </c>
      <c r="L2168" s="22"/>
      <c r="M2168" s="13"/>
      <c r="N2168" s="13"/>
      <c r="O2168" s="13"/>
      <c r="P2168" s="13"/>
      <c r="Q2168" s="13"/>
      <c r="R2168" s="13"/>
      <c r="S2168" s="13"/>
      <c r="T2168" s="13"/>
      <c r="U2168" s="13"/>
      <c r="V2168" s="23">
        <v>-3.9346893978881838</v>
      </c>
      <c r="W2168" s="23">
        <v>-31.537931603622436</v>
      </c>
      <c r="X2168" s="23">
        <f t="shared" si="115"/>
        <v>-6.0416420516965275E-2</v>
      </c>
      <c r="Y2168" s="13"/>
    </row>
    <row r="2169" spans="1:25" x14ac:dyDescent="0.35">
      <c r="A2169" s="13"/>
      <c r="B2169" s="13" t="s">
        <v>2698</v>
      </c>
      <c r="C2169" s="13"/>
      <c r="D2169" s="13" t="s">
        <v>3016</v>
      </c>
      <c r="E2169" s="13">
        <v>1</v>
      </c>
      <c r="F2169" s="13">
        <v>7</v>
      </c>
      <c r="G2169" s="13"/>
      <c r="H2169" s="13"/>
      <c r="I2169" s="13"/>
      <c r="J2169" s="13"/>
      <c r="K2169" s="13" t="s">
        <v>29</v>
      </c>
      <c r="L2169" s="22"/>
      <c r="M2169" s="13"/>
      <c r="N2169" s="13"/>
      <c r="O2169" s="13"/>
      <c r="P2169" s="13"/>
      <c r="Q2169" s="13"/>
      <c r="R2169" s="13"/>
      <c r="S2169" s="13"/>
      <c r="T2169" s="13"/>
      <c r="U2169" s="13"/>
      <c r="V2169" s="23">
        <v>-4.5109491558837886</v>
      </c>
      <c r="W2169" s="23">
        <v>-37.530036387634276</v>
      </c>
      <c r="X2169" s="23">
        <f t="shared" si="115"/>
        <v>-1.4424431405639666</v>
      </c>
      <c r="Y2169" s="13"/>
    </row>
    <row r="2170" spans="1:25" x14ac:dyDescent="0.35">
      <c r="A2170" s="13"/>
      <c r="B2170" s="13" t="s">
        <v>2699</v>
      </c>
      <c r="C2170" s="13"/>
      <c r="D2170" s="13" t="s">
        <v>3017</v>
      </c>
      <c r="E2170" s="13">
        <v>1</v>
      </c>
      <c r="F2170" s="13">
        <v>7</v>
      </c>
      <c r="G2170" s="13"/>
      <c r="H2170" s="13"/>
      <c r="I2170" s="13"/>
      <c r="J2170" s="13"/>
      <c r="K2170" s="13" t="s">
        <v>29</v>
      </c>
      <c r="L2170" s="22"/>
      <c r="M2170" s="13"/>
      <c r="N2170" s="13"/>
      <c r="O2170" s="13"/>
      <c r="P2170" s="13"/>
      <c r="Q2170" s="13"/>
      <c r="R2170" s="13"/>
      <c r="S2170" s="13"/>
      <c r="T2170" s="13"/>
      <c r="U2170" s="13"/>
      <c r="V2170" s="23">
        <v>-2.982545229034423</v>
      </c>
      <c r="W2170" s="23">
        <v>-23.00140770072937</v>
      </c>
      <c r="X2170" s="23">
        <f t="shared" si="115"/>
        <v>0.85895413154601385</v>
      </c>
      <c r="Y2170" s="13"/>
    </row>
    <row r="2171" spans="1:25" x14ac:dyDescent="0.35">
      <c r="A2171" s="13"/>
      <c r="B2171" s="13" t="s">
        <v>2700</v>
      </c>
      <c r="C2171" s="13"/>
      <c r="D2171" s="13" t="s">
        <v>3018</v>
      </c>
      <c r="E2171" s="13">
        <v>1</v>
      </c>
      <c r="F2171" s="13">
        <v>7</v>
      </c>
      <c r="G2171" s="13"/>
      <c r="H2171" s="13"/>
      <c r="I2171" s="13"/>
      <c r="J2171" s="13"/>
      <c r="K2171" s="13" t="s">
        <v>29</v>
      </c>
      <c r="L2171" s="22"/>
      <c r="M2171" s="13"/>
      <c r="N2171" s="13"/>
      <c r="O2171" s="13"/>
      <c r="P2171" s="13"/>
      <c r="Q2171" s="13"/>
      <c r="R2171" s="13"/>
      <c r="S2171" s="13"/>
      <c r="T2171" s="13"/>
      <c r="U2171" s="13"/>
      <c r="V2171" s="23">
        <v>0.9433933514785765</v>
      </c>
      <c r="W2171" s="23">
        <v>6.9257149465560932</v>
      </c>
      <c r="X2171" s="23">
        <f t="shared" si="115"/>
        <v>-0.62143186527251881</v>
      </c>
      <c r="Y2171" s="13"/>
    </row>
    <row r="2172" spans="1:25" x14ac:dyDescent="0.35">
      <c r="A2172" s="13"/>
      <c r="B2172" s="13" t="s">
        <v>2701</v>
      </c>
      <c r="C2172" s="13"/>
      <c r="D2172" s="13" t="s">
        <v>3019</v>
      </c>
      <c r="E2172" s="13">
        <v>1</v>
      </c>
      <c r="F2172" s="13">
        <v>7</v>
      </c>
      <c r="G2172" s="13"/>
      <c r="H2172" s="13"/>
      <c r="I2172" s="13"/>
      <c r="J2172" s="13"/>
      <c r="K2172" s="13" t="s">
        <v>29</v>
      </c>
      <c r="L2172" s="22"/>
      <c r="M2172" s="13"/>
      <c r="N2172" s="13"/>
      <c r="O2172" s="13"/>
      <c r="P2172" s="13"/>
      <c r="Q2172" s="13"/>
      <c r="R2172" s="13"/>
      <c r="S2172" s="13"/>
      <c r="T2172" s="13"/>
      <c r="U2172" s="13"/>
      <c r="V2172" s="23">
        <v>0.8792534682989116</v>
      </c>
      <c r="W2172" s="23">
        <v>6.0611165070533772</v>
      </c>
      <c r="X2172" s="23">
        <f t="shared" si="115"/>
        <v>-0.97291123933791557</v>
      </c>
      <c r="Y2172" s="13"/>
    </row>
    <row r="2173" spans="1:25" x14ac:dyDescent="0.35">
      <c r="A2173" s="13"/>
      <c r="B2173" s="13" t="s">
        <v>2702</v>
      </c>
      <c r="C2173" s="13"/>
      <c r="D2173" s="13" t="s">
        <v>3020</v>
      </c>
      <c r="E2173" s="13">
        <v>1</v>
      </c>
      <c r="F2173" s="13">
        <v>7</v>
      </c>
      <c r="G2173" s="13"/>
      <c r="H2173" s="13"/>
      <c r="I2173" s="13"/>
      <c r="J2173" s="13"/>
      <c r="K2173" s="13" t="s">
        <v>29</v>
      </c>
      <c r="L2173" s="22"/>
      <c r="M2173" s="13"/>
      <c r="N2173" s="13"/>
      <c r="O2173" s="13"/>
      <c r="P2173" s="13"/>
      <c r="Q2173" s="13"/>
      <c r="R2173" s="13"/>
      <c r="S2173" s="13"/>
      <c r="T2173" s="13"/>
      <c r="U2173" s="13"/>
      <c r="V2173" s="23">
        <v>0.77924898304939261</v>
      </c>
      <c r="W2173" s="23">
        <v>4.8458877825737003</v>
      </c>
      <c r="X2173" s="23">
        <f t="shared" si="115"/>
        <v>-1.3881040818214405</v>
      </c>
      <c r="Y2173" s="13"/>
    </row>
    <row r="2174" spans="1:25" x14ac:dyDescent="0.35">
      <c r="A2174" s="13"/>
      <c r="B2174" s="13" t="s">
        <v>2703</v>
      </c>
      <c r="C2174" s="13"/>
      <c r="D2174" s="13" t="s">
        <v>3021</v>
      </c>
      <c r="E2174" s="13">
        <v>1</v>
      </c>
      <c r="F2174" s="13">
        <v>7</v>
      </c>
      <c r="G2174" s="13"/>
      <c r="H2174" s="13"/>
      <c r="I2174" s="13"/>
      <c r="J2174" s="13"/>
      <c r="K2174" s="13" t="s">
        <v>29</v>
      </c>
      <c r="L2174" s="22"/>
      <c r="M2174" s="13"/>
      <c r="N2174" s="13"/>
      <c r="O2174" s="13"/>
      <c r="P2174" s="13"/>
      <c r="Q2174" s="13"/>
      <c r="R2174" s="13"/>
      <c r="S2174" s="13"/>
      <c r="T2174" s="13"/>
      <c r="U2174" s="13"/>
      <c r="V2174" s="23">
        <v>-24.476538591003418</v>
      </c>
      <c r="W2174" s="23">
        <v>-175.71564079284667</v>
      </c>
      <c r="X2174" s="23">
        <f t="shared" si="115"/>
        <v>20.096667935180676</v>
      </c>
      <c r="Y2174" s="13"/>
    </row>
    <row r="2175" spans="1:25" x14ac:dyDescent="0.35">
      <c r="A2175" s="13"/>
      <c r="B2175" s="13" t="s">
        <v>2704</v>
      </c>
      <c r="C2175" s="13"/>
      <c r="D2175" s="13" t="s">
        <v>3022</v>
      </c>
      <c r="E2175" s="13">
        <v>1</v>
      </c>
      <c r="F2175" s="13">
        <v>7</v>
      </c>
      <c r="G2175" s="13"/>
      <c r="H2175" s="13"/>
      <c r="I2175" s="13"/>
      <c r="J2175" s="13"/>
      <c r="K2175" s="13" t="s">
        <v>29</v>
      </c>
      <c r="L2175" s="22"/>
      <c r="M2175" s="13"/>
      <c r="N2175" s="13"/>
      <c r="O2175" s="13"/>
      <c r="P2175" s="13"/>
      <c r="Q2175" s="13"/>
      <c r="R2175" s="13"/>
      <c r="S2175" s="13"/>
      <c r="T2175" s="13"/>
      <c r="U2175" s="13"/>
      <c r="V2175" s="23">
        <v>-14.79413489303589</v>
      </c>
      <c r="W2175" s="23">
        <v>-106.91523204803465</v>
      </c>
      <c r="X2175" s="23">
        <f t="shared" si="115"/>
        <v>11.437847096252469</v>
      </c>
      <c r="Y2175" s="13"/>
    </row>
    <row r="2176" spans="1:25" x14ac:dyDescent="0.35">
      <c r="A2176" s="13"/>
      <c r="B2176" s="13" t="s">
        <v>2705</v>
      </c>
      <c r="C2176" s="13"/>
      <c r="D2176" s="13" t="s">
        <v>3023</v>
      </c>
      <c r="E2176" s="13">
        <v>1</v>
      </c>
      <c r="F2176" s="13">
        <v>7</v>
      </c>
      <c r="G2176" s="13"/>
      <c r="H2176" s="13"/>
      <c r="I2176" s="13"/>
      <c r="J2176" s="13"/>
      <c r="K2176" s="13" t="s">
        <v>29</v>
      </c>
      <c r="L2176" s="22"/>
      <c r="M2176" s="13"/>
      <c r="N2176" s="13"/>
      <c r="O2176" s="13"/>
      <c r="P2176" s="13"/>
      <c r="Q2176" s="13"/>
      <c r="R2176" s="13"/>
      <c r="S2176" s="13"/>
      <c r="T2176" s="13"/>
      <c r="U2176" s="13"/>
      <c r="V2176" s="23">
        <v>-9.3779682823181165</v>
      </c>
      <c r="W2176" s="23">
        <v>-72.183505210876476</v>
      </c>
      <c r="X2176" s="23">
        <f t="shared" si="115"/>
        <v>2.8402410476684565</v>
      </c>
      <c r="Y2176" s="13"/>
    </row>
    <row r="2177" spans="1:25" x14ac:dyDescent="0.35">
      <c r="A2177" s="13"/>
      <c r="B2177" s="13" t="s">
        <v>2706</v>
      </c>
      <c r="C2177" s="13"/>
      <c r="D2177" s="13" t="s">
        <v>3024</v>
      </c>
      <c r="E2177" s="13">
        <v>1</v>
      </c>
      <c r="F2177" s="13">
        <v>7</v>
      </c>
      <c r="G2177" s="13"/>
      <c r="H2177" s="13"/>
      <c r="I2177" s="13"/>
      <c r="J2177" s="13"/>
      <c r="K2177" s="13" t="s">
        <v>29</v>
      </c>
      <c r="L2177" s="22"/>
      <c r="M2177" s="13"/>
      <c r="N2177" s="13"/>
      <c r="O2177" s="13"/>
      <c r="P2177" s="13"/>
      <c r="Q2177" s="13"/>
      <c r="R2177" s="13"/>
      <c r="S2177" s="13"/>
      <c r="T2177" s="13"/>
      <c r="U2177" s="13"/>
      <c r="V2177" s="23">
        <v>-4.963932237243653</v>
      </c>
      <c r="W2177" s="23">
        <v>-49.865183029174808</v>
      </c>
      <c r="X2177" s="23">
        <f t="shared" si="115"/>
        <v>-10.153725131225585</v>
      </c>
      <c r="Y2177" s="13"/>
    </row>
    <row r="2178" spans="1:25" x14ac:dyDescent="0.35">
      <c r="A2178" s="13"/>
      <c r="B2178" s="13" t="s">
        <v>2707</v>
      </c>
      <c r="C2178" s="13"/>
      <c r="D2178" s="13" t="s">
        <v>3025</v>
      </c>
      <c r="E2178" s="13">
        <v>1</v>
      </c>
      <c r="F2178" s="13">
        <v>9</v>
      </c>
      <c r="G2178" s="13"/>
      <c r="H2178" s="13"/>
      <c r="I2178" s="13"/>
      <c r="J2178" s="13"/>
      <c r="K2178" s="13" t="s">
        <v>29</v>
      </c>
      <c r="L2178" s="22"/>
      <c r="M2178" s="13"/>
      <c r="N2178" s="13"/>
      <c r="O2178" s="13"/>
      <c r="P2178" s="13"/>
      <c r="Q2178" s="13"/>
      <c r="R2178" s="13"/>
      <c r="S2178" s="13"/>
      <c r="T2178" s="13"/>
      <c r="U2178" s="13"/>
      <c r="V2178" s="23">
        <v>-4.2702353378295896</v>
      </c>
      <c r="W2178" s="23">
        <v>-33.966784915924073</v>
      </c>
      <c r="X2178" s="23">
        <f t="shared" si="115"/>
        <v>0.19509778671264399</v>
      </c>
      <c r="Y2178" s="13"/>
    </row>
    <row r="2179" spans="1:25" x14ac:dyDescent="0.35">
      <c r="A2179" s="13"/>
      <c r="B2179" s="13" t="s">
        <v>2708</v>
      </c>
      <c r="C2179" s="13"/>
      <c r="D2179" s="13" t="s">
        <v>3026</v>
      </c>
      <c r="E2179" s="13">
        <v>1</v>
      </c>
      <c r="F2179" s="13">
        <v>9</v>
      </c>
      <c r="G2179" s="13"/>
      <c r="H2179" s="13"/>
      <c r="I2179" s="13"/>
      <c r="J2179" s="13"/>
      <c r="K2179" s="13" t="s">
        <v>29</v>
      </c>
      <c r="L2179" s="22"/>
      <c r="M2179" s="13"/>
      <c r="N2179" s="13"/>
      <c r="O2179" s="13"/>
      <c r="P2179" s="13"/>
      <c r="Q2179" s="13"/>
      <c r="R2179" s="13"/>
      <c r="S2179" s="13"/>
      <c r="T2179" s="13"/>
      <c r="U2179" s="13"/>
      <c r="V2179" s="23">
        <v>-3.4242574187278749</v>
      </c>
      <c r="W2179" s="23">
        <v>-27.09387064933777</v>
      </c>
      <c r="X2179" s="23">
        <f t="shared" si="115"/>
        <v>0.30018870048522928</v>
      </c>
      <c r="Y2179" s="13"/>
    </row>
    <row r="2180" spans="1:25" x14ac:dyDescent="0.35">
      <c r="A2180" s="13"/>
      <c r="B2180" s="13" t="s">
        <v>2709</v>
      </c>
      <c r="C2180" s="13"/>
      <c r="D2180" s="13" t="s">
        <v>3027</v>
      </c>
      <c r="E2180" s="13">
        <v>1</v>
      </c>
      <c r="F2180" s="13">
        <v>9</v>
      </c>
      <c r="G2180" s="13"/>
      <c r="H2180" s="13"/>
      <c r="I2180" s="13"/>
      <c r="J2180" s="13"/>
      <c r="K2180" s="13" t="s">
        <v>29</v>
      </c>
      <c r="L2180" s="22"/>
      <c r="M2180" s="13"/>
      <c r="N2180" s="13"/>
      <c r="O2180" s="13"/>
      <c r="P2180" s="13"/>
      <c r="Q2180" s="13"/>
      <c r="R2180" s="13"/>
      <c r="S2180" s="13"/>
      <c r="T2180" s="13"/>
      <c r="U2180" s="13"/>
      <c r="V2180" s="23">
        <v>-3.595981576061249</v>
      </c>
      <c r="W2180" s="23">
        <v>-28.260752735137942</v>
      </c>
      <c r="X2180" s="23">
        <f t="shared" si="115"/>
        <v>0.50709987335205042</v>
      </c>
      <c r="Y2180" s="13"/>
    </row>
    <row r="2181" spans="1:25" x14ac:dyDescent="0.35">
      <c r="A2181" s="13"/>
      <c r="B2181" s="13" t="s">
        <v>2710</v>
      </c>
      <c r="C2181" s="13"/>
      <c r="D2181" s="13" t="s">
        <v>3028</v>
      </c>
      <c r="E2181" s="13">
        <v>1</v>
      </c>
      <c r="F2181" s="13">
        <v>9</v>
      </c>
      <c r="G2181" s="13"/>
      <c r="H2181" s="13"/>
      <c r="I2181" s="13"/>
      <c r="J2181" s="13"/>
      <c r="K2181" s="13" t="s">
        <v>29</v>
      </c>
      <c r="L2181" s="22"/>
      <c r="M2181" s="13"/>
      <c r="N2181" s="13"/>
      <c r="O2181" s="13"/>
      <c r="P2181" s="13"/>
      <c r="Q2181" s="13"/>
      <c r="R2181" s="13"/>
      <c r="S2181" s="13"/>
      <c r="T2181" s="13"/>
      <c r="U2181" s="13"/>
      <c r="V2181" s="23">
        <v>-3.6690620847702022</v>
      </c>
      <c r="W2181" s="23">
        <v>-27.914524040222169</v>
      </c>
      <c r="X2181" s="23">
        <f t="shared" si="115"/>
        <v>1.4379726379394491</v>
      </c>
      <c r="Y2181" s="13"/>
    </row>
    <row r="2182" spans="1:25" x14ac:dyDescent="0.35">
      <c r="A2182" s="13"/>
      <c r="B2182" s="13" t="s">
        <v>2711</v>
      </c>
      <c r="C2182" s="13"/>
      <c r="D2182" s="13" t="s">
        <v>3029</v>
      </c>
      <c r="E2182" s="13">
        <v>1</v>
      </c>
      <c r="F2182" s="13">
        <v>9</v>
      </c>
      <c r="G2182" s="13"/>
      <c r="H2182" s="13"/>
      <c r="I2182" s="13"/>
      <c r="J2182" s="13"/>
      <c r="K2182" s="13" t="s">
        <v>29</v>
      </c>
      <c r="L2182" s="22"/>
      <c r="M2182" s="13"/>
      <c r="N2182" s="13"/>
      <c r="O2182" s="13"/>
      <c r="P2182" s="13"/>
      <c r="Q2182" s="13"/>
      <c r="R2182" s="13"/>
      <c r="S2182" s="13"/>
      <c r="T2182" s="13"/>
      <c r="U2182" s="13"/>
      <c r="V2182" s="23">
        <v>-3.8983513120317461</v>
      </c>
      <c r="W2182" s="23">
        <v>-29.59075814781189</v>
      </c>
      <c r="X2182" s="23">
        <f t="shared" si="115"/>
        <v>1.596052348442079</v>
      </c>
      <c r="Y2182" s="13"/>
    </row>
    <row r="2183" spans="1:25" x14ac:dyDescent="0.35">
      <c r="A2183" s="13"/>
      <c r="B2183" s="13" t="s">
        <v>2712</v>
      </c>
      <c r="C2183" s="13"/>
      <c r="D2183" s="13" t="s">
        <v>3030</v>
      </c>
      <c r="E2183" s="13">
        <v>1</v>
      </c>
      <c r="F2183" s="13">
        <v>9</v>
      </c>
      <c r="G2183" s="13"/>
      <c r="H2183" s="13"/>
      <c r="I2183" s="13"/>
      <c r="J2183" s="13"/>
      <c r="K2183" s="13" t="s">
        <v>29</v>
      </c>
      <c r="L2183" s="22"/>
      <c r="M2183" s="13"/>
      <c r="N2183" s="13"/>
      <c r="O2183" s="13"/>
      <c r="P2183" s="13"/>
      <c r="Q2183" s="13"/>
      <c r="R2183" s="13"/>
      <c r="S2183" s="13"/>
      <c r="T2183" s="13"/>
      <c r="U2183" s="13"/>
      <c r="V2183" s="23">
        <v>-3.9663075085782999</v>
      </c>
      <c r="W2183" s="23">
        <v>-29.98139701423645</v>
      </c>
      <c r="X2183" s="23">
        <f t="shared" si="115"/>
        <v>1.7490630543899499</v>
      </c>
      <c r="Y2183" s="13"/>
    </row>
    <row r="2184" spans="1:25" x14ac:dyDescent="0.35">
      <c r="A2184" s="13"/>
      <c r="B2184" s="13" t="s">
        <v>2713</v>
      </c>
      <c r="C2184" s="13"/>
      <c r="D2184" s="13" t="s">
        <v>3031</v>
      </c>
      <c r="E2184" s="13">
        <v>1</v>
      </c>
      <c r="F2184" s="13">
        <v>9</v>
      </c>
      <c r="G2184" s="13"/>
      <c r="H2184" s="13"/>
      <c r="I2184" s="13"/>
      <c r="J2184" s="13"/>
      <c r="K2184" s="13" t="s">
        <v>29</v>
      </c>
      <c r="L2184" s="22"/>
      <c r="M2184" s="13"/>
      <c r="N2184" s="13"/>
      <c r="O2184" s="13"/>
      <c r="P2184" s="13"/>
      <c r="Q2184" s="13"/>
      <c r="R2184" s="13"/>
      <c r="S2184" s="13"/>
      <c r="T2184" s="13"/>
      <c r="U2184" s="13"/>
      <c r="V2184" s="23">
        <v>-4.1663174207115166</v>
      </c>
      <c r="W2184" s="23">
        <v>-31.53057593307495</v>
      </c>
      <c r="X2184" s="23">
        <f t="shared" si="115"/>
        <v>1.7999634326171829</v>
      </c>
      <c r="Y2184" s="13"/>
    </row>
    <row r="2185" spans="1:25" x14ac:dyDescent="0.35">
      <c r="A2185" s="13"/>
      <c r="B2185" s="13" t="s">
        <v>2714</v>
      </c>
      <c r="C2185" s="13"/>
      <c r="D2185" s="13" t="s">
        <v>3032</v>
      </c>
      <c r="E2185" s="13">
        <v>1</v>
      </c>
      <c r="F2185" s="13">
        <v>9</v>
      </c>
      <c r="G2185" s="13"/>
      <c r="H2185" s="13"/>
      <c r="I2185" s="13"/>
      <c r="J2185" s="13"/>
      <c r="K2185" s="13" t="s">
        <v>29</v>
      </c>
      <c r="L2185" s="22"/>
      <c r="M2185" s="13"/>
      <c r="N2185" s="13"/>
      <c r="O2185" s="13"/>
      <c r="P2185" s="13"/>
      <c r="Q2185" s="13"/>
      <c r="R2185" s="13"/>
      <c r="S2185" s="13"/>
      <c r="T2185" s="13"/>
      <c r="U2185" s="13"/>
      <c r="V2185" s="23">
        <v>-3.8931466614341734</v>
      </c>
      <c r="W2185" s="23">
        <v>-30.929347828674313</v>
      </c>
      <c r="X2185" s="23">
        <f t="shared" si="115"/>
        <v>0.21582546279907433</v>
      </c>
      <c r="Y2185" s="13"/>
    </row>
    <row r="2186" spans="1:25" x14ac:dyDescent="0.35">
      <c r="A2186" s="13"/>
      <c r="B2186" s="13" t="s">
        <v>2715</v>
      </c>
      <c r="C2186" s="13"/>
      <c r="D2186" s="13" t="s">
        <v>3033</v>
      </c>
      <c r="E2186" s="13">
        <v>1</v>
      </c>
      <c r="F2186" s="13">
        <v>9</v>
      </c>
      <c r="G2186" s="13"/>
      <c r="H2186" s="13"/>
      <c r="I2186" s="13"/>
      <c r="J2186" s="13"/>
      <c r="K2186" s="13" t="s">
        <v>29</v>
      </c>
      <c r="L2186" s="22"/>
      <c r="M2186" s="13"/>
      <c r="N2186" s="13"/>
      <c r="O2186" s="13"/>
      <c r="P2186" s="13"/>
      <c r="Q2186" s="13"/>
      <c r="R2186" s="13"/>
      <c r="S2186" s="13"/>
      <c r="T2186" s="13"/>
      <c r="U2186" s="13"/>
      <c r="V2186" s="23">
        <v>-3.4243712932205201</v>
      </c>
      <c r="W2186" s="23">
        <v>-27.946972966003415</v>
      </c>
      <c r="X2186" s="23">
        <f t="shared" si="115"/>
        <v>-0.55200262023925362</v>
      </c>
      <c r="Y2186" s="13"/>
    </row>
    <row r="2187" spans="1:25" x14ac:dyDescent="0.35">
      <c r="A2187" s="13"/>
      <c r="B2187" s="13" t="s">
        <v>2716</v>
      </c>
      <c r="C2187" s="13"/>
      <c r="D2187" s="13" t="s">
        <v>3034</v>
      </c>
      <c r="E2187" s="13">
        <v>1</v>
      </c>
      <c r="F2187" s="13">
        <v>9</v>
      </c>
      <c r="G2187" s="13"/>
      <c r="H2187" s="13"/>
      <c r="I2187" s="13"/>
      <c r="J2187" s="13"/>
      <c r="K2187" s="13" t="s">
        <v>29</v>
      </c>
      <c r="L2187" s="22"/>
      <c r="M2187" s="13"/>
      <c r="N2187" s="13"/>
      <c r="O2187" s="13"/>
      <c r="P2187" s="13"/>
      <c r="Q2187" s="13"/>
      <c r="R2187" s="13"/>
      <c r="S2187" s="13"/>
      <c r="T2187" s="13"/>
      <c r="U2187" s="13"/>
      <c r="V2187" s="23">
        <v>-3.0393659674262996</v>
      </c>
      <c r="W2187" s="23">
        <v>-22.943127392578127</v>
      </c>
      <c r="X2187" s="23">
        <f t="shared" si="115"/>
        <v>1.3718003468322699</v>
      </c>
      <c r="Y2187" s="13"/>
    </row>
    <row r="2188" spans="1:25" x14ac:dyDescent="0.35">
      <c r="A2188" s="13"/>
      <c r="B2188" s="13" t="s">
        <v>2717</v>
      </c>
      <c r="C2188" s="13"/>
      <c r="D2188" s="13" t="s">
        <v>3035</v>
      </c>
      <c r="E2188" s="13">
        <v>1</v>
      </c>
      <c r="F2188" s="13">
        <v>9</v>
      </c>
      <c r="G2188" s="13"/>
      <c r="H2188" s="13"/>
      <c r="I2188" s="13"/>
      <c r="J2188" s="13"/>
      <c r="K2188" s="13" t="s">
        <v>29</v>
      </c>
      <c r="L2188" s="22"/>
      <c r="M2188" s="13"/>
      <c r="N2188" s="13"/>
      <c r="O2188" s="13"/>
      <c r="P2188" s="13"/>
      <c r="Q2188" s="13"/>
      <c r="R2188" s="13"/>
      <c r="S2188" s="13"/>
      <c r="T2188" s="13"/>
      <c r="U2188" s="13"/>
      <c r="V2188" s="23">
        <v>-3.4536215406990052</v>
      </c>
      <c r="W2188" s="23">
        <v>-27.515445515441893</v>
      </c>
      <c r="X2188" s="23">
        <f t="shared" si="115"/>
        <v>0.11352681015014809</v>
      </c>
      <c r="Y2188" s="13"/>
    </row>
    <row r="2189" spans="1:25" x14ac:dyDescent="0.35">
      <c r="A2189" s="13"/>
      <c r="B2189" s="13" t="s">
        <v>2718</v>
      </c>
      <c r="C2189" s="13"/>
      <c r="D2189" s="13" t="s">
        <v>3036</v>
      </c>
      <c r="E2189" s="13">
        <v>1</v>
      </c>
      <c r="F2189" s="13">
        <v>9</v>
      </c>
      <c r="G2189" s="13"/>
      <c r="H2189" s="13"/>
      <c r="I2189" s="13"/>
      <c r="J2189" s="13"/>
      <c r="K2189" s="13" t="s">
        <v>29</v>
      </c>
      <c r="L2189" s="22"/>
      <c r="M2189" s="13"/>
      <c r="N2189" s="13"/>
      <c r="O2189" s="13"/>
      <c r="P2189" s="13"/>
      <c r="Q2189" s="13"/>
      <c r="R2189" s="13"/>
      <c r="S2189" s="13"/>
      <c r="T2189" s="13"/>
      <c r="U2189" s="13"/>
      <c r="V2189" s="23">
        <v>-2.9126796218490596</v>
      </c>
      <c r="W2189" s="23">
        <v>-23.31499496154785</v>
      </c>
      <c r="X2189" s="23">
        <f t="shared" si="115"/>
        <v>-1.3557986755373008E-2</v>
      </c>
      <c r="Y2189" s="13"/>
    </row>
    <row r="2190" spans="1:25" x14ac:dyDescent="0.35">
      <c r="A2190" s="13"/>
      <c r="B2190" s="13" t="s">
        <v>2719</v>
      </c>
      <c r="C2190" s="13"/>
      <c r="D2190" s="13" t="s">
        <v>3037</v>
      </c>
      <c r="E2190" s="13">
        <v>1</v>
      </c>
      <c r="F2190" s="13">
        <v>9</v>
      </c>
      <c r="G2190" s="13"/>
      <c r="H2190" s="13"/>
      <c r="I2190" s="13"/>
      <c r="J2190" s="13"/>
      <c r="K2190" s="13" t="s">
        <v>29</v>
      </c>
      <c r="L2190" s="22"/>
      <c r="M2190" s="13"/>
      <c r="N2190" s="13"/>
      <c r="O2190" s="13"/>
      <c r="P2190" s="13"/>
      <c r="Q2190" s="13"/>
      <c r="R2190" s="13"/>
      <c r="S2190" s="13"/>
      <c r="T2190" s="13"/>
      <c r="U2190" s="13"/>
      <c r="V2190" s="23">
        <v>-4.1555728971099866</v>
      </c>
      <c r="W2190" s="23">
        <v>-32.505564495849605</v>
      </c>
      <c r="X2190" s="23">
        <f t="shared" si="115"/>
        <v>0.73901868103028789</v>
      </c>
      <c r="Y2190" s="13"/>
    </row>
    <row r="2191" spans="1:25" x14ac:dyDescent="0.35">
      <c r="A2191" s="13"/>
      <c r="B2191" s="13" t="s">
        <v>2720</v>
      </c>
      <c r="C2191" s="13"/>
      <c r="D2191" s="13" t="s">
        <v>3038</v>
      </c>
      <c r="E2191" s="13">
        <v>1</v>
      </c>
      <c r="F2191" s="13">
        <v>9</v>
      </c>
      <c r="G2191" s="13"/>
      <c r="H2191" s="13"/>
      <c r="I2191" s="13"/>
      <c r="J2191" s="13"/>
      <c r="K2191" s="13" t="s">
        <v>29</v>
      </c>
      <c r="L2191" s="22"/>
      <c r="M2191" s="13"/>
      <c r="N2191" s="13"/>
      <c r="O2191" s="13"/>
      <c r="P2191" s="13"/>
      <c r="Q2191" s="13"/>
      <c r="R2191" s="13"/>
      <c r="S2191" s="13"/>
      <c r="T2191" s="13"/>
      <c r="U2191" s="13"/>
      <c r="V2191" s="23">
        <v>-4.7668453466033931</v>
      </c>
      <c r="W2191" s="23">
        <v>-36.673513577270505</v>
      </c>
      <c r="X2191" s="23">
        <f t="shared" si="115"/>
        <v>1.4612491955566398</v>
      </c>
      <c r="Y2191" s="13"/>
    </row>
    <row r="2192" spans="1:25" x14ac:dyDescent="0.35">
      <c r="A2192" s="13"/>
      <c r="B2192" s="13" t="s">
        <v>2721</v>
      </c>
      <c r="C2192" s="13"/>
      <c r="D2192" s="13" t="s">
        <v>3039</v>
      </c>
      <c r="E2192" s="13">
        <v>1</v>
      </c>
      <c r="F2192" s="13">
        <v>9</v>
      </c>
      <c r="G2192" s="13"/>
      <c r="H2192" s="13"/>
      <c r="I2192" s="13"/>
      <c r="J2192" s="13"/>
      <c r="K2192" s="13" t="s">
        <v>29</v>
      </c>
      <c r="L2192" s="22"/>
      <c r="M2192" s="13"/>
      <c r="N2192" s="13"/>
      <c r="O2192" s="13"/>
      <c r="P2192" s="13"/>
      <c r="Q2192" s="13"/>
      <c r="R2192" s="13"/>
      <c r="S2192" s="13"/>
      <c r="T2192" s="13"/>
      <c r="U2192" s="13"/>
      <c r="V2192" s="23">
        <v>0.21623195212721844</v>
      </c>
      <c r="W2192" s="23">
        <v>0.93172225685119681</v>
      </c>
      <c r="X2192" s="23">
        <f t="shared" si="115"/>
        <v>-0.79813336016655068</v>
      </c>
      <c r="Y2192" s="13"/>
    </row>
    <row r="2193" spans="1:25" x14ac:dyDescent="0.35">
      <c r="A2193" s="13"/>
      <c r="B2193" s="13" t="s">
        <v>2722</v>
      </c>
      <c r="C2193" s="13"/>
      <c r="D2193" s="13" t="s">
        <v>3040</v>
      </c>
      <c r="E2193" s="13">
        <v>1</v>
      </c>
      <c r="F2193" s="13">
        <v>9</v>
      </c>
      <c r="G2193" s="13"/>
      <c r="H2193" s="13"/>
      <c r="I2193" s="13"/>
      <c r="J2193" s="13"/>
      <c r="K2193" s="13" t="s">
        <v>29</v>
      </c>
      <c r="L2193" s="22"/>
      <c r="M2193" s="13"/>
      <c r="N2193" s="13"/>
      <c r="O2193" s="13"/>
      <c r="P2193" s="13"/>
      <c r="Q2193" s="13"/>
      <c r="R2193" s="13"/>
      <c r="S2193" s="13"/>
      <c r="T2193" s="13"/>
      <c r="U2193" s="13"/>
      <c r="V2193" s="23">
        <v>0.90306998631000523</v>
      </c>
      <c r="W2193" s="23">
        <v>6.2197805168151854</v>
      </c>
      <c r="X2193" s="23">
        <f t="shared" si="115"/>
        <v>-1.0047793736648565</v>
      </c>
      <c r="Y2193" s="13"/>
    </row>
    <row r="2194" spans="1:25" x14ac:dyDescent="0.35">
      <c r="A2194" s="13"/>
      <c r="B2194" s="13" t="s">
        <v>2723</v>
      </c>
      <c r="C2194" s="13"/>
      <c r="D2194" s="13" t="s">
        <v>3041</v>
      </c>
      <c r="E2194" s="13">
        <v>1</v>
      </c>
      <c r="F2194" s="13">
        <v>9</v>
      </c>
      <c r="G2194" s="13"/>
      <c r="H2194" s="13"/>
      <c r="I2194" s="13"/>
      <c r="J2194" s="13"/>
      <c r="K2194" s="13" t="s">
        <v>29</v>
      </c>
      <c r="L2194" s="22"/>
      <c r="M2194" s="13"/>
      <c r="N2194" s="13"/>
      <c r="O2194" s="13"/>
      <c r="P2194" s="13"/>
      <c r="Q2194" s="13"/>
      <c r="R2194" s="13"/>
      <c r="S2194" s="13"/>
      <c r="T2194" s="13"/>
      <c r="U2194" s="13"/>
      <c r="V2194" s="23">
        <v>0.86046173887729605</v>
      </c>
      <c r="W2194" s="23">
        <v>6.5045466991424563</v>
      </c>
      <c r="X2194" s="23">
        <f t="shared" si="115"/>
        <v>-0.37914721187591205</v>
      </c>
      <c r="Y2194" s="13"/>
    </row>
    <row r="2195" spans="1:25" x14ac:dyDescent="0.35">
      <c r="A2195" s="13"/>
      <c r="B2195" s="13" t="s">
        <v>2724</v>
      </c>
      <c r="C2195" s="13"/>
      <c r="D2195" s="13" t="s">
        <v>3042</v>
      </c>
      <c r="E2195" s="13">
        <v>1</v>
      </c>
      <c r="F2195" s="13">
        <v>9</v>
      </c>
      <c r="G2195" s="13"/>
      <c r="H2195" s="13"/>
      <c r="I2195" s="13"/>
      <c r="J2195" s="13"/>
      <c r="K2195" s="13" t="s">
        <v>29</v>
      </c>
      <c r="L2195" s="22"/>
      <c r="M2195" s="13"/>
      <c r="N2195" s="13"/>
      <c r="O2195" s="13"/>
      <c r="P2195" s="13"/>
      <c r="Q2195" s="13"/>
      <c r="R2195" s="13"/>
      <c r="S2195" s="13"/>
      <c r="T2195" s="13"/>
      <c r="U2195" s="13"/>
      <c r="V2195" s="23">
        <v>0.64369344931125605</v>
      </c>
      <c r="W2195" s="23">
        <v>5.5595533224105838</v>
      </c>
      <c r="X2195" s="23">
        <f t="shared" si="115"/>
        <v>0.41000572792053536</v>
      </c>
      <c r="Y2195" s="13"/>
    </row>
    <row r="2196" spans="1:25" x14ac:dyDescent="0.35">
      <c r="A2196" s="13"/>
      <c r="B2196" s="13" t="s">
        <v>2725</v>
      </c>
      <c r="C2196" s="13"/>
      <c r="D2196" s="13" t="s">
        <v>3043</v>
      </c>
      <c r="E2196" s="13">
        <v>1</v>
      </c>
      <c r="F2196" s="13">
        <v>9</v>
      </c>
      <c r="G2196" s="13"/>
      <c r="H2196" s="13"/>
      <c r="I2196" s="13"/>
      <c r="J2196" s="13"/>
      <c r="K2196" s="13" t="s">
        <v>29</v>
      </c>
      <c r="L2196" s="22"/>
      <c r="M2196" s="13"/>
      <c r="N2196" s="13"/>
      <c r="O2196" s="13"/>
      <c r="P2196" s="13"/>
      <c r="Q2196" s="13"/>
      <c r="R2196" s="13"/>
      <c r="S2196" s="13"/>
      <c r="T2196" s="13"/>
      <c r="U2196" s="13"/>
      <c r="V2196" s="23">
        <v>-3.9841585899066914</v>
      </c>
      <c r="W2196" s="23">
        <v>-43.578559126281725</v>
      </c>
      <c r="X2196" s="23">
        <f t="shared" si="115"/>
        <v>-11.705290407028194</v>
      </c>
      <c r="Y2196" s="13"/>
    </row>
    <row r="2197" spans="1:25" x14ac:dyDescent="0.35">
      <c r="A2197" s="13"/>
      <c r="B2197" s="13" t="s">
        <v>2726</v>
      </c>
      <c r="C2197" s="13"/>
      <c r="D2197" s="13" t="s">
        <v>3044</v>
      </c>
      <c r="E2197" s="13">
        <v>1</v>
      </c>
      <c r="F2197" s="13">
        <v>9</v>
      </c>
      <c r="G2197" s="13"/>
      <c r="H2197" s="13"/>
      <c r="I2197" s="13"/>
      <c r="J2197" s="13"/>
      <c r="K2197" s="13" t="s">
        <v>29</v>
      </c>
      <c r="L2197" s="22"/>
      <c r="M2197" s="13"/>
      <c r="N2197" s="13"/>
      <c r="O2197" s="13"/>
      <c r="P2197" s="13"/>
      <c r="Q2197" s="13"/>
      <c r="R2197" s="13"/>
      <c r="S2197" s="13"/>
      <c r="T2197" s="13"/>
      <c r="U2197" s="13"/>
      <c r="V2197" s="23">
        <v>-6.9591292527389523</v>
      </c>
      <c r="W2197" s="23">
        <v>-58.880007536315915</v>
      </c>
      <c r="X2197" s="23">
        <f t="shared" si="115"/>
        <v>-3.2069735144042966</v>
      </c>
      <c r="Y2197" s="13"/>
    </row>
    <row r="2198" spans="1:25" x14ac:dyDescent="0.35">
      <c r="A2198" s="13"/>
      <c r="B2198" s="13" t="s">
        <v>2727</v>
      </c>
      <c r="C2198" s="13"/>
      <c r="D2198" s="13" t="s">
        <v>3045</v>
      </c>
      <c r="E2198" s="13">
        <v>1</v>
      </c>
      <c r="F2198" s="13">
        <v>9</v>
      </c>
      <c r="G2198" s="13"/>
      <c r="H2198" s="13"/>
      <c r="I2198" s="13"/>
      <c r="J2198" s="13"/>
      <c r="K2198" s="13" t="s">
        <v>29</v>
      </c>
      <c r="L2198" s="22"/>
      <c r="M2198" s="13"/>
      <c r="N2198" s="13"/>
      <c r="O2198" s="13"/>
      <c r="P2198" s="13"/>
      <c r="Q2198" s="13"/>
      <c r="R2198" s="13"/>
      <c r="S2198" s="13"/>
      <c r="T2198" s="13"/>
      <c r="U2198" s="13"/>
      <c r="V2198" s="23">
        <v>-9.7404988702011099</v>
      </c>
      <c r="W2198" s="23">
        <v>-78.537429235839838</v>
      </c>
      <c r="X2198" s="23">
        <f t="shared" si="115"/>
        <v>-0.61343827423095831</v>
      </c>
      <c r="Y2198" s="13"/>
    </row>
    <row r="2199" spans="1:25" x14ac:dyDescent="0.35">
      <c r="A2199" s="13"/>
      <c r="B2199" s="13" t="s">
        <v>2728</v>
      </c>
      <c r="C2199" s="13"/>
      <c r="D2199" s="13" t="s">
        <v>3046</v>
      </c>
      <c r="E2199" s="13">
        <v>1</v>
      </c>
      <c r="F2199" s="13">
        <v>9</v>
      </c>
      <c r="G2199" s="13"/>
      <c r="H2199" s="13"/>
      <c r="I2199" s="13"/>
      <c r="J2199" s="13"/>
      <c r="K2199" s="13" t="s">
        <v>29</v>
      </c>
      <c r="L2199" s="22"/>
      <c r="M2199" s="13"/>
      <c r="N2199" s="13"/>
      <c r="O2199" s="13"/>
      <c r="P2199" s="13"/>
      <c r="Q2199" s="13"/>
      <c r="R2199" s="13"/>
      <c r="S2199" s="13"/>
      <c r="T2199" s="13"/>
      <c r="U2199" s="13"/>
      <c r="V2199" s="23">
        <v>-11.279455962486265</v>
      </c>
      <c r="W2199" s="23">
        <v>-89.605605780029293</v>
      </c>
      <c r="X2199" s="23">
        <f t="shared" si="115"/>
        <v>0.63004191986082958</v>
      </c>
      <c r="Y2199" s="13"/>
    </row>
    <row r="2200" spans="1:25" x14ac:dyDescent="0.35">
      <c r="A2200" s="13"/>
      <c r="B2200" s="13" t="s">
        <v>2729</v>
      </c>
      <c r="C2200" s="13"/>
      <c r="D2200" s="13" t="s">
        <v>3047</v>
      </c>
      <c r="E2200" s="13">
        <v>1</v>
      </c>
      <c r="F2200" s="13">
        <v>9</v>
      </c>
      <c r="G2200" s="13"/>
      <c r="H2200" s="13"/>
      <c r="I2200" s="13"/>
      <c r="J2200" s="13"/>
      <c r="K2200" s="13" t="s">
        <v>29</v>
      </c>
      <c r="L2200" s="22"/>
      <c r="M2200" s="13"/>
      <c r="N2200" s="13"/>
      <c r="O2200" s="13"/>
      <c r="P2200" s="13"/>
      <c r="Q2200" s="13"/>
      <c r="R2200" s="13"/>
      <c r="S2200" s="13"/>
      <c r="T2200" s="13"/>
      <c r="U2200" s="13"/>
      <c r="V2200" s="23">
        <v>-15.974108869857789</v>
      </c>
      <c r="W2200" s="23">
        <v>-117.59622215881346</v>
      </c>
      <c r="X2200" s="23">
        <f t="shared" si="115"/>
        <v>10.196648800048848</v>
      </c>
      <c r="Y2200" s="13"/>
    </row>
    <row r="2201" spans="1:25" x14ac:dyDescent="0.35">
      <c r="A2201" s="13"/>
      <c r="B2201" s="13" t="s">
        <v>2730</v>
      </c>
      <c r="C2201" s="13"/>
      <c r="D2201" s="13" t="s">
        <v>3048</v>
      </c>
      <c r="E2201" s="13">
        <v>1</v>
      </c>
      <c r="F2201" s="13">
        <v>10</v>
      </c>
      <c r="G2201" s="13"/>
      <c r="H2201" s="13"/>
      <c r="I2201" s="13"/>
      <c r="J2201" s="13"/>
      <c r="K2201" s="13" t="s">
        <v>29</v>
      </c>
      <c r="L2201" s="22"/>
      <c r="M2201" s="13"/>
      <c r="N2201" s="13"/>
      <c r="O2201" s="13"/>
      <c r="P2201" s="13"/>
      <c r="Q2201" s="13"/>
      <c r="R2201" s="13"/>
      <c r="S2201" s="13"/>
      <c r="T2201" s="13"/>
      <c r="U2201" s="13"/>
      <c r="V2201" s="23">
        <v>1.0324855195808411</v>
      </c>
      <c r="W2201" s="23">
        <v>7.9246005054473869</v>
      </c>
      <c r="X2201" s="23">
        <f t="shared" si="115"/>
        <v>-0.335283651199342</v>
      </c>
      <c r="Y2201" s="13"/>
    </row>
    <row r="2202" spans="1:25" x14ac:dyDescent="0.35">
      <c r="A2202" s="12"/>
      <c r="B2202" s="12" t="s">
        <v>2847</v>
      </c>
      <c r="C2202" s="12"/>
      <c r="D2202" s="12"/>
      <c r="E2202" s="12"/>
      <c r="F2202" s="12"/>
      <c r="G2202" s="12"/>
      <c r="H2202" s="12"/>
      <c r="I2202" s="12"/>
      <c r="J2202" s="12"/>
      <c r="K2202" s="12"/>
      <c r="L2202" s="16"/>
      <c r="M2202" s="12"/>
      <c r="N2202" s="12"/>
      <c r="O2202" s="12"/>
      <c r="P2202" s="12"/>
      <c r="Q2202" s="12"/>
      <c r="R2202" s="12"/>
      <c r="S2202" s="12"/>
      <c r="T2202" s="12"/>
      <c r="U2202" s="12"/>
      <c r="V2202" s="21">
        <v>-13.275994664525985</v>
      </c>
      <c r="W2202" s="21">
        <v>-112.68575667648315</v>
      </c>
      <c r="X2202" s="21">
        <f t="shared" si="115"/>
        <v>-6.4777993602752701</v>
      </c>
      <c r="Y2202" s="12"/>
    </row>
    <row r="2203" spans="1:25" x14ac:dyDescent="0.35">
      <c r="A2203" s="12"/>
      <c r="B2203" s="12" t="s">
        <v>2886</v>
      </c>
      <c r="C2203" s="12"/>
      <c r="D2203" s="12"/>
      <c r="E2203" s="12"/>
      <c r="F2203" s="12"/>
      <c r="G2203" s="12"/>
      <c r="H2203" s="12"/>
      <c r="I2203" s="12"/>
      <c r="J2203" s="12"/>
      <c r="K2203" s="12"/>
      <c r="L2203" s="16"/>
      <c r="M2203" s="12"/>
      <c r="N2203" s="12"/>
      <c r="O2203" s="12"/>
      <c r="P2203" s="12"/>
      <c r="Q2203" s="12"/>
      <c r="R2203" s="12"/>
      <c r="S2203" s="12"/>
      <c r="T2203" s="12"/>
      <c r="U2203" s="12"/>
      <c r="V2203" s="21">
        <v>-15.01711864944458</v>
      </c>
      <c r="W2203" s="21">
        <v>-114.95290519256592</v>
      </c>
      <c r="X2203" s="21">
        <f t="shared" si="115"/>
        <v>5.1840440029907171</v>
      </c>
      <c r="Y2203" s="12"/>
    </row>
    <row r="2204" spans="1:25" x14ac:dyDescent="0.35">
      <c r="A2204" s="12"/>
      <c r="B2204" s="12" t="s">
        <v>2895</v>
      </c>
      <c r="C2204" s="12"/>
      <c r="D2204" s="12"/>
      <c r="E2204" s="12"/>
      <c r="F2204" s="12"/>
      <c r="G2204" s="12"/>
      <c r="H2204" s="12"/>
      <c r="I2204" s="12"/>
      <c r="J2204" s="12"/>
      <c r="K2204" s="12"/>
      <c r="L2204" s="16"/>
      <c r="M2204" s="12"/>
      <c r="N2204" s="12"/>
      <c r="O2204" s="12"/>
      <c r="P2204" s="12"/>
      <c r="Q2204" s="12"/>
      <c r="R2204" s="12"/>
      <c r="S2204" s="12"/>
      <c r="T2204" s="12"/>
      <c r="U2204" s="12"/>
      <c r="V2204" s="21">
        <v>-5.1949152408790589</v>
      </c>
      <c r="W2204" s="21">
        <v>-46.720991496276852</v>
      </c>
      <c r="X2204" s="21">
        <f t="shared" si="115"/>
        <v>-5.1616695692443813</v>
      </c>
      <c r="Y2204" s="12"/>
    </row>
    <row r="2205" spans="1:25" x14ac:dyDescent="0.35">
      <c r="A2205" s="12"/>
      <c r="B2205" s="12" t="s">
        <v>2918</v>
      </c>
      <c r="C2205" s="12"/>
      <c r="D2205" s="12"/>
      <c r="E2205" s="12"/>
      <c r="F2205" s="12"/>
      <c r="G2205" s="12"/>
      <c r="H2205" s="12"/>
      <c r="I2205" s="12"/>
      <c r="J2205" s="12"/>
      <c r="K2205" s="12"/>
      <c r="L2205" s="16"/>
      <c r="M2205" s="12"/>
      <c r="N2205" s="12"/>
      <c r="O2205" s="12"/>
      <c r="P2205" s="12"/>
      <c r="Q2205" s="12"/>
      <c r="R2205" s="12"/>
      <c r="S2205" s="12"/>
      <c r="T2205" s="12"/>
      <c r="U2205" s="12"/>
      <c r="V2205" s="21">
        <v>-5.8455458987236018</v>
      </c>
      <c r="W2205" s="21">
        <v>-51.988774735260009</v>
      </c>
      <c r="X2205" s="21">
        <f t="shared" si="115"/>
        <v>-5.2244075454711947</v>
      </c>
      <c r="Y2205" s="12"/>
    </row>
    <row r="2206" spans="1:25" x14ac:dyDescent="0.35">
      <c r="A2206" s="12"/>
      <c r="B2206" s="12" t="s">
        <v>3064</v>
      </c>
      <c r="C2206" s="12"/>
      <c r="D2206" s="12"/>
      <c r="E2206" s="12"/>
      <c r="F2206" s="12"/>
      <c r="G2206" s="12"/>
      <c r="H2206" s="12"/>
      <c r="I2206" s="12"/>
      <c r="J2206" s="12"/>
      <c r="K2206" s="12"/>
      <c r="L2206" s="16"/>
      <c r="M2206" s="12"/>
      <c r="N2206" s="12"/>
      <c r="O2206" s="12"/>
      <c r="P2206" s="12"/>
      <c r="Q2206" s="12"/>
      <c r="R2206" s="12"/>
      <c r="S2206" s="12"/>
      <c r="T2206" s="12"/>
      <c r="U2206" s="12"/>
      <c r="V2206" s="21">
        <v>-6.3374741729736339</v>
      </c>
      <c r="W2206" s="21">
        <v>-48.241656136322021</v>
      </c>
      <c r="X2206" s="21">
        <f t="shared" si="115"/>
        <v>2.4581372474670502</v>
      </c>
      <c r="Y2206" s="12"/>
    </row>
    <row r="2207" spans="1:25" x14ac:dyDescent="0.35">
      <c r="A2207" s="12"/>
      <c r="B2207" s="12" t="s">
        <v>3065</v>
      </c>
      <c r="C2207" s="12"/>
      <c r="D2207" s="12" t="s">
        <v>3163</v>
      </c>
      <c r="E2207" s="12">
        <v>4</v>
      </c>
      <c r="F2207" s="12">
        <v>47</v>
      </c>
      <c r="G2207" s="12"/>
      <c r="H2207" s="12"/>
      <c r="I2207" s="12"/>
      <c r="J2207" s="12"/>
      <c r="K2207" s="12"/>
      <c r="L2207" s="16"/>
      <c r="M2207" s="12"/>
      <c r="N2207" s="12">
        <v>42</v>
      </c>
      <c r="O2207" s="12"/>
      <c r="P2207" s="12"/>
      <c r="Q2207" s="12"/>
      <c r="R2207" s="12">
        <v>4.5</v>
      </c>
      <c r="S2207" s="12">
        <v>1.5</v>
      </c>
      <c r="T2207" s="12"/>
      <c r="U2207" s="12"/>
      <c r="V2207" s="21">
        <v>-6.7867389816284192</v>
      </c>
      <c r="W2207" s="21">
        <v>-52.223735710906979</v>
      </c>
      <c r="X2207" s="21">
        <f t="shared" si="115"/>
        <v>2.0701761421203742</v>
      </c>
      <c r="Y2207" s="12" t="s">
        <v>3203</v>
      </c>
    </row>
    <row r="2208" spans="1:25" x14ac:dyDescent="0.35">
      <c r="A2208" s="12"/>
      <c r="B2208" s="12" t="s">
        <v>3066</v>
      </c>
      <c r="C2208" s="12"/>
      <c r="D2208" s="12" t="s">
        <v>3163</v>
      </c>
      <c r="E2208" s="12">
        <v>4</v>
      </c>
      <c r="F2208" s="12">
        <v>47</v>
      </c>
      <c r="G2208" s="12"/>
      <c r="H2208" s="12"/>
      <c r="I2208" s="12"/>
      <c r="J2208" s="12"/>
      <c r="K2208" s="12"/>
      <c r="L2208" s="16"/>
      <c r="M2208" s="12"/>
      <c r="N2208" s="12">
        <v>42</v>
      </c>
      <c r="O2208" s="12"/>
      <c r="P2208" s="12"/>
      <c r="Q2208" s="12"/>
      <c r="R2208" s="12">
        <v>25</v>
      </c>
      <c r="S2208" s="12">
        <v>22</v>
      </c>
      <c r="T2208" s="12"/>
      <c r="U2208" s="12"/>
      <c r="V2208" s="21">
        <v>-24.877296961212156</v>
      </c>
      <c r="W2208" s="21">
        <v>-187.12788998107905</v>
      </c>
      <c r="X2208" s="21">
        <f t="shared" si="115"/>
        <v>11.890485708618201</v>
      </c>
      <c r="Y2208" s="12" t="s">
        <v>3204</v>
      </c>
    </row>
    <row r="2209" spans="1:25" x14ac:dyDescent="0.35">
      <c r="A2209" s="12"/>
      <c r="B2209" s="12" t="s">
        <v>3067</v>
      </c>
      <c r="C2209" s="12"/>
      <c r="D2209" s="12" t="s">
        <v>3163</v>
      </c>
      <c r="E2209" s="12">
        <v>4</v>
      </c>
      <c r="F2209" s="12">
        <v>47</v>
      </c>
      <c r="G2209" s="12"/>
      <c r="H2209" s="12"/>
      <c r="I2209" s="12"/>
      <c r="J2209" s="12"/>
      <c r="K2209" s="12"/>
      <c r="L2209" s="16"/>
      <c r="M2209" s="12"/>
      <c r="N2209" s="12">
        <v>42</v>
      </c>
      <c r="O2209" s="12"/>
      <c r="P2209" s="12"/>
      <c r="Q2209" s="12"/>
      <c r="R2209" s="12">
        <v>7</v>
      </c>
      <c r="S2209" s="12">
        <v>4</v>
      </c>
      <c r="T2209" s="12"/>
      <c r="U2209" s="12"/>
      <c r="V2209" s="21">
        <v>-7.7430258659362803</v>
      </c>
      <c r="W2209" s="21">
        <v>-59.010426640319821</v>
      </c>
      <c r="X2209" s="21">
        <f t="shared" ref="X2209:X2216" si="116">W2209-(8*V2209)</f>
        <v>2.9337802871704213</v>
      </c>
      <c r="Y2209" s="12" t="s">
        <v>3205</v>
      </c>
    </row>
    <row r="2210" spans="1:25" x14ac:dyDescent="0.35">
      <c r="A2210" s="12"/>
      <c r="B2210" s="12" t="s">
        <v>3068</v>
      </c>
      <c r="C2210" s="12"/>
      <c r="D2210" s="12" t="s">
        <v>3163</v>
      </c>
      <c r="E2210" s="12">
        <v>4</v>
      </c>
      <c r="F2210" s="12">
        <v>47</v>
      </c>
      <c r="G2210" s="12"/>
      <c r="H2210" s="12"/>
      <c r="I2210" s="12"/>
      <c r="J2210" s="12"/>
      <c r="K2210" s="12"/>
      <c r="L2210" s="16"/>
      <c r="M2210" s="12"/>
      <c r="N2210" s="12">
        <v>42</v>
      </c>
      <c r="O2210" s="12"/>
      <c r="P2210" s="12"/>
      <c r="Q2210" s="12"/>
      <c r="R2210" s="12">
        <v>8.5</v>
      </c>
      <c r="S2210" s="12">
        <v>5.5</v>
      </c>
      <c r="T2210" s="12"/>
      <c r="U2210" s="12"/>
      <c r="V2210" s="21">
        <v>-13.644501379394528</v>
      </c>
      <c r="W2210" s="21">
        <v>-102.38030519561767</v>
      </c>
      <c r="X2210" s="21">
        <f t="shared" si="116"/>
        <v>6.7757058395385599</v>
      </c>
      <c r="Y2210" s="12" t="s">
        <v>3206</v>
      </c>
    </row>
    <row r="2211" spans="1:25" x14ac:dyDescent="0.35">
      <c r="A2211" s="12"/>
      <c r="B2211" s="12" t="s">
        <v>3074</v>
      </c>
      <c r="C2211" s="12"/>
      <c r="D2211" s="12"/>
      <c r="E2211" s="12"/>
      <c r="F2211" s="12"/>
      <c r="G2211" s="12"/>
      <c r="H2211" s="12"/>
      <c r="I2211" s="12"/>
      <c r="J2211" s="12"/>
      <c r="K2211" s="12"/>
      <c r="L2211" s="16"/>
      <c r="M2211" s="12"/>
      <c r="N2211" s="12"/>
      <c r="O2211" s="12"/>
      <c r="P2211" s="12"/>
      <c r="Q2211" s="12"/>
      <c r="R2211" s="12"/>
      <c r="S2211" s="12"/>
      <c r="T2211" s="12"/>
      <c r="U2211" s="12"/>
      <c r="V2211" s="21">
        <v>-21.437220830535889</v>
      </c>
      <c r="W2211" s="21">
        <v>-161.72558539733888</v>
      </c>
      <c r="X2211" s="21">
        <f t="shared" si="116"/>
        <v>9.7721812469482359</v>
      </c>
      <c r="Y2211" s="12"/>
    </row>
    <row r="2212" spans="1:25" x14ac:dyDescent="0.35">
      <c r="A2212" s="12"/>
      <c r="B2212" s="12" t="s">
        <v>3080</v>
      </c>
      <c r="C2212" s="12"/>
      <c r="D2212" s="12"/>
      <c r="E2212" s="12"/>
      <c r="F2212" s="12"/>
      <c r="G2212" s="12"/>
      <c r="H2212" s="12"/>
      <c r="I2212" s="12"/>
      <c r="J2212" s="12"/>
      <c r="K2212" s="12"/>
      <c r="L2212" s="16"/>
      <c r="M2212" s="12"/>
      <c r="N2212" s="12"/>
      <c r="O2212" s="12"/>
      <c r="P2212" s="12"/>
      <c r="Q2212" s="12"/>
      <c r="R2212" s="12"/>
      <c r="S2212" s="12"/>
      <c r="T2212" s="12"/>
      <c r="U2212" s="12"/>
      <c r="V2212" s="21">
        <v>-16.691051129150392</v>
      </c>
      <c r="W2212" s="21">
        <v>-126.52891510009766</v>
      </c>
      <c r="X2212" s="21">
        <f t="shared" si="116"/>
        <v>6.9994939331054695</v>
      </c>
      <c r="Y2212" s="12"/>
    </row>
    <row r="2213" spans="1:25" x14ac:dyDescent="0.35">
      <c r="A2213" s="12"/>
      <c r="B2213" s="12" t="s">
        <v>3081</v>
      </c>
      <c r="C2213" s="12"/>
      <c r="D2213" s="12"/>
      <c r="E2213" s="12"/>
      <c r="F2213" s="12"/>
      <c r="G2213" s="12"/>
      <c r="H2213" s="12"/>
      <c r="I2213" s="12"/>
      <c r="J2213" s="12"/>
      <c r="K2213" s="12"/>
      <c r="L2213" s="16"/>
      <c r="M2213" s="12"/>
      <c r="N2213" s="12"/>
      <c r="O2213" s="12"/>
      <c r="P2213" s="12"/>
      <c r="Q2213" s="12"/>
      <c r="R2213" s="12"/>
      <c r="S2213" s="12"/>
      <c r="T2213" s="12"/>
      <c r="U2213" s="12"/>
      <c r="V2213" s="21">
        <v>-13.245968315887451</v>
      </c>
      <c r="W2213" s="21">
        <v>-102.28699638366699</v>
      </c>
      <c r="X2213" s="21">
        <f t="shared" si="116"/>
        <v>3.6807501434326184</v>
      </c>
      <c r="Y2213" s="12"/>
    </row>
    <row r="2214" spans="1:25" x14ac:dyDescent="0.35">
      <c r="A2214" s="12"/>
      <c r="B2214" s="12" t="s">
        <v>3083</v>
      </c>
      <c r="C2214" s="12"/>
      <c r="D2214" s="12"/>
      <c r="E2214" s="12"/>
      <c r="F2214" s="12"/>
      <c r="G2214" s="12"/>
      <c r="H2214" s="12"/>
      <c r="I2214" s="12"/>
      <c r="J2214" s="12"/>
      <c r="K2214" s="12"/>
      <c r="L2214" s="16"/>
      <c r="M2214" s="12"/>
      <c r="N2214" s="12"/>
      <c r="O2214" s="12"/>
      <c r="P2214" s="12"/>
      <c r="Q2214" s="12"/>
      <c r="R2214" s="12"/>
      <c r="S2214" s="12"/>
      <c r="T2214" s="12"/>
      <c r="U2214" s="12"/>
      <c r="V2214" s="21">
        <v>-21.872181210327152</v>
      </c>
      <c r="W2214" s="21">
        <v>-165.10268234252931</v>
      </c>
      <c r="X2214" s="21">
        <f t="shared" si="116"/>
        <v>9.8747673400879137</v>
      </c>
      <c r="Y2214" s="12"/>
    </row>
    <row r="2215" spans="1:25" x14ac:dyDescent="0.35">
      <c r="A2215" s="6" t="s">
        <v>25</v>
      </c>
      <c r="B2215" s="7"/>
      <c r="C2215" s="6">
        <v>510514</v>
      </c>
      <c r="D2215" s="6" t="s">
        <v>2607</v>
      </c>
      <c r="E2215" s="6">
        <v>1</v>
      </c>
      <c r="G2215" s="6" t="s">
        <v>2608</v>
      </c>
      <c r="K2215" s="6" t="s">
        <v>198</v>
      </c>
      <c r="L2215" s="16"/>
      <c r="T2215" s="10"/>
      <c r="V2215" s="8">
        <v>-19.358932722473146</v>
      </c>
      <c r="W2215" s="8">
        <v>-144.03397319335937</v>
      </c>
      <c r="X2215" s="8">
        <f t="shared" si="116"/>
        <v>10.837488586425792</v>
      </c>
      <c r="Y2215" s="6" t="s">
        <v>2609</v>
      </c>
    </row>
    <row r="2216" spans="1:25" x14ac:dyDescent="0.35">
      <c r="A2216" s="6" t="s">
        <v>25</v>
      </c>
      <c r="B2216" s="7"/>
      <c r="C2216" s="6">
        <v>510515</v>
      </c>
      <c r="D2216" s="6" t="s">
        <v>2607</v>
      </c>
      <c r="E2216" s="6">
        <v>1</v>
      </c>
      <c r="G2216" s="6" t="s">
        <v>2608</v>
      </c>
      <c r="K2216" s="6" t="s">
        <v>198</v>
      </c>
      <c r="L2216" s="16"/>
      <c r="T2216" s="10"/>
      <c r="V2216" s="8">
        <v>-30.605428736114504</v>
      </c>
      <c r="W2216" s="8">
        <v>-226.78351765747072</v>
      </c>
      <c r="X2216" s="8">
        <f t="shared" si="116"/>
        <v>18.05991223144531</v>
      </c>
    </row>
  </sheetData>
  <sortState ref="A2:Y2216">
    <sortCondition ref="L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18DF-726B-4C43-A634-CF4140576496}">
  <dimension ref="A1:Y126"/>
  <sheetViews>
    <sheetView topLeftCell="E1" workbookViewId="0">
      <selection activeCell="AH7" sqref="AH7"/>
    </sheetView>
  </sheetViews>
  <sheetFormatPr defaultRowHeight="14.5" x14ac:dyDescent="0.35"/>
  <cols>
    <col min="1" max="1" width="7.7265625" bestFit="1" customWidth="1"/>
    <col min="2" max="3" width="17" bestFit="1" customWidth="1"/>
    <col min="4" max="4" width="42.54296875" bestFit="1" customWidth="1"/>
    <col min="5" max="5" width="3.81640625" bestFit="1" customWidth="1"/>
    <col min="6" max="6" width="6" bestFit="1" customWidth="1"/>
    <col min="7" max="7" width="17.36328125" bestFit="1" customWidth="1"/>
    <col min="8" max="8" width="18.6328125" bestFit="1" customWidth="1"/>
    <col min="9" max="9" width="7.90625" bestFit="1" customWidth="1"/>
    <col min="10" max="10" width="9.36328125" bestFit="1" customWidth="1"/>
    <col min="11" max="11" width="10.90625" bestFit="1" customWidth="1"/>
    <col min="12" max="12" width="11.54296875" bestFit="1" customWidth="1"/>
    <col min="13" max="13" width="5.1796875" bestFit="1" customWidth="1"/>
    <col min="14" max="14" width="14" bestFit="1" customWidth="1"/>
    <col min="15" max="15" width="9.08984375" bestFit="1" customWidth="1"/>
    <col min="16" max="16" width="15.81640625" bestFit="1" customWidth="1"/>
    <col min="17" max="17" width="17.26953125" bestFit="1" customWidth="1"/>
    <col min="18" max="18" width="11.7265625" bestFit="1" customWidth="1"/>
    <col min="19" max="19" width="8" bestFit="1" customWidth="1"/>
    <col min="20" max="21" width="12" bestFit="1" customWidth="1"/>
    <col min="22" max="23" width="6" bestFit="1" customWidth="1"/>
    <col min="24" max="24" width="8.54296875" bestFit="1" customWidth="1"/>
    <col min="25" max="25" width="10.08984375" bestFit="1" customWidth="1"/>
  </cols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4465</v>
      </c>
      <c r="L1" s="2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" t="s">
        <v>20</v>
      </c>
      <c r="V1" s="5" t="s">
        <v>21</v>
      </c>
      <c r="W1" s="5" t="s">
        <v>22</v>
      </c>
      <c r="X1" s="5" t="s">
        <v>23</v>
      </c>
      <c r="Y1" s="1" t="s">
        <v>24</v>
      </c>
    </row>
    <row r="2" spans="1:25" s="6" customFormat="1" x14ac:dyDescent="0.35">
      <c r="A2" s="6" t="s">
        <v>25</v>
      </c>
      <c r="B2" s="7" t="s">
        <v>58</v>
      </c>
      <c r="C2" s="6">
        <v>510023</v>
      </c>
      <c r="D2" s="6" t="s">
        <v>59</v>
      </c>
      <c r="E2" s="6">
        <v>1</v>
      </c>
      <c r="F2" s="6">
        <v>1</v>
      </c>
      <c r="G2" s="6" t="s">
        <v>60</v>
      </c>
      <c r="I2" s="8">
        <v>84.913235277777801</v>
      </c>
      <c r="J2" s="8">
        <v>135.35366104166701</v>
      </c>
      <c r="K2" s="7" t="s">
        <v>2610</v>
      </c>
      <c r="L2" s="9">
        <v>43748</v>
      </c>
      <c r="N2" s="6">
        <v>2</v>
      </c>
      <c r="O2" s="6" t="s">
        <v>4245</v>
      </c>
      <c r="Q2" s="10">
        <v>200</v>
      </c>
      <c r="R2" s="10"/>
      <c r="S2" s="10">
        <v>200</v>
      </c>
      <c r="T2" s="10">
        <f t="shared" ref="T2:T42" si="0">AVERAGE(R2:S2)</f>
        <v>200</v>
      </c>
      <c r="U2" s="11"/>
      <c r="V2" s="8">
        <v>-1.2423256700515746</v>
      </c>
      <c r="W2" s="8">
        <v>-8.2609691681861879</v>
      </c>
      <c r="X2" s="8">
        <f t="shared" ref="X2:X33" si="1">W2-(8*V2)</f>
        <v>1.6776361922264087</v>
      </c>
    </row>
    <row r="3" spans="1:25" s="6" customFormat="1" x14ac:dyDescent="0.35">
      <c r="A3" s="6" t="s">
        <v>25</v>
      </c>
      <c r="B3" s="7" t="s">
        <v>188</v>
      </c>
      <c r="D3" s="6" t="s">
        <v>189</v>
      </c>
      <c r="E3" s="6">
        <v>1</v>
      </c>
      <c r="F3" s="6">
        <v>4</v>
      </c>
      <c r="G3" s="6" t="s">
        <v>60</v>
      </c>
      <c r="I3" s="8">
        <v>85.406511180555597</v>
      </c>
      <c r="J3" s="8">
        <v>128.89254722222199</v>
      </c>
      <c r="K3" s="7" t="s">
        <v>2610</v>
      </c>
      <c r="L3" s="9">
        <v>43762</v>
      </c>
      <c r="N3" s="6">
        <v>4</v>
      </c>
      <c r="O3" s="6" t="s">
        <v>4249</v>
      </c>
      <c r="Q3" s="10">
        <v>78</v>
      </c>
      <c r="R3" s="10"/>
      <c r="S3" s="10">
        <v>78</v>
      </c>
      <c r="T3" s="10">
        <f t="shared" si="0"/>
        <v>78</v>
      </c>
      <c r="V3" s="8">
        <v>-0.23636386482715568</v>
      </c>
      <c r="W3" s="8">
        <v>-0.75950383186340309</v>
      </c>
      <c r="X3" s="8">
        <f t="shared" si="1"/>
        <v>1.1314070867538424</v>
      </c>
    </row>
    <row r="4" spans="1:25" s="6" customFormat="1" x14ac:dyDescent="0.35">
      <c r="A4" s="6" t="s">
        <v>25</v>
      </c>
      <c r="B4" s="7" t="s">
        <v>182</v>
      </c>
      <c r="D4" s="6" t="s">
        <v>183</v>
      </c>
      <c r="E4" s="6">
        <v>1</v>
      </c>
      <c r="F4" s="6">
        <v>4</v>
      </c>
      <c r="G4" s="6" t="s">
        <v>60</v>
      </c>
      <c r="I4" s="8">
        <v>85.406511180555597</v>
      </c>
      <c r="J4" s="8">
        <v>128.89254722222199</v>
      </c>
      <c r="K4" s="7" t="s">
        <v>2610</v>
      </c>
      <c r="L4" s="9">
        <v>43762</v>
      </c>
      <c r="N4" s="6">
        <v>4</v>
      </c>
      <c r="O4" s="6" t="s">
        <v>4249</v>
      </c>
      <c r="Q4" s="10">
        <v>85</v>
      </c>
      <c r="R4" s="10"/>
      <c r="S4" s="10">
        <v>85</v>
      </c>
      <c r="T4" s="10">
        <f t="shared" si="0"/>
        <v>85</v>
      </c>
      <c r="V4" s="8">
        <v>-0.53611301164627023</v>
      </c>
      <c r="W4" s="8">
        <v>-2.7997755289077761</v>
      </c>
      <c r="X4" s="8">
        <f t="shared" si="1"/>
        <v>1.4891285642623857</v>
      </c>
    </row>
    <row r="5" spans="1:25" s="6" customFormat="1" x14ac:dyDescent="0.35">
      <c r="A5" s="6" t="s">
        <v>25</v>
      </c>
      <c r="B5" s="7" t="s">
        <v>184</v>
      </c>
      <c r="D5" s="6" t="s">
        <v>185</v>
      </c>
      <c r="E5" s="6">
        <v>1</v>
      </c>
      <c r="F5" s="6">
        <v>4</v>
      </c>
      <c r="G5" s="6" t="s">
        <v>60</v>
      </c>
      <c r="I5" s="8">
        <v>85.406511180555597</v>
      </c>
      <c r="J5" s="8">
        <v>128.89254722222199</v>
      </c>
      <c r="K5" s="7" t="s">
        <v>2610</v>
      </c>
      <c r="L5" s="9">
        <v>43762</v>
      </c>
      <c r="N5" s="6">
        <v>4</v>
      </c>
      <c r="O5" s="6" t="s">
        <v>4249</v>
      </c>
      <c r="Q5" s="10">
        <v>10</v>
      </c>
      <c r="R5" s="10"/>
      <c r="S5" s="10">
        <v>10</v>
      </c>
      <c r="T5" s="10">
        <f t="shared" si="0"/>
        <v>10</v>
      </c>
      <c r="V5" s="8">
        <v>-1.2273738806724546</v>
      </c>
      <c r="W5" s="8">
        <v>-8.1072051811218255</v>
      </c>
      <c r="X5" s="8">
        <f t="shared" si="1"/>
        <v>1.711785864257811</v>
      </c>
    </row>
    <row r="6" spans="1:25" s="6" customFormat="1" x14ac:dyDescent="0.35">
      <c r="A6" s="6" t="s">
        <v>25</v>
      </c>
      <c r="B6" s="7" t="s">
        <v>190</v>
      </c>
      <c r="D6" s="6" t="s">
        <v>191</v>
      </c>
      <c r="E6" s="6">
        <v>1</v>
      </c>
      <c r="F6" s="6">
        <v>4</v>
      </c>
      <c r="G6" s="6" t="s">
        <v>60</v>
      </c>
      <c r="I6" s="8">
        <v>85.406511180555597</v>
      </c>
      <c r="J6" s="8">
        <v>128.89254722222199</v>
      </c>
      <c r="K6" s="7" t="s">
        <v>2610</v>
      </c>
      <c r="L6" s="9">
        <v>43762</v>
      </c>
      <c r="N6" s="6">
        <v>4</v>
      </c>
      <c r="O6" s="6" t="s">
        <v>4249</v>
      </c>
      <c r="Q6" s="10">
        <v>3270</v>
      </c>
      <c r="R6" s="10"/>
      <c r="S6" s="10">
        <v>3270</v>
      </c>
      <c r="T6" s="10">
        <f t="shared" si="0"/>
        <v>3270</v>
      </c>
      <c r="V6" s="8">
        <v>-0.67490373711585971</v>
      </c>
      <c r="W6" s="8">
        <v>-3.657441186904907</v>
      </c>
      <c r="X6" s="8">
        <f t="shared" si="1"/>
        <v>1.7417887100219707</v>
      </c>
    </row>
    <row r="7" spans="1:25" s="6" customFormat="1" x14ac:dyDescent="0.35">
      <c r="A7" s="6" t="s">
        <v>25</v>
      </c>
      <c r="B7" s="7" t="s">
        <v>194</v>
      </c>
      <c r="D7" s="6" t="s">
        <v>195</v>
      </c>
      <c r="E7" s="6">
        <v>1</v>
      </c>
      <c r="F7" s="6">
        <v>4</v>
      </c>
      <c r="G7" s="6" t="s">
        <v>60</v>
      </c>
      <c r="I7" s="8">
        <v>85.406511180555597</v>
      </c>
      <c r="J7" s="8">
        <v>128.89254722222199</v>
      </c>
      <c r="K7" s="7" t="s">
        <v>2610</v>
      </c>
      <c r="L7" s="9">
        <v>43762</v>
      </c>
      <c r="N7" s="6">
        <v>4</v>
      </c>
      <c r="O7" s="6" t="s">
        <v>4249</v>
      </c>
      <c r="Q7" s="10">
        <v>9000</v>
      </c>
      <c r="R7" s="10"/>
      <c r="S7" s="10">
        <v>9000</v>
      </c>
      <c r="T7" s="10">
        <f t="shared" si="0"/>
        <v>9000</v>
      </c>
      <c r="V7" s="8">
        <v>-0.18428008298873869</v>
      </c>
      <c r="W7" s="8">
        <v>0.2868168147206302</v>
      </c>
      <c r="X7" s="8">
        <f t="shared" si="1"/>
        <v>1.7610574786305397</v>
      </c>
    </row>
    <row r="8" spans="1:25" s="6" customFormat="1" x14ac:dyDescent="0.35">
      <c r="A8" s="6" t="s">
        <v>25</v>
      </c>
      <c r="B8" s="7" t="s">
        <v>186</v>
      </c>
      <c r="D8" s="6" t="s">
        <v>187</v>
      </c>
      <c r="E8" s="6">
        <v>1</v>
      </c>
      <c r="F8" s="6">
        <v>4</v>
      </c>
      <c r="G8" s="6" t="s">
        <v>60</v>
      </c>
      <c r="I8" s="8">
        <v>85.406511180555597</v>
      </c>
      <c r="J8" s="8">
        <v>128.89254722222199</v>
      </c>
      <c r="K8" s="7" t="s">
        <v>2610</v>
      </c>
      <c r="L8" s="9">
        <v>43762</v>
      </c>
      <c r="N8" s="6">
        <v>4</v>
      </c>
      <c r="O8" s="6" t="s">
        <v>4249</v>
      </c>
      <c r="Q8" s="10">
        <v>45</v>
      </c>
      <c r="R8" s="10"/>
      <c r="S8" s="10">
        <v>45</v>
      </c>
      <c r="T8" s="10">
        <f t="shared" si="0"/>
        <v>45</v>
      </c>
      <c r="V8" s="8">
        <v>-0.56754689722061125</v>
      </c>
      <c r="W8" s="8">
        <v>-2.7684642982482917</v>
      </c>
      <c r="X8" s="8">
        <f t="shared" si="1"/>
        <v>1.7719108795165983</v>
      </c>
    </row>
    <row r="9" spans="1:25" s="6" customFormat="1" x14ac:dyDescent="0.35">
      <c r="A9" s="6" t="s">
        <v>25</v>
      </c>
      <c r="B9" s="7" t="s">
        <v>180</v>
      </c>
      <c r="D9" s="6" t="s">
        <v>181</v>
      </c>
      <c r="E9" s="6">
        <v>1</v>
      </c>
      <c r="F9" s="6">
        <v>4</v>
      </c>
      <c r="G9" s="6" t="s">
        <v>60</v>
      </c>
      <c r="I9" s="8">
        <v>85.406511180555597</v>
      </c>
      <c r="J9" s="8">
        <v>128.89254722222199</v>
      </c>
      <c r="K9" s="7" t="s">
        <v>2610</v>
      </c>
      <c r="L9" s="9">
        <v>43762</v>
      </c>
      <c r="N9" s="6">
        <v>4</v>
      </c>
      <c r="O9" s="6" t="s">
        <v>4249</v>
      </c>
      <c r="Q9" s="10">
        <v>200</v>
      </c>
      <c r="R9" s="10"/>
      <c r="S9" s="10">
        <v>200</v>
      </c>
      <c r="T9" s="10">
        <f t="shared" si="0"/>
        <v>200</v>
      </c>
      <c r="V9" s="8">
        <v>-1.2812316802024841</v>
      </c>
      <c r="W9" s="8">
        <v>-8.1987960615158073</v>
      </c>
      <c r="X9" s="8">
        <f t="shared" si="1"/>
        <v>2.0510573801040657</v>
      </c>
    </row>
    <row r="10" spans="1:25" s="6" customFormat="1" x14ac:dyDescent="0.35">
      <c r="A10" s="6" t="s">
        <v>25</v>
      </c>
      <c r="B10" s="7" t="s">
        <v>192</v>
      </c>
      <c r="D10" s="6" t="s">
        <v>193</v>
      </c>
      <c r="E10" s="6">
        <v>1</v>
      </c>
      <c r="F10" s="6">
        <v>4</v>
      </c>
      <c r="G10" s="6" t="s">
        <v>60</v>
      </c>
      <c r="I10" s="8">
        <v>85.406511180555597</v>
      </c>
      <c r="J10" s="8">
        <v>128.89254722222199</v>
      </c>
      <c r="K10" s="7" t="s">
        <v>2610</v>
      </c>
      <c r="L10" s="9">
        <v>43762</v>
      </c>
      <c r="N10" s="6">
        <v>4</v>
      </c>
      <c r="O10" s="6" t="s">
        <v>4249</v>
      </c>
      <c r="Q10" s="10">
        <v>2000</v>
      </c>
      <c r="R10" s="10"/>
      <c r="S10" s="10">
        <v>2000</v>
      </c>
      <c r="T10" s="10">
        <f t="shared" si="0"/>
        <v>2000</v>
      </c>
      <c r="V10" s="8">
        <v>-1.1498346250534057</v>
      </c>
      <c r="W10" s="8">
        <v>-7.136850728988648</v>
      </c>
      <c r="X10" s="8">
        <f t="shared" si="1"/>
        <v>2.0618262714385978</v>
      </c>
    </row>
    <row r="11" spans="1:25" s="6" customFormat="1" x14ac:dyDescent="0.35">
      <c r="A11" s="6" t="s">
        <v>25</v>
      </c>
      <c r="B11" s="7" t="s">
        <v>255</v>
      </c>
      <c r="D11" s="6" t="s">
        <v>256</v>
      </c>
      <c r="E11" s="6">
        <v>1</v>
      </c>
      <c r="F11" s="6">
        <v>5</v>
      </c>
      <c r="G11" s="6" t="s">
        <v>60</v>
      </c>
      <c r="I11" s="8">
        <v>85.820734375000001</v>
      </c>
      <c r="J11" s="8">
        <v>122.84527</v>
      </c>
      <c r="K11" s="7" t="s">
        <v>2610</v>
      </c>
      <c r="L11" s="9">
        <v>43770</v>
      </c>
      <c r="N11" s="6">
        <v>5</v>
      </c>
      <c r="O11" s="6" t="s">
        <v>4253</v>
      </c>
      <c r="Q11" s="10">
        <v>200</v>
      </c>
      <c r="R11" s="10"/>
      <c r="S11" s="10">
        <v>200</v>
      </c>
      <c r="T11" s="10">
        <f t="shared" si="0"/>
        <v>200</v>
      </c>
      <c r="V11" s="8">
        <v>-1.577542633581162</v>
      </c>
      <c r="W11" s="8">
        <v>-10.895352566242217</v>
      </c>
      <c r="X11" s="8">
        <f t="shared" si="1"/>
        <v>1.7249885024070792</v>
      </c>
    </row>
    <row r="12" spans="1:25" s="6" customFormat="1" x14ac:dyDescent="0.35">
      <c r="A12" s="6" t="s">
        <v>25</v>
      </c>
      <c r="B12" s="7" t="s">
        <v>358</v>
      </c>
      <c r="D12" s="6" t="s">
        <v>359</v>
      </c>
      <c r="E12" s="6">
        <v>1</v>
      </c>
      <c r="F12" s="6">
        <v>6</v>
      </c>
      <c r="G12" s="6" t="s">
        <v>272</v>
      </c>
      <c r="I12" s="8">
        <v>85.917653888888907</v>
      </c>
      <c r="J12" s="8">
        <v>116.64332493055601</v>
      </c>
      <c r="K12" s="7" t="s">
        <v>2610</v>
      </c>
      <c r="L12" s="9">
        <v>43776</v>
      </c>
      <c r="N12" s="6">
        <v>6</v>
      </c>
      <c r="O12" s="6" t="s">
        <v>4257</v>
      </c>
      <c r="Q12" s="10">
        <v>200</v>
      </c>
      <c r="R12" s="10"/>
      <c r="S12" s="10">
        <v>200</v>
      </c>
      <c r="T12" s="10">
        <f t="shared" si="0"/>
        <v>200</v>
      </c>
      <c r="V12" s="8">
        <v>-1.2690839481353759</v>
      </c>
      <c r="W12" s="8">
        <v>-8.46963387298584</v>
      </c>
      <c r="X12" s="8">
        <f t="shared" si="1"/>
        <v>1.6830377120971676</v>
      </c>
    </row>
    <row r="13" spans="1:25" s="6" customFormat="1" x14ac:dyDescent="0.35">
      <c r="A13" s="6" t="s">
        <v>25</v>
      </c>
      <c r="B13" s="7" t="s">
        <v>418</v>
      </c>
      <c r="D13" s="6" t="s">
        <v>419</v>
      </c>
      <c r="E13" s="6">
        <v>1</v>
      </c>
      <c r="F13" s="6">
        <v>7</v>
      </c>
      <c r="I13" s="8">
        <v>86.116053611111099</v>
      </c>
      <c r="J13" s="8">
        <v>117.978438125</v>
      </c>
      <c r="K13" s="7" t="s">
        <v>2610</v>
      </c>
      <c r="L13" s="9">
        <v>43782</v>
      </c>
      <c r="N13" s="6">
        <v>7</v>
      </c>
      <c r="O13" s="6" t="s">
        <v>4254</v>
      </c>
      <c r="Q13" s="10">
        <v>200</v>
      </c>
      <c r="R13" s="10"/>
      <c r="S13" s="10">
        <v>200</v>
      </c>
      <c r="T13" s="10">
        <f t="shared" si="0"/>
        <v>200</v>
      </c>
      <c r="V13" s="8">
        <v>-1.3706381034851081</v>
      </c>
      <c r="W13" s="8">
        <v>-9.7833806571960444</v>
      </c>
      <c r="X13" s="8">
        <f t="shared" si="1"/>
        <v>1.1817241706848201</v>
      </c>
    </row>
    <row r="14" spans="1:25" s="6" customFormat="1" x14ac:dyDescent="0.35">
      <c r="A14" s="6" t="s">
        <v>25</v>
      </c>
      <c r="B14" s="7" t="s">
        <v>519</v>
      </c>
      <c r="C14" s="6">
        <v>510658</v>
      </c>
      <c r="D14" s="6" t="s">
        <v>520</v>
      </c>
      <c r="E14" s="6">
        <v>1</v>
      </c>
      <c r="F14" s="6">
        <v>8</v>
      </c>
      <c r="I14" s="8">
        <v>85.788680208333304</v>
      </c>
      <c r="J14" s="8">
        <v>120.807478194444</v>
      </c>
      <c r="K14" s="7" t="s">
        <v>2610</v>
      </c>
      <c r="L14" s="9">
        <v>43788</v>
      </c>
      <c r="N14" s="6">
        <v>8</v>
      </c>
      <c r="O14" s="6" t="s">
        <v>4264</v>
      </c>
      <c r="Q14" s="10">
        <v>200</v>
      </c>
      <c r="R14" s="10"/>
      <c r="S14" s="10">
        <v>200</v>
      </c>
      <c r="T14" s="10">
        <f t="shared" si="0"/>
        <v>200</v>
      </c>
      <c r="V14" s="8">
        <v>-1.4054230320930479</v>
      </c>
      <c r="W14" s="8">
        <v>-9.2816918754577653</v>
      </c>
      <c r="X14" s="8">
        <f t="shared" si="1"/>
        <v>1.9616923812866176</v>
      </c>
    </row>
    <row r="15" spans="1:25" s="6" customFormat="1" x14ac:dyDescent="0.35">
      <c r="A15" s="6" t="s">
        <v>25</v>
      </c>
      <c r="B15" s="7" t="s">
        <v>652</v>
      </c>
      <c r="C15" s="6">
        <v>510711</v>
      </c>
      <c r="D15" s="6" t="s">
        <v>653</v>
      </c>
      <c r="E15" s="6">
        <v>1</v>
      </c>
      <c r="F15" s="6">
        <v>9</v>
      </c>
      <c r="I15" s="8">
        <v>86.127193125000005</v>
      </c>
      <c r="J15" s="8">
        <v>119.116526111111</v>
      </c>
      <c r="K15" s="7" t="s">
        <v>2610</v>
      </c>
      <c r="L15" s="9">
        <v>43795</v>
      </c>
      <c r="N15" s="6">
        <v>9</v>
      </c>
      <c r="O15" s="6" t="s">
        <v>4271</v>
      </c>
      <c r="P15" s="8"/>
      <c r="Q15" s="10">
        <v>200</v>
      </c>
      <c r="R15" s="10"/>
      <c r="S15" s="10">
        <v>200</v>
      </c>
      <c r="T15" s="10">
        <f t="shared" si="0"/>
        <v>200</v>
      </c>
      <c r="U15" s="11"/>
      <c r="V15" s="8">
        <v>-1.6785204124450679</v>
      </c>
      <c r="W15" s="8">
        <v>-11.728925827026368</v>
      </c>
      <c r="X15" s="8">
        <f t="shared" si="1"/>
        <v>1.6992374725341755</v>
      </c>
    </row>
    <row r="16" spans="1:25" s="6" customFormat="1" x14ac:dyDescent="0.35">
      <c r="A16" s="6" t="s">
        <v>25</v>
      </c>
      <c r="B16" s="7" t="s">
        <v>768</v>
      </c>
      <c r="C16" s="6">
        <v>510961</v>
      </c>
      <c r="D16" s="6" t="s">
        <v>769</v>
      </c>
      <c r="E16" s="6">
        <v>1</v>
      </c>
      <c r="F16" s="6">
        <v>10</v>
      </c>
      <c r="I16" s="8">
        <v>86.141017361111096</v>
      </c>
      <c r="J16" s="8">
        <v>121.109937222222</v>
      </c>
      <c r="K16" s="7" t="s">
        <v>2610</v>
      </c>
      <c r="L16" s="9">
        <v>43804</v>
      </c>
      <c r="N16" s="6">
        <v>10</v>
      </c>
      <c r="O16" s="6" t="s">
        <v>4279</v>
      </c>
      <c r="Q16" s="10">
        <v>8000</v>
      </c>
      <c r="R16" s="10"/>
      <c r="S16" s="10">
        <v>8000</v>
      </c>
      <c r="T16" s="10">
        <f t="shared" si="0"/>
        <v>8000</v>
      </c>
      <c r="U16" s="11"/>
      <c r="V16" s="8">
        <v>-0.20202804239988351</v>
      </c>
      <c r="W16" s="8">
        <v>-0.47052039831876746</v>
      </c>
      <c r="X16" s="8">
        <f t="shared" si="1"/>
        <v>1.1457039408803005</v>
      </c>
    </row>
    <row r="17" spans="1:25" s="6" customFormat="1" x14ac:dyDescent="0.35">
      <c r="A17" s="6" t="s">
        <v>25</v>
      </c>
      <c r="B17" s="7" t="s">
        <v>770</v>
      </c>
      <c r="C17" s="6">
        <v>510882</v>
      </c>
      <c r="D17" s="6" t="s">
        <v>771</v>
      </c>
      <c r="E17" s="6">
        <v>1</v>
      </c>
      <c r="F17" s="6">
        <v>10</v>
      </c>
      <c r="I17" s="8">
        <v>86.141017361111096</v>
      </c>
      <c r="J17" s="8">
        <v>121.109937222222</v>
      </c>
      <c r="K17" s="7" t="s">
        <v>2610</v>
      </c>
      <c r="L17" s="9">
        <v>43804</v>
      </c>
      <c r="N17" s="6">
        <v>10</v>
      </c>
      <c r="O17" s="6" t="s">
        <v>4279</v>
      </c>
      <c r="Q17" s="10">
        <v>200</v>
      </c>
      <c r="R17" s="10"/>
      <c r="S17" s="10">
        <v>200</v>
      </c>
      <c r="T17" s="10">
        <f t="shared" si="0"/>
        <v>200</v>
      </c>
      <c r="U17" s="11"/>
      <c r="V17" s="8">
        <v>-1.6074396894454959</v>
      </c>
      <c r="W17" s="8">
        <v>-10.968270664215089</v>
      </c>
      <c r="X17" s="8">
        <f t="shared" si="1"/>
        <v>1.8912468513488783</v>
      </c>
    </row>
    <row r="18" spans="1:25" s="6" customFormat="1" x14ac:dyDescent="0.35">
      <c r="A18" s="6" t="s">
        <v>25</v>
      </c>
      <c r="B18" s="7" t="s">
        <v>786</v>
      </c>
      <c r="C18" s="6">
        <v>511109</v>
      </c>
      <c r="D18" s="6" t="s">
        <v>787</v>
      </c>
      <c r="E18" s="6">
        <v>1</v>
      </c>
      <c r="F18" s="6">
        <v>11</v>
      </c>
      <c r="I18" s="8">
        <v>86.597453888888893</v>
      </c>
      <c r="J18" s="8">
        <v>120.00289597222201</v>
      </c>
      <c r="K18" s="7" t="s">
        <v>2610</v>
      </c>
      <c r="L18" s="9">
        <v>43811</v>
      </c>
      <c r="N18" s="6">
        <v>11</v>
      </c>
      <c r="O18" s="6" t="s">
        <v>4286</v>
      </c>
      <c r="Q18" s="10">
        <v>200</v>
      </c>
      <c r="R18" s="10"/>
      <c r="S18" s="10">
        <v>200</v>
      </c>
      <c r="T18" s="10">
        <f t="shared" si="0"/>
        <v>200</v>
      </c>
      <c r="U18" s="11"/>
      <c r="V18" s="8">
        <v>-2.0572683525085451</v>
      </c>
      <c r="W18" s="8">
        <v>-14.418554840087891</v>
      </c>
      <c r="X18" s="8">
        <f t="shared" si="1"/>
        <v>2.0395919799804698</v>
      </c>
    </row>
    <row r="19" spans="1:25" s="6" customFormat="1" x14ac:dyDescent="0.35">
      <c r="A19" s="6" t="s">
        <v>25</v>
      </c>
      <c r="B19" s="7" t="s">
        <v>804</v>
      </c>
      <c r="D19" s="6" t="s">
        <v>805</v>
      </c>
      <c r="E19" s="6">
        <v>2</v>
      </c>
      <c r="F19" s="6">
        <v>17</v>
      </c>
      <c r="G19" s="6" t="s">
        <v>60</v>
      </c>
      <c r="I19" s="8">
        <v>86.624553194444402</v>
      </c>
      <c r="J19" s="8">
        <v>113.942889236111</v>
      </c>
      <c r="K19" s="7" t="s">
        <v>2610</v>
      </c>
      <c r="L19" s="9">
        <v>43823</v>
      </c>
      <c r="N19" s="6">
        <v>13</v>
      </c>
      <c r="O19" s="6" t="s">
        <v>4295</v>
      </c>
      <c r="Q19" s="10">
        <v>200</v>
      </c>
      <c r="R19" s="10"/>
      <c r="S19" s="10">
        <v>200</v>
      </c>
      <c r="T19" s="10">
        <f t="shared" si="0"/>
        <v>200</v>
      </c>
      <c r="U19" s="11"/>
      <c r="V19" s="8">
        <v>-1.9443574526786804</v>
      </c>
      <c r="W19" s="8">
        <v>-14.136230087280273</v>
      </c>
      <c r="X19" s="8">
        <f t="shared" si="1"/>
        <v>1.4186295341491704</v>
      </c>
    </row>
    <row r="20" spans="1:25" s="12" customFormat="1" x14ac:dyDescent="0.35">
      <c r="A20" s="6" t="s">
        <v>25</v>
      </c>
      <c r="B20" s="6"/>
      <c r="C20" s="6"/>
      <c r="D20" s="6" t="s">
        <v>815</v>
      </c>
      <c r="E20" s="6">
        <v>2</v>
      </c>
      <c r="F20" s="6">
        <v>18</v>
      </c>
      <c r="G20" s="6" t="s">
        <v>60</v>
      </c>
      <c r="H20" s="6"/>
      <c r="I20" s="8">
        <v>86.596660486111105</v>
      </c>
      <c r="J20" s="8">
        <v>117.880683611111</v>
      </c>
      <c r="K20" s="7" t="s">
        <v>2610</v>
      </c>
      <c r="L20" s="9">
        <v>43830</v>
      </c>
      <c r="M20" s="6"/>
      <c r="N20" s="6">
        <v>14</v>
      </c>
      <c r="O20" s="6" t="s">
        <v>4300</v>
      </c>
      <c r="P20" s="6"/>
      <c r="Q20" s="6">
        <v>3000</v>
      </c>
      <c r="R20" s="6"/>
      <c r="S20" s="6">
        <v>3000</v>
      </c>
      <c r="T20" s="10">
        <f t="shared" si="0"/>
        <v>3000</v>
      </c>
      <c r="U20" s="6"/>
      <c r="V20" s="8">
        <v>-1.8173896991729739</v>
      </c>
      <c r="W20" s="8">
        <v>-12.729236939239501</v>
      </c>
      <c r="X20" s="8">
        <f t="shared" si="1"/>
        <v>1.8098806541442904</v>
      </c>
      <c r="Y20" s="6"/>
    </row>
    <row r="21" spans="1:25" s="6" customFormat="1" x14ac:dyDescent="0.35">
      <c r="A21" s="6" t="s">
        <v>25</v>
      </c>
      <c r="D21" s="6" t="s">
        <v>815</v>
      </c>
      <c r="E21" s="6">
        <v>2</v>
      </c>
      <c r="F21" s="6">
        <v>18</v>
      </c>
      <c r="G21" s="6" t="s">
        <v>60</v>
      </c>
      <c r="I21" s="8">
        <v>86.596660486111105</v>
      </c>
      <c r="J21" s="8">
        <v>117.880683611111</v>
      </c>
      <c r="K21" s="7" t="s">
        <v>2610</v>
      </c>
      <c r="L21" s="9">
        <v>43830</v>
      </c>
      <c r="N21" s="6">
        <v>14</v>
      </c>
      <c r="O21" s="6" t="s">
        <v>4300</v>
      </c>
      <c r="Q21" s="6">
        <v>18000</v>
      </c>
      <c r="S21" s="6">
        <v>18000</v>
      </c>
      <c r="T21" s="10">
        <f t="shared" si="0"/>
        <v>18000</v>
      </c>
      <c r="V21" s="8">
        <v>2.9491032797098544E-2</v>
      </c>
      <c r="W21" s="8">
        <v>3.0379553000450135</v>
      </c>
      <c r="X21" s="8">
        <f t="shared" si="1"/>
        <v>2.8020270376682253</v>
      </c>
    </row>
    <row r="22" spans="1:25" s="6" customFormat="1" x14ac:dyDescent="0.35">
      <c r="A22" s="6" t="s">
        <v>25</v>
      </c>
      <c r="D22" s="6" t="s">
        <v>815</v>
      </c>
      <c r="E22" s="6">
        <v>2</v>
      </c>
      <c r="F22" s="6">
        <v>18</v>
      </c>
      <c r="G22" s="6" t="s">
        <v>60</v>
      </c>
      <c r="I22" s="8">
        <v>86.596660486111105</v>
      </c>
      <c r="J22" s="8">
        <v>117.880683611111</v>
      </c>
      <c r="K22" s="7" t="s">
        <v>2610</v>
      </c>
      <c r="L22" s="9">
        <v>43830</v>
      </c>
      <c r="N22" s="6">
        <v>14</v>
      </c>
      <c r="O22" s="6" t="s">
        <v>4300</v>
      </c>
      <c r="Q22" s="6">
        <v>11000</v>
      </c>
      <c r="S22" s="6">
        <v>11000</v>
      </c>
      <c r="T22" s="10">
        <f t="shared" si="0"/>
        <v>11000</v>
      </c>
      <c r="V22" s="8">
        <v>-0.20144880811572069</v>
      </c>
      <c r="W22" s="8">
        <v>1.2543870133876804</v>
      </c>
      <c r="X22" s="8">
        <f t="shared" si="1"/>
        <v>2.8659774783134457</v>
      </c>
    </row>
    <row r="23" spans="1:25" s="6" customFormat="1" x14ac:dyDescent="0.35">
      <c r="A23" s="6" t="s">
        <v>25</v>
      </c>
      <c r="D23" s="6" t="s">
        <v>815</v>
      </c>
      <c r="E23" s="6">
        <v>2</v>
      </c>
      <c r="F23" s="6">
        <v>18</v>
      </c>
      <c r="G23" s="6" t="s">
        <v>60</v>
      </c>
      <c r="I23" s="8">
        <v>86.596660486111105</v>
      </c>
      <c r="J23" s="8">
        <v>117.880683611111</v>
      </c>
      <c r="K23" s="7" t="s">
        <v>2610</v>
      </c>
      <c r="L23" s="9">
        <v>43830</v>
      </c>
      <c r="N23" s="6">
        <v>14</v>
      </c>
      <c r="O23" s="6" t="s">
        <v>4300</v>
      </c>
      <c r="Q23" s="6">
        <v>1000</v>
      </c>
      <c r="S23" s="6">
        <v>1000</v>
      </c>
      <c r="T23" s="10">
        <f t="shared" si="0"/>
        <v>1000</v>
      </c>
      <c r="V23" s="8">
        <v>-2.2269226047515875</v>
      </c>
      <c r="W23" s="8">
        <v>-14.445352931308744</v>
      </c>
      <c r="X23" s="8">
        <f t="shared" si="1"/>
        <v>3.3700279067039567</v>
      </c>
    </row>
    <row r="24" spans="1:25" s="6" customFormat="1" x14ac:dyDescent="0.35">
      <c r="A24" s="6" t="s">
        <v>25</v>
      </c>
      <c r="D24" s="6" t="s">
        <v>815</v>
      </c>
      <c r="E24" s="6">
        <v>2</v>
      </c>
      <c r="F24" s="6">
        <v>18</v>
      </c>
      <c r="G24" s="6" t="s">
        <v>60</v>
      </c>
      <c r="I24" s="8">
        <v>86.596660486111105</v>
      </c>
      <c r="J24" s="8">
        <v>117.880683611111</v>
      </c>
      <c r="K24" s="7" t="s">
        <v>2610</v>
      </c>
      <c r="L24" s="9">
        <v>43830</v>
      </c>
      <c r="N24" s="6">
        <v>14</v>
      </c>
      <c r="O24" s="6" t="s">
        <v>4300</v>
      </c>
      <c r="Q24" s="6">
        <v>4000</v>
      </c>
      <c r="S24" s="6">
        <v>4000</v>
      </c>
      <c r="T24" s="10">
        <f t="shared" si="0"/>
        <v>4000</v>
      </c>
      <c r="V24" s="8">
        <v>-1.1202306529998782</v>
      </c>
      <c r="W24" s="8">
        <v>-5.5403342512130749</v>
      </c>
      <c r="X24" s="8">
        <f t="shared" si="1"/>
        <v>3.421510972785951</v>
      </c>
    </row>
    <row r="25" spans="1:25" s="6" customFormat="1" x14ac:dyDescent="0.35">
      <c r="A25" s="6" t="s">
        <v>25</v>
      </c>
      <c r="D25" s="6" t="s">
        <v>815</v>
      </c>
      <c r="E25" s="6">
        <v>2</v>
      </c>
      <c r="F25" s="6">
        <v>18</v>
      </c>
      <c r="G25" s="6" t="s">
        <v>60</v>
      </c>
      <c r="I25" s="8">
        <v>86.596660486111105</v>
      </c>
      <c r="J25" s="8">
        <v>117.880683611111</v>
      </c>
      <c r="K25" s="7" t="s">
        <v>2610</v>
      </c>
      <c r="L25" s="9">
        <v>43830</v>
      </c>
      <c r="N25" s="6">
        <v>14</v>
      </c>
      <c r="O25" s="6" t="s">
        <v>4300</v>
      </c>
      <c r="Q25" s="6">
        <v>2000</v>
      </c>
      <c r="S25" s="6">
        <v>2000</v>
      </c>
      <c r="T25" s="10">
        <f t="shared" si="0"/>
        <v>2000</v>
      </c>
      <c r="V25" s="8">
        <v>-2.074604381453991</v>
      </c>
      <c r="W25" s="8">
        <v>-13.053091073799134</v>
      </c>
      <c r="X25" s="8">
        <f t="shared" si="1"/>
        <v>3.5437439778327935</v>
      </c>
    </row>
    <row r="26" spans="1:25" s="6" customFormat="1" x14ac:dyDescent="0.35">
      <c r="A26" s="6" t="s">
        <v>25</v>
      </c>
      <c r="D26" s="6" t="s">
        <v>815</v>
      </c>
      <c r="E26" s="6">
        <v>2</v>
      </c>
      <c r="F26" s="6">
        <v>18</v>
      </c>
      <c r="G26" s="6" t="s">
        <v>60</v>
      </c>
      <c r="I26" s="8">
        <v>86.596660486111105</v>
      </c>
      <c r="J26" s="8">
        <v>117.880683611111</v>
      </c>
      <c r="K26" s="7" t="s">
        <v>2610</v>
      </c>
      <c r="L26" s="9">
        <v>43830</v>
      </c>
      <c r="N26" s="6">
        <v>14</v>
      </c>
      <c r="O26" s="6" t="s">
        <v>4300</v>
      </c>
      <c r="Q26" s="6">
        <v>200</v>
      </c>
      <c r="S26" s="6">
        <v>200</v>
      </c>
      <c r="T26" s="10">
        <f t="shared" si="0"/>
        <v>200</v>
      </c>
      <c r="V26" s="8">
        <v>-2.3857291835069656</v>
      </c>
      <c r="W26" s="8">
        <v>-15.212007705974578</v>
      </c>
      <c r="X26" s="8">
        <f t="shared" si="1"/>
        <v>3.8738257620811467</v>
      </c>
    </row>
    <row r="27" spans="1:25" s="6" customFormat="1" x14ac:dyDescent="0.35">
      <c r="A27" s="6" t="s">
        <v>25</v>
      </c>
      <c r="D27" s="6" t="s">
        <v>815</v>
      </c>
      <c r="E27" s="6">
        <v>2</v>
      </c>
      <c r="F27" s="6">
        <v>18</v>
      </c>
      <c r="G27" s="6" t="s">
        <v>60</v>
      </c>
      <c r="I27" s="8">
        <v>86.596660486111105</v>
      </c>
      <c r="J27" s="8">
        <v>117.880683611111</v>
      </c>
      <c r="K27" s="7" t="s">
        <v>2610</v>
      </c>
      <c r="L27" s="9">
        <v>43830</v>
      </c>
      <c r="N27" s="6">
        <v>14</v>
      </c>
      <c r="O27" s="6" t="s">
        <v>4300</v>
      </c>
      <c r="Q27" s="6">
        <v>15000</v>
      </c>
      <c r="S27" s="6">
        <v>15000</v>
      </c>
      <c r="T27" s="10">
        <f t="shared" si="0"/>
        <v>15000</v>
      </c>
      <c r="V27" s="8">
        <v>-0.91525905908346228</v>
      </c>
      <c r="W27" s="8">
        <v>-2.7776823490142823</v>
      </c>
      <c r="X27" s="8">
        <f t="shared" si="1"/>
        <v>4.5443901236534163</v>
      </c>
    </row>
    <row r="28" spans="1:25" s="6" customFormat="1" x14ac:dyDescent="0.35">
      <c r="A28" s="6" t="s">
        <v>25</v>
      </c>
      <c r="D28" s="6" t="s">
        <v>815</v>
      </c>
      <c r="E28" s="6">
        <v>2</v>
      </c>
      <c r="F28" s="6">
        <v>18</v>
      </c>
      <c r="G28" s="6" t="s">
        <v>60</v>
      </c>
      <c r="I28" s="8">
        <v>86.596660486111105</v>
      </c>
      <c r="J28" s="8">
        <v>117.880683611111</v>
      </c>
      <c r="K28" s="7" t="s">
        <v>2610</v>
      </c>
      <c r="L28" s="9">
        <v>43830</v>
      </c>
      <c r="N28" s="6">
        <v>14</v>
      </c>
      <c r="O28" s="6" t="s">
        <v>4300</v>
      </c>
      <c r="Q28" s="6">
        <v>7500</v>
      </c>
      <c r="S28" s="6">
        <v>7500</v>
      </c>
      <c r="T28" s="10">
        <f t="shared" si="0"/>
        <v>7500</v>
      </c>
      <c r="V28" s="8">
        <v>-0.8874968391180037</v>
      </c>
      <c r="W28" s="8">
        <v>-0.5685390369772908</v>
      </c>
      <c r="X28" s="8">
        <f t="shared" si="1"/>
        <v>6.5314356759667387</v>
      </c>
    </row>
    <row r="29" spans="1:25" s="6" customFormat="1" x14ac:dyDescent="0.35">
      <c r="A29" s="6" t="s">
        <v>25</v>
      </c>
      <c r="B29" s="7" t="s">
        <v>847</v>
      </c>
      <c r="D29" s="6" t="s">
        <v>848</v>
      </c>
      <c r="E29" s="6">
        <v>2</v>
      </c>
      <c r="F29" s="6">
        <v>19</v>
      </c>
      <c r="G29" s="6" t="s">
        <v>60</v>
      </c>
      <c r="I29" s="8">
        <v>87.103055694444393</v>
      </c>
      <c r="J29" s="8">
        <v>115.160686597222</v>
      </c>
      <c r="K29" s="7" t="s">
        <v>2610</v>
      </c>
      <c r="L29" s="9">
        <v>43836</v>
      </c>
      <c r="N29" s="6">
        <v>15</v>
      </c>
      <c r="O29" s="6" t="s">
        <v>4271</v>
      </c>
      <c r="Q29" s="10">
        <v>200</v>
      </c>
      <c r="R29" s="10"/>
      <c r="S29" s="10">
        <v>200</v>
      </c>
      <c r="T29" s="10">
        <f t="shared" si="0"/>
        <v>200</v>
      </c>
      <c r="U29" s="11"/>
      <c r="V29" s="8">
        <v>-2.3387736280441285</v>
      </c>
      <c r="W29" s="8">
        <v>-16.735319030761719</v>
      </c>
      <c r="X29" s="8">
        <f t="shared" si="1"/>
        <v>1.9748699935913088</v>
      </c>
    </row>
    <row r="30" spans="1:25" s="12" customFormat="1" x14ac:dyDescent="0.35">
      <c r="A30" s="6" t="s">
        <v>25</v>
      </c>
      <c r="B30" s="6"/>
      <c r="C30" s="6"/>
      <c r="D30" s="6" t="s">
        <v>873</v>
      </c>
      <c r="E30" s="6">
        <v>2</v>
      </c>
      <c r="F30" s="6">
        <v>20</v>
      </c>
      <c r="G30" s="6" t="s">
        <v>60</v>
      </c>
      <c r="H30" s="6"/>
      <c r="I30" s="8">
        <v>87.410233125000005</v>
      </c>
      <c r="J30" s="8">
        <v>105.00010493055601</v>
      </c>
      <c r="K30" s="7" t="s">
        <v>2610</v>
      </c>
      <c r="L30" s="9">
        <v>43844</v>
      </c>
      <c r="M30" s="6"/>
      <c r="N30" s="6">
        <v>16</v>
      </c>
      <c r="O30" s="6" t="s">
        <v>4309</v>
      </c>
      <c r="P30" s="6"/>
      <c r="Q30" s="6">
        <v>7500</v>
      </c>
      <c r="R30" s="6"/>
      <c r="S30" s="6">
        <v>7500</v>
      </c>
      <c r="T30" s="10">
        <f t="shared" si="0"/>
        <v>7500</v>
      </c>
      <c r="U30" s="6"/>
      <c r="V30" s="8">
        <v>-0.45240036748051676</v>
      </c>
      <c r="W30" s="8">
        <v>-3.9331091411590577</v>
      </c>
      <c r="X30" s="8">
        <f t="shared" si="1"/>
        <v>-0.31390620131492364</v>
      </c>
      <c r="Y30" s="6"/>
    </row>
    <row r="31" spans="1:25" s="6" customFormat="1" x14ac:dyDescent="0.35">
      <c r="A31" s="6" t="s">
        <v>25</v>
      </c>
      <c r="D31" s="6" t="s">
        <v>873</v>
      </c>
      <c r="E31" s="6">
        <v>2</v>
      </c>
      <c r="F31" s="6">
        <v>20</v>
      </c>
      <c r="G31" s="6" t="s">
        <v>60</v>
      </c>
      <c r="I31" s="8">
        <v>87.410233125000005</v>
      </c>
      <c r="J31" s="8">
        <v>105.00010493055601</v>
      </c>
      <c r="K31" s="7" t="s">
        <v>2610</v>
      </c>
      <c r="L31" s="9">
        <v>43844</v>
      </c>
      <c r="N31" s="6">
        <v>16</v>
      </c>
      <c r="O31" s="6" t="s">
        <v>4309</v>
      </c>
      <c r="Q31" s="6">
        <v>200</v>
      </c>
      <c r="S31" s="6">
        <v>200</v>
      </c>
      <c r="T31" s="10">
        <f t="shared" si="0"/>
        <v>200</v>
      </c>
      <c r="V31" s="8">
        <v>-2.3629475495338434</v>
      </c>
      <c r="W31" s="8">
        <v>-17.695050782012938</v>
      </c>
      <c r="X31" s="8">
        <f t="shared" si="1"/>
        <v>1.2085296142578095</v>
      </c>
    </row>
    <row r="32" spans="1:25" s="6" customFormat="1" x14ac:dyDescent="0.35">
      <c r="A32" s="6" t="s">
        <v>25</v>
      </c>
      <c r="D32" s="6" t="s">
        <v>873</v>
      </c>
      <c r="E32" s="6">
        <v>2</v>
      </c>
      <c r="F32" s="6">
        <v>20</v>
      </c>
      <c r="G32" s="6" t="s">
        <v>60</v>
      </c>
      <c r="I32" s="8">
        <v>87.410233125000005</v>
      </c>
      <c r="J32" s="8">
        <v>105.00010493055601</v>
      </c>
      <c r="K32" s="7" t="s">
        <v>2610</v>
      </c>
      <c r="L32" s="9">
        <v>43844</v>
      </c>
      <c r="N32" s="6">
        <v>16</v>
      </c>
      <c r="O32" s="6" t="s">
        <v>4309</v>
      </c>
      <c r="Q32" s="6">
        <v>11000</v>
      </c>
      <c r="S32" s="6">
        <v>11000</v>
      </c>
      <c r="T32" s="10">
        <f t="shared" si="0"/>
        <v>11000</v>
      </c>
      <c r="V32" s="8">
        <v>-0.14419811041727623</v>
      </c>
      <c r="W32" s="8">
        <v>0.43392889506816867</v>
      </c>
      <c r="X32" s="8">
        <f t="shared" si="1"/>
        <v>1.5875137784063784</v>
      </c>
    </row>
    <row r="33" spans="1:25" s="6" customFormat="1" x14ac:dyDescent="0.35">
      <c r="A33" s="6" t="s">
        <v>25</v>
      </c>
      <c r="D33" s="6" t="s">
        <v>873</v>
      </c>
      <c r="E33" s="6">
        <v>2</v>
      </c>
      <c r="F33" s="6">
        <v>20</v>
      </c>
      <c r="G33" s="6" t="s">
        <v>60</v>
      </c>
      <c r="I33" s="8">
        <v>87.410233125000005</v>
      </c>
      <c r="J33" s="8">
        <v>105.00010493055601</v>
      </c>
      <c r="K33" s="7" t="s">
        <v>2610</v>
      </c>
      <c r="L33" s="9">
        <v>43844</v>
      </c>
      <c r="N33" s="6">
        <v>16</v>
      </c>
      <c r="O33" s="6" t="s">
        <v>4309</v>
      </c>
      <c r="Q33" s="6">
        <v>5000</v>
      </c>
      <c r="S33" s="6">
        <v>5000</v>
      </c>
      <c r="T33" s="10">
        <f t="shared" si="0"/>
        <v>5000</v>
      </c>
      <c r="V33" s="8">
        <v>-1.178406262397766</v>
      </c>
      <c r="W33" s="8">
        <v>-7.5584688282012937</v>
      </c>
      <c r="X33" s="8">
        <f t="shared" si="1"/>
        <v>1.8687812709808345</v>
      </c>
    </row>
    <row r="34" spans="1:25" s="6" customFormat="1" x14ac:dyDescent="0.35">
      <c r="A34" s="6" t="s">
        <v>25</v>
      </c>
      <c r="D34" s="6" t="s">
        <v>873</v>
      </c>
      <c r="E34" s="6">
        <v>2</v>
      </c>
      <c r="F34" s="6">
        <v>20</v>
      </c>
      <c r="G34" s="6" t="s">
        <v>60</v>
      </c>
      <c r="I34" s="8">
        <v>87.410233125000005</v>
      </c>
      <c r="J34" s="8">
        <v>105.00010493055601</v>
      </c>
      <c r="K34" s="7" t="s">
        <v>2610</v>
      </c>
      <c r="L34" s="9">
        <v>43844</v>
      </c>
      <c r="N34" s="6">
        <v>16</v>
      </c>
      <c r="O34" s="6" t="s">
        <v>4309</v>
      </c>
      <c r="Q34" s="6">
        <v>1000</v>
      </c>
      <c r="S34" s="6">
        <v>1000</v>
      </c>
      <c r="T34" s="10">
        <f t="shared" si="0"/>
        <v>1000</v>
      </c>
      <c r="V34" s="8">
        <v>-2.5152787675380703</v>
      </c>
      <c r="W34" s="8">
        <v>-17.929769451904296</v>
      </c>
      <c r="X34" s="8">
        <f t="shared" ref="X34:X65" si="2">W34-(8*V34)</f>
        <v>2.1924606884002671</v>
      </c>
    </row>
    <row r="35" spans="1:25" s="6" customFormat="1" x14ac:dyDescent="0.35">
      <c r="A35" s="6" t="s">
        <v>25</v>
      </c>
      <c r="D35" s="6" t="s">
        <v>873</v>
      </c>
      <c r="E35" s="6">
        <v>2</v>
      </c>
      <c r="F35" s="6">
        <v>20</v>
      </c>
      <c r="G35" s="6" t="s">
        <v>60</v>
      </c>
      <c r="I35" s="8">
        <v>87.410233125000005</v>
      </c>
      <c r="J35" s="8">
        <v>105.00010493055601</v>
      </c>
      <c r="K35" s="7" t="s">
        <v>2610</v>
      </c>
      <c r="L35" s="9">
        <v>43844</v>
      </c>
      <c r="N35" s="6">
        <v>16</v>
      </c>
      <c r="O35" s="6" t="s">
        <v>4309</v>
      </c>
      <c r="Q35" s="6">
        <v>3000</v>
      </c>
      <c r="S35" s="6">
        <v>3000</v>
      </c>
      <c r="T35" s="10">
        <f t="shared" si="0"/>
        <v>3000</v>
      </c>
      <c r="V35" s="8">
        <v>-2.5970960344791414</v>
      </c>
      <c r="W35" s="8">
        <v>-17.94151647644043</v>
      </c>
      <c r="X35" s="8">
        <f t="shared" si="2"/>
        <v>2.8352517993927009</v>
      </c>
    </row>
    <row r="36" spans="1:25" s="12" customFormat="1" x14ac:dyDescent="0.35">
      <c r="A36" s="6" t="s">
        <v>25</v>
      </c>
      <c r="B36" s="7" t="s">
        <v>919</v>
      </c>
      <c r="C36" s="6"/>
      <c r="D36" s="6" t="s">
        <v>920</v>
      </c>
      <c r="E36" s="6">
        <v>2</v>
      </c>
      <c r="F36" s="6">
        <v>21</v>
      </c>
      <c r="G36" s="6" t="s">
        <v>60</v>
      </c>
      <c r="H36" s="6"/>
      <c r="I36" s="8">
        <v>87.487058888888896</v>
      </c>
      <c r="J36" s="8">
        <v>96.100724513888906</v>
      </c>
      <c r="K36" s="7" t="s">
        <v>2610</v>
      </c>
      <c r="L36" s="9">
        <v>43851</v>
      </c>
      <c r="M36" s="6"/>
      <c r="N36" s="6">
        <v>17</v>
      </c>
      <c r="O36" s="6" t="s">
        <v>4275</v>
      </c>
      <c r="P36" s="6"/>
      <c r="Q36" s="10">
        <v>200</v>
      </c>
      <c r="R36" s="10"/>
      <c r="S36" s="10">
        <v>200</v>
      </c>
      <c r="T36" s="10">
        <f t="shared" si="0"/>
        <v>200</v>
      </c>
      <c r="U36" s="11"/>
      <c r="V36" s="8">
        <v>-2.422838051605225</v>
      </c>
      <c r="W36" s="8">
        <v>-17.202125802993773</v>
      </c>
      <c r="X36" s="8">
        <f t="shared" si="2"/>
        <v>2.1805786098480269</v>
      </c>
      <c r="Y36" s="6"/>
    </row>
    <row r="37" spans="1:25" s="12" customFormat="1" x14ac:dyDescent="0.35">
      <c r="A37" s="6" t="s">
        <v>25</v>
      </c>
      <c r="B37" s="6"/>
      <c r="C37" s="6"/>
      <c r="D37" s="6" t="s">
        <v>936</v>
      </c>
      <c r="E37" s="6">
        <v>2</v>
      </c>
      <c r="F37" s="6">
        <v>21</v>
      </c>
      <c r="G37" s="6" t="s">
        <v>60</v>
      </c>
      <c r="H37" s="6"/>
      <c r="I37" s="8">
        <v>87.419073263888905</v>
      </c>
      <c r="J37" s="8">
        <v>93.107981180555598</v>
      </c>
      <c r="K37" s="7" t="s">
        <v>2610</v>
      </c>
      <c r="L37" s="9">
        <v>43854</v>
      </c>
      <c r="M37" s="6"/>
      <c r="N37" s="6">
        <v>17</v>
      </c>
      <c r="O37" s="6" t="s">
        <v>4272</v>
      </c>
      <c r="P37" s="6"/>
      <c r="Q37" s="6">
        <v>3000</v>
      </c>
      <c r="R37" s="6"/>
      <c r="S37" s="6">
        <v>3000</v>
      </c>
      <c r="T37" s="10">
        <f t="shared" si="0"/>
        <v>3000</v>
      </c>
      <c r="U37" s="6"/>
      <c r="V37" s="8">
        <v>-2.2576361379146572</v>
      </c>
      <c r="W37" s="8">
        <v>-16.563969457435608</v>
      </c>
      <c r="X37" s="8">
        <f t="shared" si="2"/>
        <v>1.49711964588165</v>
      </c>
      <c r="Y37" s="6"/>
    </row>
    <row r="38" spans="1:25" s="6" customFormat="1" x14ac:dyDescent="0.35">
      <c r="A38" s="6" t="s">
        <v>25</v>
      </c>
      <c r="D38" s="6" t="s">
        <v>936</v>
      </c>
      <c r="E38" s="6">
        <v>2</v>
      </c>
      <c r="F38" s="6">
        <v>21</v>
      </c>
      <c r="G38" s="6" t="s">
        <v>60</v>
      </c>
      <c r="I38" s="8">
        <v>87.419073263888905</v>
      </c>
      <c r="J38" s="8">
        <v>93.107981180555598</v>
      </c>
      <c r="K38" s="7" t="s">
        <v>2610</v>
      </c>
      <c r="L38" s="9">
        <v>43854</v>
      </c>
      <c r="N38" s="6">
        <v>17</v>
      </c>
      <c r="O38" s="6" t="s">
        <v>4272</v>
      </c>
      <c r="Q38" s="6">
        <v>5000</v>
      </c>
      <c r="S38" s="6">
        <v>5000</v>
      </c>
      <c r="T38" s="10">
        <f t="shared" si="0"/>
        <v>5000</v>
      </c>
      <c r="V38" s="8">
        <v>-1.2182520902872092</v>
      </c>
      <c r="W38" s="8">
        <v>-7.8900735209465038</v>
      </c>
      <c r="X38" s="8">
        <f t="shared" si="2"/>
        <v>1.8559432013511694</v>
      </c>
    </row>
    <row r="39" spans="1:25" s="12" customFormat="1" x14ac:dyDescent="0.35">
      <c r="A39" s="6" t="s">
        <v>25</v>
      </c>
      <c r="B39" s="6"/>
      <c r="C39" s="6"/>
      <c r="D39" s="6" t="s">
        <v>936</v>
      </c>
      <c r="E39" s="6">
        <v>2</v>
      </c>
      <c r="F39" s="6">
        <v>21</v>
      </c>
      <c r="G39" s="6" t="s">
        <v>60</v>
      </c>
      <c r="H39" s="6"/>
      <c r="I39" s="8">
        <v>87.419073263888905</v>
      </c>
      <c r="J39" s="8">
        <v>93.107981180555598</v>
      </c>
      <c r="K39" s="7" t="s">
        <v>2610</v>
      </c>
      <c r="L39" s="9">
        <v>43854</v>
      </c>
      <c r="M39" s="6"/>
      <c r="N39" s="6">
        <v>17</v>
      </c>
      <c r="O39" s="6" t="s">
        <v>4272</v>
      </c>
      <c r="P39" s="6"/>
      <c r="Q39" s="6">
        <v>7500</v>
      </c>
      <c r="R39" s="6"/>
      <c r="S39" s="6">
        <v>7500</v>
      </c>
      <c r="T39" s="10">
        <f t="shared" si="0"/>
        <v>7500</v>
      </c>
      <c r="U39" s="6"/>
      <c r="V39" s="8">
        <v>-0.46277144337892551</v>
      </c>
      <c r="W39" s="8">
        <v>-1.2971895361423489</v>
      </c>
      <c r="X39" s="8">
        <f t="shared" si="2"/>
        <v>2.4049820108890554</v>
      </c>
      <c r="Y39" s="6"/>
    </row>
    <row r="40" spans="1:25" s="6" customFormat="1" x14ac:dyDescent="0.35">
      <c r="A40" s="6" t="s">
        <v>25</v>
      </c>
      <c r="D40" s="6" t="s">
        <v>936</v>
      </c>
      <c r="E40" s="6">
        <v>2</v>
      </c>
      <c r="F40" s="6">
        <v>21</v>
      </c>
      <c r="G40" s="6" t="s">
        <v>60</v>
      </c>
      <c r="I40" s="8">
        <v>87.419073263888905</v>
      </c>
      <c r="J40" s="8">
        <v>93.107981180555598</v>
      </c>
      <c r="K40" s="7" t="s">
        <v>2610</v>
      </c>
      <c r="L40" s="9">
        <v>43854</v>
      </c>
      <c r="N40" s="6">
        <v>17</v>
      </c>
      <c r="O40" s="6" t="s">
        <v>4272</v>
      </c>
      <c r="Q40" s="6">
        <v>200</v>
      </c>
      <c r="S40" s="6">
        <v>200</v>
      </c>
      <c r="T40" s="10">
        <f t="shared" si="0"/>
        <v>200</v>
      </c>
      <c r="V40" s="8">
        <v>-2.3674267866134646</v>
      </c>
      <c r="W40" s="8">
        <v>-16.523670038986204</v>
      </c>
      <c r="X40" s="8">
        <f t="shared" si="2"/>
        <v>2.4157442539215133</v>
      </c>
    </row>
    <row r="41" spans="1:25" s="6" customFormat="1" x14ac:dyDescent="0.35">
      <c r="A41" s="6" t="s">
        <v>25</v>
      </c>
      <c r="D41" s="6" t="s">
        <v>936</v>
      </c>
      <c r="E41" s="6">
        <v>2</v>
      </c>
      <c r="F41" s="6">
        <v>21</v>
      </c>
      <c r="G41" s="6" t="s">
        <v>60</v>
      </c>
      <c r="I41" s="8">
        <v>87.419073263888905</v>
      </c>
      <c r="J41" s="8">
        <v>93.107981180555598</v>
      </c>
      <c r="K41" s="7" t="s">
        <v>2610</v>
      </c>
      <c r="L41" s="9">
        <v>43854</v>
      </c>
      <c r="N41" s="6">
        <v>17</v>
      </c>
      <c r="O41" s="6" t="s">
        <v>4272</v>
      </c>
      <c r="Q41" s="6">
        <v>4000</v>
      </c>
      <c r="S41" s="6">
        <v>4000</v>
      </c>
      <c r="T41" s="10">
        <f t="shared" si="0"/>
        <v>4000</v>
      </c>
      <c r="V41" s="8">
        <v>-1.7519939850091932</v>
      </c>
      <c r="W41" s="8">
        <v>-11.062878605651855</v>
      </c>
      <c r="X41" s="8">
        <f t="shared" si="2"/>
        <v>2.9530732744216905</v>
      </c>
    </row>
    <row r="42" spans="1:25" s="6" customFormat="1" x14ac:dyDescent="0.35">
      <c r="A42" s="6" t="s">
        <v>25</v>
      </c>
      <c r="D42" s="6" t="s">
        <v>936</v>
      </c>
      <c r="E42" s="6">
        <v>2</v>
      </c>
      <c r="F42" s="6">
        <v>21</v>
      </c>
      <c r="G42" s="6" t="s">
        <v>60</v>
      </c>
      <c r="I42" s="8">
        <v>87.419073263888905</v>
      </c>
      <c r="J42" s="8">
        <v>93.107981180555598</v>
      </c>
      <c r="K42" s="7" t="s">
        <v>2610</v>
      </c>
      <c r="L42" s="9">
        <v>43854</v>
      </c>
      <c r="N42" s="6">
        <v>17</v>
      </c>
      <c r="O42" s="6" t="s">
        <v>4272</v>
      </c>
      <c r="Q42" s="6">
        <v>1000</v>
      </c>
      <c r="S42" s="6">
        <v>1000</v>
      </c>
      <c r="T42" s="10">
        <f t="shared" si="0"/>
        <v>1000</v>
      </c>
      <c r="V42" s="8">
        <v>-2.5213418278217321</v>
      </c>
      <c r="W42" s="8">
        <v>-16.528781152534485</v>
      </c>
      <c r="X42" s="8">
        <f t="shared" si="2"/>
        <v>3.6419534700393719</v>
      </c>
    </row>
    <row r="43" spans="1:25" s="6" customFormat="1" x14ac:dyDescent="0.35">
      <c r="A43" s="6" t="s">
        <v>25</v>
      </c>
      <c r="B43" s="7" t="s">
        <v>937</v>
      </c>
      <c r="D43" s="6" t="s">
        <v>938</v>
      </c>
      <c r="E43" s="6">
        <v>2</v>
      </c>
      <c r="F43" s="6">
        <v>21</v>
      </c>
      <c r="G43" s="6" t="s">
        <v>60</v>
      </c>
      <c r="I43" s="8">
        <v>87.404358611111107</v>
      </c>
      <c r="J43" s="8">
        <v>92.881176874999994</v>
      </c>
      <c r="K43" s="7" t="s">
        <v>2610</v>
      </c>
      <c r="L43" s="9">
        <v>43855</v>
      </c>
      <c r="N43" s="6">
        <v>17</v>
      </c>
      <c r="O43" s="6" t="s">
        <v>4293</v>
      </c>
      <c r="Q43" s="10"/>
      <c r="R43" s="10"/>
      <c r="S43" s="10"/>
      <c r="T43" s="10"/>
      <c r="U43" s="11"/>
      <c r="V43" s="8">
        <v>-2.360061213188172</v>
      </c>
      <c r="W43" s="8">
        <v>-16.783036460876463</v>
      </c>
      <c r="X43" s="8">
        <f t="shared" si="2"/>
        <v>2.0974532446289125</v>
      </c>
    </row>
    <row r="44" spans="1:25" s="6" customFormat="1" x14ac:dyDescent="0.35">
      <c r="A44" s="6" t="s">
        <v>25</v>
      </c>
      <c r="B44" s="7" t="s">
        <v>946</v>
      </c>
      <c r="D44" s="6" t="s">
        <v>947</v>
      </c>
      <c r="E44" s="6">
        <v>2</v>
      </c>
      <c r="F44" s="6">
        <v>21</v>
      </c>
      <c r="G44" s="6" t="s">
        <v>60</v>
      </c>
      <c r="I44" s="8">
        <v>87.416636944444406</v>
      </c>
      <c r="J44" s="8">
        <v>93.8729894444444</v>
      </c>
      <c r="K44" s="7" t="s">
        <v>2610</v>
      </c>
      <c r="L44" s="9">
        <v>43856</v>
      </c>
      <c r="N44" s="6">
        <v>17</v>
      </c>
      <c r="O44" s="6" t="s">
        <v>4315</v>
      </c>
      <c r="Q44" s="10">
        <v>200</v>
      </c>
      <c r="R44" s="10"/>
      <c r="S44" s="10">
        <v>200</v>
      </c>
      <c r="T44" s="10">
        <f>AVERAGE(R44:S44)</f>
        <v>200</v>
      </c>
      <c r="U44" s="11"/>
      <c r="V44" s="8">
        <v>-2.3122303282546999</v>
      </c>
      <c r="W44" s="8">
        <v>-17.076071205139161</v>
      </c>
      <c r="X44" s="8">
        <f t="shared" si="2"/>
        <v>1.4217714208984376</v>
      </c>
    </row>
    <row r="45" spans="1:25" s="6" customFormat="1" x14ac:dyDescent="0.35">
      <c r="A45" s="6" t="s">
        <v>25</v>
      </c>
      <c r="B45" s="7" t="s">
        <v>963</v>
      </c>
      <c r="D45" s="6" t="s">
        <v>964</v>
      </c>
      <c r="E45" s="6">
        <v>2</v>
      </c>
      <c r="F45" s="6">
        <v>21</v>
      </c>
      <c r="G45" s="6" t="s">
        <v>60</v>
      </c>
      <c r="I45" s="8">
        <v>87.445388611111099</v>
      </c>
      <c r="J45" s="8">
        <v>95.6823715972222</v>
      </c>
      <c r="K45" s="7" t="s">
        <v>2610</v>
      </c>
      <c r="L45" s="9">
        <v>43857</v>
      </c>
      <c r="N45" s="6">
        <v>18</v>
      </c>
      <c r="O45" s="6" t="s">
        <v>4256</v>
      </c>
      <c r="Q45" s="10">
        <v>500</v>
      </c>
      <c r="R45" s="10"/>
      <c r="S45" s="10">
        <v>500</v>
      </c>
      <c r="T45" s="10">
        <f>AVERAGE(R45:S45)</f>
        <v>500</v>
      </c>
      <c r="U45" s="11"/>
      <c r="V45" s="8">
        <v>-2.4150826299667361</v>
      </c>
      <c r="W45" s="8">
        <v>-17.2490415725708</v>
      </c>
      <c r="X45" s="8">
        <f t="shared" si="2"/>
        <v>2.0716194671630888</v>
      </c>
    </row>
    <row r="46" spans="1:25" s="6" customFormat="1" x14ac:dyDescent="0.35">
      <c r="A46" s="6" t="s">
        <v>25</v>
      </c>
      <c r="B46" s="7" t="s">
        <v>965</v>
      </c>
      <c r="D46" s="6" t="s">
        <v>966</v>
      </c>
      <c r="E46" s="6">
        <v>2</v>
      </c>
      <c r="F46" s="6">
        <v>22</v>
      </c>
      <c r="G46" s="6" t="s">
        <v>60</v>
      </c>
      <c r="I46" s="8">
        <v>87.457001180555594</v>
      </c>
      <c r="J46" s="8">
        <v>95.7129143055556</v>
      </c>
      <c r="K46" s="7" t="s">
        <v>2610</v>
      </c>
      <c r="L46" s="9">
        <v>43858</v>
      </c>
      <c r="N46" s="6">
        <v>18</v>
      </c>
      <c r="O46" s="6" t="s">
        <v>4316</v>
      </c>
      <c r="Q46" s="10">
        <v>200</v>
      </c>
      <c r="R46" s="10"/>
      <c r="S46" s="10">
        <v>200</v>
      </c>
      <c r="T46" s="10">
        <f>AVERAGE(R46:S46)</f>
        <v>200</v>
      </c>
      <c r="U46" s="11"/>
      <c r="V46" s="8">
        <v>-2.5021866295933721</v>
      </c>
      <c r="W46" s="8">
        <v>-16.853603994369507</v>
      </c>
      <c r="X46" s="8">
        <f t="shared" si="2"/>
        <v>3.1638890423774697</v>
      </c>
    </row>
    <row r="47" spans="1:25" s="6" customFormat="1" x14ac:dyDescent="0.35">
      <c r="A47" s="6" t="s">
        <v>25</v>
      </c>
      <c r="B47" s="7" t="s">
        <v>992</v>
      </c>
      <c r="D47" s="6" t="s">
        <v>993</v>
      </c>
      <c r="E47" s="6">
        <v>2</v>
      </c>
      <c r="F47" s="6">
        <v>22</v>
      </c>
      <c r="G47" s="6" t="s">
        <v>60</v>
      </c>
      <c r="I47" s="8">
        <v>87.462478125000004</v>
      </c>
      <c r="J47" s="8">
        <v>96.385650277777799</v>
      </c>
      <c r="K47" s="7" t="s">
        <v>2610</v>
      </c>
      <c r="L47" s="9">
        <v>43861</v>
      </c>
      <c r="N47" s="6">
        <v>18</v>
      </c>
      <c r="O47" s="6" t="s">
        <v>4319</v>
      </c>
      <c r="Q47" s="10">
        <v>500</v>
      </c>
      <c r="R47" s="10"/>
      <c r="S47" s="10">
        <v>500</v>
      </c>
      <c r="T47" s="10">
        <f>AVERAGE(R47:S47)</f>
        <v>500</v>
      </c>
      <c r="U47" s="11"/>
      <c r="V47" s="8">
        <v>-2.4452790737152101</v>
      </c>
      <c r="W47" s="8">
        <v>-16.80600695075989</v>
      </c>
      <c r="X47" s="8">
        <f t="shared" si="2"/>
        <v>2.7562256389617907</v>
      </c>
    </row>
    <row r="48" spans="1:25" s="6" customFormat="1" x14ac:dyDescent="0.35">
      <c r="A48" s="6" t="s">
        <v>25</v>
      </c>
      <c r="D48" s="6" t="s">
        <v>1008</v>
      </c>
      <c r="E48" s="6">
        <v>2</v>
      </c>
      <c r="F48" s="6">
        <v>23</v>
      </c>
      <c r="G48" s="6" t="s">
        <v>60</v>
      </c>
      <c r="I48" s="8">
        <v>87.421801597222199</v>
      </c>
      <c r="J48" s="8">
        <v>93.663609583333297</v>
      </c>
      <c r="K48" s="7" t="s">
        <v>2610</v>
      </c>
      <c r="L48" s="9">
        <v>43864</v>
      </c>
      <c r="N48" s="6">
        <v>19</v>
      </c>
      <c r="O48" s="6" t="s">
        <v>4322</v>
      </c>
      <c r="T48" s="10"/>
      <c r="V48" s="8">
        <v>-0.60798327453136491</v>
      </c>
      <c r="W48" s="8">
        <v>-4.2147322736263275</v>
      </c>
      <c r="X48" s="8">
        <f t="shared" si="2"/>
        <v>0.6491339226245918</v>
      </c>
    </row>
    <row r="49" spans="1:24" s="6" customFormat="1" x14ac:dyDescent="0.35">
      <c r="A49" s="6" t="s">
        <v>25</v>
      </c>
      <c r="D49" s="6" t="s">
        <v>1008</v>
      </c>
      <c r="E49" s="6">
        <v>2</v>
      </c>
      <c r="F49" s="6">
        <v>23</v>
      </c>
      <c r="G49" s="6" t="s">
        <v>60</v>
      </c>
      <c r="I49" s="8">
        <v>87.421801597222199</v>
      </c>
      <c r="J49" s="8">
        <v>93.663609583333297</v>
      </c>
      <c r="K49" s="7" t="s">
        <v>2610</v>
      </c>
      <c r="L49" s="9">
        <v>43864</v>
      </c>
      <c r="N49" s="6">
        <v>19</v>
      </c>
      <c r="O49" s="6" t="s">
        <v>4322</v>
      </c>
      <c r="Q49" s="6">
        <v>7500</v>
      </c>
      <c r="S49" s="6">
        <v>7500</v>
      </c>
      <c r="T49" s="10">
        <f t="shared" ref="T49:T54" si="3">AVERAGE(R49:S49)</f>
        <v>7500</v>
      </c>
      <c r="V49" s="8">
        <v>-0.6454703187704085</v>
      </c>
      <c r="W49" s="8">
        <v>-2.7333941440582277</v>
      </c>
      <c r="X49" s="8">
        <f t="shared" si="2"/>
        <v>2.4303684061050403</v>
      </c>
    </row>
    <row r="50" spans="1:24" s="6" customFormat="1" x14ac:dyDescent="0.35">
      <c r="A50" s="6" t="s">
        <v>25</v>
      </c>
      <c r="D50" s="6" t="s">
        <v>1008</v>
      </c>
      <c r="E50" s="6">
        <v>2</v>
      </c>
      <c r="F50" s="6">
        <v>23</v>
      </c>
      <c r="G50" s="6" t="s">
        <v>60</v>
      </c>
      <c r="I50" s="8">
        <v>87.421801597222199</v>
      </c>
      <c r="J50" s="8">
        <v>93.663609583333297</v>
      </c>
      <c r="K50" s="7" t="s">
        <v>2610</v>
      </c>
      <c r="L50" s="9">
        <v>43864</v>
      </c>
      <c r="N50" s="6">
        <v>19</v>
      </c>
      <c r="O50" s="6" t="s">
        <v>4322</v>
      </c>
      <c r="Q50" s="6">
        <v>3000</v>
      </c>
      <c r="S50" s="6">
        <v>3000</v>
      </c>
      <c r="T50" s="10">
        <f t="shared" si="3"/>
        <v>3000</v>
      </c>
      <c r="V50" s="8">
        <v>-2.469568279123306</v>
      </c>
      <c r="W50" s="8">
        <v>-17.264220074462891</v>
      </c>
      <c r="X50" s="8">
        <f t="shared" si="2"/>
        <v>2.4923261585235572</v>
      </c>
    </row>
    <row r="51" spans="1:24" s="6" customFormat="1" x14ac:dyDescent="0.35">
      <c r="A51" s="6" t="s">
        <v>25</v>
      </c>
      <c r="D51" s="6" t="s">
        <v>1008</v>
      </c>
      <c r="E51" s="6">
        <v>2</v>
      </c>
      <c r="F51" s="6">
        <v>23</v>
      </c>
      <c r="G51" s="6" t="s">
        <v>60</v>
      </c>
      <c r="I51" s="8">
        <v>87.421801597222199</v>
      </c>
      <c r="J51" s="8">
        <v>93.663609583333297</v>
      </c>
      <c r="K51" s="7" t="s">
        <v>2610</v>
      </c>
      <c r="L51" s="9">
        <v>43864</v>
      </c>
      <c r="N51" s="6">
        <v>19</v>
      </c>
      <c r="O51" s="6" t="s">
        <v>4322</v>
      </c>
      <c r="Q51" s="6">
        <v>5000</v>
      </c>
      <c r="S51" s="6">
        <v>5000</v>
      </c>
      <c r="T51" s="10">
        <f t="shared" si="3"/>
        <v>5000</v>
      </c>
      <c r="V51" s="8">
        <v>-1.6588961490154266</v>
      </c>
      <c r="W51" s="8">
        <v>-10.469311622619628</v>
      </c>
      <c r="X51" s="8">
        <f t="shared" si="2"/>
        <v>2.8018575695037846</v>
      </c>
    </row>
    <row r="52" spans="1:24" s="6" customFormat="1" x14ac:dyDescent="0.35">
      <c r="A52" s="6" t="s">
        <v>25</v>
      </c>
      <c r="D52" s="6" t="s">
        <v>1008</v>
      </c>
      <c r="E52" s="6">
        <v>2</v>
      </c>
      <c r="F52" s="6">
        <v>23</v>
      </c>
      <c r="G52" s="6" t="s">
        <v>60</v>
      </c>
      <c r="I52" s="8">
        <v>87.421801597222199</v>
      </c>
      <c r="J52" s="8">
        <v>93.663609583333297</v>
      </c>
      <c r="K52" s="7" t="s">
        <v>2610</v>
      </c>
      <c r="L52" s="9">
        <v>43864</v>
      </c>
      <c r="N52" s="6">
        <v>19</v>
      </c>
      <c r="O52" s="6" t="s">
        <v>4322</v>
      </c>
      <c r="Q52" s="6">
        <v>500</v>
      </c>
      <c r="S52" s="6">
        <v>500</v>
      </c>
      <c r="T52" s="10">
        <f t="shared" si="3"/>
        <v>500</v>
      </c>
      <c r="V52" s="8">
        <v>-2.332652454328537</v>
      </c>
      <c r="W52" s="8">
        <v>-15.785950263786315</v>
      </c>
      <c r="X52" s="8">
        <f t="shared" si="2"/>
        <v>2.8752693708419805</v>
      </c>
    </row>
    <row r="53" spans="1:24" s="6" customFormat="1" x14ac:dyDescent="0.35">
      <c r="A53" s="6" t="s">
        <v>25</v>
      </c>
      <c r="D53" s="6" t="s">
        <v>1008</v>
      </c>
      <c r="E53" s="6">
        <v>2</v>
      </c>
      <c r="F53" s="6">
        <v>23</v>
      </c>
      <c r="G53" s="6" t="s">
        <v>60</v>
      </c>
      <c r="I53" s="8">
        <v>87.421801597222199</v>
      </c>
      <c r="J53" s="8">
        <v>93.663609583333297</v>
      </c>
      <c r="K53" s="7" t="s">
        <v>2610</v>
      </c>
      <c r="L53" s="9">
        <v>43864</v>
      </c>
      <c r="N53" s="6">
        <v>19</v>
      </c>
      <c r="O53" s="6" t="s">
        <v>4322</v>
      </c>
      <c r="Q53" s="6">
        <v>4000</v>
      </c>
      <c r="S53" s="6">
        <v>4000</v>
      </c>
      <c r="T53" s="10">
        <f t="shared" si="3"/>
        <v>4000</v>
      </c>
      <c r="V53" s="8">
        <v>-2.515420818185806</v>
      </c>
      <c r="W53" s="8">
        <v>-15.758079663085939</v>
      </c>
      <c r="X53" s="8">
        <f t="shared" si="2"/>
        <v>4.3652868824005093</v>
      </c>
    </row>
    <row r="54" spans="1:24" s="6" customFormat="1" x14ac:dyDescent="0.35">
      <c r="A54" s="6" t="s">
        <v>25</v>
      </c>
      <c r="D54" s="6" t="s">
        <v>1008</v>
      </c>
      <c r="E54" s="6">
        <v>2</v>
      </c>
      <c r="F54" s="6">
        <v>23</v>
      </c>
      <c r="G54" s="6" t="s">
        <v>60</v>
      </c>
      <c r="I54" s="8">
        <v>87.421801597222199</v>
      </c>
      <c r="J54" s="8">
        <v>93.663609583333297</v>
      </c>
      <c r="K54" s="7" t="s">
        <v>2610</v>
      </c>
      <c r="L54" s="9">
        <v>43864</v>
      </c>
      <c r="N54" s="6">
        <v>19</v>
      </c>
      <c r="O54" s="6" t="s">
        <v>4322</v>
      </c>
      <c r="Q54" s="6">
        <v>2000</v>
      </c>
      <c r="S54" s="6">
        <v>2000</v>
      </c>
      <c r="T54" s="10">
        <f t="shared" si="3"/>
        <v>2000</v>
      </c>
      <c r="V54" s="8">
        <v>-2.7169552937507633</v>
      </c>
      <c r="W54" s="8">
        <v>-16.531137570190431</v>
      </c>
      <c r="X54" s="8">
        <f t="shared" si="2"/>
        <v>5.2045047798156752</v>
      </c>
    </row>
    <row r="55" spans="1:24" s="6" customFormat="1" x14ac:dyDescent="0.35">
      <c r="A55" s="6" t="s">
        <v>25</v>
      </c>
      <c r="B55" s="7" t="s">
        <v>1009</v>
      </c>
      <c r="D55" s="6" t="s">
        <v>1010</v>
      </c>
      <c r="E55" s="6">
        <v>2</v>
      </c>
      <c r="F55" s="6">
        <v>23</v>
      </c>
      <c r="G55" s="6" t="s">
        <v>60</v>
      </c>
      <c r="I55" s="8">
        <v>87.481250902777802</v>
      </c>
      <c r="J55" s="8">
        <v>95.180874930555603</v>
      </c>
      <c r="K55" s="7" t="s">
        <v>2610</v>
      </c>
      <c r="L55" s="9">
        <v>43865</v>
      </c>
      <c r="N55" s="6">
        <v>19</v>
      </c>
      <c r="O55" s="6" t="s">
        <v>4319</v>
      </c>
      <c r="Q55" s="10"/>
      <c r="R55" s="10"/>
      <c r="S55" s="10"/>
      <c r="T55" s="10"/>
      <c r="U55" s="11"/>
      <c r="V55" s="8">
        <v>-2.3778810699462891</v>
      </c>
      <c r="W55" s="8">
        <v>-16.499138044357299</v>
      </c>
      <c r="X55" s="8">
        <f t="shared" si="2"/>
        <v>2.5239105152130143</v>
      </c>
    </row>
    <row r="56" spans="1:24" s="6" customFormat="1" x14ac:dyDescent="0.35">
      <c r="A56" s="6" t="s">
        <v>25</v>
      </c>
      <c r="B56" s="7" t="s">
        <v>1030</v>
      </c>
      <c r="D56" s="6" t="s">
        <v>1031</v>
      </c>
      <c r="E56" s="6">
        <v>2</v>
      </c>
      <c r="F56" s="6">
        <v>23</v>
      </c>
      <c r="G56" s="6" t="s">
        <v>60</v>
      </c>
      <c r="I56" s="8">
        <v>87.678803888888893</v>
      </c>
      <c r="J56" s="8">
        <v>93.745612569444404</v>
      </c>
      <c r="K56" s="7" t="s">
        <v>2610</v>
      </c>
      <c r="L56" s="9">
        <v>43869</v>
      </c>
      <c r="N56" s="6">
        <v>19</v>
      </c>
      <c r="O56" s="6" t="s">
        <v>4307</v>
      </c>
      <c r="Q56" s="10">
        <v>500</v>
      </c>
      <c r="R56" s="10"/>
      <c r="S56" s="10">
        <v>500</v>
      </c>
      <c r="T56" s="10">
        <f t="shared" ref="T56:T65" si="4">AVERAGE(R56:S56)</f>
        <v>500</v>
      </c>
      <c r="U56" s="11"/>
      <c r="V56" s="8">
        <v>-2.4430659645080568</v>
      </c>
      <c r="W56" s="8">
        <v>-16.947342830657959</v>
      </c>
      <c r="X56" s="8">
        <f t="shared" si="2"/>
        <v>2.5971848854064952</v>
      </c>
    </row>
    <row r="57" spans="1:24" s="6" customFormat="1" x14ac:dyDescent="0.35">
      <c r="A57" s="6" t="s">
        <v>25</v>
      </c>
      <c r="D57" s="6" t="s">
        <v>1051</v>
      </c>
      <c r="E57" s="6">
        <v>2</v>
      </c>
      <c r="F57" s="6">
        <v>24</v>
      </c>
      <c r="G57" s="6" t="s">
        <v>60</v>
      </c>
      <c r="I57" s="8">
        <v>88.029945763888904</v>
      </c>
      <c r="J57" s="8">
        <v>80.513806388888895</v>
      </c>
      <c r="K57" s="7" t="s">
        <v>2610</v>
      </c>
      <c r="L57" s="9">
        <v>43875</v>
      </c>
      <c r="N57" s="6">
        <v>20</v>
      </c>
      <c r="O57" s="6" t="s">
        <v>4289</v>
      </c>
      <c r="Q57" s="6">
        <v>4000</v>
      </c>
      <c r="S57" s="6">
        <v>4000</v>
      </c>
      <c r="T57" s="10">
        <f t="shared" si="4"/>
        <v>4000</v>
      </c>
      <c r="V57" s="8">
        <v>-1.9901402913093571</v>
      </c>
      <c r="W57" s="8">
        <v>-14.74476370239258</v>
      </c>
      <c r="X57" s="8">
        <f t="shared" si="2"/>
        <v>1.1763586280822764</v>
      </c>
    </row>
    <row r="58" spans="1:24" s="6" customFormat="1" x14ac:dyDescent="0.35">
      <c r="A58" s="6" t="s">
        <v>25</v>
      </c>
      <c r="D58" s="6" t="s">
        <v>1051</v>
      </c>
      <c r="E58" s="6">
        <v>2</v>
      </c>
      <c r="F58" s="6">
        <v>24</v>
      </c>
      <c r="G58" s="6" t="s">
        <v>60</v>
      </c>
      <c r="I58" s="8">
        <v>88.029945763888904</v>
      </c>
      <c r="J58" s="8">
        <v>80.513806388888895</v>
      </c>
      <c r="K58" s="7" t="s">
        <v>2610</v>
      </c>
      <c r="L58" s="9">
        <v>43875</v>
      </c>
      <c r="N58" s="6">
        <v>20</v>
      </c>
      <c r="O58" s="6" t="s">
        <v>4289</v>
      </c>
      <c r="Q58" s="6">
        <v>4500</v>
      </c>
      <c r="S58" s="6">
        <v>4500</v>
      </c>
      <c r="T58" s="10">
        <f t="shared" si="4"/>
        <v>4500</v>
      </c>
      <c r="V58" s="8">
        <v>-1.7909039031028753</v>
      </c>
      <c r="W58" s="8">
        <v>-13.079080032348633</v>
      </c>
      <c r="X58" s="8">
        <f t="shared" si="2"/>
        <v>1.2481511924743689</v>
      </c>
    </row>
    <row r="59" spans="1:24" s="6" customFormat="1" x14ac:dyDescent="0.35">
      <c r="A59" s="6" t="s">
        <v>25</v>
      </c>
      <c r="D59" s="6" t="s">
        <v>1051</v>
      </c>
      <c r="E59" s="6">
        <v>2</v>
      </c>
      <c r="F59" s="6">
        <v>24</v>
      </c>
      <c r="G59" s="6" t="s">
        <v>60</v>
      </c>
      <c r="I59" s="8">
        <v>88.029945763888904</v>
      </c>
      <c r="J59" s="8">
        <v>80.513806388888895</v>
      </c>
      <c r="K59" s="7" t="s">
        <v>2610</v>
      </c>
      <c r="L59" s="9">
        <v>43875</v>
      </c>
      <c r="N59" s="6">
        <v>20</v>
      </c>
      <c r="O59" s="6" t="s">
        <v>4289</v>
      </c>
      <c r="Q59" s="6">
        <v>3000</v>
      </c>
      <c r="S59" s="6">
        <v>3000</v>
      </c>
      <c r="T59" s="10">
        <f t="shared" si="4"/>
        <v>3000</v>
      </c>
      <c r="V59" s="8">
        <v>-2.065705539321899</v>
      </c>
      <c r="W59" s="8">
        <v>-15.020593795776367</v>
      </c>
      <c r="X59" s="8">
        <f t="shared" si="2"/>
        <v>1.505050518798825</v>
      </c>
    </row>
    <row r="60" spans="1:24" s="6" customFormat="1" x14ac:dyDescent="0.35">
      <c r="A60" s="6" t="s">
        <v>25</v>
      </c>
      <c r="D60" s="6" t="s">
        <v>1051</v>
      </c>
      <c r="E60" s="6">
        <v>2</v>
      </c>
      <c r="F60" s="6">
        <v>24</v>
      </c>
      <c r="G60" s="6" t="s">
        <v>60</v>
      </c>
      <c r="I60" s="8">
        <v>88.029945763888904</v>
      </c>
      <c r="J60" s="8">
        <v>80.513806388888895</v>
      </c>
      <c r="K60" s="7" t="s">
        <v>2610</v>
      </c>
      <c r="L60" s="9">
        <v>43875</v>
      </c>
      <c r="N60" s="6">
        <v>20</v>
      </c>
      <c r="O60" s="6" t="s">
        <v>4289</v>
      </c>
      <c r="Q60" s="6">
        <v>5500</v>
      </c>
      <c r="S60" s="6">
        <v>5500</v>
      </c>
      <c r="T60" s="10">
        <f t="shared" si="4"/>
        <v>5500</v>
      </c>
      <c r="V60" s="8">
        <v>-1.4927903743743893</v>
      </c>
      <c r="W60" s="8">
        <v>-10.216250419616701</v>
      </c>
      <c r="X60" s="8">
        <f t="shared" si="2"/>
        <v>1.7260725753784136</v>
      </c>
    </row>
    <row r="61" spans="1:24" s="6" customFormat="1" x14ac:dyDescent="0.35">
      <c r="A61" s="6" t="s">
        <v>25</v>
      </c>
      <c r="D61" s="6" t="s">
        <v>1051</v>
      </c>
      <c r="E61" s="6">
        <v>2</v>
      </c>
      <c r="F61" s="6">
        <v>24</v>
      </c>
      <c r="G61" s="6" t="s">
        <v>60</v>
      </c>
      <c r="I61" s="8">
        <v>88.029945763888904</v>
      </c>
      <c r="J61" s="8">
        <v>80.513806388888895</v>
      </c>
      <c r="K61" s="7" t="s">
        <v>2610</v>
      </c>
      <c r="L61" s="9">
        <v>43875</v>
      </c>
      <c r="N61" s="6">
        <v>20</v>
      </c>
      <c r="O61" s="6" t="s">
        <v>4289</v>
      </c>
      <c r="Q61" s="6">
        <v>5000</v>
      </c>
      <c r="S61" s="6">
        <v>5000</v>
      </c>
      <c r="T61" s="10">
        <f t="shared" si="4"/>
        <v>5000</v>
      </c>
      <c r="V61" s="8">
        <v>-1.536523405408859</v>
      </c>
      <c r="W61" s="8">
        <v>-10.550135040283203</v>
      </c>
      <c r="X61" s="8">
        <f t="shared" si="2"/>
        <v>1.7420522029876686</v>
      </c>
    </row>
    <row r="62" spans="1:24" s="6" customFormat="1" x14ac:dyDescent="0.35">
      <c r="A62" s="6" t="s">
        <v>25</v>
      </c>
      <c r="D62" s="6" t="s">
        <v>1051</v>
      </c>
      <c r="E62" s="6">
        <v>2</v>
      </c>
      <c r="F62" s="6">
        <v>24</v>
      </c>
      <c r="G62" s="6" t="s">
        <v>60</v>
      </c>
      <c r="I62" s="8">
        <v>88.029945763888904</v>
      </c>
      <c r="J62" s="8">
        <v>80.513806388888895</v>
      </c>
      <c r="K62" s="7" t="s">
        <v>2610</v>
      </c>
      <c r="L62" s="9">
        <v>43875</v>
      </c>
      <c r="N62" s="6">
        <v>20</v>
      </c>
      <c r="O62" s="6" t="s">
        <v>4289</v>
      </c>
      <c r="Q62" s="6">
        <v>7500</v>
      </c>
      <c r="S62" s="6">
        <v>7500</v>
      </c>
      <c r="T62" s="10">
        <f t="shared" si="4"/>
        <v>7500</v>
      </c>
      <c r="V62" s="8">
        <v>-1.2033806332111354</v>
      </c>
      <c r="W62" s="8">
        <v>-7.7686650245666513</v>
      </c>
      <c r="X62" s="8">
        <f t="shared" si="2"/>
        <v>1.858380041122432</v>
      </c>
    </row>
    <row r="63" spans="1:24" s="6" customFormat="1" x14ac:dyDescent="0.35">
      <c r="A63" s="6" t="s">
        <v>25</v>
      </c>
      <c r="D63" s="6" t="s">
        <v>1051</v>
      </c>
      <c r="E63" s="6">
        <v>2</v>
      </c>
      <c r="F63" s="6">
        <v>24</v>
      </c>
      <c r="G63" s="6" t="s">
        <v>60</v>
      </c>
      <c r="I63" s="8">
        <v>88.029945763888904</v>
      </c>
      <c r="J63" s="8">
        <v>80.513806388888895</v>
      </c>
      <c r="K63" s="7" t="s">
        <v>2610</v>
      </c>
      <c r="L63" s="9">
        <v>43875</v>
      </c>
      <c r="N63" s="6">
        <v>20</v>
      </c>
      <c r="O63" s="6" t="s">
        <v>4289</v>
      </c>
      <c r="Q63" s="6">
        <v>1000</v>
      </c>
      <c r="S63" s="6">
        <v>1000</v>
      </c>
      <c r="T63" s="10">
        <f t="shared" si="4"/>
        <v>1000</v>
      </c>
      <c r="V63" s="8">
        <v>-2.1850653339385984</v>
      </c>
      <c r="W63" s="8">
        <v>-15.61708529663086</v>
      </c>
      <c r="X63" s="8">
        <f t="shared" si="2"/>
        <v>1.8634373748779272</v>
      </c>
    </row>
    <row r="64" spans="1:24" s="6" customFormat="1" x14ac:dyDescent="0.35">
      <c r="A64" s="6" t="s">
        <v>25</v>
      </c>
      <c r="D64" s="6" t="s">
        <v>1051</v>
      </c>
      <c r="E64" s="6">
        <v>2</v>
      </c>
      <c r="F64" s="6">
        <v>24</v>
      </c>
      <c r="G64" s="6" t="s">
        <v>60</v>
      </c>
      <c r="I64" s="8">
        <v>88.029945763888904</v>
      </c>
      <c r="J64" s="8">
        <v>80.513806388888895</v>
      </c>
      <c r="K64" s="7" t="s">
        <v>2610</v>
      </c>
      <c r="L64" s="9">
        <v>43875</v>
      </c>
      <c r="N64" s="6">
        <v>20</v>
      </c>
      <c r="O64" s="6" t="s">
        <v>4289</v>
      </c>
      <c r="Q64" s="6">
        <v>500</v>
      </c>
      <c r="S64" s="6">
        <v>500</v>
      </c>
      <c r="T64" s="10">
        <f t="shared" si="4"/>
        <v>500</v>
      </c>
      <c r="V64" s="8">
        <v>-2.245321446990967</v>
      </c>
      <c r="W64" s="8">
        <v>-15.641032562255859</v>
      </c>
      <c r="X64" s="8">
        <f t="shared" si="2"/>
        <v>2.3215390136718774</v>
      </c>
    </row>
    <row r="65" spans="1:24" s="6" customFormat="1" x14ac:dyDescent="0.35">
      <c r="A65" s="6" t="s">
        <v>25</v>
      </c>
      <c r="D65" s="6" t="s">
        <v>1051</v>
      </c>
      <c r="E65" s="6">
        <v>2</v>
      </c>
      <c r="F65" s="6">
        <v>24</v>
      </c>
      <c r="G65" s="6" t="s">
        <v>60</v>
      </c>
      <c r="I65" s="8">
        <v>88.029945763888904</v>
      </c>
      <c r="J65" s="8">
        <v>80.513806388888895</v>
      </c>
      <c r="K65" s="7" t="s">
        <v>2610</v>
      </c>
      <c r="L65" s="9">
        <v>43875</v>
      </c>
      <c r="N65" s="6">
        <v>20</v>
      </c>
      <c r="O65" s="6" t="s">
        <v>4289</v>
      </c>
      <c r="Q65" s="6">
        <v>6000</v>
      </c>
      <c r="S65" s="6">
        <v>6000</v>
      </c>
      <c r="T65" s="10">
        <f t="shared" si="4"/>
        <v>6000</v>
      </c>
      <c r="V65" s="8">
        <v>-1.5118073875665661</v>
      </c>
      <c r="W65" s="8">
        <v>-9.2934637420654305</v>
      </c>
      <c r="X65" s="8">
        <f t="shared" si="2"/>
        <v>2.8009953584670981</v>
      </c>
    </row>
    <row r="66" spans="1:24" s="6" customFormat="1" x14ac:dyDescent="0.35">
      <c r="A66" s="6" t="s">
        <v>25</v>
      </c>
      <c r="B66" s="7" t="s">
        <v>1052</v>
      </c>
      <c r="D66" s="6" t="s">
        <v>1053</v>
      </c>
      <c r="E66" s="6">
        <v>2</v>
      </c>
      <c r="F66" s="6">
        <v>25</v>
      </c>
      <c r="G66" s="6" t="s">
        <v>60</v>
      </c>
      <c r="I66" s="8">
        <v>88.073815069444393</v>
      </c>
      <c r="J66" s="8">
        <v>78.834171736111102</v>
      </c>
      <c r="K66" s="7" t="s">
        <v>2610</v>
      </c>
      <c r="L66" s="9">
        <v>43878</v>
      </c>
      <c r="N66" s="6">
        <v>21</v>
      </c>
      <c r="O66" s="6" t="s">
        <v>4328</v>
      </c>
      <c r="Q66" s="10"/>
      <c r="R66" s="10"/>
      <c r="S66" s="10"/>
      <c r="T66" s="10"/>
      <c r="U66" s="11"/>
      <c r="V66" s="8">
        <v>-2.1078344591140752</v>
      </c>
      <c r="W66" s="8">
        <v>-15.080512541770934</v>
      </c>
      <c r="X66" s="8">
        <f t="shared" ref="X66:X97" si="5">W66-(8*V66)</f>
        <v>1.782163131141667</v>
      </c>
    </row>
    <row r="67" spans="1:24" s="6" customFormat="1" x14ac:dyDescent="0.35">
      <c r="A67" s="6" t="s">
        <v>25</v>
      </c>
      <c r="B67" s="7" t="s">
        <v>1054</v>
      </c>
      <c r="D67" s="6" t="s">
        <v>1055</v>
      </c>
      <c r="E67" s="6">
        <v>3</v>
      </c>
      <c r="F67" s="6">
        <v>29</v>
      </c>
      <c r="G67" s="6" t="s">
        <v>60</v>
      </c>
      <c r="I67" s="8">
        <v>88.557896874999997</v>
      </c>
      <c r="J67" s="8">
        <v>45.997060902777797</v>
      </c>
      <c r="K67" s="7" t="s">
        <v>2610</v>
      </c>
      <c r="L67" s="9">
        <v>43886</v>
      </c>
      <c r="N67" s="6">
        <v>22</v>
      </c>
      <c r="O67" s="6" t="s">
        <v>4334</v>
      </c>
      <c r="Q67" s="10"/>
      <c r="R67" s="10"/>
      <c r="S67" s="10"/>
      <c r="T67" s="10"/>
      <c r="U67" s="11"/>
      <c r="V67" s="8">
        <v>-1.9388066494941714</v>
      </c>
      <c r="W67" s="8">
        <v>-13.550763421058655</v>
      </c>
      <c r="X67" s="8">
        <f t="shared" si="5"/>
        <v>1.9596897748947164</v>
      </c>
    </row>
    <row r="68" spans="1:24" s="6" customFormat="1" x14ac:dyDescent="0.35">
      <c r="A68" s="6" t="s">
        <v>25</v>
      </c>
      <c r="D68" s="6" t="s">
        <v>1064</v>
      </c>
      <c r="E68" s="6">
        <v>3</v>
      </c>
      <c r="F68" s="6">
        <v>29</v>
      </c>
      <c r="G68" s="6" t="s">
        <v>60</v>
      </c>
      <c r="I68" s="8">
        <v>88.275889097222205</v>
      </c>
      <c r="J68" s="8">
        <v>31.976771041666701</v>
      </c>
      <c r="K68" s="7" t="s">
        <v>2610</v>
      </c>
      <c r="L68" s="9">
        <v>43890</v>
      </c>
      <c r="N68" s="6">
        <v>22</v>
      </c>
      <c r="O68" s="6" t="s">
        <v>4336</v>
      </c>
      <c r="Q68" s="6">
        <v>5000</v>
      </c>
      <c r="S68" s="6">
        <v>5000</v>
      </c>
      <c r="T68" s="10">
        <f t="shared" ref="T68:T77" si="6">AVERAGE(R68:S68)</f>
        <v>5000</v>
      </c>
      <c r="V68" s="8">
        <v>-1.8044129056692118</v>
      </c>
      <c r="W68" s="8">
        <v>-12.988357052612304</v>
      </c>
      <c r="X68" s="8">
        <f t="shared" si="5"/>
        <v>1.4469461927413896</v>
      </c>
    </row>
    <row r="69" spans="1:24" s="6" customFormat="1" x14ac:dyDescent="0.35">
      <c r="A69" s="6" t="s">
        <v>25</v>
      </c>
      <c r="D69" s="6" t="s">
        <v>1064</v>
      </c>
      <c r="E69" s="6">
        <v>3</v>
      </c>
      <c r="F69" s="6">
        <v>29</v>
      </c>
      <c r="G69" s="6" t="s">
        <v>60</v>
      </c>
      <c r="I69" s="8">
        <v>88.275889097222205</v>
      </c>
      <c r="J69" s="8">
        <v>31.976771041666701</v>
      </c>
      <c r="K69" s="7" t="s">
        <v>2610</v>
      </c>
      <c r="L69" s="9">
        <v>43890</v>
      </c>
      <c r="N69" s="6">
        <v>22</v>
      </c>
      <c r="O69" s="6" t="s">
        <v>4336</v>
      </c>
      <c r="Q69" s="6">
        <v>5500</v>
      </c>
      <c r="S69" s="6">
        <v>5500</v>
      </c>
      <c r="T69" s="10">
        <f t="shared" si="6"/>
        <v>5500</v>
      </c>
      <c r="V69" s="8">
        <v>-1.7723462342977525</v>
      </c>
      <c r="W69" s="8">
        <v>-12.351742153930665</v>
      </c>
      <c r="X69" s="8">
        <f t="shared" si="5"/>
        <v>1.8270277204513548</v>
      </c>
    </row>
    <row r="70" spans="1:24" s="6" customFormat="1" x14ac:dyDescent="0.35">
      <c r="A70" s="6" t="s">
        <v>25</v>
      </c>
      <c r="D70" s="6" t="s">
        <v>1064</v>
      </c>
      <c r="E70" s="6">
        <v>3</v>
      </c>
      <c r="F70" s="6">
        <v>29</v>
      </c>
      <c r="G70" s="6" t="s">
        <v>60</v>
      </c>
      <c r="I70" s="8">
        <v>88.275889097222205</v>
      </c>
      <c r="J70" s="8">
        <v>31.976771041666701</v>
      </c>
      <c r="K70" s="7" t="s">
        <v>2610</v>
      </c>
      <c r="L70" s="9">
        <v>43890</v>
      </c>
      <c r="N70" s="6">
        <v>22</v>
      </c>
      <c r="O70" s="6" t="s">
        <v>4336</v>
      </c>
      <c r="Q70" s="6">
        <v>1000</v>
      </c>
      <c r="S70" s="6">
        <v>1000</v>
      </c>
      <c r="T70" s="10">
        <f t="shared" si="6"/>
        <v>1000</v>
      </c>
      <c r="V70" s="8">
        <v>-1.8083434737682345</v>
      </c>
      <c r="W70" s="8">
        <v>-12.124610791015625</v>
      </c>
      <c r="X70" s="8">
        <f t="shared" si="5"/>
        <v>2.3421369991302505</v>
      </c>
    </row>
    <row r="71" spans="1:24" s="6" customFormat="1" x14ac:dyDescent="0.35">
      <c r="A71" s="6" t="s">
        <v>25</v>
      </c>
      <c r="D71" s="6" t="s">
        <v>1064</v>
      </c>
      <c r="E71" s="6">
        <v>3</v>
      </c>
      <c r="F71" s="6">
        <v>29</v>
      </c>
      <c r="G71" s="6" t="s">
        <v>60</v>
      </c>
      <c r="I71" s="8">
        <v>88.275889097222205</v>
      </c>
      <c r="J71" s="8">
        <v>31.976771041666701</v>
      </c>
      <c r="K71" s="7" t="s">
        <v>2610</v>
      </c>
      <c r="L71" s="9">
        <v>43890</v>
      </c>
      <c r="N71" s="6">
        <v>22</v>
      </c>
      <c r="O71" s="6" t="s">
        <v>4336</v>
      </c>
      <c r="Q71" s="6">
        <v>500</v>
      </c>
      <c r="S71" s="6">
        <v>500</v>
      </c>
      <c r="T71" s="10">
        <f t="shared" si="6"/>
        <v>500</v>
      </c>
      <c r="V71" s="8">
        <v>-1.8300237037897109</v>
      </c>
      <c r="W71" s="8">
        <v>-12.284692974853517</v>
      </c>
      <c r="X71" s="8">
        <f t="shared" si="5"/>
        <v>2.3554966554641705</v>
      </c>
    </row>
    <row r="72" spans="1:24" s="6" customFormat="1" x14ac:dyDescent="0.35">
      <c r="A72" s="6" t="s">
        <v>25</v>
      </c>
      <c r="D72" s="6" t="s">
        <v>1064</v>
      </c>
      <c r="E72" s="6">
        <v>3</v>
      </c>
      <c r="F72" s="6">
        <v>29</v>
      </c>
      <c r="G72" s="6" t="s">
        <v>60</v>
      </c>
      <c r="I72" s="8">
        <v>88.275889097222205</v>
      </c>
      <c r="J72" s="8">
        <v>31.976771041666701</v>
      </c>
      <c r="K72" s="7" t="s">
        <v>2610</v>
      </c>
      <c r="L72" s="9">
        <v>43890</v>
      </c>
      <c r="N72" s="6">
        <v>22</v>
      </c>
      <c r="O72" s="6" t="s">
        <v>4336</v>
      </c>
      <c r="Q72" s="6">
        <v>7500</v>
      </c>
      <c r="S72" s="6">
        <v>7500</v>
      </c>
      <c r="T72" s="10">
        <f t="shared" si="6"/>
        <v>7500</v>
      </c>
      <c r="V72" s="8">
        <v>-1.1083691380977634</v>
      </c>
      <c r="W72" s="8">
        <v>-6.4172175453186044</v>
      </c>
      <c r="X72" s="8">
        <f t="shared" si="5"/>
        <v>2.4497355594635026</v>
      </c>
    </row>
    <row r="73" spans="1:24" s="6" customFormat="1" x14ac:dyDescent="0.35">
      <c r="A73" s="6" t="s">
        <v>25</v>
      </c>
      <c r="D73" s="6" t="s">
        <v>1064</v>
      </c>
      <c r="E73" s="6">
        <v>3</v>
      </c>
      <c r="F73" s="6">
        <v>29</v>
      </c>
      <c r="G73" s="6" t="s">
        <v>60</v>
      </c>
      <c r="I73" s="8">
        <v>88.275889097222205</v>
      </c>
      <c r="J73" s="8">
        <v>31.976771041666701</v>
      </c>
      <c r="K73" s="7" t="s">
        <v>2610</v>
      </c>
      <c r="L73" s="9">
        <v>43890</v>
      </c>
      <c r="N73" s="6">
        <v>22</v>
      </c>
      <c r="O73" s="6" t="s">
        <v>4336</v>
      </c>
      <c r="Q73" s="6">
        <v>3000</v>
      </c>
      <c r="S73" s="6">
        <v>3000</v>
      </c>
      <c r="T73" s="10">
        <f t="shared" si="6"/>
        <v>3000</v>
      </c>
      <c r="V73" s="8">
        <v>-1.8596673683881766</v>
      </c>
      <c r="W73" s="8">
        <v>-12.368108166503907</v>
      </c>
      <c r="X73" s="8">
        <f t="shared" si="5"/>
        <v>2.5092307806015057</v>
      </c>
    </row>
    <row r="74" spans="1:24" s="6" customFormat="1" x14ac:dyDescent="0.35">
      <c r="A74" s="6" t="s">
        <v>25</v>
      </c>
      <c r="D74" s="6" t="s">
        <v>1064</v>
      </c>
      <c r="E74" s="6">
        <v>3</v>
      </c>
      <c r="F74" s="6">
        <v>29</v>
      </c>
      <c r="G74" s="6" t="s">
        <v>60</v>
      </c>
      <c r="I74" s="8">
        <v>88.275889097222205</v>
      </c>
      <c r="J74" s="8">
        <v>31.976771041666701</v>
      </c>
      <c r="K74" s="7" t="s">
        <v>2610</v>
      </c>
      <c r="L74" s="9">
        <v>43890</v>
      </c>
      <c r="N74" s="6">
        <v>22</v>
      </c>
      <c r="O74" s="6" t="s">
        <v>4336</v>
      </c>
      <c r="Q74" s="6">
        <v>6000</v>
      </c>
      <c r="S74" s="6">
        <v>6000</v>
      </c>
      <c r="T74" s="10">
        <f t="shared" si="6"/>
        <v>6000</v>
      </c>
      <c r="V74" s="8">
        <v>-1.542841071581841</v>
      </c>
      <c r="W74" s="8">
        <v>-9.5556401336669925</v>
      </c>
      <c r="X74" s="8">
        <f t="shared" si="5"/>
        <v>2.7870884389877357</v>
      </c>
    </row>
    <row r="75" spans="1:24" s="6" customFormat="1" x14ac:dyDescent="0.35">
      <c r="A75" s="6" t="s">
        <v>25</v>
      </c>
      <c r="D75" s="6" t="s">
        <v>1064</v>
      </c>
      <c r="E75" s="6">
        <v>3</v>
      </c>
      <c r="F75" s="6">
        <v>29</v>
      </c>
      <c r="G75" s="6" t="s">
        <v>60</v>
      </c>
      <c r="I75" s="8">
        <v>88.275889097222205</v>
      </c>
      <c r="J75" s="8">
        <v>31.976771041666701</v>
      </c>
      <c r="K75" s="7" t="s">
        <v>2610</v>
      </c>
      <c r="L75" s="9">
        <v>43890</v>
      </c>
      <c r="N75" s="6">
        <v>22</v>
      </c>
      <c r="O75" s="6" t="s">
        <v>4336</v>
      </c>
      <c r="Q75" s="6">
        <v>4500</v>
      </c>
      <c r="S75" s="6">
        <v>4500</v>
      </c>
      <c r="T75" s="10">
        <f t="shared" si="6"/>
        <v>4500</v>
      </c>
      <c r="V75" s="8">
        <v>-1.8887074844598777</v>
      </c>
      <c r="W75" s="8">
        <v>-12.028853375244141</v>
      </c>
      <c r="X75" s="8">
        <f t="shared" si="5"/>
        <v>3.0808065004348801</v>
      </c>
    </row>
    <row r="76" spans="1:24" s="6" customFormat="1" x14ac:dyDescent="0.35">
      <c r="A76" s="6" t="s">
        <v>25</v>
      </c>
      <c r="D76" s="6" t="s">
        <v>1064</v>
      </c>
      <c r="E76" s="6">
        <v>3</v>
      </c>
      <c r="F76" s="6">
        <v>29</v>
      </c>
      <c r="G76" s="6" t="s">
        <v>60</v>
      </c>
      <c r="I76" s="8">
        <v>88.275889097222205</v>
      </c>
      <c r="J76" s="8">
        <v>31.976771041666701</v>
      </c>
      <c r="K76" s="7" t="s">
        <v>2610</v>
      </c>
      <c r="L76" s="9">
        <v>43890</v>
      </c>
      <c r="N76" s="6">
        <v>22</v>
      </c>
      <c r="O76" s="6" t="s">
        <v>4336</v>
      </c>
      <c r="Q76" s="6">
        <v>4000</v>
      </c>
      <c r="S76" s="6">
        <v>4000</v>
      </c>
      <c r="T76" s="10">
        <f t="shared" si="6"/>
        <v>4000</v>
      </c>
      <c r="V76" s="8">
        <v>-1.8938000144720077</v>
      </c>
      <c r="W76" s="8">
        <v>-11.877855664062501</v>
      </c>
      <c r="X76" s="8">
        <f t="shared" si="5"/>
        <v>3.2725444517135607</v>
      </c>
    </row>
    <row r="77" spans="1:24" s="6" customFormat="1" x14ac:dyDescent="0.35">
      <c r="A77" s="6" t="s">
        <v>25</v>
      </c>
      <c r="D77" s="6" t="s">
        <v>1064</v>
      </c>
      <c r="E77" s="6">
        <v>3</v>
      </c>
      <c r="F77" s="6">
        <v>29</v>
      </c>
      <c r="G77" s="6" t="s">
        <v>60</v>
      </c>
      <c r="I77" s="8">
        <v>88.275889097222205</v>
      </c>
      <c r="J77" s="8">
        <v>31.976771041666701</v>
      </c>
      <c r="K77" s="7" t="s">
        <v>2610</v>
      </c>
      <c r="L77" s="9">
        <v>43890</v>
      </c>
      <c r="N77" s="6">
        <v>22</v>
      </c>
      <c r="O77" s="6" t="s">
        <v>4336</v>
      </c>
      <c r="Q77" s="6">
        <v>10000</v>
      </c>
      <c r="S77" s="6">
        <v>10000</v>
      </c>
      <c r="T77" s="10">
        <f t="shared" si="6"/>
        <v>10000</v>
      </c>
      <c r="V77" s="8">
        <v>-0.89783997566699969</v>
      </c>
      <c r="W77" s="8">
        <v>-3.3709946768760677</v>
      </c>
      <c r="X77" s="8">
        <f t="shared" si="5"/>
        <v>3.8117251284599298</v>
      </c>
    </row>
    <row r="78" spans="1:24" s="6" customFormat="1" x14ac:dyDescent="0.35">
      <c r="A78" s="6" t="s">
        <v>25</v>
      </c>
      <c r="B78" s="7" t="s">
        <v>1065</v>
      </c>
      <c r="D78" s="6" t="s">
        <v>1066</v>
      </c>
      <c r="E78" s="6">
        <v>3</v>
      </c>
      <c r="F78" s="6">
        <v>30</v>
      </c>
      <c r="G78" s="6" t="s">
        <v>60</v>
      </c>
      <c r="I78" s="8">
        <v>88.184997847222206</v>
      </c>
      <c r="J78" s="8">
        <v>31.048881250000001</v>
      </c>
      <c r="K78" s="7" t="s">
        <v>2610</v>
      </c>
      <c r="L78" s="9">
        <v>43892</v>
      </c>
      <c r="N78" s="6">
        <v>23</v>
      </c>
      <c r="O78" s="6" t="s">
        <v>4338</v>
      </c>
      <c r="Q78" s="10"/>
      <c r="R78" s="10"/>
      <c r="S78" s="10"/>
      <c r="T78" s="10"/>
      <c r="U78" s="11"/>
      <c r="V78" s="8">
        <v>-1.7335335720062257</v>
      </c>
      <c r="W78" s="8">
        <v>-12.161079273223876</v>
      </c>
      <c r="X78" s="8">
        <f t="shared" si="5"/>
        <v>1.7071893028259293</v>
      </c>
    </row>
    <row r="79" spans="1:24" s="6" customFormat="1" x14ac:dyDescent="0.35">
      <c r="A79" s="6" t="s">
        <v>25</v>
      </c>
      <c r="B79" s="7" t="s">
        <v>1068</v>
      </c>
      <c r="D79" s="6" t="s">
        <v>1069</v>
      </c>
      <c r="E79" s="6">
        <v>3</v>
      </c>
      <c r="F79" s="6">
        <v>30</v>
      </c>
      <c r="G79" s="6" t="s">
        <v>60</v>
      </c>
      <c r="I79" s="8">
        <v>88.093644166666706</v>
      </c>
      <c r="J79" s="8">
        <v>30.7672892361111</v>
      </c>
      <c r="K79" s="7" t="s">
        <v>2610</v>
      </c>
      <c r="L79" s="9">
        <v>43895</v>
      </c>
      <c r="N79" s="6">
        <v>23</v>
      </c>
      <c r="O79" s="6" t="s">
        <v>4341</v>
      </c>
      <c r="Q79" s="10">
        <v>500</v>
      </c>
      <c r="R79" s="10"/>
      <c r="S79" s="10">
        <v>500</v>
      </c>
      <c r="T79" s="10">
        <f t="shared" ref="T79:T112" si="7">AVERAGE(R79:S79)</f>
        <v>500</v>
      </c>
      <c r="U79" s="11"/>
      <c r="V79" s="8">
        <v>-1.7703055785179138</v>
      </c>
      <c r="W79" s="8">
        <v>-11.979161699295044</v>
      </c>
      <c r="X79" s="8">
        <f t="shared" si="5"/>
        <v>2.183282928848266</v>
      </c>
    </row>
    <row r="80" spans="1:24" s="6" customFormat="1" x14ac:dyDescent="0.35">
      <c r="A80" s="6" t="s">
        <v>25</v>
      </c>
      <c r="B80" s="7" t="s">
        <v>1095</v>
      </c>
      <c r="D80" s="6" t="s">
        <v>1096</v>
      </c>
      <c r="E80" s="6">
        <v>3</v>
      </c>
      <c r="F80" s="6">
        <v>31</v>
      </c>
      <c r="G80" s="6" t="s">
        <v>60</v>
      </c>
      <c r="I80" s="8">
        <v>87.743540277777797</v>
      </c>
      <c r="J80" s="8">
        <v>24.668958541666701</v>
      </c>
      <c r="K80" s="7" t="s">
        <v>2610</v>
      </c>
      <c r="L80" s="9">
        <v>43900</v>
      </c>
      <c r="N80" s="6">
        <v>24</v>
      </c>
      <c r="O80" s="6" t="s">
        <v>4344</v>
      </c>
      <c r="Q80" s="10">
        <v>500</v>
      </c>
      <c r="R80" s="10"/>
      <c r="S80" s="10">
        <v>500</v>
      </c>
      <c r="T80" s="10">
        <f t="shared" si="7"/>
        <v>500</v>
      </c>
      <c r="U80" s="11"/>
      <c r="V80" s="8">
        <v>-1.8625064611434941</v>
      </c>
      <c r="W80" s="8">
        <v>-12.567773573303223</v>
      </c>
      <c r="X80" s="8">
        <f t="shared" si="5"/>
        <v>2.3322781158447299</v>
      </c>
    </row>
    <row r="81" spans="1:24" s="6" customFormat="1" x14ac:dyDescent="0.35">
      <c r="A81" s="6" t="s">
        <v>25</v>
      </c>
      <c r="B81" s="7" t="s">
        <v>1131</v>
      </c>
      <c r="D81" s="6" t="s">
        <v>1132</v>
      </c>
      <c r="E81" s="6">
        <v>3</v>
      </c>
      <c r="F81" s="6">
        <v>31</v>
      </c>
      <c r="G81" s="6" t="s">
        <v>60</v>
      </c>
      <c r="I81" s="8">
        <v>87.060415347222204</v>
      </c>
      <c r="J81" s="8">
        <v>15.215135763888901</v>
      </c>
      <c r="K81" s="7" t="s">
        <v>2610</v>
      </c>
      <c r="L81" s="9">
        <v>43905</v>
      </c>
      <c r="N81" s="6">
        <v>24</v>
      </c>
      <c r="O81" s="6" t="s">
        <v>4348</v>
      </c>
      <c r="Q81" s="10">
        <v>500</v>
      </c>
      <c r="R81" s="10"/>
      <c r="S81" s="10">
        <v>500</v>
      </c>
      <c r="T81" s="10">
        <f t="shared" si="7"/>
        <v>500</v>
      </c>
      <c r="U81" s="11"/>
      <c r="V81" s="8">
        <v>-1.738521491336823</v>
      </c>
      <c r="W81" s="8">
        <v>-12.115200625419615</v>
      </c>
      <c r="X81" s="8">
        <f t="shared" si="5"/>
        <v>1.7929713052749694</v>
      </c>
    </row>
    <row r="82" spans="1:24" s="6" customFormat="1" x14ac:dyDescent="0.35">
      <c r="A82" s="6" t="s">
        <v>25</v>
      </c>
      <c r="B82" s="7" t="s">
        <v>1150</v>
      </c>
      <c r="D82" s="6" t="s">
        <v>1151</v>
      </c>
      <c r="E82" s="6">
        <v>3</v>
      </c>
      <c r="F82" s="6">
        <v>32</v>
      </c>
      <c r="G82" s="6" t="s">
        <v>60</v>
      </c>
      <c r="I82" s="8">
        <v>86.781501736111096</v>
      </c>
      <c r="J82" s="8">
        <v>12.317016458333301</v>
      </c>
      <c r="K82" s="7" t="s">
        <v>2610</v>
      </c>
      <c r="L82" s="9">
        <v>43907</v>
      </c>
      <c r="N82" s="6">
        <v>25</v>
      </c>
      <c r="O82" s="6" t="s">
        <v>4349</v>
      </c>
      <c r="Q82" s="10">
        <v>500</v>
      </c>
      <c r="R82" s="10"/>
      <c r="S82" s="10">
        <v>500</v>
      </c>
      <c r="T82" s="10">
        <f t="shared" si="7"/>
        <v>500</v>
      </c>
      <c r="U82" s="11"/>
      <c r="V82" s="8">
        <v>-1.7400113155174253</v>
      </c>
      <c r="W82" s="8">
        <v>-12.57444854736328</v>
      </c>
      <c r="X82" s="8">
        <f t="shared" si="5"/>
        <v>1.3456419767761219</v>
      </c>
    </row>
    <row r="83" spans="1:24" s="6" customFormat="1" x14ac:dyDescent="0.35">
      <c r="A83" s="6" t="s">
        <v>25</v>
      </c>
      <c r="D83" s="6" t="s">
        <v>1195</v>
      </c>
      <c r="E83" s="6">
        <v>3</v>
      </c>
      <c r="F83" s="6">
        <v>32</v>
      </c>
      <c r="G83" s="6" t="s">
        <v>60</v>
      </c>
      <c r="I83" s="8">
        <v>86.228210555555506</v>
      </c>
      <c r="J83" s="8">
        <v>15.7194244444444</v>
      </c>
      <c r="K83" s="7" t="s">
        <v>2610</v>
      </c>
      <c r="L83" s="9">
        <v>43912</v>
      </c>
      <c r="N83" s="6">
        <v>25</v>
      </c>
      <c r="O83" s="6" t="s">
        <v>4315</v>
      </c>
      <c r="Q83" s="6">
        <v>4000</v>
      </c>
      <c r="S83" s="6">
        <v>4000</v>
      </c>
      <c r="T83" s="10">
        <f t="shared" si="7"/>
        <v>4000</v>
      </c>
      <c r="V83" s="8">
        <v>-1.3971147419214252</v>
      </c>
      <c r="W83" s="8">
        <v>-11.639055476760864</v>
      </c>
      <c r="X83" s="8">
        <f t="shared" si="5"/>
        <v>-0.46213754138946328</v>
      </c>
    </row>
    <row r="84" spans="1:24" s="6" customFormat="1" x14ac:dyDescent="0.35">
      <c r="A84" s="6" t="s">
        <v>25</v>
      </c>
      <c r="D84" s="6" t="s">
        <v>1195</v>
      </c>
      <c r="E84" s="6">
        <v>3</v>
      </c>
      <c r="F84" s="6">
        <v>32</v>
      </c>
      <c r="G84" s="6" t="s">
        <v>60</v>
      </c>
      <c r="I84" s="8">
        <v>86.228210555555506</v>
      </c>
      <c r="J84" s="8">
        <v>15.7194244444444</v>
      </c>
      <c r="K84" s="7" t="s">
        <v>2610</v>
      </c>
      <c r="L84" s="9">
        <v>43912</v>
      </c>
      <c r="N84" s="6">
        <v>25</v>
      </c>
      <c r="O84" s="6" t="s">
        <v>4315</v>
      </c>
      <c r="Q84" s="6">
        <v>5500</v>
      </c>
      <c r="S84" s="6">
        <v>5500</v>
      </c>
      <c r="T84" s="10">
        <f t="shared" si="7"/>
        <v>5500</v>
      </c>
      <c r="V84" s="8">
        <v>-1.4024293066263194</v>
      </c>
      <c r="W84" s="8">
        <v>-10.746462630844116</v>
      </c>
      <c r="X84" s="8">
        <f t="shared" si="5"/>
        <v>0.47297182216643918</v>
      </c>
    </row>
    <row r="85" spans="1:24" s="6" customFormat="1" x14ac:dyDescent="0.35">
      <c r="A85" s="6" t="s">
        <v>25</v>
      </c>
      <c r="D85" s="6" t="s">
        <v>1195</v>
      </c>
      <c r="E85" s="6">
        <v>3</v>
      </c>
      <c r="F85" s="6">
        <v>32</v>
      </c>
      <c r="G85" s="6" t="s">
        <v>60</v>
      </c>
      <c r="I85" s="8">
        <v>86.228210555555506</v>
      </c>
      <c r="J85" s="8">
        <v>15.7194244444444</v>
      </c>
      <c r="K85" s="7" t="s">
        <v>2610</v>
      </c>
      <c r="L85" s="9">
        <v>43912</v>
      </c>
      <c r="N85" s="6">
        <v>25</v>
      </c>
      <c r="O85" s="6" t="s">
        <v>4315</v>
      </c>
      <c r="Q85" s="6">
        <v>6500</v>
      </c>
      <c r="S85" s="6">
        <v>6500</v>
      </c>
      <c r="T85" s="10">
        <f t="shared" si="7"/>
        <v>6500</v>
      </c>
      <c r="V85" s="8">
        <v>-1.2423889060020443</v>
      </c>
      <c r="W85" s="8">
        <v>-8.3457665153503431</v>
      </c>
      <c r="X85" s="8">
        <f t="shared" si="5"/>
        <v>1.5933447326660115</v>
      </c>
    </row>
    <row r="86" spans="1:24" s="6" customFormat="1" x14ac:dyDescent="0.35">
      <c r="A86" s="6" t="s">
        <v>25</v>
      </c>
      <c r="D86" s="6" t="s">
        <v>1195</v>
      </c>
      <c r="E86" s="6">
        <v>3</v>
      </c>
      <c r="F86" s="6">
        <v>32</v>
      </c>
      <c r="G86" s="6" t="s">
        <v>60</v>
      </c>
      <c r="I86" s="8">
        <v>86.228210555555506</v>
      </c>
      <c r="J86" s="8">
        <v>15.7194244444444</v>
      </c>
      <c r="K86" s="7" t="s">
        <v>2610</v>
      </c>
      <c r="L86" s="9">
        <v>43912</v>
      </c>
      <c r="N86" s="6">
        <v>25</v>
      </c>
      <c r="O86" s="6" t="s">
        <v>4315</v>
      </c>
      <c r="Q86" s="6">
        <v>2000</v>
      </c>
      <c r="S86" s="6">
        <v>2000</v>
      </c>
      <c r="T86" s="10">
        <f t="shared" si="7"/>
        <v>2000</v>
      </c>
      <c r="V86" s="8">
        <v>-1.5399844047546387</v>
      </c>
      <c r="W86" s="8">
        <v>-10.726301669883728</v>
      </c>
      <c r="X86" s="8">
        <f t="shared" si="5"/>
        <v>1.5935735681533814</v>
      </c>
    </row>
    <row r="87" spans="1:24" s="6" customFormat="1" x14ac:dyDescent="0.35">
      <c r="A87" s="6" t="s">
        <v>25</v>
      </c>
      <c r="D87" s="6" t="s">
        <v>1195</v>
      </c>
      <c r="E87" s="6">
        <v>3</v>
      </c>
      <c r="F87" s="6">
        <v>32</v>
      </c>
      <c r="G87" s="6" t="s">
        <v>60</v>
      </c>
      <c r="I87" s="8">
        <v>86.228210555555506</v>
      </c>
      <c r="J87" s="8">
        <v>15.7194244444444</v>
      </c>
      <c r="K87" s="7" t="s">
        <v>2610</v>
      </c>
      <c r="L87" s="9">
        <v>43912</v>
      </c>
      <c r="N87" s="6">
        <v>25</v>
      </c>
      <c r="O87" s="6" t="s">
        <v>4315</v>
      </c>
      <c r="Q87" s="6">
        <v>5000</v>
      </c>
      <c r="S87" s="6">
        <v>5000</v>
      </c>
      <c r="T87" s="10">
        <f t="shared" si="7"/>
        <v>5000</v>
      </c>
      <c r="V87" s="8">
        <v>-1.4776446540355681</v>
      </c>
      <c r="W87" s="8">
        <v>-10.220931007003784</v>
      </c>
      <c r="X87" s="8">
        <f t="shared" si="5"/>
        <v>1.6002262252807604</v>
      </c>
    </row>
    <row r="88" spans="1:24" s="6" customFormat="1" x14ac:dyDescent="0.35">
      <c r="A88" s="6" t="s">
        <v>25</v>
      </c>
      <c r="D88" s="6" t="s">
        <v>1195</v>
      </c>
      <c r="E88" s="6">
        <v>3</v>
      </c>
      <c r="F88" s="6">
        <v>32</v>
      </c>
      <c r="G88" s="6" t="s">
        <v>60</v>
      </c>
      <c r="I88" s="8">
        <v>86.228210555555506</v>
      </c>
      <c r="J88" s="8">
        <v>15.7194244444444</v>
      </c>
      <c r="K88" s="7" t="s">
        <v>2610</v>
      </c>
      <c r="L88" s="9">
        <v>43912</v>
      </c>
      <c r="N88" s="6">
        <v>25</v>
      </c>
      <c r="O88" s="6" t="s">
        <v>4315</v>
      </c>
      <c r="Q88" s="6">
        <v>6000</v>
      </c>
      <c r="S88" s="6">
        <v>6000</v>
      </c>
      <c r="T88" s="10">
        <f t="shared" si="7"/>
        <v>6000</v>
      </c>
      <c r="V88" s="8">
        <v>-1.4834372282028201</v>
      </c>
      <c r="W88" s="8">
        <v>-10.209190650749207</v>
      </c>
      <c r="X88" s="8">
        <f t="shared" si="5"/>
        <v>1.6583071748733538</v>
      </c>
    </row>
    <row r="89" spans="1:24" s="6" customFormat="1" x14ac:dyDescent="0.35">
      <c r="A89" s="6" t="s">
        <v>25</v>
      </c>
      <c r="D89" s="6" t="s">
        <v>1195</v>
      </c>
      <c r="E89" s="6">
        <v>3</v>
      </c>
      <c r="F89" s="6">
        <v>32</v>
      </c>
      <c r="G89" s="6" t="s">
        <v>60</v>
      </c>
      <c r="I89" s="8">
        <v>86.228210555555506</v>
      </c>
      <c r="J89" s="8">
        <v>15.7194244444444</v>
      </c>
      <c r="K89" s="7" t="s">
        <v>2610</v>
      </c>
      <c r="L89" s="9">
        <v>43912</v>
      </c>
      <c r="N89" s="6">
        <v>25</v>
      </c>
      <c r="O89" s="6" t="s">
        <v>4315</v>
      </c>
      <c r="Q89" s="6">
        <v>7500</v>
      </c>
      <c r="S89" s="6">
        <v>7500</v>
      </c>
      <c r="T89" s="10">
        <f t="shared" si="7"/>
        <v>7500</v>
      </c>
      <c r="V89" s="8">
        <v>-0.89675560337305038</v>
      </c>
      <c r="W89" s="8">
        <v>-5.3850862024784085</v>
      </c>
      <c r="X89" s="8">
        <f t="shared" si="5"/>
        <v>1.7889586245059945</v>
      </c>
    </row>
    <row r="90" spans="1:24" s="6" customFormat="1" x14ac:dyDescent="0.35">
      <c r="A90" s="6" t="s">
        <v>25</v>
      </c>
      <c r="D90" s="6" t="s">
        <v>1195</v>
      </c>
      <c r="E90" s="6">
        <v>3</v>
      </c>
      <c r="F90" s="6">
        <v>32</v>
      </c>
      <c r="G90" s="6" t="s">
        <v>60</v>
      </c>
      <c r="I90" s="8">
        <v>86.228210555555506</v>
      </c>
      <c r="J90" s="8">
        <v>15.7194244444444</v>
      </c>
      <c r="K90" s="7" t="s">
        <v>2610</v>
      </c>
      <c r="L90" s="9">
        <v>43912</v>
      </c>
      <c r="N90" s="6">
        <v>25</v>
      </c>
      <c r="O90" s="6" t="s">
        <v>4315</v>
      </c>
      <c r="Q90" s="6">
        <v>500</v>
      </c>
      <c r="S90" s="6">
        <v>500</v>
      </c>
      <c r="T90" s="10">
        <f t="shared" si="7"/>
        <v>500</v>
      </c>
      <c r="V90" s="8">
        <v>-1.6176630735397342</v>
      </c>
      <c r="W90" s="8">
        <v>-10.63837397646904</v>
      </c>
      <c r="X90" s="8">
        <f t="shared" si="5"/>
        <v>2.3029306118488329</v>
      </c>
    </row>
    <row r="91" spans="1:24" s="6" customFormat="1" x14ac:dyDescent="0.35">
      <c r="A91" s="6" t="s">
        <v>25</v>
      </c>
      <c r="B91" s="7" t="s">
        <v>1225</v>
      </c>
      <c r="D91" s="6" t="s">
        <v>1226</v>
      </c>
      <c r="E91" s="6">
        <v>3</v>
      </c>
      <c r="F91" s="6">
        <v>33</v>
      </c>
      <c r="G91" s="6" t="s">
        <v>60</v>
      </c>
      <c r="I91" s="8">
        <v>85.594914166666697</v>
      </c>
      <c r="J91" s="8">
        <v>13.3017425694444</v>
      </c>
      <c r="K91" s="7" t="s">
        <v>2610</v>
      </c>
      <c r="L91" s="9">
        <v>43918</v>
      </c>
      <c r="N91" s="6">
        <v>26</v>
      </c>
      <c r="O91" s="6" t="s">
        <v>4257</v>
      </c>
      <c r="Q91" s="10">
        <v>500</v>
      </c>
      <c r="R91" s="10"/>
      <c r="S91" s="10">
        <v>500</v>
      </c>
      <c r="T91" s="10">
        <f t="shared" si="7"/>
        <v>500</v>
      </c>
      <c r="U91" s="11"/>
      <c r="V91" s="8">
        <v>-1.4140601814270015</v>
      </c>
      <c r="W91" s="8">
        <v>-9.5253091640472416</v>
      </c>
      <c r="X91" s="8">
        <f t="shared" si="5"/>
        <v>1.7871722873687705</v>
      </c>
    </row>
    <row r="92" spans="1:24" s="6" customFormat="1" x14ac:dyDescent="0.35">
      <c r="A92" s="6" t="s">
        <v>25</v>
      </c>
      <c r="D92" s="6" t="s">
        <v>1227</v>
      </c>
      <c r="E92" s="6">
        <v>3</v>
      </c>
      <c r="F92" s="6">
        <v>34</v>
      </c>
      <c r="G92" s="6" t="s">
        <v>60</v>
      </c>
      <c r="I92" s="8">
        <v>85.291250347222203</v>
      </c>
      <c r="J92" s="8">
        <v>14.095097916666701</v>
      </c>
      <c r="K92" s="7" t="s">
        <v>2610</v>
      </c>
      <c r="L92" s="9">
        <v>43921</v>
      </c>
      <c r="N92" s="6">
        <v>27</v>
      </c>
      <c r="O92" s="6" t="s">
        <v>4293</v>
      </c>
      <c r="Q92" s="6">
        <v>500</v>
      </c>
      <c r="S92" s="6">
        <v>500</v>
      </c>
      <c r="T92" s="10">
        <f t="shared" si="7"/>
        <v>500</v>
      </c>
      <c r="V92" s="8">
        <v>-1.0160881276130671</v>
      </c>
      <c r="W92" s="8">
        <v>-9.7548963495254526</v>
      </c>
      <c r="X92" s="8">
        <f t="shared" si="5"/>
        <v>-1.6261913286209158</v>
      </c>
    </row>
    <row r="93" spans="1:24" s="6" customFormat="1" x14ac:dyDescent="0.35">
      <c r="A93" s="6" t="s">
        <v>25</v>
      </c>
      <c r="D93" s="6" t="s">
        <v>1227</v>
      </c>
      <c r="E93" s="6">
        <v>3</v>
      </c>
      <c r="F93" s="6">
        <v>34</v>
      </c>
      <c r="G93" s="6" t="s">
        <v>60</v>
      </c>
      <c r="I93" s="8">
        <v>85.291250347222203</v>
      </c>
      <c r="J93" s="8">
        <v>14.095097916666701</v>
      </c>
      <c r="K93" s="7" t="s">
        <v>2610</v>
      </c>
      <c r="L93" s="9">
        <v>43921</v>
      </c>
      <c r="N93" s="6">
        <v>27</v>
      </c>
      <c r="O93" s="6" t="s">
        <v>4293</v>
      </c>
      <c r="Q93" s="6">
        <v>7000</v>
      </c>
      <c r="S93" s="6">
        <v>7000</v>
      </c>
      <c r="T93" s="10">
        <f t="shared" si="7"/>
        <v>7000</v>
      </c>
      <c r="V93" s="8">
        <v>0.16639268770068885</v>
      </c>
      <c r="W93" s="8">
        <v>0.54394609680175798</v>
      </c>
      <c r="X93" s="8">
        <f t="shared" si="5"/>
        <v>-0.78719540480375283</v>
      </c>
    </row>
    <row r="94" spans="1:24" s="6" customFormat="1" x14ac:dyDescent="0.35">
      <c r="A94" s="6" t="s">
        <v>25</v>
      </c>
      <c r="D94" s="6" t="s">
        <v>1227</v>
      </c>
      <c r="E94" s="6">
        <v>3</v>
      </c>
      <c r="F94" s="6">
        <v>34</v>
      </c>
      <c r="G94" s="6" t="s">
        <v>60</v>
      </c>
      <c r="I94" s="8">
        <v>85.291250347222203</v>
      </c>
      <c r="J94" s="8">
        <v>14.095097916666701</v>
      </c>
      <c r="K94" s="7" t="s">
        <v>2610</v>
      </c>
      <c r="L94" s="9">
        <v>43921</v>
      </c>
      <c r="N94" s="6">
        <v>27</v>
      </c>
      <c r="O94" s="6" t="s">
        <v>4293</v>
      </c>
      <c r="Q94" s="6">
        <v>6000</v>
      </c>
      <c r="S94" s="6">
        <v>6000</v>
      </c>
      <c r="T94" s="10">
        <f t="shared" si="7"/>
        <v>6000</v>
      </c>
      <c r="V94" s="8">
        <v>-0.9755945230722427</v>
      </c>
      <c r="W94" s="8">
        <v>-8.1356821123123151</v>
      </c>
      <c r="X94" s="8">
        <f t="shared" si="5"/>
        <v>-0.33092592773437346</v>
      </c>
    </row>
    <row r="95" spans="1:24" s="6" customFormat="1" x14ac:dyDescent="0.35">
      <c r="A95" s="6" t="s">
        <v>25</v>
      </c>
      <c r="D95" s="6" t="s">
        <v>1227</v>
      </c>
      <c r="E95" s="6">
        <v>3</v>
      </c>
      <c r="F95" s="6">
        <v>34</v>
      </c>
      <c r="G95" s="6" t="s">
        <v>60</v>
      </c>
      <c r="I95" s="8">
        <v>85.291250347222203</v>
      </c>
      <c r="J95" s="8">
        <v>14.095097916666701</v>
      </c>
      <c r="K95" s="7" t="s">
        <v>2610</v>
      </c>
      <c r="L95" s="9">
        <v>43921</v>
      </c>
      <c r="N95" s="6">
        <v>27</v>
      </c>
      <c r="O95" s="6" t="s">
        <v>4293</v>
      </c>
      <c r="Q95" s="6">
        <v>2000</v>
      </c>
      <c r="S95" s="6">
        <v>2000</v>
      </c>
      <c r="T95" s="10">
        <f t="shared" si="7"/>
        <v>2000</v>
      </c>
      <c r="V95" s="8">
        <v>-1.0022641493082043</v>
      </c>
      <c r="W95" s="8">
        <v>-7.9900115638732911</v>
      </c>
      <c r="X95" s="8">
        <f t="shared" si="5"/>
        <v>2.8101630592343163E-2</v>
      </c>
    </row>
    <row r="96" spans="1:24" s="6" customFormat="1" x14ac:dyDescent="0.35">
      <c r="A96" s="6" t="s">
        <v>25</v>
      </c>
      <c r="D96" s="6" t="s">
        <v>1227</v>
      </c>
      <c r="E96" s="6">
        <v>3</v>
      </c>
      <c r="F96" s="6">
        <v>34</v>
      </c>
      <c r="G96" s="6" t="s">
        <v>60</v>
      </c>
      <c r="I96" s="8">
        <v>85.291250347222203</v>
      </c>
      <c r="J96" s="8">
        <v>14.095097916666701</v>
      </c>
      <c r="K96" s="7" t="s">
        <v>2610</v>
      </c>
      <c r="L96" s="9">
        <v>43921</v>
      </c>
      <c r="N96" s="6">
        <v>27</v>
      </c>
      <c r="O96" s="6" t="s">
        <v>4293</v>
      </c>
      <c r="Q96" s="6">
        <v>5000</v>
      </c>
      <c r="S96" s="6">
        <v>5000</v>
      </c>
      <c r="T96" s="10">
        <f t="shared" si="7"/>
        <v>5000</v>
      </c>
      <c r="V96" s="8">
        <v>-1.0651656646728518</v>
      </c>
      <c r="W96" s="8">
        <v>-8.0123219123840332</v>
      </c>
      <c r="X96" s="8">
        <f t="shared" si="5"/>
        <v>0.50900340499878105</v>
      </c>
    </row>
    <row r="97" spans="1:24" s="6" customFormat="1" x14ac:dyDescent="0.35">
      <c r="A97" s="6" t="s">
        <v>25</v>
      </c>
      <c r="D97" s="6" t="s">
        <v>1227</v>
      </c>
      <c r="E97" s="6">
        <v>3</v>
      </c>
      <c r="F97" s="6">
        <v>34</v>
      </c>
      <c r="G97" s="6" t="s">
        <v>60</v>
      </c>
      <c r="I97" s="8">
        <v>85.291250347222203</v>
      </c>
      <c r="J97" s="8">
        <v>14.095097916666701</v>
      </c>
      <c r="K97" s="7" t="s">
        <v>2610</v>
      </c>
      <c r="L97" s="9">
        <v>43921</v>
      </c>
      <c r="N97" s="6">
        <v>27</v>
      </c>
      <c r="O97" s="6" t="s">
        <v>4293</v>
      </c>
      <c r="Q97" s="6">
        <v>6500</v>
      </c>
      <c r="S97" s="6">
        <v>6500</v>
      </c>
      <c r="T97" s="10">
        <f t="shared" si="7"/>
        <v>6500</v>
      </c>
      <c r="V97" s="8">
        <v>-0.35813273595571471</v>
      </c>
      <c r="W97" s="8">
        <v>-1.7829569547653192</v>
      </c>
      <c r="X97" s="8">
        <f t="shared" si="5"/>
        <v>1.0821049328803984</v>
      </c>
    </row>
    <row r="98" spans="1:24" s="6" customFormat="1" x14ac:dyDescent="0.35">
      <c r="A98" s="6" t="s">
        <v>25</v>
      </c>
      <c r="B98" s="7" t="s">
        <v>1237</v>
      </c>
      <c r="D98" s="6" t="s">
        <v>1238</v>
      </c>
      <c r="E98" s="6">
        <v>3</v>
      </c>
      <c r="F98" s="6">
        <v>34</v>
      </c>
      <c r="G98" s="6" t="s">
        <v>60</v>
      </c>
      <c r="I98" s="8">
        <v>84.579098611111107</v>
      </c>
      <c r="J98" s="8">
        <v>13.4521381944444</v>
      </c>
      <c r="K98" s="7" t="s">
        <v>2610</v>
      </c>
      <c r="L98" s="9">
        <v>43926</v>
      </c>
      <c r="N98" s="6">
        <v>27</v>
      </c>
      <c r="O98" s="6" t="s">
        <v>4358</v>
      </c>
      <c r="Q98" s="10">
        <v>500</v>
      </c>
      <c r="R98" s="10"/>
      <c r="S98" s="10">
        <v>500</v>
      </c>
      <c r="T98" s="10">
        <f t="shared" si="7"/>
        <v>500</v>
      </c>
      <c r="U98" s="11"/>
      <c r="V98" s="8">
        <v>-0.85299099683761592</v>
      </c>
      <c r="W98" s="8">
        <v>-4.2631548475265495</v>
      </c>
      <c r="X98" s="8">
        <f t="shared" ref="X98:X123" si="8">W98-(8*V98)</f>
        <v>2.5607731271743779</v>
      </c>
    </row>
    <row r="99" spans="1:24" s="6" customFormat="1" x14ac:dyDescent="0.35">
      <c r="A99" s="6" t="s">
        <v>25</v>
      </c>
      <c r="B99" s="7" t="s">
        <v>1285</v>
      </c>
      <c r="D99" s="6" t="s">
        <v>1286</v>
      </c>
      <c r="E99" s="6">
        <v>3</v>
      </c>
      <c r="F99" s="6">
        <v>34</v>
      </c>
      <c r="G99" s="6" t="s">
        <v>60</v>
      </c>
      <c r="I99" s="8">
        <v>84.499290694444397</v>
      </c>
      <c r="J99" s="8">
        <v>14.534291805555601</v>
      </c>
      <c r="K99" s="7" t="s">
        <v>2610</v>
      </c>
      <c r="L99" s="9">
        <v>43928</v>
      </c>
      <c r="N99" s="6">
        <v>28</v>
      </c>
      <c r="O99" s="6" t="s">
        <v>4360</v>
      </c>
      <c r="Q99" s="10">
        <v>500</v>
      </c>
      <c r="R99" s="10"/>
      <c r="S99" s="10">
        <v>500</v>
      </c>
      <c r="T99" s="10">
        <f t="shared" si="7"/>
        <v>500</v>
      </c>
      <c r="U99" s="11"/>
      <c r="V99" s="8">
        <v>-0.68478795604705833</v>
      </c>
      <c r="W99" s="8">
        <v>-4.0511530017852788</v>
      </c>
      <c r="X99" s="8">
        <f t="shared" si="8"/>
        <v>1.4271506465911878</v>
      </c>
    </row>
    <row r="100" spans="1:24" s="6" customFormat="1" x14ac:dyDescent="0.35">
      <c r="A100" s="6" t="s">
        <v>25</v>
      </c>
      <c r="B100" s="7" t="s">
        <v>1320</v>
      </c>
      <c r="D100" s="6" t="s">
        <v>1321</v>
      </c>
      <c r="E100" s="6">
        <v>3</v>
      </c>
      <c r="F100" s="6">
        <v>35</v>
      </c>
      <c r="G100" s="6" t="s">
        <v>60</v>
      </c>
      <c r="I100" s="8">
        <v>84.322834374999999</v>
      </c>
      <c r="J100" s="8">
        <v>14.725811041666701</v>
      </c>
      <c r="K100" s="7" t="s">
        <v>2610</v>
      </c>
      <c r="L100" s="9">
        <v>43932</v>
      </c>
      <c r="N100" s="6">
        <v>28</v>
      </c>
      <c r="O100" s="6" t="s">
        <v>4362</v>
      </c>
      <c r="Q100" s="10">
        <v>500</v>
      </c>
      <c r="R100" s="10"/>
      <c r="S100" s="10">
        <v>500</v>
      </c>
      <c r="T100" s="10">
        <f t="shared" si="7"/>
        <v>500</v>
      </c>
      <c r="U100" s="11"/>
      <c r="V100" s="8">
        <v>-0.65422757094383277</v>
      </c>
      <c r="W100" s="8">
        <v>-3.7561219501495362</v>
      </c>
      <c r="X100" s="8">
        <f t="shared" si="8"/>
        <v>1.477698617401126</v>
      </c>
    </row>
    <row r="101" spans="1:24" s="6" customFormat="1" x14ac:dyDescent="0.35">
      <c r="A101" s="6" t="s">
        <v>25</v>
      </c>
      <c r="B101" s="7" t="s">
        <v>1392</v>
      </c>
      <c r="D101" s="6" t="s">
        <v>1393</v>
      </c>
      <c r="E101" s="6">
        <v>3</v>
      </c>
      <c r="F101" s="6">
        <v>36</v>
      </c>
      <c r="G101" s="6" t="s">
        <v>60</v>
      </c>
      <c r="I101" s="8">
        <v>84.331482986111098</v>
      </c>
      <c r="J101" s="8">
        <v>14.642671805555601</v>
      </c>
      <c r="K101" s="7" t="s">
        <v>2610</v>
      </c>
      <c r="L101" s="9">
        <v>43935</v>
      </c>
      <c r="N101" s="6">
        <v>29</v>
      </c>
      <c r="O101" s="6" t="s">
        <v>4332</v>
      </c>
      <c r="Q101" s="10">
        <v>500</v>
      </c>
      <c r="R101" s="10"/>
      <c r="S101" s="10">
        <v>500</v>
      </c>
      <c r="T101" s="10">
        <f t="shared" si="7"/>
        <v>500</v>
      </c>
      <c r="U101" s="11"/>
      <c r="V101" s="8">
        <v>-0.6842124165821073</v>
      </c>
      <c r="W101" s="8">
        <v>-3.5353351211547852</v>
      </c>
      <c r="X101" s="8">
        <f t="shared" si="8"/>
        <v>1.9383642115020732</v>
      </c>
    </row>
    <row r="102" spans="1:24" s="6" customFormat="1" x14ac:dyDescent="0.35">
      <c r="A102" s="6" t="s">
        <v>25</v>
      </c>
      <c r="B102" s="7" t="s">
        <v>1398</v>
      </c>
      <c r="D102" s="6" t="s">
        <v>1399</v>
      </c>
      <c r="E102" s="6">
        <v>3</v>
      </c>
      <c r="F102" s="6">
        <v>36</v>
      </c>
      <c r="G102" s="6" t="s">
        <v>60</v>
      </c>
      <c r="I102" s="8">
        <v>84.477672222222196</v>
      </c>
      <c r="J102" s="8">
        <v>13.933800277777801</v>
      </c>
      <c r="K102" s="7" t="s">
        <v>2610</v>
      </c>
      <c r="L102" s="9">
        <v>43939</v>
      </c>
      <c r="N102" s="6">
        <v>29</v>
      </c>
      <c r="O102" s="6" t="s">
        <v>4366</v>
      </c>
      <c r="Q102" s="10">
        <v>500</v>
      </c>
      <c r="R102" s="10"/>
      <c r="S102" s="10">
        <v>500</v>
      </c>
      <c r="T102" s="10">
        <f t="shared" si="7"/>
        <v>500</v>
      </c>
      <c r="U102" s="11"/>
      <c r="V102" s="8">
        <v>-0.83771193747520434</v>
      </c>
      <c r="W102" s="8">
        <v>-4.7227822465896603</v>
      </c>
      <c r="X102" s="8">
        <f t="shared" si="8"/>
        <v>1.9789132532119744</v>
      </c>
    </row>
    <row r="103" spans="1:24" s="6" customFormat="1" x14ac:dyDescent="0.35">
      <c r="A103" s="6" t="s">
        <v>25</v>
      </c>
      <c r="B103" s="7" t="s">
        <v>1400</v>
      </c>
      <c r="D103" s="6" t="s">
        <v>1401</v>
      </c>
      <c r="E103" s="6">
        <v>3</v>
      </c>
      <c r="F103" s="6">
        <v>37</v>
      </c>
      <c r="G103" s="6" t="s">
        <v>60</v>
      </c>
      <c r="I103" s="8">
        <v>84.294796666666699</v>
      </c>
      <c r="J103" s="8">
        <v>15.245605972222201</v>
      </c>
      <c r="K103" s="7" t="s">
        <v>2610</v>
      </c>
      <c r="L103" s="9">
        <v>43942</v>
      </c>
      <c r="N103" s="6">
        <v>30</v>
      </c>
      <c r="O103" s="6" t="s">
        <v>4369</v>
      </c>
      <c r="Q103" s="10">
        <v>500</v>
      </c>
      <c r="R103" s="10"/>
      <c r="S103" s="10">
        <v>500</v>
      </c>
      <c r="T103" s="10">
        <f t="shared" si="7"/>
        <v>500</v>
      </c>
      <c r="U103" s="11"/>
      <c r="V103" s="8">
        <v>-0.75685615539550799</v>
      </c>
      <c r="W103" s="8">
        <v>-4.5737409767150883</v>
      </c>
      <c r="X103" s="8">
        <f t="shared" si="8"/>
        <v>1.4811082664489756</v>
      </c>
    </row>
    <row r="104" spans="1:24" s="6" customFormat="1" x14ac:dyDescent="0.35">
      <c r="A104" s="6" t="s">
        <v>25</v>
      </c>
      <c r="D104" s="6" t="s">
        <v>1524</v>
      </c>
      <c r="E104" s="6">
        <v>3</v>
      </c>
      <c r="F104" s="6">
        <v>37</v>
      </c>
      <c r="G104" s="6" t="s">
        <v>60</v>
      </c>
      <c r="I104" s="8">
        <v>83.929787500000003</v>
      </c>
      <c r="J104" s="8">
        <v>15.517561875</v>
      </c>
      <c r="K104" s="7" t="s">
        <v>2610</v>
      </c>
      <c r="L104" s="9">
        <v>43947</v>
      </c>
      <c r="N104" s="6">
        <v>30</v>
      </c>
      <c r="O104" s="6" t="s">
        <v>4247</v>
      </c>
      <c r="Q104" s="6">
        <v>10000</v>
      </c>
      <c r="S104" s="6">
        <v>10000</v>
      </c>
      <c r="T104" s="10">
        <f t="shared" si="7"/>
        <v>10000</v>
      </c>
      <c r="V104" s="8">
        <v>-0.45478769486546472</v>
      </c>
      <c r="W104" s="8">
        <v>-5.9716629395484926</v>
      </c>
      <c r="X104" s="8">
        <f t="shared" si="8"/>
        <v>-2.3333613806247748</v>
      </c>
    </row>
    <row r="105" spans="1:24" s="6" customFormat="1" x14ac:dyDescent="0.35">
      <c r="A105" s="6" t="s">
        <v>25</v>
      </c>
      <c r="D105" s="6" t="s">
        <v>1524</v>
      </c>
      <c r="E105" s="6">
        <v>3</v>
      </c>
      <c r="F105" s="6">
        <v>37</v>
      </c>
      <c r="G105" s="6" t="s">
        <v>60</v>
      </c>
      <c r="I105" s="8">
        <v>83.929787500000003</v>
      </c>
      <c r="J105" s="8">
        <v>15.517561875</v>
      </c>
      <c r="K105" s="7" t="s">
        <v>2610</v>
      </c>
      <c r="L105" s="9">
        <v>43947</v>
      </c>
      <c r="N105" s="6">
        <v>30</v>
      </c>
      <c r="O105" s="6" t="s">
        <v>4247</v>
      </c>
      <c r="Q105" s="6">
        <v>11500</v>
      </c>
      <c r="S105" s="6">
        <v>11500</v>
      </c>
      <c r="T105" s="10">
        <f t="shared" si="7"/>
        <v>11500</v>
      </c>
      <c r="V105" s="8">
        <v>-0.17361229380369242</v>
      </c>
      <c r="W105" s="8">
        <v>-1.6513012132644653</v>
      </c>
      <c r="X105" s="8">
        <f t="shared" si="8"/>
        <v>-0.26240286283492598</v>
      </c>
    </row>
    <row r="106" spans="1:24" s="6" customFormat="1" x14ac:dyDescent="0.35">
      <c r="A106" s="6" t="s">
        <v>25</v>
      </c>
      <c r="D106" s="6" t="s">
        <v>1524</v>
      </c>
      <c r="E106" s="6">
        <v>3</v>
      </c>
      <c r="F106" s="6">
        <v>37</v>
      </c>
      <c r="G106" s="6" t="s">
        <v>60</v>
      </c>
      <c r="I106" s="8">
        <v>83.929787500000003</v>
      </c>
      <c r="J106" s="8">
        <v>15.517561875</v>
      </c>
      <c r="K106" s="7" t="s">
        <v>2610</v>
      </c>
      <c r="L106" s="9">
        <v>43947</v>
      </c>
      <c r="N106" s="6">
        <v>30</v>
      </c>
      <c r="O106" s="6" t="s">
        <v>4247</v>
      </c>
      <c r="Q106" s="6">
        <v>500</v>
      </c>
      <c r="S106" s="6">
        <v>500</v>
      </c>
      <c r="T106" s="10">
        <f t="shared" si="7"/>
        <v>500</v>
      </c>
      <c r="V106" s="8">
        <v>-0.59454428061246845</v>
      </c>
      <c r="W106" s="8">
        <v>-4.4419007277488696</v>
      </c>
      <c r="X106" s="8">
        <f t="shared" si="8"/>
        <v>0.31445351715087799</v>
      </c>
    </row>
    <row r="107" spans="1:24" s="6" customFormat="1" x14ac:dyDescent="0.35">
      <c r="A107" s="6" t="s">
        <v>25</v>
      </c>
      <c r="D107" s="6" t="s">
        <v>1524</v>
      </c>
      <c r="E107" s="6">
        <v>3</v>
      </c>
      <c r="F107" s="6">
        <v>37</v>
      </c>
      <c r="G107" s="6" t="s">
        <v>60</v>
      </c>
      <c r="I107" s="8">
        <v>83.929787500000003</v>
      </c>
      <c r="J107" s="8">
        <v>15.517561875</v>
      </c>
      <c r="K107" s="7" t="s">
        <v>2610</v>
      </c>
      <c r="L107" s="9">
        <v>43947</v>
      </c>
      <c r="N107" s="6">
        <v>30</v>
      </c>
      <c r="O107" s="6" t="s">
        <v>4247</v>
      </c>
      <c r="Q107" s="6">
        <v>4000</v>
      </c>
      <c r="S107" s="6">
        <v>4000</v>
      </c>
      <c r="T107" s="10">
        <f t="shared" si="7"/>
        <v>4000</v>
      </c>
      <c r="V107" s="8">
        <v>-0.59645272892117507</v>
      </c>
      <c r="W107" s="8">
        <v>-4.1582912421226492</v>
      </c>
      <c r="X107" s="8">
        <f t="shared" si="8"/>
        <v>0.61333058924675132</v>
      </c>
    </row>
    <row r="108" spans="1:24" s="6" customFormat="1" x14ac:dyDescent="0.35">
      <c r="A108" s="6" t="s">
        <v>25</v>
      </c>
      <c r="D108" s="6" t="s">
        <v>1524</v>
      </c>
      <c r="E108" s="6">
        <v>3</v>
      </c>
      <c r="F108" s="6">
        <v>37</v>
      </c>
      <c r="G108" s="6" t="s">
        <v>60</v>
      </c>
      <c r="I108" s="8">
        <v>83.929787500000003</v>
      </c>
      <c r="J108" s="8">
        <v>15.517561875</v>
      </c>
      <c r="K108" s="7" t="s">
        <v>2610</v>
      </c>
      <c r="L108" s="9">
        <v>43947</v>
      </c>
      <c r="N108" s="6">
        <v>30</v>
      </c>
      <c r="O108" s="6" t="s">
        <v>4247</v>
      </c>
      <c r="Q108" s="6">
        <v>5000</v>
      </c>
      <c r="S108" s="6">
        <v>5000</v>
      </c>
      <c r="T108" s="10">
        <f t="shared" si="7"/>
        <v>5000</v>
      </c>
      <c r="V108" s="8">
        <v>-0.45763361142873771</v>
      </c>
      <c r="W108" s="8">
        <v>-2.8193712646961209</v>
      </c>
      <c r="X108" s="8">
        <f t="shared" si="8"/>
        <v>0.84169762673378079</v>
      </c>
    </row>
    <row r="109" spans="1:24" s="6" customFormat="1" x14ac:dyDescent="0.35">
      <c r="A109" s="6" t="s">
        <v>25</v>
      </c>
      <c r="D109" s="6" t="s">
        <v>1524</v>
      </c>
      <c r="E109" s="6">
        <v>3</v>
      </c>
      <c r="F109" s="6">
        <v>37</v>
      </c>
      <c r="G109" s="6" t="s">
        <v>60</v>
      </c>
      <c r="I109" s="8">
        <v>83.929787500000003</v>
      </c>
      <c r="J109" s="8">
        <v>15.517561875</v>
      </c>
      <c r="K109" s="7" t="s">
        <v>2610</v>
      </c>
      <c r="L109" s="9">
        <v>43947</v>
      </c>
      <c r="N109" s="6">
        <v>30</v>
      </c>
      <c r="O109" s="6" t="s">
        <v>4247</v>
      </c>
      <c r="Q109" s="6">
        <v>12500</v>
      </c>
      <c r="S109" s="6">
        <v>12500</v>
      </c>
      <c r="T109" s="10">
        <f t="shared" si="7"/>
        <v>12500</v>
      </c>
      <c r="V109" s="8">
        <v>-0.23089125811457592</v>
      </c>
      <c r="W109" s="8">
        <v>-0.45740785503387449</v>
      </c>
      <c r="X109" s="8">
        <f t="shared" si="8"/>
        <v>1.3897222098827329</v>
      </c>
    </row>
    <row r="110" spans="1:24" s="6" customFormat="1" x14ac:dyDescent="0.35">
      <c r="A110" s="6" t="s">
        <v>25</v>
      </c>
      <c r="D110" s="6" t="s">
        <v>1524</v>
      </c>
      <c r="E110" s="6">
        <v>3</v>
      </c>
      <c r="F110" s="6">
        <v>37</v>
      </c>
      <c r="G110" s="6" t="s">
        <v>60</v>
      </c>
      <c r="I110" s="8">
        <v>83.929787500000003</v>
      </c>
      <c r="J110" s="8">
        <v>15.517561875</v>
      </c>
      <c r="K110" s="7" t="s">
        <v>2610</v>
      </c>
      <c r="L110" s="9">
        <v>43947</v>
      </c>
      <c r="N110" s="6">
        <v>30</v>
      </c>
      <c r="O110" s="6" t="s">
        <v>4247</v>
      </c>
      <c r="Q110" s="6">
        <v>2000</v>
      </c>
      <c r="S110" s="6">
        <v>2000</v>
      </c>
      <c r="T110" s="10">
        <f t="shared" si="7"/>
        <v>2000</v>
      </c>
      <c r="V110" s="8">
        <v>-0.61617187281846997</v>
      </c>
      <c r="W110" s="8">
        <v>-3.5214465579986571</v>
      </c>
      <c r="X110" s="8">
        <f t="shared" si="8"/>
        <v>1.4079284245491026</v>
      </c>
    </row>
    <row r="111" spans="1:24" s="6" customFormat="1" x14ac:dyDescent="0.35">
      <c r="A111" s="6" t="s">
        <v>25</v>
      </c>
      <c r="D111" s="6" t="s">
        <v>1524</v>
      </c>
      <c r="E111" s="6">
        <v>3</v>
      </c>
      <c r="F111" s="6">
        <v>37</v>
      </c>
      <c r="G111" s="6" t="s">
        <v>60</v>
      </c>
      <c r="I111" s="8">
        <v>83.929787500000003</v>
      </c>
      <c r="J111" s="8">
        <v>15.517561875</v>
      </c>
      <c r="K111" s="7" t="s">
        <v>2610</v>
      </c>
      <c r="L111" s="9">
        <v>43947</v>
      </c>
      <c r="N111" s="6">
        <v>30</v>
      </c>
      <c r="O111" s="6" t="s">
        <v>4247</v>
      </c>
      <c r="Q111" s="6">
        <v>7500</v>
      </c>
      <c r="S111" s="6">
        <v>7500</v>
      </c>
      <c r="T111" s="10">
        <f t="shared" si="7"/>
        <v>7500</v>
      </c>
      <c r="V111" s="8">
        <v>-0.49063702445626212</v>
      </c>
      <c r="W111" s="8">
        <v>-2.1577021679878232</v>
      </c>
      <c r="X111" s="8">
        <f t="shared" si="8"/>
        <v>1.7673940276622737</v>
      </c>
    </row>
    <row r="112" spans="1:24" s="6" customFormat="1" x14ac:dyDescent="0.35">
      <c r="A112" s="6" t="s">
        <v>25</v>
      </c>
      <c r="D112" s="6" t="s">
        <v>1524</v>
      </c>
      <c r="E112" s="6">
        <v>3</v>
      </c>
      <c r="F112" s="6">
        <v>37</v>
      </c>
      <c r="G112" s="6" t="s">
        <v>60</v>
      </c>
      <c r="I112" s="8">
        <v>83.929787500000003</v>
      </c>
      <c r="J112" s="8">
        <v>15.517561875</v>
      </c>
      <c r="K112" s="7" t="s">
        <v>2610</v>
      </c>
      <c r="L112" s="9">
        <v>43947</v>
      </c>
      <c r="N112" s="6">
        <v>30</v>
      </c>
      <c r="O112" s="6" t="s">
        <v>4247</v>
      </c>
      <c r="Q112" s="6">
        <v>6000</v>
      </c>
      <c r="S112" s="6">
        <v>6000</v>
      </c>
      <c r="T112" s="10">
        <f t="shared" si="7"/>
        <v>6000</v>
      </c>
      <c r="V112" s="8">
        <v>-0.59576105373501786</v>
      </c>
      <c r="W112" s="8">
        <v>-2.7401648025512686</v>
      </c>
      <c r="X112" s="8">
        <f t="shared" si="8"/>
        <v>2.0259236273288743</v>
      </c>
    </row>
    <row r="113" spans="1:24" s="6" customFormat="1" x14ac:dyDescent="0.35">
      <c r="A113" s="6" t="s">
        <v>25</v>
      </c>
      <c r="B113" s="7" t="s">
        <v>1559</v>
      </c>
      <c r="D113" s="6" t="s">
        <v>1560</v>
      </c>
      <c r="E113" s="6">
        <v>3</v>
      </c>
      <c r="F113" s="6">
        <v>38</v>
      </c>
      <c r="G113" s="6" t="s">
        <v>60</v>
      </c>
      <c r="I113" s="8">
        <v>84.026365902777798</v>
      </c>
      <c r="J113" s="8">
        <v>16.506753680555601</v>
      </c>
      <c r="K113" s="7" t="s">
        <v>2610</v>
      </c>
      <c r="L113" s="9">
        <v>43949</v>
      </c>
      <c r="N113" s="6">
        <v>31</v>
      </c>
      <c r="O113" s="6" t="s">
        <v>4371</v>
      </c>
      <c r="Q113" s="10"/>
      <c r="R113" s="10"/>
      <c r="S113" s="10"/>
      <c r="T113" s="10"/>
      <c r="U113" s="11"/>
      <c r="V113" s="8">
        <v>-0.58216260795593244</v>
      </c>
      <c r="W113" s="8">
        <v>-2.273357872962952</v>
      </c>
      <c r="X113" s="8">
        <f t="shared" si="8"/>
        <v>2.3839429906845075</v>
      </c>
    </row>
    <row r="114" spans="1:24" s="6" customFormat="1" x14ac:dyDescent="0.35">
      <c r="A114" s="6" t="s">
        <v>25</v>
      </c>
      <c r="D114" s="6" t="s">
        <v>1584</v>
      </c>
      <c r="E114" s="6">
        <v>3</v>
      </c>
      <c r="F114" s="6">
        <v>38</v>
      </c>
      <c r="G114" s="6" t="s">
        <v>1590</v>
      </c>
      <c r="I114" s="8">
        <v>83.902773611111101</v>
      </c>
      <c r="J114" s="8">
        <v>17.582518541666701</v>
      </c>
      <c r="K114" s="7" t="s">
        <v>2610</v>
      </c>
      <c r="L114" s="9">
        <v>43953</v>
      </c>
      <c r="N114" s="6">
        <v>31</v>
      </c>
      <c r="O114" s="6" t="s">
        <v>4266</v>
      </c>
      <c r="Q114" s="6">
        <v>500</v>
      </c>
      <c r="S114" s="6">
        <v>500</v>
      </c>
      <c r="T114" s="10">
        <f t="shared" ref="T114:T122" si="9">AVERAGE(R114:S114)</f>
        <v>500</v>
      </c>
      <c r="V114" s="8">
        <v>-0.5212691069483758</v>
      </c>
      <c r="W114" s="8">
        <v>-4.5461879739761351</v>
      </c>
      <c r="X114" s="8">
        <f t="shared" si="8"/>
        <v>-0.37603511838912862</v>
      </c>
    </row>
    <row r="115" spans="1:24" s="6" customFormat="1" x14ac:dyDescent="0.35">
      <c r="A115" s="6" t="s">
        <v>25</v>
      </c>
      <c r="D115" s="6" t="s">
        <v>1584</v>
      </c>
      <c r="E115" s="6">
        <v>3</v>
      </c>
      <c r="F115" s="6">
        <v>38</v>
      </c>
      <c r="G115" s="6" t="s">
        <v>1586</v>
      </c>
      <c r="I115" s="8">
        <v>83.902773611111101</v>
      </c>
      <c r="J115" s="8">
        <v>17.582518541666701</v>
      </c>
      <c r="K115" s="7" t="s">
        <v>2610</v>
      </c>
      <c r="L115" s="9">
        <v>43953</v>
      </c>
      <c r="N115" s="6">
        <v>31</v>
      </c>
      <c r="O115" s="6" t="s">
        <v>4266</v>
      </c>
      <c r="Q115" s="6">
        <v>11500</v>
      </c>
      <c r="S115" s="6">
        <v>11500</v>
      </c>
      <c r="T115" s="10">
        <f t="shared" si="9"/>
        <v>11500</v>
      </c>
      <c r="V115" s="8">
        <v>-0.18938983976841001</v>
      </c>
      <c r="W115" s="8">
        <v>-1.0721594691276546</v>
      </c>
      <c r="X115" s="8">
        <f t="shared" si="8"/>
        <v>0.44295924901962547</v>
      </c>
    </row>
    <row r="116" spans="1:24" s="6" customFormat="1" x14ac:dyDescent="0.35">
      <c r="A116" s="6" t="s">
        <v>25</v>
      </c>
      <c r="D116" s="6" t="s">
        <v>1584</v>
      </c>
      <c r="E116" s="6">
        <v>3</v>
      </c>
      <c r="F116" s="6">
        <v>38</v>
      </c>
      <c r="G116" s="6" t="s">
        <v>1587</v>
      </c>
      <c r="I116" s="8">
        <v>83.902773611111101</v>
      </c>
      <c r="J116" s="8">
        <v>17.582518541666701</v>
      </c>
      <c r="K116" s="7" t="s">
        <v>2610</v>
      </c>
      <c r="L116" s="9">
        <v>43953</v>
      </c>
      <c r="N116" s="6">
        <v>31</v>
      </c>
      <c r="O116" s="6" t="s">
        <v>4266</v>
      </c>
      <c r="Q116" s="6">
        <v>12500</v>
      </c>
      <c r="S116" s="6">
        <v>12500</v>
      </c>
      <c r="T116" s="10">
        <f t="shared" si="9"/>
        <v>12500</v>
      </c>
      <c r="V116" s="8">
        <v>-0.222319200634956</v>
      </c>
      <c r="W116" s="8">
        <v>-0.8854711441993709</v>
      </c>
      <c r="X116" s="8">
        <f t="shared" si="8"/>
        <v>0.8930824608802771</v>
      </c>
    </row>
    <row r="117" spans="1:24" s="6" customFormat="1" x14ac:dyDescent="0.35">
      <c r="A117" s="6" t="s">
        <v>25</v>
      </c>
      <c r="D117" s="6" t="s">
        <v>1584</v>
      </c>
      <c r="E117" s="6">
        <v>3</v>
      </c>
      <c r="F117" s="6">
        <v>38</v>
      </c>
      <c r="G117" s="6" t="s">
        <v>1585</v>
      </c>
      <c r="I117" s="8">
        <v>83.902773611111101</v>
      </c>
      <c r="J117" s="8">
        <v>17.582518541666701</v>
      </c>
      <c r="K117" s="7" t="s">
        <v>2610</v>
      </c>
      <c r="L117" s="9">
        <v>43953</v>
      </c>
      <c r="N117" s="6">
        <v>31</v>
      </c>
      <c r="O117" s="6" t="s">
        <v>4266</v>
      </c>
      <c r="Q117" s="6">
        <v>10000</v>
      </c>
      <c r="S117" s="6">
        <v>10000</v>
      </c>
      <c r="T117" s="10">
        <f t="shared" si="9"/>
        <v>10000</v>
      </c>
      <c r="V117" s="8">
        <v>-0.46577800656437873</v>
      </c>
      <c r="W117" s="8">
        <v>-2.7386758260130879</v>
      </c>
      <c r="X117" s="8">
        <f t="shared" si="8"/>
        <v>0.98754822650194196</v>
      </c>
    </row>
    <row r="118" spans="1:24" s="6" customFormat="1" x14ac:dyDescent="0.35">
      <c r="A118" s="6" t="s">
        <v>25</v>
      </c>
      <c r="D118" s="6" t="s">
        <v>1584</v>
      </c>
      <c r="E118" s="6">
        <v>3</v>
      </c>
      <c r="F118" s="6">
        <v>38</v>
      </c>
      <c r="G118" s="6" t="s">
        <v>1592</v>
      </c>
      <c r="I118" s="8">
        <v>83.902773611111101</v>
      </c>
      <c r="J118" s="8">
        <v>17.582518541666701</v>
      </c>
      <c r="K118" s="7" t="s">
        <v>2610</v>
      </c>
      <c r="L118" s="9">
        <v>43953</v>
      </c>
      <c r="N118" s="6">
        <v>31</v>
      </c>
      <c r="O118" s="6" t="s">
        <v>4266</v>
      </c>
      <c r="Q118" s="6">
        <v>7500</v>
      </c>
      <c r="S118" s="6">
        <v>7500</v>
      </c>
      <c r="T118" s="10">
        <f t="shared" si="9"/>
        <v>7500</v>
      </c>
      <c r="V118" s="8">
        <v>-0.52030752144336689</v>
      </c>
      <c r="W118" s="8">
        <v>-3.1451842018961909</v>
      </c>
      <c r="X118" s="8">
        <f t="shared" si="8"/>
        <v>1.0172759696507443</v>
      </c>
    </row>
    <row r="119" spans="1:24" s="6" customFormat="1" x14ac:dyDescent="0.35">
      <c r="A119" s="6" t="s">
        <v>25</v>
      </c>
      <c r="D119" s="6" t="s">
        <v>1584</v>
      </c>
      <c r="E119" s="6">
        <v>3</v>
      </c>
      <c r="F119" s="6">
        <v>38</v>
      </c>
      <c r="G119" s="6" t="s">
        <v>1591</v>
      </c>
      <c r="I119" s="8">
        <v>83.902773611111101</v>
      </c>
      <c r="J119" s="8">
        <v>17.582518541666701</v>
      </c>
      <c r="K119" s="7" t="s">
        <v>2610</v>
      </c>
      <c r="L119" s="9">
        <v>43953</v>
      </c>
      <c r="N119" s="6">
        <v>31</v>
      </c>
      <c r="O119" s="6" t="s">
        <v>4266</v>
      </c>
      <c r="Q119" s="6">
        <v>6000</v>
      </c>
      <c r="S119" s="6">
        <v>6000</v>
      </c>
      <c r="T119" s="10">
        <f t="shared" si="9"/>
        <v>6000</v>
      </c>
      <c r="V119" s="8">
        <v>-0.59955731521129563</v>
      </c>
      <c r="W119" s="8">
        <v>-3.7111419956982132</v>
      </c>
      <c r="X119" s="8">
        <f t="shared" si="8"/>
        <v>1.0853165259921518</v>
      </c>
    </row>
    <row r="120" spans="1:24" s="6" customFormat="1" x14ac:dyDescent="0.35">
      <c r="A120" s="6" t="s">
        <v>25</v>
      </c>
      <c r="D120" s="6" t="s">
        <v>1584</v>
      </c>
      <c r="E120" s="6">
        <v>3</v>
      </c>
      <c r="F120" s="6">
        <v>38</v>
      </c>
      <c r="G120" s="6" t="s">
        <v>1588</v>
      </c>
      <c r="I120" s="8">
        <v>83.902773611111101</v>
      </c>
      <c r="J120" s="8">
        <v>17.582518541666701</v>
      </c>
      <c r="K120" s="7" t="s">
        <v>2610</v>
      </c>
      <c r="L120" s="9">
        <v>43953</v>
      </c>
      <c r="N120" s="6">
        <v>31</v>
      </c>
      <c r="O120" s="6" t="s">
        <v>4266</v>
      </c>
      <c r="Q120" s="6">
        <v>2000</v>
      </c>
      <c r="S120" s="6">
        <v>2000</v>
      </c>
      <c r="T120" s="10">
        <f t="shared" si="9"/>
        <v>2000</v>
      </c>
      <c r="V120" s="8">
        <v>-0.44690600921511636</v>
      </c>
      <c r="W120" s="8">
        <v>-2.4098319823741905</v>
      </c>
      <c r="X120" s="8">
        <f t="shared" si="8"/>
        <v>1.1654160913467404</v>
      </c>
    </row>
    <row r="121" spans="1:24" s="6" customFormat="1" x14ac:dyDescent="0.35">
      <c r="A121" s="6" t="s">
        <v>25</v>
      </c>
      <c r="D121" s="6" t="s">
        <v>1584</v>
      </c>
      <c r="E121" s="6">
        <v>3</v>
      </c>
      <c r="F121" s="6">
        <v>38</v>
      </c>
      <c r="G121" s="6" t="s">
        <v>1589</v>
      </c>
      <c r="I121" s="8">
        <v>83.902773611111101</v>
      </c>
      <c r="J121" s="8">
        <v>17.582518541666701</v>
      </c>
      <c r="K121" s="7" t="s">
        <v>2610</v>
      </c>
      <c r="L121" s="9">
        <v>43953</v>
      </c>
      <c r="N121" s="6">
        <v>31</v>
      </c>
      <c r="O121" s="6" t="s">
        <v>4266</v>
      </c>
      <c r="Q121" s="6">
        <v>4000</v>
      </c>
      <c r="S121" s="6">
        <v>4000</v>
      </c>
      <c r="T121" s="10">
        <f t="shared" si="9"/>
        <v>4000</v>
      </c>
      <c r="V121" s="8">
        <v>-0.41203900056481313</v>
      </c>
      <c r="W121" s="8">
        <v>-1.8420075688362112</v>
      </c>
      <c r="X121" s="8">
        <f t="shared" si="8"/>
        <v>1.4543044356822938</v>
      </c>
    </row>
    <row r="122" spans="1:24" s="6" customFormat="1" x14ac:dyDescent="0.35">
      <c r="A122" s="6" t="s">
        <v>25</v>
      </c>
      <c r="B122" s="7" t="s">
        <v>1636</v>
      </c>
      <c r="D122" s="6" t="s">
        <v>1637</v>
      </c>
      <c r="E122" s="6">
        <v>3</v>
      </c>
      <c r="F122" s="6">
        <v>39</v>
      </c>
      <c r="G122" s="6" t="s">
        <v>60</v>
      </c>
      <c r="I122" s="8">
        <v>83.919170555555596</v>
      </c>
      <c r="J122" s="8">
        <v>18.093941458333301</v>
      </c>
      <c r="K122" s="7" t="s">
        <v>2610</v>
      </c>
      <c r="L122" s="9">
        <v>43956</v>
      </c>
      <c r="N122" s="6">
        <v>32</v>
      </c>
      <c r="O122" s="6" t="s">
        <v>4375</v>
      </c>
      <c r="Q122" s="10">
        <v>500</v>
      </c>
      <c r="R122" s="10"/>
      <c r="S122" s="10">
        <v>500</v>
      </c>
      <c r="T122" s="10">
        <f t="shared" si="9"/>
        <v>500</v>
      </c>
      <c r="U122" s="11"/>
      <c r="V122" s="8">
        <v>-0.50425447225570696</v>
      </c>
      <c r="W122" s="8">
        <v>-2.538463001632691</v>
      </c>
      <c r="X122" s="8">
        <f t="shared" si="8"/>
        <v>1.4955727764129647</v>
      </c>
    </row>
    <row r="123" spans="1:24" s="6" customFormat="1" x14ac:dyDescent="0.35">
      <c r="A123" s="6" t="s">
        <v>25</v>
      </c>
      <c r="B123" s="6" t="s">
        <v>2280</v>
      </c>
      <c r="D123" s="6" t="s">
        <v>2281</v>
      </c>
      <c r="E123" s="6">
        <v>5</v>
      </c>
      <c r="F123" s="6">
        <v>58</v>
      </c>
      <c r="G123" s="6" t="s">
        <v>2282</v>
      </c>
      <c r="I123" s="8">
        <v>87.743263819444451</v>
      </c>
      <c r="J123" s="8">
        <v>104.6638960416667</v>
      </c>
      <c r="K123" s="7" t="s">
        <v>2610</v>
      </c>
      <c r="L123" s="9">
        <v>44065</v>
      </c>
      <c r="N123" s="6">
        <v>47</v>
      </c>
      <c r="O123" s="6" t="s">
        <v>4397</v>
      </c>
      <c r="T123" s="10"/>
      <c r="V123" s="8">
        <v>-1.2522735150754449</v>
      </c>
      <c r="W123" s="8">
        <v>-9.1507937359809866</v>
      </c>
      <c r="X123" s="8">
        <f t="shared" si="8"/>
        <v>0.8673943846225729</v>
      </c>
    </row>
    <row r="126" spans="1:24" x14ac:dyDescent="0.35">
      <c r="V126" s="34"/>
      <c r="W126" s="34"/>
      <c r="X126" s="34"/>
    </row>
  </sheetData>
  <sortState ref="A2:Y123">
    <sortCondition ref="L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E5B0-8FF5-480F-9DD9-60ED4BE8DE1A}">
  <dimension ref="A1:Y304"/>
  <sheetViews>
    <sheetView zoomScaleNormal="100" workbookViewId="0"/>
  </sheetViews>
  <sheetFormatPr defaultRowHeight="14.5" x14ac:dyDescent="0.35"/>
  <cols>
    <col min="1" max="1" width="7.7265625" bestFit="1" customWidth="1"/>
    <col min="2" max="3" width="17" bestFit="1" customWidth="1"/>
    <col min="4" max="4" width="32.453125" bestFit="1" customWidth="1"/>
    <col min="5" max="5" width="3.81640625" bestFit="1" customWidth="1"/>
    <col min="6" max="6" width="6" bestFit="1" customWidth="1"/>
    <col min="7" max="7" width="14.26953125" bestFit="1" customWidth="1"/>
    <col min="8" max="8" width="18.6328125" customWidth="1"/>
    <col min="9" max="9" width="7.90625" bestFit="1" customWidth="1"/>
    <col min="10" max="10" width="9.36328125" bestFit="1" customWidth="1"/>
    <col min="11" max="11" width="10.90625" style="28" bestFit="1" customWidth="1"/>
    <col min="12" max="12" width="11.7265625" bestFit="1" customWidth="1"/>
    <col min="13" max="13" width="5.1796875" bestFit="1" customWidth="1"/>
    <col min="14" max="14" width="14" bestFit="1" customWidth="1"/>
    <col min="15" max="15" width="9.08984375" bestFit="1" customWidth="1"/>
    <col min="16" max="16" width="15.81640625" bestFit="1" customWidth="1"/>
    <col min="17" max="17" width="17.26953125" bestFit="1" customWidth="1"/>
    <col min="18" max="18" width="11.7265625" bestFit="1" customWidth="1"/>
    <col min="19" max="19" width="8" bestFit="1" customWidth="1"/>
    <col min="20" max="21" width="12" bestFit="1" customWidth="1"/>
    <col min="22" max="22" width="5.26953125" bestFit="1" customWidth="1"/>
    <col min="23" max="23" width="6" bestFit="1" customWidth="1"/>
    <col min="24" max="24" width="8.54296875" bestFit="1" customWidth="1"/>
    <col min="25" max="25" width="10.08984375" bestFit="1" customWidth="1"/>
  </cols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4465</v>
      </c>
      <c r="L1" s="2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4" t="s">
        <v>16</v>
      </c>
      <c r="R1" s="4" t="s">
        <v>4241</v>
      </c>
      <c r="S1" s="4" t="s">
        <v>18</v>
      </c>
      <c r="T1" s="4" t="s">
        <v>19</v>
      </c>
      <c r="U1" s="1" t="s">
        <v>20</v>
      </c>
      <c r="V1" s="5" t="s">
        <v>21</v>
      </c>
      <c r="W1" s="5" t="s">
        <v>22</v>
      </c>
      <c r="X1" s="5" t="s">
        <v>23</v>
      </c>
      <c r="Y1" s="1" t="s">
        <v>24</v>
      </c>
    </row>
    <row r="2" spans="1:25" s="17" customFormat="1" x14ac:dyDescent="0.35">
      <c r="A2" s="17" t="s">
        <v>25</v>
      </c>
      <c r="B2" s="24" t="s">
        <v>3335</v>
      </c>
      <c r="D2" s="24" t="s">
        <v>3637</v>
      </c>
      <c r="E2" s="24">
        <v>1</v>
      </c>
      <c r="F2" s="24">
        <v>7</v>
      </c>
      <c r="G2" s="24" t="s">
        <v>3939</v>
      </c>
      <c r="I2" s="26">
        <v>86.156905694444433</v>
      </c>
      <c r="J2" s="26">
        <v>120.97146201388884</v>
      </c>
      <c r="K2" s="24" t="s">
        <v>2610</v>
      </c>
      <c r="L2" s="25">
        <v>43785</v>
      </c>
      <c r="N2" s="6">
        <v>7</v>
      </c>
      <c r="O2" s="24" t="s">
        <v>4261</v>
      </c>
      <c r="V2" s="26">
        <v>-1.5489186494159703</v>
      </c>
      <c r="W2" s="26">
        <v>-11.370618839836119</v>
      </c>
      <c r="X2" s="27">
        <f t="shared" ref="X2:X65" si="0">W2-(8*V2)</f>
        <v>1.0207303554916436</v>
      </c>
    </row>
    <row r="3" spans="1:25" s="6" customFormat="1" x14ac:dyDescent="0.35">
      <c r="A3" s="17" t="s">
        <v>25</v>
      </c>
      <c r="B3" s="6" t="s">
        <v>3336</v>
      </c>
      <c r="D3" s="6" t="s">
        <v>3638</v>
      </c>
      <c r="E3" s="6">
        <v>1</v>
      </c>
      <c r="F3" s="6">
        <v>7</v>
      </c>
      <c r="G3" s="6" t="s">
        <v>3940</v>
      </c>
      <c r="I3" s="8">
        <v>85.997472777777773</v>
      </c>
      <c r="J3" s="8">
        <v>122.26440229166666</v>
      </c>
      <c r="K3" s="24" t="s">
        <v>2610</v>
      </c>
      <c r="L3" s="9">
        <v>43786</v>
      </c>
      <c r="N3" s="6">
        <v>7</v>
      </c>
      <c r="O3" s="6" t="s">
        <v>4262</v>
      </c>
      <c r="V3" s="8">
        <v>-1.6481019908595089</v>
      </c>
      <c r="W3" s="8">
        <v>-11.859810813999175</v>
      </c>
      <c r="X3" s="27">
        <f t="shared" si="0"/>
        <v>1.3250051128768963</v>
      </c>
    </row>
    <row r="4" spans="1:25" s="6" customFormat="1" x14ac:dyDescent="0.35">
      <c r="A4" s="17" t="s">
        <v>25</v>
      </c>
      <c r="B4" s="6" t="s">
        <v>3337</v>
      </c>
      <c r="D4" s="6" t="s">
        <v>3639</v>
      </c>
      <c r="E4" s="6">
        <v>1</v>
      </c>
      <c r="F4" s="6">
        <v>8</v>
      </c>
      <c r="G4" s="6" t="s">
        <v>3941</v>
      </c>
      <c r="I4" s="8">
        <v>85.829729583333304</v>
      </c>
      <c r="J4" s="8">
        <v>120.62869888888901</v>
      </c>
      <c r="K4" s="24" t="s">
        <v>2610</v>
      </c>
      <c r="L4" s="9">
        <v>43787</v>
      </c>
      <c r="N4" s="6">
        <v>8</v>
      </c>
      <c r="O4" s="6" t="s">
        <v>4263</v>
      </c>
      <c r="V4" s="8">
        <v>-1.2811546465563775</v>
      </c>
      <c r="W4" s="8">
        <v>-9.1420539792537685</v>
      </c>
      <c r="X4" s="27">
        <f t="shared" si="0"/>
        <v>1.1071831931972511</v>
      </c>
    </row>
    <row r="5" spans="1:25" s="6" customFormat="1" x14ac:dyDescent="0.35">
      <c r="A5" s="17" t="s">
        <v>25</v>
      </c>
      <c r="B5" s="6" t="s">
        <v>3338</v>
      </c>
      <c r="D5" s="6" t="s">
        <v>3640</v>
      </c>
      <c r="E5" s="6">
        <v>1</v>
      </c>
      <c r="F5" s="6">
        <v>8</v>
      </c>
      <c r="G5" s="6" t="s">
        <v>3942</v>
      </c>
      <c r="I5" s="8">
        <v>85.788680208333304</v>
      </c>
      <c r="J5" s="8">
        <v>120.807478194444</v>
      </c>
      <c r="K5" s="24" t="s">
        <v>2610</v>
      </c>
      <c r="L5" s="9">
        <v>43788</v>
      </c>
      <c r="N5" s="6">
        <v>8</v>
      </c>
      <c r="O5" s="6" t="s">
        <v>4264</v>
      </c>
      <c r="V5" s="8">
        <v>-1.3020302852821355</v>
      </c>
      <c r="W5" s="8">
        <v>-10.071752795410156</v>
      </c>
      <c r="X5" s="27">
        <f t="shared" si="0"/>
        <v>0.34448948684692837</v>
      </c>
    </row>
    <row r="6" spans="1:25" s="6" customFormat="1" x14ac:dyDescent="0.35">
      <c r="A6" s="17" t="s">
        <v>25</v>
      </c>
      <c r="B6" s="6" t="s">
        <v>3339</v>
      </c>
      <c r="D6" s="6" t="s">
        <v>3641</v>
      </c>
      <c r="E6" s="6">
        <v>1</v>
      </c>
      <c r="F6" s="6">
        <v>8</v>
      </c>
      <c r="G6" s="6" t="s">
        <v>3943</v>
      </c>
      <c r="I6" s="8">
        <v>85.759181597222195</v>
      </c>
      <c r="J6" s="8">
        <v>121.429430833333</v>
      </c>
      <c r="K6" s="24" t="s">
        <v>2610</v>
      </c>
      <c r="L6" s="9">
        <v>43789</v>
      </c>
      <c r="N6" s="6">
        <v>8</v>
      </c>
      <c r="O6" s="6" t="s">
        <v>4265</v>
      </c>
      <c r="V6" s="8">
        <v>-1.248730757701993</v>
      </c>
      <c r="W6" s="8">
        <v>-9.4420318046569811</v>
      </c>
      <c r="X6" s="27">
        <f t="shared" si="0"/>
        <v>0.54781425695896324</v>
      </c>
    </row>
    <row r="7" spans="1:25" s="6" customFormat="1" x14ac:dyDescent="0.35">
      <c r="A7" s="17" t="s">
        <v>25</v>
      </c>
      <c r="B7" s="6" t="s">
        <v>3340</v>
      </c>
      <c r="D7" s="6" t="s">
        <v>3642</v>
      </c>
      <c r="E7" s="6">
        <v>1</v>
      </c>
      <c r="F7" s="6">
        <v>8</v>
      </c>
      <c r="G7" s="6" t="s">
        <v>3944</v>
      </c>
      <c r="I7" s="8">
        <v>85.740794999999991</v>
      </c>
      <c r="J7" s="8">
        <v>120.91379986111116</v>
      </c>
      <c r="K7" s="24" t="s">
        <v>2610</v>
      </c>
      <c r="L7" s="9">
        <v>43790</v>
      </c>
      <c r="N7" s="6">
        <v>8</v>
      </c>
      <c r="O7" s="6" t="s">
        <v>4266</v>
      </c>
      <c r="V7" s="8"/>
      <c r="W7" s="8"/>
      <c r="X7" s="27">
        <f t="shared" si="0"/>
        <v>0</v>
      </c>
    </row>
    <row r="8" spans="1:25" s="6" customFormat="1" x14ac:dyDescent="0.35">
      <c r="A8" s="17" t="s">
        <v>25</v>
      </c>
      <c r="B8" s="6" t="s">
        <v>3341</v>
      </c>
      <c r="D8" s="6" t="s">
        <v>3643</v>
      </c>
      <c r="E8" s="6">
        <v>1</v>
      </c>
      <c r="F8" s="6">
        <v>8</v>
      </c>
      <c r="G8" s="6" t="s">
        <v>3945</v>
      </c>
      <c r="I8" s="8">
        <v>85.731380000000001</v>
      </c>
      <c r="J8" s="8">
        <v>120.78237</v>
      </c>
      <c r="K8" s="24" t="s">
        <v>2610</v>
      </c>
      <c r="L8" s="9">
        <v>43791</v>
      </c>
      <c r="N8" s="6">
        <v>8</v>
      </c>
      <c r="O8" s="6" t="s">
        <v>4267</v>
      </c>
      <c r="V8" s="8">
        <v>-1.2488014128661158</v>
      </c>
      <c r="W8" s="8">
        <v>-8.7252318902969357</v>
      </c>
      <c r="X8" s="27">
        <f t="shared" si="0"/>
        <v>1.2651794126319906</v>
      </c>
    </row>
    <row r="9" spans="1:25" s="6" customFormat="1" x14ac:dyDescent="0.35">
      <c r="A9" s="17" t="s">
        <v>25</v>
      </c>
      <c r="B9" s="6" t="s">
        <v>3342</v>
      </c>
      <c r="D9" s="6" t="s">
        <v>3644</v>
      </c>
      <c r="E9" s="6">
        <v>1</v>
      </c>
      <c r="F9" s="6">
        <v>8</v>
      </c>
      <c r="G9" s="6" t="s">
        <v>3946</v>
      </c>
      <c r="I9" s="8">
        <v>85.754208888888897</v>
      </c>
      <c r="J9" s="8">
        <v>120.59057125</v>
      </c>
      <c r="K9" s="24" t="s">
        <v>2610</v>
      </c>
      <c r="L9" s="9">
        <v>43792</v>
      </c>
      <c r="N9" s="6">
        <v>8</v>
      </c>
      <c r="O9" s="6" t="s">
        <v>4268</v>
      </c>
      <c r="V9" s="8">
        <v>-1.2301902436447141</v>
      </c>
      <c r="W9" s="8">
        <v>-9.1685826293945301</v>
      </c>
      <c r="X9" s="27">
        <f t="shared" si="0"/>
        <v>0.67293931976318255</v>
      </c>
    </row>
    <row r="10" spans="1:25" s="6" customFormat="1" x14ac:dyDescent="0.35">
      <c r="A10" s="17" t="s">
        <v>25</v>
      </c>
      <c r="B10" s="6" t="s">
        <v>3343</v>
      </c>
      <c r="D10" s="6" t="s">
        <v>3645</v>
      </c>
      <c r="E10" s="6">
        <v>1</v>
      </c>
      <c r="F10" s="6">
        <v>8</v>
      </c>
      <c r="G10" s="6" t="s">
        <v>3947</v>
      </c>
      <c r="I10" s="8">
        <v>85.896104861111041</v>
      </c>
      <c r="J10" s="8">
        <v>121.26787951388889</v>
      </c>
      <c r="K10" s="24" t="s">
        <v>2610</v>
      </c>
      <c r="L10" s="9">
        <v>43793</v>
      </c>
      <c r="N10" s="6">
        <v>9</v>
      </c>
      <c r="O10" s="6" t="s">
        <v>4269</v>
      </c>
      <c r="V10" s="8">
        <v>-1.3981121923780444</v>
      </c>
      <c r="W10" s="8">
        <v>-10.074676688766479</v>
      </c>
      <c r="X10" s="27">
        <f t="shared" si="0"/>
        <v>1.1102208502578765</v>
      </c>
    </row>
    <row r="11" spans="1:25" s="6" customFormat="1" x14ac:dyDescent="0.35">
      <c r="A11" s="17" t="s">
        <v>25</v>
      </c>
      <c r="B11" s="6" t="s">
        <v>3344</v>
      </c>
      <c r="D11" s="6" t="s">
        <v>3646</v>
      </c>
      <c r="E11" s="6">
        <v>1</v>
      </c>
      <c r="F11" s="6">
        <v>9</v>
      </c>
      <c r="G11" s="6" t="s">
        <v>3948</v>
      </c>
      <c r="I11" s="8">
        <v>86.047909722222201</v>
      </c>
      <c r="J11" s="8">
        <v>120.497726180556</v>
      </c>
      <c r="K11" s="24" t="s">
        <v>2610</v>
      </c>
      <c r="L11" s="9">
        <v>43794</v>
      </c>
      <c r="N11" s="6">
        <v>9</v>
      </c>
      <c r="O11" s="6" t="s">
        <v>4270</v>
      </c>
      <c r="V11" s="8">
        <v>-1.5432169477796558</v>
      </c>
      <c r="W11" s="8">
        <v>-11.105917348480224</v>
      </c>
      <c r="X11" s="27">
        <f t="shared" si="0"/>
        <v>1.2398182337570223</v>
      </c>
    </row>
    <row r="12" spans="1:25" s="6" customFormat="1" x14ac:dyDescent="0.35">
      <c r="A12" s="17" t="s">
        <v>25</v>
      </c>
      <c r="B12" s="6" t="s">
        <v>3345</v>
      </c>
      <c r="D12" s="6" t="s">
        <v>3647</v>
      </c>
      <c r="E12" s="6">
        <v>1</v>
      </c>
      <c r="F12" s="6">
        <v>9</v>
      </c>
      <c r="G12" s="6" t="s">
        <v>3949</v>
      </c>
      <c r="I12" s="8">
        <v>86.127193125000005</v>
      </c>
      <c r="J12" s="8">
        <v>119.116526111111</v>
      </c>
      <c r="K12" s="24" t="s">
        <v>2610</v>
      </c>
      <c r="L12" s="9">
        <v>43795</v>
      </c>
      <c r="N12" s="6">
        <v>9</v>
      </c>
      <c r="O12" s="6" t="s">
        <v>4271</v>
      </c>
      <c r="V12" s="8">
        <v>-1.501522094414234</v>
      </c>
      <c r="W12" s="8">
        <v>-11.244607045745848</v>
      </c>
      <c r="X12" s="27">
        <f t="shared" si="0"/>
        <v>0.76756970956802384</v>
      </c>
    </row>
    <row r="13" spans="1:25" s="6" customFormat="1" x14ac:dyDescent="0.35">
      <c r="A13" s="17" t="s">
        <v>25</v>
      </c>
      <c r="B13" s="6" t="s">
        <v>3346</v>
      </c>
      <c r="D13" s="6" t="s">
        <v>3648</v>
      </c>
      <c r="E13" s="6">
        <v>1</v>
      </c>
      <c r="F13" s="6">
        <v>9</v>
      </c>
      <c r="G13" s="6" t="s">
        <v>3950</v>
      </c>
      <c r="I13" s="8">
        <v>86.158515138888902</v>
      </c>
      <c r="J13" s="8">
        <v>117.89724090277799</v>
      </c>
      <c r="K13" s="24" t="s">
        <v>2610</v>
      </c>
      <c r="L13" s="9">
        <v>43796</v>
      </c>
      <c r="N13" s="6">
        <v>9</v>
      </c>
      <c r="O13" s="6" t="s">
        <v>4272</v>
      </c>
      <c r="V13" s="8">
        <v>-1.4313492302131654</v>
      </c>
      <c r="W13" s="8">
        <v>-10.843477587890625</v>
      </c>
      <c r="X13" s="27">
        <f t="shared" si="0"/>
        <v>0.60731625381469811</v>
      </c>
    </row>
    <row r="14" spans="1:25" s="6" customFormat="1" x14ac:dyDescent="0.35">
      <c r="A14" s="17" t="s">
        <v>25</v>
      </c>
      <c r="B14" s="6" t="s">
        <v>3347</v>
      </c>
      <c r="D14" s="6" t="s">
        <v>3649</v>
      </c>
      <c r="E14" s="6">
        <v>1</v>
      </c>
      <c r="F14" s="6">
        <v>9</v>
      </c>
      <c r="G14" s="6" t="s">
        <v>3951</v>
      </c>
      <c r="I14" s="8">
        <v>86.154772777777794</v>
      </c>
      <c r="J14" s="8">
        <v>116.51710749999999</v>
      </c>
      <c r="K14" s="24" t="s">
        <v>2610</v>
      </c>
      <c r="L14" s="9">
        <v>43797</v>
      </c>
      <c r="N14" s="6">
        <v>9</v>
      </c>
      <c r="O14" s="6" t="s">
        <v>4273</v>
      </c>
      <c r="V14" s="8">
        <v>-1.4244044427108766</v>
      </c>
      <c r="W14" s="8">
        <v>-11.368584552001952</v>
      </c>
      <c r="X14" s="27">
        <f t="shared" si="0"/>
        <v>2.6650989685061077E-2</v>
      </c>
    </row>
    <row r="15" spans="1:25" s="6" customFormat="1" x14ac:dyDescent="0.35">
      <c r="A15" s="17" t="s">
        <v>25</v>
      </c>
      <c r="B15" s="6" t="s">
        <v>3348</v>
      </c>
      <c r="D15" s="6" t="s">
        <v>3650</v>
      </c>
      <c r="E15" s="6">
        <v>1</v>
      </c>
      <c r="F15" s="6">
        <v>9</v>
      </c>
      <c r="G15" s="6" t="s">
        <v>3952</v>
      </c>
      <c r="I15" s="8">
        <v>86.106844791666688</v>
      </c>
      <c r="J15" s="8">
        <v>114.28449326388893</v>
      </c>
      <c r="K15" s="24" t="s">
        <v>2610</v>
      </c>
      <c r="L15" s="9">
        <v>43798</v>
      </c>
      <c r="N15" s="6">
        <v>9</v>
      </c>
      <c r="O15" s="6" t="s">
        <v>4274</v>
      </c>
      <c r="V15" s="8">
        <v>-1.121946354174614</v>
      </c>
      <c r="W15" s="8">
        <v>-8.235421772003173</v>
      </c>
      <c r="X15" s="27">
        <f t="shared" si="0"/>
        <v>0.74014906139373871</v>
      </c>
    </row>
    <row r="16" spans="1:25" s="6" customFormat="1" x14ac:dyDescent="0.35">
      <c r="A16" s="17" t="s">
        <v>25</v>
      </c>
      <c r="B16" s="6" t="s">
        <v>3349</v>
      </c>
      <c r="D16" s="6" t="s">
        <v>3651</v>
      </c>
      <c r="E16" s="6">
        <v>1</v>
      </c>
      <c r="F16" s="6">
        <v>9</v>
      </c>
      <c r="G16" s="6" t="s">
        <v>3953</v>
      </c>
      <c r="I16" s="8">
        <v>85.953295208333344</v>
      </c>
      <c r="J16" s="8">
        <v>113.1649602083333</v>
      </c>
      <c r="K16" s="24" t="s">
        <v>2610</v>
      </c>
      <c r="L16" s="9">
        <v>43800</v>
      </c>
      <c r="N16" s="6">
        <v>10</v>
      </c>
      <c r="O16" s="6" t="s">
        <v>4276</v>
      </c>
      <c r="V16" s="8">
        <v>-1.2200910088205335</v>
      </c>
      <c r="W16" s="8">
        <v>-9.7998098793029804</v>
      </c>
      <c r="X16" s="27">
        <f t="shared" si="0"/>
        <v>-3.9081808738712809E-2</v>
      </c>
    </row>
    <row r="17" spans="1:24" s="6" customFormat="1" x14ac:dyDescent="0.35">
      <c r="A17" s="17" t="s">
        <v>25</v>
      </c>
      <c r="B17" s="6" t="s">
        <v>3350</v>
      </c>
      <c r="D17" s="6" t="s">
        <v>3652</v>
      </c>
      <c r="E17" s="6">
        <v>1</v>
      </c>
      <c r="F17" s="6">
        <v>10</v>
      </c>
      <c r="G17" s="6" t="s">
        <v>3954</v>
      </c>
      <c r="I17" s="8">
        <v>85.933882569444407</v>
      </c>
      <c r="J17" s="8">
        <v>114.06437159722201</v>
      </c>
      <c r="K17" s="24" t="s">
        <v>2610</v>
      </c>
      <c r="L17" s="9">
        <v>43801</v>
      </c>
      <c r="N17" s="6">
        <v>10</v>
      </c>
      <c r="O17" s="6" t="s">
        <v>4277</v>
      </c>
      <c r="V17" s="8">
        <v>-1.3238452014112474</v>
      </c>
      <c r="W17" s="8">
        <v>-11.171021193504334</v>
      </c>
      <c r="X17" s="27">
        <f t="shared" si="0"/>
        <v>-0.58025958221435481</v>
      </c>
    </row>
    <row r="18" spans="1:24" s="6" customFormat="1" x14ac:dyDescent="0.35">
      <c r="A18" s="17" t="s">
        <v>25</v>
      </c>
      <c r="B18" s="6" t="s">
        <v>3351</v>
      </c>
      <c r="D18" s="6" t="s">
        <v>3653</v>
      </c>
      <c r="E18" s="6">
        <v>1</v>
      </c>
      <c r="F18" s="6">
        <v>10</v>
      </c>
      <c r="G18" s="6" t="s">
        <v>3955</v>
      </c>
      <c r="I18" s="8">
        <v>86.025192430555592</v>
      </c>
      <c r="J18" s="8">
        <v>116.24960937499999</v>
      </c>
      <c r="K18" s="24" t="s">
        <v>2610</v>
      </c>
      <c r="L18" s="9">
        <v>43802</v>
      </c>
      <c r="N18" s="6">
        <v>10</v>
      </c>
      <c r="O18" s="6" t="s">
        <v>4247</v>
      </c>
      <c r="V18" s="8">
        <v>-1.3354800190114973</v>
      </c>
      <c r="W18" s="8">
        <v>-10.140279549598693</v>
      </c>
      <c r="X18" s="27">
        <f t="shared" si="0"/>
        <v>0.54356060249328486</v>
      </c>
    </row>
    <row r="19" spans="1:24" s="6" customFormat="1" x14ac:dyDescent="0.35">
      <c r="A19" s="17" t="s">
        <v>25</v>
      </c>
      <c r="B19" s="6" t="s">
        <v>3352</v>
      </c>
      <c r="D19" s="6" t="s">
        <v>3654</v>
      </c>
      <c r="E19" s="6">
        <v>1</v>
      </c>
      <c r="F19" s="6">
        <v>10</v>
      </c>
      <c r="G19" s="6" t="s">
        <v>3956</v>
      </c>
      <c r="I19" s="8">
        <v>86.106434930555594</v>
      </c>
      <c r="J19" s="8">
        <v>118.771893680556</v>
      </c>
      <c r="K19" s="24" t="s">
        <v>2610</v>
      </c>
      <c r="L19" s="9">
        <v>43803</v>
      </c>
      <c r="N19" s="6">
        <v>10</v>
      </c>
      <c r="O19" s="6" t="s">
        <v>4278</v>
      </c>
      <c r="V19" s="8">
        <v>-1.3905880155801775</v>
      </c>
      <c r="W19" s="8">
        <v>-10.061902699470521</v>
      </c>
      <c r="X19" s="27">
        <f t="shared" si="0"/>
        <v>1.0628014251708997</v>
      </c>
    </row>
    <row r="20" spans="1:24" s="6" customFormat="1" x14ac:dyDescent="0.35">
      <c r="A20" s="17" t="s">
        <v>25</v>
      </c>
      <c r="B20" s="6" t="s">
        <v>3353</v>
      </c>
      <c r="D20" s="6" t="s">
        <v>3655</v>
      </c>
      <c r="E20" s="6">
        <v>1</v>
      </c>
      <c r="F20" s="6">
        <v>10</v>
      </c>
      <c r="G20" s="6" t="s">
        <v>3957</v>
      </c>
      <c r="I20" s="8">
        <v>86.141017361111096</v>
      </c>
      <c r="J20" s="8">
        <v>121.109937222222</v>
      </c>
      <c r="K20" s="24" t="s">
        <v>2610</v>
      </c>
      <c r="L20" s="9">
        <v>43804</v>
      </c>
      <c r="N20" s="6">
        <v>10</v>
      </c>
      <c r="O20" s="6" t="s">
        <v>4279</v>
      </c>
      <c r="V20" s="8">
        <v>-1.5567515129232401</v>
      </c>
      <c r="W20" s="8">
        <v>-10.705705598831177</v>
      </c>
      <c r="X20" s="27">
        <f t="shared" si="0"/>
        <v>1.7483065045547441</v>
      </c>
    </row>
    <row r="21" spans="1:24" s="6" customFormat="1" x14ac:dyDescent="0.35">
      <c r="A21" s="17" t="s">
        <v>25</v>
      </c>
      <c r="B21" s="6" t="s">
        <v>3354</v>
      </c>
      <c r="D21" s="6" t="s">
        <v>3656</v>
      </c>
      <c r="E21" s="6">
        <v>1</v>
      </c>
      <c r="F21" s="6">
        <v>10</v>
      </c>
      <c r="G21" s="6" t="s">
        <v>3958</v>
      </c>
      <c r="I21" s="8">
        <v>86.141995833333297</v>
      </c>
      <c r="J21" s="8">
        <v>122.240208541667</v>
      </c>
      <c r="K21" s="24" t="s">
        <v>2610</v>
      </c>
      <c r="L21" s="9">
        <v>43805</v>
      </c>
      <c r="N21" s="6">
        <v>10</v>
      </c>
      <c r="O21" s="6" t="s">
        <v>4280</v>
      </c>
      <c r="V21" s="8">
        <v>-1.6051678643608096</v>
      </c>
      <c r="W21" s="8">
        <v>-13.637027858734131</v>
      </c>
      <c r="X21" s="27">
        <f t="shared" si="0"/>
        <v>-0.79568494384765387</v>
      </c>
    </row>
    <row r="22" spans="1:24" s="6" customFormat="1" x14ac:dyDescent="0.35">
      <c r="A22" s="17" t="s">
        <v>25</v>
      </c>
      <c r="B22" s="6" t="s">
        <v>3355</v>
      </c>
      <c r="D22" s="6" t="s">
        <v>3657</v>
      </c>
      <c r="E22" s="6">
        <v>1</v>
      </c>
      <c r="F22" s="6">
        <v>10</v>
      </c>
      <c r="G22" s="6" t="s">
        <v>3959</v>
      </c>
      <c r="I22" s="8">
        <v>86.170693750000012</v>
      </c>
      <c r="J22" s="8">
        <v>122.05433826388895</v>
      </c>
      <c r="K22" s="24" t="s">
        <v>2610</v>
      </c>
      <c r="L22" s="9">
        <v>43806</v>
      </c>
      <c r="N22" s="6">
        <v>10</v>
      </c>
      <c r="O22" s="6" t="s">
        <v>4281</v>
      </c>
      <c r="V22" s="8">
        <v>-1.6346711208009712</v>
      </c>
      <c r="W22" s="8">
        <v>-12.185789803504944</v>
      </c>
      <c r="X22" s="27">
        <f t="shared" si="0"/>
        <v>0.89157916290282557</v>
      </c>
    </row>
    <row r="23" spans="1:24" s="6" customFormat="1" x14ac:dyDescent="0.35">
      <c r="A23" s="17" t="s">
        <v>25</v>
      </c>
      <c r="B23" s="6" t="s">
        <v>3356</v>
      </c>
      <c r="D23" s="6" t="s">
        <v>3658</v>
      </c>
      <c r="E23" s="6">
        <v>1</v>
      </c>
      <c r="F23" s="6">
        <v>10</v>
      </c>
      <c r="G23" s="6" t="s">
        <v>3960</v>
      </c>
      <c r="I23" s="8">
        <v>86.293249374999974</v>
      </c>
      <c r="J23" s="8">
        <v>121.30944666666672</v>
      </c>
      <c r="K23" s="24" t="s">
        <v>2610</v>
      </c>
      <c r="L23" s="9">
        <v>43807</v>
      </c>
      <c r="N23" s="6">
        <v>11</v>
      </c>
      <c r="O23" s="6" t="s">
        <v>4282</v>
      </c>
      <c r="V23" s="8">
        <v>-1.7917348213577264</v>
      </c>
      <c r="W23" s="8">
        <v>-13.328840550422669</v>
      </c>
      <c r="X23" s="27">
        <f t="shared" si="0"/>
        <v>1.0050380204391427</v>
      </c>
    </row>
    <row r="24" spans="1:24" s="6" customFormat="1" x14ac:dyDescent="0.35">
      <c r="A24" s="17" t="s">
        <v>25</v>
      </c>
      <c r="B24" s="6" t="s">
        <v>3357</v>
      </c>
      <c r="D24" s="6" t="s">
        <v>3659</v>
      </c>
      <c r="E24" s="6">
        <v>1</v>
      </c>
      <c r="F24" s="6">
        <v>11</v>
      </c>
      <c r="G24" s="6" t="s">
        <v>3961</v>
      </c>
      <c r="I24" s="8">
        <v>86.411603194444425</v>
      </c>
      <c r="J24" s="8">
        <v>120.94205652777779</v>
      </c>
      <c r="K24" s="24" t="s">
        <v>2610</v>
      </c>
      <c r="L24" s="9">
        <v>43808</v>
      </c>
      <c r="N24" s="6">
        <v>11</v>
      </c>
      <c r="O24" s="6" t="s">
        <v>4283</v>
      </c>
      <c r="V24" s="8">
        <v>-1.7647771445894243</v>
      </c>
      <c r="W24" s="8">
        <v>-12.049206460952758</v>
      </c>
      <c r="X24" s="27">
        <f t="shared" si="0"/>
        <v>2.0690106957626355</v>
      </c>
    </row>
    <row r="25" spans="1:24" s="6" customFormat="1" x14ac:dyDescent="0.35">
      <c r="A25" s="17" t="s">
        <v>25</v>
      </c>
      <c r="B25" s="6" t="s">
        <v>3358</v>
      </c>
      <c r="D25" s="6" t="s">
        <v>3660</v>
      </c>
      <c r="E25" s="6">
        <v>1</v>
      </c>
      <c r="F25" s="6">
        <v>11</v>
      </c>
      <c r="G25" s="6" t="s">
        <v>3962</v>
      </c>
      <c r="I25" s="8">
        <v>86.506581944444406</v>
      </c>
      <c r="J25" s="8">
        <v>120.985913333333</v>
      </c>
      <c r="K25" s="24" t="s">
        <v>2610</v>
      </c>
      <c r="L25" s="9">
        <v>43809</v>
      </c>
      <c r="N25" s="6">
        <v>11</v>
      </c>
      <c r="O25" s="6" t="s">
        <v>4284</v>
      </c>
      <c r="V25" s="8">
        <v>-1.9421490469360354</v>
      </c>
      <c r="W25" s="8">
        <v>-13.912329730033875</v>
      </c>
      <c r="X25" s="27">
        <f t="shared" si="0"/>
        <v>1.6248626454544084</v>
      </c>
    </row>
    <row r="26" spans="1:24" s="6" customFormat="1" x14ac:dyDescent="0.35">
      <c r="A26" s="17" t="s">
        <v>25</v>
      </c>
      <c r="B26" s="6" t="s">
        <v>3359</v>
      </c>
      <c r="D26" s="6" t="s">
        <v>3661</v>
      </c>
      <c r="E26" s="6">
        <v>1</v>
      </c>
      <c r="F26" s="6">
        <v>11</v>
      </c>
      <c r="G26" s="6" t="s">
        <v>3963</v>
      </c>
      <c r="I26" s="8">
        <v>86.574128999999999</v>
      </c>
      <c r="J26" s="8">
        <v>120.733946</v>
      </c>
      <c r="K26" s="24" t="s">
        <v>2610</v>
      </c>
      <c r="L26" s="9">
        <v>43810</v>
      </c>
      <c r="N26" s="6">
        <v>11</v>
      </c>
      <c r="O26" s="6" t="s">
        <v>4285</v>
      </c>
      <c r="V26" s="8">
        <v>-1.9638789551432927</v>
      </c>
      <c r="W26" s="8">
        <v>-14.583669677352905</v>
      </c>
      <c r="X26" s="27">
        <f t="shared" si="0"/>
        <v>1.1273619637934367</v>
      </c>
    </row>
    <row r="27" spans="1:24" s="6" customFormat="1" x14ac:dyDescent="0.35">
      <c r="A27" s="17" t="s">
        <v>25</v>
      </c>
      <c r="B27" s="6" t="s">
        <v>3360</v>
      </c>
      <c r="D27" s="6" t="s">
        <v>3662</v>
      </c>
      <c r="E27" s="6">
        <v>1</v>
      </c>
      <c r="F27" s="6">
        <v>11</v>
      </c>
      <c r="G27" s="6" t="s">
        <v>3964</v>
      </c>
      <c r="I27" s="8">
        <v>86.597453888888893</v>
      </c>
      <c r="J27" s="8">
        <v>120.00289597222201</v>
      </c>
      <c r="K27" s="24" t="s">
        <v>2610</v>
      </c>
      <c r="L27" s="9">
        <v>43811</v>
      </c>
      <c r="N27" s="6">
        <v>11</v>
      </c>
      <c r="O27" s="6" t="s">
        <v>4286</v>
      </c>
      <c r="V27" s="8">
        <v>-2.0278967380523683</v>
      </c>
      <c r="W27" s="8">
        <v>-15.110337043762206</v>
      </c>
      <c r="X27" s="27">
        <f t="shared" si="0"/>
        <v>1.1128368606567403</v>
      </c>
    </row>
    <row r="28" spans="1:24" s="6" customFormat="1" x14ac:dyDescent="0.35">
      <c r="A28" s="17" t="s">
        <v>25</v>
      </c>
      <c r="B28" s="6" t="s">
        <v>3361</v>
      </c>
      <c r="D28" s="6" t="s">
        <v>3663</v>
      </c>
      <c r="E28" s="6">
        <v>2</v>
      </c>
      <c r="F28" s="6">
        <v>15</v>
      </c>
      <c r="G28" s="6" t="s">
        <v>3965</v>
      </c>
      <c r="I28" s="8">
        <v>86.59570409722231</v>
      </c>
      <c r="J28" s="8">
        <v>119.14928437500004</v>
      </c>
      <c r="K28" s="24" t="s">
        <v>2610</v>
      </c>
      <c r="L28" s="9">
        <v>43812</v>
      </c>
      <c r="N28" s="6">
        <v>11</v>
      </c>
      <c r="O28" s="6" t="s">
        <v>4287</v>
      </c>
      <c r="V28" s="8">
        <v>-1.8975934023380279</v>
      </c>
      <c r="W28" s="8">
        <v>-14.093660750579833</v>
      </c>
      <c r="X28" s="27">
        <f t="shared" si="0"/>
        <v>1.0870864681243901</v>
      </c>
    </row>
    <row r="29" spans="1:24" s="6" customFormat="1" x14ac:dyDescent="0.35">
      <c r="A29" s="17" t="s">
        <v>25</v>
      </c>
      <c r="B29" s="6" t="s">
        <v>3362</v>
      </c>
      <c r="D29" s="6" t="s">
        <v>3664</v>
      </c>
      <c r="E29" s="6">
        <v>2</v>
      </c>
      <c r="F29" s="6">
        <v>15</v>
      </c>
      <c r="G29" s="6" t="s">
        <v>3966</v>
      </c>
      <c r="I29" s="8">
        <v>86.612255138888884</v>
      </c>
      <c r="J29" s="8">
        <v>118.45260729166671</v>
      </c>
      <c r="K29" s="24" t="s">
        <v>2610</v>
      </c>
      <c r="L29" s="9">
        <v>43813</v>
      </c>
      <c r="N29" s="6">
        <v>11</v>
      </c>
      <c r="O29" s="6" t="s">
        <v>4288</v>
      </c>
      <c r="V29" s="8">
        <v>-1.965607577633858</v>
      </c>
      <c r="W29" s="8">
        <v>-13.404667716217041</v>
      </c>
      <c r="X29" s="27">
        <f t="shared" si="0"/>
        <v>2.3201929048538226</v>
      </c>
    </row>
    <row r="30" spans="1:24" s="6" customFormat="1" x14ac:dyDescent="0.35">
      <c r="A30" s="17" t="s">
        <v>25</v>
      </c>
      <c r="B30" s="6" t="s">
        <v>3363</v>
      </c>
      <c r="D30" s="6" t="s">
        <v>3665</v>
      </c>
      <c r="E30" s="6">
        <v>2</v>
      </c>
      <c r="F30" s="6">
        <v>16</v>
      </c>
      <c r="G30" s="6" t="s">
        <v>3967</v>
      </c>
      <c r="I30" s="8">
        <v>86.603676041666674</v>
      </c>
      <c r="J30" s="8">
        <v>116.4119077777778</v>
      </c>
      <c r="K30" s="24" t="s">
        <v>2610</v>
      </c>
      <c r="L30" s="9">
        <v>43815</v>
      </c>
      <c r="N30" s="6">
        <v>12</v>
      </c>
      <c r="O30" s="6" t="s">
        <v>4282</v>
      </c>
      <c r="V30" s="8">
        <v>-1.8472203628987076</v>
      </c>
      <c r="W30" s="8">
        <v>-14.061295371246338</v>
      </c>
      <c r="X30" s="27">
        <f t="shared" si="0"/>
        <v>0.71646753194332291</v>
      </c>
    </row>
    <row r="31" spans="1:24" s="6" customFormat="1" x14ac:dyDescent="0.35">
      <c r="A31" s="17" t="s">
        <v>25</v>
      </c>
      <c r="B31" s="6" t="s">
        <v>3364</v>
      </c>
      <c r="D31" s="6" t="s">
        <v>3666</v>
      </c>
      <c r="E31" s="6">
        <v>2</v>
      </c>
      <c r="F31" s="6">
        <v>16</v>
      </c>
      <c r="G31" s="6" t="s">
        <v>3968</v>
      </c>
      <c r="I31" s="8">
        <v>86.62236</v>
      </c>
      <c r="J31" s="8">
        <v>114.79727099999999</v>
      </c>
      <c r="K31" s="24" t="s">
        <v>2610</v>
      </c>
      <c r="L31" s="9">
        <v>43816</v>
      </c>
      <c r="N31" s="6">
        <v>12</v>
      </c>
      <c r="O31" s="6" t="s">
        <v>4289</v>
      </c>
      <c r="V31" s="8">
        <v>-1.8386090628176928</v>
      </c>
      <c r="W31" s="8">
        <v>-12.915147212219239</v>
      </c>
      <c r="X31" s="27">
        <f t="shared" si="0"/>
        <v>1.7937252903223033</v>
      </c>
    </row>
    <row r="32" spans="1:24" s="6" customFormat="1" x14ac:dyDescent="0.35">
      <c r="A32" s="17" t="s">
        <v>25</v>
      </c>
      <c r="B32" s="6" t="s">
        <v>3365</v>
      </c>
      <c r="D32" s="6" t="s">
        <v>3667</v>
      </c>
      <c r="E32" s="6">
        <v>2</v>
      </c>
      <c r="F32" s="6">
        <v>16</v>
      </c>
      <c r="G32" s="6" t="s">
        <v>3969</v>
      </c>
      <c r="I32" s="8">
        <v>86.678626180555568</v>
      </c>
      <c r="J32" s="8">
        <v>112.9530779166667</v>
      </c>
      <c r="K32" s="24" t="s">
        <v>2610</v>
      </c>
      <c r="L32" s="9">
        <v>43818</v>
      </c>
      <c r="N32" s="6">
        <v>12</v>
      </c>
      <c r="O32" s="6" t="s">
        <v>4290</v>
      </c>
      <c r="V32" s="8">
        <v>-2.0019488447129725</v>
      </c>
      <c r="W32" s="8">
        <v>-14.999225226593017</v>
      </c>
      <c r="X32" s="27">
        <f t="shared" si="0"/>
        <v>1.0163655311107629</v>
      </c>
    </row>
    <row r="33" spans="1:24" s="6" customFormat="1" x14ac:dyDescent="0.35">
      <c r="A33" s="17" t="s">
        <v>25</v>
      </c>
      <c r="B33" s="6" t="s">
        <v>3366</v>
      </c>
      <c r="D33" s="6" t="s">
        <v>3668</v>
      </c>
      <c r="E33" s="6">
        <v>2</v>
      </c>
      <c r="F33" s="6">
        <v>16</v>
      </c>
      <c r="G33" s="6" t="s">
        <v>3970</v>
      </c>
      <c r="I33" s="8">
        <v>86.681091180555555</v>
      </c>
      <c r="J33" s="8">
        <v>112.58062798611111</v>
      </c>
      <c r="K33" s="24" t="s">
        <v>2610</v>
      </c>
      <c r="L33" s="9">
        <v>43819</v>
      </c>
      <c r="N33" s="6">
        <v>12</v>
      </c>
      <c r="O33" s="6" t="s">
        <v>4291</v>
      </c>
      <c r="V33" s="8">
        <v>-2.0165179729461671</v>
      </c>
      <c r="W33" s="8">
        <v>-15.469012825012207</v>
      </c>
      <c r="X33" s="27">
        <f t="shared" si="0"/>
        <v>0.66313095855712945</v>
      </c>
    </row>
    <row r="34" spans="1:24" s="6" customFormat="1" x14ac:dyDescent="0.35">
      <c r="A34" s="17" t="s">
        <v>25</v>
      </c>
      <c r="B34" s="6" t="s">
        <v>3367</v>
      </c>
      <c r="D34" s="6" t="s">
        <v>3669</v>
      </c>
      <c r="E34" s="6">
        <v>2</v>
      </c>
      <c r="F34" s="6">
        <v>16</v>
      </c>
      <c r="G34" s="6" t="s">
        <v>3971</v>
      </c>
      <c r="I34" s="8">
        <v>86.686639999999969</v>
      </c>
      <c r="J34" s="8">
        <v>112.41749388888887</v>
      </c>
      <c r="K34" s="24" t="s">
        <v>2610</v>
      </c>
      <c r="L34" s="9">
        <v>43820</v>
      </c>
      <c r="N34" s="6">
        <v>12</v>
      </c>
      <c r="O34" s="6" t="s">
        <v>4292</v>
      </c>
      <c r="V34" s="8">
        <v>-2.0532098770141602</v>
      </c>
      <c r="W34" s="8">
        <v>-15.396684509277343</v>
      </c>
      <c r="X34" s="27">
        <f t="shared" si="0"/>
        <v>1.0289945068359394</v>
      </c>
    </row>
    <row r="35" spans="1:24" s="6" customFormat="1" x14ac:dyDescent="0.35">
      <c r="A35" s="17" t="s">
        <v>25</v>
      </c>
      <c r="B35" s="6" t="s">
        <v>3368</v>
      </c>
      <c r="D35" s="6" t="s">
        <v>3670</v>
      </c>
      <c r="E35" s="6">
        <v>2</v>
      </c>
      <c r="F35" s="6">
        <v>16</v>
      </c>
      <c r="G35" s="6" t="s">
        <v>3972</v>
      </c>
      <c r="I35" s="8">
        <v>86.670797152777766</v>
      </c>
      <c r="J35" s="8">
        <v>112.65805791666659</v>
      </c>
      <c r="K35" s="24" t="s">
        <v>2610</v>
      </c>
      <c r="L35" s="9">
        <v>43821</v>
      </c>
      <c r="N35" s="6">
        <v>13</v>
      </c>
      <c r="O35" s="6" t="s">
        <v>4293</v>
      </c>
      <c r="V35" s="8">
        <v>-2.0104722270190716</v>
      </c>
      <c r="W35" s="8">
        <v>-14.461201277923582</v>
      </c>
      <c r="X35" s="27">
        <f t="shared" si="0"/>
        <v>1.6225765382289907</v>
      </c>
    </row>
    <row r="36" spans="1:24" s="6" customFormat="1" x14ac:dyDescent="0.35">
      <c r="A36" s="17" t="s">
        <v>25</v>
      </c>
      <c r="B36" s="6" t="s">
        <v>3369</v>
      </c>
      <c r="D36" s="6" t="s">
        <v>3671</v>
      </c>
      <c r="E36" s="6">
        <v>2</v>
      </c>
      <c r="F36" s="6">
        <v>17</v>
      </c>
      <c r="G36" s="6" t="s">
        <v>3973</v>
      </c>
      <c r="I36" s="8">
        <v>86.641082222222195</v>
      </c>
      <c r="J36" s="8">
        <v>113.166453680556</v>
      </c>
      <c r="K36" s="24" t="s">
        <v>2610</v>
      </c>
      <c r="L36" s="9">
        <v>43822</v>
      </c>
      <c r="N36" s="6">
        <v>13</v>
      </c>
      <c r="O36" s="6" t="s">
        <v>4294</v>
      </c>
      <c r="V36" s="8">
        <v>-1.8914916284203533</v>
      </c>
      <c r="W36" s="8">
        <v>-13.503481745910644</v>
      </c>
      <c r="X36" s="27">
        <f t="shared" si="0"/>
        <v>1.6284512814521825</v>
      </c>
    </row>
    <row r="37" spans="1:24" s="6" customFormat="1" x14ac:dyDescent="0.35">
      <c r="A37" s="17" t="s">
        <v>25</v>
      </c>
      <c r="B37" s="6" t="s">
        <v>3370</v>
      </c>
      <c r="D37" s="6" t="s">
        <v>3672</v>
      </c>
      <c r="E37" s="6">
        <v>2</v>
      </c>
      <c r="F37" s="6">
        <v>17</v>
      </c>
      <c r="G37" s="6" t="s">
        <v>3974</v>
      </c>
      <c r="I37" s="8">
        <v>86.624553194444402</v>
      </c>
      <c r="J37" s="8">
        <v>113.942889236111</v>
      </c>
      <c r="K37" s="24" t="s">
        <v>2610</v>
      </c>
      <c r="L37" s="9">
        <v>43823</v>
      </c>
      <c r="N37" s="6">
        <v>13</v>
      </c>
      <c r="O37" s="6" t="s">
        <v>4295</v>
      </c>
      <c r="V37" s="8">
        <v>-1.8657114260613921</v>
      </c>
      <c r="W37" s="8">
        <v>-13.871366675567627</v>
      </c>
      <c r="X37" s="27">
        <f t="shared" si="0"/>
        <v>1.0543247329235097</v>
      </c>
    </row>
    <row r="38" spans="1:24" s="6" customFormat="1" x14ac:dyDescent="0.35">
      <c r="A38" s="17" t="s">
        <v>25</v>
      </c>
      <c r="B38" s="6" t="s">
        <v>3371</v>
      </c>
      <c r="D38" s="6" t="s">
        <v>3673</v>
      </c>
      <c r="E38" s="6">
        <v>2</v>
      </c>
      <c r="F38" s="6">
        <v>17</v>
      </c>
      <c r="G38" s="6" t="s">
        <v>3975</v>
      </c>
      <c r="I38" s="8">
        <v>86.626447986111103</v>
      </c>
      <c r="J38" s="8">
        <v>114.979117013889</v>
      </c>
      <c r="K38" s="24" t="s">
        <v>2610</v>
      </c>
      <c r="L38" s="9">
        <v>43824</v>
      </c>
      <c r="N38" s="6">
        <v>13</v>
      </c>
      <c r="O38" s="6" t="s">
        <v>4281</v>
      </c>
      <c r="V38" s="8">
        <v>-2.0456973041713242</v>
      </c>
      <c r="W38" s="8">
        <v>-16.611898329925538</v>
      </c>
      <c r="X38" s="27">
        <f t="shared" si="0"/>
        <v>-0.2463198965549438</v>
      </c>
    </row>
    <row r="39" spans="1:24" s="6" customFormat="1" x14ac:dyDescent="0.35">
      <c r="A39" s="17" t="s">
        <v>25</v>
      </c>
      <c r="B39" s="6" t="s">
        <v>3372</v>
      </c>
      <c r="D39" s="6" t="s">
        <v>3674</v>
      </c>
      <c r="E39" s="6">
        <v>2</v>
      </c>
      <c r="F39" s="6">
        <v>17</v>
      </c>
      <c r="G39" s="6" t="s">
        <v>3976</v>
      </c>
      <c r="I39" s="8">
        <v>86.654408194444471</v>
      </c>
      <c r="J39" s="8">
        <v>115.81404708333331</v>
      </c>
      <c r="K39" s="24" t="s">
        <v>2610</v>
      </c>
      <c r="L39" s="9">
        <v>43825</v>
      </c>
      <c r="N39" s="6">
        <v>13</v>
      </c>
      <c r="O39" s="6" t="s">
        <v>4295</v>
      </c>
      <c r="V39" s="8">
        <v>-2.184127956134081</v>
      </c>
      <c r="W39" s="8">
        <v>-15.934762534332275</v>
      </c>
      <c r="X39" s="27">
        <f t="shared" si="0"/>
        <v>1.5382611147403722</v>
      </c>
    </row>
    <row r="40" spans="1:24" s="6" customFormat="1" x14ac:dyDescent="0.35">
      <c r="A40" s="17" t="s">
        <v>25</v>
      </c>
      <c r="B40" s="6" t="s">
        <v>3373</v>
      </c>
      <c r="D40" s="6" t="s">
        <v>3675</v>
      </c>
      <c r="E40" s="6">
        <v>2</v>
      </c>
      <c r="F40" s="6">
        <v>17</v>
      </c>
      <c r="G40" s="6" t="s">
        <v>3977</v>
      </c>
      <c r="I40" s="8">
        <v>86.678533000000002</v>
      </c>
      <c r="J40" s="8">
        <v>115.95761</v>
      </c>
      <c r="K40" s="24" t="s">
        <v>2610</v>
      </c>
      <c r="L40" s="9">
        <v>43826</v>
      </c>
      <c r="N40" s="6">
        <v>13</v>
      </c>
      <c r="O40" s="6" t="s">
        <v>4296</v>
      </c>
      <c r="V40" s="8">
        <v>-2.2262698521137239</v>
      </c>
      <c r="W40" s="8">
        <v>-16.588846381378175</v>
      </c>
      <c r="X40" s="27">
        <f t="shared" si="0"/>
        <v>1.2213124355316154</v>
      </c>
    </row>
    <row r="41" spans="1:24" s="6" customFormat="1" x14ac:dyDescent="0.35">
      <c r="A41" s="17" t="s">
        <v>25</v>
      </c>
      <c r="B41" s="6" t="s">
        <v>3374</v>
      </c>
      <c r="D41" s="6" t="s">
        <v>3676</v>
      </c>
      <c r="E41" s="6">
        <v>2</v>
      </c>
      <c r="F41" s="6">
        <v>17</v>
      </c>
      <c r="G41" s="6" t="s">
        <v>3978</v>
      </c>
      <c r="I41" s="8">
        <v>86.671744444444414</v>
      </c>
      <c r="J41" s="8">
        <v>115.72645645833342</v>
      </c>
      <c r="K41" s="24" t="s">
        <v>2610</v>
      </c>
      <c r="L41" s="9">
        <v>43827</v>
      </c>
      <c r="N41" s="6">
        <v>13</v>
      </c>
      <c r="O41" s="6" t="s">
        <v>4297</v>
      </c>
      <c r="V41" s="8">
        <v>-2.0973880422019953</v>
      </c>
      <c r="W41" s="8">
        <v>-15.535784407711027</v>
      </c>
      <c r="X41" s="27">
        <f t="shared" si="0"/>
        <v>1.2433199299049349</v>
      </c>
    </row>
    <row r="42" spans="1:24" s="6" customFormat="1" x14ac:dyDescent="0.35">
      <c r="A42" s="17" t="s">
        <v>25</v>
      </c>
      <c r="B42" s="6" t="s">
        <v>3375</v>
      </c>
      <c r="D42" s="6" t="s">
        <v>3677</v>
      </c>
      <c r="E42" s="6">
        <v>2</v>
      </c>
      <c r="F42" s="6">
        <v>17</v>
      </c>
      <c r="G42" s="6" t="s">
        <v>3979</v>
      </c>
      <c r="I42" s="8">
        <v>86.642651944444438</v>
      </c>
      <c r="J42" s="8">
        <v>115.84581430555552</v>
      </c>
      <c r="K42" s="24" t="s">
        <v>2610</v>
      </c>
      <c r="L42" s="9">
        <v>43828</v>
      </c>
      <c r="N42" s="6">
        <v>14</v>
      </c>
      <c r="O42" s="6" t="s">
        <v>4298</v>
      </c>
      <c r="V42" s="8">
        <v>-2.18023962246418</v>
      </c>
      <c r="W42" s="8">
        <v>-15.868549329853057</v>
      </c>
      <c r="X42" s="27">
        <f t="shared" si="0"/>
        <v>1.5733676498603835</v>
      </c>
    </row>
    <row r="43" spans="1:24" s="6" customFormat="1" x14ac:dyDescent="0.35">
      <c r="A43" s="17" t="s">
        <v>25</v>
      </c>
      <c r="B43" s="6" t="s">
        <v>3376</v>
      </c>
      <c r="D43" s="6" t="s">
        <v>3678</v>
      </c>
      <c r="E43" s="6">
        <v>2</v>
      </c>
      <c r="F43" s="6">
        <v>18</v>
      </c>
      <c r="G43" s="6" t="s">
        <v>3980</v>
      </c>
      <c r="I43" s="8">
        <v>86.598496999999995</v>
      </c>
      <c r="J43" s="8">
        <v>116.802229</v>
      </c>
      <c r="K43" s="24" t="s">
        <v>2610</v>
      </c>
      <c r="L43" s="9">
        <v>43829</v>
      </c>
      <c r="N43" s="6">
        <v>14</v>
      </c>
      <c r="O43" s="6" t="s">
        <v>4299</v>
      </c>
      <c r="V43" s="8">
        <v>-2.1378282442688938</v>
      </c>
      <c r="W43" s="8">
        <v>-15.214494193267821</v>
      </c>
      <c r="X43" s="27">
        <f t="shared" si="0"/>
        <v>1.8881317608833292</v>
      </c>
    </row>
    <row r="44" spans="1:24" s="6" customFormat="1" x14ac:dyDescent="0.35">
      <c r="A44" s="17" t="s">
        <v>25</v>
      </c>
      <c r="B44" s="6" t="s">
        <v>3377</v>
      </c>
      <c r="D44" s="6" t="s">
        <v>3679</v>
      </c>
      <c r="E44" s="6">
        <v>2</v>
      </c>
      <c r="F44" s="6">
        <v>18</v>
      </c>
      <c r="G44" s="6" t="s">
        <v>3981</v>
      </c>
      <c r="I44" s="8">
        <v>86.596660486111105</v>
      </c>
      <c r="J44" s="8">
        <v>117.880683611111</v>
      </c>
      <c r="K44" s="24" t="s">
        <v>2610</v>
      </c>
      <c r="L44" s="9">
        <v>43830</v>
      </c>
      <c r="N44" s="6">
        <v>14</v>
      </c>
      <c r="O44" s="6" t="s">
        <v>4300</v>
      </c>
      <c r="V44" s="8">
        <v>-2.0724378708750013</v>
      </c>
      <c r="W44" s="8">
        <v>-14.96525489349365</v>
      </c>
      <c r="X44" s="27">
        <f t="shared" si="0"/>
        <v>1.61424807350636</v>
      </c>
    </row>
    <row r="45" spans="1:24" s="6" customFormat="1" x14ac:dyDescent="0.35">
      <c r="A45" s="17" t="s">
        <v>25</v>
      </c>
      <c r="B45" s="6" t="s">
        <v>3378</v>
      </c>
      <c r="D45" s="6" t="s">
        <v>3680</v>
      </c>
      <c r="E45" s="6">
        <v>2</v>
      </c>
      <c r="F45" s="6">
        <v>18</v>
      </c>
      <c r="G45" s="6" t="s">
        <v>3982</v>
      </c>
      <c r="I45" s="8">
        <v>86.703005347222245</v>
      </c>
      <c r="J45" s="8">
        <v>117.86243590277773</v>
      </c>
      <c r="K45" s="24" t="s">
        <v>2610</v>
      </c>
      <c r="L45" s="9">
        <v>43831</v>
      </c>
      <c r="N45" s="6">
        <v>14</v>
      </c>
      <c r="O45" s="6" t="s">
        <v>4301</v>
      </c>
      <c r="V45" s="8">
        <v>-2.1291661190986639</v>
      </c>
      <c r="W45" s="8">
        <v>-15.668785817337037</v>
      </c>
      <c r="X45" s="27">
        <f t="shared" si="0"/>
        <v>1.3645431354522746</v>
      </c>
    </row>
    <row r="46" spans="1:24" s="6" customFormat="1" x14ac:dyDescent="0.35">
      <c r="A46" s="17" t="s">
        <v>25</v>
      </c>
      <c r="B46" s="6" t="s">
        <v>3379</v>
      </c>
      <c r="D46" s="6" t="s">
        <v>3681</v>
      </c>
      <c r="E46" s="6">
        <v>2</v>
      </c>
      <c r="F46" s="6">
        <v>18</v>
      </c>
      <c r="G46" s="6" t="s">
        <v>3983</v>
      </c>
      <c r="I46" s="8">
        <v>86.8240929166667</v>
      </c>
      <c r="J46" s="8">
        <v>116.572940347222</v>
      </c>
      <c r="K46" s="24" t="s">
        <v>2610</v>
      </c>
      <c r="L46" s="9">
        <v>43832</v>
      </c>
      <c r="N46" s="6">
        <v>14</v>
      </c>
      <c r="O46" s="6" t="s">
        <v>4302</v>
      </c>
      <c r="V46" s="8">
        <v>-2.1888559666776652</v>
      </c>
      <c r="W46" s="8">
        <v>-16.496161055183411</v>
      </c>
      <c r="X46" s="27">
        <f t="shared" si="0"/>
        <v>1.0146866782379114</v>
      </c>
    </row>
    <row r="47" spans="1:24" s="6" customFormat="1" x14ac:dyDescent="0.35">
      <c r="A47" s="17" t="s">
        <v>25</v>
      </c>
      <c r="B47" s="6" t="s">
        <v>3380</v>
      </c>
      <c r="D47" s="6" t="s">
        <v>3682</v>
      </c>
      <c r="E47" s="6">
        <v>2</v>
      </c>
      <c r="F47" s="6">
        <v>18</v>
      </c>
      <c r="G47" s="6" t="s">
        <v>3984</v>
      </c>
      <c r="I47" s="8">
        <v>86.89846</v>
      </c>
      <c r="J47" s="8">
        <v>115.74153699999999</v>
      </c>
      <c r="K47" s="24" t="s">
        <v>2610</v>
      </c>
      <c r="L47" s="9">
        <v>43833</v>
      </c>
      <c r="N47" s="6">
        <v>14</v>
      </c>
      <c r="O47" s="6" t="s">
        <v>4271</v>
      </c>
      <c r="V47" s="8">
        <v>-2.1204824003577238</v>
      </c>
      <c r="W47" s="8">
        <v>-16.274373477172851</v>
      </c>
      <c r="X47" s="27">
        <f t="shared" si="0"/>
        <v>0.68948572568893951</v>
      </c>
    </row>
    <row r="48" spans="1:24" s="6" customFormat="1" x14ac:dyDescent="0.35">
      <c r="A48" s="17" t="s">
        <v>25</v>
      </c>
      <c r="B48" s="6" t="s">
        <v>3381</v>
      </c>
      <c r="D48" s="6" t="s">
        <v>3683</v>
      </c>
      <c r="E48" s="6">
        <v>2</v>
      </c>
      <c r="F48" s="6">
        <v>18</v>
      </c>
      <c r="G48" s="6" t="s">
        <v>3985</v>
      </c>
      <c r="I48" s="8">
        <v>87.005801180555551</v>
      </c>
      <c r="J48" s="8">
        <v>115.40656131944449</v>
      </c>
      <c r="K48" s="24" t="s">
        <v>2610</v>
      </c>
      <c r="L48" s="9">
        <v>43834</v>
      </c>
      <c r="N48" s="6">
        <v>14</v>
      </c>
      <c r="O48" s="6" t="s">
        <v>4303</v>
      </c>
      <c r="V48" s="8">
        <v>-2.2413729064166548</v>
      </c>
      <c r="W48" s="8">
        <v>-16.711235840988159</v>
      </c>
      <c r="X48" s="27">
        <f t="shared" si="0"/>
        <v>1.2197474103450787</v>
      </c>
    </row>
    <row r="49" spans="1:24" s="6" customFormat="1" x14ac:dyDescent="0.35">
      <c r="A49" s="17" t="s">
        <v>25</v>
      </c>
      <c r="B49" s="6" t="s">
        <v>3382</v>
      </c>
      <c r="D49" s="6" t="s">
        <v>3684</v>
      </c>
      <c r="E49" s="6">
        <v>2</v>
      </c>
      <c r="F49" s="6">
        <v>18</v>
      </c>
      <c r="G49" s="6" t="s">
        <v>3986</v>
      </c>
      <c r="I49" s="8">
        <v>87.069480416666607</v>
      </c>
      <c r="J49" s="8">
        <v>115.32150958333331</v>
      </c>
      <c r="K49" s="24" t="s">
        <v>2610</v>
      </c>
      <c r="L49" s="9">
        <v>43835</v>
      </c>
      <c r="N49" s="6">
        <v>15</v>
      </c>
      <c r="O49" s="6" t="s">
        <v>4293</v>
      </c>
      <c r="V49" s="8">
        <v>-2.1516886974155902</v>
      </c>
      <c r="W49" s="8">
        <v>-15.381006795883177</v>
      </c>
      <c r="X49" s="27">
        <f t="shared" si="0"/>
        <v>1.8325027834415444</v>
      </c>
    </row>
    <row r="50" spans="1:24" s="6" customFormat="1" x14ac:dyDescent="0.35">
      <c r="A50" s="17" t="s">
        <v>25</v>
      </c>
      <c r="B50" s="6" t="s">
        <v>3383</v>
      </c>
      <c r="D50" s="6" t="s">
        <v>3685</v>
      </c>
      <c r="E50" s="6">
        <v>2</v>
      </c>
      <c r="F50" s="6">
        <v>19</v>
      </c>
      <c r="G50" s="6" t="s">
        <v>3987</v>
      </c>
      <c r="I50" s="8">
        <v>87.102777000000003</v>
      </c>
      <c r="J50" s="8">
        <v>115.185585</v>
      </c>
      <c r="K50" s="24" t="s">
        <v>2610</v>
      </c>
      <c r="L50" s="9">
        <v>43836</v>
      </c>
      <c r="N50" s="6">
        <v>15</v>
      </c>
      <c r="O50" s="6" t="s">
        <v>4271</v>
      </c>
      <c r="V50" s="8">
        <v>-2.1078519088774921</v>
      </c>
      <c r="W50" s="8">
        <v>-17.004103640747068</v>
      </c>
      <c r="X50" s="27">
        <f t="shared" si="0"/>
        <v>-0.14128836972713188</v>
      </c>
    </row>
    <row r="51" spans="1:24" s="6" customFormat="1" x14ac:dyDescent="0.35">
      <c r="A51" s="17" t="s">
        <v>25</v>
      </c>
      <c r="B51" s="6" t="s">
        <v>3384</v>
      </c>
      <c r="D51" s="6" t="s">
        <v>3686</v>
      </c>
      <c r="E51" s="6">
        <v>2</v>
      </c>
      <c r="F51" s="6">
        <v>19</v>
      </c>
      <c r="G51" s="6" t="s">
        <v>3988</v>
      </c>
      <c r="I51" s="8">
        <v>87.118453333333377</v>
      </c>
      <c r="J51" s="8">
        <v>115.00541805555551</v>
      </c>
      <c r="K51" s="24" t="s">
        <v>2610</v>
      </c>
      <c r="L51" s="9">
        <v>43837</v>
      </c>
      <c r="N51" s="6">
        <v>15</v>
      </c>
      <c r="O51" s="6" t="s">
        <v>4295</v>
      </c>
      <c r="V51" s="8">
        <v>-2.137209595963359</v>
      </c>
      <c r="W51" s="8">
        <v>-16.100578576278686</v>
      </c>
      <c r="X51" s="27">
        <f t="shared" si="0"/>
        <v>0.99709819142818645</v>
      </c>
    </row>
    <row r="52" spans="1:24" s="6" customFormat="1" x14ac:dyDescent="0.35">
      <c r="A52" s="17" t="s">
        <v>25</v>
      </c>
      <c r="B52" s="6" t="s">
        <v>3385</v>
      </c>
      <c r="D52" s="6" t="s">
        <v>3687</v>
      </c>
      <c r="E52" s="6">
        <v>2</v>
      </c>
      <c r="F52" s="6">
        <v>19</v>
      </c>
      <c r="G52" s="6" t="s">
        <v>3989</v>
      </c>
      <c r="I52" s="8">
        <v>87.115744791666629</v>
      </c>
      <c r="J52" s="8">
        <v>115.12574055555559</v>
      </c>
      <c r="K52" s="24" t="s">
        <v>2610</v>
      </c>
      <c r="L52" s="9">
        <v>43838</v>
      </c>
      <c r="N52" s="6">
        <v>15</v>
      </c>
      <c r="O52" s="6" t="s">
        <v>4304</v>
      </c>
      <c r="V52" s="8">
        <v>-2.3155674917995932</v>
      </c>
      <c r="W52" s="8">
        <v>-16.504657279205322</v>
      </c>
      <c r="X52" s="27">
        <f t="shared" si="0"/>
        <v>2.0198826551914237</v>
      </c>
    </row>
    <row r="53" spans="1:24" s="6" customFormat="1" x14ac:dyDescent="0.35">
      <c r="A53" s="17" t="s">
        <v>25</v>
      </c>
      <c r="B53" s="6" t="s">
        <v>3386</v>
      </c>
      <c r="D53" s="6" t="s">
        <v>3688</v>
      </c>
      <c r="E53" s="6">
        <v>2</v>
      </c>
      <c r="F53" s="6">
        <v>19</v>
      </c>
      <c r="G53" s="6" t="s">
        <v>3990</v>
      </c>
      <c r="I53" s="8">
        <v>87.144782430555495</v>
      </c>
      <c r="J53" s="8">
        <v>114.23376645833338</v>
      </c>
      <c r="K53" s="24" t="s">
        <v>2610</v>
      </c>
      <c r="L53" s="9">
        <v>43839</v>
      </c>
      <c r="N53" s="6">
        <v>15</v>
      </c>
      <c r="O53" s="6" t="s">
        <v>4305</v>
      </c>
      <c r="V53" s="8">
        <v>-2.2948062406480316</v>
      </c>
      <c r="W53" s="8">
        <v>-16.416615176391602</v>
      </c>
      <c r="X53" s="27">
        <f t="shared" si="0"/>
        <v>1.9418347487926511</v>
      </c>
    </row>
    <row r="54" spans="1:24" s="6" customFormat="1" x14ac:dyDescent="0.35">
      <c r="A54" s="17" t="s">
        <v>25</v>
      </c>
      <c r="B54" s="6" t="s">
        <v>3387</v>
      </c>
      <c r="D54" s="6" t="s">
        <v>3689</v>
      </c>
      <c r="E54" s="6">
        <v>2</v>
      </c>
      <c r="F54" s="6">
        <v>19</v>
      </c>
      <c r="G54" s="6" t="s">
        <v>3991</v>
      </c>
      <c r="I54" s="8">
        <v>87.168233999999998</v>
      </c>
      <c r="J54" s="8">
        <v>113.08940699999999</v>
      </c>
      <c r="K54" s="24" t="s">
        <v>2610</v>
      </c>
      <c r="L54" s="9">
        <v>43840</v>
      </c>
      <c r="N54" s="6">
        <v>15</v>
      </c>
      <c r="O54" s="6" t="s">
        <v>4306</v>
      </c>
      <c r="V54" s="8">
        <v>-2.1391771598160263</v>
      </c>
      <c r="W54" s="8">
        <v>-18.094225228500363</v>
      </c>
      <c r="X54" s="27">
        <f t="shared" si="0"/>
        <v>-0.98080794997215293</v>
      </c>
    </row>
    <row r="55" spans="1:24" s="6" customFormat="1" x14ac:dyDescent="0.35">
      <c r="A55" s="17" t="s">
        <v>25</v>
      </c>
      <c r="B55" s="6" t="s">
        <v>3388</v>
      </c>
      <c r="D55" s="6" t="s">
        <v>3690</v>
      </c>
      <c r="E55" s="6">
        <v>2</v>
      </c>
      <c r="F55" s="6">
        <v>19</v>
      </c>
      <c r="G55" s="6" t="s">
        <v>3992</v>
      </c>
      <c r="I55" s="8">
        <v>87.224830277777727</v>
      </c>
      <c r="J55" s="8">
        <v>111.07503437500002</v>
      </c>
      <c r="K55" s="24" t="s">
        <v>2610</v>
      </c>
      <c r="L55" s="9">
        <v>43841</v>
      </c>
      <c r="N55" s="6">
        <v>15</v>
      </c>
      <c r="O55" s="6" t="s">
        <v>4298</v>
      </c>
      <c r="V55" s="8">
        <v>-2.3589761739134794</v>
      </c>
      <c r="W55" s="8">
        <v>-16.261190735626219</v>
      </c>
      <c r="X55" s="27">
        <f t="shared" si="0"/>
        <v>2.6106186556816162</v>
      </c>
    </row>
    <row r="56" spans="1:24" s="6" customFormat="1" x14ac:dyDescent="0.35">
      <c r="A56" s="17" t="s">
        <v>25</v>
      </c>
      <c r="B56" s="6" t="s">
        <v>3389</v>
      </c>
      <c r="D56" s="6" t="s">
        <v>3691</v>
      </c>
      <c r="E56" s="6">
        <v>2</v>
      </c>
      <c r="F56" s="6">
        <v>19</v>
      </c>
      <c r="G56" s="6" t="s">
        <v>3993</v>
      </c>
      <c r="I56" s="8">
        <v>87.275772708333349</v>
      </c>
      <c r="J56" s="8">
        <v>109.3741843055555</v>
      </c>
      <c r="K56" s="24" t="s">
        <v>2610</v>
      </c>
      <c r="L56" s="9">
        <v>43842</v>
      </c>
      <c r="N56" s="6">
        <v>16</v>
      </c>
      <c r="O56" s="6" t="s">
        <v>4307</v>
      </c>
      <c r="V56" s="8">
        <v>-2.368485331392288</v>
      </c>
      <c r="W56" s="8">
        <v>-17.414573388671876</v>
      </c>
      <c r="X56" s="27">
        <f t="shared" si="0"/>
        <v>1.5333092624664282</v>
      </c>
    </row>
    <row r="57" spans="1:24" s="6" customFormat="1" x14ac:dyDescent="0.35">
      <c r="A57" s="17" t="s">
        <v>25</v>
      </c>
      <c r="B57" s="6" t="s">
        <v>3390</v>
      </c>
      <c r="D57" s="6" t="s">
        <v>3692</v>
      </c>
      <c r="E57" s="6">
        <v>2</v>
      </c>
      <c r="F57" s="6">
        <v>20</v>
      </c>
      <c r="G57" s="6" t="s">
        <v>3994</v>
      </c>
      <c r="I57" s="8">
        <v>87.337473819444398</v>
      </c>
      <c r="J57" s="8">
        <v>107.081499861111</v>
      </c>
      <c r="K57" s="24" t="s">
        <v>2610</v>
      </c>
      <c r="L57" s="9">
        <v>43843</v>
      </c>
      <c r="N57" s="6">
        <v>16</v>
      </c>
      <c r="O57" s="6" t="s">
        <v>4308</v>
      </c>
      <c r="V57" s="8">
        <v>-2.3397505007743833</v>
      </c>
      <c r="W57" s="8">
        <v>-16.811811753845213</v>
      </c>
      <c r="X57" s="27">
        <f t="shared" si="0"/>
        <v>1.9061922523498538</v>
      </c>
    </row>
    <row r="58" spans="1:24" s="6" customFormat="1" x14ac:dyDescent="0.35">
      <c r="A58" s="17" t="s">
        <v>25</v>
      </c>
      <c r="B58" s="6" t="s">
        <v>3391</v>
      </c>
      <c r="D58" s="6" t="s">
        <v>3693</v>
      </c>
      <c r="E58" s="6">
        <v>2</v>
      </c>
      <c r="F58" s="6">
        <v>20</v>
      </c>
      <c r="G58" s="6" t="s">
        <v>3995</v>
      </c>
      <c r="I58" s="8">
        <v>87.410233125000005</v>
      </c>
      <c r="J58" s="8">
        <v>105.00010493055601</v>
      </c>
      <c r="K58" s="24" t="s">
        <v>2610</v>
      </c>
      <c r="L58" s="9">
        <v>43844</v>
      </c>
      <c r="N58" s="6">
        <v>16</v>
      </c>
      <c r="O58" s="6" t="s">
        <v>4309</v>
      </c>
      <c r="V58" s="8">
        <v>-2.36607628569603</v>
      </c>
      <c r="W58" s="8">
        <v>-16.897460481262208</v>
      </c>
      <c r="X58" s="27">
        <f t="shared" si="0"/>
        <v>2.0311498043060325</v>
      </c>
    </row>
    <row r="59" spans="1:24" s="6" customFormat="1" x14ac:dyDescent="0.35">
      <c r="A59" s="17" t="s">
        <v>25</v>
      </c>
      <c r="B59" s="6" t="s">
        <v>3392</v>
      </c>
      <c r="D59" s="6" t="s">
        <v>3694</v>
      </c>
      <c r="E59" s="6">
        <v>2</v>
      </c>
      <c r="F59" s="6">
        <v>20</v>
      </c>
      <c r="G59" s="6" t="s">
        <v>3996</v>
      </c>
      <c r="I59" s="8">
        <v>87.477902013888894</v>
      </c>
      <c r="J59" s="8">
        <v>103.286648611111</v>
      </c>
      <c r="K59" s="24" t="s">
        <v>2610</v>
      </c>
      <c r="L59" s="9">
        <v>43845</v>
      </c>
      <c r="N59" s="6">
        <v>16</v>
      </c>
      <c r="O59" s="6" t="s">
        <v>4310</v>
      </c>
      <c r="V59" s="8">
        <v>-2.3389159368038182</v>
      </c>
      <c r="W59" s="8">
        <v>-17.59115110168457</v>
      </c>
      <c r="X59" s="27">
        <f t="shared" si="0"/>
        <v>1.1201763927459751</v>
      </c>
    </row>
    <row r="60" spans="1:24" s="6" customFormat="1" x14ac:dyDescent="0.35">
      <c r="A60" s="17" t="s">
        <v>25</v>
      </c>
      <c r="B60" s="6" t="s">
        <v>3393</v>
      </c>
      <c r="D60" s="6" t="s">
        <v>3695</v>
      </c>
      <c r="E60" s="6">
        <v>2</v>
      </c>
      <c r="F60" s="6">
        <v>20</v>
      </c>
      <c r="G60" s="6" t="s">
        <v>3997</v>
      </c>
      <c r="I60" s="8">
        <v>86.603676041666702</v>
      </c>
      <c r="J60" s="8">
        <v>116.411907777778</v>
      </c>
      <c r="K60" s="24" t="s">
        <v>2610</v>
      </c>
      <c r="L60" s="9">
        <v>43846</v>
      </c>
      <c r="N60" s="6">
        <v>16</v>
      </c>
      <c r="O60" s="6" t="s">
        <v>4311</v>
      </c>
      <c r="V60" s="8">
        <v>-2.3207163082122801</v>
      </c>
      <c r="W60" s="8">
        <v>-17.217504052734373</v>
      </c>
      <c r="X60" s="27">
        <f t="shared" si="0"/>
        <v>1.3482264129638679</v>
      </c>
    </row>
    <row r="61" spans="1:24" s="6" customFormat="1" x14ac:dyDescent="0.35">
      <c r="A61" s="17" t="s">
        <v>25</v>
      </c>
      <c r="B61" s="6" t="s">
        <v>3394</v>
      </c>
      <c r="D61" s="6" t="s">
        <v>3696</v>
      </c>
      <c r="E61" s="6">
        <v>2</v>
      </c>
      <c r="F61" s="6">
        <v>20</v>
      </c>
      <c r="G61" s="6" t="s">
        <v>3998</v>
      </c>
      <c r="I61" s="8">
        <v>87.514280999999997</v>
      </c>
      <c r="J61" s="8">
        <v>99.409628999999995</v>
      </c>
      <c r="K61" s="24" t="s">
        <v>2610</v>
      </c>
      <c r="L61" s="9">
        <v>43847</v>
      </c>
      <c r="N61" s="6">
        <v>16</v>
      </c>
      <c r="O61" s="6" t="s">
        <v>4309</v>
      </c>
      <c r="V61" s="8">
        <v>-2.3319957409858705</v>
      </c>
      <c r="W61" s="8">
        <v>-16.953342271423338</v>
      </c>
      <c r="X61" s="27">
        <f t="shared" si="0"/>
        <v>1.7026236564636257</v>
      </c>
    </row>
    <row r="62" spans="1:24" s="6" customFormat="1" x14ac:dyDescent="0.35">
      <c r="A62" s="17" t="s">
        <v>25</v>
      </c>
      <c r="B62" s="6" t="s">
        <v>3395</v>
      </c>
      <c r="D62" s="6" t="s">
        <v>3697</v>
      </c>
      <c r="E62" s="6">
        <v>2</v>
      </c>
      <c r="F62" s="6">
        <v>20</v>
      </c>
      <c r="G62" s="6" t="s">
        <v>3999</v>
      </c>
      <c r="I62" s="8">
        <v>87.406649097222228</v>
      </c>
      <c r="J62" s="8">
        <v>98.341030902777774</v>
      </c>
      <c r="K62" s="24" t="s">
        <v>2610</v>
      </c>
      <c r="L62" s="9">
        <v>43848</v>
      </c>
      <c r="N62" s="6">
        <v>16</v>
      </c>
      <c r="O62" s="6" t="s">
        <v>4312</v>
      </c>
      <c r="V62" s="8">
        <v>-2.2637091191053393</v>
      </c>
      <c r="W62" s="8">
        <v>-17.130965563583374</v>
      </c>
      <c r="X62" s="27">
        <f t="shared" si="0"/>
        <v>0.9787073892593412</v>
      </c>
    </row>
    <row r="63" spans="1:24" s="6" customFormat="1" x14ac:dyDescent="0.35">
      <c r="A63" s="17" t="s">
        <v>25</v>
      </c>
      <c r="B63" s="6" t="s">
        <v>3396</v>
      </c>
      <c r="D63" s="6" t="s">
        <v>3698</v>
      </c>
      <c r="E63" s="6">
        <v>2</v>
      </c>
      <c r="F63" s="6">
        <v>20</v>
      </c>
      <c r="G63" s="6" t="s">
        <v>4000</v>
      </c>
      <c r="I63" s="8">
        <v>87.40220527777781</v>
      </c>
      <c r="J63" s="8">
        <v>98.298936041666693</v>
      </c>
      <c r="K63" s="24" t="s">
        <v>2610</v>
      </c>
      <c r="L63" s="9">
        <v>43849</v>
      </c>
      <c r="N63" s="6">
        <v>17</v>
      </c>
      <c r="O63" s="6" t="s">
        <v>4313</v>
      </c>
      <c r="V63" s="8">
        <v>-2.3095518885612489</v>
      </c>
      <c r="W63" s="8">
        <v>-16.639034997558593</v>
      </c>
      <c r="X63" s="27">
        <f t="shared" si="0"/>
        <v>1.8373801109313987</v>
      </c>
    </row>
    <row r="64" spans="1:24" s="6" customFormat="1" x14ac:dyDescent="0.35">
      <c r="A64" s="17" t="s">
        <v>25</v>
      </c>
      <c r="B64" s="6" t="s">
        <v>3397</v>
      </c>
      <c r="D64" s="6" t="s">
        <v>3699</v>
      </c>
      <c r="E64" s="6">
        <v>2</v>
      </c>
      <c r="F64" s="6">
        <v>21</v>
      </c>
      <c r="G64" s="6" t="s">
        <v>4001</v>
      </c>
      <c r="I64" s="8">
        <v>87.416636944444406</v>
      </c>
      <c r="J64" s="8">
        <v>93.8729894444444</v>
      </c>
      <c r="K64" s="24" t="s">
        <v>2610</v>
      </c>
      <c r="L64" s="9">
        <v>43850</v>
      </c>
      <c r="N64" s="6">
        <v>17</v>
      </c>
      <c r="O64" s="6" t="s">
        <v>4314</v>
      </c>
      <c r="V64" s="8">
        <v>-2.3058355270385746</v>
      </c>
      <c r="W64" s="8">
        <v>-16.713525834655762</v>
      </c>
      <c r="X64" s="27">
        <f t="shared" si="0"/>
        <v>1.7331583816528351</v>
      </c>
    </row>
    <row r="65" spans="1:24" s="6" customFormat="1" x14ac:dyDescent="0.35">
      <c r="A65" s="17" t="s">
        <v>25</v>
      </c>
      <c r="B65" s="6" t="s">
        <v>3398</v>
      </c>
      <c r="D65" s="6" t="s">
        <v>3700</v>
      </c>
      <c r="E65" s="6">
        <v>2</v>
      </c>
      <c r="F65" s="6">
        <v>21</v>
      </c>
      <c r="G65" s="6" t="s">
        <v>4002</v>
      </c>
      <c r="I65" s="8">
        <v>87.487058888888896</v>
      </c>
      <c r="J65" s="8">
        <v>96.100724513888906</v>
      </c>
      <c r="K65" s="24" t="s">
        <v>2610</v>
      </c>
      <c r="L65" s="9">
        <v>43851</v>
      </c>
      <c r="N65" s="6">
        <v>17</v>
      </c>
      <c r="O65" s="6" t="s">
        <v>4275</v>
      </c>
      <c r="V65" s="8">
        <v>-2.2920497609734536</v>
      </c>
      <c r="W65" s="8">
        <v>-16.46091272830963</v>
      </c>
      <c r="X65" s="27">
        <f t="shared" si="0"/>
        <v>1.8754853594779988</v>
      </c>
    </row>
    <row r="66" spans="1:24" s="6" customFormat="1" x14ac:dyDescent="0.35">
      <c r="A66" s="17" t="s">
        <v>25</v>
      </c>
      <c r="B66" s="6" t="s">
        <v>3399</v>
      </c>
      <c r="D66" s="6" t="s">
        <v>3701</v>
      </c>
      <c r="E66" s="6">
        <v>2</v>
      </c>
      <c r="F66" s="6">
        <v>21</v>
      </c>
      <c r="G66" s="6" t="s">
        <v>4003</v>
      </c>
      <c r="I66" s="8">
        <v>87.4749859722222</v>
      </c>
      <c r="J66" s="8">
        <v>94.8952059722222</v>
      </c>
      <c r="K66" s="24" t="s">
        <v>2610</v>
      </c>
      <c r="L66" s="9">
        <v>43852</v>
      </c>
      <c r="N66" s="6">
        <v>17</v>
      </c>
      <c r="O66" s="6" t="s">
        <v>4258</v>
      </c>
      <c r="V66" s="8">
        <v>-2.376253242886067</v>
      </c>
      <c r="W66" s="8">
        <v>-15.616105161666869</v>
      </c>
      <c r="X66" s="27">
        <f t="shared" ref="X66:X129" si="1">W66-(8*V66)</f>
        <v>3.3939207814216665</v>
      </c>
    </row>
    <row r="67" spans="1:24" s="6" customFormat="1" x14ac:dyDescent="0.35">
      <c r="A67" s="17" t="s">
        <v>25</v>
      </c>
      <c r="B67" s="6" t="s">
        <v>3400</v>
      </c>
      <c r="D67" s="6" t="s">
        <v>3702</v>
      </c>
      <c r="E67" s="6">
        <v>2</v>
      </c>
      <c r="F67" s="6">
        <v>21</v>
      </c>
      <c r="G67" s="6" t="s">
        <v>4004</v>
      </c>
      <c r="I67" s="8">
        <v>87.441250069444422</v>
      </c>
      <c r="J67" s="8">
        <v>93.933559166666655</v>
      </c>
      <c r="K67" s="24" t="s">
        <v>2610</v>
      </c>
      <c r="L67" s="9">
        <v>43853</v>
      </c>
      <c r="N67" s="6">
        <v>17</v>
      </c>
      <c r="O67" s="6" t="s">
        <v>4295</v>
      </c>
      <c r="V67" s="8">
        <v>-2.372059499657154</v>
      </c>
      <c r="W67" s="8">
        <v>-16.295196308135989</v>
      </c>
      <c r="X67" s="27">
        <f t="shared" si="1"/>
        <v>2.6812796891212436</v>
      </c>
    </row>
    <row r="68" spans="1:24" s="6" customFormat="1" x14ac:dyDescent="0.35">
      <c r="A68" s="17" t="s">
        <v>25</v>
      </c>
      <c r="B68" s="6" t="s">
        <v>3401</v>
      </c>
      <c r="D68" s="6" t="s">
        <v>3703</v>
      </c>
      <c r="E68" s="6">
        <v>2</v>
      </c>
      <c r="F68" s="6">
        <v>21</v>
      </c>
      <c r="G68" s="6" t="s">
        <v>4005</v>
      </c>
      <c r="I68" s="8">
        <v>87.419073263888905</v>
      </c>
      <c r="J68" s="8">
        <v>93.107981180555598</v>
      </c>
      <c r="K68" s="24" t="s">
        <v>2610</v>
      </c>
      <c r="L68" s="9">
        <v>43854</v>
      </c>
      <c r="N68" s="6">
        <v>17</v>
      </c>
      <c r="O68" s="6" t="s">
        <v>4272</v>
      </c>
      <c r="V68" s="8">
        <v>-2.3415837536215784</v>
      </c>
      <c r="W68" s="8">
        <v>-17.427295351982117</v>
      </c>
      <c r="X68" s="27">
        <f t="shared" si="1"/>
        <v>1.3053746769905104</v>
      </c>
    </row>
    <row r="69" spans="1:24" s="6" customFormat="1" x14ac:dyDescent="0.35">
      <c r="A69" s="17" t="s">
        <v>25</v>
      </c>
      <c r="B69" s="6" t="s">
        <v>3402</v>
      </c>
      <c r="D69" s="6" t="s">
        <v>3704</v>
      </c>
      <c r="E69" s="6">
        <v>2</v>
      </c>
      <c r="F69" s="6">
        <v>21</v>
      </c>
      <c r="G69" s="6" t="s">
        <v>4006</v>
      </c>
      <c r="I69" s="8">
        <v>87.404358611111107</v>
      </c>
      <c r="J69" s="8">
        <v>92.881176874999994</v>
      </c>
      <c r="K69" s="24" t="s">
        <v>2610</v>
      </c>
      <c r="L69" s="9">
        <v>43855</v>
      </c>
      <c r="N69" s="6">
        <v>17</v>
      </c>
      <c r="O69" s="6" t="s">
        <v>4293</v>
      </c>
      <c r="V69" s="8">
        <v>-2.2211314553070065</v>
      </c>
      <c r="W69" s="8">
        <v>-17.053354625320434</v>
      </c>
      <c r="X69" s="27">
        <f t="shared" si="1"/>
        <v>0.71569701713561784</v>
      </c>
    </row>
    <row r="70" spans="1:24" s="6" customFormat="1" x14ac:dyDescent="0.35">
      <c r="A70" s="17" t="s">
        <v>25</v>
      </c>
      <c r="B70" s="6" t="s">
        <v>3403</v>
      </c>
      <c r="D70" s="6" t="s">
        <v>3705</v>
      </c>
      <c r="E70" s="6">
        <v>2</v>
      </c>
      <c r="F70" s="6">
        <v>21</v>
      </c>
      <c r="G70" s="6" t="s">
        <v>4007</v>
      </c>
      <c r="I70" s="8">
        <v>87.416636944444406</v>
      </c>
      <c r="J70" s="8">
        <v>93.8729894444444</v>
      </c>
      <c r="K70" s="24" t="s">
        <v>2610</v>
      </c>
      <c r="L70" s="9">
        <v>43856</v>
      </c>
      <c r="N70" s="6">
        <v>18</v>
      </c>
      <c r="O70" s="6" t="s">
        <v>4315</v>
      </c>
      <c r="V70" s="8">
        <v>-2.3171334866094591</v>
      </c>
      <c r="W70" s="8">
        <v>-16.283577993392946</v>
      </c>
      <c r="X70" s="27">
        <f t="shared" si="1"/>
        <v>2.2534898994827266</v>
      </c>
    </row>
    <row r="71" spans="1:24" s="6" customFormat="1" x14ac:dyDescent="0.35">
      <c r="A71" s="17" t="s">
        <v>25</v>
      </c>
      <c r="B71" s="6" t="s">
        <v>3404</v>
      </c>
      <c r="D71" s="6" t="s">
        <v>3706</v>
      </c>
      <c r="E71" s="6">
        <v>2</v>
      </c>
      <c r="F71" s="6">
        <v>22</v>
      </c>
      <c r="G71" s="6" t="s">
        <v>4008</v>
      </c>
      <c r="I71" s="8">
        <v>87.447998999999996</v>
      </c>
      <c r="J71" s="8">
        <v>95.765049000000005</v>
      </c>
      <c r="K71" s="24" t="s">
        <v>2610</v>
      </c>
      <c r="L71" s="9">
        <v>43857</v>
      </c>
      <c r="N71" s="6">
        <v>18</v>
      </c>
      <c r="O71" s="6" t="s">
        <v>4256</v>
      </c>
      <c r="V71" s="8">
        <v>-2.2812868496418002</v>
      </c>
      <c r="W71" s="8">
        <v>-16.74654662761688</v>
      </c>
      <c r="X71" s="27">
        <f t="shared" si="1"/>
        <v>1.5037481695175217</v>
      </c>
    </row>
    <row r="72" spans="1:24" s="6" customFormat="1" x14ac:dyDescent="0.35">
      <c r="A72" s="17" t="s">
        <v>25</v>
      </c>
      <c r="B72" s="6" t="s">
        <v>3405</v>
      </c>
      <c r="D72" s="6" t="s">
        <v>3707</v>
      </c>
      <c r="E72" s="6">
        <v>2</v>
      </c>
      <c r="F72" s="6">
        <v>22</v>
      </c>
      <c r="G72" s="6" t="s">
        <v>4009</v>
      </c>
      <c r="I72" s="8">
        <v>87.457001180555594</v>
      </c>
      <c r="J72" s="8">
        <v>95.7129143055556</v>
      </c>
      <c r="K72" s="24" t="s">
        <v>2610</v>
      </c>
      <c r="L72" s="9">
        <v>43858</v>
      </c>
      <c r="N72" s="6">
        <v>18</v>
      </c>
      <c r="O72" s="6" t="s">
        <v>4316</v>
      </c>
      <c r="V72" s="8">
        <v>-2.3296887768316275</v>
      </c>
      <c r="W72" s="8">
        <v>-16.641097123146057</v>
      </c>
      <c r="X72" s="27">
        <f t="shared" si="1"/>
        <v>1.9964130915069624</v>
      </c>
    </row>
    <row r="73" spans="1:24" s="6" customFormat="1" x14ac:dyDescent="0.35">
      <c r="A73" s="17" t="s">
        <v>25</v>
      </c>
      <c r="B73" s="6" t="s">
        <v>3406</v>
      </c>
      <c r="D73" s="6" t="s">
        <v>3708</v>
      </c>
      <c r="E73" s="6">
        <v>2</v>
      </c>
      <c r="F73" s="6">
        <v>22</v>
      </c>
      <c r="G73" s="6" t="s">
        <v>4010</v>
      </c>
      <c r="I73" s="8">
        <v>87.472233819444398</v>
      </c>
      <c r="J73" s="8">
        <v>95.318004999999999</v>
      </c>
      <c r="K73" s="24" t="s">
        <v>2610</v>
      </c>
      <c r="L73" s="9">
        <v>43859</v>
      </c>
      <c r="N73" s="6">
        <v>18</v>
      </c>
      <c r="O73" s="6" t="s">
        <v>4317</v>
      </c>
      <c r="V73" s="8">
        <v>-2.3565914079952242</v>
      </c>
      <c r="W73" s="8">
        <v>-16.607924348831176</v>
      </c>
      <c r="X73" s="27">
        <f t="shared" si="1"/>
        <v>2.2448069151306171</v>
      </c>
    </row>
    <row r="74" spans="1:24" s="6" customFormat="1" x14ac:dyDescent="0.35">
      <c r="A74" s="17" t="s">
        <v>25</v>
      </c>
      <c r="B74" s="6" t="s">
        <v>3407</v>
      </c>
      <c r="D74" s="6" t="s">
        <v>3709</v>
      </c>
      <c r="E74" s="6">
        <v>2</v>
      </c>
      <c r="F74" s="6">
        <v>22</v>
      </c>
      <c r="G74" s="6" t="s">
        <v>4011</v>
      </c>
      <c r="I74" s="8">
        <v>87.455539236111093</v>
      </c>
      <c r="J74" s="8">
        <v>96.352106111111098</v>
      </c>
      <c r="K74" s="24" t="s">
        <v>2610</v>
      </c>
      <c r="L74" s="9">
        <v>43860</v>
      </c>
      <c r="N74" s="6">
        <v>18</v>
      </c>
      <c r="O74" s="6" t="s">
        <v>4318</v>
      </c>
      <c r="V74" s="8">
        <v>-2.3496257440853121</v>
      </c>
      <c r="W74" s="8">
        <v>-16.204823553085326</v>
      </c>
      <c r="X74" s="27">
        <f t="shared" si="1"/>
        <v>2.5921823995971707</v>
      </c>
    </row>
    <row r="75" spans="1:24" s="6" customFormat="1" x14ac:dyDescent="0.35">
      <c r="A75" s="17" t="s">
        <v>25</v>
      </c>
      <c r="B75" s="6" t="s">
        <v>3408</v>
      </c>
      <c r="D75" s="6" t="s">
        <v>3710</v>
      </c>
      <c r="E75" s="6">
        <v>2</v>
      </c>
      <c r="F75" s="6">
        <v>22</v>
      </c>
      <c r="G75" s="6" t="s">
        <v>4012</v>
      </c>
      <c r="I75" s="8">
        <v>87.438507999999999</v>
      </c>
      <c r="J75" s="8">
        <v>96.476590000000002</v>
      </c>
      <c r="K75" s="24" t="s">
        <v>2610</v>
      </c>
      <c r="L75" s="9">
        <v>43861</v>
      </c>
      <c r="N75" s="6">
        <v>18</v>
      </c>
      <c r="O75" s="6" t="s">
        <v>4319</v>
      </c>
      <c r="V75" s="8">
        <v>-2.2945279513406756</v>
      </c>
      <c r="W75" s="8">
        <v>-16.617296238899229</v>
      </c>
      <c r="X75" s="27">
        <f t="shared" si="1"/>
        <v>1.7389273718261755</v>
      </c>
    </row>
    <row r="76" spans="1:24" s="6" customFormat="1" x14ac:dyDescent="0.35">
      <c r="A76" s="17" t="s">
        <v>25</v>
      </c>
      <c r="B76" s="6" t="s">
        <v>3409</v>
      </c>
      <c r="D76" s="6" t="s">
        <v>3711</v>
      </c>
      <c r="E76" s="6">
        <v>2</v>
      </c>
      <c r="F76" s="6">
        <v>22</v>
      </c>
      <c r="G76" s="6" t="s">
        <v>4013</v>
      </c>
      <c r="I76" s="8">
        <v>87.406283611111064</v>
      </c>
      <c r="J76" s="8">
        <v>95.935335138888931</v>
      </c>
      <c r="K76" s="24" t="s">
        <v>2610</v>
      </c>
      <c r="L76" s="9">
        <v>43862</v>
      </c>
      <c r="N76" s="6">
        <v>18</v>
      </c>
      <c r="O76" s="6" t="s">
        <v>4320</v>
      </c>
      <c r="V76" s="8">
        <v>-2.2764269207525247</v>
      </c>
      <c r="W76" s="8">
        <v>-15.851136445999146</v>
      </c>
      <c r="X76" s="27">
        <f t="shared" si="1"/>
        <v>2.3602789200210523</v>
      </c>
    </row>
    <row r="77" spans="1:24" s="6" customFormat="1" x14ac:dyDescent="0.35">
      <c r="A77" s="17" t="s">
        <v>25</v>
      </c>
      <c r="B77" s="6" t="s">
        <v>3410</v>
      </c>
      <c r="D77" s="6" t="s">
        <v>3712</v>
      </c>
      <c r="E77" s="6">
        <v>2</v>
      </c>
      <c r="F77" s="6">
        <v>22</v>
      </c>
      <c r="G77" s="6" t="s">
        <v>4014</v>
      </c>
      <c r="I77" s="8">
        <v>87.352736041666702</v>
      </c>
      <c r="J77" s="8">
        <v>94.772103819444396</v>
      </c>
      <c r="K77" s="24" t="s">
        <v>2610</v>
      </c>
      <c r="L77" s="9">
        <v>43863</v>
      </c>
      <c r="N77" s="6">
        <v>19</v>
      </c>
      <c r="O77" s="6" t="s">
        <v>4321</v>
      </c>
      <c r="V77" s="8">
        <v>-2.2566213782501228</v>
      </c>
      <c r="W77" s="8">
        <v>-15.857983252525329</v>
      </c>
      <c r="X77" s="27">
        <f t="shared" si="1"/>
        <v>2.1949877734756527</v>
      </c>
    </row>
    <row r="78" spans="1:24" s="6" customFormat="1" x14ac:dyDescent="0.35">
      <c r="A78" s="17" t="s">
        <v>25</v>
      </c>
      <c r="B78" s="6" t="s">
        <v>3411</v>
      </c>
      <c r="D78" s="6" t="s">
        <v>3713</v>
      </c>
      <c r="E78" s="6">
        <v>2</v>
      </c>
      <c r="F78" s="6">
        <v>23</v>
      </c>
      <c r="G78" s="6" t="s">
        <v>4015</v>
      </c>
      <c r="I78" s="8">
        <v>87.421046000000004</v>
      </c>
      <c r="J78" s="8">
        <v>93.412738000000004</v>
      </c>
      <c r="K78" s="24" t="s">
        <v>2610</v>
      </c>
      <c r="L78" s="9">
        <v>43864</v>
      </c>
      <c r="N78" s="6">
        <v>19</v>
      </c>
      <c r="O78" s="6" t="s">
        <v>4322</v>
      </c>
      <c r="V78" s="8">
        <v>-2.2970943160724646</v>
      </c>
      <c r="W78" s="8">
        <v>-15.980914608955382</v>
      </c>
      <c r="X78" s="27">
        <f t="shared" si="1"/>
        <v>2.3958399196243345</v>
      </c>
    </row>
    <row r="79" spans="1:24" s="6" customFormat="1" x14ac:dyDescent="0.35">
      <c r="A79" s="17" t="s">
        <v>25</v>
      </c>
      <c r="B79" s="6" t="s">
        <v>3412</v>
      </c>
      <c r="D79" s="6" t="s">
        <v>3714</v>
      </c>
      <c r="E79" s="6">
        <v>2</v>
      </c>
      <c r="F79" s="6">
        <v>23</v>
      </c>
      <c r="G79" s="6" t="s">
        <v>4016</v>
      </c>
      <c r="I79" s="8">
        <v>87.481250902777802</v>
      </c>
      <c r="J79" s="8">
        <v>95.180874930555603</v>
      </c>
      <c r="K79" s="24" t="s">
        <v>2610</v>
      </c>
      <c r="L79" s="9">
        <v>43865</v>
      </c>
      <c r="N79" s="6">
        <v>19</v>
      </c>
      <c r="O79" s="6" t="s">
        <v>4319</v>
      </c>
      <c r="V79" s="8">
        <v>-2.3196843117205304</v>
      </c>
      <c r="W79" s="8">
        <v>-16.35470636914571</v>
      </c>
      <c r="X79" s="27">
        <f t="shared" si="1"/>
        <v>2.2027681246185331</v>
      </c>
    </row>
    <row r="80" spans="1:24" s="6" customFormat="1" x14ac:dyDescent="0.35">
      <c r="A80" s="17" t="s">
        <v>25</v>
      </c>
      <c r="B80" s="6" t="s">
        <v>3413</v>
      </c>
      <c r="D80" s="6" t="s">
        <v>3715</v>
      </c>
      <c r="E80" s="6">
        <v>2</v>
      </c>
      <c r="F80" s="6">
        <v>23</v>
      </c>
      <c r="G80" s="6" t="s">
        <v>4017</v>
      </c>
      <c r="I80" s="8">
        <v>87.532150000000001</v>
      </c>
      <c r="J80" s="8">
        <v>95.074939999999998</v>
      </c>
      <c r="K80" s="24" t="s">
        <v>2610</v>
      </c>
      <c r="L80" s="9">
        <v>43866</v>
      </c>
      <c r="N80" s="6">
        <v>19</v>
      </c>
      <c r="O80" s="6" t="s">
        <v>4323</v>
      </c>
      <c r="V80" s="8">
        <v>-2.3540307388973236</v>
      </c>
      <c r="W80" s="8">
        <v>-16.22995965194702</v>
      </c>
      <c r="X80" s="27">
        <f t="shared" si="1"/>
        <v>2.602286259231569</v>
      </c>
    </row>
    <row r="81" spans="1:24" s="6" customFormat="1" x14ac:dyDescent="0.35">
      <c r="A81" s="17" t="s">
        <v>25</v>
      </c>
      <c r="B81" s="6" t="s">
        <v>3414</v>
      </c>
      <c r="D81" s="6" t="s">
        <v>3716</v>
      </c>
      <c r="E81" s="6">
        <v>2</v>
      </c>
      <c r="F81" s="6">
        <v>23</v>
      </c>
      <c r="G81" s="6" t="s">
        <v>4018</v>
      </c>
      <c r="I81" s="8">
        <v>87.608730763888914</v>
      </c>
      <c r="J81" s="8">
        <v>93.979722916666603</v>
      </c>
      <c r="K81" s="24" t="s">
        <v>2610</v>
      </c>
      <c r="L81" s="9">
        <v>43867</v>
      </c>
      <c r="N81" s="6">
        <v>19</v>
      </c>
      <c r="O81" s="6" t="s">
        <v>4324</v>
      </c>
      <c r="V81" s="8">
        <v>-2.3492892606925961</v>
      </c>
      <c r="W81" s="8">
        <v>-16.48668285560608</v>
      </c>
      <c r="X81" s="27">
        <f t="shared" si="1"/>
        <v>2.3076312299346888</v>
      </c>
    </row>
    <row r="82" spans="1:24" s="6" customFormat="1" x14ac:dyDescent="0.35">
      <c r="A82" s="17" t="s">
        <v>25</v>
      </c>
      <c r="B82" s="6" t="s">
        <v>3415</v>
      </c>
      <c r="D82" s="6" t="s">
        <v>3717</v>
      </c>
      <c r="E82" s="6">
        <v>2</v>
      </c>
      <c r="F82" s="6">
        <v>23</v>
      </c>
      <c r="G82" s="6" t="s">
        <v>4019</v>
      </c>
      <c r="I82" s="8">
        <v>87.641897638888906</v>
      </c>
      <c r="J82" s="8">
        <v>93.798568611111094</v>
      </c>
      <c r="K82" s="24" t="s">
        <v>2610</v>
      </c>
      <c r="L82" s="9">
        <v>43868</v>
      </c>
      <c r="N82" s="6">
        <v>19</v>
      </c>
      <c r="O82" s="6" t="s">
        <v>4277</v>
      </c>
      <c r="V82" s="8">
        <v>-2.3483097392845149</v>
      </c>
      <c r="W82" s="8">
        <v>-16.946024362945554</v>
      </c>
      <c r="X82" s="27">
        <f t="shared" si="1"/>
        <v>1.8404535513305653</v>
      </c>
    </row>
    <row r="83" spans="1:24" s="6" customFormat="1" x14ac:dyDescent="0.35">
      <c r="A83" s="17" t="s">
        <v>25</v>
      </c>
      <c r="B83" s="6" t="s">
        <v>3416</v>
      </c>
      <c r="D83" s="6" t="s">
        <v>3718</v>
      </c>
      <c r="E83" s="6">
        <v>2</v>
      </c>
      <c r="F83" s="6">
        <v>23</v>
      </c>
      <c r="G83" s="6" t="s">
        <v>4020</v>
      </c>
      <c r="I83" s="8">
        <v>87.678803888888893</v>
      </c>
      <c r="J83" s="8">
        <v>93.745612569444404</v>
      </c>
      <c r="K83" s="24" t="s">
        <v>2610</v>
      </c>
      <c r="L83" s="9">
        <v>43869</v>
      </c>
      <c r="N83" s="6">
        <v>19</v>
      </c>
      <c r="O83" s="6" t="s">
        <v>4307</v>
      </c>
      <c r="V83" s="8">
        <v>-2.3255301109027871</v>
      </c>
      <c r="W83" s="8">
        <v>-17.22353866291046</v>
      </c>
      <c r="X83" s="27">
        <f t="shared" si="1"/>
        <v>1.3807022243118361</v>
      </c>
    </row>
    <row r="84" spans="1:24" s="6" customFormat="1" x14ac:dyDescent="0.35">
      <c r="A84" s="17" t="s">
        <v>25</v>
      </c>
      <c r="B84" s="6" t="s">
        <v>3417</v>
      </c>
      <c r="D84" s="6" t="s">
        <v>3719</v>
      </c>
      <c r="E84" s="6">
        <v>2</v>
      </c>
      <c r="F84" s="6">
        <v>24</v>
      </c>
      <c r="G84" s="6" t="s">
        <v>4021</v>
      </c>
      <c r="I84" s="8">
        <v>87.785799999999995</v>
      </c>
      <c r="J84" s="8">
        <v>91.806571000000005</v>
      </c>
      <c r="K84" s="24" t="s">
        <v>2610</v>
      </c>
      <c r="L84" s="9">
        <v>43871</v>
      </c>
      <c r="N84" s="6">
        <v>20</v>
      </c>
      <c r="O84" s="6" t="s">
        <v>4294</v>
      </c>
      <c r="V84" s="8">
        <v>-2.3874003902149203</v>
      </c>
      <c r="W84" s="8">
        <v>-16.815784356117248</v>
      </c>
      <c r="X84" s="27">
        <f t="shared" si="1"/>
        <v>2.2834187656021143</v>
      </c>
    </row>
    <row r="85" spans="1:24" s="6" customFormat="1" x14ac:dyDescent="0.35">
      <c r="A85" s="17" t="s">
        <v>25</v>
      </c>
      <c r="B85" s="6" t="s">
        <v>3418</v>
      </c>
      <c r="D85" s="6" t="s">
        <v>3720</v>
      </c>
      <c r="E85" s="6">
        <v>2</v>
      </c>
      <c r="F85" s="6">
        <v>24</v>
      </c>
      <c r="G85" s="6" t="s">
        <v>4022</v>
      </c>
      <c r="I85" s="8">
        <v>87.824980972222207</v>
      </c>
      <c r="J85" s="8">
        <v>89.805567013888918</v>
      </c>
      <c r="K85" s="24" t="s">
        <v>2610</v>
      </c>
      <c r="L85" s="9">
        <v>43872</v>
      </c>
      <c r="N85" s="6">
        <v>20</v>
      </c>
      <c r="O85" s="6" t="s">
        <v>4272</v>
      </c>
      <c r="V85" s="8">
        <v>-2.3624141162681576</v>
      </c>
      <c r="W85" s="8">
        <v>-17.569926379776003</v>
      </c>
      <c r="X85" s="27">
        <f t="shared" si="1"/>
        <v>1.3293865503692572</v>
      </c>
    </row>
    <row r="86" spans="1:24" s="6" customFormat="1" x14ac:dyDescent="0.35">
      <c r="A86" s="17" t="s">
        <v>25</v>
      </c>
      <c r="B86" s="6" t="s">
        <v>3419</v>
      </c>
      <c r="D86" s="6" t="s">
        <v>3721</v>
      </c>
      <c r="E86" s="6">
        <v>2</v>
      </c>
      <c r="F86" s="6">
        <v>24</v>
      </c>
      <c r="G86" s="6" t="s">
        <v>4023</v>
      </c>
      <c r="I86" s="8">
        <v>87.882876180555598</v>
      </c>
      <c r="J86" s="8">
        <v>87.424340833333304</v>
      </c>
      <c r="K86" s="24" t="s">
        <v>2610</v>
      </c>
      <c r="L86" s="9">
        <v>43873</v>
      </c>
      <c r="N86" s="6">
        <v>20</v>
      </c>
      <c r="O86" s="6" t="s">
        <v>4313</v>
      </c>
      <c r="V86" s="8">
        <v>-2.3521268178272243</v>
      </c>
      <c r="W86" s="8">
        <v>-17.741819575881959</v>
      </c>
      <c r="X86" s="27">
        <f t="shared" si="1"/>
        <v>1.075194966735836</v>
      </c>
    </row>
    <row r="87" spans="1:24" s="6" customFormat="1" x14ac:dyDescent="0.35">
      <c r="A87" s="17" t="s">
        <v>25</v>
      </c>
      <c r="B87" s="6" t="s">
        <v>3420</v>
      </c>
      <c r="D87" s="6" t="s">
        <v>3722</v>
      </c>
      <c r="E87" s="6">
        <v>2</v>
      </c>
      <c r="F87" s="6">
        <v>24</v>
      </c>
      <c r="G87" s="6" t="s">
        <v>4024</v>
      </c>
      <c r="I87" s="8">
        <v>87.965332013888897</v>
      </c>
      <c r="J87" s="8">
        <v>83.9400076388889</v>
      </c>
      <c r="K87" s="24" t="s">
        <v>2610</v>
      </c>
      <c r="L87" s="9">
        <v>43874</v>
      </c>
      <c r="N87" s="6">
        <v>20</v>
      </c>
      <c r="O87" s="6" t="s">
        <v>4325</v>
      </c>
      <c r="V87" s="8">
        <v>-2.2224289954948424</v>
      </c>
      <c r="W87" s="8">
        <v>-16.430385443305969</v>
      </c>
      <c r="X87" s="27">
        <f t="shared" si="1"/>
        <v>1.3490465206527702</v>
      </c>
    </row>
    <row r="88" spans="1:24" s="6" customFormat="1" x14ac:dyDescent="0.35">
      <c r="A88" s="17" t="s">
        <v>25</v>
      </c>
      <c r="B88" s="6" t="s">
        <v>3421</v>
      </c>
      <c r="D88" s="6" t="s">
        <v>3723</v>
      </c>
      <c r="E88" s="6">
        <v>2</v>
      </c>
      <c r="F88" s="6">
        <v>24</v>
      </c>
      <c r="G88" s="6" t="s">
        <v>4025</v>
      </c>
      <c r="I88" s="8">
        <v>88.029945763888904</v>
      </c>
      <c r="J88" s="8">
        <v>80.513806388888895</v>
      </c>
      <c r="K88" s="24" t="s">
        <v>2610</v>
      </c>
      <c r="L88" s="9">
        <v>43875</v>
      </c>
      <c r="N88" s="6">
        <v>20</v>
      </c>
      <c r="O88" s="6" t="s">
        <v>4289</v>
      </c>
      <c r="V88" s="8">
        <v>-2.0416947518634787</v>
      </c>
      <c r="W88" s="8">
        <v>-15.095247477149963</v>
      </c>
      <c r="X88" s="27">
        <f t="shared" si="1"/>
        <v>1.2383105377578669</v>
      </c>
    </row>
    <row r="89" spans="1:24" s="6" customFormat="1" x14ac:dyDescent="0.35">
      <c r="A89" s="17" t="s">
        <v>25</v>
      </c>
      <c r="B89" s="6" t="s">
        <v>3422</v>
      </c>
      <c r="D89" s="6" t="s">
        <v>3724</v>
      </c>
      <c r="E89" s="6">
        <v>2</v>
      </c>
      <c r="F89" s="6">
        <v>24</v>
      </c>
      <c r="G89" s="6" t="s">
        <v>4026</v>
      </c>
      <c r="I89" s="8">
        <v>88.067792083333316</v>
      </c>
      <c r="J89" s="8">
        <v>79.82869430555553</v>
      </c>
      <c r="K89" s="24" t="s">
        <v>2610</v>
      </c>
      <c r="L89" s="9">
        <v>43876</v>
      </c>
      <c r="N89" s="6">
        <v>20</v>
      </c>
      <c r="O89" s="6" t="s">
        <v>4326</v>
      </c>
      <c r="V89" s="8">
        <v>-2.0276520956802364</v>
      </c>
      <c r="W89" s="8">
        <v>-15.298401456451415</v>
      </c>
      <c r="X89" s="27">
        <f t="shared" si="1"/>
        <v>0.92281530899047581</v>
      </c>
    </row>
    <row r="90" spans="1:24" s="6" customFormat="1" x14ac:dyDescent="0.35">
      <c r="A90" s="17" t="s">
        <v>25</v>
      </c>
      <c r="B90" s="6" t="s">
        <v>3423</v>
      </c>
      <c r="D90" s="6" t="s">
        <v>3725</v>
      </c>
      <c r="E90" s="6">
        <v>2</v>
      </c>
      <c r="F90" s="6">
        <v>24</v>
      </c>
      <c r="G90" s="6" t="s">
        <v>4027</v>
      </c>
      <c r="I90" s="8">
        <v>88.066822999999999</v>
      </c>
      <c r="J90" s="8">
        <v>79.750063999999995</v>
      </c>
      <c r="K90" s="24" t="s">
        <v>2610</v>
      </c>
      <c r="L90" s="9">
        <v>43877</v>
      </c>
      <c r="N90" s="6">
        <v>20</v>
      </c>
      <c r="O90" s="6" t="s">
        <v>4327</v>
      </c>
      <c r="V90" s="8">
        <v>-2.0460228351402283</v>
      </c>
      <c r="W90" s="8">
        <v>-15.2901999546051</v>
      </c>
      <c r="X90" s="27">
        <f t="shared" si="1"/>
        <v>1.0779827265167263</v>
      </c>
    </row>
    <row r="91" spans="1:24" s="6" customFormat="1" x14ac:dyDescent="0.35">
      <c r="A91" s="17" t="s">
        <v>25</v>
      </c>
      <c r="B91" s="6" t="s">
        <v>3424</v>
      </c>
      <c r="D91" s="6" t="s">
        <v>3726</v>
      </c>
      <c r="E91" s="6">
        <v>2</v>
      </c>
      <c r="F91" s="6">
        <v>25</v>
      </c>
      <c r="G91" s="6" t="s">
        <v>4028</v>
      </c>
      <c r="I91" s="8">
        <v>88.072472000000005</v>
      </c>
      <c r="J91" s="8">
        <v>79.234834000000006</v>
      </c>
      <c r="K91" s="24" t="s">
        <v>2610</v>
      </c>
      <c r="L91" s="9">
        <v>43878</v>
      </c>
      <c r="N91" s="6">
        <v>21</v>
      </c>
      <c r="O91" s="6" t="s">
        <v>4328</v>
      </c>
      <c r="V91" s="8">
        <v>-1.9943713616180423</v>
      </c>
      <c r="W91" s="8">
        <v>-15.339219947433472</v>
      </c>
      <c r="X91" s="27">
        <f t="shared" si="1"/>
        <v>0.61575094551086629</v>
      </c>
    </row>
    <row r="92" spans="1:24" s="6" customFormat="1" x14ac:dyDescent="0.35">
      <c r="A92" s="17" t="s">
        <v>25</v>
      </c>
      <c r="B92" s="6" t="s">
        <v>3425</v>
      </c>
      <c r="D92" s="6" t="s">
        <v>3727</v>
      </c>
      <c r="E92" s="6">
        <v>2</v>
      </c>
      <c r="F92" s="6">
        <v>25</v>
      </c>
      <c r="G92" s="6" t="s">
        <v>4029</v>
      </c>
      <c r="I92" s="8">
        <v>88.118074166666631</v>
      </c>
      <c r="J92" s="8">
        <v>76.985576736111099</v>
      </c>
      <c r="K92" s="24" t="s">
        <v>2610</v>
      </c>
      <c r="L92" s="9">
        <v>43879</v>
      </c>
      <c r="N92" s="6">
        <v>21</v>
      </c>
      <c r="O92" s="6" t="s">
        <v>4329</v>
      </c>
      <c r="V92" s="8">
        <v>-2.0138808563995365</v>
      </c>
      <c r="W92" s="8">
        <v>-15.621566902732848</v>
      </c>
      <c r="X92" s="27">
        <f t="shared" si="1"/>
        <v>0.489479948463444</v>
      </c>
    </row>
    <row r="93" spans="1:24" s="6" customFormat="1" x14ac:dyDescent="0.35">
      <c r="A93" s="17" t="s">
        <v>25</v>
      </c>
      <c r="B93" s="6" t="s">
        <v>3426</v>
      </c>
      <c r="D93" s="6" t="s">
        <v>3728</v>
      </c>
      <c r="E93" s="6">
        <v>2</v>
      </c>
      <c r="F93" s="6">
        <v>25</v>
      </c>
      <c r="G93" s="6" t="s">
        <v>4030</v>
      </c>
      <c r="I93" s="8">
        <v>88.259310069444382</v>
      </c>
      <c r="J93" s="8">
        <v>73.072136111111107</v>
      </c>
      <c r="K93" s="24" t="s">
        <v>2610</v>
      </c>
      <c r="L93" s="9">
        <v>43880</v>
      </c>
      <c r="N93" s="6">
        <v>21</v>
      </c>
      <c r="O93" s="6" t="s">
        <v>4330</v>
      </c>
      <c r="V93" s="8">
        <v>-2.0230322691249847</v>
      </c>
      <c r="W93" s="8">
        <v>-14.92342610797882</v>
      </c>
      <c r="X93" s="27">
        <f t="shared" si="1"/>
        <v>1.2608320450210577</v>
      </c>
    </row>
    <row r="94" spans="1:24" s="6" customFormat="1" x14ac:dyDescent="0.35">
      <c r="A94" s="17" t="s">
        <v>25</v>
      </c>
      <c r="B94" s="6" t="s">
        <v>3427</v>
      </c>
      <c r="D94" s="6" t="s">
        <v>3729</v>
      </c>
      <c r="E94" s="6">
        <v>2</v>
      </c>
      <c r="F94" s="6">
        <v>25</v>
      </c>
      <c r="G94" s="6" t="s">
        <v>4031</v>
      </c>
      <c r="I94" s="8">
        <v>88.391086874999985</v>
      </c>
      <c r="J94" s="8">
        <v>68.875438194444428</v>
      </c>
      <c r="K94" s="24" t="s">
        <v>2610</v>
      </c>
      <c r="L94" s="9">
        <v>43881</v>
      </c>
      <c r="N94" s="6">
        <v>21</v>
      </c>
      <c r="O94" s="6" t="s">
        <v>4331</v>
      </c>
      <c r="V94" s="8">
        <v>-2.1238726159381862</v>
      </c>
      <c r="W94" s="8">
        <v>-15.373131711578369</v>
      </c>
      <c r="X94" s="27">
        <f t="shared" si="1"/>
        <v>1.6178492159271212</v>
      </c>
    </row>
    <row r="95" spans="1:24" s="6" customFormat="1" x14ac:dyDescent="0.35">
      <c r="A95" s="17" t="s">
        <v>25</v>
      </c>
      <c r="B95" s="6" t="s">
        <v>3428</v>
      </c>
      <c r="D95" s="6" t="s">
        <v>3730</v>
      </c>
      <c r="E95" s="6">
        <v>2</v>
      </c>
      <c r="F95" s="6">
        <v>25</v>
      </c>
      <c r="G95" s="6" t="s">
        <v>4032</v>
      </c>
      <c r="I95" s="8">
        <v>88.478686999999994</v>
      </c>
      <c r="J95" s="8">
        <v>66.945536000000004</v>
      </c>
      <c r="K95" s="24" t="s">
        <v>2610</v>
      </c>
      <c r="L95" s="9">
        <v>43882</v>
      </c>
      <c r="N95" s="6">
        <v>21</v>
      </c>
      <c r="O95" s="6" t="s">
        <v>4332</v>
      </c>
      <c r="V95" s="8">
        <v>-2.1034366797924045</v>
      </c>
      <c r="W95" s="8">
        <v>-15.541990393066406</v>
      </c>
      <c r="X95" s="27">
        <f t="shared" si="1"/>
        <v>1.2855030452728293</v>
      </c>
    </row>
    <row r="96" spans="1:24" s="6" customFormat="1" x14ac:dyDescent="0.35">
      <c r="A96" s="17" t="s">
        <v>25</v>
      </c>
      <c r="B96" s="6" t="s">
        <v>3429</v>
      </c>
      <c r="D96" s="6" t="s">
        <v>3731</v>
      </c>
      <c r="E96" s="6">
        <v>2</v>
      </c>
      <c r="F96" s="6">
        <v>25</v>
      </c>
      <c r="G96" s="6" t="s">
        <v>4033</v>
      </c>
      <c r="I96" s="8">
        <v>88.572859652777794</v>
      </c>
      <c r="J96" s="8">
        <v>64.515004652777762</v>
      </c>
      <c r="K96" s="24" t="s">
        <v>2610</v>
      </c>
      <c r="L96" s="9">
        <v>43883</v>
      </c>
      <c r="N96" s="6">
        <v>21</v>
      </c>
      <c r="O96" s="6" t="s">
        <v>4268</v>
      </c>
      <c r="V96" s="8">
        <v>-2.1345878781795502</v>
      </c>
      <c r="W96" s="8">
        <v>-15.737617346191405</v>
      </c>
      <c r="X96" s="27">
        <f t="shared" si="1"/>
        <v>1.339085679244997</v>
      </c>
    </row>
    <row r="97" spans="1:24" s="6" customFormat="1" x14ac:dyDescent="0.35">
      <c r="A97" s="17" t="s">
        <v>25</v>
      </c>
      <c r="B97" s="6" t="s">
        <v>3430</v>
      </c>
      <c r="D97" s="6" t="s">
        <v>3732</v>
      </c>
      <c r="E97" s="6">
        <v>2</v>
      </c>
      <c r="F97" s="6">
        <v>25</v>
      </c>
      <c r="G97" s="6" t="s">
        <v>4034</v>
      </c>
      <c r="I97" s="8">
        <v>88.58999638888892</v>
      </c>
      <c r="J97" s="8">
        <v>61.16850368055556</v>
      </c>
      <c r="K97" s="24" t="s">
        <v>2610</v>
      </c>
      <c r="L97" s="9">
        <v>43884</v>
      </c>
      <c r="N97" s="6">
        <v>22</v>
      </c>
      <c r="O97" s="6" t="s">
        <v>4278</v>
      </c>
      <c r="V97" s="8">
        <v>-2.0490990068435666</v>
      </c>
      <c r="W97" s="8">
        <v>-15.104055792236329</v>
      </c>
      <c r="X97" s="27">
        <f t="shared" si="1"/>
        <v>1.2887362625122041</v>
      </c>
    </row>
    <row r="98" spans="1:24" s="6" customFormat="1" x14ac:dyDescent="0.35">
      <c r="A98" s="17" t="s">
        <v>25</v>
      </c>
      <c r="B98" s="6" t="s">
        <v>3431</v>
      </c>
      <c r="D98" s="6" t="s">
        <v>3733</v>
      </c>
      <c r="E98" s="6">
        <v>3</v>
      </c>
      <c r="F98" s="6">
        <v>29</v>
      </c>
      <c r="G98" s="6" t="s">
        <v>4035</v>
      </c>
      <c r="I98" s="8">
        <v>88.588357013888938</v>
      </c>
      <c r="J98" s="8">
        <v>54.451043611111089</v>
      </c>
      <c r="K98" s="24" t="s">
        <v>2610</v>
      </c>
      <c r="L98" s="9">
        <v>43885</v>
      </c>
      <c r="N98" s="6">
        <v>22</v>
      </c>
      <c r="O98" s="6" t="s">
        <v>4333</v>
      </c>
      <c r="V98" s="8">
        <v>-1.8964563119888307</v>
      </c>
      <c r="W98" s="8">
        <v>-13.87278665161133</v>
      </c>
      <c r="X98" s="27">
        <f t="shared" si="1"/>
        <v>1.2988638442993157</v>
      </c>
    </row>
    <row r="99" spans="1:24" s="6" customFormat="1" x14ac:dyDescent="0.35">
      <c r="A99" s="17" t="s">
        <v>25</v>
      </c>
      <c r="B99" s="6" t="s">
        <v>3432</v>
      </c>
      <c r="D99" s="6" t="s">
        <v>3734</v>
      </c>
      <c r="E99" s="6">
        <v>3</v>
      </c>
      <c r="F99" s="6">
        <v>29</v>
      </c>
      <c r="G99" s="6" t="s">
        <v>4036</v>
      </c>
      <c r="I99" s="8">
        <v>88.557896874999997</v>
      </c>
      <c r="J99" s="8">
        <v>45.997060902777797</v>
      </c>
      <c r="K99" s="24" t="s">
        <v>2610</v>
      </c>
      <c r="L99" s="9">
        <v>43886</v>
      </c>
      <c r="N99" s="6">
        <v>22</v>
      </c>
      <c r="O99" s="6" t="s">
        <v>4334</v>
      </c>
      <c r="V99" s="8">
        <v>-1.885097141075134</v>
      </c>
      <c r="W99" s="8">
        <v>-13.603115600585937</v>
      </c>
      <c r="X99" s="27">
        <f t="shared" si="1"/>
        <v>1.4776615280151351</v>
      </c>
    </row>
    <row r="100" spans="1:24" s="6" customFormat="1" x14ac:dyDescent="0.35">
      <c r="A100" s="17" t="s">
        <v>25</v>
      </c>
      <c r="B100" s="6" t="s">
        <v>3433</v>
      </c>
      <c r="D100" s="6" t="s">
        <v>3735</v>
      </c>
      <c r="E100" s="6">
        <v>3</v>
      </c>
      <c r="F100" s="6">
        <v>29</v>
      </c>
      <c r="G100" s="6" t="s">
        <v>4037</v>
      </c>
      <c r="I100" s="8">
        <v>88.494369000000006</v>
      </c>
      <c r="J100" s="8">
        <v>40.363484</v>
      </c>
      <c r="K100" s="24" t="s">
        <v>2610</v>
      </c>
      <c r="L100" s="9">
        <v>43887</v>
      </c>
      <c r="N100" s="6">
        <v>22</v>
      </c>
      <c r="O100" s="6" t="s">
        <v>4291</v>
      </c>
      <c r="V100" s="8">
        <v>-1.7704871423721318</v>
      </c>
      <c r="W100" s="8">
        <v>-12.760863159179687</v>
      </c>
      <c r="X100" s="27">
        <f t="shared" si="1"/>
        <v>1.4030339797973674</v>
      </c>
    </row>
    <row r="101" spans="1:24" s="6" customFormat="1" x14ac:dyDescent="0.35">
      <c r="A101" s="17" t="s">
        <v>25</v>
      </c>
      <c r="B101" s="6" t="s">
        <v>3434</v>
      </c>
      <c r="D101" s="6" t="s">
        <v>3736</v>
      </c>
      <c r="E101" s="6">
        <v>3</v>
      </c>
      <c r="F101" s="6">
        <v>29</v>
      </c>
      <c r="G101" s="6" t="s">
        <v>4038</v>
      </c>
      <c r="I101" s="8">
        <v>88.411555763888913</v>
      </c>
      <c r="J101" s="8">
        <v>36.677855277777752</v>
      </c>
      <c r="K101" s="24" t="s">
        <v>2610</v>
      </c>
      <c r="L101" s="9">
        <v>43888</v>
      </c>
      <c r="N101" s="6">
        <v>22</v>
      </c>
      <c r="O101" s="6" t="s">
        <v>4335</v>
      </c>
      <c r="V101" s="8">
        <v>-1.7739361374855045</v>
      </c>
      <c r="W101" s="8">
        <v>-12.526821105957032</v>
      </c>
      <c r="X101" s="27">
        <f t="shared" si="1"/>
        <v>1.6646679939270044</v>
      </c>
    </row>
    <row r="102" spans="1:24" s="6" customFormat="1" x14ac:dyDescent="0.35">
      <c r="A102" s="17" t="s">
        <v>25</v>
      </c>
      <c r="B102" s="6" t="s">
        <v>3435</v>
      </c>
      <c r="D102" s="6" t="s">
        <v>3737</v>
      </c>
      <c r="E102" s="6">
        <v>3</v>
      </c>
      <c r="F102" s="6">
        <v>29</v>
      </c>
      <c r="G102" s="6" t="s">
        <v>4039</v>
      </c>
      <c r="I102" s="8">
        <v>88.342715902777741</v>
      </c>
      <c r="J102" s="8">
        <v>33.899277291666664</v>
      </c>
      <c r="K102" s="24" t="s">
        <v>2610</v>
      </c>
      <c r="L102" s="9">
        <v>43889</v>
      </c>
      <c r="N102" s="6">
        <v>22</v>
      </c>
      <c r="O102" s="6" t="s">
        <v>4326</v>
      </c>
      <c r="V102" s="8">
        <v>-1.6936721075057983</v>
      </c>
      <c r="W102" s="8">
        <v>-11.688037811279298</v>
      </c>
      <c r="X102" s="27">
        <f t="shared" si="1"/>
        <v>1.8613390487670891</v>
      </c>
    </row>
    <row r="103" spans="1:24" s="6" customFormat="1" x14ac:dyDescent="0.35">
      <c r="A103" s="17" t="s">
        <v>25</v>
      </c>
      <c r="B103" s="6" t="s">
        <v>3436</v>
      </c>
      <c r="D103" s="6" t="s">
        <v>3738</v>
      </c>
      <c r="E103" s="6">
        <v>3</v>
      </c>
      <c r="F103" s="6">
        <v>29</v>
      </c>
      <c r="G103" s="6" t="s">
        <v>4040</v>
      </c>
      <c r="I103" s="8">
        <v>88.275889097222205</v>
      </c>
      <c r="J103" s="8">
        <v>31.976771041666701</v>
      </c>
      <c r="K103" s="24" t="s">
        <v>2610</v>
      </c>
      <c r="L103" s="9">
        <v>43890</v>
      </c>
      <c r="N103" s="6">
        <v>22</v>
      </c>
      <c r="O103" s="6" t="s">
        <v>4336</v>
      </c>
      <c r="V103" s="8">
        <v>-1.6471422107696534</v>
      </c>
      <c r="W103" s="8">
        <v>-12.096573120117187</v>
      </c>
      <c r="X103" s="27">
        <f t="shared" si="1"/>
        <v>1.0805645660400405</v>
      </c>
    </row>
    <row r="104" spans="1:24" s="6" customFormat="1" x14ac:dyDescent="0.35">
      <c r="A104" s="17" t="s">
        <v>25</v>
      </c>
      <c r="B104" s="6" t="s">
        <v>3437</v>
      </c>
      <c r="D104" s="6" t="s">
        <v>3739</v>
      </c>
      <c r="E104" s="6">
        <v>3</v>
      </c>
      <c r="F104" s="6">
        <v>29</v>
      </c>
      <c r="G104" s="6" t="s">
        <v>4041</v>
      </c>
      <c r="I104" s="8">
        <v>88.222811249999978</v>
      </c>
      <c r="J104" s="8">
        <v>31.402190277777784</v>
      </c>
      <c r="K104" s="24" t="s">
        <v>2610</v>
      </c>
      <c r="L104" s="9">
        <v>43891</v>
      </c>
      <c r="N104" s="6">
        <v>23</v>
      </c>
      <c r="O104" s="6" t="s">
        <v>4337</v>
      </c>
      <c r="V104" s="8">
        <v>-1.6349049027442928</v>
      </c>
      <c r="W104" s="8">
        <v>-11.481519042968749</v>
      </c>
      <c r="X104" s="27">
        <f t="shared" si="1"/>
        <v>1.5977201789855933</v>
      </c>
    </row>
    <row r="105" spans="1:24" s="6" customFormat="1" x14ac:dyDescent="0.35">
      <c r="A105" s="17" t="s">
        <v>25</v>
      </c>
      <c r="B105" s="6" t="s">
        <v>3438</v>
      </c>
      <c r="D105" s="6" t="s">
        <v>3740</v>
      </c>
      <c r="E105" s="6">
        <v>3</v>
      </c>
      <c r="F105" s="6">
        <v>30</v>
      </c>
      <c r="G105" s="6" t="s">
        <v>4042</v>
      </c>
      <c r="I105" s="8">
        <v>88.184997847222206</v>
      </c>
      <c r="J105" s="8">
        <v>31.048881250000001</v>
      </c>
      <c r="K105" s="24" t="s">
        <v>2610</v>
      </c>
      <c r="L105" s="9">
        <v>43892</v>
      </c>
      <c r="N105" s="6">
        <v>23</v>
      </c>
      <c r="O105" s="6" t="s">
        <v>4338</v>
      </c>
      <c r="V105" s="8">
        <v>-1.7148347690582275</v>
      </c>
      <c r="W105" s="8">
        <v>-11.652711547851563</v>
      </c>
      <c r="X105" s="27">
        <f t="shared" si="1"/>
        <v>2.0659666046142569</v>
      </c>
    </row>
    <row r="106" spans="1:24" s="6" customFormat="1" x14ac:dyDescent="0.35">
      <c r="A106" s="17" t="s">
        <v>25</v>
      </c>
      <c r="B106" s="6" t="s">
        <v>3439</v>
      </c>
      <c r="D106" s="6" t="s">
        <v>3741</v>
      </c>
      <c r="E106" s="6">
        <v>3</v>
      </c>
      <c r="F106" s="6">
        <v>30</v>
      </c>
      <c r="G106" s="6" t="s">
        <v>4043</v>
      </c>
      <c r="I106" s="8">
        <v>88.133986458333325</v>
      </c>
      <c r="J106" s="8">
        <v>30.509272222222211</v>
      </c>
      <c r="K106" s="24" t="s">
        <v>2610</v>
      </c>
      <c r="L106" s="9">
        <v>43893</v>
      </c>
      <c r="N106" s="6">
        <v>23</v>
      </c>
      <c r="O106" s="6" t="s">
        <v>4339</v>
      </c>
      <c r="V106" s="8">
        <v>-1.5268590896606451</v>
      </c>
      <c r="W106" s="8">
        <v>-10.876463714599609</v>
      </c>
      <c r="X106" s="27">
        <f t="shared" si="1"/>
        <v>1.3384090026855517</v>
      </c>
    </row>
    <row r="107" spans="1:24" s="6" customFormat="1" x14ac:dyDescent="0.35">
      <c r="A107" s="17" t="s">
        <v>25</v>
      </c>
      <c r="B107" s="6" t="s">
        <v>3440</v>
      </c>
      <c r="D107" s="6" t="s">
        <v>3742</v>
      </c>
      <c r="E107" s="6">
        <v>3</v>
      </c>
      <c r="F107" s="6">
        <v>30</v>
      </c>
      <c r="G107" s="6" t="s">
        <v>4044</v>
      </c>
      <c r="I107" s="8">
        <v>88.097969444444402</v>
      </c>
      <c r="J107" s="8">
        <v>30.514582083333298</v>
      </c>
      <c r="K107" s="24" t="s">
        <v>2610</v>
      </c>
      <c r="L107" s="9">
        <v>43894</v>
      </c>
      <c r="N107" s="6">
        <v>23</v>
      </c>
      <c r="O107" s="6" t="s">
        <v>4340</v>
      </c>
      <c r="V107" s="8">
        <v>-1.6350841925621038</v>
      </c>
      <c r="W107" s="8">
        <v>-10.803032653808593</v>
      </c>
      <c r="X107" s="27">
        <f t="shared" si="1"/>
        <v>2.2776408866882374</v>
      </c>
    </row>
    <row r="108" spans="1:24" s="6" customFormat="1" x14ac:dyDescent="0.35">
      <c r="A108" s="17" t="s">
        <v>25</v>
      </c>
      <c r="B108" s="6" t="s">
        <v>3441</v>
      </c>
      <c r="D108" s="6" t="s">
        <v>3743</v>
      </c>
      <c r="E108" s="6">
        <v>3</v>
      </c>
      <c r="F108" s="6">
        <v>30</v>
      </c>
      <c r="G108" s="6" t="s">
        <v>4045</v>
      </c>
      <c r="I108" s="8">
        <v>88.093644166666706</v>
      </c>
      <c r="J108" s="8">
        <v>30.7672892361111</v>
      </c>
      <c r="K108" s="24" t="s">
        <v>2610</v>
      </c>
      <c r="L108" s="9">
        <v>43895</v>
      </c>
      <c r="N108" s="6">
        <v>23</v>
      </c>
      <c r="O108" s="6" t="s">
        <v>4341</v>
      </c>
      <c r="V108" s="8">
        <v>-1.653783593940735</v>
      </c>
      <c r="W108" s="8">
        <v>-10.922996826171875</v>
      </c>
      <c r="X108" s="27">
        <f t="shared" si="1"/>
        <v>2.307271925354005</v>
      </c>
    </row>
    <row r="109" spans="1:24" s="6" customFormat="1" x14ac:dyDescent="0.35">
      <c r="A109" s="17" t="s">
        <v>25</v>
      </c>
      <c r="B109" s="6" t="s">
        <v>3442</v>
      </c>
      <c r="D109" s="6" t="s">
        <v>3744</v>
      </c>
      <c r="E109" s="6">
        <v>3</v>
      </c>
      <c r="F109" s="6">
        <v>30</v>
      </c>
      <c r="G109" s="6" t="s">
        <v>4046</v>
      </c>
      <c r="I109" s="8">
        <v>88.097994791666693</v>
      </c>
      <c r="J109" s="8">
        <v>29.473376875</v>
      </c>
      <c r="K109" s="24" t="s">
        <v>2610</v>
      </c>
      <c r="L109" s="9">
        <v>43896</v>
      </c>
      <c r="N109" s="6">
        <v>23</v>
      </c>
      <c r="O109" s="6" t="s">
        <v>4342</v>
      </c>
      <c r="V109" s="8">
        <v>-1.5867511285781859</v>
      </c>
      <c r="W109" s="8">
        <v>-11.707494659614563</v>
      </c>
      <c r="X109" s="27">
        <f t="shared" si="1"/>
        <v>0.9865143690109246</v>
      </c>
    </row>
    <row r="110" spans="1:24" s="6" customFormat="1" x14ac:dyDescent="0.35">
      <c r="A110" s="17" t="s">
        <v>25</v>
      </c>
      <c r="B110" s="6" t="s">
        <v>3443</v>
      </c>
      <c r="D110" s="6" t="s">
        <v>3745</v>
      </c>
      <c r="E110" s="6">
        <v>3</v>
      </c>
      <c r="F110" s="6">
        <v>30</v>
      </c>
      <c r="G110" s="6" t="s">
        <v>4047</v>
      </c>
      <c r="I110" s="8">
        <v>88.066859375000007</v>
      </c>
      <c r="J110" s="8">
        <v>26.8118410416667</v>
      </c>
      <c r="K110" s="24" t="s">
        <v>2610</v>
      </c>
      <c r="L110" s="9">
        <v>43897</v>
      </c>
      <c r="N110" s="6">
        <v>23</v>
      </c>
      <c r="O110" s="6" t="s">
        <v>4325</v>
      </c>
      <c r="V110" s="8">
        <v>-1.368231725692749</v>
      </c>
      <c r="W110" s="8">
        <v>-11.762242504119873</v>
      </c>
      <c r="X110" s="27">
        <f t="shared" si="1"/>
        <v>-0.81638869857788166</v>
      </c>
    </row>
    <row r="111" spans="1:24" s="6" customFormat="1" x14ac:dyDescent="0.35">
      <c r="A111" s="17" t="s">
        <v>25</v>
      </c>
      <c r="B111" s="6" t="s">
        <v>3444</v>
      </c>
      <c r="D111" s="6" t="s">
        <v>3746</v>
      </c>
      <c r="E111" s="6">
        <v>3</v>
      </c>
      <c r="F111" s="6">
        <v>30</v>
      </c>
      <c r="G111" s="6" t="s">
        <v>4048</v>
      </c>
      <c r="I111" s="8">
        <v>88.010412083333307</v>
      </c>
      <c r="J111" s="8">
        <v>25.052633749999998</v>
      </c>
      <c r="K111" s="24" t="s">
        <v>2610</v>
      </c>
      <c r="L111" s="9">
        <v>43898</v>
      </c>
      <c r="N111" s="6">
        <v>23</v>
      </c>
      <c r="O111" s="6" t="s">
        <v>4321</v>
      </c>
      <c r="V111" s="8">
        <v>-1.617524099349976</v>
      </c>
      <c r="W111" s="8">
        <v>-11.47449105834961</v>
      </c>
      <c r="X111" s="27">
        <f t="shared" si="1"/>
        <v>1.4657017364501979</v>
      </c>
    </row>
    <row r="112" spans="1:24" s="6" customFormat="1" x14ac:dyDescent="0.35">
      <c r="A112" s="17" t="s">
        <v>25</v>
      </c>
      <c r="B112" s="6" t="s">
        <v>3445</v>
      </c>
      <c r="D112" s="6" t="s">
        <v>3747</v>
      </c>
      <c r="E112" s="6">
        <v>3</v>
      </c>
      <c r="F112" s="6">
        <v>31</v>
      </c>
      <c r="G112" s="6" t="s">
        <v>4049</v>
      </c>
      <c r="I112" s="8">
        <v>87.889566388888895</v>
      </c>
      <c r="J112" s="8">
        <v>24.107920208333301</v>
      </c>
      <c r="K112" s="24" t="s">
        <v>2610</v>
      </c>
      <c r="L112" s="9">
        <v>43899</v>
      </c>
      <c r="N112" s="6">
        <v>24</v>
      </c>
      <c r="O112" s="6" t="s">
        <v>4343</v>
      </c>
      <c r="V112" s="8">
        <v>-1.693986010551453</v>
      </c>
      <c r="W112" s="8">
        <v>-11.922124305725099</v>
      </c>
      <c r="X112" s="27">
        <f t="shared" si="1"/>
        <v>1.6297637786865256</v>
      </c>
    </row>
    <row r="113" spans="1:24" s="6" customFormat="1" x14ac:dyDescent="0.35">
      <c r="A113" s="17" t="s">
        <v>25</v>
      </c>
      <c r="B113" s="6" t="s">
        <v>3446</v>
      </c>
      <c r="D113" s="6" t="s">
        <v>3748</v>
      </c>
      <c r="E113" s="6">
        <v>3</v>
      </c>
      <c r="F113" s="6">
        <v>31</v>
      </c>
      <c r="G113" s="6" t="s">
        <v>4050</v>
      </c>
      <c r="I113" s="8">
        <v>87.743540277777797</v>
      </c>
      <c r="J113" s="8">
        <v>24.668958541666701</v>
      </c>
      <c r="K113" s="24" t="s">
        <v>2610</v>
      </c>
      <c r="L113" s="9">
        <v>43900</v>
      </c>
      <c r="N113" s="6">
        <v>24</v>
      </c>
      <c r="O113" s="6" t="s">
        <v>4344</v>
      </c>
      <c r="V113" s="8">
        <v>-1.681737732887268</v>
      </c>
      <c r="W113" s="8">
        <v>-11.722789798736573</v>
      </c>
      <c r="X113" s="27">
        <f t="shared" si="1"/>
        <v>1.7311120643615716</v>
      </c>
    </row>
    <row r="114" spans="1:24" s="6" customFormat="1" x14ac:dyDescent="0.35">
      <c r="A114" s="17" t="s">
        <v>25</v>
      </c>
      <c r="B114" s="6" t="s">
        <v>3447</v>
      </c>
      <c r="D114" s="6" t="s">
        <v>3749</v>
      </c>
      <c r="E114" s="6">
        <v>3</v>
      </c>
      <c r="F114" s="6">
        <v>31</v>
      </c>
      <c r="G114" s="6" t="s">
        <v>4051</v>
      </c>
      <c r="I114" s="8">
        <v>87.660309999999996</v>
      </c>
      <c r="J114" s="8">
        <v>24.286057569444399</v>
      </c>
      <c r="K114" s="24" t="s">
        <v>2610</v>
      </c>
      <c r="L114" s="9">
        <v>43901</v>
      </c>
      <c r="N114" s="6">
        <v>24</v>
      </c>
      <c r="O114" s="6" t="s">
        <v>4345</v>
      </c>
      <c r="V114" s="8">
        <v>-1.7545816421508789</v>
      </c>
      <c r="W114" s="8">
        <v>-12.033046737670899</v>
      </c>
      <c r="X114" s="27">
        <f t="shared" si="1"/>
        <v>2.0036063995361317</v>
      </c>
    </row>
    <row r="115" spans="1:24" s="6" customFormat="1" x14ac:dyDescent="0.35">
      <c r="A115" s="17" t="s">
        <v>25</v>
      </c>
      <c r="B115" s="6" t="s">
        <v>3448</v>
      </c>
      <c r="D115" s="6" t="s">
        <v>3750</v>
      </c>
      <c r="E115" s="6">
        <v>3</v>
      </c>
      <c r="F115" s="6">
        <v>31</v>
      </c>
      <c r="G115" s="6" t="s">
        <v>4052</v>
      </c>
      <c r="I115" s="8">
        <v>87.5249151388889</v>
      </c>
      <c r="J115" s="8">
        <v>21.472065277777801</v>
      </c>
      <c r="K115" s="24" t="s">
        <v>2610</v>
      </c>
      <c r="L115" s="9">
        <v>43902</v>
      </c>
      <c r="N115" s="6">
        <v>24</v>
      </c>
      <c r="O115" s="6" t="s">
        <v>4346</v>
      </c>
      <c r="V115" s="8">
        <v>-1.7307657718658449</v>
      </c>
      <c r="W115" s="8">
        <v>-11.883098636627198</v>
      </c>
      <c r="X115" s="27">
        <f t="shared" si="1"/>
        <v>1.9630275382995617</v>
      </c>
    </row>
    <row r="116" spans="1:24" s="6" customFormat="1" x14ac:dyDescent="0.35">
      <c r="A116" s="17" t="s">
        <v>25</v>
      </c>
      <c r="B116" s="6" t="s">
        <v>3449</v>
      </c>
      <c r="D116" s="6" t="s">
        <v>3751</v>
      </c>
      <c r="E116" s="6">
        <v>3</v>
      </c>
      <c r="F116" s="6">
        <v>31</v>
      </c>
      <c r="G116" s="6" t="s">
        <v>4053</v>
      </c>
      <c r="I116" s="8">
        <v>87.306370555555603</v>
      </c>
      <c r="J116" s="8">
        <v>18.873863402777801</v>
      </c>
      <c r="K116" s="24" t="s">
        <v>2610</v>
      </c>
      <c r="L116" s="9">
        <v>43903</v>
      </c>
      <c r="N116" s="6">
        <v>24</v>
      </c>
      <c r="O116" s="6" t="s">
        <v>4347</v>
      </c>
      <c r="V116" s="8">
        <v>-1.7165140628814699</v>
      </c>
      <c r="W116" s="8">
        <v>-12.703613353729249</v>
      </c>
      <c r="X116" s="27">
        <f t="shared" si="1"/>
        <v>1.02849914932251</v>
      </c>
    </row>
    <row r="117" spans="1:24" s="6" customFormat="1" x14ac:dyDescent="0.35">
      <c r="A117" s="17" t="s">
        <v>25</v>
      </c>
      <c r="B117" s="6" t="s">
        <v>3450</v>
      </c>
      <c r="D117" s="6" t="s">
        <v>3752</v>
      </c>
      <c r="E117" s="6">
        <v>3</v>
      </c>
      <c r="F117" s="6">
        <v>31</v>
      </c>
      <c r="G117" s="6" t="s">
        <v>4054</v>
      </c>
      <c r="I117" s="8">
        <v>87.138459583333301</v>
      </c>
      <c r="J117" s="8">
        <v>17.1934574305556</v>
      </c>
      <c r="K117" s="24" t="s">
        <v>2610</v>
      </c>
      <c r="L117" s="9">
        <v>43904</v>
      </c>
      <c r="N117" s="6">
        <v>24</v>
      </c>
      <c r="O117" s="6" t="s">
        <v>4280</v>
      </c>
      <c r="V117" s="8">
        <v>-1.684504699707031</v>
      </c>
      <c r="W117" s="8">
        <v>-12.403106266021732</v>
      </c>
      <c r="X117" s="27">
        <f t="shared" si="1"/>
        <v>1.0729313316345159</v>
      </c>
    </row>
    <row r="118" spans="1:24" s="6" customFormat="1" x14ac:dyDescent="0.35">
      <c r="A118" s="17" t="s">
        <v>25</v>
      </c>
      <c r="B118" s="6" t="s">
        <v>3451</v>
      </c>
      <c r="D118" s="6" t="s">
        <v>3753</v>
      </c>
      <c r="E118" s="6">
        <v>3</v>
      </c>
      <c r="F118" s="6">
        <v>31</v>
      </c>
      <c r="G118" s="6" t="s">
        <v>4055</v>
      </c>
      <c r="I118" s="8">
        <v>87.060415347222204</v>
      </c>
      <c r="J118" s="8">
        <v>15.215135763888901</v>
      </c>
      <c r="K118" s="24" t="s">
        <v>2610</v>
      </c>
      <c r="L118" s="9">
        <v>43905</v>
      </c>
      <c r="N118" s="6">
        <v>24</v>
      </c>
      <c r="O118" s="6" t="s">
        <v>4348</v>
      </c>
      <c r="V118" s="8">
        <v>-1.648333740234375</v>
      </c>
      <c r="W118" s="8">
        <v>-11.17626020050049</v>
      </c>
      <c r="X118" s="27">
        <f t="shared" si="1"/>
        <v>2.0104097213745096</v>
      </c>
    </row>
    <row r="119" spans="1:24" s="6" customFormat="1" x14ac:dyDescent="0.35">
      <c r="A119" s="17" t="s">
        <v>25</v>
      </c>
      <c r="B119" s="6" t="s">
        <v>3452</v>
      </c>
      <c r="D119" s="6" t="s">
        <v>3754</v>
      </c>
      <c r="E119" s="6">
        <v>3</v>
      </c>
      <c r="F119" s="6">
        <v>32</v>
      </c>
      <c r="G119" s="6" t="s">
        <v>4056</v>
      </c>
      <c r="I119" s="8">
        <v>86.899737916666695</v>
      </c>
      <c r="J119" s="8">
        <v>12.90849375</v>
      </c>
      <c r="K119" s="24" t="s">
        <v>2610</v>
      </c>
      <c r="L119" s="9">
        <v>43906</v>
      </c>
      <c r="N119" s="6">
        <v>25</v>
      </c>
      <c r="O119" s="6" t="s">
        <v>4258</v>
      </c>
      <c r="V119" s="8">
        <v>-1.709918212890625</v>
      </c>
      <c r="W119" s="8">
        <v>-11.095289646148682</v>
      </c>
      <c r="X119" s="27">
        <f t="shared" si="1"/>
        <v>2.5840560569763174</v>
      </c>
    </row>
    <row r="120" spans="1:24" s="6" customFormat="1" x14ac:dyDescent="0.35">
      <c r="A120" s="17" t="s">
        <v>25</v>
      </c>
      <c r="B120" s="6" t="s">
        <v>3453</v>
      </c>
      <c r="D120" s="6" t="s">
        <v>3755</v>
      </c>
      <c r="E120" s="6">
        <v>3</v>
      </c>
      <c r="F120" s="6">
        <v>32</v>
      </c>
      <c r="G120" s="6" t="s">
        <v>4057</v>
      </c>
      <c r="I120" s="8">
        <v>86.689110833333302</v>
      </c>
      <c r="J120" s="8">
        <v>12.1494461111111</v>
      </c>
      <c r="K120" s="24" t="s">
        <v>2610</v>
      </c>
      <c r="L120" s="9">
        <v>43908</v>
      </c>
      <c r="N120" s="6">
        <v>25</v>
      </c>
      <c r="O120" s="6" t="s">
        <v>4298</v>
      </c>
      <c r="V120" s="8">
        <v>-1.7270312130355832</v>
      </c>
      <c r="W120" s="8">
        <v>-12.036969405460358</v>
      </c>
      <c r="X120" s="27">
        <f t="shared" si="1"/>
        <v>1.7792802988243075</v>
      </c>
    </row>
    <row r="121" spans="1:24" s="6" customFormat="1" x14ac:dyDescent="0.35">
      <c r="A121" s="17" t="s">
        <v>25</v>
      </c>
      <c r="B121" s="6" t="s">
        <v>3454</v>
      </c>
      <c r="D121" s="6" t="s">
        <v>3756</v>
      </c>
      <c r="E121" s="6">
        <v>3</v>
      </c>
      <c r="F121" s="6">
        <v>32</v>
      </c>
      <c r="G121" s="6" t="s">
        <v>4058</v>
      </c>
      <c r="I121" s="8">
        <v>86.535758611111135</v>
      </c>
      <c r="J121" s="8">
        <v>13.313163263888894</v>
      </c>
      <c r="K121" s="24" t="s">
        <v>2610</v>
      </c>
      <c r="L121" s="9">
        <v>43909</v>
      </c>
      <c r="N121" s="6">
        <v>25</v>
      </c>
      <c r="O121" s="6" t="s">
        <v>4309</v>
      </c>
      <c r="V121" s="8">
        <v>-1.6582761990213395</v>
      </c>
      <c r="W121" s="8">
        <v>-10.813596173763274</v>
      </c>
      <c r="X121" s="27">
        <f t="shared" si="1"/>
        <v>2.4526134184074415</v>
      </c>
    </row>
    <row r="122" spans="1:24" s="6" customFormat="1" x14ac:dyDescent="0.35">
      <c r="A122" s="17" t="s">
        <v>25</v>
      </c>
      <c r="B122" s="6" t="s">
        <v>3455</v>
      </c>
      <c r="D122" s="6" t="s">
        <v>3757</v>
      </c>
      <c r="E122" s="6">
        <v>3</v>
      </c>
      <c r="F122" s="6">
        <v>32</v>
      </c>
      <c r="G122" s="6" t="s">
        <v>4059</v>
      </c>
      <c r="I122" s="8">
        <v>86.339075833333297</v>
      </c>
      <c r="J122" s="8">
        <v>14.7309175</v>
      </c>
      <c r="K122" s="24" t="s">
        <v>2610</v>
      </c>
      <c r="L122" s="9">
        <v>43910</v>
      </c>
      <c r="N122" s="6">
        <v>25</v>
      </c>
      <c r="O122" s="6" t="s">
        <v>4350</v>
      </c>
      <c r="V122" s="8">
        <v>-1.5622391508340838</v>
      </c>
      <c r="W122" s="8">
        <v>-10.581316461372374</v>
      </c>
      <c r="X122" s="27">
        <f t="shared" si="1"/>
        <v>1.9165967453002963</v>
      </c>
    </row>
    <row r="123" spans="1:24" s="6" customFormat="1" x14ac:dyDescent="0.35">
      <c r="A123" s="17" t="s">
        <v>25</v>
      </c>
      <c r="B123" s="6" t="s">
        <v>3456</v>
      </c>
      <c r="D123" s="6" t="s">
        <v>3758</v>
      </c>
      <c r="E123" s="6">
        <v>3</v>
      </c>
      <c r="F123" s="6">
        <v>32</v>
      </c>
      <c r="G123" s="6" t="s">
        <v>4060</v>
      </c>
      <c r="I123" s="8">
        <v>86.257643333333306</v>
      </c>
      <c r="J123" s="8">
        <v>15.261599722222201</v>
      </c>
      <c r="K123" s="24" t="s">
        <v>2610</v>
      </c>
      <c r="L123" s="9">
        <v>43911</v>
      </c>
      <c r="N123" s="6">
        <v>25</v>
      </c>
      <c r="O123" s="6" t="s">
        <v>4351</v>
      </c>
      <c r="V123" s="8">
        <v>-1.479406476020813</v>
      </c>
      <c r="W123" s="8">
        <v>-12.381242519378661</v>
      </c>
      <c r="X123" s="27">
        <f t="shared" si="1"/>
        <v>-0.54599071121215736</v>
      </c>
    </row>
    <row r="124" spans="1:24" s="6" customFormat="1" x14ac:dyDescent="0.35">
      <c r="A124" s="17" t="s">
        <v>25</v>
      </c>
      <c r="B124" s="6" t="s">
        <v>3457</v>
      </c>
      <c r="D124" s="6" t="s">
        <v>3759</v>
      </c>
      <c r="E124" s="6">
        <v>3</v>
      </c>
      <c r="F124" s="6">
        <v>32</v>
      </c>
      <c r="G124" s="6" t="s">
        <v>4061</v>
      </c>
      <c r="I124" s="8">
        <v>86.228210555555506</v>
      </c>
      <c r="J124" s="8">
        <v>15.7194244444444</v>
      </c>
      <c r="K124" s="24" t="s">
        <v>2610</v>
      </c>
      <c r="L124" s="9">
        <v>43912</v>
      </c>
      <c r="N124" s="6">
        <v>25</v>
      </c>
      <c r="O124" s="6" t="s">
        <v>4315</v>
      </c>
      <c r="V124" s="8">
        <v>-1.499942421913147</v>
      </c>
      <c r="W124" s="8">
        <v>-8.5403786487579332</v>
      </c>
      <c r="X124" s="27">
        <f t="shared" si="1"/>
        <v>3.4591607265472426</v>
      </c>
    </row>
    <row r="125" spans="1:24" s="6" customFormat="1" x14ac:dyDescent="0.35">
      <c r="A125" s="17" t="s">
        <v>25</v>
      </c>
      <c r="B125" s="6" t="s">
        <v>3458</v>
      </c>
      <c r="D125" s="6" t="s">
        <v>3760</v>
      </c>
      <c r="E125" s="6">
        <v>3</v>
      </c>
      <c r="F125" s="6">
        <v>33</v>
      </c>
      <c r="G125" s="6" t="s">
        <v>4062</v>
      </c>
      <c r="I125" s="8">
        <v>86.211634027777805</v>
      </c>
      <c r="J125" s="8">
        <v>15.8018358333333</v>
      </c>
      <c r="K125" s="24" t="s">
        <v>2610</v>
      </c>
      <c r="L125" s="9">
        <v>43913</v>
      </c>
      <c r="N125" s="6">
        <v>26</v>
      </c>
      <c r="O125" s="6" t="s">
        <v>4280</v>
      </c>
      <c r="V125" s="8">
        <v>-1.4364020824432371</v>
      </c>
      <c r="W125" s="8">
        <v>-8.0991782503128054</v>
      </c>
      <c r="X125" s="27">
        <f t="shared" si="1"/>
        <v>3.3920384092330913</v>
      </c>
    </row>
    <row r="126" spans="1:24" s="6" customFormat="1" x14ac:dyDescent="0.35">
      <c r="A126" s="17" t="s">
        <v>25</v>
      </c>
      <c r="B126" s="6" t="s">
        <v>3459</v>
      </c>
      <c r="D126" s="6" t="s">
        <v>3761</v>
      </c>
      <c r="E126" s="6">
        <v>3</v>
      </c>
      <c r="F126" s="6">
        <v>33</v>
      </c>
      <c r="G126" s="6" t="s">
        <v>4063</v>
      </c>
      <c r="I126" s="8">
        <v>86.189197986111097</v>
      </c>
      <c r="J126" s="8">
        <v>15.473053055555599</v>
      </c>
      <c r="K126" s="24" t="s">
        <v>2610</v>
      </c>
      <c r="L126" s="9">
        <v>43914</v>
      </c>
      <c r="N126" s="6">
        <v>26</v>
      </c>
      <c r="O126" s="6" t="s">
        <v>4352</v>
      </c>
      <c r="V126" s="8">
        <v>-1.4889596700668339</v>
      </c>
      <c r="W126" s="8">
        <v>-8.3710922193527217</v>
      </c>
      <c r="X126" s="27">
        <f t="shared" si="1"/>
        <v>3.5405851411819498</v>
      </c>
    </row>
    <row r="127" spans="1:24" s="6" customFormat="1" x14ac:dyDescent="0.35">
      <c r="A127" s="17" t="s">
        <v>25</v>
      </c>
      <c r="B127" s="6" t="s">
        <v>3460</v>
      </c>
      <c r="D127" s="6" t="s">
        <v>3762</v>
      </c>
      <c r="E127" s="6">
        <v>3</v>
      </c>
      <c r="F127" s="6">
        <v>33</v>
      </c>
      <c r="G127" s="6" t="s">
        <v>4064</v>
      </c>
      <c r="I127" s="8">
        <v>86.113709</v>
      </c>
      <c r="J127" s="8">
        <v>13.978304</v>
      </c>
      <c r="K127" s="24" t="s">
        <v>2610</v>
      </c>
      <c r="L127" s="9">
        <v>43915</v>
      </c>
      <c r="N127" s="6">
        <v>26</v>
      </c>
      <c r="O127" s="6" t="s">
        <v>4304</v>
      </c>
      <c r="V127" s="8">
        <v>-1.497627973556519</v>
      </c>
      <c r="W127" s="8">
        <v>-8.5770782766342162</v>
      </c>
      <c r="X127" s="27">
        <f t="shared" si="1"/>
        <v>3.4039455118179358</v>
      </c>
    </row>
    <row r="128" spans="1:24" s="6" customFormat="1" x14ac:dyDescent="0.35">
      <c r="A128" s="17" t="s">
        <v>25</v>
      </c>
      <c r="B128" s="6" t="s">
        <v>3461</v>
      </c>
      <c r="D128" s="6" t="s">
        <v>3763</v>
      </c>
      <c r="E128" s="6">
        <v>3</v>
      </c>
      <c r="F128" s="6">
        <v>33</v>
      </c>
      <c r="G128" s="6" t="s">
        <v>4065</v>
      </c>
      <c r="I128" s="8">
        <v>85.996673472222199</v>
      </c>
      <c r="J128" s="8">
        <v>13.1391688888889</v>
      </c>
      <c r="K128" s="24" t="s">
        <v>2610</v>
      </c>
      <c r="L128" s="9">
        <v>43916</v>
      </c>
      <c r="N128" s="6">
        <v>26</v>
      </c>
      <c r="O128" s="6" t="s">
        <v>4305</v>
      </c>
      <c r="V128" s="8">
        <v>-1.446398258209229</v>
      </c>
      <c r="W128" s="8">
        <v>-10.145324611663817</v>
      </c>
      <c r="X128" s="27">
        <f t="shared" si="1"/>
        <v>1.4258614540100147</v>
      </c>
    </row>
    <row r="129" spans="1:24" s="6" customFormat="1" x14ac:dyDescent="0.35">
      <c r="A129" s="17" t="s">
        <v>25</v>
      </c>
      <c r="B129" s="6" t="s">
        <v>3462</v>
      </c>
      <c r="D129" s="6" t="s">
        <v>3764</v>
      </c>
      <c r="E129" s="6">
        <v>3</v>
      </c>
      <c r="F129" s="6">
        <v>33</v>
      </c>
      <c r="G129" s="6" t="s">
        <v>4066</v>
      </c>
      <c r="I129" s="8">
        <v>85.824596597222211</v>
      </c>
      <c r="J129" s="8">
        <v>13.34629986111111</v>
      </c>
      <c r="K129" s="24" t="s">
        <v>2610</v>
      </c>
      <c r="L129" s="9">
        <v>43917</v>
      </c>
      <c r="N129" s="6">
        <v>26</v>
      </c>
      <c r="O129" s="6" t="s">
        <v>4353</v>
      </c>
      <c r="V129" s="8">
        <v>-1.427850127220154</v>
      </c>
      <c r="W129" s="8">
        <v>-8.0523917169570911</v>
      </c>
      <c r="X129" s="27">
        <f t="shared" si="1"/>
        <v>3.3704093008041411</v>
      </c>
    </row>
    <row r="130" spans="1:24" s="6" customFormat="1" x14ac:dyDescent="0.35">
      <c r="A130" s="17" t="s">
        <v>25</v>
      </c>
      <c r="B130" s="6" t="s">
        <v>3463</v>
      </c>
      <c r="D130" s="6" t="s">
        <v>3765</v>
      </c>
      <c r="E130" s="6">
        <v>3</v>
      </c>
      <c r="F130" s="6">
        <v>33</v>
      </c>
      <c r="G130" s="6" t="s">
        <v>4067</v>
      </c>
      <c r="I130" s="8">
        <v>85.594914166666697</v>
      </c>
      <c r="J130" s="8">
        <v>13.3017425694444</v>
      </c>
      <c r="K130" s="24" t="s">
        <v>2610</v>
      </c>
      <c r="L130" s="9">
        <v>43918</v>
      </c>
      <c r="N130" s="6">
        <v>26</v>
      </c>
      <c r="O130" s="6" t="s">
        <v>4257</v>
      </c>
      <c r="V130" s="8">
        <v>-1.3013761189699178</v>
      </c>
      <c r="W130" s="8">
        <v>-9.7699631408691392</v>
      </c>
      <c r="X130" s="27">
        <f t="shared" ref="X130:X193" si="2">W130-(8*V130)</f>
        <v>0.64104581089020307</v>
      </c>
    </row>
    <row r="131" spans="1:24" s="6" customFormat="1" x14ac:dyDescent="0.35">
      <c r="A131" s="17" t="s">
        <v>25</v>
      </c>
      <c r="B131" s="6" t="s">
        <v>3464</v>
      </c>
      <c r="D131" s="6" t="s">
        <v>3766</v>
      </c>
      <c r="E131" s="6">
        <v>3</v>
      </c>
      <c r="F131" s="6">
        <v>33</v>
      </c>
      <c r="G131" s="6" t="s">
        <v>4068</v>
      </c>
      <c r="I131" s="8">
        <v>85.430369444444466</v>
      </c>
      <c r="J131" s="8">
        <v>13.204287986111114</v>
      </c>
      <c r="K131" s="24" t="s">
        <v>2610</v>
      </c>
      <c r="L131" s="9">
        <v>43919</v>
      </c>
      <c r="N131" s="6">
        <v>27</v>
      </c>
      <c r="O131" s="6" t="s">
        <v>4286</v>
      </c>
      <c r="V131" s="8">
        <v>-1.2303299532651897</v>
      </c>
      <c r="W131" s="8">
        <v>-8.5226085876464843</v>
      </c>
      <c r="X131" s="27">
        <f t="shared" si="2"/>
        <v>1.3200310384750331</v>
      </c>
    </row>
    <row r="132" spans="1:24" s="6" customFormat="1" x14ac:dyDescent="0.35">
      <c r="A132" s="17" t="s">
        <v>25</v>
      </c>
      <c r="B132" s="6" t="s">
        <v>3465</v>
      </c>
      <c r="D132" s="6" t="s">
        <v>3767</v>
      </c>
      <c r="E132" s="6">
        <v>3</v>
      </c>
      <c r="F132" s="6">
        <v>34</v>
      </c>
      <c r="G132" s="6" t="s">
        <v>4069</v>
      </c>
      <c r="I132" s="8">
        <v>85.373386875000008</v>
      </c>
      <c r="J132" s="8">
        <v>13.246353541666668</v>
      </c>
      <c r="K132" s="24" t="s">
        <v>2610</v>
      </c>
      <c r="L132" s="9">
        <v>43920</v>
      </c>
      <c r="N132" s="6">
        <v>27</v>
      </c>
      <c r="O132" s="6" t="s">
        <v>4354</v>
      </c>
      <c r="V132" s="8">
        <v>-1.1563621715664867</v>
      </c>
      <c r="W132" s="8">
        <v>-7.915347353649139</v>
      </c>
      <c r="X132" s="27">
        <f t="shared" si="2"/>
        <v>1.3355500188827545</v>
      </c>
    </row>
    <row r="133" spans="1:24" s="6" customFormat="1" x14ac:dyDescent="0.35">
      <c r="A133" s="17" t="s">
        <v>25</v>
      </c>
      <c r="B133" s="6" t="s">
        <v>3466</v>
      </c>
      <c r="D133" s="6" t="s">
        <v>3768</v>
      </c>
      <c r="E133" s="6">
        <v>3</v>
      </c>
      <c r="F133" s="6">
        <v>34</v>
      </c>
      <c r="G133" s="6" t="s">
        <v>4070</v>
      </c>
      <c r="I133" s="8">
        <v>85.291250347222203</v>
      </c>
      <c r="J133" s="8">
        <v>14.095097916666701</v>
      </c>
      <c r="K133" s="24" t="s">
        <v>2610</v>
      </c>
      <c r="L133" s="9">
        <v>43921</v>
      </c>
      <c r="N133" s="6">
        <v>27</v>
      </c>
      <c r="O133" s="6" t="s">
        <v>4293</v>
      </c>
      <c r="V133" s="8">
        <v>-1.1443865176677703</v>
      </c>
      <c r="W133" s="8">
        <v>-8.5157009998321538</v>
      </c>
      <c r="X133" s="27">
        <f t="shared" si="2"/>
        <v>0.63939114151000886</v>
      </c>
    </row>
    <row r="134" spans="1:24" s="6" customFormat="1" x14ac:dyDescent="0.35">
      <c r="A134" s="17" t="s">
        <v>25</v>
      </c>
      <c r="B134" s="6" t="s">
        <v>3467</v>
      </c>
      <c r="D134" s="6" t="s">
        <v>3769</v>
      </c>
      <c r="E134" s="6">
        <v>3</v>
      </c>
      <c r="F134" s="6">
        <v>34</v>
      </c>
      <c r="G134" s="6" t="s">
        <v>4071</v>
      </c>
      <c r="I134" s="8">
        <v>85.115593333333365</v>
      </c>
      <c r="J134" s="8">
        <v>15.404498611111112</v>
      </c>
      <c r="K134" s="24" t="s">
        <v>2610</v>
      </c>
      <c r="L134" s="9">
        <v>43922</v>
      </c>
      <c r="N134" s="6">
        <v>27</v>
      </c>
      <c r="O134" s="6" t="s">
        <v>4355</v>
      </c>
      <c r="V134" s="8">
        <v>-1.0306691938877106</v>
      </c>
      <c r="W134" s="8">
        <v>-7.903527817344667</v>
      </c>
      <c r="X134" s="27">
        <f t="shared" si="2"/>
        <v>0.34182573375701786</v>
      </c>
    </row>
    <row r="135" spans="1:24" s="6" customFormat="1" x14ac:dyDescent="0.35">
      <c r="A135" s="17" t="s">
        <v>25</v>
      </c>
      <c r="B135" s="6" t="s">
        <v>3468</v>
      </c>
      <c r="D135" s="6" t="s">
        <v>3770</v>
      </c>
      <c r="E135" s="6">
        <v>3</v>
      </c>
      <c r="F135" s="6">
        <v>34</v>
      </c>
      <c r="G135" s="6" t="s">
        <v>4072</v>
      </c>
      <c r="I135" s="8">
        <v>84.971907999999999</v>
      </c>
      <c r="J135" s="8">
        <v>15.12961</v>
      </c>
      <c r="K135" s="24" t="s">
        <v>2610</v>
      </c>
      <c r="L135" s="9">
        <v>43923</v>
      </c>
      <c r="N135" s="6">
        <v>27</v>
      </c>
      <c r="O135" s="6" t="s">
        <v>4356</v>
      </c>
      <c r="V135" s="8">
        <v>-0.97284838070869395</v>
      </c>
      <c r="W135" s="8">
        <v>-6.3506662345886244</v>
      </c>
      <c r="X135" s="27">
        <f t="shared" si="2"/>
        <v>1.4321208110809271</v>
      </c>
    </row>
    <row r="136" spans="1:24" s="6" customFormat="1" x14ac:dyDescent="0.35">
      <c r="A136" s="17" t="s">
        <v>25</v>
      </c>
      <c r="B136" s="6" t="s">
        <v>3469</v>
      </c>
      <c r="D136" s="6" t="s">
        <v>3771</v>
      </c>
      <c r="E136" s="6">
        <v>3</v>
      </c>
      <c r="F136" s="6">
        <v>34</v>
      </c>
      <c r="G136" s="6" t="s">
        <v>4073</v>
      </c>
      <c r="I136" s="8">
        <v>84.790019444444454</v>
      </c>
      <c r="J136" s="8">
        <v>13.519051111111102</v>
      </c>
      <c r="K136" s="24" t="s">
        <v>2610</v>
      </c>
      <c r="L136" s="9">
        <v>43924</v>
      </c>
      <c r="N136" s="6">
        <v>27</v>
      </c>
      <c r="O136" s="6" t="s">
        <v>4357</v>
      </c>
      <c r="V136" s="8">
        <v>-0.87159859063625289</v>
      </c>
      <c r="W136" s="8">
        <v>-5.3770547872543348</v>
      </c>
      <c r="X136" s="27">
        <f t="shared" si="2"/>
        <v>1.5957339378356883</v>
      </c>
    </row>
    <row r="137" spans="1:24" s="6" customFormat="1" x14ac:dyDescent="0.35">
      <c r="A137" s="17" t="s">
        <v>25</v>
      </c>
      <c r="B137" s="6" t="s">
        <v>3470</v>
      </c>
      <c r="D137" s="6" t="s">
        <v>3772</v>
      </c>
      <c r="E137" s="6">
        <v>3</v>
      </c>
      <c r="F137" s="6">
        <v>34</v>
      </c>
      <c r="G137" s="6" t="s">
        <v>4074</v>
      </c>
      <c r="I137" s="8">
        <v>84.661417569444396</v>
      </c>
      <c r="J137" s="8">
        <v>12.9560586111111</v>
      </c>
      <c r="K137" s="24" t="s">
        <v>2610</v>
      </c>
      <c r="L137" s="9">
        <v>43925</v>
      </c>
      <c r="N137" s="6">
        <v>27</v>
      </c>
      <c r="O137" s="6" t="s">
        <v>4273</v>
      </c>
      <c r="V137" s="8">
        <v>-0.73138167335987092</v>
      </c>
      <c r="W137" s="8">
        <v>-5.1956370578765876</v>
      </c>
      <c r="X137" s="27">
        <f t="shared" si="2"/>
        <v>0.65541632900237978</v>
      </c>
    </row>
    <row r="138" spans="1:24" s="6" customFormat="1" x14ac:dyDescent="0.35">
      <c r="A138" s="17" t="s">
        <v>25</v>
      </c>
      <c r="B138" s="6" t="s">
        <v>3471</v>
      </c>
      <c r="D138" s="6" t="s">
        <v>3773</v>
      </c>
      <c r="E138" s="6">
        <v>3</v>
      </c>
      <c r="F138" s="6">
        <v>34</v>
      </c>
      <c r="G138" s="6" t="s">
        <v>4075</v>
      </c>
      <c r="I138" s="8">
        <v>84.579098611111107</v>
      </c>
      <c r="J138" s="8">
        <v>13.4521381944444</v>
      </c>
      <c r="K138" s="24" t="s">
        <v>2610</v>
      </c>
      <c r="L138" s="9">
        <v>43926</v>
      </c>
      <c r="N138" s="6">
        <v>27</v>
      </c>
      <c r="O138" s="6" t="s">
        <v>4358</v>
      </c>
      <c r="V138" s="8">
        <v>-0.68560304059982269</v>
      </c>
      <c r="W138" s="8">
        <v>-5.0838491722106935</v>
      </c>
      <c r="X138" s="27">
        <f t="shared" si="2"/>
        <v>0.40097515258788796</v>
      </c>
    </row>
    <row r="139" spans="1:24" s="6" customFormat="1" x14ac:dyDescent="0.35">
      <c r="A139" s="17" t="s">
        <v>25</v>
      </c>
      <c r="B139" s="6" t="s">
        <v>3472</v>
      </c>
      <c r="D139" s="6" t="s">
        <v>3774</v>
      </c>
      <c r="E139" s="6">
        <v>3</v>
      </c>
      <c r="F139" s="6">
        <v>35</v>
      </c>
      <c r="G139" s="6" t="s">
        <v>4076</v>
      </c>
      <c r="I139" s="8">
        <v>84.533711805555598</v>
      </c>
      <c r="J139" s="8">
        <v>14.277858402777801</v>
      </c>
      <c r="K139" s="24" t="s">
        <v>2610</v>
      </c>
      <c r="L139" s="9">
        <v>43927</v>
      </c>
      <c r="N139" s="6">
        <v>28</v>
      </c>
      <c r="O139" s="6" t="s">
        <v>4359</v>
      </c>
      <c r="V139" s="8">
        <v>-0.65347429468631746</v>
      </c>
      <c r="W139" s="8">
        <v>-4.3559687276840213</v>
      </c>
      <c r="X139" s="27">
        <f t="shared" si="2"/>
        <v>0.87182562980651834</v>
      </c>
    </row>
    <row r="140" spans="1:24" s="6" customFormat="1" x14ac:dyDescent="0.35">
      <c r="A140" s="17" t="s">
        <v>25</v>
      </c>
      <c r="B140" s="6" t="s">
        <v>3473</v>
      </c>
      <c r="D140" s="6" t="s">
        <v>3775</v>
      </c>
      <c r="E140" s="6">
        <v>3</v>
      </c>
      <c r="F140" s="6">
        <v>35</v>
      </c>
      <c r="G140" s="6" t="s">
        <v>4077</v>
      </c>
      <c r="I140" s="8">
        <v>84.499290694444397</v>
      </c>
      <c r="J140" s="8">
        <v>14.534291805555601</v>
      </c>
      <c r="K140" s="24" t="s">
        <v>2610</v>
      </c>
      <c r="L140" s="9">
        <v>43928</v>
      </c>
      <c r="N140" s="6">
        <v>28</v>
      </c>
      <c r="O140" s="6" t="s">
        <v>4360</v>
      </c>
      <c r="V140" s="8">
        <v>-0.71293345263004304</v>
      </c>
      <c r="W140" s="8">
        <v>-3.5407950721740726</v>
      </c>
      <c r="X140" s="27">
        <f t="shared" si="2"/>
        <v>2.1626725488662717</v>
      </c>
    </row>
    <row r="141" spans="1:24" s="6" customFormat="1" x14ac:dyDescent="0.35">
      <c r="A141" s="17" t="s">
        <v>25</v>
      </c>
      <c r="B141" s="6" t="s">
        <v>3474</v>
      </c>
      <c r="D141" s="6" t="s">
        <v>3776</v>
      </c>
      <c r="E141" s="6">
        <v>3</v>
      </c>
      <c r="F141" s="6">
        <v>35</v>
      </c>
      <c r="G141" s="6" t="s">
        <v>4078</v>
      </c>
      <c r="I141" s="8">
        <v>84.483007000000001</v>
      </c>
      <c r="J141" s="8">
        <v>14.628226</v>
      </c>
      <c r="K141" s="24" t="s">
        <v>2610</v>
      </c>
      <c r="L141" s="9">
        <v>43929</v>
      </c>
      <c r="N141" s="6">
        <v>28</v>
      </c>
      <c r="O141" s="6" t="s">
        <v>4357</v>
      </c>
      <c r="V141" s="8">
        <v>-0.61429413249492681</v>
      </c>
      <c r="W141" s="8">
        <v>-3.6751893268585207</v>
      </c>
      <c r="X141" s="27">
        <f t="shared" si="2"/>
        <v>1.2391637331008938</v>
      </c>
    </row>
    <row r="142" spans="1:24" s="6" customFormat="1" x14ac:dyDescent="0.35">
      <c r="A142" s="17" t="s">
        <v>25</v>
      </c>
      <c r="B142" s="6" t="s">
        <v>3475</v>
      </c>
      <c r="D142" s="6" t="s">
        <v>3777</v>
      </c>
      <c r="E142" s="6">
        <v>3</v>
      </c>
      <c r="F142" s="6">
        <v>35</v>
      </c>
      <c r="G142" s="6" t="s">
        <v>4079</v>
      </c>
      <c r="I142" s="8">
        <v>84.430049027777883</v>
      </c>
      <c r="J142" s="8">
        <v>14.79344354166666</v>
      </c>
      <c r="K142" s="24" t="s">
        <v>2610</v>
      </c>
      <c r="L142" s="9">
        <v>43930</v>
      </c>
      <c r="N142" s="6">
        <v>28</v>
      </c>
      <c r="O142" s="6" t="s">
        <v>4259</v>
      </c>
      <c r="V142" s="8">
        <v>-0.64125933315753947</v>
      </c>
      <c r="W142" s="8">
        <v>-4.7599114776611327</v>
      </c>
      <c r="X142" s="27">
        <f t="shared" si="2"/>
        <v>0.3701631875991831</v>
      </c>
    </row>
    <row r="143" spans="1:24" s="6" customFormat="1" x14ac:dyDescent="0.35">
      <c r="A143" s="17" t="s">
        <v>25</v>
      </c>
      <c r="B143" s="6" t="s">
        <v>3476</v>
      </c>
      <c r="D143" s="6" t="s">
        <v>3778</v>
      </c>
      <c r="E143" s="6">
        <v>3</v>
      </c>
      <c r="F143" s="6">
        <v>35</v>
      </c>
      <c r="G143" s="6" t="s">
        <v>4080</v>
      </c>
      <c r="I143" s="8">
        <v>84.378877986111107</v>
      </c>
      <c r="J143" s="8">
        <v>14.649121388888901</v>
      </c>
      <c r="K143" s="24" t="s">
        <v>2610</v>
      </c>
      <c r="L143" s="9">
        <v>43931</v>
      </c>
      <c r="N143" s="6">
        <v>28</v>
      </c>
      <c r="O143" s="6" t="s">
        <v>4361</v>
      </c>
      <c r="V143" s="8">
        <v>-0.66851410138010969</v>
      </c>
      <c r="W143" s="8">
        <v>-3.2313579611063008</v>
      </c>
      <c r="X143" s="27">
        <f t="shared" si="2"/>
        <v>2.1167548499345767</v>
      </c>
    </row>
    <row r="144" spans="1:24" s="6" customFormat="1" x14ac:dyDescent="0.35">
      <c r="A144" s="17" t="s">
        <v>25</v>
      </c>
      <c r="B144" s="6" t="s">
        <v>3477</v>
      </c>
      <c r="D144" s="6" t="s">
        <v>3779</v>
      </c>
      <c r="E144" s="6">
        <v>3</v>
      </c>
      <c r="F144" s="6">
        <v>35</v>
      </c>
      <c r="G144" s="6" t="s">
        <v>4081</v>
      </c>
      <c r="I144" s="8">
        <v>84.322834374999999</v>
      </c>
      <c r="J144" s="8">
        <v>14.725811041666701</v>
      </c>
      <c r="K144" s="24" t="s">
        <v>2610</v>
      </c>
      <c r="L144" s="9">
        <v>43932</v>
      </c>
      <c r="N144" s="6">
        <v>28</v>
      </c>
      <c r="O144" s="6" t="s">
        <v>4362</v>
      </c>
      <c r="V144" s="8">
        <v>-0.63666107675790828</v>
      </c>
      <c r="W144" s="8">
        <v>-3.396346043515206</v>
      </c>
      <c r="X144" s="27">
        <f t="shared" si="2"/>
        <v>1.6969425705480603</v>
      </c>
    </row>
    <row r="145" spans="1:24" s="6" customFormat="1" x14ac:dyDescent="0.35">
      <c r="A145" s="17" t="s">
        <v>25</v>
      </c>
      <c r="B145" s="6" t="s">
        <v>3478</v>
      </c>
      <c r="D145" s="6" t="s">
        <v>3780</v>
      </c>
      <c r="E145" s="6">
        <v>3</v>
      </c>
      <c r="F145" s="6">
        <v>35</v>
      </c>
      <c r="G145" s="6" t="s">
        <v>4082</v>
      </c>
      <c r="I145" s="8">
        <v>84.291592500000036</v>
      </c>
      <c r="J145" s="8">
        <v>14.755413194444442</v>
      </c>
      <c r="K145" s="24" t="s">
        <v>2610</v>
      </c>
      <c r="L145" s="9">
        <v>43933</v>
      </c>
      <c r="N145" s="6">
        <v>28</v>
      </c>
      <c r="O145" s="6" t="s">
        <v>4295</v>
      </c>
      <c r="V145" s="8">
        <v>-0.59632656508088111</v>
      </c>
      <c r="W145" s="8">
        <v>-2.8676585183620462</v>
      </c>
      <c r="X145" s="27">
        <f t="shared" si="2"/>
        <v>1.9029540022850027</v>
      </c>
    </row>
    <row r="146" spans="1:24" s="6" customFormat="1" x14ac:dyDescent="0.35">
      <c r="A146" s="17" t="s">
        <v>25</v>
      </c>
      <c r="B146" s="6" t="s">
        <v>3479</v>
      </c>
      <c r="D146" s="6" t="s">
        <v>3781</v>
      </c>
      <c r="E146" s="6">
        <v>3</v>
      </c>
      <c r="F146" s="6">
        <v>36</v>
      </c>
      <c r="G146" s="6" t="s">
        <v>4083</v>
      </c>
      <c r="I146" s="8">
        <v>84.295218194444402</v>
      </c>
      <c r="J146" s="8">
        <v>14.935208263888899</v>
      </c>
      <c r="K146" s="24" t="s">
        <v>2610</v>
      </c>
      <c r="L146" s="9">
        <v>43934</v>
      </c>
      <c r="N146" s="6">
        <v>29</v>
      </c>
      <c r="O146" s="6" t="s">
        <v>4354</v>
      </c>
      <c r="V146" s="8">
        <v>-0.55481402729988127</v>
      </c>
      <c r="W146" s="8">
        <v>-4.3852443343162539</v>
      </c>
      <c r="X146" s="27">
        <f t="shared" si="2"/>
        <v>5.3267884082796257E-2</v>
      </c>
    </row>
    <row r="147" spans="1:24" s="6" customFormat="1" x14ac:dyDescent="0.35">
      <c r="A147" s="17" t="s">
        <v>25</v>
      </c>
      <c r="B147" s="6" t="s">
        <v>3480</v>
      </c>
      <c r="D147" s="6" t="s">
        <v>3782</v>
      </c>
      <c r="E147" s="6">
        <v>3</v>
      </c>
      <c r="F147" s="6">
        <v>36</v>
      </c>
      <c r="G147" s="6" t="s">
        <v>4084</v>
      </c>
      <c r="I147" s="8">
        <v>84.331482986111098</v>
      </c>
      <c r="J147" s="8">
        <v>14.642671805555601</v>
      </c>
      <c r="K147" s="24" t="s">
        <v>2610</v>
      </c>
      <c r="L147" s="9">
        <v>43935</v>
      </c>
      <c r="N147" s="6">
        <v>29</v>
      </c>
      <c r="O147" s="6" t="s">
        <v>4332</v>
      </c>
      <c r="V147" s="8">
        <v>-0.70833216964244827</v>
      </c>
      <c r="W147" s="8">
        <v>-4.0983821238040923</v>
      </c>
      <c r="X147" s="27">
        <f t="shared" si="2"/>
        <v>1.5682752333354939</v>
      </c>
    </row>
    <row r="148" spans="1:24" s="6" customFormat="1" x14ac:dyDescent="0.35">
      <c r="A148" s="17" t="s">
        <v>25</v>
      </c>
      <c r="B148" s="6" t="s">
        <v>3481</v>
      </c>
      <c r="D148" s="6" t="s">
        <v>3783</v>
      </c>
      <c r="E148" s="6">
        <v>3</v>
      </c>
      <c r="F148" s="6">
        <v>36</v>
      </c>
      <c r="G148" s="6" t="s">
        <v>4085</v>
      </c>
      <c r="I148" s="8">
        <v>84.322932986111098</v>
      </c>
      <c r="J148" s="8">
        <v>13.874112986111101</v>
      </c>
      <c r="K148" s="24" t="s">
        <v>2610</v>
      </c>
      <c r="L148" s="9">
        <v>43936</v>
      </c>
      <c r="N148" s="6">
        <v>29</v>
      </c>
      <c r="O148" s="6" t="s">
        <v>4363</v>
      </c>
      <c r="V148" s="8">
        <v>-0.63730695216894195</v>
      </c>
      <c r="W148" s="8">
        <v>-4.3016797576904304</v>
      </c>
      <c r="X148" s="27">
        <f t="shared" si="2"/>
        <v>0.7967758596611052</v>
      </c>
    </row>
    <row r="149" spans="1:24" s="6" customFormat="1" x14ac:dyDescent="0.35">
      <c r="A149" s="17" t="s">
        <v>25</v>
      </c>
      <c r="B149" s="6" t="s">
        <v>3482</v>
      </c>
      <c r="D149" s="6" t="s">
        <v>3784</v>
      </c>
      <c r="E149" s="6">
        <v>3</v>
      </c>
      <c r="F149" s="6">
        <v>36</v>
      </c>
      <c r="G149" s="6" t="s">
        <v>4086</v>
      </c>
      <c r="I149" s="8">
        <v>84.314318</v>
      </c>
      <c r="J149" s="8">
        <v>13.144333</v>
      </c>
      <c r="K149" s="24" t="s">
        <v>2610</v>
      </c>
      <c r="L149" s="9">
        <v>43937</v>
      </c>
      <c r="N149" s="6">
        <v>29</v>
      </c>
      <c r="O149" s="6" t="s">
        <v>4364</v>
      </c>
      <c r="V149" s="8">
        <v>-0.606952526619434</v>
      </c>
      <c r="W149" s="8">
        <v>-4.3268149944305421</v>
      </c>
      <c r="X149" s="27">
        <f t="shared" si="2"/>
        <v>0.5288052185249299</v>
      </c>
    </row>
    <row r="150" spans="1:24" s="6" customFormat="1" x14ac:dyDescent="0.35">
      <c r="A150" s="17" t="s">
        <v>25</v>
      </c>
      <c r="B150" s="6" t="s">
        <v>3483</v>
      </c>
      <c r="D150" s="6" t="s">
        <v>3785</v>
      </c>
      <c r="E150" s="6">
        <v>3</v>
      </c>
      <c r="F150" s="6">
        <v>36</v>
      </c>
      <c r="G150" s="6" t="s">
        <v>4087</v>
      </c>
      <c r="I150" s="8">
        <v>84.418664791666671</v>
      </c>
      <c r="J150" s="8">
        <v>13.665979999999996</v>
      </c>
      <c r="K150" s="24" t="s">
        <v>2610</v>
      </c>
      <c r="L150" s="9">
        <v>43938</v>
      </c>
      <c r="N150" s="6">
        <v>29</v>
      </c>
      <c r="O150" s="6" t="s">
        <v>4365</v>
      </c>
      <c r="V150" s="8">
        <v>-0.72990896879196177</v>
      </c>
      <c r="W150" s="8">
        <v>-4.2042286677360527</v>
      </c>
      <c r="X150" s="27">
        <f t="shared" si="2"/>
        <v>1.6350430825996414</v>
      </c>
    </row>
    <row r="151" spans="1:24" s="6" customFormat="1" x14ac:dyDescent="0.35">
      <c r="A151" s="17" t="s">
        <v>25</v>
      </c>
      <c r="B151" s="6" t="s">
        <v>3484</v>
      </c>
      <c r="D151" s="6" t="s">
        <v>3786</v>
      </c>
      <c r="E151" s="6">
        <v>3</v>
      </c>
      <c r="F151" s="6">
        <v>36</v>
      </c>
      <c r="G151" s="6" t="s">
        <v>4088</v>
      </c>
      <c r="I151" s="8">
        <v>84.477672222222196</v>
      </c>
      <c r="J151" s="8">
        <v>13.933800277777801</v>
      </c>
      <c r="K151" s="24" t="s">
        <v>2610</v>
      </c>
      <c r="L151" s="9">
        <v>43939</v>
      </c>
      <c r="N151" s="6">
        <v>29</v>
      </c>
      <c r="O151" s="6" t="s">
        <v>4366</v>
      </c>
      <c r="V151" s="8">
        <v>-0.7014732745742801</v>
      </c>
      <c r="W151" s="8">
        <v>-4.2871714030265817</v>
      </c>
      <c r="X151" s="27">
        <f t="shared" si="2"/>
        <v>1.3246147935676591</v>
      </c>
    </row>
    <row r="152" spans="1:24" s="6" customFormat="1" x14ac:dyDescent="0.35">
      <c r="A152" s="17" t="s">
        <v>25</v>
      </c>
      <c r="B152" s="6" t="s">
        <v>3485</v>
      </c>
      <c r="D152" s="6" t="s">
        <v>3787</v>
      </c>
      <c r="E152" s="6">
        <v>3</v>
      </c>
      <c r="F152" s="6">
        <v>36</v>
      </c>
      <c r="G152" s="6" t="s">
        <v>4089</v>
      </c>
      <c r="I152" s="8">
        <v>84.583566041666671</v>
      </c>
      <c r="J152" s="8">
        <v>14.652326458333338</v>
      </c>
      <c r="K152" s="24" t="s">
        <v>2610</v>
      </c>
      <c r="L152" s="9">
        <v>43940</v>
      </c>
      <c r="N152" s="6">
        <v>30</v>
      </c>
      <c r="O152" s="6" t="s">
        <v>4367</v>
      </c>
      <c r="V152" s="8">
        <v>-0.76033900772094687</v>
      </c>
      <c r="W152" s="8">
        <v>-5.4958693276405342</v>
      </c>
      <c r="X152" s="27">
        <f t="shared" si="2"/>
        <v>0.5868427341270408</v>
      </c>
    </row>
    <row r="153" spans="1:24" s="6" customFormat="1" x14ac:dyDescent="0.35">
      <c r="A153" s="17" t="s">
        <v>25</v>
      </c>
      <c r="B153" s="6" t="s">
        <v>3486</v>
      </c>
      <c r="D153" s="6" t="s">
        <v>3788</v>
      </c>
      <c r="E153" s="6">
        <v>3</v>
      </c>
      <c r="F153" s="6">
        <v>37</v>
      </c>
      <c r="G153" s="6" t="s">
        <v>4090</v>
      </c>
      <c r="I153" s="8">
        <v>84.527122916666698</v>
      </c>
      <c r="J153" s="8">
        <v>14.648977916666663</v>
      </c>
      <c r="K153" s="24" t="s">
        <v>2610</v>
      </c>
      <c r="L153" s="9">
        <v>43941</v>
      </c>
      <c r="N153" s="6">
        <v>30</v>
      </c>
      <c r="O153" s="6" t="s">
        <v>4368</v>
      </c>
      <c r="V153" s="8">
        <v>-0.78061031948089621</v>
      </c>
      <c r="W153" s="8">
        <v>-5.5378337894439706</v>
      </c>
      <c r="X153" s="27">
        <f t="shared" si="2"/>
        <v>0.70704876640319902</v>
      </c>
    </row>
    <row r="154" spans="1:24" s="6" customFormat="1" x14ac:dyDescent="0.35">
      <c r="A154" s="17" t="s">
        <v>25</v>
      </c>
      <c r="B154" s="6" t="s">
        <v>3487</v>
      </c>
      <c r="D154" s="6" t="s">
        <v>3789</v>
      </c>
      <c r="E154" s="6">
        <v>3</v>
      </c>
      <c r="F154" s="6">
        <v>37</v>
      </c>
      <c r="G154" s="6" t="s">
        <v>4091</v>
      </c>
      <c r="I154" s="8">
        <v>84.294796666666699</v>
      </c>
      <c r="J154" s="8">
        <v>15.245605972222201</v>
      </c>
      <c r="K154" s="24" t="s">
        <v>2610</v>
      </c>
      <c r="L154" s="9">
        <v>43942</v>
      </c>
      <c r="N154" s="6">
        <v>30</v>
      </c>
      <c r="O154" s="6" t="s">
        <v>4369</v>
      </c>
      <c r="V154" s="8">
        <v>-0.6184440311050412</v>
      </c>
      <c r="W154" s="8">
        <v>-4.5292296100616465</v>
      </c>
      <c r="X154" s="27">
        <f t="shared" si="2"/>
        <v>0.41832263877868314</v>
      </c>
    </row>
    <row r="155" spans="1:24" s="6" customFormat="1" x14ac:dyDescent="0.35">
      <c r="A155" s="17" t="s">
        <v>25</v>
      </c>
      <c r="B155" s="6" t="s">
        <v>3488</v>
      </c>
      <c r="D155" s="6" t="s">
        <v>3790</v>
      </c>
      <c r="E155" s="6">
        <v>3</v>
      </c>
      <c r="F155" s="6">
        <v>37</v>
      </c>
      <c r="G155" s="6" t="s">
        <v>4092</v>
      </c>
      <c r="I155" s="8">
        <v>84.119575999999995</v>
      </c>
      <c r="J155" s="8">
        <v>15.942104</v>
      </c>
      <c r="K155" s="24" t="s">
        <v>2610</v>
      </c>
      <c r="L155" s="9">
        <v>43943</v>
      </c>
      <c r="N155" s="6">
        <v>30</v>
      </c>
      <c r="O155" s="6" t="s">
        <v>4365</v>
      </c>
      <c r="V155" s="8">
        <v>-0.47520959793090839</v>
      </c>
      <c r="W155" s="8">
        <v>-4.1169111827373506</v>
      </c>
      <c r="X155" s="27">
        <f t="shared" si="2"/>
        <v>-0.31523439929008346</v>
      </c>
    </row>
    <row r="156" spans="1:24" s="6" customFormat="1" x14ac:dyDescent="0.35">
      <c r="A156" s="17" t="s">
        <v>25</v>
      </c>
      <c r="B156" s="6" t="s">
        <v>3489</v>
      </c>
      <c r="D156" s="6" t="s">
        <v>3791</v>
      </c>
      <c r="E156" s="6">
        <v>3</v>
      </c>
      <c r="F156" s="6">
        <v>37</v>
      </c>
      <c r="G156" s="6" t="s">
        <v>4093</v>
      </c>
      <c r="I156" s="8">
        <v>84.074120555555595</v>
      </c>
      <c r="J156" s="8">
        <v>16.034243819444399</v>
      </c>
      <c r="K156" s="24" t="s">
        <v>2610</v>
      </c>
      <c r="L156" s="9">
        <v>43944</v>
      </c>
      <c r="N156" s="6">
        <v>30</v>
      </c>
      <c r="O156" s="6" t="s">
        <v>4279</v>
      </c>
      <c r="V156" s="8">
        <v>-0.46484211765289329</v>
      </c>
      <c r="W156" s="8">
        <v>-3.0188221949100496</v>
      </c>
      <c r="X156" s="27">
        <f t="shared" si="2"/>
        <v>0.6999147463130968</v>
      </c>
    </row>
    <row r="157" spans="1:24" s="6" customFormat="1" x14ac:dyDescent="0.35">
      <c r="A157" s="17" t="s">
        <v>25</v>
      </c>
      <c r="B157" s="6" t="s">
        <v>3490</v>
      </c>
      <c r="D157" s="6" t="s">
        <v>3792</v>
      </c>
      <c r="E157" s="6">
        <v>3</v>
      </c>
      <c r="F157" s="6">
        <v>37</v>
      </c>
      <c r="G157" s="6" t="s">
        <v>4094</v>
      </c>
      <c r="I157" s="8">
        <v>84.052059305555602</v>
      </c>
      <c r="J157" s="8">
        <v>15.898474930555601</v>
      </c>
      <c r="K157" s="24" t="s">
        <v>2610</v>
      </c>
      <c r="L157" s="9">
        <v>43945</v>
      </c>
      <c r="N157" s="6">
        <v>30</v>
      </c>
      <c r="O157" s="6" t="s">
        <v>4370</v>
      </c>
      <c r="V157" s="8">
        <v>-0.51115316425323498</v>
      </c>
      <c r="W157" s="8">
        <v>-2.904776186800003</v>
      </c>
      <c r="X157" s="27">
        <f t="shared" si="2"/>
        <v>1.1844491272258768</v>
      </c>
    </row>
    <row r="158" spans="1:24" s="6" customFormat="1" x14ac:dyDescent="0.35">
      <c r="A158" s="17" t="s">
        <v>25</v>
      </c>
      <c r="B158" s="6" t="s">
        <v>3491</v>
      </c>
      <c r="D158" s="6" t="s">
        <v>3793</v>
      </c>
      <c r="E158" s="6">
        <v>3</v>
      </c>
      <c r="F158" s="6">
        <v>37</v>
      </c>
      <c r="G158" s="6" t="s">
        <v>4095</v>
      </c>
      <c r="I158" s="8">
        <v>83.999093333333306</v>
      </c>
      <c r="J158" s="8">
        <v>15.6102103472222</v>
      </c>
      <c r="K158" s="24" t="s">
        <v>2610</v>
      </c>
      <c r="L158" s="9">
        <v>43946</v>
      </c>
      <c r="N158" s="6">
        <v>30</v>
      </c>
      <c r="O158" s="6" t="s">
        <v>4265</v>
      </c>
      <c r="V158" s="8">
        <v>-0.43453245197296164</v>
      </c>
      <c r="W158" s="8">
        <v>-3.6958131152629852</v>
      </c>
      <c r="X158" s="27">
        <f t="shared" si="2"/>
        <v>-0.21955349947929204</v>
      </c>
    </row>
    <row r="159" spans="1:24" s="6" customFormat="1" x14ac:dyDescent="0.35">
      <c r="A159" s="17" t="s">
        <v>25</v>
      </c>
      <c r="B159" s="6" t="s">
        <v>3492</v>
      </c>
      <c r="D159" s="6" t="s">
        <v>3794</v>
      </c>
      <c r="E159" s="6">
        <v>3</v>
      </c>
      <c r="F159" s="6">
        <v>37</v>
      </c>
      <c r="G159" s="6" t="s">
        <v>4096</v>
      </c>
      <c r="I159" s="8">
        <v>83.929787500000003</v>
      </c>
      <c r="J159" s="8">
        <v>15.517561875</v>
      </c>
      <c r="K159" s="24" t="s">
        <v>2610</v>
      </c>
      <c r="L159" s="9">
        <v>43947</v>
      </c>
      <c r="N159" s="6">
        <v>30</v>
      </c>
      <c r="O159" s="6" t="s">
        <v>4247</v>
      </c>
      <c r="V159" s="8">
        <v>-0.44953293548584006</v>
      </c>
      <c r="W159" s="8">
        <v>-3.2713344892501839</v>
      </c>
      <c r="X159" s="27">
        <f t="shared" si="2"/>
        <v>0.32492899463653657</v>
      </c>
    </row>
    <row r="160" spans="1:24" s="6" customFormat="1" x14ac:dyDescent="0.35">
      <c r="A160" s="17" t="s">
        <v>25</v>
      </c>
      <c r="B160" s="6" t="s">
        <v>3493</v>
      </c>
      <c r="D160" s="6" t="s">
        <v>3795</v>
      </c>
      <c r="E160" s="6">
        <v>3</v>
      </c>
      <c r="F160" s="6">
        <v>38</v>
      </c>
      <c r="G160" s="6" t="s">
        <v>4097</v>
      </c>
      <c r="I160" s="8">
        <v>83.938997847222197</v>
      </c>
      <c r="J160" s="8">
        <v>15.6730686111111</v>
      </c>
      <c r="K160" s="24" t="s">
        <v>2610</v>
      </c>
      <c r="L160" s="9">
        <v>43948</v>
      </c>
      <c r="N160" s="6">
        <v>31</v>
      </c>
      <c r="O160" s="6" t="s">
        <v>4251</v>
      </c>
      <c r="V160" s="8">
        <v>-0.45445631252288804</v>
      </c>
      <c r="W160" s="8">
        <v>-2.7322691514730453</v>
      </c>
      <c r="X160" s="27">
        <f t="shared" si="2"/>
        <v>0.90338134871005904</v>
      </c>
    </row>
    <row r="161" spans="1:24" s="6" customFormat="1" x14ac:dyDescent="0.35">
      <c r="A161" s="17" t="s">
        <v>25</v>
      </c>
      <c r="B161" s="6" t="s">
        <v>3494</v>
      </c>
      <c r="D161" s="6" t="s">
        <v>3796</v>
      </c>
      <c r="E161" s="6">
        <v>3</v>
      </c>
      <c r="F161" s="6">
        <v>38</v>
      </c>
      <c r="G161" s="6" t="s">
        <v>4098</v>
      </c>
      <c r="I161" s="8">
        <v>84.026365902777798</v>
      </c>
      <c r="J161" s="8">
        <v>16.506753680555601</v>
      </c>
      <c r="K161" s="24" t="s">
        <v>2610</v>
      </c>
      <c r="L161" s="9">
        <v>43949</v>
      </c>
      <c r="N161" s="6">
        <v>31</v>
      </c>
      <c r="O161" s="6" t="s">
        <v>4371</v>
      </c>
      <c r="V161" s="8">
        <v>-0.46067138134002716</v>
      </c>
      <c r="W161" s="8">
        <v>-2.1225902714967728</v>
      </c>
      <c r="X161" s="27">
        <f t="shared" si="2"/>
        <v>1.5627807792234445</v>
      </c>
    </row>
    <row r="162" spans="1:24" s="6" customFormat="1" x14ac:dyDescent="0.35">
      <c r="A162" s="17" t="s">
        <v>25</v>
      </c>
      <c r="B162" s="6" t="s">
        <v>3495</v>
      </c>
      <c r="D162" s="6" t="s">
        <v>3797</v>
      </c>
      <c r="E162" s="6">
        <v>3</v>
      </c>
      <c r="F162" s="6">
        <v>38</v>
      </c>
      <c r="G162" s="6" t="s">
        <v>4099</v>
      </c>
      <c r="I162" s="8">
        <v>84.004115208333317</v>
      </c>
      <c r="J162" s="8">
        <v>17.203670277777771</v>
      </c>
      <c r="K162" s="24" t="s">
        <v>2610</v>
      </c>
      <c r="L162" s="9">
        <v>43950</v>
      </c>
      <c r="N162" s="6">
        <v>31</v>
      </c>
      <c r="O162" s="6" t="s">
        <v>4372</v>
      </c>
      <c r="V162" s="8">
        <v>-0.3840739806747433</v>
      </c>
      <c r="W162" s="8">
        <v>-1.7409305421352386</v>
      </c>
      <c r="X162" s="27">
        <f t="shared" si="2"/>
        <v>1.3316613032627078</v>
      </c>
    </row>
    <row r="163" spans="1:24" s="6" customFormat="1" x14ac:dyDescent="0.35">
      <c r="A163" s="17" t="s">
        <v>25</v>
      </c>
      <c r="B163" s="6" t="s">
        <v>3496</v>
      </c>
      <c r="D163" s="6" t="s">
        <v>3798</v>
      </c>
      <c r="E163" s="6">
        <v>3</v>
      </c>
      <c r="F163" s="6">
        <v>38</v>
      </c>
      <c r="G163" s="6" t="s">
        <v>4100</v>
      </c>
      <c r="I163" s="8">
        <v>83.933978541666704</v>
      </c>
      <c r="J163" s="8">
        <v>17.471342499999999</v>
      </c>
      <c r="K163" s="24" t="s">
        <v>2610</v>
      </c>
      <c r="L163" s="9">
        <v>43951</v>
      </c>
      <c r="N163" s="6">
        <v>31</v>
      </c>
      <c r="O163" s="6" t="s">
        <v>4373</v>
      </c>
      <c r="V163" s="8">
        <v>-0.42422871814727747</v>
      </c>
      <c r="W163" s="8">
        <v>-2.0218603983163832</v>
      </c>
      <c r="X163" s="27">
        <f t="shared" si="2"/>
        <v>1.3719693468618366</v>
      </c>
    </row>
    <row r="164" spans="1:24" s="6" customFormat="1" x14ac:dyDescent="0.35">
      <c r="A164" s="17" t="s">
        <v>25</v>
      </c>
      <c r="B164" s="6" t="s">
        <v>3497</v>
      </c>
      <c r="D164" s="6" t="s">
        <v>3799</v>
      </c>
      <c r="E164" s="6">
        <v>3</v>
      </c>
      <c r="F164" s="6">
        <v>38</v>
      </c>
      <c r="G164" s="6" t="s">
        <v>4101</v>
      </c>
      <c r="I164" s="8">
        <v>83.918753263888874</v>
      </c>
      <c r="J164" s="8">
        <v>17.643582638888887</v>
      </c>
      <c r="K164" s="24" t="s">
        <v>2610</v>
      </c>
      <c r="L164" s="9">
        <v>43952</v>
      </c>
      <c r="N164" s="6">
        <v>31</v>
      </c>
      <c r="O164" s="6" t="s">
        <v>4249</v>
      </c>
      <c r="V164" s="8">
        <v>-0.46343891464233455</v>
      </c>
      <c r="W164" s="8">
        <v>-1.5903190567731855</v>
      </c>
      <c r="X164" s="27">
        <f t="shared" si="2"/>
        <v>2.1171922603654911</v>
      </c>
    </row>
    <row r="165" spans="1:24" s="6" customFormat="1" x14ac:dyDescent="0.35">
      <c r="A165" s="17" t="s">
        <v>25</v>
      </c>
      <c r="B165" s="6" t="s">
        <v>3498</v>
      </c>
      <c r="D165" s="6" t="s">
        <v>3800</v>
      </c>
      <c r="E165" s="6">
        <v>3</v>
      </c>
      <c r="F165" s="6">
        <v>38</v>
      </c>
      <c r="G165" s="6" t="s">
        <v>4102</v>
      </c>
      <c r="I165" s="8">
        <v>83.902773611111101</v>
      </c>
      <c r="J165" s="8">
        <v>17.582518541666701</v>
      </c>
      <c r="K165" s="24" t="s">
        <v>2610</v>
      </c>
      <c r="L165" s="9">
        <v>43953</v>
      </c>
      <c r="N165" s="6">
        <v>31</v>
      </c>
      <c r="O165" s="6" t="s">
        <v>4266</v>
      </c>
      <c r="V165" s="8">
        <v>-0.50002382056057437</v>
      </c>
      <c r="W165" s="8">
        <v>-2.4414574492216117</v>
      </c>
      <c r="X165" s="27">
        <f t="shared" si="2"/>
        <v>1.5587331152629833</v>
      </c>
    </row>
    <row r="166" spans="1:24" s="6" customFormat="1" x14ac:dyDescent="0.35">
      <c r="A166" s="17" t="s">
        <v>25</v>
      </c>
      <c r="B166" s="6" t="s">
        <v>3499</v>
      </c>
      <c r="D166" s="6" t="s">
        <v>3801</v>
      </c>
      <c r="E166" s="6">
        <v>3</v>
      </c>
      <c r="F166" s="6">
        <v>38</v>
      </c>
      <c r="G166" s="6" t="s">
        <v>4103</v>
      </c>
      <c r="I166" s="8">
        <v>83.885417000000004</v>
      </c>
      <c r="J166" s="8">
        <v>17.949331000000001</v>
      </c>
      <c r="K166" s="24" t="s">
        <v>2610</v>
      </c>
      <c r="L166" s="9">
        <v>43954</v>
      </c>
      <c r="N166" s="6">
        <v>31</v>
      </c>
      <c r="O166" s="6" t="s">
        <v>4267</v>
      </c>
      <c r="V166" s="8">
        <v>-0.45951178623378286</v>
      </c>
      <c r="W166" s="8">
        <v>-1.9366112466692924</v>
      </c>
      <c r="X166" s="27">
        <f t="shared" si="2"/>
        <v>1.7394830432009705</v>
      </c>
    </row>
    <row r="167" spans="1:24" s="6" customFormat="1" x14ac:dyDescent="0.35">
      <c r="A167" s="17" t="s">
        <v>25</v>
      </c>
      <c r="B167" s="6" t="s">
        <v>3500</v>
      </c>
      <c r="D167" s="6" t="s">
        <v>3802</v>
      </c>
      <c r="E167" s="6">
        <v>3</v>
      </c>
      <c r="F167" s="6">
        <v>39</v>
      </c>
      <c r="G167" s="6" t="s">
        <v>4104</v>
      </c>
      <c r="I167" s="8">
        <v>83.9056640972222</v>
      </c>
      <c r="J167" s="8">
        <v>18.310934444444399</v>
      </c>
      <c r="K167" s="24" t="s">
        <v>2610</v>
      </c>
      <c r="L167" s="9">
        <v>43955</v>
      </c>
      <c r="N167" s="6">
        <v>32</v>
      </c>
      <c r="O167" s="6" t="s">
        <v>4374</v>
      </c>
      <c r="V167" s="8">
        <v>-0.42290888943910598</v>
      </c>
      <c r="W167" s="8">
        <v>-1.8478768680930138</v>
      </c>
      <c r="X167" s="27">
        <f t="shared" si="2"/>
        <v>1.5353942474198341</v>
      </c>
    </row>
    <row r="168" spans="1:24" s="6" customFormat="1" x14ac:dyDescent="0.35">
      <c r="A168" s="17" t="s">
        <v>25</v>
      </c>
      <c r="B168" s="6" t="s">
        <v>3501</v>
      </c>
      <c r="D168" s="6" t="s">
        <v>3803</v>
      </c>
      <c r="E168" s="6">
        <v>3</v>
      </c>
      <c r="F168" s="6">
        <v>39</v>
      </c>
      <c r="G168" s="6" t="s">
        <v>4105</v>
      </c>
      <c r="I168" s="8">
        <v>83.919170555555596</v>
      </c>
      <c r="J168" s="8">
        <v>18.093941458333301</v>
      </c>
      <c r="K168" s="24" t="s">
        <v>2610</v>
      </c>
      <c r="L168" s="9">
        <v>43956</v>
      </c>
      <c r="N168" s="6">
        <v>32</v>
      </c>
      <c r="O168" s="6" t="s">
        <v>4375</v>
      </c>
      <c r="V168" s="8">
        <v>-0.47035677767396006</v>
      </c>
      <c r="W168" s="8">
        <v>-2.6329112470626832</v>
      </c>
      <c r="X168" s="27">
        <f t="shared" si="2"/>
        <v>1.1299429743289973</v>
      </c>
    </row>
    <row r="169" spans="1:24" s="6" customFormat="1" x14ac:dyDescent="0.35">
      <c r="A169" s="17" t="s">
        <v>25</v>
      </c>
      <c r="B169" s="6" t="s">
        <v>3502</v>
      </c>
      <c r="D169" s="6" t="s">
        <v>3804</v>
      </c>
      <c r="E169" s="6">
        <v>3</v>
      </c>
      <c r="F169" s="6">
        <v>39</v>
      </c>
      <c r="G169" s="6" t="s">
        <v>4106</v>
      </c>
      <c r="I169" s="8">
        <v>83.921973194444405</v>
      </c>
      <c r="J169" s="8">
        <v>17.654378611111099</v>
      </c>
      <c r="K169" s="24" t="s">
        <v>2610</v>
      </c>
      <c r="L169" s="9">
        <v>43957</v>
      </c>
      <c r="N169" s="6">
        <v>32</v>
      </c>
      <c r="O169" s="6" t="s">
        <v>4376</v>
      </c>
      <c r="V169" s="8">
        <v>-0.44430716288685845</v>
      </c>
      <c r="W169" s="8">
        <v>-3.2161051955699933</v>
      </c>
      <c r="X169" s="27">
        <f t="shared" si="2"/>
        <v>0.33835210752487432</v>
      </c>
    </row>
    <row r="170" spans="1:24" s="6" customFormat="1" x14ac:dyDescent="0.35">
      <c r="A170" s="17" t="s">
        <v>25</v>
      </c>
      <c r="B170" s="6" t="s">
        <v>3503</v>
      </c>
      <c r="D170" s="6" t="s">
        <v>3805</v>
      </c>
      <c r="E170" s="6">
        <v>3</v>
      </c>
      <c r="F170" s="6">
        <v>39</v>
      </c>
      <c r="G170" s="6" t="s">
        <v>4107</v>
      </c>
      <c r="I170" s="8">
        <v>83.929347499999949</v>
      </c>
      <c r="J170" s="8">
        <v>16.673277291666672</v>
      </c>
      <c r="K170" s="24" t="s">
        <v>2610</v>
      </c>
      <c r="L170" s="9">
        <v>43958</v>
      </c>
      <c r="N170" s="6">
        <v>32</v>
      </c>
      <c r="O170" s="6" t="s">
        <v>4377</v>
      </c>
      <c r="V170" s="8">
        <v>-0.49065002433061572</v>
      </c>
      <c r="W170" s="8">
        <v>-2.5188218362808228</v>
      </c>
      <c r="X170" s="27">
        <f t="shared" si="2"/>
        <v>1.406378358364103</v>
      </c>
    </row>
    <row r="171" spans="1:24" s="6" customFormat="1" x14ac:dyDescent="0.35">
      <c r="A171" s="17" t="s">
        <v>25</v>
      </c>
      <c r="B171" s="6" t="s">
        <v>3504</v>
      </c>
      <c r="D171" s="6" t="s">
        <v>3806</v>
      </c>
      <c r="E171" s="6">
        <v>3</v>
      </c>
      <c r="F171" s="6">
        <v>39</v>
      </c>
      <c r="G171" s="6" t="s">
        <v>4108</v>
      </c>
      <c r="I171" s="8">
        <v>83.857260624999995</v>
      </c>
      <c r="J171" s="8">
        <v>15.22270756944444</v>
      </c>
      <c r="K171" s="24" t="s">
        <v>2610</v>
      </c>
      <c r="L171" s="9">
        <v>43959</v>
      </c>
      <c r="N171" s="6">
        <v>32</v>
      </c>
      <c r="O171" s="6" t="s">
        <v>4378</v>
      </c>
      <c r="V171" s="8">
        <v>-0.54411021996140474</v>
      </c>
      <c r="W171" s="8">
        <v>-2.9628926227569581</v>
      </c>
      <c r="X171" s="27">
        <f t="shared" si="2"/>
        <v>1.3899891369342798</v>
      </c>
    </row>
    <row r="172" spans="1:24" s="6" customFormat="1" x14ac:dyDescent="0.35">
      <c r="A172" s="17" t="s">
        <v>25</v>
      </c>
      <c r="B172" s="6" t="s">
        <v>3505</v>
      </c>
      <c r="D172" s="6" t="s">
        <v>3807</v>
      </c>
      <c r="E172" s="6">
        <v>3</v>
      </c>
      <c r="F172" s="6">
        <v>39</v>
      </c>
      <c r="G172" s="6" t="s">
        <v>4109</v>
      </c>
      <c r="I172" s="8">
        <v>83.791625999999994</v>
      </c>
      <c r="J172" s="8">
        <v>14.137250999999999</v>
      </c>
      <c r="K172" s="24" t="s">
        <v>2610</v>
      </c>
      <c r="L172" s="9">
        <v>43960</v>
      </c>
      <c r="N172" s="6">
        <v>32</v>
      </c>
      <c r="O172" s="6" t="s">
        <v>4246</v>
      </c>
      <c r="V172" s="8">
        <v>-0.49896242410540609</v>
      </c>
      <c r="W172" s="8">
        <v>-3.2526358869552614</v>
      </c>
      <c r="X172" s="27">
        <f t="shared" si="2"/>
        <v>0.7390635058879873</v>
      </c>
    </row>
    <row r="173" spans="1:24" s="6" customFormat="1" x14ac:dyDescent="0.35">
      <c r="A173" s="17" t="s">
        <v>25</v>
      </c>
      <c r="B173" s="6" t="s">
        <v>3506</v>
      </c>
      <c r="D173" s="6" t="s">
        <v>3808</v>
      </c>
      <c r="E173" s="6">
        <v>3</v>
      </c>
      <c r="F173" s="6">
        <v>39</v>
      </c>
      <c r="G173" s="6" t="s">
        <v>4110</v>
      </c>
      <c r="I173" s="8">
        <v>83.658608999999998</v>
      </c>
      <c r="J173" s="8">
        <v>13.462538</v>
      </c>
      <c r="K173" s="24" t="s">
        <v>2610</v>
      </c>
      <c r="L173" s="9">
        <v>43961</v>
      </c>
      <c r="N173" s="6">
        <v>33</v>
      </c>
      <c r="O173" s="6" t="s">
        <v>4278</v>
      </c>
      <c r="V173" s="8">
        <v>-0.44865715841054932</v>
      </c>
      <c r="W173" s="8">
        <v>-3.2211625476360326</v>
      </c>
      <c r="X173" s="27">
        <f t="shared" si="2"/>
        <v>0.36809471964836193</v>
      </c>
    </row>
    <row r="174" spans="1:24" s="6" customFormat="1" x14ac:dyDescent="0.35">
      <c r="A174" s="17" t="s">
        <v>25</v>
      </c>
      <c r="B174" s="6" t="s">
        <v>3507</v>
      </c>
      <c r="D174" s="6" t="s">
        <v>3809</v>
      </c>
      <c r="E174" s="6">
        <v>3</v>
      </c>
      <c r="F174" s="6">
        <v>40</v>
      </c>
      <c r="G174" s="6" t="s">
        <v>4111</v>
      </c>
      <c r="I174" s="8">
        <v>83.500490833333345</v>
      </c>
      <c r="J174" s="8">
        <v>13.105801666666666</v>
      </c>
      <c r="K174" s="24" t="s">
        <v>2610</v>
      </c>
      <c r="L174" s="9">
        <v>43962</v>
      </c>
      <c r="N174" s="6">
        <v>33</v>
      </c>
      <c r="O174" s="6" t="s">
        <v>4379</v>
      </c>
      <c r="V174" s="8">
        <v>-0.46832899857163446</v>
      </c>
      <c r="W174" s="8">
        <v>-2.7548073909759525</v>
      </c>
      <c r="X174" s="27">
        <f t="shared" si="2"/>
        <v>0.99182459759712316</v>
      </c>
    </row>
    <row r="175" spans="1:24" s="6" customFormat="1" x14ac:dyDescent="0.35">
      <c r="A175" s="17" t="s">
        <v>25</v>
      </c>
      <c r="B175" s="6" t="s">
        <v>3508</v>
      </c>
      <c r="D175" s="6" t="s">
        <v>3810</v>
      </c>
      <c r="E175" s="6">
        <v>3</v>
      </c>
      <c r="F175" s="6">
        <v>40</v>
      </c>
      <c r="G175" s="6" t="s">
        <v>4112</v>
      </c>
      <c r="I175" s="8">
        <v>83.417505902777805</v>
      </c>
      <c r="J175" s="8">
        <v>12.602031458333334</v>
      </c>
      <c r="K175" s="24" t="s">
        <v>2610</v>
      </c>
      <c r="L175" s="9">
        <v>43963</v>
      </c>
      <c r="N175" s="6">
        <v>33</v>
      </c>
      <c r="O175" s="6" t="s">
        <v>4380</v>
      </c>
      <c r="V175" s="8">
        <v>-0.51313448966145503</v>
      </c>
      <c r="W175" s="8">
        <v>-2.7105067506313327</v>
      </c>
      <c r="X175" s="27">
        <f t="shared" si="2"/>
        <v>1.3945691666603075</v>
      </c>
    </row>
    <row r="176" spans="1:24" s="6" customFormat="1" x14ac:dyDescent="0.35">
      <c r="A176" s="17" t="s">
        <v>25</v>
      </c>
      <c r="B176" s="6" t="s">
        <v>3509</v>
      </c>
      <c r="D176" s="6" t="s">
        <v>3811</v>
      </c>
      <c r="E176" s="6">
        <v>3</v>
      </c>
      <c r="F176" s="6">
        <v>40</v>
      </c>
      <c r="G176" s="6" t="s">
        <v>4113</v>
      </c>
      <c r="I176" s="8">
        <v>83.371565416666712</v>
      </c>
      <c r="J176" s="8">
        <v>10.694470000000008</v>
      </c>
      <c r="K176" s="24" t="s">
        <v>2610</v>
      </c>
      <c r="L176" s="9">
        <v>43964</v>
      </c>
      <c r="N176" s="6">
        <v>33</v>
      </c>
      <c r="O176" s="6" t="s">
        <v>4381</v>
      </c>
      <c r="V176" s="8">
        <v>-0.5343671987414359</v>
      </c>
      <c r="W176" s="8">
        <v>-3.51821195011139</v>
      </c>
      <c r="X176" s="27">
        <f t="shared" si="2"/>
        <v>0.75672563982009722</v>
      </c>
    </row>
    <row r="177" spans="1:24" s="6" customFormat="1" x14ac:dyDescent="0.35">
      <c r="A177" s="17" t="s">
        <v>25</v>
      </c>
      <c r="B177" s="6" t="s">
        <v>3510</v>
      </c>
      <c r="D177" s="6" t="s">
        <v>3812</v>
      </c>
      <c r="E177" s="6">
        <v>3</v>
      </c>
      <c r="F177" s="6">
        <v>40</v>
      </c>
      <c r="G177" s="6" t="s">
        <v>4114</v>
      </c>
      <c r="I177" s="8">
        <v>83.385186041666643</v>
      </c>
      <c r="J177" s="8">
        <v>9.8881627083333328</v>
      </c>
      <c r="K177" s="24" t="s">
        <v>2610</v>
      </c>
      <c r="L177" s="9">
        <v>43965</v>
      </c>
      <c r="N177" s="6">
        <v>33</v>
      </c>
      <c r="O177" s="6" t="s">
        <v>4382</v>
      </c>
      <c r="V177" s="8">
        <v>-0.60784039888381936</v>
      </c>
      <c r="W177" s="8">
        <v>-3.9439243693828585</v>
      </c>
      <c r="X177" s="27">
        <f t="shared" si="2"/>
        <v>0.91879882168769633</v>
      </c>
    </row>
    <row r="178" spans="1:24" s="6" customFormat="1" x14ac:dyDescent="0.35">
      <c r="A178" s="17" t="s">
        <v>25</v>
      </c>
      <c r="B178" s="6" t="s">
        <v>3511</v>
      </c>
      <c r="D178" s="6" t="s">
        <v>3813</v>
      </c>
      <c r="E178" s="6">
        <v>3</v>
      </c>
      <c r="F178" s="6">
        <v>40</v>
      </c>
      <c r="G178" s="6" t="s">
        <v>4115</v>
      </c>
      <c r="I178" s="8">
        <v>83.386804791666663</v>
      </c>
      <c r="J178" s="8">
        <v>9.3355530555555539</v>
      </c>
      <c r="K178" s="24" t="s">
        <v>2610</v>
      </c>
      <c r="L178" s="9">
        <v>43966</v>
      </c>
      <c r="N178" s="6">
        <v>33</v>
      </c>
      <c r="O178" s="6" t="s">
        <v>4383</v>
      </c>
      <c r="V178" s="8">
        <v>-0.60961327333927173</v>
      </c>
      <c r="W178" s="8">
        <v>-4.4665194697380075</v>
      </c>
      <c r="X178" s="27">
        <f t="shared" si="2"/>
        <v>0.41038671697616635</v>
      </c>
    </row>
    <row r="179" spans="1:24" s="6" customFormat="1" x14ac:dyDescent="0.35">
      <c r="A179" s="17" t="s">
        <v>25</v>
      </c>
      <c r="B179" s="6" t="s">
        <v>3512</v>
      </c>
      <c r="D179" s="6" t="s">
        <v>3814</v>
      </c>
      <c r="E179" s="6">
        <v>3</v>
      </c>
      <c r="F179" s="6">
        <v>40</v>
      </c>
      <c r="G179" s="6" t="s">
        <v>4116</v>
      </c>
      <c r="I179" s="8">
        <v>83.390428819444452</v>
      </c>
      <c r="J179" s="8">
        <v>9.1059161805555586</v>
      </c>
      <c r="K179" s="24" t="s">
        <v>2610</v>
      </c>
      <c r="L179" s="9">
        <v>43967</v>
      </c>
      <c r="N179" s="6">
        <v>33</v>
      </c>
      <c r="O179" s="6" t="s">
        <v>4384</v>
      </c>
      <c r="V179" s="8">
        <v>-0.60369367785930672</v>
      </c>
      <c r="W179" s="8">
        <v>-4.0551219077110296</v>
      </c>
      <c r="X179" s="27">
        <f t="shared" si="2"/>
        <v>0.77442751516342412</v>
      </c>
    </row>
    <row r="180" spans="1:24" s="6" customFormat="1" x14ac:dyDescent="0.35">
      <c r="A180" s="17" t="s">
        <v>25</v>
      </c>
      <c r="B180" s="6" t="s">
        <v>3513</v>
      </c>
      <c r="D180" s="6" t="s">
        <v>3815</v>
      </c>
      <c r="E180" s="6">
        <v>3</v>
      </c>
      <c r="F180" s="6">
        <v>40</v>
      </c>
      <c r="G180" s="6" t="s">
        <v>4117</v>
      </c>
      <c r="I180" s="8">
        <v>83.36668569444447</v>
      </c>
      <c r="J180" s="8">
        <v>9.017057986111114</v>
      </c>
      <c r="K180" s="24" t="s">
        <v>2610</v>
      </c>
      <c r="L180" s="9">
        <v>43968</v>
      </c>
      <c r="N180" s="6">
        <v>34</v>
      </c>
      <c r="O180" s="6" t="s">
        <v>4368</v>
      </c>
      <c r="V180" s="8">
        <v>-0.6832955735492704</v>
      </c>
      <c r="W180" s="8">
        <v>-4.2721812601089484</v>
      </c>
      <c r="X180" s="27">
        <f t="shared" si="2"/>
        <v>1.1941833282852148</v>
      </c>
    </row>
    <row r="181" spans="1:24" s="6" customFormat="1" x14ac:dyDescent="0.35">
      <c r="A181" s="17" t="s">
        <v>25</v>
      </c>
      <c r="B181" s="6" t="s">
        <v>3514</v>
      </c>
      <c r="D181" s="6" t="s">
        <v>3816</v>
      </c>
      <c r="E181" s="6">
        <v>3</v>
      </c>
      <c r="F181" s="6">
        <v>41</v>
      </c>
      <c r="G181" s="6" t="s">
        <v>4118</v>
      </c>
      <c r="I181" s="8">
        <v>83.32372687500002</v>
      </c>
      <c r="J181" s="8">
        <v>8.7189200000000042</v>
      </c>
      <c r="K181" s="24" t="s">
        <v>2610</v>
      </c>
      <c r="L181" s="9">
        <v>43969</v>
      </c>
      <c r="N181" s="6">
        <v>34</v>
      </c>
      <c r="O181" s="6" t="s">
        <v>4385</v>
      </c>
      <c r="V181" s="8">
        <v>-0.61233436127185814</v>
      </c>
      <c r="W181" s="8">
        <v>-3.7334830327034005</v>
      </c>
      <c r="X181" s="27">
        <f t="shared" si="2"/>
        <v>1.1651918574714646</v>
      </c>
    </row>
    <row r="182" spans="1:24" s="6" customFormat="1" x14ac:dyDescent="0.35">
      <c r="A182" s="17" t="s">
        <v>25</v>
      </c>
      <c r="B182" s="6" t="s">
        <v>3515</v>
      </c>
      <c r="D182" s="6" t="s">
        <v>3817</v>
      </c>
      <c r="E182" s="6">
        <v>3</v>
      </c>
      <c r="F182" s="6">
        <v>41</v>
      </c>
      <c r="G182" s="6" t="s">
        <v>4119</v>
      </c>
      <c r="I182" s="8">
        <v>83.259119444444394</v>
      </c>
      <c r="J182" s="8">
        <v>8.9492065972222186</v>
      </c>
      <c r="K182" s="24" t="s">
        <v>2610</v>
      </c>
      <c r="L182" s="9">
        <v>43970</v>
      </c>
      <c r="N182" s="6">
        <v>34</v>
      </c>
      <c r="O182" s="6" t="s">
        <v>4386</v>
      </c>
      <c r="V182" s="8">
        <v>-0.51095794578075382</v>
      </c>
      <c r="W182" s="8">
        <v>-2.969489740848541</v>
      </c>
      <c r="X182" s="27">
        <f t="shared" si="2"/>
        <v>1.1181738253974896</v>
      </c>
    </row>
    <row r="183" spans="1:24" s="6" customFormat="1" x14ac:dyDescent="0.35">
      <c r="A183" s="17" t="s">
        <v>25</v>
      </c>
      <c r="B183" s="6" t="s">
        <v>3516</v>
      </c>
      <c r="D183" s="6" t="s">
        <v>3818</v>
      </c>
      <c r="E183" s="6">
        <v>3</v>
      </c>
      <c r="F183" s="6">
        <v>41</v>
      </c>
      <c r="G183" s="6" t="s">
        <v>4120</v>
      </c>
      <c r="I183" s="8">
        <v>83.145705416666644</v>
      </c>
      <c r="J183" s="8">
        <v>10.02129743055556</v>
      </c>
      <c r="K183" s="24" t="s">
        <v>2610</v>
      </c>
      <c r="L183" s="9">
        <v>43971</v>
      </c>
      <c r="N183" s="6">
        <v>34</v>
      </c>
      <c r="O183" s="6" t="s">
        <v>4387</v>
      </c>
      <c r="V183" s="8">
        <v>-0.55432529969692224</v>
      </c>
      <c r="W183" s="8">
        <v>-3.9717186827659603</v>
      </c>
      <c r="X183" s="27">
        <f t="shared" si="2"/>
        <v>0.46288371480941759</v>
      </c>
    </row>
    <row r="184" spans="1:24" s="6" customFormat="1" x14ac:dyDescent="0.35">
      <c r="A184" s="17" t="s">
        <v>25</v>
      </c>
      <c r="B184" s="6" t="s">
        <v>3517</v>
      </c>
      <c r="D184" s="6" t="s">
        <v>3819</v>
      </c>
      <c r="E184" s="6">
        <v>3</v>
      </c>
      <c r="F184" s="6">
        <v>41</v>
      </c>
      <c r="G184" s="6" t="s">
        <v>4121</v>
      </c>
      <c r="I184" s="8">
        <v>83.002715208333314</v>
      </c>
      <c r="J184" s="8">
        <v>11.187904652777778</v>
      </c>
      <c r="K184" s="24" t="s">
        <v>2610</v>
      </c>
      <c r="L184" s="9">
        <v>43972</v>
      </c>
      <c r="N184" s="6">
        <v>34</v>
      </c>
      <c r="O184" s="6" t="s">
        <v>4388</v>
      </c>
      <c r="V184" s="8">
        <v>-0.60254635973453496</v>
      </c>
      <c r="W184" s="8">
        <v>-4.0244997496604915</v>
      </c>
      <c r="X184" s="27">
        <f t="shared" si="2"/>
        <v>0.7958711282157882</v>
      </c>
    </row>
    <row r="185" spans="1:24" s="6" customFormat="1" x14ac:dyDescent="0.35">
      <c r="A185" s="17" t="s">
        <v>25</v>
      </c>
      <c r="B185" s="6" t="s">
        <v>3518</v>
      </c>
      <c r="D185" s="6" t="s">
        <v>3820</v>
      </c>
      <c r="E185" s="6">
        <v>3</v>
      </c>
      <c r="F185" s="6">
        <v>41</v>
      </c>
      <c r="G185" s="6" t="s">
        <v>4122</v>
      </c>
      <c r="I185" s="8">
        <v>82.927583541666635</v>
      </c>
      <c r="J185" s="8">
        <v>11.503391458333333</v>
      </c>
      <c r="K185" s="24" t="s">
        <v>2610</v>
      </c>
      <c r="L185" s="9">
        <v>43973</v>
      </c>
      <c r="N185" s="6">
        <v>34</v>
      </c>
      <c r="O185" s="6" t="s">
        <v>4387</v>
      </c>
      <c r="V185" s="8">
        <v>-0.61154531772613563</v>
      </c>
      <c r="W185" s="8">
        <v>-5.1280037326812753</v>
      </c>
      <c r="X185" s="27">
        <f t="shared" si="2"/>
        <v>-0.23564119087219026</v>
      </c>
    </row>
    <row r="186" spans="1:24" s="6" customFormat="1" x14ac:dyDescent="0.35">
      <c r="A186" s="17" t="s">
        <v>25</v>
      </c>
      <c r="B186" s="6" t="s">
        <v>3519</v>
      </c>
      <c r="D186" s="6" t="s">
        <v>3821</v>
      </c>
      <c r="E186" s="6">
        <v>3</v>
      </c>
      <c r="F186" s="6">
        <v>41</v>
      </c>
      <c r="G186" s="6" t="s">
        <v>4123</v>
      </c>
      <c r="I186" s="8">
        <v>82.807217222222206</v>
      </c>
      <c r="J186" s="8">
        <v>10.670492361111114</v>
      </c>
      <c r="K186" s="24" t="s">
        <v>2610</v>
      </c>
      <c r="L186" s="9">
        <v>43974</v>
      </c>
      <c r="N186" s="6">
        <v>34</v>
      </c>
      <c r="O186" s="6" t="s">
        <v>4389</v>
      </c>
      <c r="V186" s="8">
        <v>-0.60864716120243112</v>
      </c>
      <c r="W186" s="8">
        <v>-3.999859411239624</v>
      </c>
      <c r="X186" s="27">
        <f t="shared" si="2"/>
        <v>0.86931787837982499</v>
      </c>
    </row>
    <row r="187" spans="1:24" s="6" customFormat="1" x14ac:dyDescent="0.35">
      <c r="A187" s="17" t="s">
        <v>25</v>
      </c>
      <c r="B187" s="6" t="s">
        <v>3520</v>
      </c>
      <c r="D187" s="6" t="s">
        <v>3822</v>
      </c>
      <c r="E187" s="6">
        <v>3</v>
      </c>
      <c r="F187" s="6">
        <v>41</v>
      </c>
      <c r="G187" s="6" t="s">
        <v>4124</v>
      </c>
      <c r="I187" s="8">
        <v>82.726683888888843</v>
      </c>
      <c r="J187" s="8">
        <v>10.231643402777779</v>
      </c>
      <c r="K187" s="24" t="s">
        <v>2610</v>
      </c>
      <c r="L187" s="9">
        <v>43975</v>
      </c>
      <c r="N187" s="6">
        <v>35</v>
      </c>
      <c r="O187" s="6" t="s">
        <v>4390</v>
      </c>
      <c r="V187" s="8">
        <v>-0.69479357917785678</v>
      </c>
      <c r="W187" s="8">
        <v>-4.0833242411613471</v>
      </c>
      <c r="X187" s="27">
        <f t="shared" si="2"/>
        <v>1.4750243922615072</v>
      </c>
    </row>
    <row r="188" spans="1:24" s="6" customFormat="1" x14ac:dyDescent="0.35">
      <c r="A188" s="17" t="s">
        <v>25</v>
      </c>
      <c r="B188" s="6" t="s">
        <v>3521</v>
      </c>
      <c r="D188" s="6" t="s">
        <v>3823</v>
      </c>
      <c r="E188" s="6">
        <v>3</v>
      </c>
      <c r="F188" s="6">
        <v>42</v>
      </c>
      <c r="G188" s="6" t="s">
        <v>4125</v>
      </c>
      <c r="I188" s="8">
        <v>82.586408055555538</v>
      </c>
      <c r="J188" s="8">
        <v>8.9489584027777838</v>
      </c>
      <c r="K188" s="24" t="s">
        <v>2610</v>
      </c>
      <c r="L188" s="9">
        <v>43976</v>
      </c>
      <c r="N188" s="6">
        <v>35</v>
      </c>
      <c r="O188" s="6" t="s">
        <v>4391</v>
      </c>
      <c r="V188" s="8">
        <v>-0.79579858777284607</v>
      </c>
      <c r="W188" s="8">
        <v>-4.4098567669868469</v>
      </c>
      <c r="X188" s="27">
        <f t="shared" si="2"/>
        <v>1.9565319351959216</v>
      </c>
    </row>
    <row r="189" spans="1:24" s="6" customFormat="1" x14ac:dyDescent="0.35">
      <c r="A189" s="17" t="s">
        <v>25</v>
      </c>
      <c r="B189" s="6" t="s">
        <v>3522</v>
      </c>
      <c r="D189" s="6" t="s">
        <v>3824</v>
      </c>
      <c r="E189" s="6">
        <v>3</v>
      </c>
      <c r="F189" s="6">
        <v>42</v>
      </c>
      <c r="G189" s="6" t="s">
        <v>4126</v>
      </c>
      <c r="I189" s="8">
        <v>82.349806458333276</v>
      </c>
      <c r="J189" s="8">
        <v>8.1747182638888845</v>
      </c>
      <c r="K189" s="24" t="s">
        <v>2610</v>
      </c>
      <c r="L189" s="9">
        <v>43977</v>
      </c>
      <c r="N189" s="6">
        <v>35</v>
      </c>
      <c r="O189" s="6" t="s">
        <v>4392</v>
      </c>
      <c r="V189" s="8">
        <v>-0.66440514093995096</v>
      </c>
      <c r="W189" s="8">
        <v>-4.2756869464397438</v>
      </c>
      <c r="X189" s="27">
        <f t="shared" si="2"/>
        <v>1.0395541810798639</v>
      </c>
    </row>
    <row r="190" spans="1:24" s="6" customFormat="1" x14ac:dyDescent="0.35">
      <c r="A190" s="17" t="s">
        <v>25</v>
      </c>
      <c r="B190" s="6" t="s">
        <v>3523</v>
      </c>
      <c r="D190" s="6" t="s">
        <v>3825</v>
      </c>
      <c r="E190" s="6">
        <v>3</v>
      </c>
      <c r="F190" s="6">
        <v>42</v>
      </c>
      <c r="G190" s="6" t="s">
        <v>4127</v>
      </c>
      <c r="I190" s="8">
        <v>82.383414652777731</v>
      </c>
      <c r="J190" s="8">
        <v>8.299510486111112</v>
      </c>
      <c r="K190" s="24" t="s">
        <v>2610</v>
      </c>
      <c r="L190" s="9">
        <v>43978</v>
      </c>
      <c r="N190" s="6">
        <v>35</v>
      </c>
      <c r="O190" s="6" t="s">
        <v>4393</v>
      </c>
      <c r="V190" s="8">
        <v>-0.72356622669458392</v>
      </c>
      <c r="W190" s="8">
        <v>-4.7104319675445563</v>
      </c>
      <c r="X190" s="27">
        <f t="shared" si="2"/>
        <v>1.0780978460121151</v>
      </c>
    </row>
    <row r="191" spans="1:24" s="6" customFormat="1" x14ac:dyDescent="0.35">
      <c r="A191" s="17" t="s">
        <v>25</v>
      </c>
      <c r="B191" s="6" t="s">
        <v>3524</v>
      </c>
      <c r="D191" s="6" t="s">
        <v>3826</v>
      </c>
      <c r="E191" s="6">
        <v>3</v>
      </c>
      <c r="F191" s="6">
        <v>42</v>
      </c>
      <c r="G191" s="6" t="s">
        <v>4128</v>
      </c>
      <c r="I191" s="8">
        <v>82.351794930555613</v>
      </c>
      <c r="J191" s="8">
        <v>8.5771845833333327</v>
      </c>
      <c r="K191" s="24" t="s">
        <v>2610</v>
      </c>
      <c r="L191" s="9">
        <v>43979</v>
      </c>
      <c r="N191" s="6">
        <v>35</v>
      </c>
      <c r="O191" s="6" t="s">
        <v>4394</v>
      </c>
      <c r="V191" s="8">
        <v>-0.76921479174613938</v>
      </c>
      <c r="W191" s="8">
        <v>-5.1220330066680919</v>
      </c>
      <c r="X191" s="27">
        <f t="shared" si="2"/>
        <v>1.0316853273010231</v>
      </c>
    </row>
    <row r="192" spans="1:24" s="6" customFormat="1" x14ac:dyDescent="0.35">
      <c r="A192" s="17" t="s">
        <v>25</v>
      </c>
      <c r="B192" s="6" t="s">
        <v>3525</v>
      </c>
      <c r="D192" s="6" t="s">
        <v>3827</v>
      </c>
      <c r="E192" s="6">
        <v>3</v>
      </c>
      <c r="F192" s="6">
        <v>42</v>
      </c>
      <c r="G192" s="6" t="s">
        <v>4129</v>
      </c>
      <c r="I192" s="8">
        <v>82.183056805555537</v>
      </c>
      <c r="J192" s="8">
        <v>9.1676879166666652</v>
      </c>
      <c r="K192" s="24" t="s">
        <v>2610</v>
      </c>
      <c r="L192" s="9">
        <v>43980</v>
      </c>
      <c r="N192" s="6">
        <v>35</v>
      </c>
      <c r="O192" s="6" t="s">
        <v>4395</v>
      </c>
      <c r="V192" s="8">
        <v>-0.35929712364196809</v>
      </c>
      <c r="W192" s="8">
        <v>-2.421249469041824</v>
      </c>
      <c r="X192" s="27">
        <f t="shared" si="2"/>
        <v>0.45312752009392065</v>
      </c>
    </row>
    <row r="193" spans="1:24" s="6" customFormat="1" x14ac:dyDescent="0.35">
      <c r="A193" s="17" t="s">
        <v>25</v>
      </c>
      <c r="B193" s="6" t="s">
        <v>3526</v>
      </c>
      <c r="D193" s="6" t="s">
        <v>3828</v>
      </c>
      <c r="E193" s="6">
        <v>3</v>
      </c>
      <c r="F193" s="6">
        <v>42</v>
      </c>
      <c r="G193" s="6" t="s">
        <v>4130</v>
      </c>
      <c r="I193" s="8">
        <v>81.944864236111115</v>
      </c>
      <c r="J193" s="8">
        <v>9.4399991666666647</v>
      </c>
      <c r="K193" s="24" t="s">
        <v>2610</v>
      </c>
      <c r="L193" s="9">
        <v>43981</v>
      </c>
      <c r="N193" s="6">
        <v>35</v>
      </c>
      <c r="O193" s="6" t="s">
        <v>4367</v>
      </c>
      <c r="V193" s="8">
        <v>-0.36088105920076419</v>
      </c>
      <c r="W193" s="8">
        <v>-3.046954340457916</v>
      </c>
      <c r="X193" s="27">
        <f t="shared" si="2"/>
        <v>-0.15990586685180253</v>
      </c>
    </row>
    <row r="194" spans="1:24" s="6" customFormat="1" x14ac:dyDescent="0.35">
      <c r="A194" s="17" t="s">
        <v>25</v>
      </c>
      <c r="B194" s="6" t="s">
        <v>3527</v>
      </c>
      <c r="D194" s="6" t="s">
        <v>3829</v>
      </c>
      <c r="E194" s="6">
        <v>3</v>
      </c>
      <c r="F194" s="6">
        <v>42</v>
      </c>
      <c r="G194" s="6" t="s">
        <v>4131</v>
      </c>
      <c r="I194" s="8">
        <v>81.701359236111045</v>
      </c>
      <c r="J194" s="8">
        <v>9.8257005555555548</v>
      </c>
      <c r="K194" s="24" t="s">
        <v>2610</v>
      </c>
      <c r="L194" s="9">
        <v>43982</v>
      </c>
      <c r="N194" s="6">
        <v>36</v>
      </c>
      <c r="O194" s="6" t="s">
        <v>4396</v>
      </c>
      <c r="V194" s="8">
        <v>-0.37935338387012463</v>
      </c>
      <c r="W194" s="8">
        <v>-2.1065620429515834</v>
      </c>
      <c r="X194" s="27">
        <f t="shared" ref="X194:X257" si="3">W194-(8*V194)</f>
        <v>0.92826502800941357</v>
      </c>
    </row>
    <row r="195" spans="1:24" s="6" customFormat="1" x14ac:dyDescent="0.35">
      <c r="A195" s="17" t="s">
        <v>25</v>
      </c>
      <c r="B195" s="6" t="s">
        <v>3528</v>
      </c>
      <c r="D195" s="6" t="s">
        <v>3830</v>
      </c>
      <c r="E195" s="6">
        <v>3</v>
      </c>
      <c r="F195" s="6">
        <v>42</v>
      </c>
      <c r="G195" s="6" t="s">
        <v>4132</v>
      </c>
      <c r="I195" s="8">
        <v>81.330578263888881</v>
      </c>
      <c r="J195" s="8">
        <v>9.8487636111111083</v>
      </c>
      <c r="K195" s="24" t="s">
        <v>2610</v>
      </c>
      <c r="L195" s="9">
        <v>43983</v>
      </c>
      <c r="N195" s="6">
        <v>36</v>
      </c>
      <c r="O195" s="6" t="s">
        <v>4394</v>
      </c>
      <c r="V195" s="8">
        <v>5.9491628369172329E-2</v>
      </c>
      <c r="W195" s="8">
        <v>0.71402759599685661</v>
      </c>
      <c r="X195" s="27">
        <f t="shared" si="3"/>
        <v>0.23809456904347798</v>
      </c>
    </row>
    <row r="196" spans="1:24" s="6" customFormat="1" x14ac:dyDescent="0.35">
      <c r="A196" s="17" t="s">
        <v>25</v>
      </c>
      <c r="B196" s="6" t="s">
        <v>3529</v>
      </c>
      <c r="D196" s="6" t="s">
        <v>3831</v>
      </c>
      <c r="E196" s="6">
        <v>3</v>
      </c>
      <c r="F196" s="6">
        <v>42</v>
      </c>
      <c r="G196" s="6" t="s">
        <v>4133</v>
      </c>
      <c r="I196" s="8">
        <v>80.805486388888895</v>
      </c>
      <c r="J196" s="8">
        <v>9.7632063194444463</v>
      </c>
      <c r="K196" s="24" t="s">
        <v>2610</v>
      </c>
      <c r="L196" s="9">
        <v>43984</v>
      </c>
      <c r="N196" s="6">
        <v>36</v>
      </c>
      <c r="O196" s="6" t="s">
        <v>4397</v>
      </c>
      <c r="V196" s="8">
        <v>-0.20045081204295134</v>
      </c>
      <c r="W196" s="8">
        <v>-1.0510087419748304</v>
      </c>
      <c r="X196" s="27">
        <f t="shared" si="3"/>
        <v>0.55259775436878034</v>
      </c>
    </row>
    <row r="197" spans="1:24" s="6" customFormat="1" x14ac:dyDescent="0.35">
      <c r="A197" s="17" t="s">
        <v>25</v>
      </c>
      <c r="B197" s="6" t="s">
        <v>3530</v>
      </c>
      <c r="D197" s="6" t="s">
        <v>3832</v>
      </c>
      <c r="E197" s="6">
        <v>3</v>
      </c>
      <c r="F197" s="6">
        <v>42</v>
      </c>
      <c r="G197" s="6" t="s">
        <v>4134</v>
      </c>
      <c r="I197" s="8">
        <v>78.920245625000021</v>
      </c>
      <c r="J197" s="8">
        <v>9.9519227083333242</v>
      </c>
      <c r="K197" s="24" t="s">
        <v>2610</v>
      </c>
      <c r="L197" s="9">
        <v>43985</v>
      </c>
      <c r="N197" s="6">
        <v>36</v>
      </c>
      <c r="O197" s="6" t="s">
        <v>4392</v>
      </c>
      <c r="V197" s="8">
        <v>0.36426849555849999</v>
      </c>
      <c r="W197" s="8">
        <v>2.4258580641746521</v>
      </c>
      <c r="X197" s="27">
        <f t="shared" si="3"/>
        <v>-0.48828990029334784</v>
      </c>
    </row>
    <row r="198" spans="1:24" s="6" customFormat="1" x14ac:dyDescent="0.35">
      <c r="A198" s="17" t="s">
        <v>25</v>
      </c>
      <c r="B198" s="6" t="s">
        <v>3531</v>
      </c>
      <c r="D198" s="6" t="s">
        <v>3833</v>
      </c>
      <c r="E198" s="6">
        <v>4</v>
      </c>
      <c r="F198" s="6">
        <v>44</v>
      </c>
      <c r="G198" s="6" t="s">
        <v>4135</v>
      </c>
      <c r="I198" s="8">
        <v>81.646581875000038</v>
      </c>
      <c r="J198" s="8">
        <v>9.1562504166666585</v>
      </c>
      <c r="K198" s="24" t="s">
        <v>2610</v>
      </c>
      <c r="L198" s="9">
        <v>43993</v>
      </c>
      <c r="N198" s="6">
        <v>37</v>
      </c>
      <c r="O198" s="6" t="s">
        <v>4398</v>
      </c>
      <c r="V198" s="8">
        <v>-0.31581989488124818</v>
      </c>
      <c r="W198" s="8">
        <v>-2.5522902173995976</v>
      </c>
      <c r="X198" s="27">
        <f t="shared" si="3"/>
        <v>-2.5731058349612201E-2</v>
      </c>
    </row>
    <row r="199" spans="1:24" s="6" customFormat="1" x14ac:dyDescent="0.35">
      <c r="A199" s="17" t="s">
        <v>25</v>
      </c>
      <c r="B199" s="6" t="s">
        <v>3532</v>
      </c>
      <c r="D199" s="6" t="s">
        <v>3834</v>
      </c>
      <c r="E199" s="6">
        <v>4</v>
      </c>
      <c r="F199" s="6">
        <v>44</v>
      </c>
      <c r="G199" s="6" t="s">
        <v>4136</v>
      </c>
      <c r="I199" s="8">
        <v>82.10896951388888</v>
      </c>
      <c r="J199" s="8">
        <v>8.0361900000000013</v>
      </c>
      <c r="K199" s="24" t="s">
        <v>2610</v>
      </c>
      <c r="L199" s="9">
        <v>43994</v>
      </c>
      <c r="N199" s="6">
        <v>37</v>
      </c>
      <c r="O199" s="6" t="s">
        <v>4399</v>
      </c>
      <c r="V199" s="8">
        <v>-0.28132604965686797</v>
      </c>
      <c r="W199" s="8">
        <v>-2.0041245324611667</v>
      </c>
      <c r="X199" s="27">
        <f t="shared" si="3"/>
        <v>0.24648386479377704</v>
      </c>
    </row>
    <row r="200" spans="1:24" s="6" customFormat="1" x14ac:dyDescent="0.35">
      <c r="A200" s="17" t="s">
        <v>25</v>
      </c>
      <c r="B200" s="6" t="s">
        <v>3533</v>
      </c>
      <c r="D200" s="6" t="s">
        <v>3835</v>
      </c>
      <c r="E200" s="6">
        <v>4</v>
      </c>
      <c r="F200" s="6">
        <v>44</v>
      </c>
      <c r="G200" s="6" t="s">
        <v>4137</v>
      </c>
      <c r="I200" s="8">
        <v>82.130768000000003</v>
      </c>
      <c r="J200" s="8">
        <v>7.7027729999999996</v>
      </c>
      <c r="K200" s="24" t="s">
        <v>2610</v>
      </c>
      <c r="L200" s="9">
        <v>43995</v>
      </c>
      <c r="N200" s="6">
        <v>37</v>
      </c>
      <c r="O200" s="6" t="s">
        <v>4400</v>
      </c>
      <c r="V200" s="8">
        <v>-0.30176333475232159</v>
      </c>
      <c r="W200" s="8">
        <v>-1.9659753556251525</v>
      </c>
      <c r="X200" s="27">
        <f t="shared" si="3"/>
        <v>0.44813132239342024</v>
      </c>
    </row>
    <row r="201" spans="1:24" s="6" customFormat="1" x14ac:dyDescent="0.35">
      <c r="A201" s="17" t="s">
        <v>25</v>
      </c>
      <c r="B201" s="6" t="s">
        <v>3534</v>
      </c>
      <c r="D201" s="6" t="s">
        <v>3836</v>
      </c>
      <c r="E201" s="6">
        <v>4</v>
      </c>
      <c r="F201" s="6">
        <v>44</v>
      </c>
      <c r="G201" s="6" t="s">
        <v>4138</v>
      </c>
      <c r="I201" s="8">
        <v>82.042802500000008</v>
      </c>
      <c r="J201" s="8">
        <v>7.7622548611111064</v>
      </c>
      <c r="K201" s="24" t="s">
        <v>2610</v>
      </c>
      <c r="L201" s="9">
        <v>43996</v>
      </c>
      <c r="N201" s="6">
        <v>38</v>
      </c>
      <c r="O201" s="6" t="s">
        <v>4401</v>
      </c>
      <c r="V201" s="8">
        <v>-0.4070237699508672</v>
      </c>
      <c r="W201" s="8">
        <v>-2.517961045837402</v>
      </c>
      <c r="X201" s="27">
        <f t="shared" si="3"/>
        <v>0.73822911376953559</v>
      </c>
    </row>
    <row r="202" spans="1:24" s="6" customFormat="1" x14ac:dyDescent="0.35">
      <c r="A202" s="17" t="s">
        <v>25</v>
      </c>
      <c r="B202" s="6" t="s">
        <v>3535</v>
      </c>
      <c r="D202" s="6" t="s">
        <v>3837</v>
      </c>
      <c r="E202" s="6">
        <v>4</v>
      </c>
      <c r="F202" s="6">
        <v>44</v>
      </c>
      <c r="G202" s="6" t="s">
        <v>4139</v>
      </c>
      <c r="I202" s="8">
        <v>82.081697499999962</v>
      </c>
      <c r="J202" s="8">
        <v>8.1532415277777766</v>
      </c>
      <c r="K202" s="24" t="s">
        <v>2610</v>
      </c>
      <c r="L202" s="9">
        <v>43997</v>
      </c>
      <c r="N202" s="6">
        <v>38</v>
      </c>
      <c r="O202" s="6" t="s">
        <v>4364</v>
      </c>
      <c r="V202" s="8">
        <v>-0.36608874473571834</v>
      </c>
      <c r="W202" s="8">
        <v>-2.1653866592407227</v>
      </c>
      <c r="X202" s="27">
        <f t="shared" si="3"/>
        <v>0.76332329864502402</v>
      </c>
    </row>
    <row r="203" spans="1:24" s="6" customFormat="1" x14ac:dyDescent="0.35">
      <c r="A203" s="17" t="s">
        <v>25</v>
      </c>
      <c r="B203" s="6" t="s">
        <v>3536</v>
      </c>
      <c r="D203" s="6" t="s">
        <v>3838</v>
      </c>
      <c r="E203" s="6">
        <v>4</v>
      </c>
      <c r="F203" s="6">
        <v>44</v>
      </c>
      <c r="G203" s="6" t="s">
        <v>4140</v>
      </c>
      <c r="I203" s="8">
        <v>82.190150138888939</v>
      </c>
      <c r="J203" s="8">
        <v>8.2768229861111067</v>
      </c>
      <c r="K203" s="24" t="s">
        <v>2610</v>
      </c>
      <c r="L203" s="9">
        <v>43998</v>
      </c>
      <c r="N203" s="6">
        <v>38</v>
      </c>
      <c r="O203" s="6" t="s">
        <v>4402</v>
      </c>
      <c r="V203" s="8">
        <v>-0.37819925758838657</v>
      </c>
      <c r="W203" s="8">
        <v>-1.7734115119934086</v>
      </c>
      <c r="X203" s="27">
        <f t="shared" si="3"/>
        <v>1.252182548713684</v>
      </c>
    </row>
    <row r="204" spans="1:24" s="6" customFormat="1" x14ac:dyDescent="0.35">
      <c r="A204" s="17" t="s">
        <v>25</v>
      </c>
      <c r="B204" s="6" t="s">
        <v>3537</v>
      </c>
      <c r="D204" s="6" t="s">
        <v>3839</v>
      </c>
      <c r="E204" s="6">
        <v>4</v>
      </c>
      <c r="F204" s="6">
        <v>44</v>
      </c>
      <c r="G204" s="6" t="s">
        <v>4141</v>
      </c>
      <c r="I204" s="8">
        <v>82.140762013888875</v>
      </c>
      <c r="J204" s="8">
        <v>8.4283053472222242</v>
      </c>
      <c r="K204" s="24" t="s">
        <v>2610</v>
      </c>
      <c r="L204" s="9">
        <v>43999</v>
      </c>
      <c r="N204" s="6">
        <v>38</v>
      </c>
      <c r="O204" s="6" t="s">
        <v>4397</v>
      </c>
      <c r="V204" s="8">
        <v>-0.31916245642900426</v>
      </c>
      <c r="W204" s="8">
        <v>-1.5156866432189948</v>
      </c>
      <c r="X204" s="27">
        <f t="shared" si="3"/>
        <v>1.0376130082130393</v>
      </c>
    </row>
    <row r="205" spans="1:24" s="6" customFormat="1" x14ac:dyDescent="0.35">
      <c r="A205" s="17" t="s">
        <v>25</v>
      </c>
      <c r="B205" s="6" t="s">
        <v>3538</v>
      </c>
      <c r="D205" s="6" t="s">
        <v>3840</v>
      </c>
      <c r="E205" s="6">
        <v>4</v>
      </c>
      <c r="F205" s="6">
        <v>44</v>
      </c>
      <c r="G205" s="6" t="s">
        <v>4142</v>
      </c>
      <c r="I205" s="8">
        <v>82.026607708333287</v>
      </c>
      <c r="J205" s="8">
        <v>9.0529182638888948</v>
      </c>
      <c r="K205" s="24" t="s">
        <v>2610</v>
      </c>
      <c r="L205" s="9">
        <v>44002</v>
      </c>
      <c r="N205" s="6">
        <v>38</v>
      </c>
      <c r="O205" s="6" t="s">
        <v>4404</v>
      </c>
      <c r="V205" s="8">
        <v>-0.41148409936428071</v>
      </c>
      <c r="W205" s="8">
        <v>-1.6132879100799564</v>
      </c>
      <c r="X205" s="27">
        <f t="shared" si="3"/>
        <v>1.6785848848342892</v>
      </c>
    </row>
    <row r="206" spans="1:24" s="6" customFormat="1" x14ac:dyDescent="0.35">
      <c r="A206" s="17" t="s">
        <v>25</v>
      </c>
      <c r="B206" s="6" t="s">
        <v>3539</v>
      </c>
      <c r="D206" s="6" t="s">
        <v>3841</v>
      </c>
      <c r="E206" s="6">
        <v>4</v>
      </c>
      <c r="F206" s="6">
        <v>44</v>
      </c>
      <c r="G206" s="6" t="s">
        <v>4143</v>
      </c>
      <c r="I206" s="8">
        <v>81.988544513888883</v>
      </c>
      <c r="J206" s="8">
        <v>9.1050100694444431</v>
      </c>
      <c r="K206" s="24" t="s">
        <v>2610</v>
      </c>
      <c r="L206" s="9">
        <v>44003</v>
      </c>
      <c r="N206" s="6">
        <v>39</v>
      </c>
      <c r="O206" s="6" t="s">
        <v>4398</v>
      </c>
      <c r="V206" s="8">
        <v>-0.38886459264755296</v>
      </c>
      <c r="W206" s="8">
        <v>-2.3957403198242186</v>
      </c>
      <c r="X206" s="27">
        <f t="shared" si="3"/>
        <v>0.71517642135620507</v>
      </c>
    </row>
    <row r="207" spans="1:24" s="6" customFormat="1" x14ac:dyDescent="0.35">
      <c r="A207" s="17" t="s">
        <v>25</v>
      </c>
      <c r="B207" s="6" t="s">
        <v>3540</v>
      </c>
      <c r="D207" s="6" t="s">
        <v>3842</v>
      </c>
      <c r="E207" s="6">
        <v>4</v>
      </c>
      <c r="F207" s="6">
        <v>44</v>
      </c>
      <c r="G207" s="6" t="s">
        <v>4144</v>
      </c>
      <c r="I207" s="8">
        <v>81.975306180555606</v>
      </c>
      <c r="J207" s="8">
        <v>9.2425022222222193</v>
      </c>
      <c r="K207" s="24" t="s">
        <v>2610</v>
      </c>
      <c r="L207" s="9">
        <v>44004</v>
      </c>
      <c r="N207" s="6">
        <v>39</v>
      </c>
      <c r="O207" s="6" t="s">
        <v>4405</v>
      </c>
      <c r="V207" s="8">
        <v>-0.35786966476440435</v>
      </c>
      <c r="W207" s="8">
        <v>-1.3302064949035648</v>
      </c>
      <c r="X207" s="27">
        <f t="shared" si="3"/>
        <v>1.53275082321167</v>
      </c>
    </row>
    <row r="208" spans="1:24" s="6" customFormat="1" x14ac:dyDescent="0.35">
      <c r="A208" s="17" t="s">
        <v>25</v>
      </c>
      <c r="B208" s="6" t="s">
        <v>3541</v>
      </c>
      <c r="D208" s="6" t="s">
        <v>3843</v>
      </c>
      <c r="E208" s="6">
        <v>4</v>
      </c>
      <c r="F208" s="6">
        <v>44</v>
      </c>
      <c r="G208" s="6" t="s">
        <v>4145</v>
      </c>
      <c r="I208" s="8">
        <v>81.998671000000002</v>
      </c>
      <c r="J208" s="8">
        <v>9.6965789999999998</v>
      </c>
      <c r="K208" s="24" t="s">
        <v>2610</v>
      </c>
      <c r="L208" s="9">
        <v>44005</v>
      </c>
      <c r="N208" s="6">
        <v>39</v>
      </c>
      <c r="O208" s="6" t="s">
        <v>4406</v>
      </c>
      <c r="V208" s="8">
        <v>-0.28233820531368303</v>
      </c>
      <c r="W208" s="8">
        <v>-1.6679245468139652</v>
      </c>
      <c r="X208" s="27">
        <f t="shared" si="3"/>
        <v>0.59078109569549908</v>
      </c>
    </row>
    <row r="209" spans="1:24" s="6" customFormat="1" x14ac:dyDescent="0.35">
      <c r="A209" s="17" t="s">
        <v>25</v>
      </c>
      <c r="B209" s="6" t="s">
        <v>3542</v>
      </c>
      <c r="D209" s="6" t="s">
        <v>3844</v>
      </c>
      <c r="E209" s="6">
        <v>4</v>
      </c>
      <c r="F209" s="6">
        <v>44</v>
      </c>
      <c r="G209" s="6" t="s">
        <v>4146</v>
      </c>
      <c r="I209" s="8">
        <v>82.037769513888918</v>
      </c>
      <c r="J209" s="8">
        <v>9.8725423611111118</v>
      </c>
      <c r="K209" s="24" t="s">
        <v>2610</v>
      </c>
      <c r="L209" s="9">
        <v>44006</v>
      </c>
      <c r="N209" s="6">
        <v>39</v>
      </c>
      <c r="O209" s="6" t="s">
        <v>4407</v>
      </c>
      <c r="V209" s="8">
        <v>-0.43097238752841954</v>
      </c>
      <c r="W209" s="8">
        <v>-2.6269236618042</v>
      </c>
      <c r="X209" s="27">
        <f t="shared" si="3"/>
        <v>0.82085543842315634</v>
      </c>
    </row>
    <row r="210" spans="1:24" s="6" customFormat="1" x14ac:dyDescent="0.35">
      <c r="A210" s="17" t="s">
        <v>25</v>
      </c>
      <c r="B210" s="6" t="s">
        <v>3543</v>
      </c>
      <c r="D210" s="6" t="s">
        <v>3845</v>
      </c>
      <c r="E210" s="6">
        <v>4</v>
      </c>
      <c r="F210" s="6">
        <v>44</v>
      </c>
      <c r="G210" s="6" t="s">
        <v>4147</v>
      </c>
      <c r="I210" s="8">
        <v>82.019354097222205</v>
      </c>
      <c r="J210" s="8">
        <v>10.040310555555557</v>
      </c>
      <c r="K210" s="24" t="s">
        <v>2610</v>
      </c>
      <c r="L210" s="9">
        <v>44008</v>
      </c>
      <c r="N210" s="6">
        <v>39</v>
      </c>
      <c r="O210" s="6" t="s">
        <v>4408</v>
      </c>
      <c r="V210" s="8">
        <v>-0.53388035211563079</v>
      </c>
      <c r="W210" s="8">
        <v>-2.0505301834106442</v>
      </c>
      <c r="X210" s="27">
        <f t="shared" si="3"/>
        <v>2.2205126335144021</v>
      </c>
    </row>
    <row r="211" spans="1:24" s="6" customFormat="1" x14ac:dyDescent="0.35">
      <c r="A211" s="17" t="s">
        <v>25</v>
      </c>
      <c r="B211" s="6" t="s">
        <v>3544</v>
      </c>
      <c r="D211" s="6" t="s">
        <v>3846</v>
      </c>
      <c r="E211" s="6">
        <v>4</v>
      </c>
      <c r="F211" s="6">
        <v>44</v>
      </c>
      <c r="G211" s="6" t="s">
        <v>4148</v>
      </c>
      <c r="I211" s="8">
        <v>81.873215000000002</v>
      </c>
      <c r="J211" s="8">
        <v>9.4726710000000001</v>
      </c>
      <c r="K211" s="24" t="s">
        <v>2610</v>
      </c>
      <c r="L211" s="9">
        <v>44010</v>
      </c>
      <c r="N211" s="6">
        <v>40</v>
      </c>
      <c r="O211" s="6" t="s">
        <v>4406</v>
      </c>
      <c r="V211" s="8">
        <v>-0.47968175733685514</v>
      </c>
      <c r="W211" s="8">
        <v>-2.5604380815982823</v>
      </c>
      <c r="X211" s="27">
        <f t="shared" si="3"/>
        <v>1.2770159770965588</v>
      </c>
    </row>
    <row r="212" spans="1:24" s="6" customFormat="1" x14ac:dyDescent="0.35">
      <c r="A212" s="17" t="s">
        <v>25</v>
      </c>
      <c r="B212" s="6" t="s">
        <v>3545</v>
      </c>
      <c r="D212" s="6" t="s">
        <v>3847</v>
      </c>
      <c r="E212" s="6">
        <v>4</v>
      </c>
      <c r="F212" s="6">
        <v>45</v>
      </c>
      <c r="G212" s="6" t="s">
        <v>4149</v>
      </c>
      <c r="I212" s="8">
        <v>81.81871298611108</v>
      </c>
      <c r="J212" s="8">
        <v>9.0873149305555625</v>
      </c>
      <c r="K212" s="24" t="s">
        <v>2610</v>
      </c>
      <c r="L212" s="9">
        <v>44011</v>
      </c>
      <c r="N212" s="6">
        <v>40</v>
      </c>
      <c r="O212" s="6" t="s">
        <v>4409</v>
      </c>
      <c r="V212" s="8">
        <v>-0.41308252725601202</v>
      </c>
      <c r="W212" s="8">
        <v>-2.454146791166067</v>
      </c>
      <c r="X212" s="27">
        <f t="shared" si="3"/>
        <v>0.85051342688202913</v>
      </c>
    </row>
    <row r="213" spans="1:24" s="6" customFormat="1" x14ac:dyDescent="0.35">
      <c r="A213" s="17" t="s">
        <v>25</v>
      </c>
      <c r="B213" s="6" t="s">
        <v>3546</v>
      </c>
      <c r="D213" s="6" t="s">
        <v>3848</v>
      </c>
      <c r="E213" s="6">
        <v>4</v>
      </c>
      <c r="F213" s="6">
        <v>45</v>
      </c>
      <c r="G213" s="6" t="s">
        <v>4150</v>
      </c>
      <c r="I213" s="8">
        <v>81.7891400694444</v>
      </c>
      <c r="J213" s="8">
        <v>8.92411722222222</v>
      </c>
      <c r="K213" s="24" t="s">
        <v>2610</v>
      </c>
      <c r="L213" s="9">
        <v>44012</v>
      </c>
      <c r="N213" s="6">
        <v>40</v>
      </c>
      <c r="O213" s="6" t="s">
        <v>4406</v>
      </c>
      <c r="V213" s="8">
        <v>-0.36561384574174888</v>
      </c>
      <c r="W213" s="8">
        <v>-2.2795440323114393</v>
      </c>
      <c r="X213" s="27">
        <f t="shared" si="3"/>
        <v>0.6453667336225517</v>
      </c>
    </row>
    <row r="214" spans="1:24" s="6" customFormat="1" x14ac:dyDescent="0.35">
      <c r="A214" s="17" t="s">
        <v>25</v>
      </c>
      <c r="B214" s="6" t="s">
        <v>3547</v>
      </c>
      <c r="D214" s="6" t="s">
        <v>3849</v>
      </c>
      <c r="E214" s="6">
        <v>4</v>
      </c>
      <c r="F214" s="6">
        <v>45</v>
      </c>
      <c r="G214" s="6" t="s">
        <v>4151</v>
      </c>
      <c r="I214" s="8">
        <v>81.722491180555622</v>
      </c>
      <c r="J214" s="8">
        <v>8.4253868749999992</v>
      </c>
      <c r="K214" s="24" t="s">
        <v>2610</v>
      </c>
      <c r="L214" s="9">
        <v>44014</v>
      </c>
      <c r="N214" s="6">
        <v>40</v>
      </c>
      <c r="O214" s="6" t="s">
        <v>4381</v>
      </c>
      <c r="V214" s="8">
        <v>-0.37673834775924719</v>
      </c>
      <c r="W214" s="8">
        <v>-2.6706667983531953</v>
      </c>
      <c r="X214" s="27">
        <f t="shared" si="3"/>
        <v>0.34323998372078224</v>
      </c>
    </row>
    <row r="215" spans="1:24" s="6" customFormat="1" x14ac:dyDescent="0.35">
      <c r="A215" s="17" t="s">
        <v>25</v>
      </c>
      <c r="B215" s="6" t="s">
        <v>3548</v>
      </c>
      <c r="D215" s="6" t="s">
        <v>3850</v>
      </c>
      <c r="E215" s="6">
        <v>4</v>
      </c>
      <c r="F215" s="6">
        <v>45</v>
      </c>
      <c r="G215" s="6" t="s">
        <v>4152</v>
      </c>
      <c r="I215" s="8">
        <v>81.68473201388889</v>
      </c>
      <c r="J215" s="8">
        <v>7.5387876388888913</v>
      </c>
      <c r="K215" s="24" t="s">
        <v>2610</v>
      </c>
      <c r="L215" s="9">
        <v>44015</v>
      </c>
      <c r="N215" s="6">
        <v>40</v>
      </c>
      <c r="O215" s="6" t="s">
        <v>4410</v>
      </c>
      <c r="V215" s="8">
        <v>-0.17517975591659557</v>
      </c>
      <c r="W215" s="8">
        <v>-2.5476228189468384</v>
      </c>
      <c r="X215" s="27">
        <f t="shared" si="3"/>
        <v>-1.1461847716140738</v>
      </c>
    </row>
    <row r="216" spans="1:24" s="6" customFormat="1" x14ac:dyDescent="0.35">
      <c r="A216" s="17" t="s">
        <v>25</v>
      </c>
      <c r="B216" s="6" t="s">
        <v>3549</v>
      </c>
      <c r="D216" s="6" t="s">
        <v>3851</v>
      </c>
      <c r="E216" s="6">
        <v>4</v>
      </c>
      <c r="F216" s="6">
        <v>45</v>
      </c>
      <c r="G216" s="6" t="s">
        <v>4153</v>
      </c>
      <c r="I216" s="8">
        <v>81.712099444444448</v>
      </c>
      <c r="J216" s="8">
        <v>6.7552176388888867</v>
      </c>
      <c r="K216" s="24" t="s">
        <v>2610</v>
      </c>
      <c r="L216" s="9">
        <v>44016</v>
      </c>
      <c r="N216" s="6">
        <v>40</v>
      </c>
      <c r="O216" s="6" t="s">
        <v>4411</v>
      </c>
      <c r="V216" s="8">
        <v>-0.36710217927932776</v>
      </c>
      <c r="W216" s="8">
        <v>-2.5606800508499146</v>
      </c>
      <c r="X216" s="27">
        <f t="shared" si="3"/>
        <v>0.37613738338470748</v>
      </c>
    </row>
    <row r="217" spans="1:24" s="6" customFormat="1" x14ac:dyDescent="0.35">
      <c r="A217" s="17" t="s">
        <v>25</v>
      </c>
      <c r="B217" s="6" t="s">
        <v>3550</v>
      </c>
      <c r="D217" s="6" t="s">
        <v>3852</v>
      </c>
      <c r="E217" s="6">
        <v>4</v>
      </c>
      <c r="F217" s="6">
        <v>45</v>
      </c>
      <c r="G217" s="6" t="s">
        <v>4154</v>
      </c>
      <c r="I217" s="8">
        <v>81.703166041666634</v>
      </c>
      <c r="J217" s="8">
        <v>6.2173304861111127</v>
      </c>
      <c r="K217" s="24" t="s">
        <v>2610</v>
      </c>
      <c r="L217" s="9">
        <v>44017</v>
      </c>
      <c r="N217" s="6">
        <v>41</v>
      </c>
      <c r="O217" s="6" t="s">
        <v>4412</v>
      </c>
      <c r="V217" s="8">
        <v>-0.37439886497497549</v>
      </c>
      <c r="W217" s="8">
        <v>-1.9735201686620711</v>
      </c>
      <c r="X217" s="27">
        <f t="shared" si="3"/>
        <v>1.0216707511377328</v>
      </c>
    </row>
    <row r="218" spans="1:24" s="6" customFormat="1" x14ac:dyDescent="0.35">
      <c r="A218" s="17" t="s">
        <v>25</v>
      </c>
      <c r="B218" s="6" t="s">
        <v>3551</v>
      </c>
      <c r="D218" s="6" t="s">
        <v>3853</v>
      </c>
      <c r="E218" s="6">
        <v>4</v>
      </c>
      <c r="F218" s="6">
        <v>46</v>
      </c>
      <c r="G218" s="6" t="s">
        <v>4155</v>
      </c>
      <c r="I218" s="8">
        <v>81.685643263888906</v>
      </c>
      <c r="J218" s="8">
        <v>5.3733415277777796</v>
      </c>
      <c r="K218" s="24" t="s">
        <v>2610</v>
      </c>
      <c r="L218" s="9">
        <v>44018</v>
      </c>
      <c r="N218" s="6">
        <v>41</v>
      </c>
      <c r="O218" s="6" t="s">
        <v>4413</v>
      </c>
      <c r="V218" s="8">
        <v>-0.36950958417892482</v>
      </c>
      <c r="W218" s="8">
        <v>-2.244969452023506</v>
      </c>
      <c r="X218" s="27">
        <f t="shared" si="3"/>
        <v>0.71110722140789262</v>
      </c>
    </row>
    <row r="219" spans="1:24" s="6" customFormat="1" x14ac:dyDescent="0.35">
      <c r="A219" s="17" t="s">
        <v>25</v>
      </c>
      <c r="B219" s="6" t="s">
        <v>3552</v>
      </c>
      <c r="D219" s="6" t="s">
        <v>3854</v>
      </c>
      <c r="E219" s="6">
        <v>4</v>
      </c>
      <c r="F219" s="6">
        <v>46</v>
      </c>
      <c r="G219" s="6" t="s">
        <v>4156</v>
      </c>
      <c r="I219" s="8">
        <v>81.637917999999999</v>
      </c>
      <c r="J219" s="8">
        <v>4.4815719999999999</v>
      </c>
      <c r="K219" s="24" t="s">
        <v>2610</v>
      </c>
      <c r="L219" s="9">
        <v>44019</v>
      </c>
      <c r="N219" s="6">
        <v>41</v>
      </c>
      <c r="O219" s="6" t="s">
        <v>4414</v>
      </c>
      <c r="V219" s="8">
        <v>-0.3133983766937255</v>
      </c>
      <c r="W219" s="8">
        <v>-2.6556169295310976</v>
      </c>
      <c r="X219" s="27">
        <f t="shared" si="3"/>
        <v>-0.14842991598129363</v>
      </c>
    </row>
    <row r="220" spans="1:24" s="6" customFormat="1" x14ac:dyDescent="0.35">
      <c r="A220" s="17" t="s">
        <v>25</v>
      </c>
      <c r="B220" s="6" t="s">
        <v>3553</v>
      </c>
      <c r="D220" s="6" t="s">
        <v>3855</v>
      </c>
      <c r="E220" s="6">
        <v>4</v>
      </c>
      <c r="F220" s="6">
        <v>46</v>
      </c>
      <c r="G220" s="6" t="s">
        <v>4157</v>
      </c>
      <c r="I220" s="8">
        <v>81.597795000000005</v>
      </c>
      <c r="J220" s="8">
        <v>3.265714</v>
      </c>
      <c r="K220" s="24" t="s">
        <v>2610</v>
      </c>
      <c r="L220" s="9">
        <v>44020</v>
      </c>
      <c r="N220" s="6">
        <v>41</v>
      </c>
      <c r="O220" s="6" t="s">
        <v>4412</v>
      </c>
      <c r="V220" s="8">
        <v>-0.68053065799713131</v>
      </c>
      <c r="W220" s="8">
        <v>-4.8210094809532169</v>
      </c>
      <c r="X220" s="27">
        <f t="shared" si="3"/>
        <v>0.62323578302383353</v>
      </c>
    </row>
    <row r="221" spans="1:24" s="6" customFormat="1" x14ac:dyDescent="0.35">
      <c r="A221" s="17" t="s">
        <v>25</v>
      </c>
      <c r="B221" s="6" t="s">
        <v>3554</v>
      </c>
      <c r="D221" s="6" t="s">
        <v>3856</v>
      </c>
      <c r="E221" s="6">
        <v>4</v>
      </c>
      <c r="F221" s="6">
        <v>46</v>
      </c>
      <c r="G221" s="6" t="s">
        <v>4158</v>
      </c>
      <c r="I221" s="8">
        <v>81.542651666666686</v>
      </c>
      <c r="J221" s="8">
        <v>2.5603885416666659</v>
      </c>
      <c r="K221" s="24" t="s">
        <v>2610</v>
      </c>
      <c r="L221" s="9">
        <v>44021</v>
      </c>
      <c r="N221" s="6">
        <v>41</v>
      </c>
      <c r="O221" s="6" t="s">
        <v>4403</v>
      </c>
      <c r="V221" s="8">
        <v>-0.58207994007110642</v>
      </c>
      <c r="W221" s="8">
        <v>-3.8470818257331851</v>
      </c>
      <c r="X221" s="27">
        <f t="shared" si="3"/>
        <v>0.8095576948356662</v>
      </c>
    </row>
    <row r="222" spans="1:24" s="6" customFormat="1" x14ac:dyDescent="0.35">
      <c r="A222" s="17" t="s">
        <v>25</v>
      </c>
      <c r="B222" s="6" t="s">
        <v>3555</v>
      </c>
      <c r="D222" s="6" t="s">
        <v>3857</v>
      </c>
      <c r="E222" s="6">
        <v>4</v>
      </c>
      <c r="F222" s="6">
        <v>46</v>
      </c>
      <c r="G222" s="6" t="s">
        <v>4159</v>
      </c>
      <c r="I222" s="8">
        <v>81.454913541666627</v>
      </c>
      <c r="J222" s="8">
        <v>1.4914145833333337</v>
      </c>
      <c r="K222" s="24" t="s">
        <v>2610</v>
      </c>
      <c r="L222" s="9">
        <v>44023</v>
      </c>
      <c r="N222" s="6">
        <v>41</v>
      </c>
      <c r="O222" s="6" t="s">
        <v>4415</v>
      </c>
      <c r="V222" s="8">
        <v>-0.53102984642028828</v>
      </c>
      <c r="W222" s="8">
        <v>-3.5569853591918941</v>
      </c>
      <c r="X222" s="27">
        <f t="shared" si="3"/>
        <v>0.69125341217041214</v>
      </c>
    </row>
    <row r="223" spans="1:24" s="6" customFormat="1" x14ac:dyDescent="0.35">
      <c r="A223" s="17" t="s">
        <v>25</v>
      </c>
      <c r="B223" s="6" t="s">
        <v>3556</v>
      </c>
      <c r="D223" s="6" t="s">
        <v>3858</v>
      </c>
      <c r="E223" s="6">
        <v>4</v>
      </c>
      <c r="F223" s="6">
        <v>46</v>
      </c>
      <c r="G223" s="6" t="s">
        <v>4160</v>
      </c>
      <c r="I223" s="8">
        <v>81.4448402777778</v>
      </c>
      <c r="J223" s="8">
        <v>0.51624180555555554</v>
      </c>
      <c r="K223" s="24" t="s">
        <v>2610</v>
      </c>
      <c r="L223" s="9">
        <v>44024</v>
      </c>
      <c r="N223" s="6">
        <v>42</v>
      </c>
      <c r="O223" s="6" t="s">
        <v>4416</v>
      </c>
      <c r="V223" s="8">
        <v>-1.0746496183776859</v>
      </c>
      <c r="W223" s="8">
        <v>-7.7596527147293095</v>
      </c>
      <c r="X223" s="27">
        <f t="shared" si="3"/>
        <v>0.83754423229217778</v>
      </c>
    </row>
    <row r="224" spans="1:24" s="6" customFormat="1" x14ac:dyDescent="0.35">
      <c r="A224" s="17" t="s">
        <v>25</v>
      </c>
      <c r="B224" s="6" t="s">
        <v>3557</v>
      </c>
      <c r="D224" s="6" t="s">
        <v>3859</v>
      </c>
      <c r="E224" s="6">
        <v>4</v>
      </c>
      <c r="F224" s="6">
        <v>47</v>
      </c>
      <c r="G224" s="6" t="s">
        <v>4161</v>
      </c>
      <c r="I224" s="8">
        <v>81.417819374999993</v>
      </c>
      <c r="J224" s="8">
        <v>0.28587430555555599</v>
      </c>
      <c r="K224" s="24" t="s">
        <v>2610</v>
      </c>
      <c r="L224" s="9">
        <v>44025</v>
      </c>
      <c r="N224" s="6">
        <v>42</v>
      </c>
      <c r="O224" s="6" t="s">
        <v>4403</v>
      </c>
      <c r="V224" s="8">
        <v>-1.0314438086366648</v>
      </c>
      <c r="W224" s="8">
        <v>-8.1108521906852733</v>
      </c>
      <c r="X224" s="27">
        <f t="shared" si="3"/>
        <v>0.1406982784080455</v>
      </c>
    </row>
    <row r="225" spans="1:24" s="6" customFormat="1" x14ac:dyDescent="0.35">
      <c r="A225" s="17" t="s">
        <v>25</v>
      </c>
      <c r="B225" s="6" t="s">
        <v>3558</v>
      </c>
      <c r="D225" s="6" t="s">
        <v>3860</v>
      </c>
      <c r="E225" s="6">
        <v>4</v>
      </c>
      <c r="F225" s="6">
        <v>47</v>
      </c>
      <c r="G225" s="6" t="s">
        <v>4162</v>
      </c>
      <c r="I225" s="8">
        <v>81.392386000000002</v>
      </c>
      <c r="J225" s="8">
        <v>0.245254</v>
      </c>
      <c r="K225" s="24" t="s">
        <v>2610</v>
      </c>
      <c r="L225" s="9">
        <v>44026</v>
      </c>
      <c r="N225" s="6">
        <v>42</v>
      </c>
      <c r="O225" s="6" t="s">
        <v>4409</v>
      </c>
      <c r="V225" s="8">
        <v>-1.0776702370262146</v>
      </c>
      <c r="W225" s="8">
        <v>-7.9682728898048412</v>
      </c>
      <c r="X225" s="27">
        <f t="shared" si="3"/>
        <v>0.65308900640487533</v>
      </c>
    </row>
    <row r="226" spans="1:24" s="6" customFormat="1" x14ac:dyDescent="0.35">
      <c r="A226" s="17" t="s">
        <v>25</v>
      </c>
      <c r="B226" s="6" t="s">
        <v>3559</v>
      </c>
      <c r="D226" s="6" t="s">
        <v>3861</v>
      </c>
      <c r="E226" s="6">
        <v>4</v>
      </c>
      <c r="F226" s="6">
        <v>47</v>
      </c>
      <c r="G226" s="6" t="s">
        <v>4163</v>
      </c>
      <c r="I226" s="8">
        <v>81.300452222222219</v>
      </c>
      <c r="J226" s="8">
        <v>0.31847694444444458</v>
      </c>
      <c r="K226" s="24" t="s">
        <v>2610</v>
      </c>
      <c r="L226" s="9">
        <v>44027</v>
      </c>
      <c r="N226" s="6">
        <v>42</v>
      </c>
      <c r="O226" s="6" t="s">
        <v>4405</v>
      </c>
      <c r="V226" s="8">
        <v>-0.78781884517431211</v>
      </c>
      <c r="W226" s="8">
        <v>-5.9303494779586794</v>
      </c>
      <c r="X226" s="27">
        <f t="shared" si="3"/>
        <v>0.37220128343581749</v>
      </c>
    </row>
    <row r="227" spans="1:24" s="6" customFormat="1" x14ac:dyDescent="0.35">
      <c r="A227" s="17" t="s">
        <v>25</v>
      </c>
      <c r="B227" s="6" t="s">
        <v>3560</v>
      </c>
      <c r="D227" s="6" t="s">
        <v>3862</v>
      </c>
      <c r="E227" s="6">
        <v>4</v>
      </c>
      <c r="F227" s="6">
        <v>47</v>
      </c>
      <c r="G227" s="6" t="s">
        <v>4164</v>
      </c>
      <c r="I227" s="8">
        <v>81.228111944444393</v>
      </c>
      <c r="J227" s="8">
        <v>0.29387805555555546</v>
      </c>
      <c r="K227" s="24" t="s">
        <v>2610</v>
      </c>
      <c r="L227" s="9">
        <v>44028</v>
      </c>
      <c r="N227" s="6">
        <v>42</v>
      </c>
      <c r="O227" s="6" t="s">
        <v>4412</v>
      </c>
      <c r="V227" s="8">
        <v>-1.778725078544616</v>
      </c>
      <c r="W227" s="8">
        <v>-12.559612646293639</v>
      </c>
      <c r="X227" s="27">
        <f t="shared" si="3"/>
        <v>1.6701879820632897</v>
      </c>
    </row>
    <row r="228" spans="1:24" s="6" customFormat="1" x14ac:dyDescent="0.35">
      <c r="A228" s="17" t="s">
        <v>25</v>
      </c>
      <c r="B228" s="6" t="s">
        <v>3561</v>
      </c>
      <c r="D228" s="6" t="s">
        <v>3863</v>
      </c>
      <c r="E228" s="6">
        <v>4</v>
      </c>
      <c r="F228" s="6">
        <v>47</v>
      </c>
      <c r="G228" s="6" t="s">
        <v>4165</v>
      </c>
      <c r="I228" s="8">
        <v>81.14787243055558</v>
      </c>
      <c r="J228" s="8">
        <v>0.35150263888888889</v>
      </c>
      <c r="K228" s="24" t="s">
        <v>2610</v>
      </c>
      <c r="L228" s="9">
        <v>44029</v>
      </c>
      <c r="N228" s="6">
        <v>42</v>
      </c>
      <c r="O228" s="6" t="s">
        <v>4403</v>
      </c>
      <c r="V228" s="8">
        <v>-1.4417204932785033</v>
      </c>
      <c r="W228" s="8">
        <v>-11.996799467277526</v>
      </c>
      <c r="X228" s="27">
        <f t="shared" si="3"/>
        <v>-0.46303552104950008</v>
      </c>
    </row>
    <row r="229" spans="1:24" s="6" customFormat="1" x14ac:dyDescent="0.35">
      <c r="A229" s="17" t="s">
        <v>25</v>
      </c>
      <c r="B229" s="6" t="s">
        <v>3562</v>
      </c>
      <c r="D229" s="6" t="s">
        <v>3864</v>
      </c>
      <c r="E229" s="6">
        <v>4</v>
      </c>
      <c r="F229" s="6">
        <v>47</v>
      </c>
      <c r="G229" s="6" t="s">
        <v>4166</v>
      </c>
      <c r="I229" s="8">
        <v>81.037749722222202</v>
      </c>
      <c r="J229" s="8">
        <v>0.36575368055555602</v>
      </c>
      <c r="K229" s="24" t="s">
        <v>2610</v>
      </c>
      <c r="L229" s="9">
        <v>44030</v>
      </c>
      <c r="N229" s="6">
        <v>42</v>
      </c>
      <c r="O229" s="6" t="s">
        <v>4417</v>
      </c>
      <c r="V229" s="8">
        <v>-1.7402143056011197</v>
      </c>
      <c r="W229" s="8">
        <v>-13.98988066215515</v>
      </c>
      <c r="X229" s="27">
        <f t="shared" si="3"/>
        <v>-6.8166217346192326E-2</v>
      </c>
    </row>
    <row r="230" spans="1:24" s="6" customFormat="1" x14ac:dyDescent="0.35">
      <c r="A230" s="17" t="s">
        <v>25</v>
      </c>
      <c r="B230" s="6" t="s">
        <v>3563</v>
      </c>
      <c r="D230" s="6" t="s">
        <v>3865</v>
      </c>
      <c r="E230" s="6">
        <v>4</v>
      </c>
      <c r="F230" s="6">
        <v>47</v>
      </c>
      <c r="G230" s="6" t="s">
        <v>4167</v>
      </c>
      <c r="I230" s="8">
        <v>80.888305694444455</v>
      </c>
      <c r="J230" s="8">
        <v>-0.14805444444444441</v>
      </c>
      <c r="K230" s="24" t="s">
        <v>2610</v>
      </c>
      <c r="L230" s="9">
        <v>44031</v>
      </c>
      <c r="N230" s="6">
        <v>43</v>
      </c>
      <c r="O230" s="6" t="s">
        <v>4403</v>
      </c>
      <c r="V230" s="8">
        <v>-1.9532856092071531</v>
      </c>
      <c r="W230" s="8">
        <v>-14.069334483337402</v>
      </c>
      <c r="X230" s="27">
        <f t="shared" si="3"/>
        <v>1.5569503903198232</v>
      </c>
    </row>
    <row r="231" spans="1:24" s="6" customFormat="1" x14ac:dyDescent="0.35">
      <c r="A231" s="17" t="s">
        <v>25</v>
      </c>
      <c r="B231" s="6" t="s">
        <v>3564</v>
      </c>
      <c r="D231" s="6" t="s">
        <v>3866</v>
      </c>
      <c r="E231" s="6">
        <v>4</v>
      </c>
      <c r="F231" s="6">
        <v>48</v>
      </c>
      <c r="G231" s="6" t="s">
        <v>4168</v>
      </c>
      <c r="I231" s="8">
        <v>80.606701388888894</v>
      </c>
      <c r="J231" s="8">
        <v>-0.56539812499999997</v>
      </c>
      <c r="K231" s="24" t="s">
        <v>2610</v>
      </c>
      <c r="L231" s="9">
        <v>44033</v>
      </c>
      <c r="N231" s="6">
        <v>43</v>
      </c>
      <c r="O231" s="6" t="s">
        <v>4395</v>
      </c>
      <c r="V231" s="8">
        <v>-1.8188331309175489</v>
      </c>
      <c r="W231" s="8">
        <v>-13.930426861953734</v>
      </c>
      <c r="X231" s="27">
        <f t="shared" si="3"/>
        <v>0.62023818538665765</v>
      </c>
    </row>
    <row r="232" spans="1:24" s="6" customFormat="1" x14ac:dyDescent="0.35">
      <c r="A232" s="17" t="s">
        <v>25</v>
      </c>
      <c r="B232" s="6" t="s">
        <v>3565</v>
      </c>
      <c r="D232" s="6" t="s">
        <v>3867</v>
      </c>
      <c r="E232" s="6">
        <v>4</v>
      </c>
      <c r="F232" s="6">
        <v>48</v>
      </c>
      <c r="G232" s="6" t="s">
        <v>4169</v>
      </c>
      <c r="I232" s="8">
        <v>80.477765486111096</v>
      </c>
      <c r="J232" s="8">
        <v>-0.53689541666666696</v>
      </c>
      <c r="K232" s="24" t="s">
        <v>2610</v>
      </c>
      <c r="L232" s="9">
        <v>44034</v>
      </c>
      <c r="N232" s="6">
        <v>43</v>
      </c>
      <c r="O232" s="6" t="s">
        <v>4415</v>
      </c>
      <c r="V232" s="8">
        <v>-1.5752974687433241</v>
      </c>
      <c r="W232" s="8">
        <v>-12.785880722236632</v>
      </c>
      <c r="X232" s="27">
        <f t="shared" si="3"/>
        <v>-0.18350097229003914</v>
      </c>
    </row>
    <row r="233" spans="1:24" s="6" customFormat="1" x14ac:dyDescent="0.35">
      <c r="A233" s="17" t="s">
        <v>25</v>
      </c>
      <c r="B233" s="6" t="s">
        <v>3566</v>
      </c>
      <c r="D233" s="6" t="s">
        <v>3868</v>
      </c>
      <c r="E233" s="6">
        <v>4</v>
      </c>
      <c r="F233" s="6">
        <v>48</v>
      </c>
      <c r="G233" s="6" t="s">
        <v>4170</v>
      </c>
      <c r="I233" s="8">
        <v>80.351312638888928</v>
      </c>
      <c r="J233" s="8">
        <v>-0.63090777777777851</v>
      </c>
      <c r="K233" s="24" t="s">
        <v>2610</v>
      </c>
      <c r="L233" s="9">
        <v>44035</v>
      </c>
      <c r="N233" s="6">
        <v>43</v>
      </c>
      <c r="O233" s="6" t="s">
        <v>4412</v>
      </c>
      <c r="V233" s="8">
        <v>-1.9972488929843903</v>
      </c>
      <c r="W233" s="8">
        <v>-14.685791986656188</v>
      </c>
      <c r="X233" s="27">
        <f t="shared" si="3"/>
        <v>1.2921991572189349</v>
      </c>
    </row>
    <row r="234" spans="1:24" s="6" customFormat="1" x14ac:dyDescent="0.35">
      <c r="A234" s="17" t="s">
        <v>25</v>
      </c>
      <c r="B234" s="6" t="s">
        <v>3567</v>
      </c>
      <c r="D234" s="6" t="s">
        <v>3869</v>
      </c>
      <c r="E234" s="6">
        <v>4</v>
      </c>
      <c r="F234" s="6">
        <v>48</v>
      </c>
      <c r="G234" s="6" t="s">
        <v>4171</v>
      </c>
      <c r="I234" s="8">
        <v>80.198576000000003</v>
      </c>
      <c r="J234" s="8">
        <v>-0.57530899999999996</v>
      </c>
      <c r="K234" s="24" t="s">
        <v>2610</v>
      </c>
      <c r="L234" s="9">
        <v>44036</v>
      </c>
      <c r="N234" s="6">
        <v>43</v>
      </c>
      <c r="O234" s="6" t="s">
        <v>4417</v>
      </c>
      <c r="V234" s="8">
        <v>-2.1225323464155199</v>
      </c>
      <c r="W234" s="8">
        <v>-16.324970084190369</v>
      </c>
      <c r="X234" s="27">
        <f t="shared" si="3"/>
        <v>0.6552886871337904</v>
      </c>
    </row>
    <row r="235" spans="1:24" s="6" customFormat="1" x14ac:dyDescent="0.35">
      <c r="A235" s="17" t="s">
        <v>25</v>
      </c>
      <c r="B235" s="6" t="s">
        <v>3568</v>
      </c>
      <c r="D235" s="6" t="s">
        <v>3870</v>
      </c>
      <c r="E235" s="6">
        <v>4</v>
      </c>
      <c r="F235" s="6">
        <v>48</v>
      </c>
      <c r="G235" s="6" t="s">
        <v>4172</v>
      </c>
      <c r="I235" s="8">
        <v>79.992951000000005</v>
      </c>
      <c r="J235" s="8">
        <v>-0.65327800000000003</v>
      </c>
      <c r="K235" s="24" t="s">
        <v>2610</v>
      </c>
      <c r="L235" s="9">
        <v>44037</v>
      </c>
      <c r="N235" s="6">
        <v>44</v>
      </c>
      <c r="O235" s="6" t="s">
        <v>4392</v>
      </c>
      <c r="V235" s="8">
        <v>-2.3933294532775875</v>
      </c>
      <c r="W235" s="8">
        <v>-16.827364336013794</v>
      </c>
      <c r="X235" s="27">
        <f t="shared" si="3"/>
        <v>2.3192712902069061</v>
      </c>
    </row>
    <row r="236" spans="1:24" s="6" customFormat="1" x14ac:dyDescent="0.35">
      <c r="A236" s="17" t="s">
        <v>25</v>
      </c>
      <c r="B236" s="6" t="s">
        <v>3569</v>
      </c>
      <c r="D236" s="6" t="s">
        <v>3871</v>
      </c>
      <c r="E236" s="6">
        <v>4</v>
      </c>
      <c r="F236" s="6">
        <v>48</v>
      </c>
      <c r="G236" s="6" t="s">
        <v>4173</v>
      </c>
      <c r="I236" s="8">
        <v>79.785923263888876</v>
      </c>
      <c r="J236" s="8">
        <v>-1.7680510416666673</v>
      </c>
      <c r="K236" s="24" t="s">
        <v>2610</v>
      </c>
      <c r="L236" s="9">
        <v>44038</v>
      </c>
      <c r="N236" s="6">
        <v>44</v>
      </c>
      <c r="O236" s="6" t="s">
        <v>4418</v>
      </c>
      <c r="V236" s="8">
        <v>-2.0827956743717193</v>
      </c>
      <c r="W236" s="8">
        <v>-15.778916045188904</v>
      </c>
      <c r="X236" s="27">
        <f t="shared" si="3"/>
        <v>0.88344934978485057</v>
      </c>
    </row>
    <row r="237" spans="1:24" s="6" customFormat="1" x14ac:dyDescent="0.35">
      <c r="A237" s="17" t="s">
        <v>25</v>
      </c>
      <c r="B237" s="6" t="s">
        <v>3570</v>
      </c>
      <c r="D237" s="6" t="s">
        <v>3872</v>
      </c>
      <c r="E237" s="6">
        <v>4</v>
      </c>
      <c r="F237" s="6">
        <v>49</v>
      </c>
      <c r="G237" s="6" t="s">
        <v>4174</v>
      </c>
      <c r="I237" s="8">
        <v>79.587830486111088</v>
      </c>
      <c r="J237" s="8">
        <v>-2.3422056250000001</v>
      </c>
      <c r="K237" s="24" t="s">
        <v>2610</v>
      </c>
      <c r="L237" s="9">
        <v>44039</v>
      </c>
      <c r="N237" s="6">
        <v>44</v>
      </c>
      <c r="O237" s="6" t="s">
        <v>4419</v>
      </c>
      <c r="V237" s="8">
        <v>-2.2458924018859863</v>
      </c>
      <c r="W237" s="8">
        <v>-16.523998756408691</v>
      </c>
      <c r="X237" s="27">
        <f t="shared" si="3"/>
        <v>1.4431404586791992</v>
      </c>
    </row>
    <row r="238" spans="1:24" s="6" customFormat="1" x14ac:dyDescent="0.35">
      <c r="A238" s="17" t="s">
        <v>25</v>
      </c>
      <c r="B238" s="6" t="s">
        <v>3571</v>
      </c>
      <c r="D238" s="6" t="s">
        <v>3873</v>
      </c>
      <c r="E238" s="6">
        <v>4</v>
      </c>
      <c r="F238" s="6">
        <v>49</v>
      </c>
      <c r="G238" s="6" t="s">
        <v>4175</v>
      </c>
      <c r="I238" s="8">
        <v>79.355558402777817</v>
      </c>
      <c r="J238" s="8">
        <v>-2.6930233333333322</v>
      </c>
      <c r="K238" s="24" t="s">
        <v>2610</v>
      </c>
      <c r="L238" s="9">
        <v>44040</v>
      </c>
      <c r="N238" s="6">
        <v>44</v>
      </c>
      <c r="O238" s="6" t="s">
        <v>4420</v>
      </c>
      <c r="V238" s="8">
        <v>-2.0536398291110998</v>
      </c>
      <c r="W238" s="8">
        <v>-16.403024024963379</v>
      </c>
      <c r="X238" s="27">
        <f t="shared" si="3"/>
        <v>2.6094607925418956E-2</v>
      </c>
    </row>
    <row r="239" spans="1:24" s="6" customFormat="1" x14ac:dyDescent="0.35">
      <c r="A239" s="17" t="s">
        <v>25</v>
      </c>
      <c r="B239" s="6" t="s">
        <v>3572</v>
      </c>
      <c r="D239" s="6" t="s">
        <v>3874</v>
      </c>
      <c r="E239" s="6">
        <v>4</v>
      </c>
      <c r="F239" s="6">
        <v>49</v>
      </c>
      <c r="G239" s="6" t="s">
        <v>4176</v>
      </c>
      <c r="I239" s="8">
        <v>79.191449375000005</v>
      </c>
      <c r="J239" s="8">
        <v>-2.6081078472222199</v>
      </c>
      <c r="K239" s="24" t="s">
        <v>2610</v>
      </c>
      <c r="L239" s="9">
        <v>44041</v>
      </c>
      <c r="N239" s="6">
        <v>44</v>
      </c>
      <c r="O239" s="6" t="s">
        <v>4421</v>
      </c>
      <c r="V239" s="8">
        <v>-2.2327922522544861</v>
      </c>
      <c r="W239" s="8">
        <v>-17.390504570007323</v>
      </c>
      <c r="X239" s="27">
        <f t="shared" si="3"/>
        <v>0.47183344802856553</v>
      </c>
    </row>
    <row r="240" spans="1:24" s="6" customFormat="1" x14ac:dyDescent="0.35">
      <c r="A240" s="17" t="s">
        <v>25</v>
      </c>
      <c r="B240" s="6" t="s">
        <v>3573</v>
      </c>
      <c r="D240" s="6" t="s">
        <v>3875</v>
      </c>
      <c r="E240" s="6">
        <v>4</v>
      </c>
      <c r="F240" s="6">
        <v>49</v>
      </c>
      <c r="G240" s="6" t="s">
        <v>4177</v>
      </c>
      <c r="I240" s="11">
        <v>79.100619097222221</v>
      </c>
      <c r="J240" s="11">
        <v>-2.5113251388888886</v>
      </c>
      <c r="K240" s="24" t="s">
        <v>2610</v>
      </c>
      <c r="L240" s="9">
        <v>44042</v>
      </c>
      <c r="N240" s="6">
        <v>44</v>
      </c>
      <c r="O240" s="6" t="s">
        <v>4422</v>
      </c>
      <c r="V240" s="8">
        <v>-2.1427471756458281</v>
      </c>
      <c r="W240" s="8">
        <v>-16.835467567443846</v>
      </c>
      <c r="X240" s="27">
        <f t="shared" si="3"/>
        <v>0.3065098377227784</v>
      </c>
    </row>
    <row r="241" spans="1:24" s="6" customFormat="1" x14ac:dyDescent="0.35">
      <c r="A241" s="17" t="s">
        <v>25</v>
      </c>
      <c r="B241" s="6" t="s">
        <v>3574</v>
      </c>
      <c r="D241" s="6" t="s">
        <v>3876</v>
      </c>
      <c r="E241" s="6">
        <v>4</v>
      </c>
      <c r="F241" s="6">
        <v>49</v>
      </c>
      <c r="G241" s="6" t="s">
        <v>4178</v>
      </c>
      <c r="I241" s="11">
        <v>78.960223402777785</v>
      </c>
      <c r="J241" s="11">
        <v>-2.4572034722222211</v>
      </c>
      <c r="K241" s="24" t="s">
        <v>2610</v>
      </c>
      <c r="L241" s="9">
        <v>44043</v>
      </c>
      <c r="N241" s="6">
        <v>44</v>
      </c>
      <c r="O241" s="6" t="s">
        <v>4422</v>
      </c>
      <c r="V241" s="8">
        <v>-2.1925668990135194</v>
      </c>
      <c r="W241" s="8">
        <v>-16.906519660949705</v>
      </c>
      <c r="X241" s="27">
        <f t="shared" si="3"/>
        <v>0.63401553115845033</v>
      </c>
    </row>
    <row r="242" spans="1:24" s="6" customFormat="1" x14ac:dyDescent="0.35">
      <c r="A242" s="17" t="s">
        <v>25</v>
      </c>
      <c r="B242" s="6" t="s">
        <v>3575</v>
      </c>
      <c r="D242" s="6" t="s">
        <v>3877</v>
      </c>
      <c r="E242" s="6">
        <v>4</v>
      </c>
      <c r="F242" s="6">
        <v>49</v>
      </c>
      <c r="G242" s="6" t="s">
        <v>4179</v>
      </c>
      <c r="I242" s="11">
        <v>78.853661388888895</v>
      </c>
      <c r="J242" s="11">
        <v>-2.3725330555555542</v>
      </c>
      <c r="K242" s="24" t="s">
        <v>2610</v>
      </c>
      <c r="L242" s="9">
        <v>44044</v>
      </c>
      <c r="N242" s="6">
        <v>44</v>
      </c>
      <c r="O242" s="6" t="s">
        <v>4423</v>
      </c>
      <c r="V242" s="8">
        <v>-2.0129341160774228</v>
      </c>
      <c r="W242" s="8">
        <v>-15.19863851547241</v>
      </c>
      <c r="X242" s="27">
        <f t="shared" si="3"/>
        <v>0.90483441314697188</v>
      </c>
    </row>
    <row r="243" spans="1:24" s="6" customFormat="1" x14ac:dyDescent="0.35">
      <c r="A243" s="17" t="s">
        <v>25</v>
      </c>
      <c r="B243" s="6" t="s">
        <v>3576</v>
      </c>
      <c r="D243" s="6" t="s">
        <v>3878</v>
      </c>
      <c r="E243" s="6">
        <v>4</v>
      </c>
      <c r="F243" s="6">
        <v>49</v>
      </c>
      <c r="G243" s="6" t="s">
        <v>4180</v>
      </c>
      <c r="I243" s="11">
        <v>78.999486388888897</v>
      </c>
      <c r="J243" s="11">
        <v>-2.9352163194444452</v>
      </c>
      <c r="K243" s="24" t="s">
        <v>2610</v>
      </c>
      <c r="L243" s="9">
        <v>44045</v>
      </c>
      <c r="N243" s="6">
        <v>45</v>
      </c>
      <c r="O243" s="6" t="s">
        <v>4424</v>
      </c>
      <c r="V243" s="8">
        <v>-2.1477029883384704</v>
      </c>
      <c r="W243" s="8">
        <v>-17.127210693359373</v>
      </c>
      <c r="X243" s="27">
        <f t="shared" si="3"/>
        <v>5.4413213348389888E-2</v>
      </c>
    </row>
    <row r="244" spans="1:24" s="6" customFormat="1" x14ac:dyDescent="0.35">
      <c r="A244" s="17" t="s">
        <v>25</v>
      </c>
      <c r="B244" s="6" t="s">
        <v>3577</v>
      </c>
      <c r="D244" s="6" t="s">
        <v>3879</v>
      </c>
      <c r="E244" s="6">
        <v>4</v>
      </c>
      <c r="F244" s="6">
        <v>50</v>
      </c>
      <c r="G244" s="6" t="s">
        <v>4181</v>
      </c>
      <c r="I244" s="11">
        <v>78.722031250000057</v>
      </c>
      <c r="J244" s="11">
        <v>-4.3242449305555537</v>
      </c>
      <c r="K244" s="24" t="s">
        <v>2610</v>
      </c>
      <c r="L244" s="9">
        <v>44046</v>
      </c>
      <c r="N244" s="6">
        <v>45</v>
      </c>
      <c r="O244" s="6" t="s">
        <v>4425</v>
      </c>
      <c r="V244" s="8">
        <v>-2.0678146779060369</v>
      </c>
      <c r="W244" s="8">
        <v>-16.989844932556153</v>
      </c>
      <c r="X244" s="27">
        <f t="shared" si="3"/>
        <v>-0.4473275093078577</v>
      </c>
    </row>
    <row r="245" spans="1:24" s="6" customFormat="1" x14ac:dyDescent="0.35">
      <c r="A245" s="17" t="s">
        <v>25</v>
      </c>
      <c r="B245" s="6" t="s">
        <v>3578</v>
      </c>
      <c r="D245" s="6" t="s">
        <v>3880</v>
      </c>
      <c r="E245" s="6">
        <v>4</v>
      </c>
      <c r="F245" s="6">
        <v>50</v>
      </c>
      <c r="G245" s="6" t="s">
        <v>4182</v>
      </c>
      <c r="I245" s="11">
        <v>78.999969236111113</v>
      </c>
      <c r="J245" s="11">
        <v>-3.0755222222222227</v>
      </c>
      <c r="K245" s="24" t="s">
        <v>2610</v>
      </c>
      <c r="L245" s="9">
        <v>44047</v>
      </c>
      <c r="N245" s="6">
        <v>45</v>
      </c>
      <c r="O245" s="6" t="s">
        <v>4392</v>
      </c>
      <c r="V245" s="8">
        <v>-2.1565031313419341</v>
      </c>
      <c r="W245" s="8">
        <v>-16.976138076782227</v>
      </c>
      <c r="X245" s="27">
        <f t="shared" si="3"/>
        <v>0.27588697395324502</v>
      </c>
    </row>
    <row r="246" spans="1:24" s="6" customFormat="1" x14ac:dyDescent="0.35">
      <c r="A246" s="17" t="s">
        <v>25</v>
      </c>
      <c r="B246" s="6" t="s">
        <v>3579</v>
      </c>
      <c r="D246" s="6" t="s">
        <v>3881</v>
      </c>
      <c r="E246" s="6">
        <v>4</v>
      </c>
      <c r="F246" s="6">
        <v>50</v>
      </c>
      <c r="G246" s="6" t="s">
        <v>4183</v>
      </c>
      <c r="I246" s="11">
        <v>78.589818333333326</v>
      </c>
      <c r="J246" s="11">
        <v>-2.4695461111111117</v>
      </c>
      <c r="K246" s="24" t="s">
        <v>2610</v>
      </c>
      <c r="L246" s="9">
        <v>44048</v>
      </c>
      <c r="N246" s="6">
        <v>45</v>
      </c>
      <c r="O246" s="6" t="s">
        <v>4408</v>
      </c>
      <c r="V246" s="8">
        <v>-1.4849380915403361</v>
      </c>
      <c r="W246" s="8">
        <v>-10.923072006225587</v>
      </c>
      <c r="X246" s="27">
        <f t="shared" si="3"/>
        <v>0.95643272609710195</v>
      </c>
    </row>
    <row r="247" spans="1:24" s="6" customFormat="1" x14ac:dyDescent="0.35">
      <c r="A247" s="17" t="s">
        <v>25</v>
      </c>
      <c r="B247" s="6" t="s">
        <v>3580</v>
      </c>
      <c r="D247" s="6" t="s">
        <v>3882</v>
      </c>
      <c r="E247" s="6">
        <v>4</v>
      </c>
      <c r="F247" s="6">
        <v>50</v>
      </c>
      <c r="G247" s="6" t="s">
        <v>4184</v>
      </c>
      <c r="I247" s="11">
        <v>78.437815763888949</v>
      </c>
      <c r="J247" s="11">
        <v>-7.0805127777777805</v>
      </c>
      <c r="K247" s="24" t="s">
        <v>2610</v>
      </c>
      <c r="L247" s="9">
        <v>44049</v>
      </c>
      <c r="N247" s="6">
        <v>45</v>
      </c>
      <c r="O247" s="6" t="s">
        <v>4426</v>
      </c>
      <c r="V247" s="8">
        <v>-2.3995583769321449</v>
      </c>
      <c r="W247" s="8">
        <v>-17.989482891082766</v>
      </c>
      <c r="X247" s="27">
        <f t="shared" si="3"/>
        <v>1.2069841243743937</v>
      </c>
    </row>
    <row r="248" spans="1:24" s="6" customFormat="1" x14ac:dyDescent="0.35">
      <c r="A248" s="17" t="s">
        <v>25</v>
      </c>
      <c r="B248" s="6" t="s">
        <v>3581</v>
      </c>
      <c r="D248" s="6" t="s">
        <v>3883</v>
      </c>
      <c r="E248" s="6">
        <v>4</v>
      </c>
      <c r="F248" s="6">
        <v>50</v>
      </c>
      <c r="G248" s="6" t="s">
        <v>4185</v>
      </c>
      <c r="I248" s="11">
        <v>79.649489930555561</v>
      </c>
      <c r="J248" s="11">
        <v>-4.9034634027777777</v>
      </c>
      <c r="K248" s="24" t="s">
        <v>2610</v>
      </c>
      <c r="L248" s="9">
        <v>44050</v>
      </c>
      <c r="N248" s="6">
        <v>45</v>
      </c>
      <c r="O248" s="6" t="s">
        <v>4427</v>
      </c>
      <c r="V248" s="8">
        <v>-2.3982562724590304</v>
      </c>
      <c r="W248" s="8">
        <v>-17.674089958190919</v>
      </c>
      <c r="X248" s="27">
        <f t="shared" si="3"/>
        <v>1.5119602214813241</v>
      </c>
    </row>
    <row r="249" spans="1:24" s="6" customFormat="1" x14ac:dyDescent="0.35">
      <c r="A249" s="17" t="s">
        <v>25</v>
      </c>
      <c r="B249" s="6" t="s">
        <v>3582</v>
      </c>
      <c r="D249" s="6" t="s">
        <v>3884</v>
      </c>
      <c r="E249" s="6">
        <v>4</v>
      </c>
      <c r="F249" s="6">
        <v>50</v>
      </c>
      <c r="G249" s="6" t="s">
        <v>4186</v>
      </c>
      <c r="I249" s="11">
        <v>79.895975625000034</v>
      </c>
      <c r="J249" s="11">
        <v>-3.757039374999998</v>
      </c>
      <c r="K249" s="24" t="s">
        <v>2610</v>
      </c>
      <c r="L249" s="9">
        <v>44051</v>
      </c>
      <c r="N249" s="6">
        <v>45</v>
      </c>
      <c r="O249" s="6" t="s">
        <v>4422</v>
      </c>
      <c r="V249" s="8">
        <v>-2.512161970996857</v>
      </c>
      <c r="W249" s="8">
        <v>-18.649657871246337</v>
      </c>
      <c r="X249" s="27">
        <f t="shared" si="3"/>
        <v>1.4476378967285193</v>
      </c>
    </row>
    <row r="250" spans="1:24" s="6" customFormat="1" x14ac:dyDescent="0.35">
      <c r="A250" s="17" t="s">
        <v>25</v>
      </c>
      <c r="B250" s="6" t="s">
        <v>3583</v>
      </c>
      <c r="D250" s="6" t="s">
        <v>3885</v>
      </c>
      <c r="E250" s="6">
        <v>4</v>
      </c>
      <c r="F250" s="6">
        <v>50</v>
      </c>
      <c r="G250" s="6" t="s">
        <v>4187</v>
      </c>
      <c r="I250" s="11">
        <v>79.882942499999999</v>
      </c>
      <c r="J250" s="11">
        <v>-4.6274257638888887</v>
      </c>
      <c r="K250" s="24" t="s">
        <v>2610</v>
      </c>
      <c r="L250" s="9">
        <v>44052</v>
      </c>
      <c r="N250" s="6">
        <v>46</v>
      </c>
      <c r="O250" s="6" t="s">
        <v>4428</v>
      </c>
      <c r="V250" s="8">
        <v>-2.468190756225586</v>
      </c>
      <c r="W250" s="8">
        <v>-17.427039367675782</v>
      </c>
      <c r="X250" s="27">
        <f t="shared" si="3"/>
        <v>2.3184866821289063</v>
      </c>
    </row>
    <row r="251" spans="1:24" s="6" customFormat="1" x14ac:dyDescent="0.35">
      <c r="A251" s="17" t="s">
        <v>25</v>
      </c>
      <c r="B251" s="6" t="s">
        <v>3584</v>
      </c>
      <c r="D251" s="6" t="s">
        <v>3886</v>
      </c>
      <c r="E251" s="6">
        <v>4</v>
      </c>
      <c r="F251" s="6">
        <v>50</v>
      </c>
      <c r="G251" s="6" t="s">
        <v>4188</v>
      </c>
      <c r="I251" s="11">
        <v>79.908903472222249</v>
      </c>
      <c r="J251" s="11">
        <v>-5.4450144444444426</v>
      </c>
      <c r="K251" s="24" t="s">
        <v>2610</v>
      </c>
      <c r="L251" s="9">
        <v>44053</v>
      </c>
      <c r="N251" s="6">
        <v>46</v>
      </c>
      <c r="O251" s="6" t="s">
        <v>4429</v>
      </c>
      <c r="V251" s="8">
        <v>-2.406392376565933</v>
      </c>
      <c r="W251" s="8">
        <v>-17.980613662719726</v>
      </c>
      <c r="X251" s="27">
        <f t="shared" si="3"/>
        <v>1.2705253498077376</v>
      </c>
    </row>
    <row r="252" spans="1:24" s="6" customFormat="1" x14ac:dyDescent="0.35">
      <c r="A252" s="17" t="s">
        <v>25</v>
      </c>
      <c r="B252" s="6" t="s">
        <v>3585</v>
      </c>
      <c r="D252" s="6" t="s">
        <v>3887</v>
      </c>
      <c r="E252" s="6">
        <v>4</v>
      </c>
      <c r="F252" s="6">
        <v>50</v>
      </c>
      <c r="G252" s="6" t="s">
        <v>4189</v>
      </c>
      <c r="I252" s="11">
        <v>79.967091180555556</v>
      </c>
      <c r="J252" s="11">
        <v>-5.773707083333333</v>
      </c>
      <c r="K252" s="24" t="s">
        <v>2610</v>
      </c>
      <c r="L252" s="9">
        <v>44054</v>
      </c>
      <c r="N252" s="6">
        <v>46</v>
      </c>
      <c r="O252" s="6" t="s">
        <v>4403</v>
      </c>
      <c r="V252" s="8">
        <v>-2.4436575845718385</v>
      </c>
      <c r="W252" s="8">
        <v>-18.388426334381105</v>
      </c>
      <c r="X252" s="27">
        <f t="shared" si="3"/>
        <v>1.1608343421936027</v>
      </c>
    </row>
    <row r="253" spans="1:24" s="6" customFormat="1" x14ac:dyDescent="0.35">
      <c r="A253" s="17" t="s">
        <v>25</v>
      </c>
      <c r="B253" s="6" t="s">
        <v>3586</v>
      </c>
      <c r="D253" s="6" t="s">
        <v>3888</v>
      </c>
      <c r="E253" s="6">
        <v>5</v>
      </c>
      <c r="F253" s="6">
        <v>59</v>
      </c>
      <c r="G253" s="6" t="s">
        <v>4190</v>
      </c>
      <c r="I253" s="11">
        <v>80.086312430555594</v>
      </c>
      <c r="J253" s="11">
        <v>-6.1385360416666677</v>
      </c>
      <c r="K253" s="24" t="s">
        <v>2610</v>
      </c>
      <c r="L253" s="9">
        <v>44055</v>
      </c>
      <c r="N253" s="6">
        <v>46</v>
      </c>
      <c r="O253" s="6" t="s">
        <v>4421</v>
      </c>
      <c r="V253" s="8">
        <v>-2.3949221908092495</v>
      </c>
      <c r="W253" s="8">
        <v>-17.990933086395263</v>
      </c>
      <c r="X253" s="27">
        <f t="shared" si="3"/>
        <v>1.1684444400787335</v>
      </c>
    </row>
    <row r="254" spans="1:24" s="6" customFormat="1" x14ac:dyDescent="0.35">
      <c r="A254" s="17" t="s">
        <v>25</v>
      </c>
      <c r="B254" s="6" t="s">
        <v>3587</v>
      </c>
      <c r="D254" s="6" t="s">
        <v>3889</v>
      </c>
      <c r="E254" s="6">
        <v>5</v>
      </c>
      <c r="F254" s="6">
        <v>59</v>
      </c>
      <c r="G254" s="6" t="s">
        <v>4191</v>
      </c>
      <c r="I254" s="11">
        <v>80.746198472222204</v>
      </c>
      <c r="J254" s="11">
        <v>-6.385419166666666</v>
      </c>
      <c r="K254" s="24" t="s">
        <v>2610</v>
      </c>
      <c r="L254" s="9">
        <v>44056</v>
      </c>
      <c r="N254" s="6">
        <v>46</v>
      </c>
      <c r="O254" s="6" t="s">
        <v>4414</v>
      </c>
      <c r="V254" s="8">
        <v>-2.651855460548401</v>
      </c>
      <c r="W254" s="8">
        <v>-19.206446010589602</v>
      </c>
      <c r="X254" s="27">
        <f t="shared" si="3"/>
        <v>2.0083976737976066</v>
      </c>
    </row>
    <row r="255" spans="1:24" s="6" customFormat="1" x14ac:dyDescent="0.35">
      <c r="A255" s="17" t="s">
        <v>25</v>
      </c>
      <c r="B255" s="6" t="s">
        <v>3588</v>
      </c>
      <c r="D255" s="6" t="s">
        <v>3890</v>
      </c>
      <c r="E255" s="6">
        <v>5</v>
      </c>
      <c r="F255" s="6">
        <v>59</v>
      </c>
      <c r="G255" s="6" t="s">
        <v>4192</v>
      </c>
      <c r="I255" s="11">
        <v>83.009091458333316</v>
      </c>
      <c r="J255" s="11">
        <v>-9.430011944444443</v>
      </c>
      <c r="K255" s="24" t="s">
        <v>2610</v>
      </c>
      <c r="L255" s="9">
        <v>44057</v>
      </c>
      <c r="N255" s="6">
        <v>46</v>
      </c>
      <c r="O255" s="6" t="s">
        <v>4403</v>
      </c>
      <c r="V255" s="8">
        <v>-2.6728617176055911</v>
      </c>
      <c r="W255" s="8">
        <v>-19.046399585723879</v>
      </c>
      <c r="X255" s="27">
        <f t="shared" si="3"/>
        <v>2.3364941551208496</v>
      </c>
    </row>
    <row r="256" spans="1:24" s="6" customFormat="1" x14ac:dyDescent="0.35">
      <c r="A256" s="17" t="s">
        <v>25</v>
      </c>
      <c r="B256" s="6" t="s">
        <v>3589</v>
      </c>
      <c r="D256" s="6" t="s">
        <v>3891</v>
      </c>
      <c r="E256" s="6">
        <v>5</v>
      </c>
      <c r="F256" s="6">
        <v>59</v>
      </c>
      <c r="G256" s="6" t="s">
        <v>4193</v>
      </c>
      <c r="I256" s="11">
        <v>85.117205069444481</v>
      </c>
      <c r="J256" s="11">
        <v>-15.458313055555546</v>
      </c>
      <c r="K256" s="24" t="s">
        <v>2610</v>
      </c>
      <c r="L256" s="9">
        <v>44058</v>
      </c>
      <c r="N256" s="6">
        <v>46</v>
      </c>
      <c r="O256" s="6" t="s">
        <v>4395</v>
      </c>
      <c r="V256" s="8">
        <v>-2.5917272944831855</v>
      </c>
      <c r="W256" s="8">
        <v>-19.214675820159911</v>
      </c>
      <c r="X256" s="27">
        <f t="shared" si="3"/>
        <v>1.5191425357055728</v>
      </c>
    </row>
    <row r="257" spans="1:24" s="6" customFormat="1" x14ac:dyDescent="0.35">
      <c r="A257" s="17" t="s">
        <v>25</v>
      </c>
      <c r="B257" s="6" t="s">
        <v>3590</v>
      </c>
      <c r="D257" s="6" t="s">
        <v>3892</v>
      </c>
      <c r="E257" s="6">
        <v>5</v>
      </c>
      <c r="F257" s="6">
        <v>59</v>
      </c>
      <c r="G257" s="6" t="s">
        <v>4194</v>
      </c>
      <c r="I257" s="11">
        <v>86.741118750000041</v>
      </c>
      <c r="J257" s="11">
        <v>-29.234400208333334</v>
      </c>
      <c r="K257" s="24" t="s">
        <v>2610</v>
      </c>
      <c r="L257" s="9">
        <v>44059</v>
      </c>
      <c r="N257" s="6">
        <v>47</v>
      </c>
      <c r="O257" s="6" t="s">
        <v>4405</v>
      </c>
      <c r="V257" s="8">
        <v>-2.9341081023597724</v>
      </c>
      <c r="W257" s="8">
        <v>-21.708270258712766</v>
      </c>
      <c r="X257" s="27">
        <f t="shared" si="3"/>
        <v>1.7645945601654134</v>
      </c>
    </row>
    <row r="258" spans="1:24" s="6" customFormat="1" x14ac:dyDescent="0.35">
      <c r="A258" s="17" t="s">
        <v>25</v>
      </c>
      <c r="B258" s="6" t="s">
        <v>3591</v>
      </c>
      <c r="D258" s="6" t="s">
        <v>3893</v>
      </c>
      <c r="E258" s="6">
        <v>5</v>
      </c>
      <c r="F258" s="6">
        <v>59</v>
      </c>
      <c r="G258" s="6" t="s">
        <v>4195</v>
      </c>
      <c r="I258" s="8">
        <v>88.100207013888934</v>
      </c>
      <c r="J258" s="8">
        <v>-36.783021111111097</v>
      </c>
      <c r="K258" s="24" t="s">
        <v>2610</v>
      </c>
      <c r="L258" s="9">
        <v>44060</v>
      </c>
      <c r="N258" s="6">
        <v>47</v>
      </c>
      <c r="O258" s="6" t="s">
        <v>4403</v>
      </c>
      <c r="V258" s="8">
        <v>-3.3428370623970043</v>
      </c>
      <c r="W258" s="8">
        <v>-24.179506501007083</v>
      </c>
      <c r="X258" s="27">
        <f t="shared" ref="X258:X303" si="4">W258-(8*V258)</f>
        <v>2.5631899981689514</v>
      </c>
    </row>
    <row r="259" spans="1:24" s="6" customFormat="1" x14ac:dyDescent="0.35">
      <c r="A259" s="17" t="s">
        <v>25</v>
      </c>
      <c r="B259" s="6" t="s">
        <v>3592</v>
      </c>
      <c r="D259" s="6" t="s">
        <v>3894</v>
      </c>
      <c r="E259" s="6">
        <v>5</v>
      </c>
      <c r="F259" s="6">
        <v>59</v>
      </c>
      <c r="G259" s="6" t="s">
        <v>4196</v>
      </c>
      <c r="I259" s="8">
        <v>89.018136874999954</v>
      </c>
      <c r="J259" s="8">
        <v>-35.278087361111112</v>
      </c>
      <c r="K259" s="24" t="s">
        <v>2610</v>
      </c>
      <c r="L259" s="9">
        <v>44061</v>
      </c>
      <c r="N259" s="6">
        <v>47</v>
      </c>
      <c r="O259" s="6" t="s">
        <v>4393</v>
      </c>
      <c r="V259" s="8">
        <v>-3.2005504881286622</v>
      </c>
      <c r="W259" s="8">
        <v>-24.702666566467286</v>
      </c>
      <c r="X259" s="27">
        <f t="shared" si="4"/>
        <v>0.9017373385620111</v>
      </c>
    </row>
    <row r="260" spans="1:24" s="6" customFormat="1" x14ac:dyDescent="0.35">
      <c r="A260" s="17" t="s">
        <v>25</v>
      </c>
      <c r="B260" s="6" t="s">
        <v>3593</v>
      </c>
      <c r="D260" s="6" t="s">
        <v>3895</v>
      </c>
      <c r="E260" s="6">
        <v>5</v>
      </c>
      <c r="F260" s="6">
        <v>59</v>
      </c>
      <c r="G260" s="6" t="s">
        <v>4197</v>
      </c>
      <c r="I260" s="8">
        <v>89.846500000000034</v>
      </c>
      <c r="J260" s="8">
        <v>49.476448402777791</v>
      </c>
      <c r="K260" s="24" t="s">
        <v>2610</v>
      </c>
      <c r="L260" s="9">
        <v>44062</v>
      </c>
      <c r="N260" s="6">
        <v>47</v>
      </c>
      <c r="O260" s="6" t="s">
        <v>4394</v>
      </c>
      <c r="V260" s="8">
        <v>-3.4444554535293581</v>
      </c>
      <c r="W260" s="8">
        <v>-26.023658177947997</v>
      </c>
      <c r="X260" s="27">
        <f t="shared" si="4"/>
        <v>1.5319854502868679</v>
      </c>
    </row>
    <row r="261" spans="1:24" s="6" customFormat="1" x14ac:dyDescent="0.35">
      <c r="A261" s="17" t="s">
        <v>25</v>
      </c>
      <c r="B261" s="6" t="s">
        <v>3594</v>
      </c>
      <c r="D261" s="6" t="s">
        <v>3896</v>
      </c>
      <c r="E261" s="6">
        <v>5</v>
      </c>
      <c r="F261" s="6">
        <v>59</v>
      </c>
      <c r="G261" s="6" t="s">
        <v>4198</v>
      </c>
      <c r="I261" s="8">
        <v>88.913649722222218</v>
      </c>
      <c r="J261" s="8">
        <v>105.55276451388889</v>
      </c>
      <c r="K261" s="24" t="s">
        <v>2610</v>
      </c>
      <c r="L261" s="9">
        <v>44063</v>
      </c>
      <c r="N261" s="6">
        <v>47</v>
      </c>
      <c r="O261" s="6" t="s">
        <v>4430</v>
      </c>
      <c r="V261" s="8">
        <v>-1.8597342845344542</v>
      </c>
      <c r="W261" s="8">
        <v>-13.87192981300354</v>
      </c>
      <c r="X261" s="27">
        <f t="shared" si="4"/>
        <v>1.005944463272094</v>
      </c>
    </row>
    <row r="262" spans="1:24" s="6" customFormat="1" x14ac:dyDescent="0.35">
      <c r="A262" s="17" t="s">
        <v>25</v>
      </c>
      <c r="B262" s="6" t="s">
        <v>3595</v>
      </c>
      <c r="D262" s="6" t="s">
        <v>3897</v>
      </c>
      <c r="E262" s="6">
        <v>5</v>
      </c>
      <c r="F262" s="6">
        <v>59</v>
      </c>
      <c r="G262" s="6" t="s">
        <v>4199</v>
      </c>
      <c r="I262" s="8">
        <v>87.755193888888911</v>
      </c>
      <c r="J262" s="8">
        <v>104.35164555555556</v>
      </c>
      <c r="K262" s="24" t="s">
        <v>2610</v>
      </c>
      <c r="L262" s="9">
        <v>44064</v>
      </c>
      <c r="N262" s="6">
        <v>47</v>
      </c>
      <c r="O262" s="6" t="s">
        <v>4397</v>
      </c>
      <c r="V262" s="8">
        <v>-1.1408723527336124</v>
      </c>
      <c r="W262" s="8">
        <v>-8.2082814117431653</v>
      </c>
      <c r="X262" s="27">
        <f t="shared" si="4"/>
        <v>0.91869741012573414</v>
      </c>
    </row>
    <row r="263" spans="1:24" s="6" customFormat="1" x14ac:dyDescent="0.35">
      <c r="A263" s="17" t="s">
        <v>25</v>
      </c>
      <c r="B263" s="6" t="s">
        <v>3596</v>
      </c>
      <c r="D263" s="6" t="s">
        <v>3898</v>
      </c>
      <c r="E263" s="6">
        <v>5</v>
      </c>
      <c r="F263" s="6">
        <v>59</v>
      </c>
      <c r="G263" s="6" t="s">
        <v>4200</v>
      </c>
      <c r="I263" s="8">
        <v>87.743263819444451</v>
      </c>
      <c r="J263" s="8">
        <v>104.6638960416667</v>
      </c>
      <c r="K263" s="24" t="s">
        <v>2610</v>
      </c>
      <c r="L263" s="9">
        <v>44065</v>
      </c>
      <c r="N263" s="6">
        <v>47</v>
      </c>
      <c r="O263" s="6" t="s">
        <v>4397</v>
      </c>
      <c r="V263" s="8">
        <v>-1.1665779196166999</v>
      </c>
      <c r="W263" s="8">
        <v>-8.5732901569366469</v>
      </c>
      <c r="X263" s="27">
        <f t="shared" si="4"/>
        <v>0.75933319999695215</v>
      </c>
    </row>
    <row r="264" spans="1:24" s="6" customFormat="1" x14ac:dyDescent="0.35">
      <c r="A264" s="17" t="s">
        <v>25</v>
      </c>
      <c r="B264" s="6" t="s">
        <v>3597</v>
      </c>
      <c r="D264" s="6" t="s">
        <v>3899</v>
      </c>
      <c r="E264" s="6">
        <v>5</v>
      </c>
      <c r="F264" s="6">
        <v>59</v>
      </c>
      <c r="G264" s="6" t="s">
        <v>4201</v>
      </c>
      <c r="I264" s="8">
        <v>87.762466527777789</v>
      </c>
      <c r="J264" s="8">
        <v>105.94114284722228</v>
      </c>
      <c r="K264" s="24" t="s">
        <v>2610</v>
      </c>
      <c r="L264" s="9">
        <v>44066</v>
      </c>
      <c r="N264" s="6">
        <v>49</v>
      </c>
      <c r="O264" s="6" t="s">
        <v>4394</v>
      </c>
      <c r="V264" s="8">
        <v>-1.4079206162834168</v>
      </c>
      <c r="W264" s="8">
        <v>-10.876482181167603</v>
      </c>
      <c r="X264" s="27">
        <f t="shared" si="4"/>
        <v>0.38688274909973153</v>
      </c>
    </row>
    <row r="265" spans="1:24" s="6" customFormat="1" x14ac:dyDescent="0.35">
      <c r="A265" s="17" t="s">
        <v>25</v>
      </c>
      <c r="B265" s="6" t="s">
        <v>3598</v>
      </c>
      <c r="D265" s="6" t="s">
        <v>3900</v>
      </c>
      <c r="E265" s="6">
        <v>5</v>
      </c>
      <c r="F265" s="6">
        <v>59</v>
      </c>
      <c r="G265" s="6" t="s">
        <v>4202</v>
      </c>
      <c r="I265" s="8">
        <v>87.777626944444464</v>
      </c>
      <c r="J265" s="8">
        <v>105.62898840277781</v>
      </c>
      <c r="K265" s="24" t="s">
        <v>2610</v>
      </c>
      <c r="L265" s="9">
        <v>44067</v>
      </c>
      <c r="N265" s="6">
        <v>49</v>
      </c>
      <c r="O265" s="6" t="s">
        <v>4398</v>
      </c>
      <c r="V265" s="8">
        <v>-1.4736600185775752</v>
      </c>
      <c r="W265" s="8">
        <v>-10.505694244003296</v>
      </c>
      <c r="X265" s="27">
        <f t="shared" si="4"/>
        <v>1.2835859046173059</v>
      </c>
    </row>
    <row r="266" spans="1:24" s="6" customFormat="1" x14ac:dyDescent="0.35">
      <c r="A266" s="17" t="s">
        <v>25</v>
      </c>
      <c r="B266" s="6" t="s">
        <v>3599</v>
      </c>
      <c r="D266" s="6" t="s">
        <v>3901</v>
      </c>
      <c r="E266" s="6">
        <v>5</v>
      </c>
      <c r="F266" s="6">
        <v>59</v>
      </c>
      <c r="G266" s="6" t="s">
        <v>4203</v>
      </c>
      <c r="I266" s="8">
        <v>87.78256944444442</v>
      </c>
      <c r="J266" s="8">
        <v>104.54531194444441</v>
      </c>
      <c r="K266" s="24" t="s">
        <v>2610</v>
      </c>
      <c r="L266" s="9">
        <v>44068</v>
      </c>
      <c r="N266" s="6">
        <v>49</v>
      </c>
      <c r="O266" s="6" t="s">
        <v>4431</v>
      </c>
      <c r="V266" s="8">
        <v>-1.503870878829956</v>
      </c>
      <c r="W266" s="8">
        <v>-11.448591281509401</v>
      </c>
      <c r="X266" s="27">
        <f t="shared" si="4"/>
        <v>0.58237574913024659</v>
      </c>
    </row>
    <row r="267" spans="1:24" s="6" customFormat="1" x14ac:dyDescent="0.35">
      <c r="A267" s="17" t="s">
        <v>25</v>
      </c>
      <c r="B267" s="6" t="s">
        <v>3600</v>
      </c>
      <c r="D267" s="6" t="s">
        <v>3902</v>
      </c>
      <c r="E267" s="6">
        <v>5</v>
      </c>
      <c r="F267" s="6">
        <v>59</v>
      </c>
      <c r="G267" s="6" t="s">
        <v>4204</v>
      </c>
      <c r="I267" s="8">
        <v>87.856689444444427</v>
      </c>
      <c r="J267" s="8">
        <v>105.28007326388888</v>
      </c>
      <c r="K267" s="24" t="s">
        <v>2610</v>
      </c>
      <c r="L267" s="9">
        <v>44069</v>
      </c>
      <c r="N267" s="6">
        <v>49</v>
      </c>
      <c r="O267" s="6" t="s">
        <v>4432</v>
      </c>
      <c r="V267" s="8">
        <v>-1.7291403728866583</v>
      </c>
      <c r="W267" s="8">
        <v>-12.678593631362915</v>
      </c>
      <c r="X267" s="27">
        <f t="shared" si="4"/>
        <v>1.1545293517303516</v>
      </c>
    </row>
    <row r="268" spans="1:24" s="6" customFormat="1" x14ac:dyDescent="0.35">
      <c r="A268" s="17" t="s">
        <v>25</v>
      </c>
      <c r="B268" s="6" t="s">
        <v>3601</v>
      </c>
      <c r="D268" s="6" t="s">
        <v>3903</v>
      </c>
      <c r="E268" s="6">
        <v>5</v>
      </c>
      <c r="F268" s="6">
        <v>59</v>
      </c>
      <c r="G268" s="6" t="s">
        <v>4205</v>
      </c>
      <c r="I268" s="8">
        <v>87.945329000000001</v>
      </c>
      <c r="J268" s="8">
        <v>107.49315799999999</v>
      </c>
      <c r="K268" s="24" t="s">
        <v>2610</v>
      </c>
      <c r="L268" s="9">
        <v>44070</v>
      </c>
      <c r="N268" s="6">
        <v>49</v>
      </c>
      <c r="O268" s="6" t="s">
        <v>4392</v>
      </c>
      <c r="V268" s="8">
        <v>-2.0568938604736333</v>
      </c>
      <c r="W268" s="8">
        <v>-15.797777406311036</v>
      </c>
      <c r="X268" s="27">
        <f t="shared" si="4"/>
        <v>0.65737347747803021</v>
      </c>
    </row>
    <row r="269" spans="1:24" s="6" customFormat="1" x14ac:dyDescent="0.35">
      <c r="A269" s="17" t="s">
        <v>25</v>
      </c>
      <c r="B269" s="6" t="s">
        <v>3602</v>
      </c>
      <c r="D269" s="6" t="s">
        <v>3904</v>
      </c>
      <c r="E269" s="6">
        <v>5</v>
      </c>
      <c r="F269" s="6">
        <v>59</v>
      </c>
      <c r="G269" s="6" t="s">
        <v>4206</v>
      </c>
      <c r="I269" s="8">
        <v>88.042061250000003</v>
      </c>
      <c r="J269" s="8">
        <v>108.877606180556</v>
      </c>
      <c r="K269" s="24" t="s">
        <v>2610</v>
      </c>
      <c r="L269" s="9">
        <v>44071</v>
      </c>
      <c r="N269" s="6">
        <v>49</v>
      </c>
      <c r="O269" s="6" t="s">
        <v>4392</v>
      </c>
      <c r="V269" s="8">
        <v>-2.1195260939025875</v>
      </c>
      <c r="W269" s="8">
        <v>-16.116536882400514</v>
      </c>
      <c r="X269" s="27">
        <f t="shared" si="4"/>
        <v>0.83967186882018652</v>
      </c>
    </row>
    <row r="270" spans="1:24" s="6" customFormat="1" x14ac:dyDescent="0.35">
      <c r="A270" s="17" t="s">
        <v>25</v>
      </c>
      <c r="B270" s="6" t="s">
        <v>3603</v>
      </c>
      <c r="D270" s="6" t="s">
        <v>3905</v>
      </c>
      <c r="E270" s="6">
        <v>5</v>
      </c>
      <c r="F270" s="6">
        <v>59</v>
      </c>
      <c r="G270" s="6" t="s">
        <v>4207</v>
      </c>
      <c r="I270" s="8">
        <v>88.122116736111153</v>
      </c>
      <c r="J270" s="8">
        <v>109.64438479166667</v>
      </c>
      <c r="K270" s="24" t="s">
        <v>2610</v>
      </c>
      <c r="L270" s="9">
        <v>44072</v>
      </c>
      <c r="N270" s="6">
        <v>49</v>
      </c>
      <c r="O270" s="6" t="s">
        <v>4412</v>
      </c>
      <c r="V270" s="8">
        <v>-2.4234617285156257</v>
      </c>
      <c r="W270" s="8">
        <v>-18.197777404785157</v>
      </c>
      <c r="X270" s="27">
        <f t="shared" si="4"/>
        <v>1.1899164233398487</v>
      </c>
    </row>
    <row r="271" spans="1:24" s="6" customFormat="1" x14ac:dyDescent="0.35">
      <c r="A271" s="17" t="s">
        <v>25</v>
      </c>
      <c r="B271" s="6" t="s">
        <v>3604</v>
      </c>
      <c r="D271" s="6" t="s">
        <v>3906</v>
      </c>
      <c r="E271" s="6">
        <v>5</v>
      </c>
      <c r="F271" s="6">
        <v>59</v>
      </c>
      <c r="G271" s="6" t="s">
        <v>4208</v>
      </c>
      <c r="I271" s="8">
        <v>88.230938680555539</v>
      </c>
      <c r="J271" s="8">
        <v>112.23333048611109</v>
      </c>
      <c r="K271" s="24" t="s">
        <v>2610</v>
      </c>
      <c r="L271" s="9">
        <v>44073</v>
      </c>
      <c r="N271" s="6">
        <v>50</v>
      </c>
      <c r="O271" s="6" t="s">
        <v>4367</v>
      </c>
      <c r="V271" s="8">
        <v>-2.7641434378051764</v>
      </c>
      <c r="W271" s="8">
        <v>-20.60479634475708</v>
      </c>
      <c r="X271" s="27">
        <f t="shared" si="4"/>
        <v>1.5083511576843307</v>
      </c>
    </row>
    <row r="272" spans="1:24" s="6" customFormat="1" x14ac:dyDescent="0.35">
      <c r="A272" s="17" t="s">
        <v>25</v>
      </c>
      <c r="B272" s="6" t="s">
        <v>3605</v>
      </c>
      <c r="D272" s="6" t="s">
        <v>3907</v>
      </c>
      <c r="E272" s="6">
        <v>5</v>
      </c>
      <c r="F272" s="6">
        <v>60</v>
      </c>
      <c r="G272" s="6" t="s">
        <v>4209</v>
      </c>
      <c r="I272" s="8">
        <v>88.299658402777794</v>
      </c>
      <c r="J272" s="8">
        <v>114.11509069444401</v>
      </c>
      <c r="K272" s="24" t="s">
        <v>2610</v>
      </c>
      <c r="L272" s="9">
        <v>44074</v>
      </c>
      <c r="N272" s="6">
        <v>50</v>
      </c>
      <c r="O272" s="6" t="s">
        <v>4396</v>
      </c>
      <c r="V272" s="8">
        <v>-2.9808297056579591</v>
      </c>
      <c r="W272" s="8">
        <v>-21.951965232849119</v>
      </c>
      <c r="X272" s="27">
        <f t="shared" si="4"/>
        <v>1.894672412414554</v>
      </c>
    </row>
    <row r="273" spans="1:24" s="6" customFormat="1" x14ac:dyDescent="0.35">
      <c r="A273" s="17" t="s">
        <v>25</v>
      </c>
      <c r="B273" s="6" t="s">
        <v>3606</v>
      </c>
      <c r="D273" s="6" t="s">
        <v>3908</v>
      </c>
      <c r="E273" s="6">
        <v>5</v>
      </c>
      <c r="F273" s="6">
        <v>60</v>
      </c>
      <c r="G273" s="6" t="s">
        <v>4210</v>
      </c>
      <c r="I273" s="8">
        <v>88.359878750000021</v>
      </c>
      <c r="J273" s="8">
        <v>115.76352923611108</v>
      </c>
      <c r="K273" s="24" t="s">
        <v>2610</v>
      </c>
      <c r="L273" s="9">
        <v>44075</v>
      </c>
      <c r="N273" s="6">
        <v>50</v>
      </c>
      <c r="O273" s="6" t="s">
        <v>4394</v>
      </c>
      <c r="V273" s="8">
        <v>-3.0984002737426763</v>
      </c>
      <c r="W273" s="8">
        <v>-22.84095124053955</v>
      </c>
      <c r="X273" s="27">
        <f t="shared" si="4"/>
        <v>1.9462509494018612</v>
      </c>
    </row>
    <row r="274" spans="1:24" s="6" customFormat="1" x14ac:dyDescent="0.35">
      <c r="A274" s="17" t="s">
        <v>25</v>
      </c>
      <c r="B274" s="6" t="s">
        <v>3607</v>
      </c>
      <c r="D274" s="6" t="s">
        <v>3909</v>
      </c>
      <c r="E274" s="6">
        <v>5</v>
      </c>
      <c r="F274" s="6">
        <v>60</v>
      </c>
      <c r="G274" s="6" t="s">
        <v>4211</v>
      </c>
      <c r="I274" s="8">
        <v>88.451552013888801</v>
      </c>
      <c r="J274" s="8">
        <v>117.87424222222199</v>
      </c>
      <c r="K274" s="24" t="s">
        <v>2610</v>
      </c>
      <c r="L274" s="9">
        <v>44076</v>
      </c>
      <c r="N274" s="6">
        <v>50</v>
      </c>
      <c r="O274" s="6" t="s">
        <v>4398</v>
      </c>
      <c r="V274" s="8">
        <v>-3.1200771917724617</v>
      </c>
      <c r="W274" s="8">
        <v>-24.266348529815676</v>
      </c>
      <c r="X274" s="27">
        <f t="shared" si="4"/>
        <v>0.69426900436401695</v>
      </c>
    </row>
    <row r="275" spans="1:24" s="6" customFormat="1" x14ac:dyDescent="0.35">
      <c r="A275" s="17" t="s">
        <v>25</v>
      </c>
      <c r="B275" s="6" t="s">
        <v>3608</v>
      </c>
      <c r="D275" s="6" t="s">
        <v>3910</v>
      </c>
      <c r="E275" s="6">
        <v>5</v>
      </c>
      <c r="F275" s="6">
        <v>60</v>
      </c>
      <c r="G275" s="6" t="s">
        <v>4212</v>
      </c>
      <c r="I275" s="8">
        <v>88.600894722222208</v>
      </c>
      <c r="J275" s="8">
        <v>119.99195250000002</v>
      </c>
      <c r="K275" s="24" t="s">
        <v>2610</v>
      </c>
      <c r="L275" s="9">
        <v>44077</v>
      </c>
      <c r="N275" s="6">
        <v>50</v>
      </c>
      <c r="O275" s="6" t="s">
        <v>4367</v>
      </c>
      <c r="V275" s="8">
        <v>-3.1342343115234375</v>
      </c>
      <c r="W275" s="8">
        <v>-22.824073490142823</v>
      </c>
      <c r="X275" s="27">
        <f t="shared" si="4"/>
        <v>2.249801002044677</v>
      </c>
    </row>
    <row r="276" spans="1:24" s="6" customFormat="1" x14ac:dyDescent="0.35">
      <c r="A276" s="17" t="s">
        <v>25</v>
      </c>
      <c r="B276" s="6" t="s">
        <v>3609</v>
      </c>
      <c r="D276" s="6" t="s">
        <v>3911</v>
      </c>
      <c r="E276" s="6">
        <v>5</v>
      </c>
      <c r="F276" s="6">
        <v>60</v>
      </c>
      <c r="G276" s="6" t="s">
        <v>4213</v>
      </c>
      <c r="I276" s="8">
        <v>88.697669000000005</v>
      </c>
      <c r="J276" s="8">
        <v>120.650948</v>
      </c>
      <c r="K276" s="24" t="s">
        <v>2610</v>
      </c>
      <c r="L276" s="9">
        <v>44078</v>
      </c>
      <c r="N276" s="6">
        <v>50</v>
      </c>
      <c r="O276" s="6" t="s">
        <v>4402</v>
      </c>
      <c r="V276" s="8">
        <v>-3.2423605513000493</v>
      </c>
      <c r="W276" s="8">
        <v>-23.422938629150391</v>
      </c>
      <c r="X276" s="27">
        <f t="shared" si="4"/>
        <v>2.5159457812500037</v>
      </c>
    </row>
    <row r="277" spans="1:24" s="6" customFormat="1" x14ac:dyDescent="0.35">
      <c r="A277" s="17" t="s">
        <v>25</v>
      </c>
      <c r="B277" s="6" t="s">
        <v>3610</v>
      </c>
      <c r="D277" s="6" t="s">
        <v>3912</v>
      </c>
      <c r="E277" s="6">
        <v>5</v>
      </c>
      <c r="F277" s="6">
        <v>60</v>
      </c>
      <c r="G277" s="6" t="s">
        <v>4214</v>
      </c>
      <c r="I277" s="8">
        <v>88.744063194444493</v>
      </c>
      <c r="J277" s="8">
        <v>119.351095625</v>
      </c>
      <c r="K277" s="24" t="s">
        <v>2610</v>
      </c>
      <c r="L277" s="9">
        <v>44079</v>
      </c>
      <c r="N277" s="6">
        <v>50</v>
      </c>
      <c r="O277" s="6" t="s">
        <v>4433</v>
      </c>
      <c r="V277" s="8">
        <v>-2.9826917509460449</v>
      </c>
      <c r="W277" s="8">
        <v>-22.494623023986815</v>
      </c>
      <c r="X277" s="27">
        <f t="shared" si="4"/>
        <v>1.3669109835815441</v>
      </c>
    </row>
    <row r="278" spans="1:24" s="6" customFormat="1" x14ac:dyDescent="0.35">
      <c r="A278" s="17" t="s">
        <v>25</v>
      </c>
      <c r="B278" s="6" t="s">
        <v>3611</v>
      </c>
      <c r="D278" s="6" t="s">
        <v>3913</v>
      </c>
      <c r="E278" s="6">
        <v>5</v>
      </c>
      <c r="F278" s="6">
        <v>60</v>
      </c>
      <c r="G278" s="6" t="s">
        <v>4215</v>
      </c>
      <c r="I278" s="8">
        <v>88.746387222222268</v>
      </c>
      <c r="J278" s="8">
        <v>117.04357506944444</v>
      </c>
      <c r="K278" s="24" t="s">
        <v>2610</v>
      </c>
      <c r="L278" s="9">
        <v>44080</v>
      </c>
      <c r="N278" s="6">
        <v>51</v>
      </c>
      <c r="O278" s="6" t="s">
        <v>4434</v>
      </c>
      <c r="V278" s="8">
        <v>-3.1013961767578131</v>
      </c>
      <c r="W278" s="8">
        <v>-22.355469146728517</v>
      </c>
      <c r="X278" s="27">
        <f t="shared" si="4"/>
        <v>2.4557002673339881</v>
      </c>
    </row>
    <row r="279" spans="1:24" s="6" customFormat="1" x14ac:dyDescent="0.35">
      <c r="A279" s="17" t="s">
        <v>25</v>
      </c>
      <c r="B279" s="6" t="s">
        <v>3612</v>
      </c>
      <c r="D279" s="6" t="s">
        <v>3914</v>
      </c>
      <c r="E279" s="6">
        <v>5</v>
      </c>
      <c r="F279" s="6">
        <v>61</v>
      </c>
      <c r="G279" s="6" t="s">
        <v>4216</v>
      </c>
      <c r="I279" s="8">
        <v>88.700402291666705</v>
      </c>
      <c r="J279" s="8">
        <v>111.973632708333</v>
      </c>
      <c r="K279" s="24" t="s">
        <v>2610</v>
      </c>
      <c r="L279" s="9">
        <v>44081</v>
      </c>
      <c r="N279" s="6">
        <v>51</v>
      </c>
      <c r="O279" s="6" t="s">
        <v>4434</v>
      </c>
      <c r="V279" s="8">
        <v>-3.1726754663753507</v>
      </c>
      <c r="W279" s="8">
        <v>-23.304829589080811</v>
      </c>
      <c r="X279" s="27">
        <f t="shared" si="4"/>
        <v>2.076574141921995</v>
      </c>
    </row>
    <row r="280" spans="1:24" s="6" customFormat="1" x14ac:dyDescent="0.35">
      <c r="A280" s="17" t="s">
        <v>25</v>
      </c>
      <c r="B280" s="6" t="s">
        <v>3613</v>
      </c>
      <c r="D280" s="6" t="s">
        <v>3915</v>
      </c>
      <c r="E280" s="6">
        <v>5</v>
      </c>
      <c r="F280" s="6">
        <v>61</v>
      </c>
      <c r="G280" s="6" t="s">
        <v>4217</v>
      </c>
      <c r="I280" s="8">
        <v>88.676109999999994</v>
      </c>
      <c r="J280" s="8">
        <v>112.66196600000001</v>
      </c>
      <c r="K280" s="24" t="s">
        <v>2610</v>
      </c>
      <c r="L280" s="9">
        <v>44082</v>
      </c>
      <c r="N280" s="6">
        <v>51</v>
      </c>
      <c r="O280" s="6" t="s">
        <v>4435</v>
      </c>
      <c r="V280" s="8">
        <v>-3.0957947642374037</v>
      </c>
      <c r="W280" s="8">
        <v>-22.975678805541989</v>
      </c>
      <c r="X280" s="27">
        <f t="shared" si="4"/>
        <v>1.790679308357241</v>
      </c>
    </row>
    <row r="281" spans="1:24" s="6" customFormat="1" x14ac:dyDescent="0.35">
      <c r="A281" s="17" t="s">
        <v>25</v>
      </c>
      <c r="B281" s="6" t="s">
        <v>3614</v>
      </c>
      <c r="D281" s="6" t="s">
        <v>3916</v>
      </c>
      <c r="E281" s="6">
        <v>5</v>
      </c>
      <c r="F281" s="6">
        <v>61</v>
      </c>
      <c r="G281" s="6" t="s">
        <v>4218</v>
      </c>
      <c r="I281" s="8">
        <v>88.722359513888875</v>
      </c>
      <c r="J281" s="8">
        <v>111.1908485416667</v>
      </c>
      <c r="K281" s="24" t="s">
        <v>2610</v>
      </c>
      <c r="L281" s="9">
        <v>44083</v>
      </c>
      <c r="N281" s="6">
        <v>51</v>
      </c>
      <c r="O281" s="6" t="s">
        <v>4436</v>
      </c>
      <c r="V281" s="8">
        <v>-3.1537053119707101</v>
      </c>
      <c r="W281" s="8">
        <v>-23.09072508926392</v>
      </c>
      <c r="X281" s="27">
        <f t="shared" si="4"/>
        <v>2.1389174065017613</v>
      </c>
    </row>
    <row r="282" spans="1:24" s="6" customFormat="1" x14ac:dyDescent="0.35">
      <c r="A282" s="17" t="s">
        <v>25</v>
      </c>
      <c r="B282" s="6" t="s">
        <v>3615</v>
      </c>
      <c r="D282" s="6" t="s">
        <v>3917</v>
      </c>
      <c r="E282" s="6">
        <v>5</v>
      </c>
      <c r="F282" s="6">
        <v>61</v>
      </c>
      <c r="G282" s="6" t="s">
        <v>4219</v>
      </c>
      <c r="I282" s="8">
        <v>88.711912361111132</v>
      </c>
      <c r="J282" s="8">
        <v>106.89097458333339</v>
      </c>
      <c r="K282" s="24" t="s">
        <v>2610</v>
      </c>
      <c r="L282" s="9">
        <v>44084</v>
      </c>
      <c r="N282" s="6">
        <v>51</v>
      </c>
      <c r="O282" s="6" t="s">
        <v>4437</v>
      </c>
      <c r="V282" s="8">
        <v>-3.0480237314414973</v>
      </c>
      <c r="W282" s="8">
        <v>-22.071272628784179</v>
      </c>
      <c r="X282" s="27">
        <f t="shared" si="4"/>
        <v>2.3129172227477994</v>
      </c>
    </row>
    <row r="283" spans="1:24" s="6" customFormat="1" x14ac:dyDescent="0.35">
      <c r="A283" s="17" t="s">
        <v>25</v>
      </c>
      <c r="B283" s="6" t="s">
        <v>3616</v>
      </c>
      <c r="D283" s="6" t="s">
        <v>3918</v>
      </c>
      <c r="E283" s="6">
        <v>5</v>
      </c>
      <c r="F283" s="6">
        <v>61</v>
      </c>
      <c r="G283" s="6" t="s">
        <v>4220</v>
      </c>
      <c r="I283" s="8">
        <v>88.746488055555531</v>
      </c>
      <c r="J283" s="8">
        <v>103.83785590277779</v>
      </c>
      <c r="K283" s="24" t="s">
        <v>2610</v>
      </c>
      <c r="L283" s="9">
        <v>44085</v>
      </c>
      <c r="N283" s="6">
        <v>51</v>
      </c>
      <c r="O283" s="6" t="s">
        <v>4438</v>
      </c>
      <c r="V283" s="8">
        <v>-3.1701027078342432</v>
      </c>
      <c r="W283" s="8">
        <v>-23.337776321411134</v>
      </c>
      <c r="X283" s="27">
        <f t="shared" si="4"/>
        <v>2.0230453412628115</v>
      </c>
    </row>
    <row r="284" spans="1:24" s="6" customFormat="1" x14ac:dyDescent="0.35">
      <c r="A284" s="17" t="s">
        <v>25</v>
      </c>
      <c r="B284" s="6" t="s">
        <v>3617</v>
      </c>
      <c r="D284" s="6" t="s">
        <v>3919</v>
      </c>
      <c r="E284" s="6">
        <v>5</v>
      </c>
      <c r="F284" s="6">
        <v>61</v>
      </c>
      <c r="G284" s="6" t="s">
        <v>4221</v>
      </c>
      <c r="I284" s="8">
        <v>88.778702638888888</v>
      </c>
      <c r="J284" s="8">
        <v>100.92500562499998</v>
      </c>
      <c r="K284" s="24" t="s">
        <v>2610</v>
      </c>
      <c r="L284" s="9">
        <v>44086</v>
      </c>
      <c r="N284" s="6">
        <v>51</v>
      </c>
      <c r="O284" s="6" t="s">
        <v>4436</v>
      </c>
      <c r="V284" s="8">
        <v>-3.0954501378250123</v>
      </c>
      <c r="W284" s="8">
        <v>-23.017758365631103</v>
      </c>
      <c r="X284" s="27">
        <f t="shared" si="4"/>
        <v>1.7458427369689957</v>
      </c>
    </row>
    <row r="285" spans="1:24" s="6" customFormat="1" x14ac:dyDescent="0.35">
      <c r="A285" s="17" t="s">
        <v>25</v>
      </c>
      <c r="B285" s="6" t="s">
        <v>3618</v>
      </c>
      <c r="D285" s="6" t="s">
        <v>3920</v>
      </c>
      <c r="E285" s="6">
        <v>5</v>
      </c>
      <c r="F285" s="6">
        <v>61</v>
      </c>
      <c r="G285" s="6" t="s">
        <v>4222</v>
      </c>
      <c r="I285" s="8">
        <v>88.887539861111065</v>
      </c>
      <c r="J285" s="8">
        <v>97.118331736111088</v>
      </c>
      <c r="K285" s="24" t="s">
        <v>2610</v>
      </c>
      <c r="L285" s="9">
        <v>44087</v>
      </c>
      <c r="N285" s="6">
        <v>52</v>
      </c>
      <c r="O285" s="6" t="s">
        <v>4397</v>
      </c>
      <c r="V285" s="8">
        <v>-3.0663942672920221</v>
      </c>
      <c r="W285" s="8">
        <v>-22.221007175445557</v>
      </c>
      <c r="X285" s="27">
        <f t="shared" si="4"/>
        <v>2.3101469628906202</v>
      </c>
    </row>
    <row r="286" spans="1:24" s="6" customFormat="1" x14ac:dyDescent="0.35">
      <c r="A286" s="17" t="s">
        <v>25</v>
      </c>
      <c r="B286" s="6" t="s">
        <v>3619</v>
      </c>
      <c r="D286" s="6" t="s">
        <v>3921</v>
      </c>
      <c r="E286" s="6">
        <v>5</v>
      </c>
      <c r="F286" s="6">
        <v>62</v>
      </c>
      <c r="G286" s="6" t="s">
        <v>4223</v>
      </c>
      <c r="I286" s="8">
        <v>89.023700416666699</v>
      </c>
      <c r="J286" s="8">
        <v>102.473466597222</v>
      </c>
      <c r="K286" s="24" t="s">
        <v>2610</v>
      </c>
      <c r="L286" s="9">
        <v>44088</v>
      </c>
      <c r="N286" s="6">
        <v>52</v>
      </c>
      <c r="O286" s="6" t="s">
        <v>4394</v>
      </c>
      <c r="V286" s="8">
        <v>-3.109935577602386</v>
      </c>
      <c r="W286" s="8">
        <v>-23.265047096252442</v>
      </c>
      <c r="X286" s="27">
        <f t="shared" si="4"/>
        <v>1.6144375245666467</v>
      </c>
    </row>
    <row r="287" spans="1:24" s="6" customFormat="1" x14ac:dyDescent="0.35">
      <c r="A287" s="17" t="s">
        <v>25</v>
      </c>
      <c r="B287" s="6" t="s">
        <v>3620</v>
      </c>
      <c r="D287" s="6" t="s">
        <v>3922</v>
      </c>
      <c r="E287" s="6">
        <v>5</v>
      </c>
      <c r="F287" s="6">
        <v>62</v>
      </c>
      <c r="G287" s="6" t="s">
        <v>4224</v>
      </c>
      <c r="I287" s="8">
        <v>89.060095263888897</v>
      </c>
      <c r="J287" s="8">
        <v>108.015119708333</v>
      </c>
      <c r="K287" s="24" t="s">
        <v>2610</v>
      </c>
      <c r="L287" s="9">
        <v>44089</v>
      </c>
      <c r="N287" s="6">
        <v>52</v>
      </c>
      <c r="O287" s="6" t="s">
        <v>4431</v>
      </c>
      <c r="V287" s="8">
        <v>-3.1398118271541597</v>
      </c>
      <c r="W287" s="8">
        <v>-23.008805347442628</v>
      </c>
      <c r="X287" s="27">
        <f t="shared" si="4"/>
        <v>2.1096892697906497</v>
      </c>
    </row>
    <row r="288" spans="1:24" s="6" customFormat="1" x14ac:dyDescent="0.35">
      <c r="A288" s="17" t="s">
        <v>25</v>
      </c>
      <c r="B288" s="6" t="s">
        <v>3621</v>
      </c>
      <c r="D288" s="6" t="s">
        <v>3923</v>
      </c>
      <c r="E288" s="6">
        <v>5</v>
      </c>
      <c r="F288" s="6">
        <v>62</v>
      </c>
      <c r="G288" s="6" t="s">
        <v>4225</v>
      </c>
      <c r="I288" s="8">
        <v>89.070619444444446</v>
      </c>
      <c r="J288" s="8">
        <v>108.96614326388897</v>
      </c>
      <c r="K288" s="24" t="s">
        <v>2610</v>
      </c>
      <c r="L288" s="9">
        <v>44090</v>
      </c>
      <c r="N288" s="6">
        <v>52</v>
      </c>
      <c r="O288" s="6" t="s">
        <v>4439</v>
      </c>
      <c r="V288" s="8">
        <v>-3.1857744199943543</v>
      </c>
      <c r="W288" s="8">
        <v>-23.424744216918945</v>
      </c>
      <c r="X288" s="27">
        <f t="shared" si="4"/>
        <v>2.0614511430358888</v>
      </c>
    </row>
    <row r="289" spans="1:24" s="6" customFormat="1" x14ac:dyDescent="0.35">
      <c r="A289" s="17" t="s">
        <v>25</v>
      </c>
      <c r="B289" s="6" t="s">
        <v>3622</v>
      </c>
      <c r="D289" s="6" t="s">
        <v>3924</v>
      </c>
      <c r="E289" s="6">
        <v>5</v>
      </c>
      <c r="F289" s="6">
        <v>62</v>
      </c>
      <c r="G289" s="6" t="s">
        <v>4226</v>
      </c>
      <c r="I289" s="8">
        <v>89.027778472222295</v>
      </c>
      <c r="J289" s="8">
        <v>107.640505763889</v>
      </c>
      <c r="K289" s="24" t="s">
        <v>2610</v>
      </c>
      <c r="L289" s="9">
        <v>44091</v>
      </c>
      <c r="N289" s="6">
        <v>52</v>
      </c>
      <c r="O289" s="6" t="s">
        <v>4440</v>
      </c>
      <c r="V289" s="8">
        <v>-3.1648267848205567</v>
      </c>
      <c r="W289" s="8">
        <v>-22.684340850830079</v>
      </c>
      <c r="X289" s="27">
        <f t="shared" si="4"/>
        <v>2.6342734277343745</v>
      </c>
    </row>
    <row r="290" spans="1:24" s="6" customFormat="1" x14ac:dyDescent="0.35">
      <c r="A290" s="17" t="s">
        <v>25</v>
      </c>
      <c r="B290" s="6" t="s">
        <v>3623</v>
      </c>
      <c r="D290" s="6" t="s">
        <v>3925</v>
      </c>
      <c r="E290" s="6">
        <v>5</v>
      </c>
      <c r="F290" s="6">
        <v>62</v>
      </c>
      <c r="G290" s="6" t="s">
        <v>4227</v>
      </c>
      <c r="I290" s="8">
        <v>89.083823055555541</v>
      </c>
      <c r="J290" s="8">
        <v>107.19341506944446</v>
      </c>
      <c r="K290" s="24" t="s">
        <v>2610</v>
      </c>
      <c r="L290" s="9">
        <v>44092</v>
      </c>
      <c r="N290" s="6">
        <v>52</v>
      </c>
      <c r="O290" s="6" t="s">
        <v>4441</v>
      </c>
      <c r="V290" s="8">
        <v>-3.1487320384693143</v>
      </c>
      <c r="W290" s="8">
        <v>-23.112821437835692</v>
      </c>
      <c r="X290" s="27">
        <f t="shared" si="4"/>
        <v>2.0770348699188226</v>
      </c>
    </row>
    <row r="291" spans="1:24" s="6" customFormat="1" x14ac:dyDescent="0.35">
      <c r="A291" s="17" t="s">
        <v>25</v>
      </c>
      <c r="B291" s="6" t="s">
        <v>3624</v>
      </c>
      <c r="D291" s="6" t="s">
        <v>3926</v>
      </c>
      <c r="E291" s="6">
        <v>5</v>
      </c>
      <c r="F291" s="6">
        <v>62</v>
      </c>
      <c r="G291" s="6" t="s">
        <v>4228</v>
      </c>
      <c r="I291" s="8">
        <v>89.14459236111108</v>
      </c>
      <c r="J291" s="8">
        <v>110.31327354166669</v>
      </c>
      <c r="K291" s="24" t="s">
        <v>2610</v>
      </c>
      <c r="L291" s="9">
        <v>44093</v>
      </c>
      <c r="N291" s="6">
        <v>52</v>
      </c>
      <c r="O291" s="6" t="s">
        <v>4442</v>
      </c>
      <c r="V291" s="8">
        <v>-3.1344434320354457</v>
      </c>
      <c r="W291" s="8">
        <v>-23.801719850921629</v>
      </c>
      <c r="X291" s="27">
        <f t="shared" si="4"/>
        <v>1.2738276053619373</v>
      </c>
    </row>
    <row r="292" spans="1:24" s="6" customFormat="1" x14ac:dyDescent="0.35">
      <c r="A292" s="17" t="s">
        <v>25</v>
      </c>
      <c r="B292" s="6" t="s">
        <v>3625</v>
      </c>
      <c r="D292" s="6" t="s">
        <v>3927</v>
      </c>
      <c r="E292" s="6">
        <v>5</v>
      </c>
      <c r="F292" s="6">
        <v>62</v>
      </c>
      <c r="G292" s="6" t="s">
        <v>4229</v>
      </c>
      <c r="I292" s="8">
        <v>89.046868958333349</v>
      </c>
      <c r="J292" s="8">
        <v>109.84335062499999</v>
      </c>
      <c r="K292" s="24" t="s">
        <v>2610</v>
      </c>
      <c r="L292" s="9">
        <v>44094</v>
      </c>
      <c r="N292" s="6">
        <v>53</v>
      </c>
      <c r="O292" s="6" t="s">
        <v>4263</v>
      </c>
      <c r="V292" s="8">
        <v>-3.2573425473594662</v>
      </c>
      <c r="W292" s="8">
        <v>-23.526944605255125</v>
      </c>
      <c r="X292" s="27">
        <f t="shared" si="4"/>
        <v>2.5317957736206047</v>
      </c>
    </row>
    <row r="293" spans="1:24" s="6" customFormat="1" x14ac:dyDescent="0.35">
      <c r="A293" s="17" t="s">
        <v>25</v>
      </c>
      <c r="B293" s="6" t="s">
        <v>3626</v>
      </c>
      <c r="D293" s="6" t="s">
        <v>3928</v>
      </c>
      <c r="E293" s="6">
        <v>5</v>
      </c>
      <c r="F293" s="6">
        <v>63</v>
      </c>
      <c r="G293" s="6" t="s">
        <v>4230</v>
      </c>
      <c r="I293" s="8">
        <v>88.402355069444468</v>
      </c>
      <c r="J293" s="8">
        <v>104.63764118055548</v>
      </c>
      <c r="K293" s="24" t="s">
        <v>2610</v>
      </c>
      <c r="L293" s="9">
        <v>44095</v>
      </c>
      <c r="N293" s="6">
        <v>53</v>
      </c>
      <c r="O293" s="6" t="s">
        <v>4443</v>
      </c>
      <c r="V293" s="8">
        <v>-2.7839372765445711</v>
      </c>
      <c r="W293" s="8">
        <v>-20.79998075714111</v>
      </c>
      <c r="X293" s="27">
        <f t="shared" si="4"/>
        <v>1.4715174552154586</v>
      </c>
    </row>
    <row r="294" spans="1:24" s="6" customFormat="1" x14ac:dyDescent="0.35">
      <c r="A294" s="17" t="s">
        <v>25</v>
      </c>
      <c r="B294" s="6" t="s">
        <v>3627</v>
      </c>
      <c r="D294" s="6" t="s">
        <v>3929</v>
      </c>
      <c r="E294" s="6">
        <v>5</v>
      </c>
      <c r="F294" s="6">
        <v>63</v>
      </c>
      <c r="G294" s="6" t="s">
        <v>4231</v>
      </c>
      <c r="I294" s="8">
        <v>86.937904027777805</v>
      </c>
      <c r="J294" s="8">
        <v>96.65669486111112</v>
      </c>
      <c r="K294" s="24" t="s">
        <v>2610</v>
      </c>
      <c r="L294" s="9">
        <v>44096</v>
      </c>
      <c r="N294" s="6">
        <v>53</v>
      </c>
      <c r="O294" s="6" t="s">
        <v>4373</v>
      </c>
      <c r="V294" s="8">
        <v>-1.1599925672435758</v>
      </c>
      <c r="W294" s="8">
        <v>-6.8930969938278208</v>
      </c>
      <c r="X294" s="27">
        <f t="shared" si="4"/>
        <v>2.3868435441207856</v>
      </c>
    </row>
    <row r="295" spans="1:24" s="6" customFormat="1" x14ac:dyDescent="0.35">
      <c r="A295" s="17" t="s">
        <v>25</v>
      </c>
      <c r="B295" s="6" t="s">
        <v>3628</v>
      </c>
      <c r="D295" s="6" t="s">
        <v>3930</v>
      </c>
      <c r="E295" s="6">
        <v>5</v>
      </c>
      <c r="F295" s="6">
        <v>63</v>
      </c>
      <c r="G295" s="6" t="s">
        <v>4232</v>
      </c>
      <c r="I295" s="8">
        <v>85.989258888888912</v>
      </c>
      <c r="J295" s="8">
        <v>77.286910416666672</v>
      </c>
      <c r="K295" s="24" t="s">
        <v>2610</v>
      </c>
      <c r="L295" s="9">
        <v>44097</v>
      </c>
      <c r="N295" s="6">
        <v>53</v>
      </c>
      <c r="O295" s="6" t="s">
        <v>4394</v>
      </c>
      <c r="V295" s="8">
        <v>-0.47783426833391207</v>
      </c>
      <c r="W295" s="8">
        <v>-3.3541241301536551</v>
      </c>
      <c r="X295" s="27">
        <f t="shared" si="4"/>
        <v>0.4685500165176415</v>
      </c>
    </row>
    <row r="296" spans="1:24" s="6" customFormat="1" x14ac:dyDescent="0.35">
      <c r="A296" s="17" t="s">
        <v>25</v>
      </c>
      <c r="B296" s="6" t="s">
        <v>3629</v>
      </c>
      <c r="D296" s="6" t="s">
        <v>3931</v>
      </c>
      <c r="E296" s="6">
        <v>5</v>
      </c>
      <c r="F296" s="6">
        <v>63</v>
      </c>
      <c r="G296" s="6" t="s">
        <v>4233</v>
      </c>
      <c r="I296" s="8">
        <v>86.00515645833336</v>
      </c>
      <c r="J296" s="8">
        <v>59.437783958333362</v>
      </c>
      <c r="K296" s="24" t="s">
        <v>2610</v>
      </c>
      <c r="L296" s="9">
        <v>44098</v>
      </c>
      <c r="N296" s="6">
        <v>53</v>
      </c>
      <c r="O296" s="6" t="s">
        <v>4405</v>
      </c>
      <c r="V296" s="8">
        <v>-0.66404361951589574</v>
      </c>
      <c r="W296" s="8">
        <v>-5.33698470249176</v>
      </c>
      <c r="X296" s="27">
        <f t="shared" si="4"/>
        <v>-2.4635746364594091E-2</v>
      </c>
    </row>
    <row r="297" spans="1:24" s="6" customFormat="1" x14ac:dyDescent="0.35">
      <c r="A297" s="17" t="s">
        <v>25</v>
      </c>
      <c r="B297" s="6" t="s">
        <v>3630</v>
      </c>
      <c r="D297" s="6" t="s">
        <v>3932</v>
      </c>
      <c r="E297" s="6">
        <v>5</v>
      </c>
      <c r="F297" s="6">
        <v>63</v>
      </c>
      <c r="G297" s="6" t="s">
        <v>4234</v>
      </c>
      <c r="I297" s="8">
        <v>85.974043194444448</v>
      </c>
      <c r="J297" s="8">
        <v>47.666961736111112</v>
      </c>
      <c r="K297" s="24" t="s">
        <v>2610</v>
      </c>
      <c r="L297" s="9">
        <v>44099</v>
      </c>
      <c r="N297" s="6">
        <v>53</v>
      </c>
      <c r="O297" s="6" t="s">
        <v>4391</v>
      </c>
      <c r="V297" s="8">
        <v>-0.44277741050958641</v>
      </c>
      <c r="W297" s="8">
        <v>-3.3777075132369996</v>
      </c>
      <c r="X297" s="27">
        <f t="shared" si="4"/>
        <v>0.16451177083969171</v>
      </c>
    </row>
    <row r="298" spans="1:24" s="6" customFormat="1" x14ac:dyDescent="0.35">
      <c r="A298" s="17" t="s">
        <v>25</v>
      </c>
      <c r="B298" s="6" t="s">
        <v>3631</v>
      </c>
      <c r="D298" s="6" t="s">
        <v>3933</v>
      </c>
      <c r="E298" s="6">
        <v>5</v>
      </c>
      <c r="F298" s="6">
        <v>63</v>
      </c>
      <c r="G298" s="6" t="s">
        <v>4235</v>
      </c>
      <c r="I298" s="8">
        <v>85.896379791666689</v>
      </c>
      <c r="J298" s="8">
        <v>34.421204722222221</v>
      </c>
      <c r="K298" s="24" t="s">
        <v>2610</v>
      </c>
      <c r="L298" s="9">
        <v>44100</v>
      </c>
      <c r="N298" s="6">
        <v>53</v>
      </c>
      <c r="O298" s="6" t="s">
        <v>4261</v>
      </c>
      <c r="V298" s="8">
        <v>-0.90476772070169409</v>
      </c>
      <c r="W298" s="8">
        <v>-6.1534437707901013</v>
      </c>
      <c r="X298" s="27">
        <f t="shared" si="4"/>
        <v>1.0846979948234514</v>
      </c>
    </row>
    <row r="299" spans="1:24" s="6" customFormat="1" x14ac:dyDescent="0.35">
      <c r="A299" s="17" t="s">
        <v>25</v>
      </c>
      <c r="B299" s="6" t="s">
        <v>3632</v>
      </c>
      <c r="D299" s="6" t="s">
        <v>3934</v>
      </c>
      <c r="E299" s="6">
        <v>5</v>
      </c>
      <c r="F299" s="6">
        <v>63</v>
      </c>
      <c r="G299" s="6" t="s">
        <v>4236</v>
      </c>
      <c r="I299" s="8">
        <v>84.06703958333334</v>
      </c>
      <c r="J299" s="8">
        <v>31.960330208333339</v>
      </c>
      <c r="K299" s="24" t="s">
        <v>2610</v>
      </c>
      <c r="L299" s="9">
        <v>44101</v>
      </c>
      <c r="N299" s="6">
        <v>53</v>
      </c>
      <c r="O299" s="6" t="s">
        <v>4444</v>
      </c>
      <c r="V299" s="8">
        <v>-0.2334143800759319</v>
      </c>
      <c r="W299" s="8">
        <v>-1.0133723479449745</v>
      </c>
      <c r="X299" s="27">
        <f t="shared" si="4"/>
        <v>0.85394269266248068</v>
      </c>
    </row>
    <row r="300" spans="1:24" s="6" customFormat="1" x14ac:dyDescent="0.35">
      <c r="A300" s="17" t="s">
        <v>25</v>
      </c>
      <c r="B300" s="6" t="s">
        <v>3633</v>
      </c>
      <c r="D300" s="6" t="s">
        <v>3935</v>
      </c>
      <c r="E300" s="6">
        <v>5</v>
      </c>
      <c r="F300" s="6">
        <v>63</v>
      </c>
      <c r="G300" s="6" t="s">
        <v>4237</v>
      </c>
      <c r="I300" s="8">
        <v>83.057039444444456</v>
      </c>
      <c r="J300" s="8">
        <v>24.638751180555559</v>
      </c>
      <c r="K300" s="24" t="s">
        <v>2610</v>
      </c>
      <c r="L300" s="9">
        <v>44102</v>
      </c>
      <c r="N300" s="6">
        <v>54</v>
      </c>
      <c r="O300" s="6" t="s">
        <v>4445</v>
      </c>
      <c r="V300" s="8">
        <v>-0.40322801596820357</v>
      </c>
      <c r="W300" s="8">
        <v>-1.9526550193428998</v>
      </c>
      <c r="X300" s="27">
        <f t="shared" si="4"/>
        <v>1.2731691084027288</v>
      </c>
    </row>
    <row r="301" spans="1:24" s="6" customFormat="1" x14ac:dyDescent="0.35">
      <c r="A301" s="17" t="s">
        <v>25</v>
      </c>
      <c r="B301" s="6" t="s">
        <v>3634</v>
      </c>
      <c r="D301" s="6" t="s">
        <v>3936</v>
      </c>
      <c r="E301" s="6">
        <v>5</v>
      </c>
      <c r="F301" s="6">
        <v>63</v>
      </c>
      <c r="G301" s="6" t="s">
        <v>4238</v>
      </c>
      <c r="I301" s="8">
        <v>81.844373750000017</v>
      </c>
      <c r="J301" s="8">
        <v>11.63024243055556</v>
      </c>
      <c r="K301" s="24" t="s">
        <v>2610</v>
      </c>
      <c r="L301" s="9">
        <v>44103</v>
      </c>
      <c r="N301" s="6">
        <v>54</v>
      </c>
      <c r="O301" s="6" t="s">
        <v>4446</v>
      </c>
      <c r="V301" s="8">
        <v>-0.11394574307054264</v>
      </c>
      <c r="W301" s="8">
        <v>1.4586809784174294E-2</v>
      </c>
      <c r="X301" s="27">
        <f t="shared" si="4"/>
        <v>0.92615275434851541</v>
      </c>
    </row>
    <row r="302" spans="1:24" s="6" customFormat="1" x14ac:dyDescent="0.35">
      <c r="A302" s="17" t="s">
        <v>25</v>
      </c>
      <c r="B302" s="6" t="s">
        <v>3635</v>
      </c>
      <c r="D302" s="6" t="s">
        <v>3937</v>
      </c>
      <c r="E302" s="6">
        <v>5</v>
      </c>
      <c r="F302" s="6">
        <v>63</v>
      </c>
      <c r="G302" s="6" t="s">
        <v>4239</v>
      </c>
      <c r="I302" s="8">
        <v>81.551648402777786</v>
      </c>
      <c r="J302" s="8">
        <v>2.4391142361111111</v>
      </c>
      <c r="K302" s="24" t="s">
        <v>2610</v>
      </c>
      <c r="L302" s="9">
        <v>44104</v>
      </c>
      <c r="N302" s="6">
        <v>54</v>
      </c>
      <c r="O302" s="6" t="s">
        <v>4447</v>
      </c>
      <c r="V302" s="8">
        <v>-0.2039909045189619</v>
      </c>
      <c r="W302" s="8">
        <v>-0.64321353157609706</v>
      </c>
      <c r="X302" s="27">
        <f t="shared" si="4"/>
        <v>0.98871370457559815</v>
      </c>
    </row>
    <row r="303" spans="1:24" s="6" customFormat="1" x14ac:dyDescent="0.35">
      <c r="A303" s="17" t="s">
        <v>25</v>
      </c>
      <c r="B303" s="6" t="s">
        <v>3636</v>
      </c>
      <c r="D303" s="6" t="s">
        <v>3938</v>
      </c>
      <c r="E303" s="6">
        <v>5</v>
      </c>
      <c r="F303" s="6">
        <v>63</v>
      </c>
      <c r="G303" s="6" t="s">
        <v>4240</v>
      </c>
      <c r="I303" s="8">
        <v>79.918396805555517</v>
      </c>
      <c r="J303" s="8">
        <v>6.9952836805555547</v>
      </c>
      <c r="K303" s="24" t="s">
        <v>2610</v>
      </c>
      <c r="L303" s="9">
        <v>44105</v>
      </c>
      <c r="N303" s="6">
        <v>54</v>
      </c>
      <c r="O303" s="6" t="s">
        <v>4448</v>
      </c>
      <c r="V303" s="8">
        <v>0.21212417104840314</v>
      </c>
      <c r="W303" s="8">
        <v>2.4691709303855895</v>
      </c>
      <c r="X303" s="27">
        <f t="shared" si="4"/>
        <v>0.7721775619983644</v>
      </c>
    </row>
    <row r="304" spans="1:24" s="6" customFormat="1" x14ac:dyDescent="0.35">
      <c r="L304" s="9"/>
    </row>
  </sheetData>
  <sortState ref="A2:Y303">
    <sortCondition ref="L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E9A7-6185-4AB0-AEF1-932AAD668910}">
  <dimension ref="A1:BR307"/>
  <sheetViews>
    <sheetView tabSelected="1" zoomScaleNormal="100" workbookViewId="0">
      <selection activeCell="L3" sqref="L3"/>
    </sheetView>
  </sheetViews>
  <sheetFormatPr defaultRowHeight="14.5" x14ac:dyDescent="0.35"/>
  <cols>
    <col min="1" max="1" width="7.7265625" bestFit="1" customWidth="1"/>
    <col min="2" max="3" width="17" bestFit="1" customWidth="1"/>
    <col min="4" max="4" width="49.36328125" bestFit="1" customWidth="1"/>
    <col min="5" max="5" width="3.81640625" bestFit="1" customWidth="1"/>
    <col min="6" max="6" width="6" bestFit="1" customWidth="1"/>
    <col min="7" max="7" width="53.453125" bestFit="1" customWidth="1"/>
    <col min="8" max="8" width="18.6328125" bestFit="1" customWidth="1"/>
    <col min="9" max="9" width="7.90625" bestFit="1" customWidth="1"/>
    <col min="10" max="10" width="9.36328125" bestFit="1" customWidth="1"/>
    <col min="11" max="11" width="10.90625" bestFit="1" customWidth="1"/>
    <col min="12" max="12" width="11.7265625" bestFit="1" customWidth="1"/>
    <col min="13" max="13" width="7.90625" bestFit="1" customWidth="1"/>
    <col min="14" max="14" width="14" bestFit="1" customWidth="1"/>
    <col min="15" max="15" width="9.08984375" bestFit="1" customWidth="1"/>
    <col min="16" max="16" width="15.81640625" bestFit="1" customWidth="1"/>
    <col min="17" max="17" width="17.26953125" bestFit="1" customWidth="1"/>
    <col min="18" max="18" width="18.08984375" bestFit="1" customWidth="1"/>
    <col min="19" max="19" width="8" bestFit="1" customWidth="1"/>
    <col min="20" max="20" width="12" bestFit="1" customWidth="1"/>
    <col min="21" max="21" width="18.90625" bestFit="1" customWidth="1"/>
    <col min="22" max="22" width="16.08984375" bestFit="1" customWidth="1"/>
    <col min="23" max="23" width="6" bestFit="1" customWidth="1"/>
    <col min="24" max="24" width="7" bestFit="1" customWidth="1"/>
    <col min="25" max="25" width="8.54296875" bestFit="1" customWidth="1"/>
    <col min="26" max="26" width="95.1796875" bestFit="1" customWidth="1"/>
  </cols>
  <sheetData>
    <row r="1" spans="1:2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4" t="s">
        <v>16</v>
      </c>
      <c r="R1" s="4" t="s">
        <v>4241</v>
      </c>
      <c r="S1" s="4" t="s">
        <v>18</v>
      </c>
      <c r="T1" s="4" t="s">
        <v>19</v>
      </c>
      <c r="U1" s="1" t="s">
        <v>4463</v>
      </c>
      <c r="V1" s="1" t="s">
        <v>4464</v>
      </c>
      <c r="W1" s="5" t="s">
        <v>21</v>
      </c>
      <c r="X1" s="5" t="s">
        <v>22</v>
      </c>
      <c r="Y1" s="5" t="s">
        <v>23</v>
      </c>
      <c r="Z1" s="1" t="s">
        <v>24</v>
      </c>
    </row>
    <row r="2" spans="1:26" s="6" customFormat="1" x14ac:dyDescent="0.35">
      <c r="A2" s="6" t="s">
        <v>25</v>
      </c>
      <c r="B2" s="7"/>
      <c r="D2" s="6" t="s">
        <v>196</v>
      </c>
      <c r="E2" s="6">
        <v>1</v>
      </c>
      <c r="F2" s="6">
        <v>4</v>
      </c>
      <c r="G2" s="6" t="s">
        <v>199</v>
      </c>
      <c r="I2" s="8">
        <v>85.446325069444399</v>
      </c>
      <c r="J2" s="8">
        <v>127.893246736111</v>
      </c>
      <c r="K2" s="6" t="s">
        <v>198</v>
      </c>
      <c r="L2" s="9">
        <v>43763</v>
      </c>
      <c r="N2" s="6">
        <v>4</v>
      </c>
      <c r="O2" s="6" t="s">
        <v>4250</v>
      </c>
      <c r="W2" s="8">
        <v>-22.866831223297119</v>
      </c>
      <c r="X2" s="8">
        <v>-175.11962304687498</v>
      </c>
      <c r="Y2" s="8">
        <f>X2-(8*W2)</f>
        <v>7.8150267395019739</v>
      </c>
    </row>
    <row r="3" spans="1:26" s="6" customFormat="1" x14ac:dyDescent="0.35">
      <c r="A3" s="6" t="s">
        <v>25</v>
      </c>
      <c r="B3" s="7"/>
      <c r="D3" s="6" t="s">
        <v>196</v>
      </c>
      <c r="E3" s="6">
        <v>1</v>
      </c>
      <c r="F3" s="6">
        <v>4</v>
      </c>
      <c r="G3" s="6" t="s">
        <v>197</v>
      </c>
      <c r="I3" s="8">
        <v>85.446325069444399</v>
      </c>
      <c r="J3" s="8">
        <v>127.893246736111</v>
      </c>
      <c r="K3" s="6" t="s">
        <v>198</v>
      </c>
      <c r="L3" s="9">
        <v>43763</v>
      </c>
      <c r="N3" s="6">
        <v>4</v>
      </c>
      <c r="O3" s="6" t="s">
        <v>4250</v>
      </c>
      <c r="W3" s="8">
        <v>-21.999650120544437</v>
      </c>
      <c r="X3" s="8">
        <v>-174.26439459228516</v>
      </c>
      <c r="Y3" s="8">
        <f>X3-(8*W3)</f>
        <v>1.7328063720703426</v>
      </c>
    </row>
    <row r="4" spans="1:26" s="6" customFormat="1" x14ac:dyDescent="0.35">
      <c r="A4" s="6" t="s">
        <v>25</v>
      </c>
      <c r="B4" s="7"/>
      <c r="D4" s="6" t="s">
        <v>196</v>
      </c>
      <c r="E4" s="6">
        <v>1</v>
      </c>
      <c r="F4" s="6">
        <v>4</v>
      </c>
      <c r="G4" s="6" t="s">
        <v>200</v>
      </c>
      <c r="I4" s="8">
        <v>85.446325069444399</v>
      </c>
      <c r="J4" s="8">
        <v>127.893246736111</v>
      </c>
      <c r="K4" s="6" t="s">
        <v>198</v>
      </c>
      <c r="L4" s="9">
        <v>43763</v>
      </c>
      <c r="N4" s="6">
        <v>4</v>
      </c>
      <c r="O4" s="6" t="s">
        <v>4250</v>
      </c>
      <c r="W4" s="8">
        <v>-20.691177746009824</v>
      </c>
      <c r="X4" s="8">
        <v>-148.63860919189455</v>
      </c>
      <c r="Y4" s="8">
        <f>X4-(8*W4)</f>
        <v>16.890812776184049</v>
      </c>
    </row>
    <row r="5" spans="1:26" s="6" customFormat="1" x14ac:dyDescent="0.35">
      <c r="A5" s="6" t="s">
        <v>25</v>
      </c>
      <c r="B5" s="6" t="s">
        <v>2731</v>
      </c>
      <c r="D5" s="6" t="s">
        <v>3087</v>
      </c>
      <c r="E5" s="6">
        <v>1</v>
      </c>
      <c r="F5" s="6">
        <v>4</v>
      </c>
      <c r="G5" s="6" t="s">
        <v>3212</v>
      </c>
      <c r="I5" s="8">
        <v>85.437310999999994</v>
      </c>
      <c r="J5" s="8">
        <v>128.19922500000001</v>
      </c>
      <c r="K5" s="6" t="s">
        <v>198</v>
      </c>
      <c r="L5" s="9">
        <v>43763</v>
      </c>
      <c r="M5" s="18">
        <v>5.2083333333333336E-2</v>
      </c>
      <c r="N5" s="6">
        <v>4</v>
      </c>
      <c r="O5" s="6" t="s">
        <v>4250</v>
      </c>
      <c r="R5" s="6">
        <v>0</v>
      </c>
      <c r="U5" s="32">
        <v>8.5</v>
      </c>
      <c r="V5" t="s">
        <v>4461</v>
      </c>
      <c r="W5" s="8">
        <v>-3.573909158086777</v>
      </c>
      <c r="X5" s="8">
        <v>-29.957597808837889</v>
      </c>
      <c r="Y5" s="8">
        <f>X5-(8*W5)</f>
        <v>-1.3663245441436729</v>
      </c>
    </row>
    <row r="6" spans="1:26" s="6" customFormat="1" x14ac:dyDescent="0.35">
      <c r="A6" s="6" t="s">
        <v>25</v>
      </c>
      <c r="B6" s="6" t="s">
        <v>2732</v>
      </c>
      <c r="D6" s="6" t="s">
        <v>3088</v>
      </c>
      <c r="E6" s="6">
        <v>1</v>
      </c>
      <c r="F6" s="6">
        <v>5</v>
      </c>
      <c r="G6" s="6" t="s">
        <v>3213</v>
      </c>
      <c r="I6" s="8">
        <v>85.541078999999996</v>
      </c>
      <c r="J6" s="8">
        <v>126.483514</v>
      </c>
      <c r="K6" s="6" t="s">
        <v>198</v>
      </c>
      <c r="L6" s="9">
        <v>43766</v>
      </c>
      <c r="M6" s="18">
        <v>4.1666666666666664E-2</v>
      </c>
      <c r="N6" s="6">
        <v>5</v>
      </c>
      <c r="O6" s="6" t="s">
        <v>4251</v>
      </c>
      <c r="R6" s="6">
        <v>26</v>
      </c>
      <c r="U6" s="32">
        <v>10</v>
      </c>
      <c r="V6" t="s">
        <v>4461</v>
      </c>
      <c r="W6" s="8">
        <v>-26.115560464477536</v>
      </c>
      <c r="X6" s="8">
        <v>-185.96585632324215</v>
      </c>
      <c r="Y6" s="8">
        <f>X6-(8*W6)</f>
        <v>22.958627392578137</v>
      </c>
      <c r="Z6" s="6" t="s">
        <v>3217</v>
      </c>
    </row>
    <row r="7" spans="1:26" s="6" customFormat="1" x14ac:dyDescent="0.35">
      <c r="A7" s="6" t="s">
        <v>25</v>
      </c>
      <c r="B7" s="7"/>
      <c r="C7" s="6">
        <v>510226</v>
      </c>
      <c r="D7" s="6" t="s">
        <v>238</v>
      </c>
      <c r="E7" s="6">
        <v>1</v>
      </c>
      <c r="F7" s="6">
        <v>5</v>
      </c>
      <c r="G7" s="6" t="s">
        <v>239</v>
      </c>
      <c r="H7" s="6">
        <v>9</v>
      </c>
      <c r="I7" s="8">
        <v>85.587483888888897</v>
      </c>
      <c r="J7" s="8">
        <v>126.139427777778</v>
      </c>
      <c r="K7" s="6" t="s">
        <v>198</v>
      </c>
      <c r="L7" s="9">
        <v>43766</v>
      </c>
      <c r="N7" s="6">
        <v>5</v>
      </c>
      <c r="O7" s="6" t="s">
        <v>4251</v>
      </c>
      <c r="U7" s="6">
        <v>10.5</v>
      </c>
      <c r="W7" s="8">
        <v>-22.709779957580565</v>
      </c>
      <c r="X7" s="8">
        <v>-170.2169805908203</v>
      </c>
      <c r="Y7" s="8">
        <f>X7-(8*W7)</f>
        <v>11.461259069824223</v>
      </c>
    </row>
    <row r="8" spans="1:26" s="6" customFormat="1" x14ac:dyDescent="0.35">
      <c r="A8" s="6" t="s">
        <v>25</v>
      </c>
      <c r="B8" s="7"/>
      <c r="C8" s="6">
        <v>510250</v>
      </c>
      <c r="D8" s="6" t="s">
        <v>235</v>
      </c>
      <c r="E8" s="6">
        <v>1</v>
      </c>
      <c r="F8" s="6">
        <v>5</v>
      </c>
      <c r="G8" s="6" t="s">
        <v>236</v>
      </c>
      <c r="I8" s="8">
        <v>85.587483888888897</v>
      </c>
      <c r="J8" s="8">
        <v>126.139427777778</v>
      </c>
      <c r="K8" s="6" t="s">
        <v>198</v>
      </c>
      <c r="L8" s="9">
        <v>43766</v>
      </c>
      <c r="N8" s="6">
        <v>5</v>
      </c>
      <c r="O8" s="6" t="s">
        <v>4251</v>
      </c>
      <c r="W8" s="8">
        <v>-21.988264004516601</v>
      </c>
      <c r="X8" s="8">
        <v>-165.64962133789064</v>
      </c>
      <c r="Y8" s="8">
        <f>X8-(8*W8)</f>
        <v>10.256490698242175</v>
      </c>
      <c r="Z8" s="6" t="s">
        <v>237</v>
      </c>
    </row>
    <row r="9" spans="1:26" s="6" customFormat="1" x14ac:dyDescent="0.35">
      <c r="A9" s="6" t="s">
        <v>25</v>
      </c>
      <c r="B9" s="7"/>
      <c r="C9" s="6">
        <v>510252</v>
      </c>
      <c r="D9" s="6" t="s">
        <v>235</v>
      </c>
      <c r="E9" s="6">
        <v>1</v>
      </c>
      <c r="F9" s="6">
        <v>5</v>
      </c>
      <c r="G9" s="6" t="s">
        <v>236</v>
      </c>
      <c r="I9" s="8">
        <v>85.587483888888897</v>
      </c>
      <c r="J9" s="8">
        <v>126.139427777778</v>
      </c>
      <c r="K9" s="6" t="s">
        <v>198</v>
      </c>
      <c r="L9" s="9">
        <v>43766</v>
      </c>
      <c r="N9" s="6">
        <v>5</v>
      </c>
      <c r="O9" s="6" t="s">
        <v>4251</v>
      </c>
      <c r="W9" s="8">
        <v>-21.795615296173096</v>
      </c>
      <c r="X9" s="8">
        <v>-164.31106646728514</v>
      </c>
      <c r="Y9" s="8">
        <f>X9-(8*W9)</f>
        <v>10.053855902099627</v>
      </c>
    </row>
    <row r="10" spans="1:26" s="6" customFormat="1" x14ac:dyDescent="0.35">
      <c r="A10" s="6" t="s">
        <v>25</v>
      </c>
      <c r="B10" s="7"/>
      <c r="C10" s="6">
        <v>510227</v>
      </c>
      <c r="D10" s="6" t="s">
        <v>238</v>
      </c>
      <c r="E10" s="6">
        <v>1</v>
      </c>
      <c r="F10" s="6">
        <v>5</v>
      </c>
      <c r="G10" s="6" t="s">
        <v>239</v>
      </c>
      <c r="H10" s="6">
        <v>9</v>
      </c>
      <c r="I10" s="8">
        <v>85.587483888888897</v>
      </c>
      <c r="J10" s="8">
        <v>126.139427777778</v>
      </c>
      <c r="K10" s="6" t="s">
        <v>198</v>
      </c>
      <c r="L10" s="9">
        <v>43766</v>
      </c>
      <c r="N10" s="6">
        <v>5</v>
      </c>
      <c r="O10" s="6" t="s">
        <v>4251</v>
      </c>
      <c r="U10" s="6">
        <v>0</v>
      </c>
      <c r="W10" s="8">
        <v>-16.83111167860185</v>
      </c>
      <c r="X10" s="8">
        <v>-121.3664778510408</v>
      </c>
      <c r="Y10" s="8">
        <f>X10-(8*W10)</f>
        <v>13.282415577774003</v>
      </c>
    </row>
    <row r="11" spans="1:26" s="6" customFormat="1" x14ac:dyDescent="0.35">
      <c r="A11" s="6" t="s">
        <v>25</v>
      </c>
      <c r="B11" s="7"/>
      <c r="C11" s="6">
        <v>510228</v>
      </c>
      <c r="D11" s="6" t="s">
        <v>240</v>
      </c>
      <c r="E11" s="6">
        <v>1</v>
      </c>
      <c r="F11" s="6">
        <v>5</v>
      </c>
      <c r="G11" s="6" t="s">
        <v>241</v>
      </c>
      <c r="H11" s="6">
        <v>16</v>
      </c>
      <c r="I11" s="8">
        <v>85.587483888888897</v>
      </c>
      <c r="J11" s="8">
        <v>126.139427777778</v>
      </c>
      <c r="K11" s="6" t="s">
        <v>198</v>
      </c>
      <c r="L11" s="9">
        <v>43766</v>
      </c>
      <c r="N11" s="6">
        <v>5</v>
      </c>
      <c r="O11" s="6" t="s">
        <v>4251</v>
      </c>
      <c r="U11" s="6">
        <v>0</v>
      </c>
      <c r="W11" s="8">
        <v>-16.156495983869455</v>
      </c>
      <c r="X11" s="8">
        <v>-117.23012058343947</v>
      </c>
      <c r="Y11" s="8">
        <f>X11-(8*W11)</f>
        <v>12.021847287516167</v>
      </c>
    </row>
    <row r="12" spans="1:26" s="6" customFormat="1" x14ac:dyDescent="0.35">
      <c r="A12" s="6" t="s">
        <v>25</v>
      </c>
      <c r="B12" s="6" t="s">
        <v>2733</v>
      </c>
      <c r="D12" s="6" t="s">
        <v>3088</v>
      </c>
      <c r="E12" s="6">
        <v>1</v>
      </c>
      <c r="F12" s="6">
        <v>5</v>
      </c>
      <c r="G12" s="6" t="s">
        <v>3213</v>
      </c>
      <c r="I12" s="8">
        <v>85.541078999999996</v>
      </c>
      <c r="J12" s="8">
        <v>126.483514</v>
      </c>
      <c r="K12" s="6" t="s">
        <v>198</v>
      </c>
      <c r="L12" s="9">
        <v>43766</v>
      </c>
      <c r="M12" s="18">
        <v>4.1666666666666664E-2</v>
      </c>
      <c r="N12" s="6">
        <v>5</v>
      </c>
      <c r="O12" s="6" t="s">
        <v>4251</v>
      </c>
      <c r="R12" s="6">
        <v>13</v>
      </c>
      <c r="U12" s="32">
        <v>4.8</v>
      </c>
      <c r="V12" t="s">
        <v>4461</v>
      </c>
      <c r="W12" s="8">
        <v>-8.0637404085159279</v>
      </c>
      <c r="X12" s="8">
        <v>-64.54597076416016</v>
      </c>
      <c r="Y12" s="8">
        <f>X12-(8*W12)</f>
        <v>-3.6047496032736603E-2</v>
      </c>
      <c r="Z12" s="6" t="s">
        <v>3217</v>
      </c>
    </row>
    <row r="13" spans="1:26" s="6" customFormat="1" x14ac:dyDescent="0.35">
      <c r="A13" s="6" t="s">
        <v>25</v>
      </c>
      <c r="B13" s="6" t="s">
        <v>2734</v>
      </c>
      <c r="D13" s="6" t="s">
        <v>3088</v>
      </c>
      <c r="E13" s="6">
        <v>1</v>
      </c>
      <c r="F13" s="6">
        <v>5</v>
      </c>
      <c r="G13" s="6" t="s">
        <v>3213</v>
      </c>
      <c r="I13" s="8">
        <v>85.541078999999996</v>
      </c>
      <c r="J13" s="8">
        <v>126.483514</v>
      </c>
      <c r="K13" s="6" t="s">
        <v>198</v>
      </c>
      <c r="L13" s="9">
        <v>43766</v>
      </c>
      <c r="M13" s="18">
        <v>4.1666666666666664E-2</v>
      </c>
      <c r="N13" s="6">
        <v>5</v>
      </c>
      <c r="O13" s="6" t="s">
        <v>4251</v>
      </c>
      <c r="R13" s="6">
        <v>0</v>
      </c>
      <c r="U13" s="32">
        <v>6.7</v>
      </c>
      <c r="V13" t="s">
        <v>4461</v>
      </c>
      <c r="W13" s="8">
        <v>-3.6654373942375185</v>
      </c>
      <c r="X13" s="8">
        <v>-29.699969482421878</v>
      </c>
      <c r="Y13" s="8">
        <f>X13-(8*W13)</f>
        <v>-0.37647032852173012</v>
      </c>
      <c r="Z13" s="6" t="s">
        <v>3217</v>
      </c>
    </row>
    <row r="14" spans="1:26" s="6" customFormat="1" x14ac:dyDescent="0.35">
      <c r="A14" s="6" t="s">
        <v>25</v>
      </c>
      <c r="B14" s="7"/>
      <c r="C14" s="6">
        <v>510286</v>
      </c>
      <c r="D14" s="6" t="s">
        <v>252</v>
      </c>
      <c r="E14" s="6">
        <v>1</v>
      </c>
      <c r="F14" s="6">
        <v>5</v>
      </c>
      <c r="G14" s="6" t="s">
        <v>179</v>
      </c>
      <c r="I14" s="8">
        <v>85.726575763888903</v>
      </c>
      <c r="J14" s="8">
        <v>124.264683611111</v>
      </c>
      <c r="K14" s="6" t="s">
        <v>198</v>
      </c>
      <c r="L14" s="9">
        <v>43768</v>
      </c>
      <c r="N14" s="6">
        <v>5</v>
      </c>
      <c r="O14" s="6" t="s">
        <v>4252</v>
      </c>
      <c r="Q14" s="6" t="s">
        <v>254</v>
      </c>
      <c r="R14" s="6">
        <v>0</v>
      </c>
      <c r="S14" s="6">
        <v>4.5</v>
      </c>
      <c r="T14" s="10">
        <f>AVERAGE(R14:S14)</f>
        <v>2.25</v>
      </c>
      <c r="W14" s="8">
        <v>-14.503572975349426</v>
      </c>
      <c r="X14" s="8">
        <v>-103.45194618682862</v>
      </c>
      <c r="Y14" s="8">
        <f>X14-(8*W14)</f>
        <v>12.576637615966789</v>
      </c>
    </row>
    <row r="15" spans="1:26" s="6" customFormat="1" x14ac:dyDescent="0.35">
      <c r="A15" s="6" t="s">
        <v>25</v>
      </c>
      <c r="B15" s="7"/>
      <c r="C15" s="6">
        <v>510285</v>
      </c>
      <c r="D15" s="6" t="s">
        <v>252</v>
      </c>
      <c r="E15" s="6">
        <v>1</v>
      </c>
      <c r="F15" s="6">
        <v>5</v>
      </c>
      <c r="G15" s="6" t="s">
        <v>179</v>
      </c>
      <c r="I15" s="8">
        <v>85.726575763888903</v>
      </c>
      <c r="J15" s="8">
        <v>124.264683611111</v>
      </c>
      <c r="K15" s="6" t="s">
        <v>198</v>
      </c>
      <c r="L15" s="9">
        <v>43768</v>
      </c>
      <c r="N15" s="6">
        <v>5</v>
      </c>
      <c r="O15" s="6" t="s">
        <v>4252</v>
      </c>
      <c r="Q15" s="6" t="s">
        <v>253</v>
      </c>
      <c r="R15" s="6">
        <v>4.5</v>
      </c>
      <c r="S15" s="6">
        <v>9</v>
      </c>
      <c r="T15" s="10">
        <f>AVERAGE(R15:S15)</f>
        <v>6.75</v>
      </c>
      <c r="W15" s="8">
        <v>-6.7758262826919555</v>
      </c>
      <c r="X15" s="8">
        <v>-52.340047852325441</v>
      </c>
      <c r="Y15" s="8">
        <f>X15-(8*W15)</f>
        <v>1.8665624092102036</v>
      </c>
    </row>
    <row r="16" spans="1:26" s="6" customFormat="1" x14ac:dyDescent="0.35">
      <c r="A16" s="6" t="s">
        <v>25</v>
      </c>
      <c r="B16" s="7"/>
      <c r="C16" s="6">
        <v>510315</v>
      </c>
      <c r="D16" s="6" t="s">
        <v>271</v>
      </c>
      <c r="E16" s="6">
        <v>1</v>
      </c>
      <c r="F16" s="6">
        <v>5</v>
      </c>
      <c r="G16" s="6" t="s">
        <v>272</v>
      </c>
      <c r="H16" s="6">
        <v>18</v>
      </c>
      <c r="I16" s="8">
        <v>85.859204791666698</v>
      </c>
      <c r="J16" s="8">
        <v>122.400430694444</v>
      </c>
      <c r="K16" s="6" t="s">
        <v>198</v>
      </c>
      <c r="L16" s="9">
        <v>43771</v>
      </c>
      <c r="N16" s="6">
        <v>5</v>
      </c>
      <c r="O16" s="6" t="s">
        <v>4254</v>
      </c>
      <c r="Q16" s="6" t="s">
        <v>273</v>
      </c>
      <c r="R16" s="6">
        <v>0</v>
      </c>
      <c r="S16" s="6">
        <v>6</v>
      </c>
      <c r="T16" s="10">
        <f>AVERAGE(R16:S16)</f>
        <v>3</v>
      </c>
      <c r="U16" s="6">
        <v>0</v>
      </c>
      <c r="W16" s="8">
        <v>-24.139957516479491</v>
      </c>
      <c r="X16" s="8">
        <v>-172.98726603393555</v>
      </c>
      <c r="Y16" s="8">
        <f>X16-(8*W16)</f>
        <v>20.132394097900374</v>
      </c>
    </row>
    <row r="17" spans="1:26" s="6" customFormat="1" x14ac:dyDescent="0.35">
      <c r="A17" s="6" t="s">
        <v>25</v>
      </c>
      <c r="B17" s="7"/>
      <c r="C17" s="6">
        <v>510316</v>
      </c>
      <c r="D17" s="6" t="s">
        <v>271</v>
      </c>
      <c r="E17" s="6">
        <v>1</v>
      </c>
      <c r="F17" s="6">
        <v>5</v>
      </c>
      <c r="G17" s="6" t="s">
        <v>272</v>
      </c>
      <c r="I17" s="8">
        <v>85.859204791666698</v>
      </c>
      <c r="J17" s="8">
        <v>122.400430694444</v>
      </c>
      <c r="K17" s="6" t="s">
        <v>198</v>
      </c>
      <c r="L17" s="9">
        <v>43771</v>
      </c>
      <c r="N17" s="6">
        <v>5</v>
      </c>
      <c r="O17" s="6" t="s">
        <v>4254</v>
      </c>
      <c r="Q17" s="6" t="s">
        <v>274</v>
      </c>
      <c r="R17" s="6">
        <v>6</v>
      </c>
      <c r="S17" s="6">
        <v>12</v>
      </c>
      <c r="T17" s="10">
        <f>AVERAGE(R17:S17)</f>
        <v>9</v>
      </c>
      <c r="U17" s="6">
        <v>0</v>
      </c>
      <c r="W17" s="8">
        <v>-15.103480030965139</v>
      </c>
      <c r="X17" s="8">
        <v>-109.35734162810682</v>
      </c>
      <c r="Y17" s="8">
        <f>X17-(8*W17)</f>
        <v>11.47049861961429</v>
      </c>
    </row>
    <row r="18" spans="1:26" s="6" customFormat="1" x14ac:dyDescent="0.35">
      <c r="A18" s="6" t="s">
        <v>25</v>
      </c>
      <c r="B18" s="7"/>
      <c r="C18" s="6">
        <v>510317</v>
      </c>
      <c r="D18" s="6" t="s">
        <v>271</v>
      </c>
      <c r="E18" s="6">
        <v>1</v>
      </c>
      <c r="F18" s="6">
        <v>5</v>
      </c>
      <c r="G18" s="6" t="s">
        <v>272</v>
      </c>
      <c r="I18" s="8">
        <v>85.859204791666698</v>
      </c>
      <c r="J18" s="8">
        <v>122.400430694444</v>
      </c>
      <c r="K18" s="6" t="s">
        <v>198</v>
      </c>
      <c r="L18" s="9">
        <v>43771</v>
      </c>
      <c r="N18" s="6">
        <v>5</v>
      </c>
      <c r="O18" s="6" t="s">
        <v>4254</v>
      </c>
      <c r="Q18" s="6" t="s">
        <v>275</v>
      </c>
      <c r="R18" s="6">
        <v>12</v>
      </c>
      <c r="S18" s="6">
        <v>18</v>
      </c>
      <c r="T18" s="10">
        <f>AVERAGE(R18:S18)</f>
        <v>15</v>
      </c>
      <c r="U18" s="6">
        <v>0.1</v>
      </c>
      <c r="W18" s="8">
        <v>-10.450429097366333</v>
      </c>
      <c r="X18" s="8">
        <v>-83.379729237365723</v>
      </c>
      <c r="Y18" s="8">
        <f>X18-(8*W18)</f>
        <v>0.22370354156494443</v>
      </c>
    </row>
    <row r="19" spans="1:26" s="6" customFormat="1" x14ac:dyDescent="0.35">
      <c r="A19" s="6" t="s">
        <v>25</v>
      </c>
      <c r="B19" s="6" t="s">
        <v>2735</v>
      </c>
      <c r="D19" s="6" t="s">
        <v>3089</v>
      </c>
      <c r="E19" s="6">
        <v>1</v>
      </c>
      <c r="F19" s="6">
        <v>6</v>
      </c>
      <c r="G19" s="6" t="s">
        <v>3214</v>
      </c>
      <c r="I19" s="8">
        <v>85.941255999999996</v>
      </c>
      <c r="J19" s="8">
        <v>120.121719</v>
      </c>
      <c r="K19" s="6" t="s">
        <v>198</v>
      </c>
      <c r="L19" s="9">
        <v>43773</v>
      </c>
      <c r="M19" s="18">
        <v>0.25972222222222224</v>
      </c>
      <c r="N19" s="6">
        <v>6</v>
      </c>
      <c r="O19" s="6" t="s">
        <v>4255</v>
      </c>
      <c r="R19" s="6">
        <v>8</v>
      </c>
      <c r="S19" s="6">
        <v>5</v>
      </c>
      <c r="U19" s="32">
        <v>886</v>
      </c>
      <c r="V19" t="s">
        <v>4461</v>
      </c>
      <c r="W19" s="8">
        <v>-16.545141259765622</v>
      </c>
      <c r="X19" s="8">
        <v>-114.80057144165039</v>
      </c>
      <c r="Y19" s="8">
        <f>X19-(8*W19)</f>
        <v>17.560558636474582</v>
      </c>
    </row>
    <row r="20" spans="1:26" s="6" customFormat="1" x14ac:dyDescent="0.35">
      <c r="A20" s="6" t="s">
        <v>25</v>
      </c>
      <c r="B20" s="7"/>
      <c r="C20" s="6">
        <v>510373</v>
      </c>
      <c r="D20" s="6" t="s">
        <v>340</v>
      </c>
      <c r="E20" s="6">
        <v>1</v>
      </c>
      <c r="F20" s="6">
        <v>6</v>
      </c>
      <c r="G20" s="6" t="s">
        <v>239</v>
      </c>
      <c r="H20" s="6">
        <v>8</v>
      </c>
      <c r="I20" s="8">
        <v>85.946550833333305</v>
      </c>
      <c r="J20" s="8">
        <v>119.754510833333</v>
      </c>
      <c r="K20" s="6" t="s">
        <v>198</v>
      </c>
      <c r="L20" s="9">
        <v>43773</v>
      </c>
      <c r="N20" s="6">
        <v>6</v>
      </c>
      <c r="O20" s="6" t="s">
        <v>4255</v>
      </c>
      <c r="Q20" s="6" t="s">
        <v>341</v>
      </c>
      <c r="R20" s="6">
        <v>0</v>
      </c>
      <c r="S20" s="6">
        <v>4.5</v>
      </c>
      <c r="T20" s="10">
        <f>AVERAGE(R20:S20)</f>
        <v>2.25</v>
      </c>
      <c r="U20" s="6">
        <v>1</v>
      </c>
      <c r="W20" s="8">
        <v>-15.096636150741578</v>
      </c>
      <c r="X20" s="8">
        <v>-106.18907187194824</v>
      </c>
      <c r="Y20" s="8">
        <f>X20-(8*W20)</f>
        <v>14.584017333984377</v>
      </c>
      <c r="Z20" s="6" t="s">
        <v>342</v>
      </c>
    </row>
    <row r="21" spans="1:26" s="6" customFormat="1" x14ac:dyDescent="0.35">
      <c r="A21" s="6" t="s">
        <v>25</v>
      </c>
      <c r="B21" s="7"/>
      <c r="C21" s="6">
        <v>510375</v>
      </c>
      <c r="D21" s="6" t="s">
        <v>334</v>
      </c>
      <c r="E21" s="6">
        <v>1</v>
      </c>
      <c r="F21" s="6">
        <v>6</v>
      </c>
      <c r="G21" s="6" t="s">
        <v>335</v>
      </c>
      <c r="H21" s="6">
        <v>17</v>
      </c>
      <c r="I21" s="8">
        <v>85.946550833333305</v>
      </c>
      <c r="J21" s="8">
        <v>119.754510833333</v>
      </c>
      <c r="K21" s="6" t="s">
        <v>198</v>
      </c>
      <c r="L21" s="9">
        <v>43773</v>
      </c>
      <c r="N21" s="6">
        <v>6</v>
      </c>
      <c r="O21" s="6" t="s">
        <v>4255</v>
      </c>
      <c r="Q21" s="6" t="s">
        <v>336</v>
      </c>
      <c r="R21" s="6">
        <v>0</v>
      </c>
      <c r="S21" s="6">
        <v>4</v>
      </c>
      <c r="T21" s="10">
        <f>AVERAGE(R21:S21)</f>
        <v>2</v>
      </c>
      <c r="U21" s="6">
        <v>0</v>
      </c>
      <c r="W21" s="8">
        <v>-14.774702609901244</v>
      </c>
      <c r="X21" s="8">
        <v>-107.22897096921592</v>
      </c>
      <c r="Y21" s="8">
        <f>X21-(8*W21)</f>
        <v>10.968649909994028</v>
      </c>
    </row>
    <row r="22" spans="1:26" s="6" customFormat="1" x14ac:dyDescent="0.35">
      <c r="A22" s="6" t="s">
        <v>25</v>
      </c>
      <c r="B22" s="7"/>
      <c r="C22" s="6">
        <v>510376</v>
      </c>
      <c r="D22" s="6" t="s">
        <v>337</v>
      </c>
      <c r="E22" s="6">
        <v>1</v>
      </c>
      <c r="F22" s="6">
        <v>6</v>
      </c>
      <c r="G22" s="6" t="s">
        <v>335</v>
      </c>
      <c r="I22" s="8">
        <v>85.946550833333305</v>
      </c>
      <c r="J22" s="8">
        <v>119.754510833333</v>
      </c>
      <c r="K22" s="6" t="s">
        <v>198</v>
      </c>
      <c r="L22" s="9">
        <v>43773</v>
      </c>
      <c r="N22" s="6">
        <v>6</v>
      </c>
      <c r="O22" s="6" t="s">
        <v>4255</v>
      </c>
      <c r="Q22" s="6" t="s">
        <v>338</v>
      </c>
      <c r="R22" s="6">
        <v>4</v>
      </c>
      <c r="S22" s="6">
        <v>8</v>
      </c>
      <c r="T22" s="10">
        <f>AVERAGE(R22:S22)</f>
        <v>6</v>
      </c>
      <c r="U22" s="6">
        <v>0</v>
      </c>
      <c r="W22" s="8">
        <v>-14.485492414371821</v>
      </c>
      <c r="X22" s="8">
        <v>-107.80519935150198</v>
      </c>
      <c r="Y22" s="8">
        <f>X22-(8*W22)</f>
        <v>8.0787399634725858</v>
      </c>
    </row>
    <row r="23" spans="1:26" s="6" customFormat="1" x14ac:dyDescent="0.35">
      <c r="A23" s="6" t="s">
        <v>25</v>
      </c>
      <c r="B23" s="6" t="s">
        <v>2736</v>
      </c>
      <c r="D23" s="6" t="s">
        <v>3089</v>
      </c>
      <c r="E23" s="6">
        <v>1</v>
      </c>
      <c r="F23" s="6">
        <v>6</v>
      </c>
      <c r="G23" s="6" t="s">
        <v>3214</v>
      </c>
      <c r="I23" s="8">
        <v>85.941255999999996</v>
      </c>
      <c r="J23" s="8">
        <v>120.121719</v>
      </c>
      <c r="K23" s="6" t="s">
        <v>198</v>
      </c>
      <c r="L23" s="9">
        <v>43773</v>
      </c>
      <c r="M23" s="18">
        <v>0.25972222222222224</v>
      </c>
      <c r="N23" s="6">
        <v>6</v>
      </c>
      <c r="O23" s="6" t="s">
        <v>4255</v>
      </c>
      <c r="R23" s="6">
        <v>3</v>
      </c>
      <c r="S23" s="6">
        <v>0</v>
      </c>
      <c r="U23" s="32">
        <v>20.6</v>
      </c>
      <c r="V23" t="s">
        <v>4462</v>
      </c>
      <c r="W23" s="8">
        <v>-10.958814179992673</v>
      </c>
      <c r="X23" s="8">
        <v>-82.290047912597657</v>
      </c>
      <c r="Y23" s="8">
        <f>X23-(8*W23)</f>
        <v>5.3804655273437305</v>
      </c>
    </row>
    <row r="24" spans="1:26" s="6" customFormat="1" x14ac:dyDescent="0.35">
      <c r="A24" s="6" t="s">
        <v>25</v>
      </c>
      <c r="B24" s="7"/>
      <c r="C24" s="6">
        <v>510374</v>
      </c>
      <c r="E24" s="6">
        <v>1</v>
      </c>
      <c r="F24" s="6">
        <v>6</v>
      </c>
      <c r="G24" s="6" t="s">
        <v>239</v>
      </c>
      <c r="I24" s="8">
        <v>85.946550833333305</v>
      </c>
      <c r="J24" s="8">
        <v>119.754510833333</v>
      </c>
      <c r="K24" s="6" t="s">
        <v>198</v>
      </c>
      <c r="L24" s="9">
        <v>43773</v>
      </c>
      <c r="N24" s="6">
        <v>6</v>
      </c>
      <c r="O24" s="6" t="s">
        <v>4255</v>
      </c>
      <c r="Q24" s="6" t="s">
        <v>343</v>
      </c>
      <c r="R24" s="6">
        <v>4.5</v>
      </c>
      <c r="S24" s="6">
        <v>9</v>
      </c>
      <c r="T24" s="10">
        <f>AVERAGE(R24:S24)</f>
        <v>6.75</v>
      </c>
      <c r="U24" s="6">
        <v>14.1</v>
      </c>
      <c r="W24" s="8">
        <v>-10.448785442733765</v>
      </c>
      <c r="X24" s="8">
        <v>-81.416758456420894</v>
      </c>
      <c r="Y24" s="8">
        <f>X24-(8*W24)</f>
        <v>2.1735250854492278</v>
      </c>
    </row>
    <row r="25" spans="1:26" s="6" customFormat="1" x14ac:dyDescent="0.35">
      <c r="A25" s="6" t="s">
        <v>25</v>
      </c>
      <c r="B25" s="7"/>
      <c r="C25" s="6">
        <v>510377</v>
      </c>
      <c r="D25" s="6" t="s">
        <v>337</v>
      </c>
      <c r="E25" s="6">
        <v>1</v>
      </c>
      <c r="F25" s="6">
        <v>6</v>
      </c>
      <c r="G25" s="6" t="s">
        <v>335</v>
      </c>
      <c r="I25" s="8">
        <v>85.946550833333305</v>
      </c>
      <c r="J25" s="8">
        <v>119.754510833333</v>
      </c>
      <c r="K25" s="6" t="s">
        <v>198</v>
      </c>
      <c r="L25" s="9">
        <v>43773</v>
      </c>
      <c r="N25" s="6">
        <v>6</v>
      </c>
      <c r="O25" s="6" t="s">
        <v>4255</v>
      </c>
      <c r="Q25" s="6" t="s">
        <v>339</v>
      </c>
      <c r="R25" s="6">
        <v>8</v>
      </c>
      <c r="S25" s="6">
        <v>12</v>
      </c>
      <c r="T25" s="10">
        <f>AVERAGE(R25:S25)</f>
        <v>10</v>
      </c>
      <c r="U25" s="6">
        <v>0</v>
      </c>
      <c r="W25" s="8">
        <v>-7.9692008292198198</v>
      </c>
      <c r="X25" s="8">
        <v>-65.734679224721447</v>
      </c>
      <c r="Y25" s="8">
        <f>X25-(8*W25)</f>
        <v>-1.9810725909628886</v>
      </c>
    </row>
    <row r="26" spans="1:26" s="6" customFormat="1" x14ac:dyDescent="0.35">
      <c r="A26" s="6" t="s">
        <v>25</v>
      </c>
      <c r="B26" s="6" t="s">
        <v>2737</v>
      </c>
      <c r="D26" s="6" t="s">
        <v>3089</v>
      </c>
      <c r="E26" s="6">
        <v>1</v>
      </c>
      <c r="F26" s="6">
        <v>6</v>
      </c>
      <c r="G26" s="6" t="s">
        <v>3214</v>
      </c>
      <c r="I26" s="8">
        <v>85.941255999999996</v>
      </c>
      <c r="J26" s="8">
        <v>120.121719</v>
      </c>
      <c r="K26" s="6" t="s">
        <v>198</v>
      </c>
      <c r="L26" s="9">
        <v>43773</v>
      </c>
      <c r="M26" s="18">
        <v>0.25972222222222224</v>
      </c>
      <c r="N26" s="6">
        <v>6</v>
      </c>
      <c r="O26" s="6" t="s">
        <v>4255</v>
      </c>
      <c r="R26" s="6">
        <v>5</v>
      </c>
      <c r="S26" s="6">
        <v>3</v>
      </c>
      <c r="U26" s="32">
        <v>37.799999999999997</v>
      </c>
      <c r="V26" t="s">
        <v>4462</v>
      </c>
      <c r="W26" s="8">
        <v>-7.0805320812225343</v>
      </c>
      <c r="X26" s="8">
        <v>-57.080304565429685</v>
      </c>
      <c r="Y26" s="8">
        <f>X26-(8*W26)</f>
        <v>-0.43604791564941081</v>
      </c>
    </row>
    <row r="27" spans="1:26" s="6" customFormat="1" x14ac:dyDescent="0.35">
      <c r="A27" s="6" t="s">
        <v>25</v>
      </c>
      <c r="B27" s="7"/>
      <c r="C27" s="6">
        <v>510401</v>
      </c>
      <c r="D27" s="6" t="s">
        <v>351</v>
      </c>
      <c r="E27" s="6">
        <v>1</v>
      </c>
      <c r="F27" s="6">
        <v>6</v>
      </c>
      <c r="G27" s="6" t="s">
        <v>345</v>
      </c>
      <c r="H27" s="6">
        <v>18</v>
      </c>
      <c r="I27" s="8">
        <v>85.9187781944444</v>
      </c>
      <c r="J27" s="8">
        <v>117.45457173611101</v>
      </c>
      <c r="K27" s="6" t="s">
        <v>198</v>
      </c>
      <c r="L27" s="9">
        <v>43775</v>
      </c>
      <c r="N27" s="6">
        <v>6</v>
      </c>
      <c r="O27" s="6" t="s">
        <v>4256</v>
      </c>
      <c r="Q27" s="6" t="s">
        <v>275</v>
      </c>
      <c r="R27" s="6">
        <v>12</v>
      </c>
      <c r="S27" s="6">
        <v>18</v>
      </c>
      <c r="T27" s="10">
        <f>AVERAGE(R27:S27)</f>
        <v>15</v>
      </c>
      <c r="W27" s="8">
        <v>-14.896953068161011</v>
      </c>
      <c r="X27" s="8">
        <v>-106.52775625915527</v>
      </c>
      <c r="Y27" s="8">
        <f>X27-(8*W27)</f>
        <v>12.64786828613282</v>
      </c>
      <c r="Z27" s="6" t="s">
        <v>353</v>
      </c>
    </row>
    <row r="28" spans="1:26" s="6" customFormat="1" x14ac:dyDescent="0.35">
      <c r="A28" s="6" t="s">
        <v>25</v>
      </c>
      <c r="B28" s="7"/>
      <c r="C28" s="6">
        <v>510400</v>
      </c>
      <c r="D28" s="6" t="s">
        <v>351</v>
      </c>
      <c r="E28" s="6">
        <v>1</v>
      </c>
      <c r="F28" s="6">
        <v>6</v>
      </c>
      <c r="G28" s="6" t="s">
        <v>345</v>
      </c>
      <c r="H28" s="6">
        <v>18</v>
      </c>
      <c r="I28" s="8">
        <v>85.9187781944444</v>
      </c>
      <c r="J28" s="8">
        <v>117.45457173611101</v>
      </c>
      <c r="K28" s="6" t="s">
        <v>198</v>
      </c>
      <c r="L28" s="9">
        <v>43775</v>
      </c>
      <c r="N28" s="6">
        <v>6</v>
      </c>
      <c r="O28" s="6" t="s">
        <v>4256</v>
      </c>
      <c r="Q28" s="6" t="s">
        <v>352</v>
      </c>
      <c r="R28" s="6">
        <v>6</v>
      </c>
      <c r="S28" s="6">
        <v>12</v>
      </c>
      <c r="T28" s="10">
        <f>AVERAGE(R28:S28)</f>
        <v>9</v>
      </c>
      <c r="W28" s="8">
        <v>-12.101239056015014</v>
      </c>
      <c r="X28" s="8">
        <v>-96.377371524047845</v>
      </c>
      <c r="Y28" s="8">
        <f>X28-(8*W28)</f>
        <v>0.43254092407227063</v>
      </c>
    </row>
    <row r="29" spans="1:26" s="6" customFormat="1" x14ac:dyDescent="0.35">
      <c r="A29" s="6" t="s">
        <v>25</v>
      </c>
      <c r="B29" s="7"/>
      <c r="C29" s="6">
        <v>510435</v>
      </c>
      <c r="D29" s="6" t="s">
        <v>354</v>
      </c>
      <c r="E29" s="6">
        <v>1</v>
      </c>
      <c r="F29" s="6">
        <v>6</v>
      </c>
      <c r="G29" s="6" t="s">
        <v>179</v>
      </c>
      <c r="H29" s="6">
        <v>7</v>
      </c>
      <c r="I29" s="8">
        <v>85.917653888888907</v>
      </c>
      <c r="J29" s="8">
        <v>116.64332493055601</v>
      </c>
      <c r="K29" s="6" t="s">
        <v>198</v>
      </c>
      <c r="L29" s="9">
        <v>43776</v>
      </c>
      <c r="N29" s="6">
        <v>6</v>
      </c>
      <c r="O29" s="6" t="s">
        <v>4257</v>
      </c>
      <c r="Q29" s="6" t="s">
        <v>336</v>
      </c>
      <c r="R29" s="6">
        <v>0</v>
      </c>
      <c r="S29" s="6">
        <v>4</v>
      </c>
      <c r="T29" s="10">
        <f>AVERAGE(R29:S29)</f>
        <v>2</v>
      </c>
      <c r="U29" s="6">
        <v>13.4</v>
      </c>
      <c r="W29" s="8">
        <v>-14.977854919433595</v>
      </c>
      <c r="X29" s="8">
        <v>-113.46132749023438</v>
      </c>
      <c r="Y29" s="8">
        <f>X29-(8*W29)</f>
        <v>6.3615118652343767</v>
      </c>
      <c r="Z29" s="6" t="s">
        <v>357</v>
      </c>
    </row>
    <row r="30" spans="1:26" s="6" customFormat="1" x14ac:dyDescent="0.35">
      <c r="A30" s="6" t="s">
        <v>25</v>
      </c>
      <c r="B30" s="7"/>
      <c r="C30" s="6">
        <v>510434</v>
      </c>
      <c r="D30" s="6" t="s">
        <v>354</v>
      </c>
      <c r="E30" s="6">
        <v>1</v>
      </c>
      <c r="F30" s="6">
        <v>6</v>
      </c>
      <c r="G30" s="6" t="s">
        <v>179</v>
      </c>
      <c r="H30" s="6">
        <v>7</v>
      </c>
      <c r="I30" s="8">
        <v>85.917653888888907</v>
      </c>
      <c r="J30" s="8">
        <v>116.64332493055601</v>
      </c>
      <c r="K30" s="6" t="s">
        <v>198</v>
      </c>
      <c r="L30" s="9">
        <v>43776</v>
      </c>
      <c r="N30" s="6">
        <v>6</v>
      </c>
      <c r="O30" s="6" t="s">
        <v>4257</v>
      </c>
      <c r="Q30" s="6" t="s">
        <v>356</v>
      </c>
      <c r="R30" s="6">
        <v>4</v>
      </c>
      <c r="S30" s="6">
        <v>7</v>
      </c>
      <c r="T30" s="10">
        <f>AVERAGE(R30:S30)</f>
        <v>5.5</v>
      </c>
      <c r="U30" s="6">
        <v>21.1</v>
      </c>
      <c r="W30" s="8">
        <v>-7.9267851699829102</v>
      </c>
      <c r="X30" s="8">
        <v>-63.14540691680908</v>
      </c>
      <c r="Y30" s="8">
        <f>X30-(8*W30)</f>
        <v>0.26887444305420161</v>
      </c>
      <c r="Z30" s="6" t="s">
        <v>353</v>
      </c>
    </row>
    <row r="31" spans="1:26" s="6" customFormat="1" x14ac:dyDescent="0.35">
      <c r="A31" s="6" t="s">
        <v>25</v>
      </c>
      <c r="B31" s="7"/>
      <c r="C31" s="6">
        <v>510519</v>
      </c>
      <c r="D31" s="6" t="s">
        <v>375</v>
      </c>
      <c r="E31" s="6">
        <v>1</v>
      </c>
      <c r="F31" s="6">
        <v>6</v>
      </c>
      <c r="G31" s="6" t="s">
        <v>272</v>
      </c>
      <c r="H31" s="6">
        <v>15</v>
      </c>
      <c r="I31" s="8">
        <v>85.829839027777794</v>
      </c>
      <c r="J31" s="8">
        <v>116.152829027778</v>
      </c>
      <c r="K31" s="6" t="s">
        <v>198</v>
      </c>
      <c r="L31" s="9">
        <v>43779</v>
      </c>
      <c r="N31" s="6">
        <v>6</v>
      </c>
      <c r="O31" s="6" t="s">
        <v>4258</v>
      </c>
      <c r="Q31" s="6" t="s">
        <v>203</v>
      </c>
      <c r="R31" s="6">
        <v>0</v>
      </c>
      <c r="S31" s="6">
        <v>5</v>
      </c>
      <c r="T31" s="10">
        <f>AVERAGE(R31:S31)</f>
        <v>2.5</v>
      </c>
      <c r="U31" s="6">
        <v>0</v>
      </c>
      <c r="W31" s="8">
        <v>-19.100758199590828</v>
      </c>
      <c r="X31" s="8">
        <v>-135.48613664277485</v>
      </c>
      <c r="Y31" s="8">
        <f>X31-(8*W31)</f>
        <v>17.319928953951774</v>
      </c>
    </row>
    <row r="32" spans="1:26" s="6" customFormat="1" x14ac:dyDescent="0.35">
      <c r="A32" s="6" t="s">
        <v>25</v>
      </c>
      <c r="B32" s="7"/>
      <c r="C32" s="6">
        <v>510520</v>
      </c>
      <c r="D32" s="6" t="s">
        <v>375</v>
      </c>
      <c r="E32" s="6">
        <v>1</v>
      </c>
      <c r="F32" s="6">
        <v>6</v>
      </c>
      <c r="G32" s="6" t="s">
        <v>272</v>
      </c>
      <c r="H32" s="6">
        <v>15</v>
      </c>
      <c r="I32" s="8">
        <v>85.829839027777794</v>
      </c>
      <c r="J32" s="8">
        <v>116.152829027778</v>
      </c>
      <c r="K32" s="6" t="s">
        <v>198</v>
      </c>
      <c r="L32" s="9">
        <v>43779</v>
      </c>
      <c r="N32" s="6">
        <v>6</v>
      </c>
      <c r="O32" s="6" t="s">
        <v>4258</v>
      </c>
      <c r="Q32" s="6" t="s">
        <v>292</v>
      </c>
      <c r="R32" s="6">
        <v>5</v>
      </c>
      <c r="S32" s="6">
        <v>10</v>
      </c>
      <c r="T32" s="10">
        <f>AVERAGE(R32:S32)</f>
        <v>7.5</v>
      </c>
      <c r="U32" s="6">
        <v>0</v>
      </c>
      <c r="W32" s="8">
        <v>-13.573902990551396</v>
      </c>
      <c r="X32" s="8">
        <v>-103.13905965028221</v>
      </c>
      <c r="Y32" s="8">
        <f>X32-(8*W32)</f>
        <v>5.4521642741289611</v>
      </c>
    </row>
    <row r="33" spans="1:26" s="6" customFormat="1" x14ac:dyDescent="0.35">
      <c r="A33" s="6" t="s">
        <v>25</v>
      </c>
      <c r="B33" s="7"/>
      <c r="C33" s="6">
        <v>510521</v>
      </c>
      <c r="D33" s="6" t="s">
        <v>375</v>
      </c>
      <c r="E33" s="6">
        <v>1</v>
      </c>
      <c r="F33" s="6">
        <v>6</v>
      </c>
      <c r="G33" s="6" t="s">
        <v>272</v>
      </c>
      <c r="H33" s="6">
        <v>15</v>
      </c>
      <c r="I33" s="8">
        <v>85.829839027777794</v>
      </c>
      <c r="J33" s="8">
        <v>116.152829027778</v>
      </c>
      <c r="K33" s="6" t="s">
        <v>198</v>
      </c>
      <c r="L33" s="9">
        <v>43779</v>
      </c>
      <c r="N33" s="6">
        <v>6</v>
      </c>
      <c r="O33" s="6" t="s">
        <v>4258</v>
      </c>
      <c r="Q33" s="6" t="s">
        <v>376</v>
      </c>
      <c r="R33" s="6">
        <v>10</v>
      </c>
      <c r="S33" s="6">
        <v>15</v>
      </c>
      <c r="T33" s="10">
        <f>AVERAGE(R33:S33)</f>
        <v>12.5</v>
      </c>
      <c r="U33" s="6">
        <v>0.4</v>
      </c>
      <c r="W33" s="8">
        <v>-12.065324686431884</v>
      </c>
      <c r="X33" s="8">
        <v>-96.806740817260746</v>
      </c>
      <c r="Y33" s="8">
        <f>X33-(8*W33)</f>
        <v>-0.28414332580567248</v>
      </c>
    </row>
    <row r="34" spans="1:26" s="6" customFormat="1" x14ac:dyDescent="0.35">
      <c r="A34" s="6" t="s">
        <v>25</v>
      </c>
      <c r="B34" s="6" t="s">
        <v>2738</v>
      </c>
      <c r="D34" s="6" t="s">
        <v>3090</v>
      </c>
      <c r="E34" s="6">
        <v>1</v>
      </c>
      <c r="F34" s="6">
        <v>7</v>
      </c>
      <c r="G34" s="6" t="s">
        <v>3215</v>
      </c>
      <c r="I34" s="8">
        <v>85.878378999999995</v>
      </c>
      <c r="J34" s="8">
        <v>116.469979</v>
      </c>
      <c r="K34" s="6" t="s">
        <v>198</v>
      </c>
      <c r="L34" s="9">
        <v>43780</v>
      </c>
      <c r="M34" s="18">
        <v>0.26944444444444443</v>
      </c>
      <c r="N34" s="6">
        <v>7</v>
      </c>
      <c r="O34" s="6" t="s">
        <v>4259</v>
      </c>
      <c r="U34" s="32">
        <v>28.2</v>
      </c>
      <c r="V34" t="s">
        <v>4462</v>
      </c>
      <c r="W34" s="8">
        <v>-26.336585172271725</v>
      </c>
      <c r="X34" s="8">
        <v>-198.60013427734376</v>
      </c>
      <c r="Y34" s="8">
        <f>X34-(8*W34)</f>
        <v>12.092547100830046</v>
      </c>
      <c r="Z34" s="6" t="s">
        <v>3218</v>
      </c>
    </row>
    <row r="35" spans="1:26" s="6" customFormat="1" x14ac:dyDescent="0.35">
      <c r="A35" s="6" t="s">
        <v>25</v>
      </c>
      <c r="B35" s="7"/>
      <c r="C35" s="6">
        <v>510594</v>
      </c>
      <c r="D35" s="6" t="s">
        <v>406</v>
      </c>
      <c r="E35" s="6">
        <v>1</v>
      </c>
      <c r="F35" s="6">
        <v>7</v>
      </c>
      <c r="G35" s="6" t="s">
        <v>241</v>
      </c>
      <c r="H35" s="6">
        <v>10</v>
      </c>
      <c r="I35" s="8">
        <v>85.915187361111094</v>
      </c>
      <c r="J35" s="8">
        <v>116.660135</v>
      </c>
      <c r="K35" s="6" t="s">
        <v>198</v>
      </c>
      <c r="L35" s="9">
        <v>43780</v>
      </c>
      <c r="N35" s="6">
        <v>7</v>
      </c>
      <c r="O35" s="6" t="s">
        <v>4259</v>
      </c>
      <c r="Q35" s="6" t="s">
        <v>336</v>
      </c>
      <c r="R35" s="6">
        <v>0</v>
      </c>
      <c r="S35" s="6">
        <v>4</v>
      </c>
      <c r="T35" s="10">
        <f>AVERAGE(R35:S35)</f>
        <v>2</v>
      </c>
      <c r="U35" s="6">
        <v>0</v>
      </c>
      <c r="W35" s="8">
        <v>-20.731297422760186</v>
      </c>
      <c r="X35" s="8">
        <v>-147.95225033315407</v>
      </c>
      <c r="Y35" s="8">
        <f>X35-(8*W35)</f>
        <v>17.898129048927416</v>
      </c>
      <c r="Z35" s="6" t="s">
        <v>405</v>
      </c>
    </row>
    <row r="36" spans="1:26" s="6" customFormat="1" x14ac:dyDescent="0.35">
      <c r="A36" s="6" t="s">
        <v>25</v>
      </c>
      <c r="B36" s="7"/>
      <c r="C36" s="6">
        <v>510593</v>
      </c>
      <c r="D36" s="6" t="s">
        <v>402</v>
      </c>
      <c r="E36" s="6">
        <v>1</v>
      </c>
      <c r="F36" s="6">
        <v>7</v>
      </c>
      <c r="G36" s="6" t="s">
        <v>239</v>
      </c>
      <c r="H36" s="6">
        <v>9</v>
      </c>
      <c r="I36" s="8">
        <v>85.915187361111094</v>
      </c>
      <c r="J36" s="8">
        <v>116.660135</v>
      </c>
      <c r="K36" s="6" t="s">
        <v>198</v>
      </c>
      <c r="L36" s="9">
        <v>43780</v>
      </c>
      <c r="N36" s="6">
        <v>7</v>
      </c>
      <c r="O36" s="6" t="s">
        <v>4259</v>
      </c>
      <c r="Q36" s="6" t="s">
        <v>404</v>
      </c>
      <c r="R36" s="6">
        <v>10</v>
      </c>
      <c r="S36" s="6">
        <v>13</v>
      </c>
      <c r="T36" s="10">
        <f>AVERAGE(R36:S36)</f>
        <v>11.5</v>
      </c>
      <c r="U36" s="6">
        <v>0</v>
      </c>
      <c r="W36" s="8">
        <v>-20.164060614988717</v>
      </c>
      <c r="X36" s="8">
        <v>-148.72317942313225</v>
      </c>
      <c r="Y36" s="8">
        <f>X36-(8*W36)</f>
        <v>12.589305496777484</v>
      </c>
      <c r="Z36" s="6" t="s">
        <v>405</v>
      </c>
    </row>
    <row r="37" spans="1:26" s="6" customFormat="1" x14ac:dyDescent="0.35">
      <c r="A37" s="6" t="s">
        <v>25</v>
      </c>
      <c r="B37" s="6" t="s">
        <v>2739</v>
      </c>
      <c r="D37" s="6" t="s">
        <v>3090</v>
      </c>
      <c r="E37" s="6">
        <v>1</v>
      </c>
      <c r="F37" s="6">
        <v>7</v>
      </c>
      <c r="G37" s="6" t="s">
        <v>3215</v>
      </c>
      <c r="I37" s="8">
        <v>85.878378999999995</v>
      </c>
      <c r="J37" s="8">
        <v>116.469979</v>
      </c>
      <c r="K37" s="6" t="s">
        <v>198</v>
      </c>
      <c r="L37" s="9">
        <v>43780</v>
      </c>
      <c r="M37" s="18">
        <v>0.26944444444444443</v>
      </c>
      <c r="N37" s="6">
        <v>7</v>
      </c>
      <c r="O37" s="6" t="s">
        <v>4259</v>
      </c>
      <c r="U37" s="32">
        <v>62.7</v>
      </c>
      <c r="V37" t="s">
        <v>4462</v>
      </c>
      <c r="W37" s="8">
        <v>-17.152877900695799</v>
      </c>
      <c r="X37" s="8">
        <v>-125.74927062988282</v>
      </c>
      <c r="Y37" s="8">
        <f>X37-(8*W37)</f>
        <v>11.473752575683577</v>
      </c>
      <c r="Z37" s="6" t="s">
        <v>3218</v>
      </c>
    </row>
    <row r="38" spans="1:26" s="6" customFormat="1" x14ac:dyDescent="0.35">
      <c r="A38" s="6" t="s">
        <v>25</v>
      </c>
      <c r="B38" s="7"/>
      <c r="C38" s="6">
        <v>510592</v>
      </c>
      <c r="D38" s="6" t="s">
        <v>402</v>
      </c>
      <c r="E38" s="6">
        <v>1</v>
      </c>
      <c r="F38" s="6">
        <v>7</v>
      </c>
      <c r="G38" s="6" t="s">
        <v>239</v>
      </c>
      <c r="H38" s="6">
        <v>9</v>
      </c>
      <c r="I38" s="8">
        <v>85.915187361111094</v>
      </c>
      <c r="J38" s="8">
        <v>116.660135</v>
      </c>
      <c r="K38" s="6" t="s">
        <v>198</v>
      </c>
      <c r="L38" s="9">
        <v>43780</v>
      </c>
      <c r="N38" s="6">
        <v>7</v>
      </c>
      <c r="O38" s="6" t="s">
        <v>4259</v>
      </c>
      <c r="Q38" s="6" t="s">
        <v>403</v>
      </c>
      <c r="R38" s="6">
        <v>5</v>
      </c>
      <c r="S38" s="6">
        <v>10</v>
      </c>
      <c r="T38" s="10">
        <f>AVERAGE(R38:S38)</f>
        <v>7.5</v>
      </c>
      <c r="U38" s="6">
        <v>0</v>
      </c>
      <c r="W38" s="8">
        <v>-15.076133572136257</v>
      </c>
      <c r="X38" s="8">
        <v>-109.72050272291875</v>
      </c>
      <c r="Y38" s="8">
        <f>X38-(8*W38)</f>
        <v>10.888565854171304</v>
      </c>
    </row>
    <row r="39" spans="1:26" s="6" customFormat="1" x14ac:dyDescent="0.35">
      <c r="A39" s="6" t="s">
        <v>25</v>
      </c>
      <c r="B39" s="6" t="s">
        <v>2740</v>
      </c>
      <c r="D39" s="6" t="s">
        <v>3090</v>
      </c>
      <c r="E39" s="6">
        <v>1</v>
      </c>
      <c r="F39" s="6">
        <v>7</v>
      </c>
      <c r="G39" s="6" t="s">
        <v>3215</v>
      </c>
      <c r="I39" s="8">
        <v>85.878378999999995</v>
      </c>
      <c r="J39" s="8">
        <v>116.469979</v>
      </c>
      <c r="K39" s="6" t="s">
        <v>198</v>
      </c>
      <c r="L39" s="9">
        <v>43780</v>
      </c>
      <c r="M39" s="18">
        <v>0.26944444444444443</v>
      </c>
      <c r="N39" s="6">
        <v>7</v>
      </c>
      <c r="O39" s="6" t="s">
        <v>4259</v>
      </c>
      <c r="U39" s="32">
        <v>64.2</v>
      </c>
      <c r="V39" t="s">
        <v>4462</v>
      </c>
      <c r="W39" s="8">
        <v>-10.24604326305389</v>
      </c>
      <c r="X39" s="8">
        <v>-73.691166992187519</v>
      </c>
      <c r="Y39" s="8">
        <f>X39-(8*W39)</f>
        <v>8.2771791122436014</v>
      </c>
      <c r="Z39" s="6" t="s">
        <v>3218</v>
      </c>
    </row>
    <row r="40" spans="1:26" s="6" customFormat="1" x14ac:dyDescent="0.35">
      <c r="A40" s="6" t="s">
        <v>25</v>
      </c>
      <c r="B40" s="7"/>
      <c r="C40" s="6">
        <v>510595</v>
      </c>
      <c r="D40" s="6" t="s">
        <v>406</v>
      </c>
      <c r="E40" s="6">
        <v>1</v>
      </c>
      <c r="F40" s="6">
        <v>7</v>
      </c>
      <c r="G40" s="6" t="s">
        <v>241</v>
      </c>
      <c r="H40" s="6">
        <v>10</v>
      </c>
      <c r="I40" s="8">
        <v>85.915187361111094</v>
      </c>
      <c r="J40" s="8">
        <v>116.660135</v>
      </c>
      <c r="K40" s="6" t="s">
        <v>198</v>
      </c>
      <c r="L40" s="9">
        <v>43780</v>
      </c>
      <c r="N40" s="6">
        <v>7</v>
      </c>
      <c r="O40" s="6" t="s">
        <v>4259</v>
      </c>
      <c r="Q40" s="6" t="s">
        <v>408</v>
      </c>
      <c r="R40" s="6">
        <v>4</v>
      </c>
      <c r="S40" s="6">
        <v>8</v>
      </c>
      <c r="T40" s="10">
        <f>AVERAGE(R40:S40)</f>
        <v>6</v>
      </c>
      <c r="U40" s="6">
        <v>0</v>
      </c>
      <c r="W40" s="8">
        <v>-9.7150676367509732</v>
      </c>
      <c r="X40" s="8">
        <v>-73.977313458717958</v>
      </c>
      <c r="Y40" s="8">
        <f>X40-(8*W40)</f>
        <v>3.743227635289827</v>
      </c>
    </row>
    <row r="41" spans="1:26" s="6" customFormat="1" x14ac:dyDescent="0.35">
      <c r="A41" s="6" t="s">
        <v>25</v>
      </c>
      <c r="B41" s="7"/>
      <c r="C41" s="6">
        <v>510591</v>
      </c>
      <c r="D41" s="6" t="s">
        <v>402</v>
      </c>
      <c r="E41" s="6">
        <v>1</v>
      </c>
      <c r="F41" s="6">
        <v>7</v>
      </c>
      <c r="G41" s="6" t="s">
        <v>239</v>
      </c>
      <c r="H41" s="6">
        <v>9</v>
      </c>
      <c r="I41" s="8">
        <v>85.915187361111094</v>
      </c>
      <c r="J41" s="8">
        <v>116.660135</v>
      </c>
      <c r="K41" s="6" t="s">
        <v>198</v>
      </c>
      <c r="L41" s="9">
        <v>43780</v>
      </c>
      <c r="N41" s="6">
        <v>7</v>
      </c>
      <c r="O41" s="6" t="s">
        <v>4259</v>
      </c>
      <c r="Q41" s="6" t="s">
        <v>203</v>
      </c>
      <c r="R41" s="6">
        <v>0</v>
      </c>
      <c r="S41" s="6">
        <v>5</v>
      </c>
      <c r="T41" s="10">
        <f>AVERAGE(R41:S41)</f>
        <v>2.5</v>
      </c>
      <c r="U41" s="6">
        <v>10</v>
      </c>
      <c r="W41" s="8">
        <v>-9.2144179725646982</v>
      </c>
      <c r="X41" s="8">
        <v>-73.055423437499982</v>
      </c>
      <c r="Y41" s="8">
        <f>X41-(8*W41)</f>
        <v>0.65992034301760327</v>
      </c>
    </row>
    <row r="42" spans="1:26" s="6" customFormat="1" x14ac:dyDescent="0.35">
      <c r="A42" s="6" t="s">
        <v>25</v>
      </c>
      <c r="B42" s="7"/>
      <c r="C42" s="6">
        <v>510595</v>
      </c>
      <c r="D42" s="6" t="s">
        <v>406</v>
      </c>
      <c r="E42" s="6">
        <v>1</v>
      </c>
      <c r="F42" s="6">
        <v>7</v>
      </c>
      <c r="G42" s="6" t="s">
        <v>241</v>
      </c>
      <c r="H42" s="6">
        <v>10</v>
      </c>
      <c r="I42" s="8">
        <v>85.915187361111094</v>
      </c>
      <c r="J42" s="8">
        <v>116.660135</v>
      </c>
      <c r="K42" s="6" t="s">
        <v>198</v>
      </c>
      <c r="L42" s="9">
        <v>43780</v>
      </c>
      <c r="N42" s="6">
        <v>7</v>
      </c>
      <c r="O42" s="6" t="s">
        <v>4259</v>
      </c>
      <c r="Q42" s="6" t="s">
        <v>407</v>
      </c>
      <c r="R42" s="6">
        <v>8</v>
      </c>
      <c r="S42" s="6">
        <v>12</v>
      </c>
      <c r="T42" s="10">
        <f>AVERAGE(R42:S42)</f>
        <v>10</v>
      </c>
      <c r="U42" s="6">
        <v>0</v>
      </c>
      <c r="W42" s="8">
        <v>-6.1032513710614085</v>
      </c>
      <c r="X42" s="8">
        <v>-52.679360046411404</v>
      </c>
      <c r="Y42" s="8">
        <f>X42-(8*W42)</f>
        <v>-3.8533490779201358</v>
      </c>
      <c r="Z42" s="6" t="s">
        <v>405</v>
      </c>
    </row>
    <row r="43" spans="1:26" s="6" customFormat="1" x14ac:dyDescent="0.35">
      <c r="A43" s="6" t="s">
        <v>25</v>
      </c>
      <c r="B43" s="7"/>
      <c r="C43" s="6">
        <v>510547</v>
      </c>
      <c r="D43" s="6" t="s">
        <v>416</v>
      </c>
      <c r="E43" s="6">
        <v>1</v>
      </c>
      <c r="F43" s="6">
        <v>7</v>
      </c>
      <c r="I43" s="8">
        <v>86.116053611111099</v>
      </c>
      <c r="J43" s="8">
        <v>117.978438125</v>
      </c>
      <c r="K43" s="6" t="s">
        <v>198</v>
      </c>
      <c r="L43" s="9">
        <v>43782</v>
      </c>
      <c r="N43" s="6">
        <v>7</v>
      </c>
      <c r="O43" s="6" t="s">
        <v>4254</v>
      </c>
      <c r="Q43" s="6" t="s">
        <v>417</v>
      </c>
      <c r="R43" s="6">
        <v>12</v>
      </c>
      <c r="S43" s="6">
        <v>18</v>
      </c>
      <c r="T43" s="10">
        <f>AVERAGE(R43:S43)</f>
        <v>15</v>
      </c>
      <c r="W43" s="8">
        <v>-3.1095219449043281</v>
      </c>
      <c r="X43" s="8">
        <v>-25.078150119018556</v>
      </c>
      <c r="Y43" s="8">
        <f>X43-(8*W43)</f>
        <v>-0.20197455978393108</v>
      </c>
    </row>
    <row r="44" spans="1:26" s="6" customFormat="1" x14ac:dyDescent="0.35">
      <c r="A44" s="6" t="s">
        <v>25</v>
      </c>
      <c r="B44" s="7"/>
      <c r="C44" s="6">
        <v>510576</v>
      </c>
      <c r="D44" s="6" t="s">
        <v>416</v>
      </c>
      <c r="E44" s="6">
        <v>1</v>
      </c>
      <c r="F44" s="6">
        <v>7</v>
      </c>
      <c r="I44" s="8">
        <v>86.1718883333333</v>
      </c>
      <c r="J44" s="8">
        <v>118.24158284722201</v>
      </c>
      <c r="K44" s="6" t="s">
        <v>198</v>
      </c>
      <c r="L44" s="9">
        <v>43783</v>
      </c>
      <c r="N44" s="6">
        <v>7</v>
      </c>
      <c r="O44" s="6" t="s">
        <v>4248</v>
      </c>
      <c r="Q44" s="6" t="s">
        <v>431</v>
      </c>
      <c r="R44" s="6">
        <v>0</v>
      </c>
      <c r="S44" s="6">
        <v>6</v>
      </c>
      <c r="T44" s="10">
        <f>AVERAGE(R44:S44)</f>
        <v>3</v>
      </c>
      <c r="W44" s="8">
        <v>-11.44655488243103</v>
      </c>
      <c r="X44" s="8">
        <v>-88.204946078491218</v>
      </c>
      <c r="Y44" s="8">
        <f>X44-(8*W44)</f>
        <v>3.3674929809570244</v>
      </c>
    </row>
    <row r="45" spans="1:26" s="6" customFormat="1" x14ac:dyDescent="0.35">
      <c r="A45" s="6" t="s">
        <v>25</v>
      </c>
      <c r="B45" s="7"/>
      <c r="C45" s="6">
        <v>510581</v>
      </c>
      <c r="D45" s="6" t="s">
        <v>416</v>
      </c>
      <c r="E45" s="6">
        <v>1</v>
      </c>
      <c r="F45" s="6">
        <v>7</v>
      </c>
      <c r="I45" s="8">
        <v>86.1718883333333</v>
      </c>
      <c r="J45" s="8">
        <v>118.24158284722201</v>
      </c>
      <c r="K45" s="6" t="s">
        <v>198</v>
      </c>
      <c r="L45" s="9">
        <v>43783</v>
      </c>
      <c r="N45" s="6">
        <v>7</v>
      </c>
      <c r="O45" s="6" t="s">
        <v>4248</v>
      </c>
      <c r="Q45" s="6" t="s">
        <v>432</v>
      </c>
      <c r="R45" s="6">
        <v>6</v>
      </c>
      <c r="S45" s="6">
        <v>12</v>
      </c>
      <c r="T45" s="10">
        <f>AVERAGE(R45:S45)</f>
        <v>9</v>
      </c>
      <c r="W45" s="8">
        <v>-5.2958890937805174</v>
      </c>
      <c r="X45" s="8">
        <v>-46.175252581787106</v>
      </c>
      <c r="Y45" s="8">
        <f>X45-(8*W45)</f>
        <v>-3.8081398315429666</v>
      </c>
    </row>
    <row r="46" spans="1:26" s="6" customFormat="1" x14ac:dyDescent="0.35">
      <c r="A46" s="6" t="s">
        <v>25</v>
      </c>
      <c r="B46" s="7"/>
      <c r="C46" s="6">
        <v>510582</v>
      </c>
      <c r="D46" s="6" t="s">
        <v>416</v>
      </c>
      <c r="E46" s="6">
        <v>1</v>
      </c>
      <c r="F46" s="6">
        <v>7</v>
      </c>
      <c r="I46" s="8">
        <v>86.1718883333333</v>
      </c>
      <c r="J46" s="8">
        <v>118.24158284722201</v>
      </c>
      <c r="K46" s="6" t="s">
        <v>198</v>
      </c>
      <c r="L46" s="9">
        <v>43783</v>
      </c>
      <c r="N46" s="6">
        <v>7</v>
      </c>
      <c r="O46" s="6" t="s">
        <v>4248</v>
      </c>
      <c r="Q46" s="6" t="s">
        <v>433</v>
      </c>
      <c r="R46" s="6">
        <v>12</v>
      </c>
      <c r="S46" s="6">
        <v>18</v>
      </c>
      <c r="T46" s="10">
        <f>AVERAGE(R46:S46)</f>
        <v>15</v>
      </c>
      <c r="W46" s="8">
        <v>-3.4374739831924437</v>
      </c>
      <c r="X46" s="8">
        <v>-28.50252152557373</v>
      </c>
      <c r="Y46" s="8">
        <f>X46-(8*W46)</f>
        <v>-1.0027296600341806</v>
      </c>
    </row>
    <row r="47" spans="1:26" s="6" customFormat="1" x14ac:dyDescent="0.35">
      <c r="A47" s="6" t="s">
        <v>25</v>
      </c>
      <c r="B47" s="7"/>
      <c r="C47" s="6">
        <v>510646</v>
      </c>
      <c r="D47" s="6" t="s">
        <v>482</v>
      </c>
      <c r="E47" s="6">
        <v>1</v>
      </c>
      <c r="F47" s="6">
        <v>7</v>
      </c>
      <c r="G47" s="6" t="s">
        <v>272</v>
      </c>
      <c r="H47" s="6">
        <v>27</v>
      </c>
      <c r="I47" s="8">
        <v>86.191348333333295</v>
      </c>
      <c r="J47" s="8">
        <v>118.623774583333</v>
      </c>
      <c r="K47" s="6" t="s">
        <v>198</v>
      </c>
      <c r="L47" s="9">
        <v>43784</v>
      </c>
      <c r="N47" s="6">
        <v>7</v>
      </c>
      <c r="O47" s="6" t="s">
        <v>4260</v>
      </c>
      <c r="Q47" s="6" t="s">
        <v>485</v>
      </c>
      <c r="R47" s="6">
        <v>18</v>
      </c>
      <c r="S47" s="6">
        <v>27</v>
      </c>
      <c r="T47" s="10">
        <f>AVERAGE(R47:S47)</f>
        <v>22.5</v>
      </c>
      <c r="U47" s="6">
        <v>0</v>
      </c>
      <c r="W47" s="8">
        <v>-19.408089699293235</v>
      </c>
      <c r="X47" s="8">
        <v>-149.18799713407122</v>
      </c>
      <c r="Y47" s="8">
        <f>X47-(8*W47)</f>
        <v>6.0767204602746574</v>
      </c>
    </row>
    <row r="48" spans="1:26" s="6" customFormat="1" x14ac:dyDescent="0.35">
      <c r="A48" s="6" t="s">
        <v>25</v>
      </c>
      <c r="B48" s="7"/>
      <c r="C48" s="6">
        <v>510645</v>
      </c>
      <c r="D48" s="6" t="s">
        <v>482</v>
      </c>
      <c r="E48" s="6">
        <v>1</v>
      </c>
      <c r="F48" s="6">
        <v>7</v>
      </c>
      <c r="G48" s="6" t="s">
        <v>272</v>
      </c>
      <c r="H48" s="6">
        <v>27</v>
      </c>
      <c r="I48" s="8">
        <v>86.191348333333295</v>
      </c>
      <c r="J48" s="8">
        <v>118.623774583333</v>
      </c>
      <c r="K48" s="6" t="s">
        <v>198</v>
      </c>
      <c r="L48" s="9">
        <v>43784</v>
      </c>
      <c r="N48" s="6">
        <v>7</v>
      </c>
      <c r="O48" s="6" t="s">
        <v>4260</v>
      </c>
      <c r="Q48" s="6" t="s">
        <v>484</v>
      </c>
      <c r="R48" s="6">
        <v>9</v>
      </c>
      <c r="S48" s="6">
        <v>18</v>
      </c>
      <c r="T48" s="10">
        <f>AVERAGE(R48:S48)</f>
        <v>13.5</v>
      </c>
      <c r="U48" s="6">
        <v>0</v>
      </c>
      <c r="W48" s="8">
        <v>-19.138908993911748</v>
      </c>
      <c r="X48" s="8">
        <v>-143.85988320159913</v>
      </c>
      <c r="Y48" s="8">
        <f>X48-(8*W48)</f>
        <v>9.2513887496948541</v>
      </c>
    </row>
    <row r="49" spans="1:26" s="6" customFormat="1" x14ac:dyDescent="0.35">
      <c r="A49" s="6" t="s">
        <v>25</v>
      </c>
      <c r="B49" s="7"/>
      <c r="C49" s="6">
        <v>510644</v>
      </c>
      <c r="D49" s="6" t="s">
        <v>482</v>
      </c>
      <c r="E49" s="6">
        <v>1</v>
      </c>
      <c r="F49" s="6">
        <v>7</v>
      </c>
      <c r="G49" s="6" t="s">
        <v>272</v>
      </c>
      <c r="H49" s="6">
        <v>27</v>
      </c>
      <c r="I49" s="8">
        <v>86.191348333333295</v>
      </c>
      <c r="J49" s="8">
        <v>118.623774583333</v>
      </c>
      <c r="K49" s="6" t="s">
        <v>198</v>
      </c>
      <c r="L49" s="9">
        <v>43784</v>
      </c>
      <c r="N49" s="6">
        <v>7</v>
      </c>
      <c r="O49" s="6" t="s">
        <v>4260</v>
      </c>
      <c r="Q49" s="6" t="s">
        <v>483</v>
      </c>
      <c r="R49" s="6">
        <v>0</v>
      </c>
      <c r="S49" s="6">
        <v>9</v>
      </c>
      <c r="T49" s="10">
        <f>AVERAGE(R49:S49)</f>
        <v>4.5</v>
      </c>
      <c r="U49" s="6">
        <v>0</v>
      </c>
      <c r="W49" s="8">
        <v>-16.599562031054027</v>
      </c>
      <c r="X49" s="8">
        <v>-118.72718333948259</v>
      </c>
      <c r="Y49" s="8">
        <f>X49-(8*W49)</f>
        <v>14.069312908949627</v>
      </c>
    </row>
    <row r="50" spans="1:26" s="6" customFormat="1" x14ac:dyDescent="0.35">
      <c r="A50" s="6" t="s">
        <v>25</v>
      </c>
      <c r="B50" s="7"/>
      <c r="C50" s="6">
        <v>510691</v>
      </c>
      <c r="D50" s="6" t="s">
        <v>517</v>
      </c>
      <c r="E50" s="6">
        <v>1</v>
      </c>
      <c r="F50" s="6">
        <v>8</v>
      </c>
      <c r="G50" s="6" t="s">
        <v>179</v>
      </c>
      <c r="I50" s="8">
        <v>85.788680208333304</v>
      </c>
      <c r="J50" s="8">
        <v>120.807478194444</v>
      </c>
      <c r="K50" s="6" t="s">
        <v>198</v>
      </c>
      <c r="L50" s="9">
        <v>43788</v>
      </c>
      <c r="N50" s="6">
        <v>8</v>
      </c>
      <c r="O50" s="6" t="s">
        <v>4264</v>
      </c>
      <c r="Q50" s="6" t="s">
        <v>518</v>
      </c>
      <c r="R50" s="6">
        <v>0</v>
      </c>
      <c r="S50" s="6">
        <v>4</v>
      </c>
      <c r="T50" s="10">
        <f>AVERAGE(R50:S50)</f>
        <v>2</v>
      </c>
      <c r="W50" s="8">
        <v>-14.927699159431455</v>
      </c>
      <c r="X50" s="8">
        <v>-110.49248062133788</v>
      </c>
      <c r="Y50" s="8">
        <f>X50-(8*W50)</f>
        <v>8.9291126541137658</v>
      </c>
    </row>
    <row r="51" spans="1:26" s="6" customFormat="1" x14ac:dyDescent="0.35">
      <c r="A51" s="6" t="s">
        <v>25</v>
      </c>
      <c r="B51" s="7"/>
      <c r="C51" s="6">
        <v>510683</v>
      </c>
      <c r="D51" s="6" t="s">
        <v>514</v>
      </c>
      <c r="E51" s="6">
        <v>1</v>
      </c>
      <c r="F51" s="6">
        <v>8</v>
      </c>
      <c r="G51" s="6" t="s">
        <v>179</v>
      </c>
      <c r="H51" s="6">
        <v>8</v>
      </c>
      <c r="I51" s="8">
        <v>85.788680208333304</v>
      </c>
      <c r="J51" s="8">
        <v>120.807478194444</v>
      </c>
      <c r="K51" s="6" t="s">
        <v>198</v>
      </c>
      <c r="L51" s="9">
        <v>43788</v>
      </c>
      <c r="N51" s="6">
        <v>8</v>
      </c>
      <c r="O51" s="6" t="s">
        <v>4264</v>
      </c>
      <c r="Q51" s="6" t="s">
        <v>515</v>
      </c>
      <c r="R51" s="6">
        <v>0</v>
      </c>
      <c r="S51" s="6">
        <v>4</v>
      </c>
      <c r="T51" s="10">
        <f>AVERAGE(R51:S51)</f>
        <v>2</v>
      </c>
      <c r="U51" s="6">
        <v>14.9</v>
      </c>
      <c r="W51" s="8">
        <v>-14.234494802665708</v>
      </c>
      <c r="X51" s="8">
        <v>-104.04004573059083</v>
      </c>
      <c r="Y51" s="8">
        <f>X51-(8*W51)</f>
        <v>9.8359126907348298</v>
      </c>
    </row>
    <row r="52" spans="1:26" s="6" customFormat="1" x14ac:dyDescent="0.35">
      <c r="A52" s="6" t="s">
        <v>25</v>
      </c>
      <c r="B52" s="7"/>
      <c r="C52" s="6">
        <v>510690</v>
      </c>
      <c r="D52" s="6" t="s">
        <v>517</v>
      </c>
      <c r="E52" s="6">
        <v>1</v>
      </c>
      <c r="F52" s="6">
        <v>8</v>
      </c>
      <c r="G52" s="6" t="s">
        <v>179</v>
      </c>
      <c r="I52" s="8">
        <v>85.788680208333304</v>
      </c>
      <c r="J52" s="8">
        <v>120.807478194444</v>
      </c>
      <c r="K52" s="6" t="s">
        <v>198</v>
      </c>
      <c r="L52" s="9">
        <v>43788</v>
      </c>
      <c r="N52" s="6">
        <v>8</v>
      </c>
      <c r="O52" s="6" t="s">
        <v>4264</v>
      </c>
      <c r="Q52" s="6" t="s">
        <v>516</v>
      </c>
      <c r="R52" s="6">
        <v>4</v>
      </c>
      <c r="S52" s="6">
        <v>8</v>
      </c>
      <c r="T52" s="10">
        <f>AVERAGE(R52:S52)</f>
        <v>6</v>
      </c>
      <c r="W52" s="8">
        <v>-10.042081699180601</v>
      </c>
      <c r="X52" s="8">
        <v>-75.870291137695318</v>
      </c>
      <c r="Y52" s="8">
        <f>X52-(8*W52)</f>
        <v>4.4663624557494899</v>
      </c>
    </row>
    <row r="53" spans="1:26" s="6" customFormat="1" x14ac:dyDescent="0.35">
      <c r="A53" s="6" t="s">
        <v>25</v>
      </c>
      <c r="B53" s="7"/>
      <c r="C53" s="6">
        <v>510684</v>
      </c>
      <c r="D53" s="6" t="s">
        <v>514</v>
      </c>
      <c r="E53" s="6">
        <v>1</v>
      </c>
      <c r="F53" s="6">
        <v>8</v>
      </c>
      <c r="G53" s="6" t="s">
        <v>179</v>
      </c>
      <c r="H53" s="6">
        <v>8</v>
      </c>
      <c r="I53" s="8">
        <v>85.788680208333304</v>
      </c>
      <c r="J53" s="8">
        <v>120.807478194444</v>
      </c>
      <c r="K53" s="6" t="s">
        <v>198</v>
      </c>
      <c r="L53" s="9">
        <v>43788</v>
      </c>
      <c r="N53" s="6">
        <v>8</v>
      </c>
      <c r="O53" s="6" t="s">
        <v>4264</v>
      </c>
      <c r="Q53" s="6" t="s">
        <v>516</v>
      </c>
      <c r="R53" s="6">
        <v>4</v>
      </c>
      <c r="S53" s="6">
        <v>8</v>
      </c>
      <c r="T53" s="10">
        <f>AVERAGE(R53:S53)</f>
        <v>6</v>
      </c>
      <c r="U53" s="6">
        <v>7.1</v>
      </c>
      <c r="W53" s="8">
        <v>-8.8874079520225511</v>
      </c>
      <c r="X53" s="8">
        <v>-69.237250408172599</v>
      </c>
      <c r="Y53" s="8">
        <f>X53-(8*W53)</f>
        <v>1.8620132080078093</v>
      </c>
    </row>
    <row r="54" spans="1:26" s="6" customFormat="1" x14ac:dyDescent="0.35">
      <c r="A54" s="6" t="s">
        <v>25</v>
      </c>
      <c r="B54" s="7"/>
      <c r="C54" s="6">
        <v>511746</v>
      </c>
      <c r="D54" s="6" t="s">
        <v>545</v>
      </c>
      <c r="E54" s="6">
        <v>1</v>
      </c>
      <c r="F54" s="6">
        <v>8</v>
      </c>
      <c r="G54" s="6" t="s">
        <v>546</v>
      </c>
      <c r="H54" s="6">
        <v>7</v>
      </c>
      <c r="I54" s="8">
        <v>85.759181597222195</v>
      </c>
      <c r="J54" s="8">
        <v>121.429430833333</v>
      </c>
      <c r="K54" s="6" t="s">
        <v>198</v>
      </c>
      <c r="L54" s="9">
        <v>43789</v>
      </c>
      <c r="N54" s="6">
        <v>8</v>
      </c>
      <c r="O54" s="6" t="s">
        <v>4265</v>
      </c>
      <c r="Q54" s="6" t="s">
        <v>547</v>
      </c>
      <c r="R54" s="6">
        <v>0</v>
      </c>
      <c r="S54" s="6">
        <v>3.5</v>
      </c>
      <c r="T54" s="10">
        <f>AVERAGE(R54:S54)</f>
        <v>1.75</v>
      </c>
      <c r="U54" s="6">
        <v>0</v>
      </c>
      <c r="W54" s="8">
        <v>-15.872598239160912</v>
      </c>
      <c r="X54" s="8">
        <v>-114.94268074965031</v>
      </c>
      <c r="Y54" s="8">
        <f>X54-(8*W54)</f>
        <v>12.038105163636985</v>
      </c>
    </row>
    <row r="55" spans="1:26" s="6" customFormat="1" x14ac:dyDescent="0.35">
      <c r="A55" s="6" t="s">
        <v>25</v>
      </c>
      <c r="B55" s="7"/>
      <c r="C55" s="6">
        <v>511747</v>
      </c>
      <c r="D55" s="6" t="s">
        <v>545</v>
      </c>
      <c r="E55" s="6">
        <v>1</v>
      </c>
      <c r="F55" s="6">
        <v>8</v>
      </c>
      <c r="G55" s="6" t="s">
        <v>546</v>
      </c>
      <c r="H55" s="6">
        <v>7</v>
      </c>
      <c r="I55" s="8">
        <v>85.759181597222195</v>
      </c>
      <c r="J55" s="8">
        <v>121.429430833333</v>
      </c>
      <c r="K55" s="6" t="s">
        <v>198</v>
      </c>
      <c r="L55" s="9">
        <v>43789</v>
      </c>
      <c r="N55" s="6">
        <v>8</v>
      </c>
      <c r="O55" s="6" t="s">
        <v>4265</v>
      </c>
      <c r="Q55" s="6" t="s">
        <v>548</v>
      </c>
      <c r="R55" s="6">
        <v>3.5</v>
      </c>
      <c r="S55" s="6">
        <v>7</v>
      </c>
      <c r="T55" s="10">
        <f>AVERAGE(R55:S55)</f>
        <v>5.25</v>
      </c>
      <c r="U55" s="6">
        <v>1.2</v>
      </c>
      <c r="W55" s="8">
        <v>-10.61315936088562</v>
      </c>
      <c r="X55" s="8">
        <v>-90.43111264648438</v>
      </c>
      <c r="Y55" s="8">
        <f>X55-(8*W55)</f>
        <v>-5.5258377593994226</v>
      </c>
      <c r="Z55" s="6" t="s">
        <v>549</v>
      </c>
    </row>
    <row r="56" spans="1:26" s="6" customFormat="1" x14ac:dyDescent="0.35">
      <c r="A56" s="6" t="s">
        <v>25</v>
      </c>
      <c r="B56" s="6" t="s">
        <v>2741</v>
      </c>
      <c r="D56" s="6" t="s">
        <v>3091</v>
      </c>
      <c r="E56" s="6">
        <v>1</v>
      </c>
      <c r="F56" s="6">
        <v>8</v>
      </c>
      <c r="G56" s="6" t="s">
        <v>3216</v>
      </c>
      <c r="I56" s="8">
        <v>85.731380000000001</v>
      </c>
      <c r="J56" s="8">
        <v>120.78237</v>
      </c>
      <c r="K56" s="6" t="s">
        <v>198</v>
      </c>
      <c r="L56" s="9">
        <v>43791</v>
      </c>
      <c r="M56" s="18">
        <v>0.33194444444444443</v>
      </c>
      <c r="N56" s="6">
        <v>8</v>
      </c>
      <c r="O56" s="6" t="s">
        <v>4267</v>
      </c>
      <c r="R56" s="6">
        <v>9</v>
      </c>
      <c r="U56" s="32">
        <v>33.4</v>
      </c>
      <c r="V56" t="s">
        <v>4461</v>
      </c>
      <c r="W56" s="8">
        <v>-16.560545526123047</v>
      </c>
      <c r="X56" s="8">
        <v>-116.45962294769288</v>
      </c>
      <c r="Y56" s="8">
        <f>X56-(8*W56)</f>
        <v>16.024741261291496</v>
      </c>
      <c r="Z56" s="6" t="s">
        <v>3219</v>
      </c>
    </row>
    <row r="57" spans="1:26" s="6" customFormat="1" x14ac:dyDescent="0.35">
      <c r="A57" s="6" t="s">
        <v>25</v>
      </c>
      <c r="B57" s="6" t="s">
        <v>2742</v>
      </c>
      <c r="D57" s="6" t="s">
        <v>3091</v>
      </c>
      <c r="E57" s="6">
        <v>1</v>
      </c>
      <c r="F57" s="6">
        <v>8</v>
      </c>
      <c r="G57" s="6" t="s">
        <v>3216</v>
      </c>
      <c r="I57" s="8">
        <v>85.731380000000001</v>
      </c>
      <c r="J57" s="8">
        <v>120.78237</v>
      </c>
      <c r="K57" s="6" t="s">
        <v>198</v>
      </c>
      <c r="L57" s="9">
        <v>43791</v>
      </c>
      <c r="M57" s="18">
        <v>0.33194444444444443</v>
      </c>
      <c r="N57" s="6">
        <v>8</v>
      </c>
      <c r="O57" s="6" t="s">
        <v>4267</v>
      </c>
      <c r="R57" s="6">
        <v>4.5</v>
      </c>
      <c r="U57" s="33">
        <v>668</v>
      </c>
      <c r="V57" t="s">
        <v>4461</v>
      </c>
      <c r="W57" s="8">
        <v>-14.350323724365234</v>
      </c>
      <c r="X57" s="8">
        <v>-100.89968111419677</v>
      </c>
      <c r="Y57" s="8">
        <f>X57-(8*W57)</f>
        <v>13.902908680725105</v>
      </c>
      <c r="Z57" s="6" t="s">
        <v>3219</v>
      </c>
    </row>
    <row r="58" spans="1:26" s="6" customFormat="1" x14ac:dyDescent="0.35">
      <c r="A58" s="6" t="s">
        <v>25</v>
      </c>
      <c r="B58" s="6" t="s">
        <v>2743</v>
      </c>
      <c r="D58" s="6" t="s">
        <v>3091</v>
      </c>
      <c r="E58" s="6">
        <v>1</v>
      </c>
      <c r="F58" s="6">
        <v>8</v>
      </c>
      <c r="G58" s="6" t="s">
        <v>3216</v>
      </c>
      <c r="I58" s="8">
        <v>85.731380000000001</v>
      </c>
      <c r="J58" s="8">
        <v>120.78237</v>
      </c>
      <c r="K58" s="6" t="s">
        <v>198</v>
      </c>
      <c r="L58" s="9">
        <v>43791</v>
      </c>
      <c r="M58" s="18">
        <v>0.33194444444444443</v>
      </c>
      <c r="N58" s="6">
        <v>8</v>
      </c>
      <c r="O58" s="6" t="s">
        <v>4267</v>
      </c>
      <c r="R58" s="6">
        <v>0</v>
      </c>
      <c r="U58" s="34">
        <v>18.66</v>
      </c>
      <c r="V58" t="s">
        <v>4462</v>
      </c>
      <c r="W58" s="8">
        <v>-6.5301651397705083</v>
      </c>
      <c r="X58" s="8">
        <v>-54.087630765914916</v>
      </c>
      <c r="Y58" s="8">
        <f>X58-(8*W58)</f>
        <v>-1.84630964775085</v>
      </c>
      <c r="Z58" s="6" t="s">
        <v>3219</v>
      </c>
    </row>
    <row r="59" spans="1:26" s="6" customFormat="1" x14ac:dyDescent="0.35">
      <c r="A59" s="6" t="s">
        <v>25</v>
      </c>
      <c r="B59" s="7"/>
      <c r="C59" s="6">
        <v>511782</v>
      </c>
      <c r="D59" s="6" t="s">
        <v>569</v>
      </c>
      <c r="E59" s="6">
        <v>1</v>
      </c>
      <c r="F59" s="6">
        <v>8</v>
      </c>
      <c r="G59" s="6" t="s">
        <v>272</v>
      </c>
      <c r="H59" s="6">
        <v>10</v>
      </c>
      <c r="I59" s="8">
        <v>85.754208888888897</v>
      </c>
      <c r="J59" s="8">
        <v>120.59057125</v>
      </c>
      <c r="K59" s="6" t="s">
        <v>198</v>
      </c>
      <c r="L59" s="9">
        <v>43792</v>
      </c>
      <c r="N59" s="6">
        <v>8</v>
      </c>
      <c r="O59" s="6" t="s">
        <v>4268</v>
      </c>
      <c r="Q59" s="6" t="s">
        <v>570</v>
      </c>
      <c r="R59" s="6">
        <v>0</v>
      </c>
      <c r="S59" s="6">
        <v>5</v>
      </c>
      <c r="T59" s="10">
        <f>AVERAGE(R59:S59)</f>
        <v>2.5</v>
      </c>
      <c r="U59" s="6">
        <v>0</v>
      </c>
      <c r="W59" s="8">
        <v>-19.553775727081298</v>
      </c>
      <c r="X59" s="8">
        <v>-143.95989837837811</v>
      </c>
      <c r="Y59" s="8">
        <f>X59-(8*W59)</f>
        <v>12.470307438272272</v>
      </c>
      <c r="Z59" s="6" t="s">
        <v>571</v>
      </c>
    </row>
    <row r="60" spans="1:26" s="6" customFormat="1" x14ac:dyDescent="0.35">
      <c r="A60" s="6" t="s">
        <v>25</v>
      </c>
      <c r="B60" s="7"/>
      <c r="C60" s="6">
        <v>511783</v>
      </c>
      <c r="D60" s="6" t="s">
        <v>569</v>
      </c>
      <c r="E60" s="6">
        <v>1</v>
      </c>
      <c r="F60" s="6">
        <v>8</v>
      </c>
      <c r="G60" s="6" t="s">
        <v>272</v>
      </c>
      <c r="H60" s="6">
        <v>10</v>
      </c>
      <c r="I60" s="8">
        <v>85.754208888888897</v>
      </c>
      <c r="J60" s="8">
        <v>120.59057125</v>
      </c>
      <c r="K60" s="6" t="s">
        <v>198</v>
      </c>
      <c r="L60" s="9">
        <v>43792</v>
      </c>
      <c r="N60" s="6">
        <v>8</v>
      </c>
      <c r="O60" s="6" t="s">
        <v>4268</v>
      </c>
      <c r="Q60" s="6" t="s">
        <v>403</v>
      </c>
      <c r="R60" s="6">
        <v>5</v>
      </c>
      <c r="S60" s="6">
        <v>10</v>
      </c>
      <c r="T60" s="10">
        <f>AVERAGE(R60:S60)</f>
        <v>7.5</v>
      </c>
      <c r="U60" s="6">
        <v>0.5</v>
      </c>
      <c r="W60" s="8">
        <v>-13.933237113952638</v>
      </c>
      <c r="X60" s="8">
        <v>-103.55809897460938</v>
      </c>
      <c r="Y60" s="8">
        <f>X60-(8*W60)</f>
        <v>7.907797937011722</v>
      </c>
    </row>
    <row r="61" spans="1:26" s="6" customFormat="1" x14ac:dyDescent="0.35">
      <c r="A61" s="6" t="s">
        <v>25</v>
      </c>
      <c r="B61" s="7"/>
      <c r="C61" s="6">
        <v>510750</v>
      </c>
      <c r="D61" s="6" t="s">
        <v>643</v>
      </c>
      <c r="E61" s="6">
        <v>1</v>
      </c>
      <c r="F61" s="6">
        <v>9</v>
      </c>
      <c r="G61" s="6" t="s">
        <v>241</v>
      </c>
      <c r="I61" s="8">
        <v>86.047909722222201</v>
      </c>
      <c r="J61" s="8">
        <v>120.497726180556</v>
      </c>
      <c r="K61" s="6" t="s">
        <v>198</v>
      </c>
      <c r="L61" s="9">
        <v>43794</v>
      </c>
      <c r="N61" s="6">
        <v>9</v>
      </c>
      <c r="O61" s="6" t="s">
        <v>4270</v>
      </c>
      <c r="Q61" s="6" t="s">
        <v>203</v>
      </c>
      <c r="R61" s="6">
        <v>0</v>
      </c>
      <c r="S61" s="6">
        <v>5</v>
      </c>
      <c r="T61" s="10">
        <f>AVERAGE(R61:S61)</f>
        <v>2.5</v>
      </c>
      <c r="U61" s="6">
        <v>0</v>
      </c>
      <c r="W61" s="8">
        <v>-16.653558613586426</v>
      </c>
      <c r="X61" s="8">
        <v>-118.07164851074218</v>
      </c>
      <c r="Y61" s="8">
        <f>X61-(8*W61)</f>
        <v>15.156820397949232</v>
      </c>
    </row>
    <row r="62" spans="1:26" s="6" customFormat="1" x14ac:dyDescent="0.35">
      <c r="A62" s="6" t="s">
        <v>25</v>
      </c>
      <c r="B62" s="7"/>
      <c r="C62" s="6">
        <v>510749</v>
      </c>
      <c r="D62" s="6" t="s">
        <v>640</v>
      </c>
      <c r="E62" s="6">
        <v>1</v>
      </c>
      <c r="F62" s="6">
        <v>9</v>
      </c>
      <c r="G62" s="6" t="s">
        <v>641</v>
      </c>
      <c r="I62" s="8">
        <v>86.047909722222201</v>
      </c>
      <c r="J62" s="8">
        <v>120.497726180556</v>
      </c>
      <c r="K62" s="6" t="s">
        <v>198</v>
      </c>
      <c r="L62" s="9">
        <v>43794</v>
      </c>
      <c r="N62" s="6">
        <v>9</v>
      </c>
      <c r="O62" s="6" t="s">
        <v>4270</v>
      </c>
      <c r="Q62" s="6" t="s">
        <v>642</v>
      </c>
      <c r="R62" s="6">
        <v>0</v>
      </c>
      <c r="S62" s="6">
        <v>5</v>
      </c>
      <c r="T62" s="10">
        <f>AVERAGE(R62:S62)</f>
        <v>2.5</v>
      </c>
      <c r="W62" s="8">
        <v>-13.597144842147827</v>
      </c>
      <c r="X62" s="8">
        <v>-94.973808447265625</v>
      </c>
      <c r="Y62" s="8">
        <f>X62-(8*W62)</f>
        <v>13.803350289916992</v>
      </c>
    </row>
    <row r="63" spans="1:26" s="6" customFormat="1" x14ac:dyDescent="0.35">
      <c r="A63" s="6" t="s">
        <v>25</v>
      </c>
      <c r="B63" s="7"/>
      <c r="C63" s="6">
        <v>510748</v>
      </c>
      <c r="D63" s="6" t="s">
        <v>643</v>
      </c>
      <c r="E63" s="6">
        <v>1</v>
      </c>
      <c r="F63" s="6">
        <v>9</v>
      </c>
      <c r="G63" s="6" t="s">
        <v>241</v>
      </c>
      <c r="I63" s="8">
        <v>86.047909722222201</v>
      </c>
      <c r="J63" s="8">
        <v>120.497726180556</v>
      </c>
      <c r="K63" s="6" t="s">
        <v>198</v>
      </c>
      <c r="L63" s="9">
        <v>43794</v>
      </c>
      <c r="N63" s="6">
        <v>9</v>
      </c>
      <c r="O63" s="6" t="s">
        <v>4270</v>
      </c>
      <c r="Q63" s="6" t="s">
        <v>403</v>
      </c>
      <c r="R63" s="6">
        <v>5</v>
      </c>
      <c r="S63" s="6">
        <v>10</v>
      </c>
      <c r="T63" s="10">
        <f>AVERAGE(R63:S63)</f>
        <v>7.5</v>
      </c>
      <c r="U63" s="6">
        <v>0</v>
      </c>
      <c r="W63" s="8">
        <v>-10.091604836654662</v>
      </c>
      <c r="X63" s="8">
        <v>-78.370653026526</v>
      </c>
      <c r="Y63" s="8">
        <f>X63-(8*W63)</f>
        <v>2.3621856667112979</v>
      </c>
    </row>
    <row r="64" spans="1:26" s="6" customFormat="1" x14ac:dyDescent="0.35">
      <c r="A64" s="6" t="s">
        <v>25</v>
      </c>
      <c r="B64" s="7"/>
      <c r="C64" s="6">
        <v>510747</v>
      </c>
      <c r="D64" s="6" t="s">
        <v>643</v>
      </c>
      <c r="E64" s="6">
        <v>1</v>
      </c>
      <c r="F64" s="6">
        <v>9</v>
      </c>
      <c r="G64" s="6" t="s">
        <v>241</v>
      </c>
      <c r="I64" s="8">
        <v>86.047909722222201</v>
      </c>
      <c r="J64" s="8">
        <v>120.497726180556</v>
      </c>
      <c r="K64" s="6" t="s">
        <v>198</v>
      </c>
      <c r="L64" s="9">
        <v>43794</v>
      </c>
      <c r="N64" s="6">
        <v>9</v>
      </c>
      <c r="O64" s="6" t="s">
        <v>4270</v>
      </c>
      <c r="Q64" s="6" t="s">
        <v>644</v>
      </c>
      <c r="R64" s="6">
        <v>10</v>
      </c>
      <c r="S64" s="6">
        <v>14</v>
      </c>
      <c r="T64" s="10">
        <f>AVERAGE(R64:S64)</f>
        <v>12</v>
      </c>
      <c r="U64" s="6">
        <v>0</v>
      </c>
      <c r="W64" s="8">
        <v>-6.1968447411537158</v>
      </c>
      <c r="X64" s="8">
        <v>-54.995724049377436</v>
      </c>
      <c r="Y64" s="8">
        <f>X64-(8*W64)</f>
        <v>-5.4209661201477104</v>
      </c>
    </row>
    <row r="65" spans="1:26" s="6" customFormat="1" x14ac:dyDescent="0.35">
      <c r="A65" s="6" t="s">
        <v>25</v>
      </c>
      <c r="B65" s="7"/>
      <c r="C65" s="6">
        <v>510771</v>
      </c>
      <c r="D65" s="6" t="s">
        <v>645</v>
      </c>
      <c r="E65" s="6">
        <v>1</v>
      </c>
      <c r="F65" s="6">
        <v>9</v>
      </c>
      <c r="G65" s="6" t="s">
        <v>646</v>
      </c>
      <c r="I65" s="8">
        <v>86.127193125000005</v>
      </c>
      <c r="J65" s="8">
        <v>119.116526111111</v>
      </c>
      <c r="K65" s="6" t="s">
        <v>198</v>
      </c>
      <c r="L65" s="9">
        <v>43795</v>
      </c>
      <c r="N65" s="6">
        <v>9</v>
      </c>
      <c r="O65" s="6" t="s">
        <v>4271</v>
      </c>
      <c r="Q65" s="6" t="s">
        <v>203</v>
      </c>
      <c r="R65" s="6">
        <v>0</v>
      </c>
      <c r="S65" s="6">
        <v>5</v>
      </c>
      <c r="T65" s="10">
        <f>AVERAGE(R65:S65)</f>
        <v>2.5</v>
      </c>
      <c r="U65" s="6">
        <v>0.1</v>
      </c>
      <c r="W65" s="8">
        <v>-19.813309288024904</v>
      </c>
      <c r="X65" s="8">
        <v>-144.46062363281249</v>
      </c>
      <c r="Y65" s="8">
        <f>X65-(8*W65)</f>
        <v>14.045850671386745</v>
      </c>
    </row>
    <row r="66" spans="1:26" s="6" customFormat="1" x14ac:dyDescent="0.35">
      <c r="A66" s="6" t="s">
        <v>25</v>
      </c>
      <c r="B66" s="7"/>
      <c r="C66" s="6">
        <v>510772</v>
      </c>
      <c r="D66" s="6" t="s">
        <v>640</v>
      </c>
      <c r="E66" s="6">
        <v>1</v>
      </c>
      <c r="F66" s="6">
        <v>9</v>
      </c>
      <c r="I66" s="8">
        <v>86.127193125000005</v>
      </c>
      <c r="J66" s="8">
        <v>119.116526111111</v>
      </c>
      <c r="K66" s="6" t="s">
        <v>198</v>
      </c>
      <c r="L66" s="9">
        <v>43795</v>
      </c>
      <c r="N66" s="6">
        <v>9</v>
      </c>
      <c r="O66" s="6" t="s">
        <v>4271</v>
      </c>
      <c r="Q66" s="6" t="s">
        <v>204</v>
      </c>
      <c r="R66" s="6">
        <v>5</v>
      </c>
      <c r="S66" s="6">
        <v>10</v>
      </c>
      <c r="T66" s="10">
        <f>AVERAGE(R66:S66)</f>
        <v>7.5</v>
      </c>
      <c r="U66" s="6">
        <v>0</v>
      </c>
      <c r="W66" s="8">
        <v>-16.219294154357911</v>
      </c>
      <c r="X66" s="8">
        <v>-120.93864815925883</v>
      </c>
      <c r="Y66" s="8">
        <f>X66-(8*W66)</f>
        <v>8.8157050756044555</v>
      </c>
      <c r="Z66" s="6" t="s">
        <v>647</v>
      </c>
    </row>
    <row r="67" spans="1:26" s="6" customFormat="1" x14ac:dyDescent="0.35">
      <c r="A67" s="6" t="s">
        <v>25</v>
      </c>
      <c r="B67" s="7"/>
      <c r="C67" s="6">
        <v>510776</v>
      </c>
      <c r="D67" s="6" t="s">
        <v>640</v>
      </c>
      <c r="E67" s="6">
        <v>1</v>
      </c>
      <c r="F67" s="6">
        <v>9</v>
      </c>
      <c r="I67" s="8">
        <v>86.127193125000005</v>
      </c>
      <c r="J67" s="8">
        <v>119.116526111111</v>
      </c>
      <c r="K67" s="6" t="s">
        <v>198</v>
      </c>
      <c r="L67" s="9">
        <v>43795</v>
      </c>
      <c r="N67" s="6">
        <v>9</v>
      </c>
      <c r="O67" s="6" t="s">
        <v>4271</v>
      </c>
      <c r="Q67" s="6" t="s">
        <v>651</v>
      </c>
      <c r="R67" s="6">
        <v>0</v>
      </c>
      <c r="S67" s="6">
        <v>8</v>
      </c>
      <c r="T67" s="10">
        <f>AVERAGE(R67:S67)</f>
        <v>4</v>
      </c>
      <c r="U67" s="6">
        <v>0</v>
      </c>
      <c r="W67" s="8">
        <v>-15.622546616744994</v>
      </c>
      <c r="X67" s="8">
        <v>-112.07070165102154</v>
      </c>
      <c r="Y67" s="8">
        <f>X67-(8*W67)</f>
        <v>12.909671282938419</v>
      </c>
    </row>
    <row r="68" spans="1:26" s="6" customFormat="1" x14ac:dyDescent="0.35">
      <c r="A68" s="6" t="s">
        <v>25</v>
      </c>
      <c r="B68" s="7"/>
      <c r="C68" s="6">
        <v>510775</v>
      </c>
      <c r="D68" s="6" t="s">
        <v>640</v>
      </c>
      <c r="E68" s="6">
        <v>1</v>
      </c>
      <c r="F68" s="6">
        <v>9</v>
      </c>
      <c r="I68" s="8">
        <v>86.127193125000005</v>
      </c>
      <c r="J68" s="8">
        <v>119.116526111111</v>
      </c>
      <c r="K68" s="6" t="s">
        <v>198</v>
      </c>
      <c r="L68" s="9">
        <v>43795</v>
      </c>
      <c r="N68" s="6">
        <v>9</v>
      </c>
      <c r="O68" s="6" t="s">
        <v>4271</v>
      </c>
      <c r="Q68" s="6" t="s">
        <v>650</v>
      </c>
      <c r="R68" s="6">
        <v>10</v>
      </c>
      <c r="S68" s="6">
        <v>17</v>
      </c>
      <c r="T68" s="10">
        <f>AVERAGE(R68:S68)</f>
        <v>13.5</v>
      </c>
      <c r="U68" s="6">
        <v>0</v>
      </c>
      <c r="W68" s="8">
        <v>-9.7379080065124519</v>
      </c>
      <c r="X68" s="8">
        <v>-75.039556496774253</v>
      </c>
      <c r="Y68" s="8">
        <f>X68-(8*W68)</f>
        <v>2.8637075553253624</v>
      </c>
      <c r="Z68" s="6" t="s">
        <v>647</v>
      </c>
    </row>
    <row r="69" spans="1:26" s="6" customFormat="1" x14ac:dyDescent="0.35">
      <c r="A69" s="6" t="s">
        <v>25</v>
      </c>
      <c r="B69" s="7"/>
      <c r="C69" s="6">
        <v>510773</v>
      </c>
      <c r="D69" s="6" t="s">
        <v>640</v>
      </c>
      <c r="E69" s="6">
        <v>1</v>
      </c>
      <c r="F69" s="6">
        <v>9</v>
      </c>
      <c r="I69" s="8">
        <v>86.127193125000005</v>
      </c>
      <c r="J69" s="8">
        <v>119.116526111111</v>
      </c>
      <c r="K69" s="6" t="s">
        <v>198</v>
      </c>
      <c r="L69" s="9">
        <v>43795</v>
      </c>
      <c r="N69" s="6">
        <v>9</v>
      </c>
      <c r="O69" s="6" t="s">
        <v>4271</v>
      </c>
      <c r="Q69" s="6" t="s">
        <v>648</v>
      </c>
      <c r="R69" s="6">
        <v>8</v>
      </c>
      <c r="S69" s="6">
        <v>13</v>
      </c>
      <c r="T69" s="10">
        <f>AVERAGE(R69:S69)</f>
        <v>10.5</v>
      </c>
      <c r="U69" s="6">
        <v>0</v>
      </c>
      <c r="W69" s="8">
        <v>-9.0758976268768308</v>
      </c>
      <c r="X69" s="8">
        <v>-73.904680394229445</v>
      </c>
      <c r="Y69" s="8">
        <f>X69-(8*W69)</f>
        <v>-1.2974993792147984</v>
      </c>
    </row>
    <row r="70" spans="1:26" s="6" customFormat="1" x14ac:dyDescent="0.35">
      <c r="A70" s="6" t="s">
        <v>25</v>
      </c>
      <c r="B70" s="7"/>
      <c r="C70" s="6">
        <v>510774</v>
      </c>
      <c r="D70" s="6" t="s">
        <v>640</v>
      </c>
      <c r="E70" s="6">
        <v>1</v>
      </c>
      <c r="F70" s="6">
        <v>9</v>
      </c>
      <c r="I70" s="8">
        <v>86.127193125000005</v>
      </c>
      <c r="J70" s="8">
        <v>119.116526111111</v>
      </c>
      <c r="K70" s="6" t="s">
        <v>198</v>
      </c>
      <c r="L70" s="9">
        <v>43795</v>
      </c>
      <c r="N70" s="6">
        <v>9</v>
      </c>
      <c r="O70" s="6" t="s">
        <v>4271</v>
      </c>
      <c r="Q70" s="6" t="s">
        <v>649</v>
      </c>
      <c r="R70" s="6">
        <v>13</v>
      </c>
      <c r="S70" s="6">
        <v>18</v>
      </c>
      <c r="T70" s="10">
        <f>AVERAGE(R70:S70)</f>
        <v>15.5</v>
      </c>
      <c r="U70" s="6">
        <v>0</v>
      </c>
      <c r="W70" s="8">
        <v>-3.9441085209439191</v>
      </c>
      <c r="X70" s="8">
        <v>-33.238965482633702</v>
      </c>
      <c r="Y70" s="8">
        <f>X70-(8*W70)</f>
        <v>-1.6860973150823497</v>
      </c>
    </row>
    <row r="71" spans="1:26" s="6" customFormat="1" x14ac:dyDescent="0.35">
      <c r="A71" s="6" t="s">
        <v>25</v>
      </c>
      <c r="B71" s="7"/>
      <c r="C71" s="6">
        <v>510783</v>
      </c>
      <c r="D71" s="6" t="s">
        <v>668</v>
      </c>
      <c r="E71" s="6">
        <v>1</v>
      </c>
      <c r="F71" s="6">
        <v>9</v>
      </c>
      <c r="G71" s="6" t="s">
        <v>179</v>
      </c>
      <c r="H71" s="6">
        <v>10</v>
      </c>
      <c r="I71" s="8">
        <v>86.158515138888902</v>
      </c>
      <c r="J71" s="8">
        <v>117.89724090277799</v>
      </c>
      <c r="K71" s="6" t="s">
        <v>198</v>
      </c>
      <c r="L71" s="9">
        <v>43796</v>
      </c>
      <c r="N71" s="6">
        <v>9</v>
      </c>
      <c r="O71" s="6" t="s">
        <v>4272</v>
      </c>
      <c r="Q71" s="6" t="s">
        <v>203</v>
      </c>
      <c r="R71" s="6">
        <v>0</v>
      </c>
      <c r="S71" s="6">
        <v>5</v>
      </c>
      <c r="T71" s="10">
        <f>AVERAGE(R71:S71)</f>
        <v>2.5</v>
      </c>
      <c r="U71" s="6">
        <v>0.6</v>
      </c>
      <c r="W71" s="8">
        <v>-15.028184623718262</v>
      </c>
      <c r="X71" s="8">
        <v>-105.47764682617188</v>
      </c>
      <c r="Y71" s="8">
        <f>X71-(8*W71)</f>
        <v>14.747830163574221</v>
      </c>
    </row>
    <row r="72" spans="1:26" s="6" customFormat="1" x14ac:dyDescent="0.35">
      <c r="A72" s="6" t="s">
        <v>25</v>
      </c>
      <c r="B72" s="7"/>
      <c r="C72" s="6">
        <v>510784</v>
      </c>
      <c r="D72" s="6" t="s">
        <v>668</v>
      </c>
      <c r="E72" s="6">
        <v>1</v>
      </c>
      <c r="F72" s="6">
        <v>9</v>
      </c>
      <c r="G72" s="6" t="s">
        <v>179</v>
      </c>
      <c r="H72" s="6">
        <v>10</v>
      </c>
      <c r="I72" s="8">
        <v>86.158515138888902</v>
      </c>
      <c r="J72" s="8">
        <v>117.89724090277799</v>
      </c>
      <c r="K72" s="6" t="s">
        <v>198</v>
      </c>
      <c r="L72" s="9">
        <v>43796</v>
      </c>
      <c r="N72" s="6">
        <v>9</v>
      </c>
      <c r="O72" s="6" t="s">
        <v>4272</v>
      </c>
      <c r="Q72" s="6" t="s">
        <v>669</v>
      </c>
      <c r="R72" s="6">
        <v>5</v>
      </c>
      <c r="S72" s="6">
        <v>10</v>
      </c>
      <c r="T72" s="10">
        <f>AVERAGE(R72:S72)</f>
        <v>7.5</v>
      </c>
      <c r="U72" s="6">
        <v>10.4</v>
      </c>
      <c r="W72" s="8">
        <v>-4.5490189981460585</v>
      </c>
      <c r="X72" s="8">
        <v>-42.083865332031252</v>
      </c>
      <c r="Y72" s="8">
        <f>X72-(8*W72)</f>
        <v>-5.6917133468627839</v>
      </c>
    </row>
    <row r="73" spans="1:26" s="6" customFormat="1" x14ac:dyDescent="0.35">
      <c r="A73" s="6" t="s">
        <v>25</v>
      </c>
      <c r="B73" s="7"/>
      <c r="C73" s="6">
        <v>510853</v>
      </c>
      <c r="D73" s="6" t="s">
        <v>712</v>
      </c>
      <c r="E73" s="6">
        <v>1</v>
      </c>
      <c r="F73" s="6">
        <v>9</v>
      </c>
      <c r="G73" s="6" t="s">
        <v>272</v>
      </c>
      <c r="H73" s="6">
        <v>8</v>
      </c>
      <c r="I73" s="8">
        <v>86.154772777777794</v>
      </c>
      <c r="J73" s="8">
        <v>116.51710749999999</v>
      </c>
      <c r="K73" s="6" t="s">
        <v>198</v>
      </c>
      <c r="L73" s="9">
        <v>43797</v>
      </c>
      <c r="N73" s="6">
        <v>9</v>
      </c>
      <c r="O73" s="6" t="s">
        <v>4273</v>
      </c>
      <c r="Q73" s="6" t="s">
        <v>336</v>
      </c>
      <c r="R73" s="6">
        <v>0</v>
      </c>
      <c r="S73" s="6">
        <v>4</v>
      </c>
      <c r="T73" s="10">
        <f>AVERAGE(R73:S73)</f>
        <v>2</v>
      </c>
      <c r="U73" s="6">
        <v>0.5</v>
      </c>
      <c r="W73" s="8">
        <v>-19.712796287536619</v>
      </c>
      <c r="X73" s="8">
        <v>-142.54959775390623</v>
      </c>
      <c r="Y73" s="8">
        <f>X73-(8*W73)</f>
        <v>15.152772546386728</v>
      </c>
    </row>
    <row r="74" spans="1:26" s="6" customFormat="1" x14ac:dyDescent="0.35">
      <c r="A74" s="6" t="s">
        <v>25</v>
      </c>
      <c r="B74" s="7"/>
      <c r="C74" s="6">
        <v>510856</v>
      </c>
      <c r="D74" s="6" t="s">
        <v>640</v>
      </c>
      <c r="E74" s="6">
        <v>1</v>
      </c>
      <c r="F74" s="6">
        <v>9</v>
      </c>
      <c r="G74" s="6" t="s">
        <v>272</v>
      </c>
      <c r="I74" s="8">
        <v>86.038676874999993</v>
      </c>
      <c r="J74" s="8">
        <v>112.924474722222</v>
      </c>
      <c r="K74" s="6" t="s">
        <v>198</v>
      </c>
      <c r="L74" s="9">
        <v>43799</v>
      </c>
      <c r="N74" s="6">
        <v>9</v>
      </c>
      <c r="O74" s="6" t="s">
        <v>4275</v>
      </c>
      <c r="Q74" s="6" t="s">
        <v>746</v>
      </c>
      <c r="R74" s="6">
        <v>14</v>
      </c>
      <c r="S74" s="6">
        <v>28</v>
      </c>
      <c r="T74" s="10">
        <f>AVERAGE(R74:S74)</f>
        <v>21</v>
      </c>
      <c r="W74" s="8">
        <v>-16.680605945587157</v>
      </c>
      <c r="X74" s="8">
        <v>-129.85364462890624</v>
      </c>
      <c r="Y74" s="8">
        <f>X74-(8*W74)</f>
        <v>3.5912029357910171</v>
      </c>
    </row>
    <row r="75" spans="1:26" s="6" customFormat="1" x14ac:dyDescent="0.35">
      <c r="A75" s="6" t="s">
        <v>25</v>
      </c>
      <c r="B75" s="7"/>
      <c r="C75" s="6">
        <v>510867</v>
      </c>
      <c r="D75" s="6" t="s">
        <v>756</v>
      </c>
      <c r="E75" s="6">
        <v>1</v>
      </c>
      <c r="F75" s="6">
        <v>10</v>
      </c>
      <c r="G75" s="6" t="s">
        <v>754</v>
      </c>
      <c r="H75" s="6">
        <v>12</v>
      </c>
      <c r="I75" s="8">
        <v>85.933882569444407</v>
      </c>
      <c r="J75" s="8">
        <v>114.06437159722201</v>
      </c>
      <c r="K75" s="6" t="s">
        <v>198</v>
      </c>
      <c r="L75" s="9">
        <v>43801</v>
      </c>
      <c r="N75" s="6">
        <v>10</v>
      </c>
      <c r="O75" s="6" t="s">
        <v>4277</v>
      </c>
      <c r="Q75" s="6" t="s">
        <v>336</v>
      </c>
      <c r="R75" s="6">
        <v>0</v>
      </c>
      <c r="S75" s="6">
        <v>4</v>
      </c>
      <c r="T75" s="10">
        <f>AVERAGE(R75:S75)</f>
        <v>2</v>
      </c>
      <c r="U75" s="6">
        <v>0</v>
      </c>
      <c r="W75" s="8">
        <v>-21.344400296401975</v>
      </c>
      <c r="X75" s="8">
        <v>-152.69834647836359</v>
      </c>
      <c r="Y75" s="8">
        <f>X75-(8*W75)</f>
        <v>18.056855892852212</v>
      </c>
    </row>
    <row r="76" spans="1:26" s="6" customFormat="1" x14ac:dyDescent="0.35">
      <c r="A76" s="6" t="s">
        <v>25</v>
      </c>
      <c r="B76" s="6" t="s">
        <v>2744</v>
      </c>
      <c r="D76" s="6" t="s">
        <v>3092</v>
      </c>
      <c r="E76" s="6">
        <v>1</v>
      </c>
      <c r="F76" s="6">
        <v>10</v>
      </c>
      <c r="G76" s="6" t="s">
        <v>3327</v>
      </c>
      <c r="I76" s="8">
        <v>85.924426999999994</v>
      </c>
      <c r="J76" s="8">
        <v>113.89622300000001</v>
      </c>
      <c r="K76" s="6" t="s">
        <v>198</v>
      </c>
      <c r="L76" s="9">
        <v>43801</v>
      </c>
      <c r="M76" s="18">
        <v>0.41944444444444445</v>
      </c>
      <c r="N76" s="6">
        <v>10</v>
      </c>
      <c r="O76" s="6" t="s">
        <v>4277</v>
      </c>
      <c r="R76" s="6">
        <v>7.5</v>
      </c>
      <c r="S76" s="6">
        <v>5</v>
      </c>
      <c r="U76" s="33">
        <v>804</v>
      </c>
      <c r="V76" t="s">
        <v>4461</v>
      </c>
      <c r="W76" s="8">
        <v>-21.101015588378907</v>
      </c>
      <c r="X76" s="8">
        <v>-152.88591915893554</v>
      </c>
      <c r="Y76" s="8">
        <f>X76-(8*W76)</f>
        <v>15.922205548095718</v>
      </c>
      <c r="Z76" s="6" t="s">
        <v>3329</v>
      </c>
    </row>
    <row r="77" spans="1:26" s="6" customFormat="1" x14ac:dyDescent="0.35">
      <c r="A77" s="6" t="s">
        <v>25</v>
      </c>
      <c r="B77" s="7"/>
      <c r="C77" s="6">
        <v>511007</v>
      </c>
      <c r="D77" s="6" t="s">
        <v>640</v>
      </c>
      <c r="E77" s="6">
        <v>1</v>
      </c>
      <c r="F77" s="6">
        <v>10</v>
      </c>
      <c r="G77" s="6" t="s">
        <v>755</v>
      </c>
      <c r="I77" s="8">
        <v>85.933882569444407</v>
      </c>
      <c r="J77" s="8">
        <v>114.06437159722201</v>
      </c>
      <c r="K77" s="6" t="s">
        <v>198</v>
      </c>
      <c r="L77" s="9">
        <v>43801</v>
      </c>
      <c r="N77" s="6">
        <v>10</v>
      </c>
      <c r="O77" s="6" t="s">
        <v>4277</v>
      </c>
      <c r="T77" s="10"/>
      <c r="W77" s="8">
        <v>-10.82192683868408</v>
      </c>
      <c r="X77" s="8">
        <v>-75.848311614990237</v>
      </c>
      <c r="Y77" s="8">
        <f>X77-(8*W77)</f>
        <v>10.727103094482402</v>
      </c>
    </row>
    <row r="78" spans="1:26" s="6" customFormat="1" x14ac:dyDescent="0.35">
      <c r="A78" s="6" t="s">
        <v>25</v>
      </c>
      <c r="B78" s="6" t="s">
        <v>2745</v>
      </c>
      <c r="D78" s="6" t="s">
        <v>3092</v>
      </c>
      <c r="E78" s="6">
        <v>1</v>
      </c>
      <c r="F78" s="6">
        <v>10</v>
      </c>
      <c r="G78" s="6" t="s">
        <v>3327</v>
      </c>
      <c r="I78" s="8">
        <v>85.924426999999994</v>
      </c>
      <c r="J78" s="8">
        <v>113.89622300000001</v>
      </c>
      <c r="K78" s="6" t="s">
        <v>198</v>
      </c>
      <c r="L78" s="9">
        <v>43801</v>
      </c>
      <c r="M78" s="18">
        <v>0.41944444444444445</v>
      </c>
      <c r="N78" s="6">
        <v>10</v>
      </c>
      <c r="O78" s="6" t="s">
        <v>4277</v>
      </c>
      <c r="R78" s="6">
        <v>5</v>
      </c>
      <c r="S78" s="6">
        <v>2.5</v>
      </c>
      <c r="U78" s="34">
        <v>11.55</v>
      </c>
      <c r="V78" t="s">
        <v>4462</v>
      </c>
      <c r="W78" s="8">
        <v>-10.596501947021483</v>
      </c>
      <c r="X78" s="8">
        <v>-75.212837356567377</v>
      </c>
      <c r="Y78" s="8">
        <f>X78-(8*W78)</f>
        <v>9.5591782196044903</v>
      </c>
      <c r="Z78" s="6" t="s">
        <v>3329</v>
      </c>
    </row>
    <row r="79" spans="1:26" s="6" customFormat="1" x14ac:dyDescent="0.35">
      <c r="A79" s="6" t="s">
        <v>25</v>
      </c>
      <c r="B79" s="7" t="s">
        <v>752</v>
      </c>
      <c r="C79" s="6">
        <v>510868</v>
      </c>
      <c r="D79" s="6" t="s">
        <v>753</v>
      </c>
      <c r="E79" s="6">
        <v>1</v>
      </c>
      <c r="F79" s="6">
        <v>10</v>
      </c>
      <c r="G79" s="6" t="s">
        <v>754</v>
      </c>
      <c r="I79" s="8">
        <v>85.933882569444407</v>
      </c>
      <c r="J79" s="8">
        <v>114.06437159722201</v>
      </c>
      <c r="K79" s="7" t="s">
        <v>198</v>
      </c>
      <c r="L79" s="9">
        <v>43801</v>
      </c>
      <c r="N79" s="6">
        <v>10</v>
      </c>
      <c r="O79" s="6" t="s">
        <v>4277</v>
      </c>
      <c r="Q79" s="10"/>
      <c r="R79" s="10">
        <v>8</v>
      </c>
      <c r="S79" s="10">
        <v>13.5</v>
      </c>
      <c r="T79" s="10">
        <f>AVERAGE(R79:S79)</f>
        <v>10.75</v>
      </c>
      <c r="U79" s="11"/>
      <c r="V79" s="11"/>
      <c r="W79" s="8">
        <v>-8.4274411663055435</v>
      </c>
      <c r="X79" s="8">
        <v>-62.957791191101073</v>
      </c>
      <c r="Y79" s="8">
        <f>X79-(8*W79)</f>
        <v>4.4617381393432751</v>
      </c>
    </row>
    <row r="80" spans="1:26" s="6" customFormat="1" x14ac:dyDescent="0.35">
      <c r="A80" s="6" t="s">
        <v>25</v>
      </c>
      <c r="B80" s="6" t="s">
        <v>2746</v>
      </c>
      <c r="D80" s="6" t="s">
        <v>3092</v>
      </c>
      <c r="E80" s="6">
        <v>1</v>
      </c>
      <c r="F80" s="6">
        <v>10</v>
      </c>
      <c r="G80" s="6" t="s">
        <v>3327</v>
      </c>
      <c r="I80" s="8">
        <v>85.924426999999994</v>
      </c>
      <c r="J80" s="8">
        <v>113.89622300000001</v>
      </c>
      <c r="K80" s="6" t="s">
        <v>198</v>
      </c>
      <c r="L80" s="9">
        <v>43801</v>
      </c>
      <c r="M80" s="18">
        <v>0.41944444444444445</v>
      </c>
      <c r="N80" s="6">
        <v>10</v>
      </c>
      <c r="O80" s="6" t="s">
        <v>4277</v>
      </c>
      <c r="R80" s="6">
        <v>2.5</v>
      </c>
      <c r="S80" s="6">
        <v>0</v>
      </c>
      <c r="U80" s="32">
        <v>23.6</v>
      </c>
      <c r="V80" t="s">
        <v>4462</v>
      </c>
      <c r="W80" s="8">
        <v>-4.0097532211303717</v>
      </c>
      <c r="X80" s="8">
        <v>-36.811739044189451</v>
      </c>
      <c r="Y80" s="8">
        <f>X80-(8*W80)</f>
        <v>-4.7337132751464779</v>
      </c>
      <c r="Z80" s="6" t="s">
        <v>3329</v>
      </c>
    </row>
    <row r="81" spans="1:26" s="6" customFormat="1" x14ac:dyDescent="0.35">
      <c r="A81" s="6" t="s">
        <v>25</v>
      </c>
      <c r="B81" s="7"/>
      <c r="C81" s="6">
        <v>511006</v>
      </c>
      <c r="D81" s="6" t="s">
        <v>640</v>
      </c>
      <c r="E81" s="6">
        <v>1</v>
      </c>
      <c r="F81" s="6">
        <v>10</v>
      </c>
      <c r="G81" s="6" t="s">
        <v>755</v>
      </c>
      <c r="I81" s="8">
        <v>85.933882569444407</v>
      </c>
      <c r="J81" s="8">
        <v>114.06437159722201</v>
      </c>
      <c r="K81" s="6" t="s">
        <v>198</v>
      </c>
      <c r="L81" s="9">
        <v>43801</v>
      </c>
      <c r="N81" s="6">
        <v>10</v>
      </c>
      <c r="O81" s="6" t="s">
        <v>4277</v>
      </c>
      <c r="T81" s="10"/>
      <c r="W81" s="8">
        <v>-3.1542293828010561</v>
      </c>
      <c r="X81" s="8">
        <v>-31.191503219604492</v>
      </c>
      <c r="Y81" s="8">
        <f>X81-(8*W81)</f>
        <v>-5.9576681571960428</v>
      </c>
    </row>
    <row r="82" spans="1:26" s="6" customFormat="1" x14ac:dyDescent="0.35">
      <c r="A82" s="6" t="s">
        <v>25</v>
      </c>
      <c r="B82" s="7"/>
      <c r="C82" s="6">
        <v>511005</v>
      </c>
      <c r="D82" s="6" t="s">
        <v>766</v>
      </c>
      <c r="E82" s="6">
        <v>1</v>
      </c>
      <c r="F82" s="6">
        <v>10</v>
      </c>
      <c r="G82" s="6" t="s">
        <v>179</v>
      </c>
      <c r="I82" s="8">
        <v>86.106434930555594</v>
      </c>
      <c r="J82" s="8">
        <v>118.771893680556</v>
      </c>
      <c r="K82" s="6" t="s">
        <v>198</v>
      </c>
      <c r="L82" s="9">
        <v>43803</v>
      </c>
      <c r="N82" s="6">
        <v>10</v>
      </c>
      <c r="O82" s="6" t="s">
        <v>4278</v>
      </c>
      <c r="Q82" s="6" t="s">
        <v>515</v>
      </c>
      <c r="R82" s="6">
        <v>0</v>
      </c>
      <c r="S82" s="6">
        <v>4</v>
      </c>
      <c r="T82" s="10">
        <f>AVERAGE(R82:S82)</f>
        <v>2</v>
      </c>
      <c r="W82" s="8">
        <v>-15.314863418388365</v>
      </c>
      <c r="X82" s="8">
        <v>-111.26058563232422</v>
      </c>
      <c r="Y82" s="8">
        <f>X82-(8*W82)</f>
        <v>11.258321714782696</v>
      </c>
    </row>
    <row r="83" spans="1:26" s="6" customFormat="1" x14ac:dyDescent="0.35">
      <c r="A83" s="6" t="s">
        <v>25</v>
      </c>
      <c r="B83" s="7"/>
      <c r="C83" s="6">
        <v>511026</v>
      </c>
      <c r="D83" s="6" t="s">
        <v>766</v>
      </c>
      <c r="E83" s="6">
        <v>1</v>
      </c>
      <c r="F83" s="6">
        <v>10</v>
      </c>
      <c r="G83" s="6" t="s">
        <v>179</v>
      </c>
      <c r="I83" s="8">
        <v>86.106434930555594</v>
      </c>
      <c r="J83" s="8">
        <v>118.771893680556</v>
      </c>
      <c r="K83" s="6" t="s">
        <v>198</v>
      </c>
      <c r="L83" s="9">
        <v>43803</v>
      </c>
      <c r="N83" s="6">
        <v>10</v>
      </c>
      <c r="O83" s="6" t="s">
        <v>4278</v>
      </c>
      <c r="Q83" s="6" t="s">
        <v>516</v>
      </c>
      <c r="R83" s="6">
        <v>4</v>
      </c>
      <c r="S83" s="6">
        <v>8</v>
      </c>
      <c r="T83" s="10">
        <f>AVERAGE(R83:S83)</f>
        <v>6</v>
      </c>
      <c r="W83" s="8">
        <v>-7.4425967782020575</v>
      </c>
      <c r="X83" s="8">
        <v>-63.904869346618653</v>
      </c>
      <c r="Y83" s="8">
        <f>X83-(8*W83)</f>
        <v>-4.3640951210021939</v>
      </c>
    </row>
    <row r="84" spans="1:26" s="6" customFormat="1" x14ac:dyDescent="0.35">
      <c r="A84" s="6" t="s">
        <v>25</v>
      </c>
      <c r="B84" s="7"/>
      <c r="C84" s="6">
        <v>511027</v>
      </c>
      <c r="D84" s="6" t="s">
        <v>766</v>
      </c>
      <c r="E84" s="6">
        <v>1</v>
      </c>
      <c r="F84" s="6">
        <v>10</v>
      </c>
      <c r="G84" s="6" t="s">
        <v>179</v>
      </c>
      <c r="I84" s="8">
        <v>86.106434930555594</v>
      </c>
      <c r="J84" s="8">
        <v>118.771893680556</v>
      </c>
      <c r="K84" s="6" t="s">
        <v>198</v>
      </c>
      <c r="L84" s="9">
        <v>43803</v>
      </c>
      <c r="N84" s="6">
        <v>10</v>
      </c>
      <c r="O84" s="6" t="s">
        <v>4278</v>
      </c>
      <c r="Q84" s="6" t="s">
        <v>767</v>
      </c>
      <c r="R84" s="6">
        <v>8</v>
      </c>
      <c r="S84" s="6">
        <v>12</v>
      </c>
      <c r="T84" s="10">
        <f>AVERAGE(R84:S84)</f>
        <v>10</v>
      </c>
      <c r="W84" s="8">
        <v>-4.8146915853500385</v>
      </c>
      <c r="X84" s="8">
        <v>-45.304936180114744</v>
      </c>
      <c r="Y84" s="8">
        <f>X84-(8*W84)</f>
        <v>-6.7874034973144362</v>
      </c>
    </row>
    <row r="85" spans="1:26" s="6" customFormat="1" x14ac:dyDescent="0.35">
      <c r="A85" s="6" t="s">
        <v>25</v>
      </c>
      <c r="B85" s="6" t="s">
        <v>2747</v>
      </c>
      <c r="D85" s="6" t="s">
        <v>3093</v>
      </c>
      <c r="E85" s="6">
        <v>1</v>
      </c>
      <c r="F85" s="6">
        <v>11</v>
      </c>
      <c r="G85" s="6" t="s">
        <v>3328</v>
      </c>
      <c r="I85" s="8">
        <v>86.574613194444396</v>
      </c>
      <c r="J85" s="8">
        <v>120.636066805556</v>
      </c>
      <c r="K85" s="6" t="s">
        <v>198</v>
      </c>
      <c r="L85" s="9">
        <v>43810</v>
      </c>
      <c r="M85" s="18">
        <v>0.44861111111111113</v>
      </c>
      <c r="N85" s="6">
        <v>11</v>
      </c>
      <c r="O85" s="6" t="s">
        <v>4285</v>
      </c>
      <c r="R85" s="6">
        <v>28</v>
      </c>
      <c r="S85" s="6">
        <v>25</v>
      </c>
      <c r="U85" s="32">
        <v>59.3</v>
      </c>
      <c r="V85" t="s">
        <v>4461</v>
      </c>
      <c r="W85" s="8">
        <v>-18.627733026123046</v>
      </c>
      <c r="X85" s="8">
        <v>-128.54280505371094</v>
      </c>
      <c r="Y85" s="8">
        <f>X85-(8*W85)</f>
        <v>20.479059155273433</v>
      </c>
      <c r="Z85" s="6" t="s">
        <v>3330</v>
      </c>
    </row>
    <row r="86" spans="1:26" s="6" customFormat="1" x14ac:dyDescent="0.35">
      <c r="A86" s="6" t="s">
        <v>25</v>
      </c>
      <c r="B86" s="7"/>
      <c r="C86" s="6">
        <v>511080</v>
      </c>
      <c r="D86" s="13" t="s">
        <v>3328</v>
      </c>
      <c r="E86" s="6">
        <v>1</v>
      </c>
      <c r="F86" s="6">
        <v>11</v>
      </c>
      <c r="G86" s="6" t="s">
        <v>179</v>
      </c>
      <c r="I86" s="8">
        <v>86.574613194444396</v>
      </c>
      <c r="J86" s="8">
        <v>120.636066805556</v>
      </c>
      <c r="K86" s="6" t="s">
        <v>198</v>
      </c>
      <c r="L86" s="9">
        <v>43810</v>
      </c>
      <c r="N86" s="6">
        <v>11</v>
      </c>
      <c r="O86" s="6" t="s">
        <v>4285</v>
      </c>
      <c r="Q86" s="6" t="s">
        <v>254</v>
      </c>
      <c r="R86" s="6">
        <v>0</v>
      </c>
      <c r="S86" s="6">
        <v>4.5</v>
      </c>
      <c r="T86" s="10">
        <f>AVERAGE(R86:S86)</f>
        <v>2.25</v>
      </c>
      <c r="W86" s="8">
        <v>-13.338752406883238</v>
      </c>
      <c r="X86" s="8">
        <v>-95.570869674682612</v>
      </c>
      <c r="Y86" s="8">
        <f>X86-(8*W86)</f>
        <v>11.13914958038329</v>
      </c>
      <c r="Z86" s="6" t="s">
        <v>3330</v>
      </c>
    </row>
    <row r="87" spans="1:26" s="6" customFormat="1" x14ac:dyDescent="0.35">
      <c r="A87" s="6" t="s">
        <v>25</v>
      </c>
      <c r="B87" s="6" t="s">
        <v>2748</v>
      </c>
      <c r="D87" s="6" t="s">
        <v>3093</v>
      </c>
      <c r="E87" s="6">
        <v>1</v>
      </c>
      <c r="F87" s="6">
        <v>11</v>
      </c>
      <c r="G87" s="6" t="s">
        <v>3328</v>
      </c>
      <c r="I87" s="8">
        <v>86.574613194444396</v>
      </c>
      <c r="J87" s="8">
        <v>120.636066805556</v>
      </c>
      <c r="K87" s="6" t="s">
        <v>198</v>
      </c>
      <c r="L87" s="9">
        <v>43810</v>
      </c>
      <c r="M87" s="18">
        <v>0.44861111111111113</v>
      </c>
      <c r="N87" s="6">
        <v>11</v>
      </c>
      <c r="O87" s="6" t="s">
        <v>4285</v>
      </c>
      <c r="R87" s="6">
        <v>16</v>
      </c>
      <c r="S87" s="6">
        <v>13</v>
      </c>
      <c r="U87" s="32">
        <v>7.6</v>
      </c>
      <c r="V87" t="s">
        <v>4461</v>
      </c>
      <c r="W87" s="8">
        <v>-7.8102645584106449</v>
      </c>
      <c r="X87" s="8">
        <v>-59.802426704406734</v>
      </c>
      <c r="Y87" s="8">
        <f>X87-(8*W87)</f>
        <v>2.6796897628784251</v>
      </c>
      <c r="Z87" s="6" t="s">
        <v>3330</v>
      </c>
    </row>
    <row r="88" spans="1:26" s="6" customFormat="1" x14ac:dyDescent="0.35">
      <c r="A88" s="6" t="s">
        <v>25</v>
      </c>
      <c r="B88" s="6" t="s">
        <v>2749</v>
      </c>
      <c r="D88" s="6" t="s">
        <v>3093</v>
      </c>
      <c r="E88" s="6">
        <v>1</v>
      </c>
      <c r="F88" s="6">
        <v>11</v>
      </c>
      <c r="G88" s="6" t="s">
        <v>3328</v>
      </c>
      <c r="I88" s="8">
        <v>86.574613194444396</v>
      </c>
      <c r="J88" s="8">
        <v>120.636066805556</v>
      </c>
      <c r="K88" s="6" t="s">
        <v>198</v>
      </c>
      <c r="L88" s="9">
        <v>43810</v>
      </c>
      <c r="M88" s="18">
        <v>0.44861111111111113</v>
      </c>
      <c r="N88" s="6">
        <v>11</v>
      </c>
      <c r="O88" s="6" t="s">
        <v>4285</v>
      </c>
      <c r="R88" s="6">
        <v>3</v>
      </c>
      <c r="S88" s="6">
        <v>0</v>
      </c>
      <c r="U88" s="33">
        <v>1052</v>
      </c>
      <c r="V88" t="s">
        <v>4461</v>
      </c>
      <c r="W88" s="8">
        <v>-3.4496731658935551</v>
      </c>
      <c r="X88" s="8">
        <v>-27.973326980590819</v>
      </c>
      <c r="Y88" s="8">
        <f>X88-(8*W88)</f>
        <v>-0.37594165344237851</v>
      </c>
      <c r="Z88" s="6" t="s">
        <v>3330</v>
      </c>
    </row>
    <row r="89" spans="1:26" s="6" customFormat="1" x14ac:dyDescent="0.35">
      <c r="A89" s="6" t="s">
        <v>25</v>
      </c>
      <c r="B89" s="7"/>
      <c r="C89" s="6">
        <v>511081</v>
      </c>
      <c r="D89" s="13" t="s">
        <v>3328</v>
      </c>
      <c r="E89" s="6">
        <v>1</v>
      </c>
      <c r="F89" s="6">
        <v>11</v>
      </c>
      <c r="G89" s="6" t="s">
        <v>179</v>
      </c>
      <c r="I89" s="8">
        <v>86.574613194444396</v>
      </c>
      <c r="J89" s="8">
        <v>120.636066805556</v>
      </c>
      <c r="K89" s="6" t="s">
        <v>198</v>
      </c>
      <c r="L89" s="9">
        <v>43810</v>
      </c>
      <c r="N89" s="6">
        <v>11</v>
      </c>
      <c r="O89" s="6" t="s">
        <v>4285</v>
      </c>
      <c r="Q89" s="6" t="s">
        <v>253</v>
      </c>
      <c r="R89" s="6">
        <v>4.5</v>
      </c>
      <c r="S89" s="6">
        <v>9</v>
      </c>
      <c r="T89" s="10">
        <f>AVERAGE(R89:S89)</f>
        <v>6.75</v>
      </c>
      <c r="W89" s="8">
        <v>-2.1332723725318914</v>
      </c>
      <c r="X89" s="8">
        <v>-24.393108444213865</v>
      </c>
      <c r="Y89" s="8">
        <f>X89-(8*W89)</f>
        <v>-7.3269294639587343</v>
      </c>
      <c r="Z89" s="6" t="s">
        <v>3330</v>
      </c>
    </row>
    <row r="90" spans="1:26" s="6" customFormat="1" x14ac:dyDescent="0.35">
      <c r="A90" s="6" t="s">
        <v>25</v>
      </c>
      <c r="B90" s="6" t="s">
        <v>2750</v>
      </c>
      <c r="D90" s="6" t="s">
        <v>3094</v>
      </c>
      <c r="E90" s="6">
        <v>2</v>
      </c>
      <c r="F90" s="6">
        <v>16</v>
      </c>
      <c r="G90" s="6" t="s">
        <v>3331</v>
      </c>
      <c r="I90" s="8">
        <v>86.62236</v>
      </c>
      <c r="J90" s="8">
        <v>114.79727099999999</v>
      </c>
      <c r="K90" s="6" t="s">
        <v>198</v>
      </c>
      <c r="L90" s="9">
        <v>43816</v>
      </c>
      <c r="M90" s="18">
        <v>0.2986111111111111</v>
      </c>
      <c r="N90" s="6">
        <v>12</v>
      </c>
      <c r="O90" s="6" t="s">
        <v>4289</v>
      </c>
      <c r="R90" s="6" t="s">
        <v>3175</v>
      </c>
      <c r="U90" s="32">
        <v>98.8</v>
      </c>
      <c r="V90" t="s">
        <v>4461</v>
      </c>
      <c r="W90" s="8">
        <v>-19.068698419189452</v>
      </c>
      <c r="X90" s="8">
        <v>-132.7998265991211</v>
      </c>
      <c r="Y90" s="8">
        <f>X90-(8*W90)</f>
        <v>19.749760754394515</v>
      </c>
      <c r="Z90" s="6" t="s">
        <v>3332</v>
      </c>
    </row>
    <row r="91" spans="1:26" s="6" customFormat="1" x14ac:dyDescent="0.35">
      <c r="A91" s="6" t="s">
        <v>25</v>
      </c>
      <c r="B91" s="6" t="s">
        <v>2751</v>
      </c>
      <c r="D91" s="6" t="s">
        <v>3094</v>
      </c>
      <c r="E91" s="6">
        <v>2</v>
      </c>
      <c r="F91" s="6">
        <v>16</v>
      </c>
      <c r="G91" s="6" t="s">
        <v>3331</v>
      </c>
      <c r="I91" s="8">
        <v>86.62236</v>
      </c>
      <c r="J91" s="8">
        <v>114.79727099999999</v>
      </c>
      <c r="K91" s="6" t="s">
        <v>198</v>
      </c>
      <c r="L91" s="9">
        <v>43816</v>
      </c>
      <c r="M91" s="18">
        <v>0.2986111111111111</v>
      </c>
      <c r="N91" s="6">
        <v>12</v>
      </c>
      <c r="O91" s="6" t="s">
        <v>4289</v>
      </c>
      <c r="R91" s="6" t="s">
        <v>3176</v>
      </c>
      <c r="U91" s="32">
        <v>6.1</v>
      </c>
      <c r="V91" t="s">
        <v>4461</v>
      </c>
      <c r="W91" s="8">
        <v>-7.7988490768432621</v>
      </c>
      <c r="X91" s="8">
        <v>-64.972922073364259</v>
      </c>
      <c r="Y91" s="8">
        <f>X91-(8*W91)</f>
        <v>-2.5821294586181622</v>
      </c>
      <c r="Z91" s="6" t="s">
        <v>3332</v>
      </c>
    </row>
    <row r="92" spans="1:26" s="6" customFormat="1" x14ac:dyDescent="0.35">
      <c r="A92" s="6" t="s">
        <v>25</v>
      </c>
      <c r="B92" s="6" t="s">
        <v>2752</v>
      </c>
      <c r="D92" s="6" t="s">
        <v>3094</v>
      </c>
      <c r="E92" s="6">
        <v>2</v>
      </c>
      <c r="F92" s="6">
        <v>16</v>
      </c>
      <c r="G92" s="6" t="s">
        <v>3331</v>
      </c>
      <c r="I92" s="8">
        <v>86.62236</v>
      </c>
      <c r="J92" s="8">
        <v>114.79727099999999</v>
      </c>
      <c r="K92" s="6" t="s">
        <v>198</v>
      </c>
      <c r="L92" s="9">
        <v>43816</v>
      </c>
      <c r="M92" s="18">
        <v>0.2986111111111111</v>
      </c>
      <c r="N92" s="6">
        <v>12</v>
      </c>
      <c r="O92" s="6" t="s">
        <v>4289</v>
      </c>
      <c r="R92" s="6" t="s">
        <v>3177</v>
      </c>
      <c r="U92" s="33">
        <v>208</v>
      </c>
      <c r="V92" t="s">
        <v>4461</v>
      </c>
      <c r="W92" s="8">
        <v>-2.8635742240905766</v>
      </c>
      <c r="X92" s="8">
        <v>-24.076604480743409</v>
      </c>
      <c r="Y92" s="8">
        <f>X92-(8*W92)</f>
        <v>-1.1680106880187964</v>
      </c>
      <c r="Z92" s="6" t="s">
        <v>3332</v>
      </c>
    </row>
    <row r="93" spans="1:26" s="6" customFormat="1" x14ac:dyDescent="0.35">
      <c r="A93" s="6" t="s">
        <v>25</v>
      </c>
      <c r="B93" s="6" t="s">
        <v>2753</v>
      </c>
      <c r="D93" s="6" t="s">
        <v>3095</v>
      </c>
      <c r="E93" s="6">
        <v>2</v>
      </c>
      <c r="F93" s="6">
        <v>17</v>
      </c>
      <c r="G93" s="6" t="s">
        <v>3222</v>
      </c>
      <c r="I93" s="8">
        <v>86.641399000000007</v>
      </c>
      <c r="J93" s="8">
        <v>113.14702800000001</v>
      </c>
      <c r="K93" s="6" t="s">
        <v>198</v>
      </c>
      <c r="L93" s="9">
        <v>43822</v>
      </c>
      <c r="M93" s="18">
        <v>0.45694444444444443</v>
      </c>
      <c r="N93" s="6">
        <v>13</v>
      </c>
      <c r="O93" s="6" t="s">
        <v>4294</v>
      </c>
      <c r="R93" s="6">
        <v>8.5</v>
      </c>
      <c r="U93" s="32">
        <v>59.9</v>
      </c>
      <c r="V93" t="s">
        <v>4461</v>
      </c>
      <c r="W93" s="8">
        <v>-24.165646051025387</v>
      </c>
      <c r="X93" s="8">
        <v>-172.34044558715817</v>
      </c>
      <c r="Y93" s="8">
        <f>X93-(8*W93)</f>
        <v>20.984722821044926</v>
      </c>
    </row>
    <row r="94" spans="1:26" s="6" customFormat="1" x14ac:dyDescent="0.35">
      <c r="A94" s="6" t="s">
        <v>25</v>
      </c>
      <c r="B94" s="6" t="s">
        <v>2754</v>
      </c>
      <c r="D94" s="6" t="s">
        <v>3095</v>
      </c>
      <c r="E94" s="6">
        <v>2</v>
      </c>
      <c r="F94" s="6">
        <v>17</v>
      </c>
      <c r="G94" s="6" t="s">
        <v>3222</v>
      </c>
      <c r="I94" s="8">
        <v>86.641399000000007</v>
      </c>
      <c r="J94" s="8">
        <v>113.14702800000001</v>
      </c>
      <c r="K94" s="6" t="s">
        <v>198</v>
      </c>
      <c r="L94" s="9">
        <v>43822</v>
      </c>
      <c r="M94" s="18">
        <v>0.45694444444444443</v>
      </c>
      <c r="N94" s="6">
        <v>13</v>
      </c>
      <c r="O94" s="6" t="s">
        <v>4294</v>
      </c>
      <c r="U94" s="34">
        <v>5.27</v>
      </c>
      <c r="V94" t="s">
        <v>4462</v>
      </c>
      <c r="W94" s="8">
        <v>-10.932094995117186</v>
      </c>
      <c r="X94" s="8">
        <v>-79.470593124389652</v>
      </c>
      <c r="Y94" s="8">
        <f>X94-(8*W94)</f>
        <v>7.986166836547838</v>
      </c>
    </row>
    <row r="95" spans="1:26" s="6" customFormat="1" x14ac:dyDescent="0.35">
      <c r="A95" s="6" t="s">
        <v>25</v>
      </c>
      <c r="B95" s="6" t="s">
        <v>2755</v>
      </c>
      <c r="D95" s="6" t="s">
        <v>3095</v>
      </c>
      <c r="E95" s="6">
        <v>2</v>
      </c>
      <c r="F95" s="6">
        <v>17</v>
      </c>
      <c r="G95" s="6" t="s">
        <v>3222</v>
      </c>
      <c r="I95" s="8">
        <v>86.641399000000007</v>
      </c>
      <c r="J95" s="8">
        <v>113.14702800000001</v>
      </c>
      <c r="K95" s="6" t="s">
        <v>198</v>
      </c>
      <c r="L95" s="9">
        <v>43822</v>
      </c>
      <c r="M95" s="18">
        <v>0.45694444444444443</v>
      </c>
      <c r="N95" s="6">
        <v>13</v>
      </c>
      <c r="O95" s="6" t="s">
        <v>4294</v>
      </c>
      <c r="U95" s="32">
        <v>24.5</v>
      </c>
      <c r="V95" t="s">
        <v>4462</v>
      </c>
      <c r="W95" s="8">
        <v>-4.4664287200927735</v>
      </c>
      <c r="X95" s="8">
        <v>-45.856651161193852</v>
      </c>
      <c r="Y95" s="8">
        <f>X95-(8*W95)</f>
        <v>-10.125221400451665</v>
      </c>
    </row>
    <row r="96" spans="1:26" s="6" customFormat="1" x14ac:dyDescent="0.35">
      <c r="A96" s="6" t="s">
        <v>25</v>
      </c>
      <c r="B96" s="6" t="s">
        <v>2758</v>
      </c>
      <c r="D96" s="6" t="s">
        <v>3096</v>
      </c>
      <c r="E96" s="6">
        <v>2</v>
      </c>
      <c r="F96" s="6">
        <v>17</v>
      </c>
      <c r="G96" s="6" t="s">
        <v>3220</v>
      </c>
      <c r="I96" s="8">
        <v>86.678533000000002</v>
      </c>
      <c r="J96" s="8">
        <v>115.95761</v>
      </c>
      <c r="K96" s="6" t="s">
        <v>198</v>
      </c>
      <c r="L96" s="9">
        <v>43826</v>
      </c>
      <c r="M96" s="18">
        <v>0.45416666666666666</v>
      </c>
      <c r="N96" s="6">
        <v>13</v>
      </c>
      <c r="O96" s="6" t="s">
        <v>4296</v>
      </c>
      <c r="R96" s="6">
        <v>23</v>
      </c>
      <c r="S96" s="6">
        <v>20</v>
      </c>
      <c r="U96" s="32">
        <v>192.8</v>
      </c>
      <c r="V96" t="s">
        <v>4461</v>
      </c>
      <c r="W96" s="8">
        <v>-20.617810510253907</v>
      </c>
      <c r="X96" s="8">
        <v>-148.69095799255373</v>
      </c>
      <c r="Y96" s="8">
        <f>X96-(8*W96)</f>
        <v>16.251526089477522</v>
      </c>
      <c r="Z96" s="6" t="s">
        <v>3221</v>
      </c>
    </row>
    <row r="97" spans="1:26" s="6" customFormat="1" x14ac:dyDescent="0.35">
      <c r="A97" s="6" t="s">
        <v>25</v>
      </c>
      <c r="B97" s="6" t="s">
        <v>2756</v>
      </c>
      <c r="D97" s="6" t="s">
        <v>3096</v>
      </c>
      <c r="E97" s="6">
        <v>2</v>
      </c>
      <c r="F97" s="6">
        <v>17</v>
      </c>
      <c r="G97" s="6" t="s">
        <v>3220</v>
      </c>
      <c r="I97" s="8">
        <v>86.678533000000002</v>
      </c>
      <c r="J97" s="8">
        <v>115.95761</v>
      </c>
      <c r="K97" s="6" t="s">
        <v>198</v>
      </c>
      <c r="L97" s="9">
        <v>43826</v>
      </c>
      <c r="M97" s="18">
        <v>0.45416666666666666</v>
      </c>
      <c r="N97" s="6">
        <v>13</v>
      </c>
      <c r="O97" s="6" t="s">
        <v>4296</v>
      </c>
      <c r="R97" s="6">
        <v>12</v>
      </c>
      <c r="S97" s="6">
        <v>9</v>
      </c>
      <c r="U97" s="32">
        <v>27.7</v>
      </c>
      <c r="V97" t="s">
        <v>4461</v>
      </c>
      <c r="W97" s="8">
        <v>-12.616311593627929</v>
      </c>
      <c r="X97" s="8">
        <v>-95.751737648010248</v>
      </c>
      <c r="Y97" s="8">
        <f>X97-(8*W97)</f>
        <v>5.1787551010131807</v>
      </c>
      <c r="Z97" s="6" t="s">
        <v>3176</v>
      </c>
    </row>
    <row r="98" spans="1:26" s="6" customFormat="1" x14ac:dyDescent="0.35">
      <c r="A98" s="6" t="s">
        <v>25</v>
      </c>
      <c r="B98" s="6" t="s">
        <v>2757</v>
      </c>
      <c r="D98" s="6" t="s">
        <v>3096</v>
      </c>
      <c r="E98" s="6">
        <v>2</v>
      </c>
      <c r="F98" s="6">
        <v>17</v>
      </c>
      <c r="G98" s="6" t="s">
        <v>3220</v>
      </c>
      <c r="I98" s="8">
        <v>86.678533000000002</v>
      </c>
      <c r="J98" s="8">
        <v>115.95761</v>
      </c>
      <c r="K98" s="6" t="s">
        <v>198</v>
      </c>
      <c r="L98" s="9">
        <v>43826</v>
      </c>
      <c r="M98" s="18">
        <v>0.45416666666666666</v>
      </c>
      <c r="N98" s="6">
        <v>13</v>
      </c>
      <c r="O98" s="6" t="s">
        <v>4296</v>
      </c>
      <c r="R98" s="6">
        <v>3</v>
      </c>
      <c r="S98" s="6">
        <v>0</v>
      </c>
      <c r="U98" s="32">
        <v>7.9</v>
      </c>
      <c r="V98" t="s">
        <v>4461</v>
      </c>
      <c r="W98" s="8">
        <v>-5.8752957321166992</v>
      </c>
      <c r="X98" s="8">
        <v>-51.421177291870116</v>
      </c>
      <c r="Y98" s="8">
        <f>X98-(8*W98)</f>
        <v>-4.4188114349365222</v>
      </c>
      <c r="Z98" s="6" t="s">
        <v>3177</v>
      </c>
    </row>
    <row r="99" spans="1:26" s="6" customFormat="1" x14ac:dyDescent="0.35">
      <c r="A99" s="6" t="s">
        <v>25</v>
      </c>
      <c r="B99" s="6" t="s">
        <v>2759</v>
      </c>
      <c r="D99" s="6" t="s">
        <v>3097</v>
      </c>
      <c r="E99" s="6">
        <v>2</v>
      </c>
      <c r="F99" s="6">
        <v>18</v>
      </c>
      <c r="G99" s="6" t="s">
        <v>3223</v>
      </c>
      <c r="I99" s="8">
        <v>86.608525999999998</v>
      </c>
      <c r="J99" s="8">
        <v>116.557529</v>
      </c>
      <c r="K99" s="6" t="s">
        <v>198</v>
      </c>
      <c r="L99" s="9">
        <v>43829</v>
      </c>
      <c r="M99" s="18">
        <v>0.27777777777777779</v>
      </c>
      <c r="N99" s="6">
        <v>14</v>
      </c>
      <c r="O99" s="6" t="s">
        <v>4299</v>
      </c>
      <c r="R99" s="6">
        <v>9.5</v>
      </c>
      <c r="S99" s="6">
        <v>7</v>
      </c>
      <c r="U99" s="33">
        <v>532</v>
      </c>
      <c r="V99" t="s">
        <v>4461</v>
      </c>
      <c r="W99" s="8">
        <v>-21.154869744873046</v>
      </c>
      <c r="X99" s="8">
        <v>-155.46593496704102</v>
      </c>
      <c r="Y99" s="8">
        <f>X99-(8*W99)</f>
        <v>13.77302299194335</v>
      </c>
    </row>
    <row r="100" spans="1:26" s="6" customFormat="1" x14ac:dyDescent="0.35">
      <c r="A100" s="6" t="s">
        <v>25</v>
      </c>
      <c r="B100" s="6" t="s">
        <v>2762</v>
      </c>
      <c r="D100" s="6" t="s">
        <v>3098</v>
      </c>
      <c r="E100" s="6">
        <v>2</v>
      </c>
      <c r="F100" s="6">
        <v>18</v>
      </c>
      <c r="G100" s="6" t="s">
        <v>3225</v>
      </c>
      <c r="I100" s="8">
        <v>86.598496999999995</v>
      </c>
      <c r="J100" s="8">
        <v>116.802229</v>
      </c>
      <c r="K100" s="6" t="s">
        <v>198</v>
      </c>
      <c r="L100" s="9">
        <v>43829</v>
      </c>
      <c r="M100" s="18">
        <v>0.45833333333333331</v>
      </c>
      <c r="N100" s="6">
        <v>14</v>
      </c>
      <c r="O100" s="6" t="s">
        <v>4299</v>
      </c>
      <c r="R100" s="6">
        <v>7.5</v>
      </c>
      <c r="S100" s="6">
        <v>4</v>
      </c>
      <c r="U100" s="34">
        <v>8.15</v>
      </c>
      <c r="V100" t="s">
        <v>4462</v>
      </c>
      <c r="W100" s="8">
        <v>-18.299986138916015</v>
      </c>
      <c r="X100" s="8">
        <v>-135.13550672912598</v>
      </c>
      <c r="Y100" s="8">
        <f>X100-(8*W100)</f>
        <v>11.264382382202143</v>
      </c>
    </row>
    <row r="101" spans="1:26" s="6" customFormat="1" x14ac:dyDescent="0.35">
      <c r="A101" s="6" t="s">
        <v>25</v>
      </c>
      <c r="B101" s="6" t="s">
        <v>2760</v>
      </c>
      <c r="D101" s="6" t="s">
        <v>3097</v>
      </c>
      <c r="E101" s="6">
        <v>2</v>
      </c>
      <c r="F101" s="6">
        <v>18</v>
      </c>
      <c r="G101" s="6" t="s">
        <v>3223</v>
      </c>
      <c r="I101" s="8">
        <v>86.608525999999998</v>
      </c>
      <c r="J101" s="8">
        <v>116.557529</v>
      </c>
      <c r="K101" s="6" t="s">
        <v>198</v>
      </c>
      <c r="L101" s="9">
        <v>43829</v>
      </c>
      <c r="M101" s="18">
        <v>0.27777777777777779</v>
      </c>
      <c r="N101" s="6">
        <v>14</v>
      </c>
      <c r="O101" s="6" t="s">
        <v>4299</v>
      </c>
      <c r="R101" s="6">
        <v>7</v>
      </c>
      <c r="S101" s="6">
        <v>4</v>
      </c>
      <c r="U101" s="34">
        <v>2.34</v>
      </c>
      <c r="V101" t="s">
        <v>4462</v>
      </c>
      <c r="W101" s="8">
        <v>-15.429109323120116</v>
      </c>
      <c r="X101" s="8">
        <v>-105.74079122161865</v>
      </c>
      <c r="Y101" s="8">
        <f>X101-(8*W101)</f>
        <v>17.692083363342277</v>
      </c>
    </row>
    <row r="102" spans="1:26" s="6" customFormat="1" x14ac:dyDescent="0.35">
      <c r="A102" s="6" t="s">
        <v>25</v>
      </c>
      <c r="B102" s="6" t="s">
        <v>2763</v>
      </c>
      <c r="D102" s="6" t="s">
        <v>3098</v>
      </c>
      <c r="E102" s="6">
        <v>2</v>
      </c>
      <c r="F102" s="6">
        <v>18</v>
      </c>
      <c r="G102" s="6" t="s">
        <v>3225</v>
      </c>
      <c r="I102" s="8">
        <v>86.598496999999995</v>
      </c>
      <c r="J102" s="8">
        <v>116.802229</v>
      </c>
      <c r="K102" s="6" t="s">
        <v>198</v>
      </c>
      <c r="L102" s="9">
        <v>43829</v>
      </c>
      <c r="M102" s="18">
        <v>0.45833333333333331</v>
      </c>
      <c r="N102" s="6">
        <v>14</v>
      </c>
      <c r="O102" s="6" t="s">
        <v>4299</v>
      </c>
      <c r="R102" s="6">
        <v>4</v>
      </c>
      <c r="S102" s="6">
        <v>0</v>
      </c>
      <c r="U102" s="32">
        <v>30.2</v>
      </c>
      <c r="V102" t="s">
        <v>4462</v>
      </c>
      <c r="W102" s="8">
        <v>-7.8977902999877925</v>
      </c>
      <c r="X102" s="8">
        <v>-60.913037612915041</v>
      </c>
      <c r="Y102" s="8">
        <f>X102-(8*W102)</f>
        <v>2.2692847869872992</v>
      </c>
    </row>
    <row r="103" spans="1:26" s="6" customFormat="1" x14ac:dyDescent="0.35">
      <c r="A103" s="6" t="s">
        <v>25</v>
      </c>
      <c r="B103" s="6" t="s">
        <v>2761</v>
      </c>
      <c r="D103" s="6" t="s">
        <v>3097</v>
      </c>
      <c r="E103" s="6">
        <v>2</v>
      </c>
      <c r="F103" s="6">
        <v>18</v>
      </c>
      <c r="G103" s="6" t="s">
        <v>3223</v>
      </c>
      <c r="I103" s="8">
        <v>86.608525999999998</v>
      </c>
      <c r="J103" s="8">
        <v>116.557529</v>
      </c>
      <c r="K103" s="6" t="s">
        <v>198</v>
      </c>
      <c r="L103" s="9">
        <v>43829</v>
      </c>
      <c r="M103" s="18">
        <v>0.27777777777777779</v>
      </c>
      <c r="N103" s="6">
        <v>14</v>
      </c>
      <c r="O103" s="6" t="s">
        <v>4299</v>
      </c>
      <c r="R103" s="6">
        <v>3</v>
      </c>
      <c r="S103" s="6">
        <v>0</v>
      </c>
      <c r="U103" s="32">
        <v>23.9</v>
      </c>
      <c r="V103" t="s">
        <v>4462</v>
      </c>
      <c r="W103" s="8">
        <v>-4.0192316757202162</v>
      </c>
      <c r="X103" s="8">
        <v>-36.426986965179445</v>
      </c>
      <c r="Y103" s="8">
        <f>X103-(8*W103)</f>
        <v>-4.2731335594177153</v>
      </c>
    </row>
    <row r="104" spans="1:26" s="6" customFormat="1" x14ac:dyDescent="0.35">
      <c r="A104" s="6" t="s">
        <v>25</v>
      </c>
      <c r="B104" s="6" t="s">
        <v>2764</v>
      </c>
      <c r="D104" s="6" t="s">
        <v>3099</v>
      </c>
      <c r="E104" s="6">
        <v>2</v>
      </c>
      <c r="F104" s="6">
        <v>18</v>
      </c>
      <c r="G104" s="6" t="s">
        <v>3224</v>
      </c>
      <c r="I104" s="8">
        <v>86.89846</v>
      </c>
      <c r="J104" s="8">
        <v>115.74153699999999</v>
      </c>
      <c r="K104" s="6" t="s">
        <v>198</v>
      </c>
      <c r="L104" s="9">
        <v>43833</v>
      </c>
      <c r="M104" s="18">
        <v>0.27013888888888887</v>
      </c>
      <c r="N104" s="6">
        <v>14</v>
      </c>
      <c r="O104" s="6" t="s">
        <v>4271</v>
      </c>
      <c r="R104" s="6">
        <v>9</v>
      </c>
      <c r="S104" s="6">
        <v>6</v>
      </c>
      <c r="U104" s="33">
        <v>756</v>
      </c>
      <c r="V104" t="s">
        <v>4461</v>
      </c>
      <c r="W104" s="8">
        <v>-17.452235467529295</v>
      </c>
      <c r="X104" s="8">
        <v>-121.31286805725098</v>
      </c>
      <c r="Y104" s="8">
        <f>X104-(8*W104)</f>
        <v>18.305015682983381</v>
      </c>
      <c r="Z104" s="6" t="s">
        <v>3179</v>
      </c>
    </row>
    <row r="105" spans="1:26" s="6" customFormat="1" x14ac:dyDescent="0.35">
      <c r="A105" s="6" t="s">
        <v>25</v>
      </c>
      <c r="B105" s="6" t="s">
        <v>2765</v>
      </c>
      <c r="D105" s="6" t="s">
        <v>3099</v>
      </c>
      <c r="E105" s="6">
        <v>2</v>
      </c>
      <c r="F105" s="6">
        <v>18</v>
      </c>
      <c r="G105" s="6" t="s">
        <v>3224</v>
      </c>
      <c r="I105" s="8">
        <v>86.89846</v>
      </c>
      <c r="J105" s="8">
        <v>115.74153699999999</v>
      </c>
      <c r="K105" s="6" t="s">
        <v>198</v>
      </c>
      <c r="L105" s="9">
        <v>43833</v>
      </c>
      <c r="M105" s="18">
        <v>0.27013888888888887</v>
      </c>
      <c r="N105" s="6">
        <v>14</v>
      </c>
      <c r="O105" s="6" t="s">
        <v>4271</v>
      </c>
      <c r="R105" s="6">
        <v>6</v>
      </c>
      <c r="S105" s="6">
        <v>3</v>
      </c>
      <c r="U105" s="34">
        <v>5.23</v>
      </c>
      <c r="V105" t="s">
        <v>4462</v>
      </c>
      <c r="W105" s="8">
        <v>-11.829807504272461</v>
      </c>
      <c r="X105" s="8">
        <v>-76.93652164459229</v>
      </c>
      <c r="Y105" s="8">
        <f>X105-(8*W105)</f>
        <v>17.701938389587397</v>
      </c>
      <c r="Z105" s="6" t="s">
        <v>3179</v>
      </c>
    </row>
    <row r="106" spans="1:26" s="6" customFormat="1" x14ac:dyDescent="0.35">
      <c r="A106" s="6" t="s">
        <v>25</v>
      </c>
      <c r="B106" s="6" t="s">
        <v>2766</v>
      </c>
      <c r="D106" s="6" t="s">
        <v>3099</v>
      </c>
      <c r="E106" s="6">
        <v>2</v>
      </c>
      <c r="F106" s="6">
        <v>18</v>
      </c>
      <c r="G106" s="6" t="s">
        <v>3224</v>
      </c>
      <c r="I106" s="8">
        <v>86.89846</v>
      </c>
      <c r="J106" s="8">
        <v>115.74153699999999</v>
      </c>
      <c r="K106" s="6" t="s">
        <v>198</v>
      </c>
      <c r="L106" s="9">
        <v>43833</v>
      </c>
      <c r="M106" s="18">
        <v>0.27013888888888887</v>
      </c>
      <c r="N106" s="6">
        <v>14</v>
      </c>
      <c r="O106" s="6" t="s">
        <v>4271</v>
      </c>
      <c r="R106" s="6">
        <v>3</v>
      </c>
      <c r="S106" s="6">
        <v>0</v>
      </c>
      <c r="U106" s="32">
        <v>23.7</v>
      </c>
      <c r="V106" t="s">
        <v>4462</v>
      </c>
      <c r="W106" s="8">
        <v>-3.4212313133239753</v>
      </c>
      <c r="X106" s="8">
        <v>-31.819072261810302</v>
      </c>
      <c r="Y106" s="8">
        <f>X106-(8*W106)</f>
        <v>-4.4492217552184989</v>
      </c>
      <c r="Z106" s="6" t="s">
        <v>3179</v>
      </c>
    </row>
    <row r="107" spans="1:26" s="6" customFormat="1" x14ac:dyDescent="0.35">
      <c r="A107" s="6" t="s">
        <v>25</v>
      </c>
      <c r="B107" s="6" t="s">
        <v>2770</v>
      </c>
      <c r="D107" s="6" t="s">
        <v>3101</v>
      </c>
      <c r="E107" s="6">
        <v>2</v>
      </c>
      <c r="F107" s="6">
        <v>19</v>
      </c>
      <c r="G107" s="6" t="s">
        <v>3228</v>
      </c>
      <c r="I107" s="8">
        <v>87.102777000000003</v>
      </c>
      <c r="J107" s="8">
        <v>115.185585</v>
      </c>
      <c r="K107" s="6" t="s">
        <v>198</v>
      </c>
      <c r="L107" s="9">
        <v>43836</v>
      </c>
      <c r="M107" s="18">
        <v>0.46180555555555558</v>
      </c>
      <c r="N107" s="6">
        <v>15</v>
      </c>
      <c r="O107" s="6" t="s">
        <v>4271</v>
      </c>
      <c r="R107" s="6">
        <v>9</v>
      </c>
      <c r="S107" s="6">
        <v>6</v>
      </c>
      <c r="U107" s="33">
        <v>660</v>
      </c>
      <c r="V107" t="s">
        <v>4461</v>
      </c>
      <c r="W107" s="8">
        <v>-19.891275622558592</v>
      </c>
      <c r="X107" s="8">
        <v>-133.26890205383302</v>
      </c>
      <c r="Y107" s="8">
        <f>X107-(8*W107)</f>
        <v>25.861302926635716</v>
      </c>
    </row>
    <row r="108" spans="1:26" s="6" customFormat="1" x14ac:dyDescent="0.35">
      <c r="A108" s="6" t="s">
        <v>25</v>
      </c>
      <c r="B108" s="6" t="s">
        <v>2769</v>
      </c>
      <c r="D108" s="6" t="s">
        <v>3100</v>
      </c>
      <c r="E108" s="6">
        <v>2</v>
      </c>
      <c r="F108" s="6">
        <v>19</v>
      </c>
      <c r="G108" s="6" t="s">
        <v>3229</v>
      </c>
      <c r="I108" s="8">
        <v>87.098822999999996</v>
      </c>
      <c r="J108" s="8">
        <v>115.257965</v>
      </c>
      <c r="K108" s="6" t="s">
        <v>198</v>
      </c>
      <c r="L108" s="9">
        <v>43836</v>
      </c>
      <c r="M108" s="18">
        <v>0.2673611111111111</v>
      </c>
      <c r="N108" s="6">
        <v>15</v>
      </c>
      <c r="O108" s="6" t="s">
        <v>4271</v>
      </c>
      <c r="R108" s="6">
        <v>25</v>
      </c>
      <c r="S108" s="6">
        <v>19</v>
      </c>
      <c r="U108" s="32">
        <v>59.5</v>
      </c>
      <c r="V108" t="s">
        <v>4461</v>
      </c>
      <c r="W108" s="8">
        <v>-19.283493807601928</v>
      </c>
      <c r="X108" s="8">
        <v>-133.71567387390138</v>
      </c>
      <c r="Y108" s="8">
        <f>X108-(8*W108)</f>
        <v>20.552276586914047</v>
      </c>
      <c r="Z108" s="6" t="s">
        <v>3180</v>
      </c>
    </row>
    <row r="109" spans="1:26" s="6" customFormat="1" x14ac:dyDescent="0.35">
      <c r="A109" s="6" t="s">
        <v>25</v>
      </c>
      <c r="B109" s="6" t="s">
        <v>2771</v>
      </c>
      <c r="D109" s="6" t="s">
        <v>3101</v>
      </c>
      <c r="E109" s="6">
        <v>2</v>
      </c>
      <c r="F109" s="6">
        <v>19</v>
      </c>
      <c r="G109" s="6" t="s">
        <v>3228</v>
      </c>
      <c r="I109" s="8">
        <v>87.102777000000003</v>
      </c>
      <c r="J109" s="8">
        <v>115.185585</v>
      </c>
      <c r="K109" s="6" t="s">
        <v>198</v>
      </c>
      <c r="L109" s="9">
        <v>43836</v>
      </c>
      <c r="M109" s="18">
        <v>0.46180555555555558</v>
      </c>
      <c r="N109" s="6">
        <v>15</v>
      </c>
      <c r="O109" s="6" t="s">
        <v>4271</v>
      </c>
      <c r="R109" s="6">
        <v>6</v>
      </c>
      <c r="S109" s="6">
        <v>3</v>
      </c>
      <c r="U109" s="33">
        <v>711</v>
      </c>
      <c r="V109" t="s">
        <v>4461</v>
      </c>
      <c r="W109" s="8">
        <v>-12.251910388183594</v>
      </c>
      <c r="X109" s="8">
        <v>-91.653237968444827</v>
      </c>
      <c r="Y109" s="8">
        <f>X109-(8*W109)</f>
        <v>6.3620451370239266</v>
      </c>
    </row>
    <row r="110" spans="1:26" s="6" customFormat="1" x14ac:dyDescent="0.35">
      <c r="A110" s="6" t="s">
        <v>25</v>
      </c>
      <c r="B110" s="6" t="s">
        <v>2772</v>
      </c>
      <c r="D110" s="6" t="s">
        <v>3101</v>
      </c>
      <c r="E110" s="6">
        <v>2</v>
      </c>
      <c r="F110" s="6">
        <v>19</v>
      </c>
      <c r="G110" s="6" t="s">
        <v>3228</v>
      </c>
      <c r="I110" s="8">
        <v>87.102777000000003</v>
      </c>
      <c r="J110" s="8">
        <v>115.185585</v>
      </c>
      <c r="K110" s="6" t="s">
        <v>198</v>
      </c>
      <c r="L110" s="9">
        <v>43836</v>
      </c>
      <c r="M110" s="18">
        <v>0.46180555555555558</v>
      </c>
      <c r="N110" s="6">
        <v>15</v>
      </c>
      <c r="O110" s="6" t="s">
        <v>4271</v>
      </c>
      <c r="R110" s="6">
        <v>3</v>
      </c>
      <c r="S110" s="6">
        <v>0</v>
      </c>
      <c r="U110" s="34">
        <v>13.46</v>
      </c>
      <c r="V110" t="s">
        <v>4462</v>
      </c>
      <c r="W110" s="8">
        <v>-8.6393839141845703</v>
      </c>
      <c r="X110" s="8">
        <v>-77.953200447082523</v>
      </c>
      <c r="Y110" s="8">
        <f>X110-(8*W110)</f>
        <v>-8.8381291336059604</v>
      </c>
    </row>
    <row r="111" spans="1:26" s="6" customFormat="1" x14ac:dyDescent="0.35">
      <c r="A111" s="6" t="s">
        <v>25</v>
      </c>
      <c r="B111" s="6" t="s">
        <v>2767</v>
      </c>
      <c r="D111" s="6" t="s">
        <v>3100</v>
      </c>
      <c r="E111" s="6">
        <v>2</v>
      </c>
      <c r="F111" s="6">
        <v>19</v>
      </c>
      <c r="G111" s="6" t="s">
        <v>3229</v>
      </c>
      <c r="I111" s="8">
        <v>87.098822999999996</v>
      </c>
      <c r="J111" s="8">
        <v>115.257965</v>
      </c>
      <c r="K111" s="6" t="s">
        <v>198</v>
      </c>
      <c r="L111" s="9">
        <v>43836</v>
      </c>
      <c r="M111" s="18">
        <v>0.2673611111111111</v>
      </c>
      <c r="N111" s="6">
        <v>15</v>
      </c>
      <c r="O111" s="6" t="s">
        <v>4271</v>
      </c>
      <c r="R111" s="6">
        <v>18</v>
      </c>
      <c r="S111" s="6">
        <v>10</v>
      </c>
      <c r="U111" s="32">
        <v>10.4</v>
      </c>
      <c r="V111" t="s">
        <v>4461</v>
      </c>
      <c r="W111" s="8">
        <v>-3.8765785308837897</v>
      </c>
      <c r="X111" s="8">
        <v>-37.088483444213864</v>
      </c>
      <c r="Y111" s="8">
        <f>X111-(8*W111)</f>
        <v>-6.0758551971435466</v>
      </c>
      <c r="Z111" s="6" t="s">
        <v>3180</v>
      </c>
    </row>
    <row r="112" spans="1:26" s="6" customFormat="1" x14ac:dyDescent="0.35">
      <c r="A112" s="6" t="s">
        <v>25</v>
      </c>
      <c r="B112" s="6" t="s">
        <v>2768</v>
      </c>
      <c r="D112" s="6" t="s">
        <v>3100</v>
      </c>
      <c r="E112" s="6">
        <v>2</v>
      </c>
      <c r="F112" s="6">
        <v>19</v>
      </c>
      <c r="G112" s="6" t="s">
        <v>3229</v>
      </c>
      <c r="I112" s="8">
        <v>87.098822999999996</v>
      </c>
      <c r="J112" s="8">
        <v>115.257965</v>
      </c>
      <c r="K112" s="6" t="s">
        <v>198</v>
      </c>
      <c r="L112" s="9">
        <v>43836</v>
      </c>
      <c r="M112" s="18">
        <v>0.2673611111111111</v>
      </c>
      <c r="N112" s="6">
        <v>15</v>
      </c>
      <c r="O112" s="6" t="s">
        <v>4271</v>
      </c>
      <c r="R112" s="6">
        <v>3</v>
      </c>
      <c r="S112" s="6">
        <v>0</v>
      </c>
      <c r="U112" s="32">
        <v>138.4</v>
      </c>
      <c r="V112" t="s">
        <v>4461</v>
      </c>
      <c r="W112" s="8">
        <v>-1.9684969978809357</v>
      </c>
      <c r="X112" s="8">
        <v>-16.14422368812561</v>
      </c>
      <c r="Y112" s="8">
        <f>X112-(8*W112)</f>
        <v>-0.39624770507812457</v>
      </c>
      <c r="Z112" s="6" t="s">
        <v>3180</v>
      </c>
    </row>
    <row r="113" spans="1:26" s="6" customFormat="1" x14ac:dyDescent="0.35">
      <c r="A113" s="6" t="s">
        <v>25</v>
      </c>
      <c r="B113" s="6" t="s">
        <v>2778</v>
      </c>
      <c r="D113" s="6" t="s">
        <v>3104</v>
      </c>
      <c r="E113" s="6">
        <v>2</v>
      </c>
      <c r="F113" s="6">
        <v>19</v>
      </c>
      <c r="G113" s="6" t="s">
        <v>3226</v>
      </c>
      <c r="I113" s="8">
        <v>87.175693999999993</v>
      </c>
      <c r="J113" s="8">
        <v>112.794265</v>
      </c>
      <c r="K113" s="6" t="s">
        <v>198</v>
      </c>
      <c r="L113" s="9">
        <v>43840</v>
      </c>
      <c r="M113" s="18">
        <v>0.45833333333333331</v>
      </c>
      <c r="N113" s="6">
        <v>15</v>
      </c>
      <c r="O113" s="6" t="s">
        <v>4306</v>
      </c>
      <c r="R113" s="6">
        <v>25</v>
      </c>
      <c r="S113" s="6">
        <v>19</v>
      </c>
      <c r="U113" s="32">
        <v>8.1999999999999993</v>
      </c>
      <c r="V113" t="s">
        <v>4461</v>
      </c>
      <c r="W113" s="8">
        <v>-37.142407866210931</v>
      </c>
      <c r="X113" s="8">
        <v>-273.71306808166503</v>
      </c>
      <c r="Y113" s="8">
        <f>X113-(8*W113)</f>
        <v>23.426194848022419</v>
      </c>
    </row>
    <row r="114" spans="1:26" s="6" customFormat="1" x14ac:dyDescent="0.35">
      <c r="A114" s="6" t="s">
        <v>25</v>
      </c>
      <c r="B114" s="6" t="s">
        <v>2777</v>
      </c>
      <c r="D114" s="6" t="s">
        <v>3104</v>
      </c>
      <c r="E114" s="6">
        <v>2</v>
      </c>
      <c r="F114" s="6">
        <v>19</v>
      </c>
      <c r="G114" s="6" t="s">
        <v>3226</v>
      </c>
      <c r="I114" s="8">
        <v>87.175693999999993</v>
      </c>
      <c r="J114" s="8">
        <v>112.794265</v>
      </c>
      <c r="K114" s="6" t="s">
        <v>198</v>
      </c>
      <c r="L114" s="9">
        <v>43840</v>
      </c>
      <c r="M114" s="18">
        <v>0.45833333333333331</v>
      </c>
      <c r="N114" s="6">
        <v>15</v>
      </c>
      <c r="O114" s="6" t="s">
        <v>4306</v>
      </c>
      <c r="R114" s="6">
        <v>37</v>
      </c>
      <c r="S114" s="6">
        <v>24</v>
      </c>
      <c r="U114" s="32">
        <v>59.2</v>
      </c>
      <c r="V114" t="s">
        <v>4461</v>
      </c>
      <c r="W114" s="8">
        <v>-32.153814650268551</v>
      </c>
      <c r="X114" s="8">
        <v>-237.50663468627931</v>
      </c>
      <c r="Y114" s="8">
        <f>X114-(8*W114)</f>
        <v>19.723882515869093</v>
      </c>
    </row>
    <row r="115" spans="1:26" s="6" customFormat="1" x14ac:dyDescent="0.35">
      <c r="A115" s="6" t="s">
        <v>25</v>
      </c>
      <c r="B115" s="6" t="s">
        <v>2773</v>
      </c>
      <c r="D115" s="6" t="s">
        <v>3102</v>
      </c>
      <c r="E115" s="6">
        <v>2</v>
      </c>
      <c r="F115" s="6">
        <v>19</v>
      </c>
      <c r="G115" s="6" t="s">
        <v>3230</v>
      </c>
      <c r="I115" s="8">
        <v>87.168233999999998</v>
      </c>
      <c r="J115" s="8">
        <v>113.08940699999999</v>
      </c>
      <c r="K115" s="6" t="s">
        <v>198</v>
      </c>
      <c r="L115" s="9">
        <v>43840</v>
      </c>
      <c r="M115" s="18">
        <v>0.27777777777777779</v>
      </c>
      <c r="N115" s="6">
        <v>15</v>
      </c>
      <c r="O115" s="6" t="s">
        <v>4306</v>
      </c>
      <c r="R115" s="6">
        <v>14</v>
      </c>
      <c r="S115" s="6">
        <v>10</v>
      </c>
      <c r="U115" s="32">
        <v>80</v>
      </c>
      <c r="V115" t="s">
        <v>4461</v>
      </c>
      <c r="W115" s="8">
        <v>-21.152333056640625</v>
      </c>
      <c r="X115" s="8">
        <v>-148.71207864379883</v>
      </c>
      <c r="Y115" s="8">
        <f>X115-(8*W115)</f>
        <v>20.506585809326168</v>
      </c>
    </row>
    <row r="116" spans="1:26" s="6" customFormat="1" x14ac:dyDescent="0.35">
      <c r="A116" s="6" t="s">
        <v>25</v>
      </c>
      <c r="B116" s="6" t="s">
        <v>2774</v>
      </c>
      <c r="D116" s="6" t="s">
        <v>3102</v>
      </c>
      <c r="E116" s="6">
        <v>2</v>
      </c>
      <c r="F116" s="6">
        <v>19</v>
      </c>
      <c r="G116" s="6" t="s">
        <v>3230</v>
      </c>
      <c r="I116" s="8">
        <v>87.168233999999998</v>
      </c>
      <c r="J116" s="8">
        <v>113.08940699999999</v>
      </c>
      <c r="K116" s="6" t="s">
        <v>198</v>
      </c>
      <c r="L116" s="9">
        <v>43840</v>
      </c>
      <c r="M116" s="18">
        <v>0.27777777777777779</v>
      </c>
      <c r="N116" s="6">
        <v>15</v>
      </c>
      <c r="O116" s="6" t="s">
        <v>4306</v>
      </c>
      <c r="R116" s="6">
        <v>8</v>
      </c>
      <c r="S116" s="6">
        <v>4</v>
      </c>
      <c r="U116" s="32">
        <v>9.8000000000000007</v>
      </c>
      <c r="V116" t="s">
        <v>4461</v>
      </c>
      <c r="W116" s="8">
        <v>-14.297456057739259</v>
      </c>
      <c r="X116" s="8">
        <v>-107.91442877197265</v>
      </c>
      <c r="Y116" s="8">
        <f>X116-(8*W116)</f>
        <v>6.4652196899414207</v>
      </c>
    </row>
    <row r="117" spans="1:26" s="6" customFormat="1" x14ac:dyDescent="0.35">
      <c r="A117" s="6" t="s">
        <v>25</v>
      </c>
      <c r="B117" s="6" t="s">
        <v>2779</v>
      </c>
      <c r="D117" s="6" t="s">
        <v>3104</v>
      </c>
      <c r="E117" s="6">
        <v>2</v>
      </c>
      <c r="F117" s="6">
        <v>19</v>
      </c>
      <c r="G117" s="6" t="s">
        <v>3226</v>
      </c>
      <c r="I117" s="8">
        <v>87.175693999999993</v>
      </c>
      <c r="J117" s="8">
        <v>112.794265</v>
      </c>
      <c r="K117" s="6" t="s">
        <v>198</v>
      </c>
      <c r="L117" s="9">
        <v>43840</v>
      </c>
      <c r="M117" s="18">
        <v>0.45833333333333331</v>
      </c>
      <c r="N117" s="6">
        <v>15</v>
      </c>
      <c r="O117" s="6" t="s">
        <v>4306</v>
      </c>
      <c r="R117" s="6">
        <v>10</v>
      </c>
      <c r="S117" s="6">
        <v>5</v>
      </c>
      <c r="U117" s="32">
        <v>3.7</v>
      </c>
      <c r="V117" t="s">
        <v>4461</v>
      </c>
      <c r="W117" s="8">
        <v>-12.542907595825193</v>
      </c>
      <c r="X117" s="8">
        <v>-102.06456931304932</v>
      </c>
      <c r="Y117" s="8">
        <f>X117-(8*W117)</f>
        <v>-1.7213085464477729</v>
      </c>
    </row>
    <row r="118" spans="1:26" s="6" customFormat="1" x14ac:dyDescent="0.35">
      <c r="A118" s="6" t="s">
        <v>25</v>
      </c>
      <c r="B118" s="6" t="s">
        <v>2775</v>
      </c>
      <c r="D118" s="6" t="s">
        <v>3102</v>
      </c>
      <c r="E118" s="6">
        <v>2</v>
      </c>
      <c r="F118" s="6">
        <v>19</v>
      </c>
      <c r="G118" s="6" t="s">
        <v>3230</v>
      </c>
      <c r="I118" s="8">
        <v>87.168233999999998</v>
      </c>
      <c r="J118" s="8">
        <v>113.08940699999999</v>
      </c>
      <c r="K118" s="6" t="s">
        <v>198</v>
      </c>
      <c r="L118" s="9">
        <v>43840</v>
      </c>
      <c r="M118" s="18">
        <v>0.27777777777777779</v>
      </c>
      <c r="N118" s="6">
        <v>15</v>
      </c>
      <c r="O118" s="6" t="s">
        <v>4306</v>
      </c>
      <c r="R118" s="6">
        <v>4</v>
      </c>
      <c r="S118" s="6">
        <v>0</v>
      </c>
      <c r="U118" s="32">
        <v>33.200000000000003</v>
      </c>
      <c r="V118" t="s">
        <v>4461</v>
      </c>
      <c r="W118" s="8">
        <v>-10.005543566894533</v>
      </c>
      <c r="X118" s="8">
        <v>-89.333492362976074</v>
      </c>
      <c r="Y118" s="8">
        <f>X118-(8*W118)</f>
        <v>-9.2891438278198137</v>
      </c>
    </row>
    <row r="119" spans="1:26" s="6" customFormat="1" x14ac:dyDescent="0.35">
      <c r="A119" s="6" t="s">
        <v>25</v>
      </c>
      <c r="B119" s="6" t="s">
        <v>2776</v>
      </c>
      <c r="D119" s="6" t="s">
        <v>3103</v>
      </c>
      <c r="E119" s="6">
        <v>2</v>
      </c>
      <c r="F119" s="6">
        <v>20</v>
      </c>
      <c r="G119" s="6" t="s">
        <v>3232</v>
      </c>
      <c r="I119" s="8">
        <v>87.333578000000003</v>
      </c>
      <c r="J119" s="8">
        <v>107.158962</v>
      </c>
      <c r="K119" s="6" t="s">
        <v>198</v>
      </c>
      <c r="L119" s="9">
        <v>43843</v>
      </c>
      <c r="M119" s="18">
        <v>0.45</v>
      </c>
      <c r="N119" s="6">
        <v>16</v>
      </c>
      <c r="O119" s="6" t="s">
        <v>4308</v>
      </c>
      <c r="R119" s="6">
        <v>10</v>
      </c>
      <c r="S119" s="6">
        <v>5</v>
      </c>
      <c r="U119" s="34">
        <v>3.52</v>
      </c>
      <c r="V119" t="s">
        <v>4462</v>
      </c>
      <c r="W119" s="8">
        <v>-26.669476153564453</v>
      </c>
      <c r="X119" s="8">
        <v>-200.10273246765135</v>
      </c>
      <c r="Y119" s="8">
        <f>X119-(8*W119)</f>
        <v>13.253076760864275</v>
      </c>
    </row>
    <row r="120" spans="1:26" s="6" customFormat="1" x14ac:dyDescent="0.35">
      <c r="A120" s="6" t="s">
        <v>25</v>
      </c>
      <c r="B120" s="6" t="s">
        <v>2780</v>
      </c>
      <c r="D120" s="6" t="s">
        <v>3103</v>
      </c>
      <c r="E120" s="6">
        <v>2</v>
      </c>
      <c r="F120" s="6">
        <v>20</v>
      </c>
      <c r="G120" s="6" t="s">
        <v>3232</v>
      </c>
      <c r="I120" s="8">
        <v>87.333578000000003</v>
      </c>
      <c r="J120" s="8">
        <v>107.158962</v>
      </c>
      <c r="K120" s="6" t="s">
        <v>198</v>
      </c>
      <c r="L120" s="9">
        <v>43843</v>
      </c>
      <c r="M120" s="18">
        <v>0.45</v>
      </c>
      <c r="N120" s="6">
        <v>16</v>
      </c>
      <c r="O120" s="6" t="s">
        <v>4308</v>
      </c>
      <c r="R120" s="6">
        <v>5</v>
      </c>
      <c r="S120" s="6">
        <v>0</v>
      </c>
      <c r="U120" s="32">
        <v>35.6</v>
      </c>
      <c r="V120" t="s">
        <v>4462</v>
      </c>
      <c r="W120" s="8">
        <v>-10.637126834106446</v>
      </c>
      <c r="X120" s="8">
        <v>-80.236182548522947</v>
      </c>
      <c r="Y120" s="8">
        <f>X120-(8*W120)</f>
        <v>4.8608321243286241</v>
      </c>
    </row>
    <row r="121" spans="1:26" s="6" customFormat="1" x14ac:dyDescent="0.35">
      <c r="A121" s="6" t="s">
        <v>25</v>
      </c>
      <c r="B121" s="6" t="s">
        <v>2781</v>
      </c>
      <c r="D121" s="6" t="s">
        <v>3105</v>
      </c>
      <c r="E121" s="6">
        <v>2</v>
      </c>
      <c r="F121" s="6">
        <v>20</v>
      </c>
      <c r="G121" s="6" t="s">
        <v>3227</v>
      </c>
      <c r="I121" s="8">
        <v>87.456339999999997</v>
      </c>
      <c r="J121" s="8">
        <v>103.72371800000001</v>
      </c>
      <c r="K121" s="6" t="s">
        <v>198</v>
      </c>
      <c r="L121" s="9">
        <v>43845</v>
      </c>
      <c r="M121" s="18">
        <v>0.27083333333333331</v>
      </c>
      <c r="N121" s="6">
        <v>16</v>
      </c>
      <c r="O121" s="6" t="s">
        <v>4310</v>
      </c>
      <c r="R121" s="6">
        <v>54</v>
      </c>
      <c r="S121" s="6">
        <v>50</v>
      </c>
      <c r="U121" s="32">
        <v>10.6</v>
      </c>
      <c r="V121" t="s">
        <v>4461</v>
      </c>
      <c r="W121" s="8">
        <v>-35.928860117645257</v>
      </c>
      <c r="X121" s="8">
        <v>-281.49240862731938</v>
      </c>
      <c r="Y121" s="8">
        <f>X121-(8*W121)</f>
        <v>5.9384723138426807</v>
      </c>
    </row>
    <row r="122" spans="1:26" s="6" customFormat="1" x14ac:dyDescent="0.35">
      <c r="A122" s="6" t="s">
        <v>25</v>
      </c>
      <c r="B122" s="6" t="s">
        <v>2782</v>
      </c>
      <c r="D122" s="6" t="s">
        <v>3105</v>
      </c>
      <c r="E122" s="6">
        <v>2</v>
      </c>
      <c r="F122" s="6">
        <v>20</v>
      </c>
      <c r="G122" s="6" t="s">
        <v>3227</v>
      </c>
      <c r="I122" s="8">
        <v>87.456339999999997</v>
      </c>
      <c r="J122" s="8">
        <v>103.72371800000001</v>
      </c>
      <c r="K122" s="6" t="s">
        <v>198</v>
      </c>
      <c r="L122" s="9">
        <v>43845</v>
      </c>
      <c r="M122" s="18">
        <v>0.27083333333333331</v>
      </c>
      <c r="N122" s="6">
        <v>16</v>
      </c>
      <c r="O122" s="6" t="s">
        <v>4310</v>
      </c>
      <c r="R122" s="6">
        <v>36</v>
      </c>
      <c r="S122" s="6">
        <v>28</v>
      </c>
      <c r="U122" s="32">
        <v>27.1</v>
      </c>
      <c r="V122" t="s">
        <v>4461</v>
      </c>
      <c r="W122" s="8">
        <v>-35.549403711624144</v>
      </c>
      <c r="X122" s="8">
        <v>-262.1880989959717</v>
      </c>
      <c r="Y122" s="8">
        <f>X122-(8*W122)</f>
        <v>22.207130697021455</v>
      </c>
    </row>
    <row r="123" spans="1:26" s="6" customFormat="1" x14ac:dyDescent="0.35">
      <c r="A123" s="6" t="s">
        <v>25</v>
      </c>
      <c r="B123" s="6" t="s">
        <v>2783</v>
      </c>
      <c r="D123" s="6" t="s">
        <v>3105</v>
      </c>
      <c r="E123" s="6">
        <v>2</v>
      </c>
      <c r="F123" s="6">
        <v>20</v>
      </c>
      <c r="G123" s="6" t="s">
        <v>3227</v>
      </c>
      <c r="I123" s="8">
        <v>87.456339999999997</v>
      </c>
      <c r="J123" s="8">
        <v>103.72371800000001</v>
      </c>
      <c r="K123" s="6" t="s">
        <v>198</v>
      </c>
      <c r="L123" s="9">
        <v>43845</v>
      </c>
      <c r="M123" s="18">
        <v>0.27083333333333331</v>
      </c>
      <c r="N123" s="6">
        <v>16</v>
      </c>
      <c r="O123" s="6" t="s">
        <v>4310</v>
      </c>
      <c r="R123" s="6">
        <v>9</v>
      </c>
      <c r="S123" s="6">
        <v>0</v>
      </c>
      <c r="U123" s="32">
        <v>584</v>
      </c>
      <c r="V123" t="s">
        <v>4461</v>
      </c>
      <c r="W123" s="8">
        <v>-10.417681576156617</v>
      </c>
      <c r="X123" s="8">
        <v>-85.312965965271005</v>
      </c>
      <c r="Y123" s="8">
        <f>X123-(8*W123)</f>
        <v>-1.9715133560180647</v>
      </c>
    </row>
    <row r="124" spans="1:26" s="6" customFormat="1" x14ac:dyDescent="0.35">
      <c r="A124" s="6" t="s">
        <v>25</v>
      </c>
      <c r="B124" s="6" t="s">
        <v>2786</v>
      </c>
      <c r="D124" s="6" t="s">
        <v>3107</v>
      </c>
      <c r="E124" s="6">
        <v>2</v>
      </c>
      <c r="F124" s="6">
        <v>20</v>
      </c>
      <c r="G124" s="6" t="s">
        <v>3233</v>
      </c>
      <c r="I124" s="8">
        <v>87.506501999999998</v>
      </c>
      <c r="J124" s="8">
        <v>99.307937999999993</v>
      </c>
      <c r="K124" s="6" t="s">
        <v>198</v>
      </c>
      <c r="L124" s="9">
        <v>43847</v>
      </c>
      <c r="M124" s="18">
        <v>0.44444444444444442</v>
      </c>
      <c r="N124" s="6">
        <v>16</v>
      </c>
      <c r="O124" s="6" t="s">
        <v>4309</v>
      </c>
      <c r="R124" s="6">
        <v>11</v>
      </c>
      <c r="S124" s="6">
        <v>6</v>
      </c>
      <c r="U124" s="32">
        <v>57.5</v>
      </c>
      <c r="V124" t="s">
        <v>4461</v>
      </c>
      <c r="W124" s="8">
        <v>-23.827873526000975</v>
      </c>
      <c r="X124" s="8">
        <v>-169.93519503784179</v>
      </c>
      <c r="Y124" s="8">
        <f>X124-(8*W124)</f>
        <v>20.687793170166003</v>
      </c>
    </row>
    <row r="125" spans="1:26" s="6" customFormat="1" x14ac:dyDescent="0.35">
      <c r="A125" s="6" t="s">
        <v>25</v>
      </c>
      <c r="B125" s="6" t="s">
        <v>2784</v>
      </c>
      <c r="D125" s="6" t="s">
        <v>3106</v>
      </c>
      <c r="E125" s="6">
        <v>2</v>
      </c>
      <c r="F125" s="6">
        <v>20</v>
      </c>
      <c r="G125" s="6" t="s">
        <v>3234</v>
      </c>
      <c r="I125" s="8">
        <v>87.514280999999997</v>
      </c>
      <c r="J125" s="8">
        <v>99.409628999999995</v>
      </c>
      <c r="K125" s="6" t="s">
        <v>198</v>
      </c>
      <c r="L125" s="9">
        <v>43847</v>
      </c>
      <c r="M125" s="18">
        <v>0.3888888888888889</v>
      </c>
      <c r="N125" s="6">
        <v>16</v>
      </c>
      <c r="O125" s="6" t="s">
        <v>4309</v>
      </c>
      <c r="R125" s="6">
        <v>16</v>
      </c>
      <c r="S125" s="6">
        <v>13</v>
      </c>
      <c r="U125" s="32">
        <v>10.3</v>
      </c>
      <c r="V125" t="s">
        <v>4461</v>
      </c>
      <c r="W125" s="8">
        <v>-13.222620750808717</v>
      </c>
      <c r="X125" s="8">
        <v>-94.888861305236816</v>
      </c>
      <c r="Y125" s="8">
        <f>X125-(8*W125)</f>
        <v>10.892104701232924</v>
      </c>
      <c r="Z125" s="6" t="s">
        <v>3181</v>
      </c>
    </row>
    <row r="126" spans="1:26" s="6" customFormat="1" x14ac:dyDescent="0.35">
      <c r="A126" s="6" t="s">
        <v>25</v>
      </c>
      <c r="B126" s="6" t="s">
        <v>2787</v>
      </c>
      <c r="D126" s="6" t="s">
        <v>3107</v>
      </c>
      <c r="E126" s="6">
        <v>2</v>
      </c>
      <c r="F126" s="6">
        <v>20</v>
      </c>
      <c r="G126" s="6" t="s">
        <v>3233</v>
      </c>
      <c r="I126" s="8">
        <v>87.506501999999998</v>
      </c>
      <c r="J126" s="8">
        <v>99.307937999999993</v>
      </c>
      <c r="K126" s="6" t="s">
        <v>198</v>
      </c>
      <c r="L126" s="9">
        <v>43847</v>
      </c>
      <c r="M126" s="18">
        <v>0.44444444444444442</v>
      </c>
      <c r="N126" s="6">
        <v>16</v>
      </c>
      <c r="O126" s="6" t="s">
        <v>4309</v>
      </c>
      <c r="R126" s="6">
        <v>6</v>
      </c>
      <c r="S126" s="6">
        <v>4</v>
      </c>
      <c r="U126" s="32">
        <v>2.09</v>
      </c>
      <c r="V126" t="s">
        <v>4462</v>
      </c>
      <c r="W126" s="8">
        <v>-12.106583744430543</v>
      </c>
      <c r="X126" s="8">
        <v>-81.985621360778808</v>
      </c>
      <c r="Y126" s="8">
        <f>X126-(8*W126)</f>
        <v>14.867048594665533</v>
      </c>
    </row>
    <row r="127" spans="1:26" s="6" customFormat="1" x14ac:dyDescent="0.35">
      <c r="A127" s="6" t="s">
        <v>25</v>
      </c>
      <c r="B127" s="6" t="s">
        <v>2785</v>
      </c>
      <c r="D127" s="6" t="s">
        <v>3106</v>
      </c>
      <c r="E127" s="6">
        <v>2</v>
      </c>
      <c r="F127" s="6">
        <v>20</v>
      </c>
      <c r="G127" s="6" t="s">
        <v>3234</v>
      </c>
      <c r="I127" s="8">
        <v>87.514280999999997</v>
      </c>
      <c r="J127" s="8">
        <v>99.409628999999995</v>
      </c>
      <c r="K127" s="6" t="s">
        <v>198</v>
      </c>
      <c r="L127" s="9">
        <v>43847</v>
      </c>
      <c r="M127" s="18">
        <v>0.3888888888888889</v>
      </c>
      <c r="N127" s="6">
        <v>16</v>
      </c>
      <c r="O127" s="6" t="s">
        <v>4309</v>
      </c>
      <c r="R127" s="6">
        <v>10</v>
      </c>
      <c r="S127" s="6">
        <v>6</v>
      </c>
      <c r="U127" s="32">
        <v>8.6</v>
      </c>
      <c r="V127" t="s">
        <v>4461</v>
      </c>
      <c r="W127" s="8">
        <v>-5.8593289827346808</v>
      </c>
      <c r="X127" s="8">
        <v>-53.683471775054933</v>
      </c>
      <c r="Y127" s="8">
        <f>X127-(8*W127)</f>
        <v>-6.8088399131774864</v>
      </c>
      <c r="Z127" s="6" t="s">
        <v>3182</v>
      </c>
    </row>
    <row r="128" spans="1:26" s="6" customFormat="1" x14ac:dyDescent="0.35">
      <c r="A128" s="6" t="s">
        <v>25</v>
      </c>
      <c r="B128" s="6" t="s">
        <v>2788</v>
      </c>
      <c r="D128" s="6" t="s">
        <v>3107</v>
      </c>
      <c r="E128" s="6">
        <v>2</v>
      </c>
      <c r="F128" s="6">
        <v>20</v>
      </c>
      <c r="G128" s="6" t="s">
        <v>3233</v>
      </c>
      <c r="I128" s="8">
        <v>87.506501999999998</v>
      </c>
      <c r="J128" s="8">
        <v>99.307937999999993</v>
      </c>
      <c r="K128" s="6" t="s">
        <v>198</v>
      </c>
      <c r="L128" s="9">
        <v>43847</v>
      </c>
      <c r="M128" s="18">
        <v>0.44444444444444442</v>
      </c>
      <c r="N128" s="6">
        <v>16</v>
      </c>
      <c r="O128" s="6" t="s">
        <v>4309</v>
      </c>
      <c r="R128" s="6">
        <v>4</v>
      </c>
      <c r="S128" s="6">
        <v>0</v>
      </c>
      <c r="U128" s="32">
        <v>15.01</v>
      </c>
      <c r="V128" t="s">
        <v>4462</v>
      </c>
      <c r="W128" s="8">
        <v>-2.524240809822083</v>
      </c>
      <c r="X128" s="8">
        <v>-30.274179340362547</v>
      </c>
      <c r="Y128" s="8">
        <f>X128-(8*W128)</f>
        <v>-10.080252861785883</v>
      </c>
    </row>
    <row r="129" spans="1:26" s="6" customFormat="1" x14ac:dyDescent="0.35">
      <c r="A129" s="6" t="s">
        <v>25</v>
      </c>
      <c r="B129" s="6" t="s">
        <v>2791</v>
      </c>
      <c r="D129" s="6" t="s">
        <v>3109</v>
      </c>
      <c r="E129" s="6">
        <v>2</v>
      </c>
      <c r="F129" s="6">
        <v>21</v>
      </c>
      <c r="G129" s="6" t="s">
        <v>3236</v>
      </c>
      <c r="I129" s="8">
        <v>87.449599000000006</v>
      </c>
      <c r="J129" s="8">
        <v>97.423748000000003</v>
      </c>
      <c r="K129" s="6" t="s">
        <v>198</v>
      </c>
      <c r="L129" s="9">
        <v>43850</v>
      </c>
      <c r="M129" s="18">
        <v>0.46180555555555558</v>
      </c>
      <c r="N129" s="6">
        <v>17</v>
      </c>
      <c r="O129" s="6" t="s">
        <v>4314</v>
      </c>
      <c r="R129" s="6">
        <v>13.5</v>
      </c>
      <c r="S129" s="6">
        <v>10</v>
      </c>
      <c r="U129" s="32">
        <v>31.5</v>
      </c>
      <c r="V129" t="s">
        <v>4461</v>
      </c>
      <c r="W129" s="8">
        <v>-25.103531061553955</v>
      </c>
      <c r="X129" s="8">
        <v>-184.2012645263672</v>
      </c>
      <c r="Y129" s="8">
        <f>X129-(8*W129)</f>
        <v>16.626983966064444</v>
      </c>
    </row>
    <row r="130" spans="1:26" s="12" customFormat="1" x14ac:dyDescent="0.35">
      <c r="A130" s="6" t="s">
        <v>25</v>
      </c>
      <c r="B130" s="6" t="s">
        <v>2789</v>
      </c>
      <c r="C130" s="6"/>
      <c r="D130" s="6" t="s">
        <v>3108</v>
      </c>
      <c r="E130" s="6">
        <v>2</v>
      </c>
      <c r="F130" s="6">
        <v>21</v>
      </c>
      <c r="G130" s="6" t="s">
        <v>3235</v>
      </c>
      <c r="H130" s="6"/>
      <c r="I130" s="8">
        <v>87.439325999999994</v>
      </c>
      <c r="J130" s="8">
        <v>97.619716999999994</v>
      </c>
      <c r="K130" s="6" t="s">
        <v>198</v>
      </c>
      <c r="L130" s="9">
        <v>43850</v>
      </c>
      <c r="M130" s="18">
        <v>0.27291666666666664</v>
      </c>
      <c r="N130" s="6">
        <v>17</v>
      </c>
      <c r="O130" s="6" t="s">
        <v>4314</v>
      </c>
      <c r="P130" s="6"/>
      <c r="Q130" s="6"/>
      <c r="R130" s="6">
        <v>25</v>
      </c>
      <c r="S130" s="6">
        <v>22</v>
      </c>
      <c r="T130" s="6"/>
      <c r="U130" s="32">
        <v>52.5</v>
      </c>
      <c r="V130" t="s">
        <v>4461</v>
      </c>
      <c r="W130" s="8">
        <v>-21.690012236022948</v>
      </c>
      <c r="X130" s="8">
        <v>-150.62906063842777</v>
      </c>
      <c r="Y130" s="8">
        <f>X130-(8*W130)</f>
        <v>22.891037249755811</v>
      </c>
      <c r="Z130" s="6"/>
    </row>
    <row r="131" spans="1:26" s="12" customFormat="1" x14ac:dyDescent="0.35">
      <c r="A131" s="6" t="s">
        <v>25</v>
      </c>
      <c r="B131" s="6" t="s">
        <v>2792</v>
      </c>
      <c r="C131" s="6"/>
      <c r="D131" s="6" t="s">
        <v>3109</v>
      </c>
      <c r="E131" s="6">
        <v>2</v>
      </c>
      <c r="F131" s="6">
        <v>21</v>
      </c>
      <c r="G131" s="6" t="s">
        <v>3236</v>
      </c>
      <c r="H131" s="6"/>
      <c r="I131" s="8">
        <v>87.449599000000006</v>
      </c>
      <c r="J131" s="8">
        <v>97.423748000000003</v>
      </c>
      <c r="K131" s="6" t="s">
        <v>198</v>
      </c>
      <c r="L131" s="9">
        <v>43850</v>
      </c>
      <c r="M131" s="18">
        <v>0.46180555555555558</v>
      </c>
      <c r="N131" s="6">
        <v>17</v>
      </c>
      <c r="O131" s="6" t="s">
        <v>4314</v>
      </c>
      <c r="P131" s="6"/>
      <c r="Q131" s="6"/>
      <c r="R131" s="6">
        <v>8</v>
      </c>
      <c r="S131" s="6">
        <v>5</v>
      </c>
      <c r="T131" s="6"/>
      <c r="U131" s="32">
        <v>3.8</v>
      </c>
      <c r="V131" t="s">
        <v>4461</v>
      </c>
      <c r="W131" s="8">
        <v>-14.173665567779542</v>
      </c>
      <c r="X131" s="8">
        <v>-109.76076364135741</v>
      </c>
      <c r="Y131" s="8">
        <f>X131-(8*W131)</f>
        <v>3.6285609008789237</v>
      </c>
      <c r="Z131" s="6"/>
    </row>
    <row r="132" spans="1:26" s="12" customFormat="1" x14ac:dyDescent="0.35">
      <c r="A132" s="6" t="s">
        <v>25</v>
      </c>
      <c r="B132" s="6" t="s">
        <v>2790</v>
      </c>
      <c r="C132" s="6"/>
      <c r="D132" s="6" t="s">
        <v>3108</v>
      </c>
      <c r="E132" s="6">
        <v>2</v>
      </c>
      <c r="F132" s="6">
        <v>21</v>
      </c>
      <c r="G132" s="6" t="s">
        <v>3235</v>
      </c>
      <c r="H132" s="6"/>
      <c r="I132" s="8">
        <v>87.439325999999994</v>
      </c>
      <c r="J132" s="8">
        <v>97.619716999999994</v>
      </c>
      <c r="K132" s="6" t="s">
        <v>198</v>
      </c>
      <c r="L132" s="9">
        <v>43850</v>
      </c>
      <c r="M132" s="18">
        <v>0.27291666666666664</v>
      </c>
      <c r="N132" s="6">
        <v>17</v>
      </c>
      <c r="O132" s="6" t="s">
        <v>4314</v>
      </c>
      <c r="P132" s="6"/>
      <c r="Q132" s="6"/>
      <c r="R132" s="6">
        <v>15</v>
      </c>
      <c r="S132" s="6">
        <v>10</v>
      </c>
      <c r="T132" s="6"/>
      <c r="U132" s="32">
        <v>8.3000000000000007</v>
      </c>
      <c r="V132" t="s">
        <v>4461</v>
      </c>
      <c r="W132" s="8">
        <v>-6.286259884262086</v>
      </c>
      <c r="X132" s="8">
        <v>-54.834551185607907</v>
      </c>
      <c r="Y132" s="8">
        <f>X132-(8*W132)</f>
        <v>-4.5444721115112188</v>
      </c>
      <c r="Z132" s="6"/>
    </row>
    <row r="133" spans="1:26" s="12" customFormat="1" x14ac:dyDescent="0.35">
      <c r="A133" s="6" t="s">
        <v>25</v>
      </c>
      <c r="B133" s="6" t="s">
        <v>2793</v>
      </c>
      <c r="C133" s="6"/>
      <c r="D133" s="6" t="s">
        <v>3109</v>
      </c>
      <c r="E133" s="6">
        <v>2</v>
      </c>
      <c r="F133" s="6">
        <v>21</v>
      </c>
      <c r="G133" s="6" t="s">
        <v>3236</v>
      </c>
      <c r="H133" s="6"/>
      <c r="I133" s="8">
        <v>87.449599000000006</v>
      </c>
      <c r="J133" s="8">
        <v>97.423748000000003</v>
      </c>
      <c r="K133" s="6" t="s">
        <v>198</v>
      </c>
      <c r="L133" s="9">
        <v>43850</v>
      </c>
      <c r="M133" s="18">
        <v>0.46180555555555558</v>
      </c>
      <c r="N133" s="6">
        <v>17</v>
      </c>
      <c r="O133" s="6" t="s">
        <v>4314</v>
      </c>
      <c r="P133" s="6"/>
      <c r="Q133" s="6"/>
      <c r="R133" s="6">
        <v>3</v>
      </c>
      <c r="S133" s="6">
        <v>0</v>
      </c>
      <c r="T133" s="6"/>
      <c r="U133" s="32">
        <v>56.1</v>
      </c>
      <c r="V133" t="s">
        <v>4461</v>
      </c>
      <c r="W133" s="8">
        <v>-5.864420499229432</v>
      </c>
      <c r="X133" s="8">
        <v>-66.531637710571289</v>
      </c>
      <c r="Y133" s="8">
        <f>X133-(8*W133)</f>
        <v>-19.616273716735833</v>
      </c>
      <c r="Z133" s="6"/>
    </row>
    <row r="134" spans="1:26" s="6" customFormat="1" x14ac:dyDescent="0.35">
      <c r="A134" s="6" t="s">
        <v>25</v>
      </c>
      <c r="B134" s="6" t="s">
        <v>2794</v>
      </c>
      <c r="D134" s="6" t="s">
        <v>3110</v>
      </c>
      <c r="E134" s="6">
        <v>2</v>
      </c>
      <c r="F134" s="6">
        <v>21</v>
      </c>
      <c r="G134" s="6" t="s">
        <v>3231</v>
      </c>
      <c r="I134" s="8">
        <v>87.421249000000003</v>
      </c>
      <c r="J134" s="8">
        <v>93.119838000000001</v>
      </c>
      <c r="K134" s="6" t="s">
        <v>198</v>
      </c>
      <c r="L134" s="9">
        <v>43854</v>
      </c>
      <c r="M134" s="18">
        <v>0.4375</v>
      </c>
      <c r="N134" s="6">
        <v>17</v>
      </c>
      <c r="O134" s="6" t="s">
        <v>4272</v>
      </c>
      <c r="R134" s="6">
        <v>33</v>
      </c>
      <c r="S134" s="6">
        <v>30</v>
      </c>
      <c r="U134" s="32">
        <v>25.7</v>
      </c>
      <c r="V134" t="s">
        <v>4461</v>
      </c>
      <c r="W134" s="8">
        <v>-39.631153132171633</v>
      </c>
      <c r="X134" s="8">
        <v>-304.86899439697265</v>
      </c>
      <c r="Y134" s="8">
        <f>X134-(8*W134)</f>
        <v>12.180230660400412</v>
      </c>
    </row>
    <row r="135" spans="1:26" s="6" customFormat="1" x14ac:dyDescent="0.35">
      <c r="A135" s="6" t="s">
        <v>25</v>
      </c>
      <c r="B135" s="6" t="s">
        <v>2795</v>
      </c>
      <c r="D135" s="6" t="s">
        <v>3110</v>
      </c>
      <c r="E135" s="6">
        <v>2</v>
      </c>
      <c r="F135" s="6">
        <v>21</v>
      </c>
      <c r="G135" s="6" t="s">
        <v>3231</v>
      </c>
      <c r="I135" s="8">
        <v>87.421249000000003</v>
      </c>
      <c r="J135" s="8">
        <v>93.119838000000001</v>
      </c>
      <c r="K135" s="6" t="s">
        <v>198</v>
      </c>
      <c r="L135" s="9">
        <v>43854</v>
      </c>
      <c r="M135" s="18">
        <v>0.4375</v>
      </c>
      <c r="N135" s="6">
        <v>17</v>
      </c>
      <c r="O135" s="6" t="s">
        <v>4272</v>
      </c>
      <c r="R135" s="6">
        <v>27</v>
      </c>
      <c r="S135" s="6">
        <v>20</v>
      </c>
      <c r="U135" s="32">
        <v>46.9</v>
      </c>
      <c r="V135" t="s">
        <v>4461</v>
      </c>
      <c r="W135" s="8">
        <v>-36.731155659027095</v>
      </c>
      <c r="X135" s="8">
        <v>-277.84081640930174</v>
      </c>
      <c r="Y135" s="8">
        <f>X135-(8*W135)</f>
        <v>16.008428862915025</v>
      </c>
    </row>
    <row r="136" spans="1:26" s="6" customFormat="1" x14ac:dyDescent="0.35">
      <c r="A136" s="6" t="s">
        <v>25</v>
      </c>
      <c r="B136" s="6" t="s">
        <v>2796</v>
      </c>
      <c r="D136" s="6" t="s">
        <v>3110</v>
      </c>
      <c r="E136" s="6">
        <v>2</v>
      </c>
      <c r="F136" s="6">
        <v>21</v>
      </c>
      <c r="G136" s="6" t="s">
        <v>3231</v>
      </c>
      <c r="I136" s="8">
        <v>87.421249000000003</v>
      </c>
      <c r="J136" s="8">
        <v>93.119838000000001</v>
      </c>
      <c r="K136" s="6" t="s">
        <v>198</v>
      </c>
      <c r="L136" s="9">
        <v>43854</v>
      </c>
      <c r="M136" s="18">
        <v>0.4375</v>
      </c>
      <c r="N136" s="6">
        <v>17</v>
      </c>
      <c r="O136" s="6" t="s">
        <v>4272</v>
      </c>
      <c r="R136" s="6">
        <v>10</v>
      </c>
      <c r="S136" s="6">
        <v>8</v>
      </c>
      <c r="U136" s="32">
        <v>22.5</v>
      </c>
      <c r="V136" t="s">
        <v>4461</v>
      </c>
      <c r="W136" s="8">
        <v>-8.6307359418869005</v>
      </c>
      <c r="X136" s="8">
        <v>-68.561989949035649</v>
      </c>
      <c r="Y136" s="8">
        <f>X136-(8*W136)</f>
        <v>0.48389758605955535</v>
      </c>
    </row>
    <row r="137" spans="1:26" s="6" customFormat="1" x14ac:dyDescent="0.35">
      <c r="A137" s="6" t="s">
        <v>25</v>
      </c>
      <c r="B137" s="6" t="s">
        <v>2800</v>
      </c>
      <c r="D137" s="6" t="s">
        <v>3112</v>
      </c>
      <c r="E137" s="6">
        <v>2</v>
      </c>
      <c r="F137" s="6">
        <v>22</v>
      </c>
      <c r="G137" s="6" t="s">
        <v>3238</v>
      </c>
      <c r="I137" s="8">
        <v>87.447998999999996</v>
      </c>
      <c r="J137" s="8">
        <v>95.765049000000005</v>
      </c>
      <c r="K137" s="6" t="s">
        <v>198</v>
      </c>
      <c r="L137" s="9">
        <v>43857</v>
      </c>
      <c r="M137" s="18">
        <v>0.44444444444444442</v>
      </c>
      <c r="N137" s="6">
        <v>18</v>
      </c>
      <c r="O137" s="6" t="s">
        <v>4256</v>
      </c>
      <c r="R137" s="6">
        <v>8</v>
      </c>
      <c r="S137" s="6">
        <v>5.5</v>
      </c>
      <c r="U137" s="34">
        <v>2.11</v>
      </c>
      <c r="V137" t="s">
        <v>4462</v>
      </c>
      <c r="W137" s="8">
        <v>-24.61738813743591</v>
      </c>
      <c r="X137" s="8">
        <v>-187.75488869934082</v>
      </c>
      <c r="Y137" s="8">
        <f>X137-(8*W137)</f>
        <v>9.1842164001464539</v>
      </c>
    </row>
    <row r="138" spans="1:26" s="6" customFormat="1" x14ac:dyDescent="0.35">
      <c r="A138" s="6" t="s">
        <v>25</v>
      </c>
      <c r="B138" s="6" t="s">
        <v>2797</v>
      </c>
      <c r="D138" s="6" t="s">
        <v>3111</v>
      </c>
      <c r="E138" s="6">
        <v>2</v>
      </c>
      <c r="F138" s="6">
        <v>22</v>
      </c>
      <c r="G138" s="6" t="s">
        <v>3237</v>
      </c>
      <c r="I138" s="8">
        <v>87.444174000000004</v>
      </c>
      <c r="J138" s="8">
        <v>95.566682999999998</v>
      </c>
      <c r="K138" s="6" t="s">
        <v>198</v>
      </c>
      <c r="L138" s="9">
        <v>43857</v>
      </c>
      <c r="M138" s="18">
        <v>0.26597222222222222</v>
      </c>
      <c r="N138" s="6">
        <v>18</v>
      </c>
      <c r="O138" s="6" t="s">
        <v>4256</v>
      </c>
      <c r="R138" s="6">
        <v>17</v>
      </c>
      <c r="S138" s="6">
        <v>14</v>
      </c>
      <c r="U138" s="32">
        <v>25</v>
      </c>
      <c r="V138" t="s">
        <v>4461</v>
      </c>
      <c r="W138" s="8">
        <v>-22.117409831047055</v>
      </c>
      <c r="X138" s="8">
        <v>-153.37724361114505</v>
      </c>
      <c r="Y138" s="8">
        <f>X138-(8*W138)</f>
        <v>23.562035037231396</v>
      </c>
    </row>
    <row r="139" spans="1:26" s="6" customFormat="1" x14ac:dyDescent="0.35">
      <c r="A139" s="6" t="s">
        <v>25</v>
      </c>
      <c r="B139" s="6" t="s">
        <v>2801</v>
      </c>
      <c r="D139" s="6" t="s">
        <v>3112</v>
      </c>
      <c r="E139" s="6">
        <v>2</v>
      </c>
      <c r="F139" s="6">
        <v>22</v>
      </c>
      <c r="G139" s="6" t="s">
        <v>3238</v>
      </c>
      <c r="I139" s="8">
        <v>87.447998999999996</v>
      </c>
      <c r="J139" s="8">
        <v>95.765049000000005</v>
      </c>
      <c r="K139" s="6" t="s">
        <v>198</v>
      </c>
      <c r="L139" s="9">
        <v>43857</v>
      </c>
      <c r="M139" s="18">
        <v>0.44444444444444442</v>
      </c>
      <c r="N139" s="6">
        <v>18</v>
      </c>
      <c r="O139" s="6" t="s">
        <v>4256</v>
      </c>
      <c r="R139" s="6">
        <v>5.5</v>
      </c>
      <c r="S139" s="6">
        <v>3.5</v>
      </c>
      <c r="U139" s="34">
        <v>12.94</v>
      </c>
      <c r="V139" t="s">
        <v>4462</v>
      </c>
      <c r="W139" s="8">
        <v>-19.625077333068845</v>
      </c>
      <c r="X139" s="8">
        <v>-146.37206472473144</v>
      </c>
      <c r="Y139" s="8">
        <f>X139-(8*W139)</f>
        <v>10.628553939819312</v>
      </c>
    </row>
    <row r="140" spans="1:26" s="17" customFormat="1" x14ac:dyDescent="0.35">
      <c r="A140" s="6" t="s">
        <v>25</v>
      </c>
      <c r="B140" s="6" t="s">
        <v>2798</v>
      </c>
      <c r="C140" s="6"/>
      <c r="D140" s="6" t="s">
        <v>3111</v>
      </c>
      <c r="E140" s="6">
        <v>2</v>
      </c>
      <c r="F140" s="6">
        <v>22</v>
      </c>
      <c r="G140" s="6" t="s">
        <v>3237</v>
      </c>
      <c r="H140" s="6"/>
      <c r="I140" s="8">
        <v>87.444174000000004</v>
      </c>
      <c r="J140" s="8">
        <v>95.566682999999998</v>
      </c>
      <c r="K140" s="6" t="s">
        <v>198</v>
      </c>
      <c r="L140" s="9">
        <v>43857</v>
      </c>
      <c r="M140" s="18">
        <v>0.26597222222222222</v>
      </c>
      <c r="N140" s="6">
        <v>18</v>
      </c>
      <c r="O140" s="6" t="s">
        <v>4256</v>
      </c>
      <c r="P140" s="6"/>
      <c r="Q140" s="6"/>
      <c r="R140" s="6">
        <v>9</v>
      </c>
      <c r="S140" s="6">
        <v>6</v>
      </c>
      <c r="T140" s="6"/>
      <c r="U140" s="32">
        <v>8.3000000000000007</v>
      </c>
      <c r="V140" t="s">
        <v>4461</v>
      </c>
      <c r="W140" s="8">
        <v>-17.452269155120849</v>
      </c>
      <c r="X140" s="8">
        <v>-124.75411697845459</v>
      </c>
      <c r="Y140" s="8">
        <f>X140-(8*W140)</f>
        <v>14.864036262512201</v>
      </c>
      <c r="Z140" s="6"/>
    </row>
    <row r="141" spans="1:26" s="6" customFormat="1" x14ac:dyDescent="0.35">
      <c r="A141" s="6" t="s">
        <v>25</v>
      </c>
      <c r="B141" s="6" t="s">
        <v>2802</v>
      </c>
      <c r="D141" s="6" t="s">
        <v>3112</v>
      </c>
      <c r="E141" s="6">
        <v>2</v>
      </c>
      <c r="F141" s="6">
        <v>22</v>
      </c>
      <c r="G141" s="6" t="s">
        <v>3238</v>
      </c>
      <c r="I141" s="8">
        <v>87.447998999999996</v>
      </c>
      <c r="J141" s="8">
        <v>95.765049000000005</v>
      </c>
      <c r="K141" s="6" t="s">
        <v>198</v>
      </c>
      <c r="L141" s="9">
        <v>43857</v>
      </c>
      <c r="M141" s="18">
        <v>0.44444444444444442</v>
      </c>
      <c r="N141" s="6">
        <v>18</v>
      </c>
      <c r="O141" s="6" t="s">
        <v>4256</v>
      </c>
      <c r="R141" s="6">
        <v>3.5</v>
      </c>
      <c r="S141" s="6">
        <v>0</v>
      </c>
      <c r="U141" s="32">
        <v>26.6</v>
      </c>
      <c r="V141" t="s">
        <v>4462</v>
      </c>
      <c r="W141" s="8">
        <v>-9.5698416515350306</v>
      </c>
      <c r="X141" s="8">
        <v>-71.306449475097651</v>
      </c>
      <c r="Y141" s="8">
        <f>X141-(8*W141)</f>
        <v>5.2522837371825943</v>
      </c>
    </row>
    <row r="142" spans="1:26" s="6" customFormat="1" x14ac:dyDescent="0.35">
      <c r="A142" s="6" t="s">
        <v>25</v>
      </c>
      <c r="B142" s="6" t="s">
        <v>2799</v>
      </c>
      <c r="D142" s="6" t="s">
        <v>3111</v>
      </c>
      <c r="E142" s="6">
        <v>2</v>
      </c>
      <c r="F142" s="6">
        <v>22</v>
      </c>
      <c r="G142" s="6" t="s">
        <v>3237</v>
      </c>
      <c r="I142" s="8">
        <v>87.444174000000004</v>
      </c>
      <c r="J142" s="8">
        <v>95.566682999999998</v>
      </c>
      <c r="K142" s="6" t="s">
        <v>198</v>
      </c>
      <c r="L142" s="9">
        <v>43857</v>
      </c>
      <c r="M142" s="18">
        <v>0.26597222222222222</v>
      </c>
      <c r="N142" s="6">
        <v>18</v>
      </c>
      <c r="O142" s="6" t="s">
        <v>4256</v>
      </c>
      <c r="R142" s="6">
        <v>4</v>
      </c>
      <c r="S142" s="6">
        <v>0</v>
      </c>
      <c r="U142" s="32">
        <v>2.2000000000000002</v>
      </c>
      <c r="V142" t="s">
        <v>4462</v>
      </c>
      <c r="W142" s="8">
        <v>-8.7748503080368021</v>
      </c>
      <c r="X142" s="8">
        <v>-80.63663724975585</v>
      </c>
      <c r="Y142" s="8">
        <f>X142-(8*W142)</f>
        <v>-10.437834785461433</v>
      </c>
    </row>
    <row r="143" spans="1:26" s="6" customFormat="1" x14ac:dyDescent="0.35">
      <c r="A143" s="6" t="s">
        <v>25</v>
      </c>
      <c r="B143" s="6" t="s">
        <v>2803</v>
      </c>
      <c r="D143" s="6" t="s">
        <v>3113</v>
      </c>
      <c r="E143" s="6">
        <v>2</v>
      </c>
      <c r="F143" s="6">
        <v>22</v>
      </c>
      <c r="G143" s="6" t="s">
        <v>3239</v>
      </c>
      <c r="I143" s="8">
        <v>87.438507999999999</v>
      </c>
      <c r="J143" s="8">
        <v>96.476590000000002</v>
      </c>
      <c r="K143" s="6" t="s">
        <v>198</v>
      </c>
      <c r="L143" s="9">
        <v>43861</v>
      </c>
      <c r="M143" s="18">
        <v>0.27847222222222223</v>
      </c>
      <c r="N143" s="6">
        <v>18</v>
      </c>
      <c r="O143" s="6" t="s">
        <v>4319</v>
      </c>
      <c r="R143" s="6">
        <v>7</v>
      </c>
      <c r="S143" s="6">
        <v>4</v>
      </c>
      <c r="U143" s="32">
        <v>135.1</v>
      </c>
      <c r="V143" t="s">
        <v>4461</v>
      </c>
      <c r="W143" s="8">
        <v>-26.728593762969968</v>
      </c>
      <c r="X143" s="8">
        <v>-195.07403844909669</v>
      </c>
      <c r="Y143" s="8">
        <f>X143-(8*W143)</f>
        <v>18.754711654663055</v>
      </c>
    </row>
    <row r="144" spans="1:26" s="6" customFormat="1" x14ac:dyDescent="0.35">
      <c r="A144" s="6" t="s">
        <v>25</v>
      </c>
      <c r="B144" s="6" t="s">
        <v>2804</v>
      </c>
      <c r="D144" s="6" t="s">
        <v>3113</v>
      </c>
      <c r="E144" s="6">
        <v>2</v>
      </c>
      <c r="F144" s="6">
        <v>22</v>
      </c>
      <c r="G144" s="6" t="s">
        <v>3239</v>
      </c>
      <c r="I144" s="8">
        <v>87.438507999999999</v>
      </c>
      <c r="J144" s="8">
        <v>96.476590000000002</v>
      </c>
      <c r="K144" s="6" t="s">
        <v>198</v>
      </c>
      <c r="L144" s="9">
        <v>43861</v>
      </c>
      <c r="M144" s="18">
        <v>0.27847222222222223</v>
      </c>
      <c r="N144" s="6">
        <v>18</v>
      </c>
      <c r="O144" s="6" t="s">
        <v>4319</v>
      </c>
      <c r="R144" s="6">
        <v>4</v>
      </c>
      <c r="S144" s="6">
        <v>0</v>
      </c>
      <c r="U144" s="34">
        <v>19.37</v>
      </c>
      <c r="V144" t="s">
        <v>4462</v>
      </c>
      <c r="W144" s="8">
        <v>-8.6464941068649281</v>
      </c>
      <c r="X144" s="8">
        <v>-69.472987179565422</v>
      </c>
      <c r="Y144" s="8">
        <f>X144-(8*W144)</f>
        <v>-0.30103432464599678</v>
      </c>
    </row>
    <row r="145" spans="1:26" s="6" customFormat="1" x14ac:dyDescent="0.35">
      <c r="A145" s="6" t="s">
        <v>25</v>
      </c>
      <c r="B145" s="6" t="s">
        <v>2807</v>
      </c>
      <c r="D145" s="6" t="s">
        <v>3115</v>
      </c>
      <c r="E145" s="6">
        <v>2</v>
      </c>
      <c r="F145" s="6">
        <v>23</v>
      </c>
      <c r="G145" s="6" t="s">
        <v>3240</v>
      </c>
      <c r="I145" s="8">
        <v>87.421046000000004</v>
      </c>
      <c r="J145" s="8">
        <v>93.412738000000004</v>
      </c>
      <c r="K145" s="6" t="s">
        <v>198</v>
      </c>
      <c r="L145" s="9">
        <v>43864</v>
      </c>
      <c r="M145" s="18">
        <v>0.46875</v>
      </c>
      <c r="N145" s="6">
        <v>19</v>
      </c>
      <c r="O145" s="6" t="s">
        <v>4322</v>
      </c>
      <c r="R145" s="6">
        <v>8</v>
      </c>
      <c r="S145" s="6">
        <v>4.5</v>
      </c>
      <c r="U145" s="32">
        <v>1009</v>
      </c>
      <c r="V145" t="s">
        <v>4461</v>
      </c>
      <c r="W145" s="8">
        <v>-18.735636020278925</v>
      </c>
      <c r="X145" s="8">
        <v>-123.34293404846191</v>
      </c>
      <c r="Y145" s="8">
        <f>X145-(8*W145)</f>
        <v>26.542154113769485</v>
      </c>
    </row>
    <row r="146" spans="1:26" s="6" customFormat="1" x14ac:dyDescent="0.35">
      <c r="A146" s="6" t="s">
        <v>25</v>
      </c>
      <c r="B146" s="6" t="s">
        <v>2808</v>
      </c>
      <c r="D146" s="6" t="s">
        <v>3115</v>
      </c>
      <c r="E146" s="6">
        <v>2</v>
      </c>
      <c r="F146" s="6">
        <v>23</v>
      </c>
      <c r="G146" s="6" t="s">
        <v>3240</v>
      </c>
      <c r="I146" s="8">
        <v>87.421046000000004</v>
      </c>
      <c r="J146" s="8">
        <v>93.412738000000004</v>
      </c>
      <c r="K146" s="6" t="s">
        <v>198</v>
      </c>
      <c r="L146" s="9">
        <v>43864</v>
      </c>
      <c r="M146" s="18">
        <v>0.46875</v>
      </c>
      <c r="N146" s="6">
        <v>19</v>
      </c>
      <c r="O146" s="6" t="s">
        <v>4322</v>
      </c>
      <c r="R146" s="6">
        <v>4.5</v>
      </c>
      <c r="S146" s="6">
        <v>0</v>
      </c>
      <c r="U146" s="32">
        <v>24.6</v>
      </c>
      <c r="V146" t="s">
        <v>4462</v>
      </c>
      <c r="W146" s="8">
        <v>-3.6071254483222965</v>
      </c>
      <c r="X146" s="8">
        <v>-31.703923975753781</v>
      </c>
      <c r="Y146" s="8">
        <f>X146-(8*W146)</f>
        <v>-2.8469203891754091</v>
      </c>
    </row>
    <row r="147" spans="1:26" s="6" customFormat="1" x14ac:dyDescent="0.35">
      <c r="A147" s="6" t="s">
        <v>25</v>
      </c>
      <c r="B147" s="6" t="s">
        <v>2809</v>
      </c>
      <c r="D147" s="6" t="s">
        <v>3116</v>
      </c>
      <c r="E147" s="6">
        <v>2</v>
      </c>
      <c r="F147" s="6">
        <v>23</v>
      </c>
      <c r="G147" s="6" t="s">
        <v>3241</v>
      </c>
      <c r="I147" s="8">
        <v>87.532150000000001</v>
      </c>
      <c r="J147" s="8">
        <v>95.074939999999998</v>
      </c>
      <c r="K147" s="6" t="s">
        <v>198</v>
      </c>
      <c r="L147" s="9">
        <v>43866</v>
      </c>
      <c r="M147" s="18">
        <v>0.28125</v>
      </c>
      <c r="N147" s="6">
        <v>19</v>
      </c>
      <c r="O147" s="6" t="s">
        <v>4323</v>
      </c>
      <c r="R147" s="6">
        <v>14</v>
      </c>
      <c r="S147" s="6">
        <v>1.5</v>
      </c>
      <c r="U147" s="32">
        <v>95.7</v>
      </c>
      <c r="V147" t="s">
        <v>4461</v>
      </c>
      <c r="W147" s="8">
        <v>-26.677277946090694</v>
      </c>
      <c r="X147" s="8">
        <v>-196.66512476806642</v>
      </c>
      <c r="Y147" s="8">
        <f>X147-(8*W147)</f>
        <v>16.753098800659131</v>
      </c>
    </row>
    <row r="148" spans="1:26" s="6" customFormat="1" x14ac:dyDescent="0.35">
      <c r="A148" s="6" t="s">
        <v>25</v>
      </c>
      <c r="B148" s="6" t="s">
        <v>2810</v>
      </c>
      <c r="D148" s="6" t="s">
        <v>3116</v>
      </c>
      <c r="E148" s="6">
        <v>2</v>
      </c>
      <c r="F148" s="6">
        <v>23</v>
      </c>
      <c r="G148" s="6" t="s">
        <v>3241</v>
      </c>
      <c r="I148" s="8">
        <v>87.532150000000001</v>
      </c>
      <c r="J148" s="8">
        <v>95.074939999999998</v>
      </c>
      <c r="K148" s="6" t="s">
        <v>198</v>
      </c>
      <c r="L148" s="9">
        <v>43866</v>
      </c>
      <c r="M148" s="18">
        <v>0.28125</v>
      </c>
      <c r="N148" s="6">
        <v>19</v>
      </c>
      <c r="O148" s="6" t="s">
        <v>4323</v>
      </c>
      <c r="R148" s="6">
        <v>7</v>
      </c>
      <c r="S148" s="6">
        <v>4</v>
      </c>
      <c r="U148" s="32">
        <v>16</v>
      </c>
      <c r="V148" t="s">
        <v>4461</v>
      </c>
      <c r="W148" s="8">
        <v>-16.009908547782896</v>
      </c>
      <c r="X148" s="8">
        <v>-120.77665444641111</v>
      </c>
      <c r="Y148" s="8">
        <f>X148-(8*W148)</f>
        <v>7.302613935852051</v>
      </c>
    </row>
    <row r="149" spans="1:26" s="6" customFormat="1" x14ac:dyDescent="0.35">
      <c r="A149" s="6" t="s">
        <v>25</v>
      </c>
      <c r="B149" s="6" t="s">
        <v>2811</v>
      </c>
      <c r="D149" s="6" t="s">
        <v>3116</v>
      </c>
      <c r="E149" s="6">
        <v>2</v>
      </c>
      <c r="F149" s="6">
        <v>23</v>
      </c>
      <c r="G149" s="6" t="s">
        <v>3241</v>
      </c>
      <c r="I149" s="8">
        <v>87.532150000000001</v>
      </c>
      <c r="J149" s="8">
        <v>95.074939999999998</v>
      </c>
      <c r="K149" s="6" t="s">
        <v>198</v>
      </c>
      <c r="L149" s="9">
        <v>43866</v>
      </c>
      <c r="M149" s="18">
        <v>0.28125</v>
      </c>
      <c r="N149" s="6">
        <v>19</v>
      </c>
      <c r="O149" s="6" t="s">
        <v>4323</v>
      </c>
      <c r="R149" s="6">
        <v>2</v>
      </c>
      <c r="S149" s="6">
        <v>0</v>
      </c>
      <c r="U149" s="32">
        <v>70.400000000000006</v>
      </c>
      <c r="V149" t="s">
        <v>4461</v>
      </c>
      <c r="W149" s="8">
        <v>-8.3400455812454215</v>
      </c>
      <c r="X149" s="8">
        <v>-87.704347943115224</v>
      </c>
      <c r="Y149" s="8">
        <f>X149-(8*W149)</f>
        <v>-20.983983293151852</v>
      </c>
    </row>
    <row r="150" spans="1:26" s="6" customFormat="1" x14ac:dyDescent="0.35">
      <c r="A150" s="6" t="s">
        <v>25</v>
      </c>
      <c r="B150" s="6" t="s">
        <v>2815</v>
      </c>
      <c r="D150" s="6" t="s">
        <v>3118</v>
      </c>
      <c r="E150" s="6">
        <v>2</v>
      </c>
      <c r="F150" s="6">
        <v>23</v>
      </c>
      <c r="G150" s="6" t="s">
        <v>3243</v>
      </c>
      <c r="I150" s="8">
        <v>87.640855000000002</v>
      </c>
      <c r="J150" s="8">
        <v>93.778099999999995</v>
      </c>
      <c r="K150" s="6" t="s">
        <v>198</v>
      </c>
      <c r="L150" s="9">
        <v>43868</v>
      </c>
      <c r="M150" s="18">
        <v>0.45833333333333331</v>
      </c>
      <c r="N150" s="6">
        <v>19</v>
      </c>
      <c r="O150" s="6" t="s">
        <v>4277</v>
      </c>
      <c r="R150" s="6">
        <v>24</v>
      </c>
      <c r="S150" s="6">
        <v>21</v>
      </c>
      <c r="U150" s="32">
        <v>48</v>
      </c>
      <c r="V150" t="s">
        <v>4461</v>
      </c>
      <c r="W150" s="8">
        <v>-33.743504738311771</v>
      </c>
      <c r="X150" s="8">
        <v>-258.73263568725588</v>
      </c>
      <c r="Y150" s="8">
        <f>X150-(8*W150)</f>
        <v>11.215402219238285</v>
      </c>
    </row>
    <row r="151" spans="1:26" s="6" customFormat="1" x14ac:dyDescent="0.35">
      <c r="A151" s="6" t="s">
        <v>25</v>
      </c>
      <c r="B151" s="6" t="s">
        <v>2816</v>
      </c>
      <c r="D151" s="6" t="s">
        <v>3118</v>
      </c>
      <c r="E151" s="6">
        <v>2</v>
      </c>
      <c r="F151" s="6">
        <v>23</v>
      </c>
      <c r="G151" s="6" t="s">
        <v>3243</v>
      </c>
      <c r="I151" s="8">
        <v>87.640855000000002</v>
      </c>
      <c r="J151" s="8">
        <v>93.778099999999995</v>
      </c>
      <c r="K151" s="6" t="s">
        <v>198</v>
      </c>
      <c r="L151" s="9">
        <v>43868</v>
      </c>
      <c r="M151" s="18">
        <v>0.45833333333333331</v>
      </c>
      <c r="N151" s="6">
        <v>19</v>
      </c>
      <c r="O151" s="6" t="s">
        <v>4277</v>
      </c>
      <c r="R151" s="6">
        <v>14</v>
      </c>
      <c r="S151" s="6">
        <v>12</v>
      </c>
      <c r="U151" s="32">
        <v>37.299999999999997</v>
      </c>
      <c r="V151" t="s">
        <v>4461</v>
      </c>
      <c r="W151" s="8">
        <v>-31.870346539001464</v>
      </c>
      <c r="X151" s="8">
        <v>-242.3661364425659</v>
      </c>
      <c r="Y151" s="8">
        <f>X151-(8*W151)</f>
        <v>12.596635869445805</v>
      </c>
    </row>
    <row r="152" spans="1:26" s="6" customFormat="1" x14ac:dyDescent="0.35">
      <c r="A152" s="6" t="s">
        <v>25</v>
      </c>
      <c r="B152" s="6" t="s">
        <v>2813</v>
      </c>
      <c r="D152" s="6" t="s">
        <v>3117</v>
      </c>
      <c r="E152" s="6">
        <v>2</v>
      </c>
      <c r="F152" s="6">
        <v>23</v>
      </c>
      <c r="G152" s="6" t="s">
        <v>3242</v>
      </c>
      <c r="I152" s="8">
        <v>87.636323000000004</v>
      </c>
      <c r="J152" s="8">
        <v>93.749778000000006</v>
      </c>
      <c r="K152" s="6" t="s">
        <v>198</v>
      </c>
      <c r="L152" s="9">
        <v>43868</v>
      </c>
      <c r="M152" s="18">
        <v>0.2673611111111111</v>
      </c>
      <c r="N152" s="6">
        <v>19</v>
      </c>
      <c r="O152" s="6" t="s">
        <v>4277</v>
      </c>
      <c r="R152" s="6">
        <v>32</v>
      </c>
      <c r="S152" s="6">
        <v>29</v>
      </c>
      <c r="U152" s="32">
        <v>46.5</v>
      </c>
      <c r="V152" t="s">
        <v>4461</v>
      </c>
      <c r="W152" s="8">
        <v>-28.549951740646357</v>
      </c>
      <c r="X152" s="8">
        <v>-212.79714005737304</v>
      </c>
      <c r="Y152" s="8">
        <f>X152-(8*W152)</f>
        <v>15.602473867797812</v>
      </c>
    </row>
    <row r="153" spans="1:26" s="6" customFormat="1" x14ac:dyDescent="0.35">
      <c r="A153" s="6" t="s">
        <v>25</v>
      </c>
      <c r="B153" s="6" t="s">
        <v>2812</v>
      </c>
      <c r="D153" s="6" t="s">
        <v>3117</v>
      </c>
      <c r="E153" s="6">
        <v>2</v>
      </c>
      <c r="F153" s="6">
        <v>23</v>
      </c>
      <c r="G153" s="6" t="s">
        <v>3242</v>
      </c>
      <c r="I153" s="8">
        <v>87.636323000000004</v>
      </c>
      <c r="J153" s="8">
        <v>93.749778000000006</v>
      </c>
      <c r="K153" s="6" t="s">
        <v>198</v>
      </c>
      <c r="L153" s="9">
        <v>43868</v>
      </c>
      <c r="M153" s="18">
        <v>0.2673611111111111</v>
      </c>
      <c r="N153" s="6">
        <v>19</v>
      </c>
      <c r="O153" s="6" t="s">
        <v>4277</v>
      </c>
      <c r="R153" s="6">
        <v>48</v>
      </c>
      <c r="S153" s="6">
        <v>45</v>
      </c>
      <c r="U153" s="32">
        <v>99</v>
      </c>
      <c r="V153" t="s">
        <v>4461</v>
      </c>
      <c r="W153" s="8">
        <v>-27.851611080551145</v>
      </c>
      <c r="X153" s="8">
        <v>-206.09892683105468</v>
      </c>
      <c r="Y153" s="8">
        <f>X153-(8*W153)</f>
        <v>16.713961813354473</v>
      </c>
    </row>
    <row r="154" spans="1:26" s="6" customFormat="1" x14ac:dyDescent="0.35">
      <c r="A154" s="6" t="s">
        <v>25</v>
      </c>
      <c r="B154" s="6" t="s">
        <v>2814</v>
      </c>
      <c r="D154" s="6" t="s">
        <v>3117</v>
      </c>
      <c r="E154" s="6">
        <v>2</v>
      </c>
      <c r="F154" s="6">
        <v>23</v>
      </c>
      <c r="G154" s="6" t="s">
        <v>3242</v>
      </c>
      <c r="I154" s="8">
        <v>87.636323000000004</v>
      </c>
      <c r="J154" s="8">
        <v>93.749778000000006</v>
      </c>
      <c r="K154" s="6" t="s">
        <v>198</v>
      </c>
      <c r="L154" s="9">
        <v>43868</v>
      </c>
      <c r="M154" s="18">
        <v>0.2673611111111111</v>
      </c>
      <c r="N154" s="6">
        <v>19</v>
      </c>
      <c r="O154" s="6" t="s">
        <v>4277</v>
      </c>
      <c r="R154" s="6">
        <v>4.5</v>
      </c>
      <c r="S154" s="6">
        <v>0</v>
      </c>
      <c r="U154" s="34">
        <v>3.53</v>
      </c>
      <c r="V154" t="s">
        <v>4462</v>
      </c>
      <c r="W154" s="8">
        <v>-12.341931829833982</v>
      </c>
      <c r="X154" s="8">
        <v>-94.680498043823235</v>
      </c>
      <c r="Y154" s="8">
        <f>X154-(8*W154)</f>
        <v>4.054956594848619</v>
      </c>
    </row>
    <row r="155" spans="1:26" s="6" customFormat="1" x14ac:dyDescent="0.35">
      <c r="A155" s="6" t="s">
        <v>25</v>
      </c>
      <c r="B155" s="6" t="s">
        <v>2817</v>
      </c>
      <c r="D155" s="6" t="s">
        <v>3118</v>
      </c>
      <c r="E155" s="6">
        <v>2</v>
      </c>
      <c r="F155" s="6">
        <v>23</v>
      </c>
      <c r="G155" s="6" t="s">
        <v>3243</v>
      </c>
      <c r="I155" s="8">
        <v>87.640855000000002</v>
      </c>
      <c r="J155" s="8">
        <v>93.778099999999995</v>
      </c>
      <c r="K155" s="6" t="s">
        <v>198</v>
      </c>
      <c r="L155" s="9">
        <v>43868</v>
      </c>
      <c r="M155" s="18">
        <v>0.45833333333333331</v>
      </c>
      <c r="N155" s="6">
        <v>19</v>
      </c>
      <c r="O155" s="6" t="s">
        <v>4277</v>
      </c>
      <c r="R155" s="6">
        <v>3</v>
      </c>
      <c r="S155" s="6">
        <v>0</v>
      </c>
      <c r="U155" s="34">
        <v>5.99</v>
      </c>
      <c r="V155" t="s">
        <v>4462</v>
      </c>
      <c r="W155" s="8">
        <v>-2.7052007669448854</v>
      </c>
      <c r="X155" s="8">
        <v>-30.084628784942627</v>
      </c>
      <c r="Y155" s="8">
        <f>X155-(8*W155)</f>
        <v>-8.4430226493835434</v>
      </c>
    </row>
    <row r="156" spans="1:26" s="6" customFormat="1" x14ac:dyDescent="0.35">
      <c r="A156" s="6" t="s">
        <v>25</v>
      </c>
      <c r="B156" s="6" t="s">
        <v>2805</v>
      </c>
      <c r="D156" s="6" t="s">
        <v>3114</v>
      </c>
      <c r="E156" s="6">
        <v>2</v>
      </c>
      <c r="F156" s="6">
        <v>23</v>
      </c>
      <c r="G156" s="6" t="s">
        <v>3244</v>
      </c>
      <c r="I156" s="8">
        <v>87.408452999999994</v>
      </c>
      <c r="J156" s="8">
        <v>93.196675999999997</v>
      </c>
      <c r="K156" s="6" t="s">
        <v>198</v>
      </c>
      <c r="L156" s="9">
        <v>43870</v>
      </c>
      <c r="M156" s="18">
        <v>0.2673611111111111</v>
      </c>
      <c r="N156" s="6">
        <v>19</v>
      </c>
      <c r="O156" s="6" t="s">
        <v>4325</v>
      </c>
      <c r="R156" s="6">
        <v>23</v>
      </c>
      <c r="S156" s="6">
        <v>19</v>
      </c>
      <c r="U156" s="32">
        <v>47</v>
      </c>
      <c r="V156" t="s">
        <v>4461</v>
      </c>
      <c r="W156" s="8">
        <v>-20.620479364013669</v>
      </c>
      <c r="X156" s="8">
        <v>-141.7734026916504</v>
      </c>
      <c r="Y156" s="8">
        <f>X156-(8*W156)</f>
        <v>23.190432220458945</v>
      </c>
    </row>
    <row r="157" spans="1:26" s="6" customFormat="1" x14ac:dyDescent="0.35">
      <c r="A157" s="6" t="s">
        <v>25</v>
      </c>
      <c r="B157" s="6" t="s">
        <v>2806</v>
      </c>
      <c r="D157" s="6" t="s">
        <v>3114</v>
      </c>
      <c r="E157" s="6">
        <v>2</v>
      </c>
      <c r="F157" s="6">
        <v>23</v>
      </c>
      <c r="G157" s="6" t="s">
        <v>3244</v>
      </c>
      <c r="I157" s="8">
        <v>87.408452999999994</v>
      </c>
      <c r="J157" s="8">
        <v>93.196675999999997</v>
      </c>
      <c r="K157" s="6" t="s">
        <v>198</v>
      </c>
      <c r="L157" s="9">
        <v>43870</v>
      </c>
      <c r="M157" s="18">
        <v>0.2673611111111111</v>
      </c>
      <c r="N157" s="6">
        <v>19</v>
      </c>
      <c r="O157" s="6" t="s">
        <v>4325</v>
      </c>
      <c r="R157" s="6">
        <v>9.5</v>
      </c>
      <c r="S157" s="6">
        <v>6.5</v>
      </c>
      <c r="U157" s="32">
        <v>13.6</v>
      </c>
      <c r="V157" t="s">
        <v>4461</v>
      </c>
      <c r="W157" s="8">
        <v>-4.8514050370216379</v>
      </c>
      <c r="X157" s="8">
        <v>-44.519709038543702</v>
      </c>
      <c r="Y157" s="8">
        <f>X157-(8*W157)</f>
        <v>-5.7084687423705986</v>
      </c>
      <c r="Z157" s="6" t="s">
        <v>3183</v>
      </c>
    </row>
    <row r="158" spans="1:26" s="6" customFormat="1" x14ac:dyDescent="0.35">
      <c r="A158" s="6" t="s">
        <v>25</v>
      </c>
      <c r="B158" s="6" t="s">
        <v>2818</v>
      </c>
      <c r="D158" s="6" t="s">
        <v>3119</v>
      </c>
      <c r="E158" s="6">
        <v>2</v>
      </c>
      <c r="F158" s="6">
        <v>24</v>
      </c>
      <c r="G158" s="6" t="s">
        <v>3245</v>
      </c>
      <c r="I158" s="8">
        <v>87.777867000000001</v>
      </c>
      <c r="J158" s="8">
        <v>92.017268999999999</v>
      </c>
      <c r="K158" s="6" t="s">
        <v>198</v>
      </c>
      <c r="L158" s="9">
        <v>43871</v>
      </c>
      <c r="M158" s="18">
        <v>0.27499999999999997</v>
      </c>
      <c r="N158" s="6">
        <v>20</v>
      </c>
      <c r="O158" s="6" t="s">
        <v>4294</v>
      </c>
      <c r="R158" s="6">
        <v>9</v>
      </c>
      <c r="S158" s="6">
        <v>6</v>
      </c>
      <c r="U158" s="32">
        <v>377</v>
      </c>
      <c r="V158" t="s">
        <v>4461</v>
      </c>
      <c r="W158" s="8">
        <v>-29.859628763580318</v>
      </c>
      <c r="X158" s="8">
        <v>-223.13008485107423</v>
      </c>
      <c r="Y158" s="8">
        <f>X158-(8*W158)</f>
        <v>15.746945257568314</v>
      </c>
    </row>
    <row r="159" spans="1:26" s="6" customFormat="1" x14ac:dyDescent="0.35">
      <c r="A159" s="6" t="s">
        <v>25</v>
      </c>
      <c r="B159" s="6" t="s">
        <v>2822</v>
      </c>
      <c r="D159" s="6" t="s">
        <v>3121</v>
      </c>
      <c r="E159" s="6">
        <v>2</v>
      </c>
      <c r="F159" s="6">
        <v>24</v>
      </c>
      <c r="G159" s="6" t="s">
        <v>3246</v>
      </c>
      <c r="I159" s="8">
        <v>87.785799999999995</v>
      </c>
      <c r="J159" s="8">
        <v>91.806571000000005</v>
      </c>
      <c r="K159" s="6" t="s">
        <v>198</v>
      </c>
      <c r="L159" s="9">
        <v>43871</v>
      </c>
      <c r="M159" s="18">
        <v>0.42708333333333331</v>
      </c>
      <c r="N159" s="6">
        <v>20</v>
      </c>
      <c r="O159" s="6" t="s">
        <v>4294</v>
      </c>
      <c r="R159" s="6">
        <v>13</v>
      </c>
      <c r="S159" s="6">
        <v>9</v>
      </c>
      <c r="U159" s="32">
        <v>97.3</v>
      </c>
      <c r="V159" t="s">
        <v>4461</v>
      </c>
      <c r="W159" s="8">
        <v>-24.429352268218992</v>
      </c>
      <c r="X159" s="8">
        <v>-177.5284245300293</v>
      </c>
      <c r="Y159" s="8">
        <f>X159-(8*W159)</f>
        <v>17.906393615722635</v>
      </c>
    </row>
    <row r="160" spans="1:26" s="6" customFormat="1" x14ac:dyDescent="0.35">
      <c r="A160" s="6" t="s">
        <v>25</v>
      </c>
      <c r="B160" s="6" t="s">
        <v>2823</v>
      </c>
      <c r="D160" s="6" t="s">
        <v>3121</v>
      </c>
      <c r="E160" s="6">
        <v>2</v>
      </c>
      <c r="F160" s="6">
        <v>24</v>
      </c>
      <c r="G160" s="6" t="s">
        <v>3246</v>
      </c>
      <c r="I160" s="8">
        <v>87.785799999999995</v>
      </c>
      <c r="J160" s="8">
        <v>91.806571000000005</v>
      </c>
      <c r="K160" s="6" t="s">
        <v>198</v>
      </c>
      <c r="L160" s="9">
        <v>43871</v>
      </c>
      <c r="M160" s="18">
        <v>0.42708333333333331</v>
      </c>
      <c r="N160" s="6">
        <v>20</v>
      </c>
      <c r="O160" s="6" t="s">
        <v>4294</v>
      </c>
      <c r="R160" s="6">
        <v>9</v>
      </c>
      <c r="S160" s="6">
        <v>6</v>
      </c>
      <c r="U160" s="32">
        <v>20.7</v>
      </c>
      <c r="V160" t="s">
        <v>4461</v>
      </c>
      <c r="W160" s="8">
        <v>-19.92430241012573</v>
      </c>
      <c r="X160" s="8">
        <v>-142.71029174804687</v>
      </c>
      <c r="Y160" s="8">
        <f>X160-(8*W160)</f>
        <v>16.684127532958968</v>
      </c>
    </row>
    <row r="161" spans="1:26" s="6" customFormat="1" x14ac:dyDescent="0.35">
      <c r="A161" s="6" t="s">
        <v>25</v>
      </c>
      <c r="B161" s="6" t="s">
        <v>2819</v>
      </c>
      <c r="D161" s="6" t="s">
        <v>3119</v>
      </c>
      <c r="E161" s="6">
        <v>2</v>
      </c>
      <c r="F161" s="6">
        <v>24</v>
      </c>
      <c r="G161" s="6" t="s">
        <v>3245</v>
      </c>
      <c r="I161" s="8">
        <v>87.777867000000001</v>
      </c>
      <c r="J161" s="8">
        <v>92.017268999999999</v>
      </c>
      <c r="K161" s="6" t="s">
        <v>198</v>
      </c>
      <c r="L161" s="9">
        <v>43871</v>
      </c>
      <c r="M161" s="18">
        <v>0.27499999999999997</v>
      </c>
      <c r="N161" s="6">
        <v>20</v>
      </c>
      <c r="O161" s="6" t="s">
        <v>4294</v>
      </c>
      <c r="R161" s="6">
        <v>6</v>
      </c>
      <c r="S161" s="6">
        <v>2.5</v>
      </c>
      <c r="U161" s="34">
        <v>19.25</v>
      </c>
      <c r="V161" t="s">
        <v>4462</v>
      </c>
      <c r="W161" s="8">
        <v>-16.322520643615718</v>
      </c>
      <c r="X161" s="8">
        <v>-119.75312427978515</v>
      </c>
      <c r="Y161" s="8">
        <f>X161-(8*W161)</f>
        <v>10.827040869140589</v>
      </c>
    </row>
    <row r="162" spans="1:26" s="6" customFormat="1" x14ac:dyDescent="0.35">
      <c r="A162" s="6" t="s">
        <v>25</v>
      </c>
      <c r="B162" s="6" t="s">
        <v>2824</v>
      </c>
      <c r="D162" s="6" t="s">
        <v>3121</v>
      </c>
      <c r="E162" s="6">
        <v>2</v>
      </c>
      <c r="F162" s="6">
        <v>24</v>
      </c>
      <c r="G162" s="6" t="s">
        <v>3246</v>
      </c>
      <c r="I162" s="8">
        <v>87.785799999999995</v>
      </c>
      <c r="J162" s="8">
        <v>91.806571000000005</v>
      </c>
      <c r="K162" s="6" t="s">
        <v>198</v>
      </c>
      <c r="L162" s="9">
        <v>43871</v>
      </c>
      <c r="M162" s="18">
        <v>0.42708333333333331</v>
      </c>
      <c r="N162" s="6">
        <v>20</v>
      </c>
      <c r="O162" s="6" t="s">
        <v>4294</v>
      </c>
      <c r="R162" s="6">
        <v>6</v>
      </c>
      <c r="S162" s="6">
        <v>0</v>
      </c>
      <c r="U162" s="32">
        <v>722</v>
      </c>
      <c r="V162" t="s">
        <v>4461</v>
      </c>
      <c r="W162" s="8">
        <v>-10.984827255249025</v>
      </c>
      <c r="X162" s="8">
        <v>-97.379580535888664</v>
      </c>
      <c r="Y162" s="8">
        <f>X162-(8*W162)</f>
        <v>-9.5009624938964663</v>
      </c>
    </row>
    <row r="163" spans="1:26" s="6" customFormat="1" x14ac:dyDescent="0.35">
      <c r="A163" s="6" t="s">
        <v>25</v>
      </c>
      <c r="B163" s="6" t="s">
        <v>2820</v>
      </c>
      <c r="D163" s="6" t="s">
        <v>3119</v>
      </c>
      <c r="E163" s="6">
        <v>2</v>
      </c>
      <c r="F163" s="6">
        <v>24</v>
      </c>
      <c r="G163" s="6" t="s">
        <v>3245</v>
      </c>
      <c r="I163" s="8">
        <v>87.777867000000001</v>
      </c>
      <c r="J163" s="8">
        <v>92.017268999999999</v>
      </c>
      <c r="K163" s="6" t="s">
        <v>198</v>
      </c>
      <c r="L163" s="9">
        <v>43871</v>
      </c>
      <c r="M163" s="18">
        <v>0.27499999999999997</v>
      </c>
      <c r="N163" s="6">
        <v>20</v>
      </c>
      <c r="O163" s="6" t="s">
        <v>4294</v>
      </c>
      <c r="R163" s="6">
        <v>2.5</v>
      </c>
      <c r="S163" s="6">
        <v>0</v>
      </c>
      <c r="U163" s="32">
        <v>32.700000000000003</v>
      </c>
      <c r="V163" t="s">
        <v>4462</v>
      </c>
      <c r="W163" s="8">
        <v>-5.7725597414016718</v>
      </c>
      <c r="X163" s="8">
        <v>-47.503480046081542</v>
      </c>
      <c r="Y163" s="8">
        <f>X163-(8*W163)</f>
        <v>-1.3230021148681672</v>
      </c>
    </row>
    <row r="164" spans="1:26" s="6" customFormat="1" x14ac:dyDescent="0.35">
      <c r="A164" s="6" t="s">
        <v>25</v>
      </c>
      <c r="B164" s="6" t="s">
        <v>2825</v>
      </c>
      <c r="D164" s="6" t="s">
        <v>3122</v>
      </c>
      <c r="E164" s="6">
        <v>2</v>
      </c>
      <c r="F164" s="6">
        <v>24</v>
      </c>
      <c r="G164" s="6" t="s">
        <v>3247</v>
      </c>
      <c r="I164" s="8">
        <v>87.861033000000006</v>
      </c>
      <c r="J164" s="8">
        <v>88.024283999999994</v>
      </c>
      <c r="K164" s="6" t="s">
        <v>198</v>
      </c>
      <c r="L164" s="9">
        <v>43873</v>
      </c>
      <c r="M164" s="18">
        <v>0.27083333333333331</v>
      </c>
      <c r="N164" s="6">
        <v>20</v>
      </c>
      <c r="O164" s="6" t="s">
        <v>4313</v>
      </c>
      <c r="R164" s="6">
        <v>62</v>
      </c>
      <c r="S164" s="6">
        <v>58</v>
      </c>
      <c r="U164" s="32">
        <v>197.9</v>
      </c>
      <c r="V164" t="s">
        <v>4461</v>
      </c>
      <c r="W164" s="8">
        <v>-26.887475798034671</v>
      </c>
      <c r="X164" s="8">
        <v>-202.14292684936524</v>
      </c>
      <c r="Y164" s="8">
        <f>X164-(8*W164)</f>
        <v>12.956879534912133</v>
      </c>
    </row>
    <row r="165" spans="1:26" s="6" customFormat="1" x14ac:dyDescent="0.35">
      <c r="A165" s="6" t="s">
        <v>25</v>
      </c>
      <c r="B165" s="6" t="s">
        <v>2826</v>
      </c>
      <c r="D165" s="6" t="s">
        <v>3122</v>
      </c>
      <c r="E165" s="6">
        <v>2</v>
      </c>
      <c r="F165" s="6">
        <v>24</v>
      </c>
      <c r="G165" s="6" t="s">
        <v>3247</v>
      </c>
      <c r="I165" s="8">
        <v>87.861033000000006</v>
      </c>
      <c r="J165" s="8">
        <v>88.024283999999994</v>
      </c>
      <c r="K165" s="6" t="s">
        <v>198</v>
      </c>
      <c r="L165" s="9">
        <v>43873</v>
      </c>
      <c r="M165" s="18">
        <v>0.27083333333333331</v>
      </c>
      <c r="N165" s="6">
        <v>20</v>
      </c>
      <c r="O165" s="6" t="s">
        <v>4313</v>
      </c>
      <c r="R165" s="6">
        <v>37</v>
      </c>
      <c r="S165" s="6">
        <v>34</v>
      </c>
      <c r="U165" s="32">
        <v>298</v>
      </c>
      <c r="V165" t="s">
        <v>4461</v>
      </c>
      <c r="W165" s="8">
        <v>-26.031748903656013</v>
      </c>
      <c r="X165" s="8">
        <v>-196.36607711791993</v>
      </c>
      <c r="Y165" s="8">
        <f>X165-(8*W165)</f>
        <v>11.887914111328172</v>
      </c>
    </row>
    <row r="166" spans="1:26" s="6" customFormat="1" x14ac:dyDescent="0.35">
      <c r="A166" s="6" t="s">
        <v>25</v>
      </c>
      <c r="B166" s="6" t="s">
        <v>2827</v>
      </c>
      <c r="D166" s="6" t="s">
        <v>3122</v>
      </c>
      <c r="E166" s="6">
        <v>2</v>
      </c>
      <c r="F166" s="6">
        <v>24</v>
      </c>
      <c r="G166" s="6" t="s">
        <v>3247</v>
      </c>
      <c r="I166" s="8">
        <v>87.861033000000006</v>
      </c>
      <c r="J166" s="8">
        <v>88.024283999999994</v>
      </c>
      <c r="K166" s="6" t="s">
        <v>198</v>
      </c>
      <c r="L166" s="9">
        <v>43873</v>
      </c>
      <c r="M166" s="18">
        <v>0.27083333333333331</v>
      </c>
      <c r="N166" s="6">
        <v>20</v>
      </c>
      <c r="O166" s="6" t="s">
        <v>4313</v>
      </c>
      <c r="R166" s="6">
        <v>4</v>
      </c>
      <c r="S166" s="6">
        <v>0</v>
      </c>
      <c r="U166" s="32">
        <v>635</v>
      </c>
      <c r="V166" t="s">
        <v>4461</v>
      </c>
      <c r="W166" s="8">
        <v>-10.453608967208861</v>
      </c>
      <c r="X166" s="8">
        <v>-89.167944213867187</v>
      </c>
      <c r="Y166" s="8">
        <f>X166-(8*W166)</f>
        <v>-5.5390724761962957</v>
      </c>
    </row>
    <row r="167" spans="1:26" s="6" customFormat="1" x14ac:dyDescent="0.35">
      <c r="A167" s="6" t="s">
        <v>25</v>
      </c>
      <c r="B167" s="6" t="s">
        <v>2829</v>
      </c>
      <c r="D167" s="6" t="s">
        <v>3123</v>
      </c>
      <c r="E167" s="6">
        <v>2</v>
      </c>
      <c r="F167" s="6">
        <v>24</v>
      </c>
      <c r="G167" s="6" t="s">
        <v>3248</v>
      </c>
      <c r="I167" s="8">
        <v>88.066822999999999</v>
      </c>
      <c r="J167" s="8">
        <v>79.750063999999995</v>
      </c>
      <c r="K167" s="6" t="s">
        <v>198</v>
      </c>
      <c r="L167" s="9">
        <v>43877</v>
      </c>
      <c r="M167" s="18">
        <v>0.44444444444444442</v>
      </c>
      <c r="N167" s="6">
        <v>20</v>
      </c>
      <c r="O167" s="6" t="s">
        <v>4327</v>
      </c>
      <c r="R167" s="6">
        <v>9</v>
      </c>
      <c r="S167" s="6">
        <v>4.5</v>
      </c>
      <c r="U167" s="34">
        <v>9.2200000000000006</v>
      </c>
      <c r="V167" t="s">
        <v>4462</v>
      </c>
      <c r="W167" s="8">
        <v>-23.340939779663088</v>
      </c>
      <c r="X167" s="8">
        <v>-179.86074526977538</v>
      </c>
      <c r="Y167" s="8">
        <f>X167-(8*W167)</f>
        <v>6.8667729675293288</v>
      </c>
    </row>
    <row r="168" spans="1:26" s="6" customFormat="1" x14ac:dyDescent="0.35">
      <c r="A168" s="6" t="s">
        <v>25</v>
      </c>
      <c r="B168" s="6" t="s">
        <v>2828</v>
      </c>
      <c r="D168" s="6" t="s">
        <v>3123</v>
      </c>
      <c r="E168" s="6">
        <v>2</v>
      </c>
      <c r="F168" s="6">
        <v>24</v>
      </c>
      <c r="G168" s="6" t="s">
        <v>3248</v>
      </c>
      <c r="I168" s="8">
        <v>88.066822999999999</v>
      </c>
      <c r="J168" s="8">
        <v>79.750063999999995</v>
      </c>
      <c r="K168" s="6" t="s">
        <v>198</v>
      </c>
      <c r="L168" s="9">
        <v>43877</v>
      </c>
      <c r="M168" s="18">
        <v>0.44444444444444442</v>
      </c>
      <c r="N168" s="6">
        <v>20</v>
      </c>
      <c r="O168" s="6" t="s">
        <v>4327</v>
      </c>
      <c r="R168" s="6">
        <v>15</v>
      </c>
      <c r="S168" s="6">
        <v>12.5</v>
      </c>
      <c r="U168" s="32">
        <v>75.7</v>
      </c>
      <c r="V168" t="s">
        <v>4461</v>
      </c>
      <c r="W168" s="8"/>
      <c r="X168" s="8"/>
      <c r="Y168" s="8">
        <f>X168-(8*W168)</f>
        <v>0</v>
      </c>
    </row>
    <row r="169" spans="1:26" s="6" customFormat="1" x14ac:dyDescent="0.35">
      <c r="A169" s="6" t="s">
        <v>25</v>
      </c>
      <c r="B169" s="6" t="s">
        <v>2830</v>
      </c>
      <c r="D169" s="6" t="s">
        <v>3124</v>
      </c>
      <c r="E169" s="6">
        <v>2</v>
      </c>
      <c r="F169" s="6">
        <v>25</v>
      </c>
      <c r="G169" s="6" t="s">
        <v>3249</v>
      </c>
      <c r="I169" s="8">
        <v>88.072472000000005</v>
      </c>
      <c r="J169" s="8">
        <v>79.234834000000006</v>
      </c>
      <c r="K169" s="6" t="s">
        <v>198</v>
      </c>
      <c r="L169" s="9">
        <v>43878</v>
      </c>
      <c r="M169" s="18">
        <v>0.27361111111111108</v>
      </c>
      <c r="N169" s="6">
        <v>21</v>
      </c>
      <c r="O169" s="6" t="s">
        <v>4328</v>
      </c>
      <c r="R169" s="6">
        <v>12</v>
      </c>
      <c r="S169" s="6">
        <v>6</v>
      </c>
      <c r="U169" s="32">
        <v>73</v>
      </c>
      <c r="V169" t="s">
        <v>4461</v>
      </c>
      <c r="W169" s="8">
        <v>-25.266858606719971</v>
      </c>
      <c r="X169" s="8">
        <v>-186.80758062744141</v>
      </c>
      <c r="Y169" s="8">
        <f>X169-(8*W169)</f>
        <v>15.327288226318359</v>
      </c>
    </row>
    <row r="170" spans="1:26" s="6" customFormat="1" x14ac:dyDescent="0.35">
      <c r="A170" s="6" t="s">
        <v>25</v>
      </c>
      <c r="B170" s="6" t="s">
        <v>2831</v>
      </c>
      <c r="D170" s="6" t="s">
        <v>3124</v>
      </c>
      <c r="E170" s="6">
        <v>2</v>
      </c>
      <c r="F170" s="6">
        <v>25</v>
      </c>
      <c r="G170" s="6" t="s">
        <v>3249</v>
      </c>
      <c r="I170" s="8">
        <v>88.072472000000005</v>
      </c>
      <c r="J170" s="8">
        <v>79.234834000000006</v>
      </c>
      <c r="K170" s="6" t="s">
        <v>198</v>
      </c>
      <c r="L170" s="9">
        <v>43878</v>
      </c>
      <c r="M170" s="18">
        <v>0.27361111111111108</v>
      </c>
      <c r="N170" s="6">
        <v>21</v>
      </c>
      <c r="O170" s="6" t="s">
        <v>4328</v>
      </c>
      <c r="R170" s="6">
        <v>6</v>
      </c>
      <c r="S170" s="6">
        <v>0</v>
      </c>
      <c r="U170" s="32">
        <v>31.4</v>
      </c>
      <c r="V170" t="s">
        <v>4461</v>
      </c>
      <c r="W170" s="8">
        <v>-10.430447733306885</v>
      </c>
      <c r="X170" s="8">
        <v>-96.561084594726566</v>
      </c>
      <c r="Y170" s="8">
        <f>X170-(8*W170)</f>
        <v>-13.117502728271489</v>
      </c>
    </row>
    <row r="171" spans="1:26" s="6" customFormat="1" x14ac:dyDescent="0.35">
      <c r="A171" s="6" t="s">
        <v>25</v>
      </c>
      <c r="B171" s="6" t="s">
        <v>2834</v>
      </c>
      <c r="D171" s="6" t="s">
        <v>3126</v>
      </c>
      <c r="E171" s="6">
        <v>2</v>
      </c>
      <c r="F171" s="6">
        <v>25</v>
      </c>
      <c r="G171" s="6" t="s">
        <v>3251</v>
      </c>
      <c r="I171" s="8">
        <v>88.499097000000006</v>
      </c>
      <c r="J171" s="8">
        <v>66.505656999999999</v>
      </c>
      <c r="K171" s="6" t="s">
        <v>198</v>
      </c>
      <c r="L171" s="9">
        <v>43882</v>
      </c>
      <c r="M171" s="18">
        <v>0.45833333333333331</v>
      </c>
      <c r="N171" s="6">
        <v>21</v>
      </c>
      <c r="O171" s="6" t="s">
        <v>4332</v>
      </c>
      <c r="R171" s="6">
        <v>81</v>
      </c>
      <c r="S171" s="6">
        <v>74</v>
      </c>
      <c r="U171" s="32">
        <v>137</v>
      </c>
      <c r="V171" t="s">
        <v>4461</v>
      </c>
      <c r="W171" s="8">
        <v>-29.104036150360105</v>
      </c>
      <c r="X171" s="8">
        <v>-219.68935354614257</v>
      </c>
      <c r="Y171" s="8">
        <f>X171-(8*W171)</f>
        <v>13.142935656738274</v>
      </c>
      <c r="Z171" s="6" t="s">
        <v>3184</v>
      </c>
    </row>
    <row r="172" spans="1:26" s="6" customFormat="1" x14ac:dyDescent="0.35">
      <c r="A172" s="6" t="s">
        <v>25</v>
      </c>
      <c r="B172" s="6" t="s">
        <v>2835</v>
      </c>
      <c r="D172" s="6" t="s">
        <v>3126</v>
      </c>
      <c r="E172" s="6">
        <v>2</v>
      </c>
      <c r="F172" s="6">
        <v>25</v>
      </c>
      <c r="G172" s="6" t="s">
        <v>3251</v>
      </c>
      <c r="I172" s="8">
        <v>88.499097000000006</v>
      </c>
      <c r="J172" s="8">
        <v>66.505656999999999</v>
      </c>
      <c r="K172" s="6" t="s">
        <v>198</v>
      </c>
      <c r="L172" s="9">
        <v>43882</v>
      </c>
      <c r="M172" s="18">
        <v>0.45833333333333331</v>
      </c>
      <c r="N172" s="6">
        <v>21</v>
      </c>
      <c r="O172" s="6" t="s">
        <v>4332</v>
      </c>
      <c r="R172" s="6">
        <v>43</v>
      </c>
      <c r="S172" s="6">
        <v>36</v>
      </c>
      <c r="U172" s="32">
        <v>80.2</v>
      </c>
      <c r="V172" t="s">
        <v>4461</v>
      </c>
      <c r="W172" s="8">
        <v>-29.009459384918213</v>
      </c>
      <c r="X172" s="8">
        <v>-216.67414855957031</v>
      </c>
      <c r="Y172" s="8">
        <f>X172-(8*W172)</f>
        <v>15.401526519775388</v>
      </c>
    </row>
    <row r="173" spans="1:26" s="6" customFormat="1" x14ac:dyDescent="0.35">
      <c r="A173" s="6" t="s">
        <v>25</v>
      </c>
      <c r="B173" s="6" t="s">
        <v>2836</v>
      </c>
      <c r="D173" s="6" t="s">
        <v>3126</v>
      </c>
      <c r="E173" s="6">
        <v>2</v>
      </c>
      <c r="F173" s="6">
        <v>25</v>
      </c>
      <c r="G173" s="6" t="s">
        <v>3251</v>
      </c>
      <c r="I173" s="8">
        <v>88.499097000000006</v>
      </c>
      <c r="J173" s="8">
        <v>66.505656999999999</v>
      </c>
      <c r="K173" s="6" t="s">
        <v>198</v>
      </c>
      <c r="L173" s="9">
        <v>43882</v>
      </c>
      <c r="M173" s="18">
        <v>0.45833333333333331</v>
      </c>
      <c r="N173" s="6">
        <v>21</v>
      </c>
      <c r="O173" s="6" t="s">
        <v>4332</v>
      </c>
      <c r="R173" s="6">
        <v>11</v>
      </c>
      <c r="S173" s="6">
        <v>3</v>
      </c>
      <c r="U173" s="32">
        <v>41.8</v>
      </c>
      <c r="V173" t="s">
        <v>4461</v>
      </c>
      <c r="W173" s="8">
        <v>-24.404503349304196</v>
      </c>
      <c r="X173" s="8">
        <v>-180.86500381469727</v>
      </c>
      <c r="Y173" s="8">
        <f>X173-(8*W173)</f>
        <v>14.371022979736296</v>
      </c>
    </row>
    <row r="174" spans="1:26" s="6" customFormat="1" x14ac:dyDescent="0.35">
      <c r="A174" s="6" t="s">
        <v>25</v>
      </c>
      <c r="B174" s="6" t="s">
        <v>2832</v>
      </c>
      <c r="D174" s="6" t="s">
        <v>3125</v>
      </c>
      <c r="E174" s="6">
        <v>2</v>
      </c>
      <c r="F174" s="6">
        <v>25</v>
      </c>
      <c r="G174" s="6" t="s">
        <v>3250</v>
      </c>
      <c r="I174" s="8">
        <v>88.478686999999994</v>
      </c>
      <c r="J174" s="8">
        <v>66.945536000000004</v>
      </c>
      <c r="K174" s="6" t="s">
        <v>198</v>
      </c>
      <c r="L174" s="9">
        <v>43882</v>
      </c>
      <c r="M174" s="18">
        <v>0.27083333333333331</v>
      </c>
      <c r="N174" s="6">
        <v>21</v>
      </c>
      <c r="O174" s="6" t="s">
        <v>4332</v>
      </c>
      <c r="R174" s="6">
        <v>7</v>
      </c>
      <c r="S174" s="6">
        <v>4</v>
      </c>
      <c r="U174" s="32">
        <v>100.1</v>
      </c>
      <c r="V174" t="s">
        <v>4461</v>
      </c>
      <c r="W174" s="8">
        <v>-22.091546369934083</v>
      </c>
      <c r="X174" s="8">
        <v>-160.16872064208985</v>
      </c>
      <c r="Y174" s="8">
        <f>X174-(8*W174)</f>
        <v>16.563650317382809</v>
      </c>
    </row>
    <row r="175" spans="1:26" s="6" customFormat="1" x14ac:dyDescent="0.35">
      <c r="A175" s="6" t="s">
        <v>25</v>
      </c>
      <c r="B175" s="6" t="s">
        <v>2833</v>
      </c>
      <c r="D175" s="6" t="s">
        <v>3125</v>
      </c>
      <c r="E175" s="6">
        <v>2</v>
      </c>
      <c r="F175" s="6">
        <v>25</v>
      </c>
      <c r="G175" s="6" t="s">
        <v>3250</v>
      </c>
      <c r="I175" s="8">
        <v>88.478686999999994</v>
      </c>
      <c r="J175" s="8">
        <v>66.945536000000004</v>
      </c>
      <c r="K175" s="6" t="s">
        <v>198</v>
      </c>
      <c r="L175" s="9">
        <v>43882</v>
      </c>
      <c r="M175" s="18">
        <v>0.27083333333333331</v>
      </c>
      <c r="N175" s="6">
        <v>21</v>
      </c>
      <c r="O175" s="6" t="s">
        <v>4332</v>
      </c>
      <c r="R175" s="6">
        <v>4</v>
      </c>
      <c r="S175" s="6">
        <v>0</v>
      </c>
      <c r="U175" s="34">
        <v>10.75</v>
      </c>
      <c r="V175" t="s">
        <v>4462</v>
      </c>
      <c r="W175" s="8">
        <v>-6.2380419811248782</v>
      </c>
      <c r="X175" s="8">
        <v>-55.271419441223145</v>
      </c>
      <c r="Y175" s="8">
        <f>X175-(8*W175)</f>
        <v>-5.3670835922241196</v>
      </c>
    </row>
    <row r="176" spans="1:26" s="6" customFormat="1" x14ac:dyDescent="0.35">
      <c r="A176" s="6" t="s">
        <v>25</v>
      </c>
      <c r="B176" s="6" t="s">
        <v>2837</v>
      </c>
      <c r="D176" s="6" t="s">
        <v>3127</v>
      </c>
      <c r="E176" s="6">
        <v>2</v>
      </c>
      <c r="F176" s="6">
        <v>29</v>
      </c>
      <c r="G176" s="6" t="s">
        <v>3254</v>
      </c>
      <c r="I176" s="8">
        <v>88.560158999999999</v>
      </c>
      <c r="J176" s="8">
        <v>45.682791000000002</v>
      </c>
      <c r="K176" s="6" t="s">
        <v>198</v>
      </c>
      <c r="L176" s="9">
        <v>43886</v>
      </c>
      <c r="M176" s="18">
        <v>0.51180555555555551</v>
      </c>
      <c r="N176" s="6">
        <v>22</v>
      </c>
      <c r="O176" s="6" t="s">
        <v>4334</v>
      </c>
      <c r="R176" s="6">
        <v>22</v>
      </c>
      <c r="S176" s="6">
        <v>19</v>
      </c>
      <c r="U176" s="32">
        <v>116.4</v>
      </c>
      <c r="V176" t="s">
        <v>4461</v>
      </c>
      <c r="W176" s="8">
        <v>-27.786503051757808</v>
      </c>
      <c r="X176" s="8">
        <v>-208.33268531799317</v>
      </c>
      <c r="Y176" s="8">
        <f>X176-(8*W176)</f>
        <v>13.9593390960693</v>
      </c>
    </row>
    <row r="177" spans="1:25" s="6" customFormat="1" x14ac:dyDescent="0.35">
      <c r="A177" s="6" t="s">
        <v>25</v>
      </c>
      <c r="B177" s="6" t="s">
        <v>2838</v>
      </c>
      <c r="D177" s="6" t="s">
        <v>3127</v>
      </c>
      <c r="E177" s="6">
        <v>2</v>
      </c>
      <c r="F177" s="6">
        <v>29</v>
      </c>
      <c r="G177" s="6" t="s">
        <v>3254</v>
      </c>
      <c r="I177" s="8">
        <v>88.560158999999999</v>
      </c>
      <c r="J177" s="8">
        <v>45.682791000000002</v>
      </c>
      <c r="K177" s="6" t="s">
        <v>198</v>
      </c>
      <c r="L177" s="9">
        <v>43886</v>
      </c>
      <c r="M177" s="18">
        <v>0.51180555555555551</v>
      </c>
      <c r="N177" s="6">
        <v>22</v>
      </c>
      <c r="O177" s="6" t="s">
        <v>4334</v>
      </c>
      <c r="R177" s="6">
        <v>15</v>
      </c>
      <c r="S177" s="6">
        <v>8</v>
      </c>
      <c r="U177" s="32">
        <v>16.7</v>
      </c>
      <c r="V177" t="s">
        <v>4461</v>
      </c>
      <c r="W177" s="8">
        <v>-19.69433769607544</v>
      </c>
      <c r="X177" s="8">
        <v>-135.169757232666</v>
      </c>
      <c r="Y177" s="8">
        <f>X177-(8*W177)</f>
        <v>22.384944335937519</v>
      </c>
    </row>
    <row r="178" spans="1:25" s="6" customFormat="1" x14ac:dyDescent="0.35">
      <c r="A178" s="6" t="s">
        <v>25</v>
      </c>
      <c r="B178" s="6" t="s">
        <v>2839</v>
      </c>
      <c r="D178" s="6" t="s">
        <v>3127</v>
      </c>
      <c r="E178" s="6">
        <v>2</v>
      </c>
      <c r="F178" s="6">
        <v>29</v>
      </c>
      <c r="G178" s="6" t="s">
        <v>3254</v>
      </c>
      <c r="I178" s="8">
        <v>88.560158999999999</v>
      </c>
      <c r="J178" s="8">
        <v>45.682791000000002</v>
      </c>
      <c r="K178" s="6" t="s">
        <v>198</v>
      </c>
      <c r="L178" s="9">
        <v>43886</v>
      </c>
      <c r="M178" s="18">
        <v>0.51180555555555551</v>
      </c>
      <c r="N178" s="6">
        <v>22</v>
      </c>
      <c r="O178" s="6" t="s">
        <v>4334</v>
      </c>
      <c r="R178" s="6">
        <v>6</v>
      </c>
      <c r="S178" s="6">
        <v>0</v>
      </c>
      <c r="U178" s="32">
        <v>856</v>
      </c>
      <c r="V178" t="s">
        <v>4461</v>
      </c>
      <c r="W178" s="8">
        <v>-10.616203493118286</v>
      </c>
      <c r="X178" s="8">
        <v>-97.292271804809573</v>
      </c>
      <c r="Y178" s="8">
        <f>X178-(8*W178)</f>
        <v>-12.362643859863283</v>
      </c>
    </row>
    <row r="179" spans="1:25" s="6" customFormat="1" x14ac:dyDescent="0.35">
      <c r="A179" s="6" t="s">
        <v>25</v>
      </c>
      <c r="B179" s="6" t="s">
        <v>2841</v>
      </c>
      <c r="D179" s="6" t="s">
        <v>3128</v>
      </c>
      <c r="E179" s="6">
        <v>2</v>
      </c>
      <c r="F179" s="6">
        <v>29</v>
      </c>
      <c r="G179" s="6" t="s">
        <v>3252</v>
      </c>
      <c r="I179" s="8">
        <v>88.507153000000002</v>
      </c>
      <c r="J179" s="8">
        <v>41.149214000000001</v>
      </c>
      <c r="K179" s="6" t="s">
        <v>198</v>
      </c>
      <c r="L179" s="9">
        <v>43887</v>
      </c>
      <c r="M179" s="18">
        <v>0.2673611111111111</v>
      </c>
      <c r="N179" s="6">
        <v>22</v>
      </c>
      <c r="O179" s="6" t="s">
        <v>4291</v>
      </c>
      <c r="R179" s="6">
        <v>9</v>
      </c>
      <c r="S179" s="6">
        <v>6</v>
      </c>
      <c r="U179" s="32">
        <v>107.5</v>
      </c>
      <c r="V179" t="s">
        <v>4461</v>
      </c>
      <c r="W179" s="8">
        <v>-30.806774934082028</v>
      </c>
      <c r="X179" s="8">
        <v>-225.46530105590818</v>
      </c>
      <c r="Y179" s="8">
        <f>X179-(8*W179)</f>
        <v>20.988898416748043</v>
      </c>
    </row>
    <row r="180" spans="1:25" s="6" customFormat="1" x14ac:dyDescent="0.35">
      <c r="A180" s="6" t="s">
        <v>25</v>
      </c>
      <c r="B180" s="6" t="s">
        <v>2840</v>
      </c>
      <c r="D180" s="6" t="s">
        <v>3128</v>
      </c>
      <c r="E180" s="6">
        <v>2</v>
      </c>
      <c r="F180" s="6">
        <v>29</v>
      </c>
      <c r="G180" s="6" t="s">
        <v>3252</v>
      </c>
      <c r="I180" s="8">
        <v>88.507153000000002</v>
      </c>
      <c r="J180" s="8">
        <v>41.149214000000001</v>
      </c>
      <c r="K180" s="6" t="s">
        <v>198</v>
      </c>
      <c r="L180" s="9">
        <v>43887</v>
      </c>
      <c r="M180" s="18">
        <v>0.2673611111111111</v>
      </c>
      <c r="N180" s="6">
        <v>22</v>
      </c>
      <c r="O180" s="6" t="s">
        <v>4291</v>
      </c>
      <c r="R180" s="6">
        <v>31</v>
      </c>
      <c r="S180" s="6">
        <v>28</v>
      </c>
      <c r="U180" s="32">
        <v>159.5</v>
      </c>
      <c r="V180" t="s">
        <v>4461</v>
      </c>
      <c r="W180" s="8">
        <v>-28.857289375305175</v>
      </c>
      <c r="X180" s="8">
        <v>-222.69885681152343</v>
      </c>
      <c r="Y180" s="8">
        <f>X180-(8*W180)</f>
        <v>8.1594581909179738</v>
      </c>
    </row>
    <row r="181" spans="1:25" s="6" customFormat="1" x14ac:dyDescent="0.35">
      <c r="A181" s="6" t="s">
        <v>25</v>
      </c>
      <c r="B181" s="6" t="s">
        <v>2843</v>
      </c>
      <c r="D181" s="6" t="s">
        <v>3129</v>
      </c>
      <c r="E181" s="6">
        <v>2</v>
      </c>
      <c r="F181" s="6">
        <v>29</v>
      </c>
      <c r="G181" s="6" t="s">
        <v>3253</v>
      </c>
      <c r="I181" s="8">
        <v>88.494369000000006</v>
      </c>
      <c r="J181" s="8">
        <v>40.363484</v>
      </c>
      <c r="K181" s="6" t="s">
        <v>198</v>
      </c>
      <c r="L181" s="9">
        <v>43887</v>
      </c>
      <c r="M181" s="18">
        <v>0.41666666666666669</v>
      </c>
      <c r="N181" s="6">
        <v>22</v>
      </c>
      <c r="O181" s="6" t="s">
        <v>4291</v>
      </c>
      <c r="R181" s="6">
        <v>9</v>
      </c>
      <c r="S181" s="6">
        <v>6</v>
      </c>
      <c r="U181" s="32">
        <v>316</v>
      </c>
      <c r="V181" t="s">
        <v>4461</v>
      </c>
      <c r="W181" s="8">
        <v>-27.710804294586179</v>
      </c>
      <c r="X181" s="8">
        <v>-203.24551261901854</v>
      </c>
      <c r="Y181" s="8">
        <f>X181-(8*W181)</f>
        <v>18.440921737670891</v>
      </c>
    </row>
    <row r="182" spans="1:25" s="6" customFormat="1" x14ac:dyDescent="0.35">
      <c r="A182" s="6" t="s">
        <v>25</v>
      </c>
      <c r="B182" s="6" t="s">
        <v>2842</v>
      </c>
      <c r="D182" s="6" t="s">
        <v>3128</v>
      </c>
      <c r="E182" s="6">
        <v>2</v>
      </c>
      <c r="F182" s="6">
        <v>29</v>
      </c>
      <c r="G182" s="6" t="s">
        <v>3252</v>
      </c>
      <c r="I182" s="8">
        <v>88.507153000000002</v>
      </c>
      <c r="J182" s="8">
        <v>41.149214000000001</v>
      </c>
      <c r="K182" s="6" t="s">
        <v>198</v>
      </c>
      <c r="L182" s="9">
        <v>43887</v>
      </c>
      <c r="M182" s="18">
        <v>0.2673611111111111</v>
      </c>
      <c r="N182" s="6">
        <v>22</v>
      </c>
      <c r="O182" s="6" t="s">
        <v>4291</v>
      </c>
      <c r="R182" s="6">
        <v>5</v>
      </c>
      <c r="S182" s="6">
        <v>0</v>
      </c>
      <c r="U182" s="34">
        <v>4.97</v>
      </c>
      <c r="V182" t="s">
        <v>4462</v>
      </c>
      <c r="W182" s="8">
        <v>-25.534276718139647</v>
      </c>
      <c r="X182" s="8">
        <v>-188.67766983032226</v>
      </c>
      <c r="Y182" s="8">
        <f>X182-(8*W182)</f>
        <v>15.596543914794921</v>
      </c>
    </row>
    <row r="183" spans="1:25" s="6" customFormat="1" x14ac:dyDescent="0.35">
      <c r="A183" s="6" t="s">
        <v>25</v>
      </c>
      <c r="B183" s="6" t="s">
        <v>2844</v>
      </c>
      <c r="D183" s="6" t="s">
        <v>3129</v>
      </c>
      <c r="E183" s="6">
        <v>2</v>
      </c>
      <c r="F183" s="6">
        <v>29</v>
      </c>
      <c r="G183" s="6" t="s">
        <v>3253</v>
      </c>
      <c r="I183" s="8">
        <v>88.494369000000006</v>
      </c>
      <c r="J183" s="8">
        <v>40.363484</v>
      </c>
      <c r="K183" s="6" t="s">
        <v>198</v>
      </c>
      <c r="L183" s="9">
        <v>43887</v>
      </c>
      <c r="M183" s="18">
        <v>0.41666666666666669</v>
      </c>
      <c r="N183" s="6">
        <v>22</v>
      </c>
      <c r="O183" s="6" t="s">
        <v>4291</v>
      </c>
      <c r="R183" s="6">
        <v>6</v>
      </c>
      <c r="S183" s="6">
        <v>3</v>
      </c>
      <c r="U183" s="32">
        <v>14.06</v>
      </c>
      <c r="V183" t="s">
        <v>4462</v>
      </c>
      <c r="W183" s="8">
        <v>-22.123937419891355</v>
      </c>
      <c r="X183" s="8">
        <v>-168.82661926269532</v>
      </c>
      <c r="Y183" s="8">
        <f>X183-(8*W183)</f>
        <v>8.1648800964355246</v>
      </c>
    </row>
    <row r="184" spans="1:25" s="6" customFormat="1" x14ac:dyDescent="0.35">
      <c r="A184" s="6" t="s">
        <v>25</v>
      </c>
      <c r="B184" s="6" t="s">
        <v>2845</v>
      </c>
      <c r="D184" s="6" t="s">
        <v>3129</v>
      </c>
      <c r="E184" s="6">
        <v>2</v>
      </c>
      <c r="F184" s="6">
        <v>29</v>
      </c>
      <c r="G184" s="6" t="s">
        <v>3253</v>
      </c>
      <c r="I184" s="8">
        <v>88.494369000000006</v>
      </c>
      <c r="J184" s="8">
        <v>40.363484</v>
      </c>
      <c r="K184" s="6" t="s">
        <v>198</v>
      </c>
      <c r="L184" s="9">
        <v>43887</v>
      </c>
      <c r="M184" s="18">
        <v>0.41666666666666669</v>
      </c>
      <c r="N184" s="6">
        <v>22</v>
      </c>
      <c r="O184" s="6" t="s">
        <v>4291</v>
      </c>
      <c r="R184" s="6">
        <v>3</v>
      </c>
      <c r="S184" s="6">
        <v>0</v>
      </c>
      <c r="U184" s="32">
        <v>26.2</v>
      </c>
      <c r="V184" t="s">
        <v>4462</v>
      </c>
      <c r="W184" s="8">
        <v>-15.67700108909607</v>
      </c>
      <c r="X184" s="8">
        <v>-121.50857105255126</v>
      </c>
      <c r="Y184" s="8">
        <f>X184-(8*W184)</f>
        <v>3.9074376602172975</v>
      </c>
    </row>
    <row r="185" spans="1:25" s="6" customFormat="1" x14ac:dyDescent="0.35">
      <c r="A185" s="6" t="s">
        <v>25</v>
      </c>
      <c r="B185" s="6" t="s">
        <v>2846</v>
      </c>
      <c r="D185" s="6" t="s">
        <v>3130</v>
      </c>
      <c r="E185" s="6">
        <v>3</v>
      </c>
      <c r="F185" s="6">
        <v>30</v>
      </c>
      <c r="G185" s="6" t="s">
        <v>3308</v>
      </c>
      <c r="I185" s="8">
        <v>88.184997847222206</v>
      </c>
      <c r="J185" s="8">
        <v>31.048881250000001</v>
      </c>
      <c r="K185" s="6" t="s">
        <v>198</v>
      </c>
      <c r="L185" s="9">
        <v>43892</v>
      </c>
      <c r="M185" s="18">
        <v>0.58333333333333337</v>
      </c>
      <c r="N185" s="6">
        <v>23</v>
      </c>
      <c r="O185" s="6" t="s">
        <v>4338</v>
      </c>
      <c r="R185" s="6">
        <v>13.5</v>
      </c>
      <c r="S185" s="6">
        <v>10</v>
      </c>
      <c r="U185" s="32">
        <v>93.7</v>
      </c>
      <c r="V185" t="s">
        <v>4461</v>
      </c>
      <c r="W185" s="8">
        <v>-28.192798961639404</v>
      </c>
      <c r="X185" s="8">
        <v>-212.10693550109863</v>
      </c>
      <c r="Y185" s="8">
        <f>X185-(8*W185)</f>
        <v>13.435456192016602</v>
      </c>
    </row>
    <row r="186" spans="1:25" s="6" customFormat="1" x14ac:dyDescent="0.35">
      <c r="A186" s="6" t="s">
        <v>25</v>
      </c>
      <c r="B186" s="6" t="s">
        <v>2848</v>
      </c>
      <c r="D186" s="6" t="s">
        <v>3131</v>
      </c>
      <c r="E186" s="6">
        <v>3</v>
      </c>
      <c r="F186" s="6">
        <v>30</v>
      </c>
      <c r="G186" s="6" t="s">
        <v>3309</v>
      </c>
      <c r="I186" s="8">
        <v>88.097969444444402</v>
      </c>
      <c r="J186" s="8">
        <v>30.514582083333298</v>
      </c>
      <c r="K186" s="6" t="s">
        <v>198</v>
      </c>
      <c r="L186" s="9">
        <v>43894</v>
      </c>
      <c r="M186" s="18">
        <v>0.45833333333333331</v>
      </c>
      <c r="N186" s="6">
        <v>23</v>
      </c>
      <c r="O186" s="6" t="s">
        <v>4340</v>
      </c>
      <c r="R186" s="6">
        <v>18</v>
      </c>
      <c r="S186" s="6">
        <v>16</v>
      </c>
      <c r="U186" s="32">
        <v>243</v>
      </c>
      <c r="V186" t="s">
        <v>4461</v>
      </c>
      <c r="W186" s="8">
        <v>-25.75038540945053</v>
      </c>
      <c r="X186" s="8">
        <v>-188.37222163085937</v>
      </c>
      <c r="Y186" s="8">
        <f>X186-(8*W186)</f>
        <v>17.630861644744868</v>
      </c>
    </row>
    <row r="187" spans="1:25" s="6" customFormat="1" x14ac:dyDescent="0.35">
      <c r="A187" s="6" t="s">
        <v>25</v>
      </c>
      <c r="B187" s="6" t="s">
        <v>2849</v>
      </c>
      <c r="D187" s="6" t="s">
        <v>3131</v>
      </c>
      <c r="E187" s="6">
        <v>3</v>
      </c>
      <c r="F187" s="6">
        <v>30</v>
      </c>
      <c r="G187" s="6" t="s">
        <v>3309</v>
      </c>
      <c r="I187" s="8">
        <v>88.097969444444402</v>
      </c>
      <c r="J187" s="8">
        <v>30.514582083333298</v>
      </c>
      <c r="K187" s="6" t="s">
        <v>198</v>
      </c>
      <c r="L187" s="9">
        <v>43894</v>
      </c>
      <c r="M187" s="18">
        <v>0.45833333333333331</v>
      </c>
      <c r="N187" s="6">
        <v>23</v>
      </c>
      <c r="O187" s="6" t="s">
        <v>4340</v>
      </c>
      <c r="R187" s="6">
        <v>12.5</v>
      </c>
      <c r="S187" s="6">
        <v>8</v>
      </c>
      <c r="U187" s="32">
        <v>21.3</v>
      </c>
      <c r="V187" t="s">
        <v>4461</v>
      </c>
      <c r="W187" s="8">
        <v>-14.977782784080507</v>
      </c>
      <c r="X187" s="8">
        <v>-109.96962290649414</v>
      </c>
      <c r="Y187" s="8">
        <f>X187-(8*W187)</f>
        <v>9.8526393661499156</v>
      </c>
    </row>
    <row r="188" spans="1:25" s="6" customFormat="1" x14ac:dyDescent="0.35">
      <c r="A188" s="6" t="s">
        <v>25</v>
      </c>
      <c r="B188" s="6" t="s">
        <v>2850</v>
      </c>
      <c r="D188" s="6" t="s">
        <v>3131</v>
      </c>
      <c r="E188" s="6">
        <v>3</v>
      </c>
      <c r="F188" s="6">
        <v>30</v>
      </c>
      <c r="G188" s="6" t="s">
        <v>3309</v>
      </c>
      <c r="I188" s="8">
        <v>88.097969444444402</v>
      </c>
      <c r="J188" s="8">
        <v>30.514582083333298</v>
      </c>
      <c r="K188" s="6" t="s">
        <v>198</v>
      </c>
      <c r="L188" s="9">
        <v>43894</v>
      </c>
      <c r="M188" s="18">
        <v>0.45833333333333331</v>
      </c>
      <c r="N188" s="6">
        <v>23</v>
      </c>
      <c r="O188" s="6" t="s">
        <v>4340</v>
      </c>
      <c r="R188" s="6">
        <v>5</v>
      </c>
      <c r="S188" s="6">
        <v>1</v>
      </c>
      <c r="U188" s="32">
        <v>2.52</v>
      </c>
      <c r="V188" t="s">
        <v>4462</v>
      </c>
      <c r="W188" s="8">
        <v>-6.6205030941009522</v>
      </c>
      <c r="X188" s="8">
        <v>-62.259956081390378</v>
      </c>
      <c r="Y188" s="8">
        <f>X188-(8*W188)</f>
        <v>-9.2959313285827605</v>
      </c>
    </row>
    <row r="189" spans="1:25" s="6" customFormat="1" x14ac:dyDescent="0.35">
      <c r="A189" s="6" t="s">
        <v>25</v>
      </c>
      <c r="B189" s="6" t="s">
        <v>2851</v>
      </c>
      <c r="D189" s="6" t="s">
        <v>3132</v>
      </c>
      <c r="E189" s="6">
        <v>3</v>
      </c>
      <c r="F189" s="6">
        <v>31</v>
      </c>
      <c r="G189" s="6" t="s">
        <v>3310</v>
      </c>
      <c r="I189" s="8">
        <v>87.660309999999996</v>
      </c>
      <c r="J189" s="8">
        <v>24.286057569444399</v>
      </c>
      <c r="K189" s="6" t="s">
        <v>198</v>
      </c>
      <c r="L189" s="9">
        <v>43901</v>
      </c>
      <c r="M189" s="18">
        <v>0.39930555555555558</v>
      </c>
      <c r="N189" s="6">
        <v>24</v>
      </c>
      <c r="O189" s="6" t="s">
        <v>4345</v>
      </c>
      <c r="R189" s="6">
        <v>18</v>
      </c>
      <c r="S189" s="6">
        <v>17</v>
      </c>
      <c r="U189" s="32">
        <v>170.1</v>
      </c>
      <c r="V189" t="s">
        <v>4461</v>
      </c>
      <c r="W189" s="8">
        <v>-29.291629677200309</v>
      </c>
      <c r="X189" s="8">
        <v>-226.06866421508789</v>
      </c>
      <c r="Y189" s="8">
        <f>X189-(8*W189)</f>
        <v>8.2643732025145766</v>
      </c>
    </row>
    <row r="190" spans="1:25" s="6" customFormat="1" x14ac:dyDescent="0.35">
      <c r="A190" s="6" t="s">
        <v>25</v>
      </c>
      <c r="B190" s="6" t="s">
        <v>2852</v>
      </c>
      <c r="D190" s="6" t="s">
        <v>3132</v>
      </c>
      <c r="E190" s="6">
        <v>3</v>
      </c>
      <c r="F190" s="6">
        <v>31</v>
      </c>
      <c r="G190" s="6" t="s">
        <v>3310</v>
      </c>
      <c r="I190" s="8">
        <v>87.660309999999996</v>
      </c>
      <c r="J190" s="8">
        <v>24.286057569444399</v>
      </c>
      <c r="K190" s="6" t="s">
        <v>198</v>
      </c>
      <c r="L190" s="9">
        <v>43901</v>
      </c>
      <c r="M190" s="18">
        <v>0.39930555555555558</v>
      </c>
      <c r="N190" s="6">
        <v>24</v>
      </c>
      <c r="O190" s="6" t="s">
        <v>4345</v>
      </c>
      <c r="R190" s="6">
        <v>14</v>
      </c>
      <c r="S190" s="6">
        <v>11</v>
      </c>
      <c r="U190" s="32">
        <v>161.1</v>
      </c>
      <c r="V190" t="s">
        <v>4461</v>
      </c>
      <c r="W190" s="8">
        <v>-28.73593911781311</v>
      </c>
      <c r="X190" s="8">
        <v>-222.04855480957033</v>
      </c>
      <c r="Y190" s="8">
        <f>X190-(8*W190)</f>
        <v>7.8389581329345503</v>
      </c>
    </row>
    <row r="191" spans="1:25" s="6" customFormat="1" x14ac:dyDescent="0.35">
      <c r="A191" s="6" t="s">
        <v>25</v>
      </c>
      <c r="B191" s="6" t="s">
        <v>2853</v>
      </c>
      <c r="D191" s="6" t="s">
        <v>3132</v>
      </c>
      <c r="E191" s="6">
        <v>3</v>
      </c>
      <c r="F191" s="6">
        <v>31</v>
      </c>
      <c r="G191" s="6" t="s">
        <v>3310</v>
      </c>
      <c r="I191" s="8">
        <v>87.660309999999996</v>
      </c>
      <c r="J191" s="8">
        <v>24.286057569444399</v>
      </c>
      <c r="K191" s="6" t="s">
        <v>198</v>
      </c>
      <c r="L191" s="9">
        <v>43901</v>
      </c>
      <c r="M191" s="18">
        <v>0.39930555555555558</v>
      </c>
      <c r="N191" s="6">
        <v>24</v>
      </c>
      <c r="O191" s="6" t="s">
        <v>4345</v>
      </c>
      <c r="R191" s="6">
        <v>8</v>
      </c>
      <c r="S191" s="6">
        <v>4</v>
      </c>
      <c r="U191" s="32">
        <v>46.7</v>
      </c>
      <c r="V191" t="s">
        <v>4461</v>
      </c>
      <c r="W191" s="8">
        <v>-12.06211194076538</v>
      </c>
      <c r="X191" s="8">
        <v>-88.269357078552247</v>
      </c>
      <c r="Y191" s="8">
        <f>X191-(8*W191)</f>
        <v>8.2275384475707938</v>
      </c>
    </row>
    <row r="192" spans="1:25" s="6" customFormat="1" x14ac:dyDescent="0.35">
      <c r="A192" s="6" t="s">
        <v>25</v>
      </c>
      <c r="B192" s="7"/>
      <c r="D192" s="6" t="s">
        <v>1117</v>
      </c>
      <c r="E192" s="6">
        <v>3</v>
      </c>
      <c r="F192" s="6">
        <v>31</v>
      </c>
      <c r="I192" s="8">
        <v>87.5249151388889</v>
      </c>
      <c r="J192" s="8">
        <v>21.472065277777801</v>
      </c>
      <c r="K192" s="6" t="s">
        <v>198</v>
      </c>
      <c r="L192" s="9">
        <v>43902</v>
      </c>
      <c r="N192" s="6">
        <v>24</v>
      </c>
      <c r="O192" s="6" t="s">
        <v>4346</v>
      </c>
      <c r="R192" s="6">
        <v>0</v>
      </c>
      <c r="S192" s="6">
        <v>0</v>
      </c>
      <c r="T192" s="10">
        <f>AVERAGE(R192:S192)</f>
        <v>0</v>
      </c>
      <c r="W192" s="8">
        <v>-23.299132843017581</v>
      </c>
      <c r="X192" s="8">
        <v>-179.43850305175781</v>
      </c>
      <c r="Y192" s="8">
        <f>X192-(8*W192)</f>
        <v>6.9545596923828441</v>
      </c>
    </row>
    <row r="193" spans="1:26" s="6" customFormat="1" x14ac:dyDescent="0.35">
      <c r="A193" s="6" t="s">
        <v>25</v>
      </c>
      <c r="B193" s="7"/>
      <c r="D193" s="6" t="s">
        <v>1118</v>
      </c>
      <c r="E193" s="6">
        <v>3</v>
      </c>
      <c r="F193" s="6">
        <v>31</v>
      </c>
      <c r="I193" s="8">
        <v>87.5249151388889</v>
      </c>
      <c r="J193" s="8">
        <v>21.472065277777801</v>
      </c>
      <c r="K193" s="6" t="s">
        <v>198</v>
      </c>
      <c r="L193" s="9">
        <v>43902</v>
      </c>
      <c r="N193" s="6">
        <v>24</v>
      </c>
      <c r="O193" s="6" t="s">
        <v>4346</v>
      </c>
      <c r="R193" s="6">
        <v>0</v>
      </c>
      <c r="S193" s="6">
        <v>0</v>
      </c>
      <c r="T193" s="10">
        <f>AVERAGE(R193:S193)</f>
        <v>0</v>
      </c>
      <c r="W193" s="8">
        <v>-21.775018234252929</v>
      </c>
      <c r="X193" s="8">
        <v>-168.62642687988281</v>
      </c>
      <c r="Y193" s="8">
        <f>X193-(8*W193)</f>
        <v>5.57371899414062</v>
      </c>
    </row>
    <row r="194" spans="1:26" s="6" customFormat="1" x14ac:dyDescent="0.35">
      <c r="A194" s="6" t="s">
        <v>25</v>
      </c>
      <c r="B194" s="7"/>
      <c r="D194" s="6" t="s">
        <v>1120</v>
      </c>
      <c r="E194" s="6">
        <v>3</v>
      </c>
      <c r="F194" s="6">
        <v>31</v>
      </c>
      <c r="I194" s="8">
        <v>87.306370555555603</v>
      </c>
      <c r="J194" s="8">
        <v>18.873863402777801</v>
      </c>
      <c r="K194" s="6" t="s">
        <v>198</v>
      </c>
      <c r="L194" s="9">
        <v>43903</v>
      </c>
      <c r="N194" s="6">
        <v>24</v>
      </c>
      <c r="O194" s="6" t="s">
        <v>4347</v>
      </c>
      <c r="R194" s="6">
        <v>0</v>
      </c>
      <c r="S194" s="6">
        <v>5</v>
      </c>
      <c r="T194" s="10">
        <f>AVERAGE(R194:S194)</f>
        <v>2.5</v>
      </c>
      <c r="W194" s="8">
        <v>-33.752147808837897</v>
      </c>
      <c r="X194" s="8">
        <v>-259.07386260986328</v>
      </c>
      <c r="Y194" s="8">
        <f>X194-(8*W194)</f>
        <v>10.943319860839892</v>
      </c>
    </row>
    <row r="195" spans="1:26" s="6" customFormat="1" x14ac:dyDescent="0.35">
      <c r="A195" s="6" t="s">
        <v>25</v>
      </c>
      <c r="B195" s="7"/>
      <c r="D195" s="6" t="s">
        <v>1121</v>
      </c>
      <c r="E195" s="6">
        <v>3</v>
      </c>
      <c r="F195" s="6">
        <v>31</v>
      </c>
      <c r="I195" s="8">
        <v>87.306370555555603</v>
      </c>
      <c r="J195" s="8">
        <v>18.873863402777801</v>
      </c>
      <c r="K195" s="6" t="s">
        <v>198</v>
      </c>
      <c r="L195" s="9">
        <v>43903</v>
      </c>
      <c r="N195" s="6">
        <v>24</v>
      </c>
      <c r="O195" s="6" t="s">
        <v>4347</v>
      </c>
      <c r="R195" s="6">
        <v>5</v>
      </c>
      <c r="S195" s="6">
        <v>7</v>
      </c>
      <c r="T195" s="10">
        <f>AVERAGE(R195:S195)</f>
        <v>6</v>
      </c>
      <c r="W195" s="8">
        <v>-15.020552779006957</v>
      </c>
      <c r="X195" s="8">
        <v>-116.54518325805664</v>
      </c>
      <c r="Y195" s="8">
        <f>X195-(8*W195)</f>
        <v>3.6192389739990176</v>
      </c>
    </row>
    <row r="196" spans="1:26" s="6" customFormat="1" x14ac:dyDescent="0.35">
      <c r="A196" s="6" t="s">
        <v>25</v>
      </c>
      <c r="B196" s="7"/>
      <c r="D196" s="6" t="s">
        <v>1126</v>
      </c>
      <c r="E196" s="6">
        <v>3</v>
      </c>
      <c r="F196" s="6">
        <v>31</v>
      </c>
      <c r="I196" s="8">
        <v>87.138459583333301</v>
      </c>
      <c r="J196" s="8">
        <v>17.1934574305556</v>
      </c>
      <c r="K196" s="6" t="s">
        <v>198</v>
      </c>
      <c r="L196" s="9">
        <v>43904</v>
      </c>
      <c r="N196" s="6">
        <v>24</v>
      </c>
      <c r="O196" s="6" t="s">
        <v>4280</v>
      </c>
      <c r="R196" s="6">
        <v>0</v>
      </c>
      <c r="S196" s="6">
        <v>2.5</v>
      </c>
      <c r="T196" s="10">
        <f>AVERAGE(R196:S196)</f>
        <v>1.25</v>
      </c>
      <c r="W196" s="8">
        <v>-33.857241040039064</v>
      </c>
      <c r="X196" s="8">
        <v>-259.37284332275391</v>
      </c>
      <c r="Y196" s="8">
        <f>X196-(8*W196)</f>
        <v>11.485084997558602</v>
      </c>
    </row>
    <row r="197" spans="1:26" s="6" customFormat="1" x14ac:dyDescent="0.35">
      <c r="A197" s="6" t="s">
        <v>25</v>
      </c>
      <c r="B197" s="7"/>
      <c r="D197" s="6" t="s">
        <v>1124</v>
      </c>
      <c r="E197" s="6">
        <v>3</v>
      </c>
      <c r="F197" s="6">
        <v>31</v>
      </c>
      <c r="I197" s="8">
        <v>87.138459583333301</v>
      </c>
      <c r="J197" s="8">
        <v>17.1934574305556</v>
      </c>
      <c r="K197" s="6" t="s">
        <v>198</v>
      </c>
      <c r="L197" s="9">
        <v>43904</v>
      </c>
      <c r="N197" s="6">
        <v>24</v>
      </c>
      <c r="O197" s="6" t="s">
        <v>4280</v>
      </c>
      <c r="R197" s="6">
        <v>0</v>
      </c>
      <c r="S197" s="6">
        <v>3</v>
      </c>
      <c r="T197" s="10">
        <f>AVERAGE(R197:S197)</f>
        <v>1.5</v>
      </c>
      <c r="W197" s="8">
        <v>-33.146294136810305</v>
      </c>
      <c r="X197" s="8">
        <v>-254.70809295654297</v>
      </c>
      <c r="Y197" s="8">
        <f>X197-(8*W197)</f>
        <v>10.462260137939467</v>
      </c>
    </row>
    <row r="198" spans="1:26" s="6" customFormat="1" x14ac:dyDescent="0.35">
      <c r="A198" s="6" t="s">
        <v>25</v>
      </c>
      <c r="B198" s="7"/>
      <c r="D198" s="6" t="s">
        <v>1127</v>
      </c>
      <c r="E198" s="6">
        <v>3</v>
      </c>
      <c r="F198" s="6">
        <v>31</v>
      </c>
      <c r="I198" s="8">
        <v>87.138459583333301</v>
      </c>
      <c r="J198" s="8">
        <v>17.1934574305556</v>
      </c>
      <c r="K198" s="6" t="s">
        <v>198</v>
      </c>
      <c r="L198" s="9">
        <v>43904</v>
      </c>
      <c r="N198" s="6">
        <v>24</v>
      </c>
      <c r="O198" s="6" t="s">
        <v>4280</v>
      </c>
      <c r="R198" s="6">
        <v>2.5</v>
      </c>
      <c r="S198" s="6">
        <v>5</v>
      </c>
      <c r="T198" s="10">
        <f>AVERAGE(R198:S198)</f>
        <v>3.75</v>
      </c>
      <c r="W198" s="8">
        <v>-20.964497719573973</v>
      </c>
      <c r="X198" s="8">
        <v>-162.17937911987303</v>
      </c>
      <c r="Y198" s="8">
        <f>X198-(8*W198)</f>
        <v>5.5366026367187544</v>
      </c>
    </row>
    <row r="199" spans="1:26" s="6" customFormat="1" x14ac:dyDescent="0.35">
      <c r="A199" s="6" t="s">
        <v>25</v>
      </c>
      <c r="B199" s="7"/>
      <c r="D199" s="6" t="s">
        <v>1125</v>
      </c>
      <c r="E199" s="6">
        <v>3</v>
      </c>
      <c r="F199" s="6">
        <v>31</v>
      </c>
      <c r="I199" s="8">
        <v>87.138459583333301</v>
      </c>
      <c r="J199" s="8">
        <v>17.1934574305556</v>
      </c>
      <c r="K199" s="6" t="s">
        <v>198</v>
      </c>
      <c r="L199" s="9">
        <v>43904</v>
      </c>
      <c r="N199" s="6">
        <v>24</v>
      </c>
      <c r="O199" s="6" t="s">
        <v>4280</v>
      </c>
      <c r="R199" s="6">
        <v>3</v>
      </c>
      <c r="S199" s="6">
        <v>5</v>
      </c>
      <c r="T199" s="10">
        <f>AVERAGE(R199:S199)</f>
        <v>4</v>
      </c>
      <c r="W199" s="8">
        <v>-16.170186491775514</v>
      </c>
      <c r="X199" s="8">
        <v>-125.89718154907226</v>
      </c>
      <c r="Y199" s="8">
        <f>X199-(8*W199)</f>
        <v>3.4643103851318529</v>
      </c>
    </row>
    <row r="200" spans="1:26" s="6" customFormat="1" x14ac:dyDescent="0.35">
      <c r="A200" s="6" t="s">
        <v>25</v>
      </c>
      <c r="B200" s="7"/>
      <c r="D200" s="6" t="s">
        <v>1130</v>
      </c>
      <c r="E200" s="6">
        <v>3</v>
      </c>
      <c r="F200" s="6">
        <v>31</v>
      </c>
      <c r="G200" s="6" t="s">
        <v>1129</v>
      </c>
      <c r="I200" s="8">
        <v>87.060415347222204</v>
      </c>
      <c r="J200" s="8">
        <v>15.215135763888901</v>
      </c>
      <c r="K200" s="6" t="s">
        <v>198</v>
      </c>
      <c r="L200" s="9">
        <v>43905</v>
      </c>
      <c r="N200" s="6">
        <v>24</v>
      </c>
      <c r="O200" s="6" t="s">
        <v>4348</v>
      </c>
      <c r="R200" s="6">
        <v>0</v>
      </c>
      <c r="S200" s="6">
        <v>0</v>
      </c>
      <c r="T200" s="10">
        <f>AVERAGE(R200:S200)</f>
        <v>0</v>
      </c>
      <c r="W200" s="8">
        <v>-17.662931309509275</v>
      </c>
      <c r="X200" s="8">
        <v>-136.34501815795898</v>
      </c>
      <c r="Y200" s="8">
        <f>X200-(8*W200)</f>
        <v>4.9584323181152286</v>
      </c>
    </row>
    <row r="201" spans="1:26" s="6" customFormat="1" x14ac:dyDescent="0.35">
      <c r="A201" s="6" t="s">
        <v>25</v>
      </c>
      <c r="B201" s="7"/>
      <c r="D201" s="6" t="s">
        <v>1149</v>
      </c>
      <c r="E201" s="6">
        <v>3</v>
      </c>
      <c r="F201" s="6">
        <v>32</v>
      </c>
      <c r="G201" s="6" t="s">
        <v>1129</v>
      </c>
      <c r="I201" s="8">
        <v>86.899737916666695</v>
      </c>
      <c r="J201" s="8">
        <v>12.90849375</v>
      </c>
      <c r="K201" s="6" t="s">
        <v>198</v>
      </c>
      <c r="L201" s="9">
        <v>43906</v>
      </c>
      <c r="N201" s="6">
        <v>25</v>
      </c>
      <c r="O201" s="6" t="s">
        <v>4258</v>
      </c>
      <c r="R201" s="6">
        <v>0</v>
      </c>
      <c r="S201" s="6">
        <v>0</v>
      </c>
      <c r="T201" s="10">
        <f>AVERAGE(R201:S201)</f>
        <v>0</v>
      </c>
      <c r="W201" s="8">
        <v>-29.72561915473938</v>
      </c>
      <c r="X201" s="8">
        <v>-231.49656249999998</v>
      </c>
      <c r="Y201" s="8">
        <f>X201-(8*W201)</f>
        <v>6.3083907379150617</v>
      </c>
    </row>
    <row r="202" spans="1:26" s="6" customFormat="1" x14ac:dyDescent="0.35">
      <c r="A202" s="6" t="s">
        <v>25</v>
      </c>
      <c r="B202" s="6" t="s">
        <v>2854</v>
      </c>
      <c r="D202" s="6" t="s">
        <v>3133</v>
      </c>
      <c r="E202" s="6">
        <v>3</v>
      </c>
      <c r="F202" s="6">
        <v>32</v>
      </c>
      <c r="G202" s="6" t="s">
        <v>3311</v>
      </c>
      <c r="I202" s="8">
        <v>86.228210555555506</v>
      </c>
      <c r="J202" s="8">
        <v>15.7194244444444</v>
      </c>
      <c r="K202" s="6" t="s">
        <v>198</v>
      </c>
      <c r="L202" s="9">
        <v>43912</v>
      </c>
      <c r="M202" s="18">
        <v>0.33333333333333331</v>
      </c>
      <c r="N202" s="6">
        <v>25</v>
      </c>
      <c r="O202" s="6" t="s">
        <v>4315</v>
      </c>
      <c r="R202" s="6">
        <v>10</v>
      </c>
      <c r="S202" s="6">
        <v>13</v>
      </c>
      <c r="U202" s="32">
        <v>66.400000000000006</v>
      </c>
      <c r="V202" t="s">
        <v>4461</v>
      </c>
      <c r="W202" s="8">
        <v>-32.883638454895021</v>
      </c>
      <c r="X202" s="8">
        <v>-253.79610571289064</v>
      </c>
      <c r="Y202" s="8">
        <f>X202-(8*W202)</f>
        <v>9.2730019262695293</v>
      </c>
    </row>
    <row r="203" spans="1:26" s="6" customFormat="1" x14ac:dyDescent="0.35">
      <c r="A203" s="6" t="s">
        <v>25</v>
      </c>
      <c r="B203" s="6" t="s">
        <v>2858</v>
      </c>
      <c r="D203" s="6" t="s">
        <v>3134</v>
      </c>
      <c r="E203" s="6">
        <v>3</v>
      </c>
      <c r="F203" s="6">
        <v>32</v>
      </c>
      <c r="G203" s="6" t="s">
        <v>3312</v>
      </c>
      <c r="I203" s="8">
        <v>86.228210555555506</v>
      </c>
      <c r="J203" s="8">
        <v>15.7194244444444</v>
      </c>
      <c r="K203" s="6" t="s">
        <v>198</v>
      </c>
      <c r="L203" s="9">
        <v>43912</v>
      </c>
      <c r="M203" s="18">
        <v>0.44791666666666669</v>
      </c>
      <c r="N203" s="6">
        <v>25</v>
      </c>
      <c r="O203" s="6" t="s">
        <v>4315</v>
      </c>
      <c r="R203" s="6">
        <v>14</v>
      </c>
      <c r="S203" s="6">
        <v>11</v>
      </c>
      <c r="U203" s="32">
        <v>166.2</v>
      </c>
      <c r="V203" t="s">
        <v>4461</v>
      </c>
      <c r="W203" s="8">
        <v>-31.028160973052977</v>
      </c>
      <c r="X203" s="8">
        <v>-244.73093344116211</v>
      </c>
      <c r="Y203" s="8">
        <f>X203-(8*W203)</f>
        <v>3.4943543432617048</v>
      </c>
    </row>
    <row r="204" spans="1:26" s="6" customFormat="1" x14ac:dyDescent="0.35">
      <c r="A204" s="6" t="s">
        <v>25</v>
      </c>
      <c r="B204" s="6" t="s">
        <v>2857</v>
      </c>
      <c r="D204" s="6" t="s">
        <v>3134</v>
      </c>
      <c r="E204" s="6">
        <v>3</v>
      </c>
      <c r="F204" s="6">
        <v>32</v>
      </c>
      <c r="G204" s="6" t="s">
        <v>3312</v>
      </c>
      <c r="I204" s="8">
        <v>86.228210555555506</v>
      </c>
      <c r="J204" s="8">
        <v>15.7194244444444</v>
      </c>
      <c r="K204" s="6" t="s">
        <v>198</v>
      </c>
      <c r="L204" s="9">
        <v>43912</v>
      </c>
      <c r="M204" s="18">
        <v>0.44791666666666669</v>
      </c>
      <c r="N204" s="6">
        <v>25</v>
      </c>
      <c r="O204" s="6" t="s">
        <v>4315</v>
      </c>
      <c r="R204" s="6">
        <v>21</v>
      </c>
      <c r="S204" s="6">
        <v>18</v>
      </c>
      <c r="U204" s="32">
        <v>100.9</v>
      </c>
      <c r="V204" t="s">
        <v>4461</v>
      </c>
      <c r="W204" s="8">
        <v>-30.129703421096799</v>
      </c>
      <c r="X204" s="8">
        <v>-232.21615026855468</v>
      </c>
      <c r="Y204" s="8">
        <f>X204-(8*W204)</f>
        <v>8.8214771002197097</v>
      </c>
    </row>
    <row r="205" spans="1:26" s="6" customFormat="1" x14ac:dyDescent="0.35">
      <c r="A205" s="6" t="s">
        <v>25</v>
      </c>
      <c r="B205" s="6" t="s">
        <v>2855</v>
      </c>
      <c r="D205" s="6" t="s">
        <v>3133</v>
      </c>
      <c r="E205" s="6">
        <v>3</v>
      </c>
      <c r="F205" s="6">
        <v>32</v>
      </c>
      <c r="G205" s="6" t="s">
        <v>3311</v>
      </c>
      <c r="I205" s="8">
        <v>86.228210555555506</v>
      </c>
      <c r="J205" s="8">
        <v>15.7194244444444</v>
      </c>
      <c r="K205" s="6" t="s">
        <v>198</v>
      </c>
      <c r="L205" s="9">
        <v>43912</v>
      </c>
      <c r="M205" s="18">
        <v>0.33333333333333331</v>
      </c>
      <c r="N205" s="6">
        <v>25</v>
      </c>
      <c r="O205" s="6" t="s">
        <v>4315</v>
      </c>
      <c r="R205" s="6">
        <v>8</v>
      </c>
      <c r="S205" s="6">
        <v>4</v>
      </c>
      <c r="U205" s="34">
        <v>2.46</v>
      </c>
      <c r="V205" t="s">
        <v>4462</v>
      </c>
      <c r="W205" s="8">
        <v>-23.379174839401244</v>
      </c>
      <c r="X205" s="8">
        <v>-173.54769047546387</v>
      </c>
      <c r="Y205" s="8">
        <f>X205-(8*W205)</f>
        <v>13.485708239746089</v>
      </c>
    </row>
    <row r="206" spans="1:26" s="6" customFormat="1" x14ac:dyDescent="0.35">
      <c r="A206" s="6" t="s">
        <v>25</v>
      </c>
      <c r="B206" s="6" t="s">
        <v>2859</v>
      </c>
      <c r="D206" s="6" t="s">
        <v>3134</v>
      </c>
      <c r="E206" s="6">
        <v>3</v>
      </c>
      <c r="F206" s="6">
        <v>32</v>
      </c>
      <c r="G206" s="6" t="s">
        <v>3312</v>
      </c>
      <c r="I206" s="8">
        <v>86.228210555555506</v>
      </c>
      <c r="J206" s="8">
        <v>15.7194244444444</v>
      </c>
      <c r="K206" s="6" t="s">
        <v>198</v>
      </c>
      <c r="L206" s="9">
        <v>43912</v>
      </c>
      <c r="M206" s="18">
        <v>0.44791666666666669</v>
      </c>
      <c r="N206" s="6">
        <v>25</v>
      </c>
      <c r="O206" s="6" t="s">
        <v>4315</v>
      </c>
      <c r="R206" s="6">
        <v>3</v>
      </c>
      <c r="S206" s="6">
        <v>1</v>
      </c>
      <c r="U206" s="32">
        <v>19.78</v>
      </c>
      <c r="V206" t="s">
        <v>4462</v>
      </c>
      <c r="W206" s="8">
        <v>-8.3254240230560317</v>
      </c>
      <c r="X206" s="8">
        <v>-63.975616233825683</v>
      </c>
      <c r="Y206" s="8">
        <f>X206-(8*W206)</f>
        <v>2.6277759506225706</v>
      </c>
    </row>
    <row r="207" spans="1:26" s="6" customFormat="1" x14ac:dyDescent="0.35">
      <c r="A207" s="6" t="s">
        <v>25</v>
      </c>
      <c r="B207" s="6" t="s">
        <v>2856</v>
      </c>
      <c r="D207" s="6" t="s">
        <v>3133</v>
      </c>
      <c r="E207" s="6">
        <v>3</v>
      </c>
      <c r="F207" s="6">
        <v>32</v>
      </c>
      <c r="G207" s="6" t="s">
        <v>3311</v>
      </c>
      <c r="I207" s="8">
        <v>86.228210555555506</v>
      </c>
      <c r="J207" s="8">
        <v>15.7194244444444</v>
      </c>
      <c r="K207" s="6" t="s">
        <v>198</v>
      </c>
      <c r="L207" s="9">
        <v>43912</v>
      </c>
      <c r="M207" s="18">
        <v>0.33333333333333331</v>
      </c>
      <c r="N207" s="6">
        <v>25</v>
      </c>
      <c r="O207" s="6" t="s">
        <v>4315</v>
      </c>
      <c r="R207" s="6">
        <v>4</v>
      </c>
      <c r="S207" s="6">
        <v>0.5</v>
      </c>
      <c r="U207" s="32">
        <v>18.170000000000002</v>
      </c>
      <c r="V207" t="s">
        <v>4462</v>
      </c>
      <c r="W207" s="8">
        <v>-5.2135032829284667</v>
      </c>
      <c r="X207" s="8">
        <v>-44.016767414093017</v>
      </c>
      <c r="Y207" s="8">
        <f>X207-(8*W207)</f>
        <v>-2.3087411506652842</v>
      </c>
    </row>
    <row r="208" spans="1:26" s="6" customFormat="1" x14ac:dyDescent="0.35">
      <c r="A208" s="6" t="s">
        <v>25</v>
      </c>
      <c r="B208" s="6" t="s">
        <v>2860</v>
      </c>
      <c r="D208" s="6" t="s">
        <v>3135</v>
      </c>
      <c r="E208" s="6">
        <v>3</v>
      </c>
      <c r="F208" s="6">
        <v>33</v>
      </c>
      <c r="G208" s="6" t="s">
        <v>3314</v>
      </c>
      <c r="I208" s="8">
        <v>86.113709</v>
      </c>
      <c r="J208" s="8">
        <v>13.978304</v>
      </c>
      <c r="K208" s="6" t="s">
        <v>198</v>
      </c>
      <c r="L208" s="9">
        <v>43915</v>
      </c>
      <c r="M208" s="18">
        <v>0.47916666666666669</v>
      </c>
      <c r="N208" s="6">
        <v>26</v>
      </c>
      <c r="O208" s="6" t="s">
        <v>4304</v>
      </c>
      <c r="R208" s="6">
        <v>7.5</v>
      </c>
      <c r="S208" s="6">
        <v>4.5</v>
      </c>
      <c r="U208" s="32">
        <v>26.9</v>
      </c>
      <c r="V208" t="s">
        <v>4462</v>
      </c>
      <c r="W208" s="8">
        <v>-31.776075056533813</v>
      </c>
      <c r="X208" s="8">
        <v>-243.0167423477173</v>
      </c>
      <c r="Y208" s="8">
        <f>X208-(8*W208)</f>
        <v>11.191858104553205</v>
      </c>
      <c r="Z208" s="6" t="s">
        <v>3185</v>
      </c>
    </row>
    <row r="209" spans="1:26" s="6" customFormat="1" x14ac:dyDescent="0.35">
      <c r="A209" s="6" t="s">
        <v>25</v>
      </c>
      <c r="B209" s="6" t="s">
        <v>2861</v>
      </c>
      <c r="D209" s="6" t="s">
        <v>3136</v>
      </c>
      <c r="E209" s="6">
        <v>3</v>
      </c>
      <c r="F209" s="6">
        <v>33</v>
      </c>
      <c r="G209" s="6" t="s">
        <v>3314</v>
      </c>
      <c r="I209" s="8">
        <v>86.113709</v>
      </c>
      <c r="J209" s="8">
        <v>13.978304</v>
      </c>
      <c r="K209" s="6" t="s">
        <v>198</v>
      </c>
      <c r="L209" s="9">
        <v>43915</v>
      </c>
      <c r="M209" s="18">
        <v>0.47916666666666669</v>
      </c>
      <c r="N209" s="6">
        <v>26</v>
      </c>
      <c r="O209" s="6" t="s">
        <v>4304</v>
      </c>
      <c r="R209" s="6">
        <v>80</v>
      </c>
      <c r="S209" s="6">
        <v>83</v>
      </c>
      <c r="U209" s="32">
        <v>78.8</v>
      </c>
      <c r="V209" t="s">
        <v>4461</v>
      </c>
      <c r="W209" s="8">
        <v>-31.223435558776856</v>
      </c>
      <c r="X209" s="8">
        <v>-238.16764166259765</v>
      </c>
      <c r="Y209" s="8">
        <f>X209-(8*W209)</f>
        <v>11.619842807617204</v>
      </c>
    </row>
    <row r="210" spans="1:26" s="6" customFormat="1" x14ac:dyDescent="0.35">
      <c r="A210" s="6" t="s">
        <v>25</v>
      </c>
      <c r="B210" s="7"/>
      <c r="D210" s="6" t="s">
        <v>1224</v>
      </c>
      <c r="E210" s="6">
        <v>3</v>
      </c>
      <c r="F210" s="6">
        <v>33</v>
      </c>
      <c r="G210" s="6" t="s">
        <v>1221</v>
      </c>
      <c r="I210" s="8">
        <v>85.996673472222199</v>
      </c>
      <c r="J210" s="8">
        <v>13.1391688888889</v>
      </c>
      <c r="K210" s="6" t="s">
        <v>198</v>
      </c>
      <c r="L210" s="9">
        <v>43916</v>
      </c>
      <c r="N210" s="6">
        <v>26</v>
      </c>
      <c r="O210" s="6" t="s">
        <v>4305</v>
      </c>
      <c r="R210" s="6">
        <v>0</v>
      </c>
      <c r="S210" s="6">
        <v>0</v>
      </c>
      <c r="T210" s="10">
        <f>AVERAGE(R210:S210)</f>
        <v>0</v>
      </c>
      <c r="W210" s="8">
        <v>-17.021241082572935</v>
      </c>
      <c r="X210" s="8">
        <v>-111.64523358917236</v>
      </c>
      <c r="Y210" s="8">
        <f>X210-(8*W210)</f>
        <v>24.524695071411116</v>
      </c>
    </row>
    <row r="211" spans="1:26" s="6" customFormat="1" x14ac:dyDescent="0.35">
      <c r="A211" s="6" t="s">
        <v>25</v>
      </c>
      <c r="B211" s="6" t="s">
        <v>2868</v>
      </c>
      <c r="D211" s="6" t="s">
        <v>3139</v>
      </c>
      <c r="E211" s="6">
        <v>3</v>
      </c>
      <c r="F211" s="6">
        <v>34</v>
      </c>
      <c r="G211" s="6" t="s">
        <v>3317</v>
      </c>
      <c r="I211" s="8">
        <v>84.971907999999999</v>
      </c>
      <c r="J211" s="8">
        <v>15.12961</v>
      </c>
      <c r="K211" s="6" t="s">
        <v>198</v>
      </c>
      <c r="L211" s="9">
        <v>43923</v>
      </c>
      <c r="M211" s="18">
        <v>0.35416666666666669</v>
      </c>
      <c r="N211" s="6">
        <v>27</v>
      </c>
      <c r="O211" s="6" t="s">
        <v>4356</v>
      </c>
      <c r="R211" s="6">
        <v>9.5</v>
      </c>
      <c r="S211" s="6">
        <v>6</v>
      </c>
      <c r="U211" s="32">
        <v>198.7</v>
      </c>
      <c r="V211" t="s">
        <v>4461</v>
      </c>
      <c r="W211" s="8">
        <v>-28.186686488914493</v>
      </c>
      <c r="X211" s="8">
        <v>-217.04070102844238</v>
      </c>
      <c r="Y211" s="8">
        <f>X211-(8*W211)</f>
        <v>8.4527908828735576</v>
      </c>
    </row>
    <row r="212" spans="1:26" s="6" customFormat="1" x14ac:dyDescent="0.35">
      <c r="A212" s="6" t="s">
        <v>25</v>
      </c>
      <c r="B212" s="6" t="s">
        <v>2869</v>
      </c>
      <c r="D212" s="6" t="s">
        <v>3139</v>
      </c>
      <c r="E212" s="6">
        <v>3</v>
      </c>
      <c r="F212" s="6">
        <v>34</v>
      </c>
      <c r="G212" s="6" t="s">
        <v>3317</v>
      </c>
      <c r="I212" s="8">
        <v>84.971907999999999</v>
      </c>
      <c r="J212" s="8">
        <v>15.12961</v>
      </c>
      <c r="K212" s="6" t="s">
        <v>198</v>
      </c>
      <c r="L212" s="9">
        <v>43923</v>
      </c>
      <c r="M212" s="18">
        <v>0.35416666666666669</v>
      </c>
      <c r="N212" s="6">
        <v>27</v>
      </c>
      <c r="O212" s="6" t="s">
        <v>4356</v>
      </c>
      <c r="R212" s="6">
        <v>6</v>
      </c>
      <c r="S212" s="6">
        <v>3</v>
      </c>
      <c r="U212" s="32">
        <v>118.8</v>
      </c>
      <c r="V212" t="s">
        <v>4461</v>
      </c>
      <c r="W212" s="8">
        <v>-16.794606223869323</v>
      </c>
      <c r="X212" s="8">
        <v>-124.30544153747559</v>
      </c>
      <c r="Y212" s="8">
        <f>X212-(8*W212)</f>
        <v>10.051408253478996</v>
      </c>
    </row>
    <row r="213" spans="1:26" s="6" customFormat="1" x14ac:dyDescent="0.35">
      <c r="A213" s="6" t="s">
        <v>25</v>
      </c>
      <c r="B213" s="6" t="s">
        <v>2870</v>
      </c>
      <c r="D213" s="6" t="s">
        <v>3139</v>
      </c>
      <c r="E213" s="6">
        <v>3</v>
      </c>
      <c r="F213" s="6">
        <v>34</v>
      </c>
      <c r="G213" s="6" t="s">
        <v>3317</v>
      </c>
      <c r="I213" s="8">
        <v>84.971907999999999</v>
      </c>
      <c r="J213" s="8">
        <v>15.12961</v>
      </c>
      <c r="K213" s="6" t="s">
        <v>198</v>
      </c>
      <c r="L213" s="9">
        <v>43923</v>
      </c>
      <c r="M213" s="18">
        <v>0.35416666666666669</v>
      </c>
      <c r="N213" s="6">
        <v>27</v>
      </c>
      <c r="O213" s="6" t="s">
        <v>4356</v>
      </c>
      <c r="R213" s="6">
        <v>3</v>
      </c>
      <c r="S213" s="6">
        <v>0</v>
      </c>
      <c r="U213" s="32">
        <v>7.85</v>
      </c>
      <c r="V213" t="s">
        <v>4462</v>
      </c>
      <c r="W213" s="8">
        <v>-5.3377902656078344</v>
      </c>
      <c r="X213" s="8">
        <v>-50.289186933135987</v>
      </c>
      <c r="Y213" s="8">
        <f>X213-(8*W213)</f>
        <v>-7.5868648082733117</v>
      </c>
    </row>
    <row r="214" spans="1:26" s="6" customFormat="1" x14ac:dyDescent="0.35">
      <c r="A214" s="6" t="s">
        <v>25</v>
      </c>
      <c r="B214" s="6" t="s">
        <v>2865</v>
      </c>
      <c r="D214" s="6" t="s">
        <v>3138</v>
      </c>
      <c r="E214" s="6">
        <v>3</v>
      </c>
      <c r="F214" s="6">
        <v>35</v>
      </c>
      <c r="G214" s="6" t="s">
        <v>3316</v>
      </c>
      <c r="I214" s="8">
        <v>84.533711805555598</v>
      </c>
      <c r="J214" s="8">
        <v>14.277858402777801</v>
      </c>
      <c r="K214" s="6" t="s">
        <v>198</v>
      </c>
      <c r="L214" s="9">
        <v>43927</v>
      </c>
      <c r="M214" s="18">
        <v>0.33333333333333331</v>
      </c>
      <c r="N214" s="6">
        <v>28</v>
      </c>
      <c r="O214" s="6" t="s">
        <v>4359</v>
      </c>
      <c r="R214" s="6">
        <v>14</v>
      </c>
      <c r="S214" s="6">
        <v>11</v>
      </c>
      <c r="U214" s="32">
        <v>191.6</v>
      </c>
      <c r="V214" t="s">
        <v>4461</v>
      </c>
      <c r="W214" s="8">
        <v>-20.025091714668275</v>
      </c>
      <c r="X214" s="8">
        <v>-144.07896752319337</v>
      </c>
      <c r="Y214" s="8">
        <f>X214-(8*W214)</f>
        <v>16.121766194152826</v>
      </c>
    </row>
    <row r="215" spans="1:26" s="6" customFormat="1" x14ac:dyDescent="0.35">
      <c r="A215" s="6" t="s">
        <v>25</v>
      </c>
      <c r="B215" s="6" t="s">
        <v>2866</v>
      </c>
      <c r="D215" s="6" t="s">
        <v>3138</v>
      </c>
      <c r="E215" s="6">
        <v>3</v>
      </c>
      <c r="F215" s="6">
        <v>35</v>
      </c>
      <c r="G215" s="6" t="s">
        <v>3316</v>
      </c>
      <c r="I215" s="8">
        <v>84.533711805555598</v>
      </c>
      <c r="J215" s="8">
        <v>14.277858402777801</v>
      </c>
      <c r="K215" s="6" t="s">
        <v>198</v>
      </c>
      <c r="L215" s="9">
        <v>43927</v>
      </c>
      <c r="M215" s="18">
        <v>0.33333333333333331</v>
      </c>
      <c r="N215" s="6">
        <v>28</v>
      </c>
      <c r="O215" s="6" t="s">
        <v>4359</v>
      </c>
      <c r="R215" s="6">
        <v>11</v>
      </c>
      <c r="S215" s="6">
        <v>7</v>
      </c>
      <c r="U215" s="32">
        <v>12.5</v>
      </c>
      <c r="V215" t="s">
        <v>4461</v>
      </c>
      <c r="W215" s="8">
        <v>-7.9450093226909644</v>
      </c>
      <c r="X215" s="8">
        <v>-60.249273042297361</v>
      </c>
      <c r="Y215" s="8">
        <f>X215-(8*W215)</f>
        <v>3.3108015392303543</v>
      </c>
    </row>
    <row r="216" spans="1:26" s="6" customFormat="1" x14ac:dyDescent="0.35">
      <c r="A216" s="6" t="s">
        <v>25</v>
      </c>
      <c r="B216" s="6" t="s">
        <v>2867</v>
      </c>
      <c r="D216" s="6" t="s">
        <v>3138</v>
      </c>
      <c r="E216" s="6">
        <v>3</v>
      </c>
      <c r="F216" s="6">
        <v>35</v>
      </c>
      <c r="G216" s="6" t="s">
        <v>3316</v>
      </c>
      <c r="I216" s="8">
        <v>84.533711805555598</v>
      </c>
      <c r="J216" s="8">
        <v>14.277858402777801</v>
      </c>
      <c r="K216" s="6" t="s">
        <v>198</v>
      </c>
      <c r="L216" s="9">
        <v>43927</v>
      </c>
      <c r="M216" s="18">
        <v>0.33333333333333331</v>
      </c>
      <c r="N216" s="6">
        <v>28</v>
      </c>
      <c r="O216" s="6" t="s">
        <v>4359</v>
      </c>
      <c r="R216" s="6">
        <v>7</v>
      </c>
      <c r="S216" s="6">
        <v>3</v>
      </c>
      <c r="U216" s="32">
        <v>10.5</v>
      </c>
      <c r="V216" t="s">
        <v>4461</v>
      </c>
      <c r="W216" s="8">
        <v>-5.2590227210998544</v>
      </c>
      <c r="X216" s="8">
        <v>-43.631719609832764</v>
      </c>
      <c r="Y216" s="8">
        <f>X216-(8*W216)</f>
        <v>-1.5595378410339293</v>
      </c>
      <c r="Z216" s="6" t="s">
        <v>3186</v>
      </c>
    </row>
    <row r="217" spans="1:26" s="6" customFormat="1" x14ac:dyDescent="0.35">
      <c r="A217" s="6" t="s">
        <v>25</v>
      </c>
      <c r="B217" s="6" t="s">
        <v>2874</v>
      </c>
      <c r="D217" s="6" t="s">
        <v>3141</v>
      </c>
      <c r="E217" s="6">
        <v>3</v>
      </c>
      <c r="F217" s="6">
        <v>35</v>
      </c>
      <c r="G217" s="6" t="s">
        <v>3313</v>
      </c>
      <c r="I217" s="8">
        <v>84.483007000000001</v>
      </c>
      <c r="J217" s="8">
        <v>14.628226</v>
      </c>
      <c r="K217" s="6" t="s">
        <v>198</v>
      </c>
      <c r="L217" s="9">
        <v>43929</v>
      </c>
      <c r="M217" s="18">
        <v>0.49652777777777773</v>
      </c>
      <c r="N217" s="6">
        <v>28</v>
      </c>
      <c r="O217" s="6" t="s">
        <v>4357</v>
      </c>
      <c r="R217" s="6">
        <v>32</v>
      </c>
      <c r="S217" s="6">
        <v>29</v>
      </c>
      <c r="U217" s="32">
        <v>167.6</v>
      </c>
      <c r="V217" t="s">
        <v>4461</v>
      </c>
      <c r="W217" s="8">
        <v>-29.439300746002196</v>
      </c>
      <c r="X217" s="8">
        <v>-224.68141941375734</v>
      </c>
      <c r="Y217" s="8">
        <f>X217-(8*W217)</f>
        <v>10.832986554260231</v>
      </c>
    </row>
    <row r="218" spans="1:26" s="6" customFormat="1" x14ac:dyDescent="0.35">
      <c r="A218" s="6" t="s">
        <v>25</v>
      </c>
      <c r="B218" s="6" t="s">
        <v>2871</v>
      </c>
      <c r="D218" s="6" t="s">
        <v>3140</v>
      </c>
      <c r="E218" s="6">
        <v>3</v>
      </c>
      <c r="F218" s="6">
        <v>35</v>
      </c>
      <c r="G218" s="6" t="s">
        <v>3318</v>
      </c>
      <c r="I218" s="8">
        <v>84.483007000000001</v>
      </c>
      <c r="J218" s="8">
        <v>14.628226</v>
      </c>
      <c r="K218" s="6" t="s">
        <v>198</v>
      </c>
      <c r="L218" s="9">
        <v>43929</v>
      </c>
      <c r="M218" s="18">
        <v>0.31944444444444448</v>
      </c>
      <c r="N218" s="6">
        <v>28</v>
      </c>
      <c r="O218" s="6" t="s">
        <v>4357</v>
      </c>
      <c r="R218" s="6">
        <v>16</v>
      </c>
      <c r="S218" s="6">
        <v>13</v>
      </c>
      <c r="U218" s="32">
        <v>177.5</v>
      </c>
      <c r="V218" t="s">
        <v>4461</v>
      </c>
      <c r="W218" s="8">
        <v>-28.298536950874329</v>
      </c>
      <c r="X218" s="8">
        <v>-210.49671004638671</v>
      </c>
      <c r="Y218" s="8">
        <f>X218-(8*W218)</f>
        <v>15.891585560607922</v>
      </c>
      <c r="Z218" s="6" t="s">
        <v>3187</v>
      </c>
    </row>
    <row r="219" spans="1:26" s="6" customFormat="1" x14ac:dyDescent="0.35">
      <c r="A219" s="6" t="s">
        <v>25</v>
      </c>
      <c r="B219" s="6" t="s">
        <v>2875</v>
      </c>
      <c r="D219" s="6" t="s">
        <v>3141</v>
      </c>
      <c r="E219" s="6">
        <v>3</v>
      </c>
      <c r="F219" s="6">
        <v>35</v>
      </c>
      <c r="G219" s="6" t="s">
        <v>3313</v>
      </c>
      <c r="I219" s="8">
        <v>84.483007000000001</v>
      </c>
      <c r="J219" s="8">
        <v>14.628226</v>
      </c>
      <c r="K219" s="6" t="s">
        <v>198</v>
      </c>
      <c r="L219" s="9">
        <v>43929</v>
      </c>
      <c r="M219" s="18">
        <v>0.49652777777777773</v>
      </c>
      <c r="N219" s="6">
        <v>28</v>
      </c>
      <c r="O219" s="6" t="s">
        <v>4357</v>
      </c>
      <c r="R219" s="6">
        <v>18</v>
      </c>
      <c r="S219" s="6">
        <v>14</v>
      </c>
      <c r="U219" s="32">
        <v>127.3</v>
      </c>
      <c r="V219" t="s">
        <v>4461</v>
      </c>
      <c r="W219" s="8">
        <v>-27.208239281692506</v>
      </c>
      <c r="X219" s="8">
        <v>-209.23723521728516</v>
      </c>
      <c r="Y219" s="8">
        <f>X219-(8*W219)</f>
        <v>8.4286790362548913</v>
      </c>
    </row>
    <row r="220" spans="1:26" s="6" customFormat="1" x14ac:dyDescent="0.35">
      <c r="A220" s="6" t="s">
        <v>25</v>
      </c>
      <c r="B220" s="6" t="s">
        <v>2876</v>
      </c>
      <c r="D220" s="6" t="s">
        <v>3141</v>
      </c>
      <c r="E220" s="6">
        <v>3</v>
      </c>
      <c r="F220" s="6">
        <v>35</v>
      </c>
      <c r="G220" s="6" t="s">
        <v>3313</v>
      </c>
      <c r="I220" s="8">
        <v>84.483007000000001</v>
      </c>
      <c r="J220" s="8">
        <v>14.628226</v>
      </c>
      <c r="K220" s="6" t="s">
        <v>198</v>
      </c>
      <c r="L220" s="9">
        <v>43929</v>
      </c>
      <c r="M220" s="18">
        <v>0.49652777777777773</v>
      </c>
      <c r="N220" s="6">
        <v>28</v>
      </c>
      <c r="O220" s="6" t="s">
        <v>4357</v>
      </c>
      <c r="R220" s="6">
        <v>5</v>
      </c>
      <c r="S220" s="6">
        <v>2</v>
      </c>
      <c r="U220" s="32">
        <v>11.86</v>
      </c>
      <c r="V220" t="s">
        <v>4462</v>
      </c>
      <c r="W220" s="8">
        <v>-15.246514566459656</v>
      </c>
      <c r="X220" s="8">
        <v>-114.55522922821045</v>
      </c>
      <c r="Y220" s="8">
        <f>X220-(8*W220)</f>
        <v>7.4168873034667939</v>
      </c>
    </row>
    <row r="221" spans="1:26" s="6" customFormat="1" x14ac:dyDescent="0.35">
      <c r="A221" s="6" t="s">
        <v>25</v>
      </c>
      <c r="B221" s="6" t="s">
        <v>2872</v>
      </c>
      <c r="D221" s="6" t="s">
        <v>3140</v>
      </c>
      <c r="E221" s="6">
        <v>3</v>
      </c>
      <c r="F221" s="6">
        <v>35</v>
      </c>
      <c r="G221" s="6" t="s">
        <v>3318</v>
      </c>
      <c r="I221" s="8">
        <v>84.483007000000001</v>
      </c>
      <c r="J221" s="8">
        <v>14.628226</v>
      </c>
      <c r="K221" s="6" t="s">
        <v>198</v>
      </c>
      <c r="L221" s="9">
        <v>43929</v>
      </c>
      <c r="M221" s="18">
        <v>0.31944444444444448</v>
      </c>
      <c r="N221" s="6">
        <v>28</v>
      </c>
      <c r="O221" s="6" t="s">
        <v>4357</v>
      </c>
      <c r="R221" s="6">
        <v>10</v>
      </c>
      <c r="S221" s="6">
        <v>7</v>
      </c>
      <c r="U221" s="32">
        <v>18.5</v>
      </c>
      <c r="V221" t="s">
        <v>4461</v>
      </c>
      <c r="W221" s="8">
        <v>-13.7413110039711</v>
      </c>
      <c r="X221" s="8">
        <v>-105.21705942687989</v>
      </c>
      <c r="Y221" s="8">
        <f>X221-(8*W221)</f>
        <v>4.713428604888918</v>
      </c>
      <c r="Z221" s="6" t="s">
        <v>3187</v>
      </c>
    </row>
    <row r="222" spans="1:26" s="6" customFormat="1" x14ac:dyDescent="0.35">
      <c r="A222" s="6" t="s">
        <v>25</v>
      </c>
      <c r="B222" s="6" t="s">
        <v>2873</v>
      </c>
      <c r="D222" s="6" t="s">
        <v>3140</v>
      </c>
      <c r="E222" s="6">
        <v>3</v>
      </c>
      <c r="F222" s="6">
        <v>35</v>
      </c>
      <c r="G222" s="6" t="s">
        <v>3318</v>
      </c>
      <c r="I222" s="8">
        <v>84.483007000000001</v>
      </c>
      <c r="J222" s="8">
        <v>14.628226</v>
      </c>
      <c r="K222" s="6" t="s">
        <v>198</v>
      </c>
      <c r="L222" s="9">
        <v>43929</v>
      </c>
      <c r="M222" s="18">
        <v>0.31944444444444448</v>
      </c>
      <c r="N222" s="6">
        <v>28</v>
      </c>
      <c r="O222" s="6" t="s">
        <v>4357</v>
      </c>
      <c r="R222" s="6">
        <v>5</v>
      </c>
      <c r="S222" s="6">
        <v>1</v>
      </c>
      <c r="U222" s="32">
        <v>7.8</v>
      </c>
      <c r="V222" t="s">
        <v>4462</v>
      </c>
      <c r="W222" s="8">
        <v>-6.9968388622283957</v>
      </c>
      <c r="X222" s="8">
        <v>-59.36745646057129</v>
      </c>
      <c r="Y222" s="8">
        <f>X222-(8*W222)</f>
        <v>-3.3927455627441248</v>
      </c>
      <c r="Z222" s="6" t="s">
        <v>3187</v>
      </c>
    </row>
    <row r="223" spans="1:26" s="6" customFormat="1" x14ac:dyDescent="0.35">
      <c r="A223" s="6" t="s">
        <v>25</v>
      </c>
      <c r="B223" s="6" t="s">
        <v>2862</v>
      </c>
      <c r="D223" s="6" t="s">
        <v>3137</v>
      </c>
      <c r="E223" s="6">
        <v>3</v>
      </c>
      <c r="F223" s="6">
        <v>34</v>
      </c>
      <c r="G223" s="6" t="s">
        <v>3315</v>
      </c>
      <c r="I223" s="8">
        <v>84.322834374999999</v>
      </c>
      <c r="J223" s="8">
        <v>14.725811041666701</v>
      </c>
      <c r="K223" s="6" t="s">
        <v>198</v>
      </c>
      <c r="L223" s="9">
        <v>43932</v>
      </c>
      <c r="M223" s="18">
        <v>0.45833333333333331</v>
      </c>
      <c r="N223" s="6">
        <v>28</v>
      </c>
      <c r="O223" s="6" t="s">
        <v>4362</v>
      </c>
      <c r="R223" s="6">
        <v>14</v>
      </c>
      <c r="S223" s="6">
        <v>12</v>
      </c>
      <c r="U223" s="32">
        <v>967</v>
      </c>
      <c r="V223" t="s">
        <v>4461</v>
      </c>
      <c r="W223" s="8">
        <v>-29.991976820755003</v>
      </c>
      <c r="X223" s="8">
        <v>-229.61041475830078</v>
      </c>
      <c r="Y223" s="8">
        <f>X223-(8*W223)</f>
        <v>10.325399807739245</v>
      </c>
    </row>
    <row r="224" spans="1:26" s="6" customFormat="1" x14ac:dyDescent="0.35">
      <c r="A224" s="6" t="s">
        <v>25</v>
      </c>
      <c r="B224" s="6" t="s">
        <v>2863</v>
      </c>
      <c r="D224" s="6" t="s">
        <v>3137</v>
      </c>
      <c r="E224" s="6">
        <v>3</v>
      </c>
      <c r="F224" s="6">
        <v>34</v>
      </c>
      <c r="G224" s="6" t="s">
        <v>3315</v>
      </c>
      <c r="I224" s="8">
        <v>84.322834374999999</v>
      </c>
      <c r="J224" s="8">
        <v>14.725811041666701</v>
      </c>
      <c r="K224" s="6" t="s">
        <v>198</v>
      </c>
      <c r="L224" s="9">
        <v>43932</v>
      </c>
      <c r="M224" s="18">
        <v>0.45833333333333331</v>
      </c>
      <c r="N224" s="6">
        <v>28</v>
      </c>
      <c r="O224" s="6" t="s">
        <v>4362</v>
      </c>
      <c r="R224" s="6">
        <v>10</v>
      </c>
      <c r="S224" s="6">
        <v>7</v>
      </c>
      <c r="U224" s="32">
        <v>96.3</v>
      </c>
      <c r="V224" t="s">
        <v>4461</v>
      </c>
      <c r="W224" s="8">
        <v>-13.537378864574436</v>
      </c>
      <c r="X224" s="8">
        <v>-99.424122010803231</v>
      </c>
      <c r="Y224" s="8">
        <f>X224-(8*W224)</f>
        <v>8.8749089057922532</v>
      </c>
    </row>
    <row r="225" spans="1:25" s="6" customFormat="1" x14ac:dyDescent="0.35">
      <c r="A225" s="6" t="s">
        <v>25</v>
      </c>
      <c r="B225" s="6" t="s">
        <v>2864</v>
      </c>
      <c r="D225" s="6" t="s">
        <v>3137</v>
      </c>
      <c r="E225" s="6">
        <v>3</v>
      </c>
      <c r="F225" s="6">
        <v>34</v>
      </c>
      <c r="G225" s="6" t="s">
        <v>3315</v>
      </c>
      <c r="I225" s="8">
        <v>84.322834374999999</v>
      </c>
      <c r="J225" s="8">
        <v>14.725811041666701</v>
      </c>
      <c r="K225" s="6" t="s">
        <v>198</v>
      </c>
      <c r="L225" s="9">
        <v>43932</v>
      </c>
      <c r="M225" s="18">
        <v>0.45833333333333331</v>
      </c>
      <c r="N225" s="6">
        <v>28</v>
      </c>
      <c r="O225" s="6" t="s">
        <v>4362</v>
      </c>
      <c r="R225" s="6">
        <v>3</v>
      </c>
      <c r="S225" s="6">
        <v>0</v>
      </c>
      <c r="U225" s="32">
        <v>390</v>
      </c>
      <c r="V225" t="s">
        <v>4461</v>
      </c>
      <c r="W225" s="8">
        <v>-2.3722208321571352</v>
      </c>
      <c r="X225" s="8">
        <v>-40.679704915618892</v>
      </c>
      <c r="Y225" s="8">
        <f>X225-(8*W225)</f>
        <v>-21.70193825836181</v>
      </c>
    </row>
    <row r="226" spans="1:25" s="6" customFormat="1" x14ac:dyDescent="0.35">
      <c r="A226" s="6" t="s">
        <v>25</v>
      </c>
      <c r="B226" s="6" t="s">
        <v>2877</v>
      </c>
      <c r="D226" s="6" t="s">
        <v>3142</v>
      </c>
      <c r="E226" s="6">
        <v>3</v>
      </c>
      <c r="F226" s="6">
        <v>36</v>
      </c>
      <c r="G226" s="6" t="s">
        <v>3319</v>
      </c>
      <c r="I226" s="8">
        <v>84.295218194444402</v>
      </c>
      <c r="J226" s="8">
        <v>14.935208263888899</v>
      </c>
      <c r="K226" s="6" t="s">
        <v>198</v>
      </c>
      <c r="L226" s="9">
        <v>43934</v>
      </c>
      <c r="M226" s="18">
        <v>0.49374999999999997</v>
      </c>
      <c r="N226" s="6">
        <v>29</v>
      </c>
      <c r="O226" s="6" t="s">
        <v>4354</v>
      </c>
      <c r="R226" s="6">
        <v>11</v>
      </c>
      <c r="S226" s="6">
        <v>8</v>
      </c>
      <c r="U226" s="32">
        <v>157.4</v>
      </c>
      <c r="V226" t="s">
        <v>4461</v>
      </c>
      <c r="W226" s="8">
        <v>-28.541485482177734</v>
      </c>
      <c r="X226" s="8">
        <v>-214.72707274169923</v>
      </c>
      <c r="Y226" s="8">
        <f>X226-(8*W226)</f>
        <v>13.60481111572264</v>
      </c>
    </row>
    <row r="227" spans="1:25" s="6" customFormat="1" x14ac:dyDescent="0.35">
      <c r="A227" s="6" t="s">
        <v>25</v>
      </c>
      <c r="B227" s="6" t="s">
        <v>2878</v>
      </c>
      <c r="D227" s="6" t="s">
        <v>3142</v>
      </c>
      <c r="E227" s="6">
        <v>3</v>
      </c>
      <c r="F227" s="6">
        <v>36</v>
      </c>
      <c r="G227" s="6" t="s">
        <v>3319</v>
      </c>
      <c r="I227" s="8">
        <v>84.295218194444402</v>
      </c>
      <c r="J227" s="8">
        <v>14.935208263888899</v>
      </c>
      <c r="K227" s="6" t="s">
        <v>198</v>
      </c>
      <c r="L227" s="9">
        <v>43934</v>
      </c>
      <c r="M227" s="18">
        <v>0.49374999999999997</v>
      </c>
      <c r="N227" s="6">
        <v>29</v>
      </c>
      <c r="O227" s="6" t="s">
        <v>4354</v>
      </c>
      <c r="R227" s="6">
        <v>7</v>
      </c>
      <c r="S227" s="6">
        <v>4</v>
      </c>
      <c r="U227" s="32">
        <v>125.6</v>
      </c>
      <c r="V227" t="s">
        <v>4461</v>
      </c>
      <c r="W227" s="8">
        <v>-22.68312347503662</v>
      </c>
      <c r="X227" s="8">
        <v>-160.87889566345214</v>
      </c>
      <c r="Y227" s="8">
        <f>X227-(8*W227)</f>
        <v>20.586092136840819</v>
      </c>
    </row>
    <row r="228" spans="1:25" s="6" customFormat="1" x14ac:dyDescent="0.35">
      <c r="A228" s="6" t="s">
        <v>25</v>
      </c>
      <c r="B228" s="6" t="s">
        <v>2879</v>
      </c>
      <c r="D228" s="6" t="s">
        <v>3142</v>
      </c>
      <c r="E228" s="6">
        <v>3</v>
      </c>
      <c r="F228" s="6">
        <v>36</v>
      </c>
      <c r="G228" s="6" t="s">
        <v>3319</v>
      </c>
      <c r="I228" s="8">
        <v>84.295218194444402</v>
      </c>
      <c r="J228" s="8">
        <v>14.935208263888899</v>
      </c>
      <c r="K228" s="6" t="s">
        <v>198</v>
      </c>
      <c r="L228" s="9">
        <v>43934</v>
      </c>
      <c r="M228" s="18">
        <v>0.49374999999999997</v>
      </c>
      <c r="N228" s="6">
        <v>29</v>
      </c>
      <c r="O228" s="6" t="s">
        <v>4354</v>
      </c>
      <c r="R228" s="6">
        <v>3</v>
      </c>
      <c r="S228" s="6">
        <v>0</v>
      </c>
      <c r="U228" s="32">
        <v>10.74</v>
      </c>
      <c r="V228" t="s">
        <v>4462</v>
      </c>
      <c r="W228" s="8">
        <v>-7.7273051299667355</v>
      </c>
      <c r="X228" s="8">
        <v>-59.475213675689695</v>
      </c>
      <c r="Y228" s="8">
        <f>X228-(8*W228)</f>
        <v>2.3432273640441892</v>
      </c>
    </row>
    <row r="229" spans="1:25" s="6" customFormat="1" x14ac:dyDescent="0.35">
      <c r="A229" s="6" t="s">
        <v>25</v>
      </c>
      <c r="B229" s="6" t="s">
        <v>2880</v>
      </c>
      <c r="D229" s="6" t="s">
        <v>3143</v>
      </c>
      <c r="E229" s="6">
        <v>3</v>
      </c>
      <c r="F229" s="6">
        <v>36</v>
      </c>
      <c r="G229" s="6" t="s">
        <v>3255</v>
      </c>
      <c r="I229" s="8">
        <v>84.326425</v>
      </c>
      <c r="J229" s="8">
        <v>14.021571</v>
      </c>
      <c r="K229" s="6" t="s">
        <v>198</v>
      </c>
      <c r="L229" s="9">
        <v>43936</v>
      </c>
      <c r="M229" s="18">
        <v>0.3125</v>
      </c>
      <c r="N229" s="6">
        <v>29</v>
      </c>
      <c r="O229" s="6" t="s">
        <v>4363</v>
      </c>
      <c r="R229" s="6">
        <v>10.5</v>
      </c>
      <c r="S229" s="6">
        <v>9</v>
      </c>
      <c r="U229" s="32">
        <v>86.1</v>
      </c>
      <c r="V229" t="s">
        <v>4461</v>
      </c>
      <c r="W229" s="8">
        <v>-24.918800980529785</v>
      </c>
      <c r="X229" s="8">
        <v>-189.48572813720702</v>
      </c>
      <c r="Y229" s="8">
        <f>X229-(8*W229)</f>
        <v>9.8646797070312573</v>
      </c>
    </row>
    <row r="230" spans="1:25" s="6" customFormat="1" x14ac:dyDescent="0.35">
      <c r="A230" s="6" t="s">
        <v>25</v>
      </c>
      <c r="B230" s="7" t="s">
        <v>1396</v>
      </c>
      <c r="D230" s="6" t="s">
        <v>1397</v>
      </c>
      <c r="E230" s="6">
        <v>3</v>
      </c>
      <c r="F230" s="6">
        <v>36</v>
      </c>
      <c r="G230" s="6" t="s">
        <v>995</v>
      </c>
      <c r="I230" s="8">
        <v>84.322932986111098</v>
      </c>
      <c r="J230" s="8">
        <v>13.874112986111101</v>
      </c>
      <c r="K230" s="6" t="s">
        <v>198</v>
      </c>
      <c r="L230" s="9">
        <v>43936</v>
      </c>
      <c r="N230" s="6">
        <v>29</v>
      </c>
      <c r="O230" s="6" t="s">
        <v>4363</v>
      </c>
      <c r="Q230" s="10"/>
      <c r="R230" s="10"/>
      <c r="S230" s="10"/>
      <c r="T230" s="10"/>
      <c r="U230" s="11"/>
      <c r="V230" s="11"/>
      <c r="W230" s="8">
        <v>-13.011612654304505</v>
      </c>
      <c r="X230" s="8">
        <v>-101.98371212768555</v>
      </c>
      <c r="Y230" s="8">
        <f>X230-(8*W230)</f>
        <v>2.1091891067504918</v>
      </c>
    </row>
    <row r="231" spans="1:25" s="6" customFormat="1" x14ac:dyDescent="0.35">
      <c r="A231" s="6" t="s">
        <v>25</v>
      </c>
      <c r="B231" s="6" t="s">
        <v>2881</v>
      </c>
      <c r="D231" s="6" t="s">
        <v>3143</v>
      </c>
      <c r="E231" s="6">
        <v>3</v>
      </c>
      <c r="F231" s="6">
        <v>36</v>
      </c>
      <c r="G231" s="6" t="s">
        <v>3255</v>
      </c>
      <c r="I231" s="8">
        <v>84.326425</v>
      </c>
      <c r="J231" s="8">
        <v>14.021571</v>
      </c>
      <c r="K231" s="6" t="s">
        <v>198</v>
      </c>
      <c r="L231" s="9">
        <v>43936</v>
      </c>
      <c r="M231" s="18">
        <v>0.3125</v>
      </c>
      <c r="N231" s="6">
        <v>29</v>
      </c>
      <c r="O231" s="6" t="s">
        <v>4363</v>
      </c>
      <c r="R231" s="6">
        <v>8</v>
      </c>
      <c r="S231" s="6">
        <v>4</v>
      </c>
      <c r="U231" s="32">
        <v>13.8</v>
      </c>
      <c r="V231" t="s">
        <v>4461</v>
      </c>
      <c r="W231" s="8">
        <v>-10.770995366058349</v>
      </c>
      <c r="X231" s="8">
        <v>-84.467714747619638</v>
      </c>
      <c r="Y231" s="8">
        <f>X231-(8*W231)</f>
        <v>1.7002481808471543</v>
      </c>
    </row>
    <row r="232" spans="1:25" s="6" customFormat="1" x14ac:dyDescent="0.35">
      <c r="A232" s="6" t="s">
        <v>25</v>
      </c>
      <c r="B232" s="6" t="s">
        <v>2882</v>
      </c>
      <c r="D232" s="6" t="s">
        <v>3143</v>
      </c>
      <c r="E232" s="6">
        <v>3</v>
      </c>
      <c r="F232" s="6">
        <v>36</v>
      </c>
      <c r="G232" s="6" t="s">
        <v>3255</v>
      </c>
      <c r="I232" s="8">
        <v>84.326425</v>
      </c>
      <c r="J232" s="8">
        <v>14.021571</v>
      </c>
      <c r="K232" s="6" t="s">
        <v>198</v>
      </c>
      <c r="L232" s="9">
        <v>43936</v>
      </c>
      <c r="M232" s="18">
        <v>0.3125</v>
      </c>
      <c r="N232" s="6">
        <v>29</v>
      </c>
      <c r="O232" s="6" t="s">
        <v>4363</v>
      </c>
      <c r="R232" s="6">
        <v>3</v>
      </c>
      <c r="S232" s="6">
        <v>0</v>
      </c>
      <c r="U232" s="32">
        <v>214</v>
      </c>
      <c r="V232" t="s">
        <v>4461</v>
      </c>
      <c r="W232" s="8">
        <v>-1.4485475093936921</v>
      </c>
      <c r="X232" s="8">
        <v>-38.13922376937866</v>
      </c>
      <c r="Y232" s="8">
        <f>X232-(8*W232)</f>
        <v>-26.550843694229123</v>
      </c>
    </row>
    <row r="233" spans="1:25" s="6" customFormat="1" x14ac:dyDescent="0.35">
      <c r="A233" s="6" t="s">
        <v>25</v>
      </c>
      <c r="B233" s="6" t="s">
        <v>2883</v>
      </c>
      <c r="D233" s="6" t="s">
        <v>3144</v>
      </c>
      <c r="E233" s="6">
        <v>3</v>
      </c>
      <c r="F233" s="6">
        <v>36</v>
      </c>
      <c r="G233" s="6" t="s">
        <v>3256</v>
      </c>
      <c r="I233" s="8">
        <v>84.314318</v>
      </c>
      <c r="J233" s="8">
        <v>13.144333</v>
      </c>
      <c r="K233" s="6" t="s">
        <v>198</v>
      </c>
      <c r="L233" s="9">
        <v>43937</v>
      </c>
      <c r="M233" s="18">
        <v>0.32291666666666669</v>
      </c>
      <c r="N233" s="6">
        <v>29</v>
      </c>
      <c r="O233" s="6" t="s">
        <v>4364</v>
      </c>
      <c r="R233" s="6">
        <v>16</v>
      </c>
      <c r="S233" s="6">
        <v>14</v>
      </c>
      <c r="U233" s="32">
        <v>79.099999999999994</v>
      </c>
      <c r="V233" t="s">
        <v>4461</v>
      </c>
      <c r="W233" s="8">
        <v>-23.323712426147463</v>
      </c>
      <c r="X233" s="8">
        <v>-176.31159675903319</v>
      </c>
      <c r="Y233" s="8">
        <f>X233-(8*W233)</f>
        <v>10.278102650146508</v>
      </c>
    </row>
    <row r="234" spans="1:25" s="6" customFormat="1" x14ac:dyDescent="0.35">
      <c r="A234" s="6" t="s">
        <v>25</v>
      </c>
      <c r="B234" s="6" t="s">
        <v>2884</v>
      </c>
      <c r="D234" s="6" t="s">
        <v>3144</v>
      </c>
      <c r="E234" s="6">
        <v>3</v>
      </c>
      <c r="F234" s="6">
        <v>36</v>
      </c>
      <c r="G234" s="6" t="s">
        <v>3256</v>
      </c>
      <c r="I234" s="8">
        <v>84.314318</v>
      </c>
      <c r="J234" s="8">
        <v>13.144333</v>
      </c>
      <c r="K234" s="6" t="s">
        <v>198</v>
      </c>
      <c r="L234" s="9">
        <v>43937</v>
      </c>
      <c r="M234" s="18">
        <v>0.32291666666666669</v>
      </c>
      <c r="N234" s="6">
        <v>29</v>
      </c>
      <c r="O234" s="6" t="s">
        <v>4364</v>
      </c>
      <c r="R234" s="6">
        <v>11</v>
      </c>
      <c r="S234" s="6">
        <v>8</v>
      </c>
      <c r="U234" s="32">
        <v>15.7</v>
      </c>
      <c r="V234" t="s">
        <v>4461</v>
      </c>
      <c r="W234" s="8">
        <v>-13.756398915252685</v>
      </c>
      <c r="X234" s="8">
        <v>-101.01293866271973</v>
      </c>
      <c r="Y234" s="8">
        <f>X234-(8*W234)</f>
        <v>9.0382526593017474</v>
      </c>
    </row>
    <row r="235" spans="1:25" s="6" customFormat="1" x14ac:dyDescent="0.35">
      <c r="A235" s="6" t="s">
        <v>25</v>
      </c>
      <c r="B235" s="6" t="s">
        <v>2885</v>
      </c>
      <c r="D235" s="6" t="s">
        <v>3144</v>
      </c>
      <c r="E235" s="6">
        <v>3</v>
      </c>
      <c r="F235" s="6">
        <v>36</v>
      </c>
      <c r="G235" s="6" t="s">
        <v>3256</v>
      </c>
      <c r="I235" s="8">
        <v>84.314318</v>
      </c>
      <c r="J235" s="8">
        <v>13.144333</v>
      </c>
      <c r="K235" s="6" t="s">
        <v>198</v>
      </c>
      <c r="L235" s="9">
        <v>43937</v>
      </c>
      <c r="M235" s="18">
        <v>0.32291666666666669</v>
      </c>
      <c r="N235" s="6">
        <v>29</v>
      </c>
      <c r="O235" s="6" t="s">
        <v>4364</v>
      </c>
      <c r="R235" s="6">
        <v>3</v>
      </c>
      <c r="S235" s="6">
        <v>0</v>
      </c>
      <c r="U235" s="34">
        <v>9.35</v>
      </c>
      <c r="V235" t="s">
        <v>4462</v>
      </c>
      <c r="W235" s="8">
        <v>-3.2522878632164005</v>
      </c>
      <c r="X235" s="8">
        <v>-40.082261832427974</v>
      </c>
      <c r="Y235" s="8">
        <f>X235-(8*W235)</f>
        <v>-14.06395892669677</v>
      </c>
    </row>
    <row r="236" spans="1:25" s="6" customFormat="1" x14ac:dyDescent="0.35">
      <c r="A236" s="6" t="s">
        <v>25</v>
      </c>
      <c r="B236" s="6" t="s">
        <v>2887</v>
      </c>
      <c r="D236" s="6" t="s">
        <v>3145</v>
      </c>
      <c r="E236" s="6">
        <v>3</v>
      </c>
      <c r="F236" s="6">
        <v>37</v>
      </c>
      <c r="G236" s="6" t="s">
        <v>3258</v>
      </c>
      <c r="I236" s="8">
        <v>84.119575999999995</v>
      </c>
      <c r="J236" s="8">
        <v>15.942104</v>
      </c>
      <c r="K236" s="6" t="s">
        <v>198</v>
      </c>
      <c r="L236" s="9">
        <v>43943</v>
      </c>
      <c r="M236" s="18">
        <v>0.50486111111111109</v>
      </c>
      <c r="N236" s="6">
        <v>30</v>
      </c>
      <c r="O236" s="6" t="s">
        <v>4365</v>
      </c>
      <c r="R236" s="6">
        <v>7.5</v>
      </c>
      <c r="S236" s="6">
        <v>5</v>
      </c>
      <c r="U236" s="32">
        <v>88.9</v>
      </c>
      <c r="V236" t="s">
        <v>4461</v>
      </c>
      <c r="W236" s="8">
        <v>-16.900295798416135</v>
      </c>
      <c r="X236" s="8">
        <v>-126.00982023925782</v>
      </c>
      <c r="Y236" s="8">
        <f>X236-(8*W236)</f>
        <v>9.1925461480712585</v>
      </c>
    </row>
    <row r="237" spans="1:25" s="6" customFormat="1" x14ac:dyDescent="0.35">
      <c r="A237" s="6" t="s">
        <v>25</v>
      </c>
      <c r="B237" s="6" t="s">
        <v>2888</v>
      </c>
      <c r="D237" s="6" t="s">
        <v>3145</v>
      </c>
      <c r="E237" s="6">
        <v>3</v>
      </c>
      <c r="F237" s="6">
        <v>37</v>
      </c>
      <c r="G237" s="6" t="s">
        <v>3258</v>
      </c>
      <c r="I237" s="8">
        <v>84.119575999999995</v>
      </c>
      <c r="J237" s="8">
        <v>15.942104</v>
      </c>
      <c r="K237" s="6" t="s">
        <v>198</v>
      </c>
      <c r="L237" s="9">
        <v>43943</v>
      </c>
      <c r="M237" s="18">
        <v>0.50486111111111109</v>
      </c>
      <c r="N237" s="6">
        <v>30</v>
      </c>
      <c r="O237" s="6" t="s">
        <v>4365</v>
      </c>
      <c r="R237" s="6">
        <v>5</v>
      </c>
      <c r="S237" s="6">
        <v>2</v>
      </c>
      <c r="U237" s="32">
        <v>21.2</v>
      </c>
      <c r="V237" t="s">
        <v>4461</v>
      </c>
      <c r="W237" s="8">
        <v>-14.119786654586791</v>
      </c>
      <c r="X237" s="8">
        <v>-110.10600853271485</v>
      </c>
      <c r="Y237" s="8">
        <f>X237-(8*W237)</f>
        <v>2.8522847039794783</v>
      </c>
    </row>
    <row r="238" spans="1:25" s="6" customFormat="1" x14ac:dyDescent="0.35">
      <c r="A238" s="6" t="s">
        <v>25</v>
      </c>
      <c r="B238" s="6" t="s">
        <v>2889</v>
      </c>
      <c r="D238" s="6" t="s">
        <v>3145</v>
      </c>
      <c r="E238" s="6">
        <v>3</v>
      </c>
      <c r="F238" s="6">
        <v>37</v>
      </c>
      <c r="G238" s="6" t="s">
        <v>3258</v>
      </c>
      <c r="I238" s="8">
        <v>84.119575999999995</v>
      </c>
      <c r="J238" s="8">
        <v>15.942104</v>
      </c>
      <c r="K238" s="6" t="s">
        <v>198</v>
      </c>
      <c r="L238" s="9">
        <v>43943</v>
      </c>
      <c r="M238" s="18">
        <v>0.50486111111111109</v>
      </c>
      <c r="N238" s="6">
        <v>30</v>
      </c>
      <c r="O238" s="6" t="s">
        <v>4365</v>
      </c>
      <c r="R238" s="6">
        <v>3</v>
      </c>
      <c r="S238" s="6">
        <v>0</v>
      </c>
      <c r="U238" s="32">
        <v>1416</v>
      </c>
      <c r="V238" t="s">
        <v>4461</v>
      </c>
      <c r="W238" s="8">
        <v>-7.0194290553283691</v>
      </c>
      <c r="X238" s="8">
        <v>-74.356434466552727</v>
      </c>
      <c r="Y238" s="8">
        <f>X238-(8*W238)</f>
        <v>-18.201002023925774</v>
      </c>
    </row>
    <row r="239" spans="1:25" s="6" customFormat="1" x14ac:dyDescent="0.35">
      <c r="A239" s="6" t="s">
        <v>25</v>
      </c>
      <c r="B239" s="6" t="s">
        <v>2891</v>
      </c>
      <c r="D239" s="6" t="s">
        <v>3146</v>
      </c>
      <c r="E239" s="6">
        <v>3</v>
      </c>
      <c r="F239" s="6">
        <v>37</v>
      </c>
      <c r="G239" s="6" t="s">
        <v>3261</v>
      </c>
      <c r="I239" s="8">
        <v>84.072866000000005</v>
      </c>
      <c r="J239" s="8">
        <v>16.030913999999999</v>
      </c>
      <c r="K239" s="6" t="s">
        <v>198</v>
      </c>
      <c r="L239" s="9">
        <v>43944</v>
      </c>
      <c r="M239" s="18">
        <v>0.47986111111111113</v>
      </c>
      <c r="N239" s="6">
        <v>30</v>
      </c>
      <c r="O239" s="6" t="s">
        <v>4279</v>
      </c>
      <c r="R239" s="6">
        <v>42</v>
      </c>
      <c r="S239" s="6">
        <v>39</v>
      </c>
      <c r="U239" s="32">
        <v>35.9</v>
      </c>
      <c r="V239" t="s">
        <v>4461</v>
      </c>
      <c r="W239" s="8">
        <v>-18.160989546890256</v>
      </c>
      <c r="X239" s="8">
        <v>-137.37241453857422</v>
      </c>
      <c r="Y239" s="8">
        <f>X239-(8*W239)</f>
        <v>7.9155018365478327</v>
      </c>
    </row>
    <row r="240" spans="1:25" s="6" customFormat="1" x14ac:dyDescent="0.35">
      <c r="A240" s="6" t="s">
        <v>25</v>
      </c>
      <c r="B240" s="6" t="s">
        <v>2890</v>
      </c>
      <c r="D240" s="6" t="s">
        <v>3146</v>
      </c>
      <c r="E240" s="6">
        <v>3</v>
      </c>
      <c r="F240" s="6">
        <v>37</v>
      </c>
      <c r="G240" s="6" t="s">
        <v>3261</v>
      </c>
      <c r="I240" s="8">
        <v>84.072866000000005</v>
      </c>
      <c r="J240" s="8">
        <v>16.030913999999999</v>
      </c>
      <c r="K240" s="6" t="s">
        <v>198</v>
      </c>
      <c r="L240" s="9">
        <v>43944</v>
      </c>
      <c r="M240" s="18">
        <v>0.47986111111111113</v>
      </c>
      <c r="N240" s="6">
        <v>30</v>
      </c>
      <c r="O240" s="6" t="s">
        <v>4279</v>
      </c>
      <c r="R240" s="6">
        <v>77</v>
      </c>
      <c r="S240" s="6">
        <v>75</v>
      </c>
      <c r="U240" s="32">
        <v>101.8</v>
      </c>
      <c r="V240" t="s">
        <v>4461</v>
      </c>
      <c r="W240" s="8">
        <v>-14.789237061614989</v>
      </c>
      <c r="X240" s="8">
        <v>-110.37310956115724</v>
      </c>
      <c r="Y240" s="8">
        <f>X240-(8*W240)</f>
        <v>7.9407869317626734</v>
      </c>
    </row>
    <row r="241" spans="1:26" s="6" customFormat="1" x14ac:dyDescent="0.35">
      <c r="A241" s="6" t="s">
        <v>25</v>
      </c>
      <c r="B241" s="6" t="s">
        <v>2892</v>
      </c>
      <c r="D241" s="6" t="s">
        <v>3146</v>
      </c>
      <c r="E241" s="6">
        <v>3</v>
      </c>
      <c r="F241" s="6">
        <v>37</v>
      </c>
      <c r="G241" s="6" t="s">
        <v>3261</v>
      </c>
      <c r="I241" s="8">
        <v>84.072866000000005</v>
      </c>
      <c r="J241" s="8">
        <v>16.030913999999999</v>
      </c>
      <c r="K241" s="6" t="s">
        <v>198</v>
      </c>
      <c r="L241" s="9">
        <v>43944</v>
      </c>
      <c r="M241" s="18">
        <v>0.47986111111111113</v>
      </c>
      <c r="N241" s="6">
        <v>30</v>
      </c>
      <c r="O241" s="6" t="s">
        <v>4279</v>
      </c>
      <c r="R241" s="6">
        <v>9</v>
      </c>
      <c r="S241" s="6">
        <v>6</v>
      </c>
      <c r="U241" s="32">
        <v>4.0999999999999996</v>
      </c>
      <c r="V241" t="s">
        <v>4461</v>
      </c>
      <c r="W241" s="8">
        <v>-10.409288940544128</v>
      </c>
      <c r="X241" s="8">
        <v>-85.976004473876955</v>
      </c>
      <c r="Y241" s="8">
        <f>X241-(8*W241)</f>
        <v>-2.701692949523931</v>
      </c>
    </row>
    <row r="242" spans="1:26" s="6" customFormat="1" x14ac:dyDescent="0.35">
      <c r="A242" s="6" t="s">
        <v>25</v>
      </c>
      <c r="B242" s="6" t="s">
        <v>2894</v>
      </c>
      <c r="D242" s="6" t="s">
        <v>3147</v>
      </c>
      <c r="E242" s="6">
        <v>3</v>
      </c>
      <c r="F242" s="6">
        <v>37</v>
      </c>
      <c r="G242" s="6" t="s">
        <v>3257</v>
      </c>
      <c r="I242" s="8">
        <v>84.013007000000002</v>
      </c>
      <c r="J242" s="8">
        <v>15.628247999999999</v>
      </c>
      <c r="K242" s="6" t="s">
        <v>198</v>
      </c>
      <c r="L242" s="9">
        <v>43946</v>
      </c>
      <c r="M242" s="18">
        <v>0.3756944444444445</v>
      </c>
      <c r="N242" s="6">
        <v>30</v>
      </c>
      <c r="O242" s="6" t="s">
        <v>4265</v>
      </c>
      <c r="R242" s="6">
        <v>20</v>
      </c>
      <c r="S242" s="6">
        <v>17</v>
      </c>
      <c r="U242" s="32">
        <v>97</v>
      </c>
      <c r="V242" t="s">
        <v>4461</v>
      </c>
      <c r="W242" s="8">
        <v>-25.045370185012818</v>
      </c>
      <c r="X242" s="8">
        <v>-185.87087880249024</v>
      </c>
      <c r="Y242" s="8">
        <f>X242-(8*W242)</f>
        <v>14.492082677612302</v>
      </c>
    </row>
    <row r="243" spans="1:26" s="6" customFormat="1" x14ac:dyDescent="0.35">
      <c r="A243" s="6" t="s">
        <v>25</v>
      </c>
      <c r="B243" s="6" t="s">
        <v>2893</v>
      </c>
      <c r="D243" s="6" t="s">
        <v>3147</v>
      </c>
      <c r="E243" s="6">
        <v>3</v>
      </c>
      <c r="F243" s="6">
        <v>37</v>
      </c>
      <c r="G243" s="6" t="s">
        <v>3257</v>
      </c>
      <c r="I243" s="8">
        <v>84.013007000000002</v>
      </c>
      <c r="J243" s="8">
        <v>15.628247999999999</v>
      </c>
      <c r="K243" s="6" t="s">
        <v>198</v>
      </c>
      <c r="L243" s="9">
        <v>43946</v>
      </c>
      <c r="M243" s="18">
        <v>0.3756944444444445</v>
      </c>
      <c r="N243" s="6">
        <v>30</v>
      </c>
      <c r="O243" s="6" t="s">
        <v>4265</v>
      </c>
      <c r="R243" s="6">
        <v>34</v>
      </c>
      <c r="S243" s="6">
        <v>32</v>
      </c>
      <c r="U243" s="32">
        <v>57.2</v>
      </c>
      <c r="V243" t="s">
        <v>4461</v>
      </c>
      <c r="W243" s="8">
        <v>-14.645755964393615</v>
      </c>
      <c r="X243" s="8">
        <v>-103.44837530822754</v>
      </c>
      <c r="Y243" s="8">
        <f>X243-(8*W243)</f>
        <v>13.71767240692138</v>
      </c>
    </row>
    <row r="244" spans="1:26" s="6" customFormat="1" x14ac:dyDescent="0.35">
      <c r="A244" s="6" t="s">
        <v>25</v>
      </c>
      <c r="B244" s="6" t="s">
        <v>2896</v>
      </c>
      <c r="D244" s="6" t="s">
        <v>3148</v>
      </c>
      <c r="E244" s="6">
        <v>3</v>
      </c>
      <c r="F244" s="6">
        <v>38</v>
      </c>
      <c r="G244" s="6" t="s">
        <v>3259</v>
      </c>
      <c r="I244" s="8">
        <v>83.924284</v>
      </c>
      <c r="J244" s="8">
        <v>15.628168000000001</v>
      </c>
      <c r="K244" s="6" t="s">
        <v>198</v>
      </c>
      <c r="L244" s="9">
        <v>43948</v>
      </c>
      <c r="M244" s="18">
        <v>0.33402777777777781</v>
      </c>
      <c r="N244" s="6">
        <v>31</v>
      </c>
      <c r="O244" s="6" t="s">
        <v>4251</v>
      </c>
      <c r="R244" s="6">
        <v>10</v>
      </c>
      <c r="S244" s="6">
        <v>8</v>
      </c>
      <c r="U244" s="32">
        <v>52.6</v>
      </c>
      <c r="V244" t="s">
        <v>4461</v>
      </c>
      <c r="W244" s="8">
        <v>-17.828220576400756</v>
      </c>
      <c r="X244" s="8">
        <v>-128.34810518188476</v>
      </c>
      <c r="Y244" s="8">
        <f>X244-(8*W244)</f>
        <v>14.27765942932129</v>
      </c>
    </row>
    <row r="245" spans="1:26" s="6" customFormat="1" x14ac:dyDescent="0.35">
      <c r="A245" s="6" t="s">
        <v>25</v>
      </c>
      <c r="B245" s="6" t="s">
        <v>2899</v>
      </c>
      <c r="D245" s="6" t="s">
        <v>3149</v>
      </c>
      <c r="E245" s="6">
        <v>3</v>
      </c>
      <c r="F245" s="6">
        <v>38</v>
      </c>
      <c r="G245" s="6" t="s">
        <v>3264</v>
      </c>
      <c r="I245" s="8">
        <v>83.933342999999994</v>
      </c>
      <c r="J245" s="8">
        <v>15.633877</v>
      </c>
      <c r="K245" s="6" t="s">
        <v>198</v>
      </c>
      <c r="L245" s="9">
        <v>43948</v>
      </c>
      <c r="M245" s="18">
        <v>0.49791666666666662</v>
      </c>
      <c r="N245" s="6">
        <v>31</v>
      </c>
      <c r="O245" s="6" t="s">
        <v>4251</v>
      </c>
      <c r="R245" s="6">
        <v>6</v>
      </c>
      <c r="S245" s="6">
        <v>3</v>
      </c>
      <c r="U245" s="32">
        <v>1752</v>
      </c>
      <c r="V245" t="s">
        <v>4461</v>
      </c>
      <c r="W245" s="8">
        <v>-15.846604674434658</v>
      </c>
      <c r="X245" s="8">
        <v>-117.12484041213989</v>
      </c>
      <c r="Y245" s="8">
        <f>X245-(8*W245)</f>
        <v>9.6479969833373787</v>
      </c>
    </row>
    <row r="246" spans="1:26" s="6" customFormat="1" x14ac:dyDescent="0.35">
      <c r="A246" s="6" t="s">
        <v>25</v>
      </c>
      <c r="B246" s="6" t="s">
        <v>2897</v>
      </c>
      <c r="D246" s="6" t="s">
        <v>3148</v>
      </c>
      <c r="E246" s="6">
        <v>3</v>
      </c>
      <c r="F246" s="6">
        <v>38</v>
      </c>
      <c r="G246" s="6" t="s">
        <v>3259</v>
      </c>
      <c r="I246" s="8">
        <v>83.924284</v>
      </c>
      <c r="J246" s="8">
        <v>15.628168000000001</v>
      </c>
      <c r="K246" s="6" t="s">
        <v>198</v>
      </c>
      <c r="L246" s="9">
        <v>43948</v>
      </c>
      <c r="M246" s="18">
        <v>0.33402777777777781</v>
      </c>
      <c r="N246" s="6">
        <v>31</v>
      </c>
      <c r="O246" s="6" t="s">
        <v>4251</v>
      </c>
      <c r="R246" s="6">
        <v>7</v>
      </c>
      <c r="S246" s="6">
        <v>4</v>
      </c>
      <c r="U246" s="32">
        <v>12.4</v>
      </c>
      <c r="V246" t="s">
        <v>4461</v>
      </c>
      <c r="W246" s="8">
        <v>-11.537541910266874</v>
      </c>
      <c r="X246" s="8">
        <v>-89.022869960784917</v>
      </c>
      <c r="Y246" s="8">
        <f>X246-(8*W246)</f>
        <v>3.2774653213500784</v>
      </c>
    </row>
    <row r="247" spans="1:26" s="6" customFormat="1" x14ac:dyDescent="0.35">
      <c r="A247" s="6" t="s">
        <v>25</v>
      </c>
      <c r="B247" s="6" t="s">
        <v>2900</v>
      </c>
      <c r="D247" s="6" t="s">
        <v>3149</v>
      </c>
      <c r="E247" s="6">
        <v>3</v>
      </c>
      <c r="F247" s="6">
        <v>38</v>
      </c>
      <c r="G247" s="6" t="s">
        <v>3264</v>
      </c>
      <c r="I247" s="8">
        <v>83.933342999999994</v>
      </c>
      <c r="J247" s="8">
        <v>15.633877</v>
      </c>
      <c r="K247" s="6" t="s">
        <v>198</v>
      </c>
      <c r="L247" s="9">
        <v>43948</v>
      </c>
      <c r="M247" s="18">
        <v>0.49791666666666662</v>
      </c>
      <c r="N247" s="6">
        <v>31</v>
      </c>
      <c r="O247" s="6" t="s">
        <v>4251</v>
      </c>
      <c r="R247" s="6">
        <v>3</v>
      </c>
      <c r="S247" s="6">
        <v>0</v>
      </c>
      <c r="U247" s="34">
        <v>12.58</v>
      </c>
      <c r="V247" t="s">
        <v>4462</v>
      </c>
      <c r="W247" s="8">
        <v>-8.8760574935913077</v>
      </c>
      <c r="X247" s="8">
        <v>-84.824530947875971</v>
      </c>
      <c r="Y247" s="8">
        <f>X247-(8*W247)</f>
        <v>-13.816070999145509</v>
      </c>
    </row>
    <row r="248" spans="1:26" s="6" customFormat="1" x14ac:dyDescent="0.35">
      <c r="A248" s="6" t="s">
        <v>25</v>
      </c>
      <c r="B248" s="6" t="s">
        <v>2898</v>
      </c>
      <c r="D248" s="6" t="s">
        <v>3148</v>
      </c>
      <c r="E248" s="6">
        <v>3</v>
      </c>
      <c r="F248" s="6">
        <v>38</v>
      </c>
      <c r="G248" s="6" t="s">
        <v>3259</v>
      </c>
      <c r="I248" s="8">
        <v>83.924284</v>
      </c>
      <c r="J248" s="8">
        <v>15.628168000000001</v>
      </c>
      <c r="K248" s="6" t="s">
        <v>198</v>
      </c>
      <c r="L248" s="9">
        <v>43948</v>
      </c>
      <c r="M248" s="18">
        <v>0.33402777777777781</v>
      </c>
      <c r="N248" s="6">
        <v>31</v>
      </c>
      <c r="O248" s="6" t="s">
        <v>4251</v>
      </c>
      <c r="R248" s="6">
        <v>3</v>
      </c>
      <c r="S248" s="6">
        <v>0</v>
      </c>
      <c r="U248" s="32">
        <v>205</v>
      </c>
      <c r="V248" t="s">
        <v>4461</v>
      </c>
      <c r="W248" s="8">
        <v>-2.010628859257698</v>
      </c>
      <c r="X248" s="8">
        <v>-40.050922954559326</v>
      </c>
      <c r="Y248" s="8">
        <f>X248-(8*W248)</f>
        <v>-23.965892080497742</v>
      </c>
    </row>
    <row r="249" spans="1:26" s="6" customFormat="1" x14ac:dyDescent="0.35">
      <c r="A249" s="6" t="s">
        <v>25</v>
      </c>
      <c r="B249" s="6" t="s">
        <v>2903</v>
      </c>
      <c r="D249" s="6" t="s">
        <v>3150</v>
      </c>
      <c r="E249" s="6">
        <v>3</v>
      </c>
      <c r="F249" s="6">
        <v>38</v>
      </c>
      <c r="G249" s="6" t="s">
        <v>3267</v>
      </c>
      <c r="I249" s="8">
        <v>83.936435000000003</v>
      </c>
      <c r="J249" s="8">
        <v>17.459644999999998</v>
      </c>
      <c r="K249" s="6" t="s">
        <v>198</v>
      </c>
      <c r="L249" s="9">
        <v>43951</v>
      </c>
      <c r="M249" s="18">
        <v>0.4236111111111111</v>
      </c>
      <c r="N249" s="6">
        <v>31</v>
      </c>
      <c r="O249" s="6" t="s">
        <v>4373</v>
      </c>
      <c r="R249" s="6">
        <v>25</v>
      </c>
      <c r="S249" s="6">
        <v>18</v>
      </c>
      <c r="U249" s="32">
        <v>53.5</v>
      </c>
      <c r="V249" t="s">
        <v>4461</v>
      </c>
      <c r="W249" s="8">
        <v>-23.300647571945188</v>
      </c>
      <c r="X249" s="8">
        <v>-166.22887639160157</v>
      </c>
      <c r="Y249" s="8">
        <f>X249-(8*W249)</f>
        <v>20.176304183959928</v>
      </c>
    </row>
    <row r="250" spans="1:26" s="6" customFormat="1" x14ac:dyDescent="0.35">
      <c r="A250" s="6" t="s">
        <v>25</v>
      </c>
      <c r="B250" s="6" t="s">
        <v>2901</v>
      </c>
      <c r="D250" s="6" t="s">
        <v>3150</v>
      </c>
      <c r="E250" s="6">
        <v>3</v>
      </c>
      <c r="F250" s="6">
        <v>38</v>
      </c>
      <c r="G250" s="6" t="s">
        <v>3267</v>
      </c>
      <c r="I250" s="8">
        <v>83.936435000000003</v>
      </c>
      <c r="J250" s="8">
        <v>17.459644999999998</v>
      </c>
      <c r="K250" s="6" t="s">
        <v>198</v>
      </c>
      <c r="L250" s="9">
        <v>43951</v>
      </c>
      <c r="M250" s="18">
        <v>0.4236111111111111</v>
      </c>
      <c r="N250" s="6">
        <v>31</v>
      </c>
      <c r="O250" s="6" t="s">
        <v>4373</v>
      </c>
      <c r="R250" s="6">
        <v>47</v>
      </c>
      <c r="S250" s="6">
        <v>46</v>
      </c>
      <c r="U250" s="32">
        <v>20.9</v>
      </c>
      <c r="V250" t="s">
        <v>4461</v>
      </c>
      <c r="W250" s="8">
        <v>-15.30465984573364</v>
      </c>
      <c r="X250" s="8">
        <v>-114.55723967285157</v>
      </c>
      <c r="Y250" s="8">
        <f>X250-(8*W250)</f>
        <v>7.8800390930175581</v>
      </c>
      <c r="Z250" s="19" t="s">
        <v>3266</v>
      </c>
    </row>
    <row r="251" spans="1:26" s="6" customFormat="1" x14ac:dyDescent="0.35">
      <c r="A251" s="6" t="s">
        <v>25</v>
      </c>
      <c r="B251" s="6" t="s">
        <v>2902</v>
      </c>
      <c r="D251" s="6" t="s">
        <v>3150</v>
      </c>
      <c r="E251" s="6">
        <v>3</v>
      </c>
      <c r="F251" s="6">
        <v>38</v>
      </c>
      <c r="G251" s="6" t="s">
        <v>3267</v>
      </c>
      <c r="I251" s="8">
        <v>83.936435000000003</v>
      </c>
      <c r="J251" s="8">
        <v>17.459644999999998</v>
      </c>
      <c r="K251" s="6" t="s">
        <v>198</v>
      </c>
      <c r="L251" s="9">
        <v>43951</v>
      </c>
      <c r="M251" s="18">
        <v>0.4236111111111111</v>
      </c>
      <c r="N251" s="6">
        <v>31</v>
      </c>
      <c r="O251" s="6" t="s">
        <v>4373</v>
      </c>
      <c r="R251" s="6">
        <v>5</v>
      </c>
      <c r="S251" s="6">
        <v>0</v>
      </c>
      <c r="U251" s="32">
        <v>178.9</v>
      </c>
      <c r="V251" t="s">
        <v>4461</v>
      </c>
      <c r="W251" s="8">
        <v>-12.75829460468292</v>
      </c>
      <c r="X251" s="8">
        <v>-109.04659558410646</v>
      </c>
      <c r="Y251" s="8">
        <f>X251-(8*W251)</f>
        <v>-6.9802387466430957</v>
      </c>
    </row>
    <row r="252" spans="1:26" s="6" customFormat="1" x14ac:dyDescent="0.35">
      <c r="A252" s="6" t="s">
        <v>25</v>
      </c>
      <c r="B252" s="6" t="s">
        <v>2905</v>
      </c>
      <c r="D252" s="6" t="s">
        <v>3151</v>
      </c>
      <c r="E252" s="6">
        <v>3</v>
      </c>
      <c r="F252" s="6">
        <v>38</v>
      </c>
      <c r="G252" s="6" t="s">
        <v>3263</v>
      </c>
      <c r="I252" s="8">
        <v>83.885417000000004</v>
      </c>
      <c r="J252" s="8">
        <v>17.949331000000001</v>
      </c>
      <c r="K252" s="6" t="s">
        <v>198</v>
      </c>
      <c r="L252" s="9">
        <v>43954</v>
      </c>
      <c r="M252" s="18">
        <v>0.50972222222222219</v>
      </c>
      <c r="N252" s="6">
        <v>31</v>
      </c>
      <c r="O252" s="6" t="s">
        <v>4267</v>
      </c>
      <c r="R252" s="6">
        <v>16</v>
      </c>
      <c r="S252" s="6">
        <v>13</v>
      </c>
      <c r="U252" s="32">
        <v>297</v>
      </c>
      <c r="V252" t="s">
        <v>4461</v>
      </c>
      <c r="W252" s="8">
        <v>-34.618985456848144</v>
      </c>
      <c r="X252" s="8">
        <v>-266.174310168457</v>
      </c>
      <c r="Y252" s="8">
        <f>X252-(8*W252)</f>
        <v>10.777573486328151</v>
      </c>
    </row>
    <row r="253" spans="1:26" s="6" customFormat="1" x14ac:dyDescent="0.35">
      <c r="A253" s="6" t="s">
        <v>25</v>
      </c>
      <c r="B253" s="6" t="s">
        <v>2904</v>
      </c>
      <c r="D253" s="6" t="s">
        <v>3151</v>
      </c>
      <c r="E253" s="6">
        <v>3</v>
      </c>
      <c r="F253" s="6">
        <v>38</v>
      </c>
      <c r="G253" s="6" t="s">
        <v>3263</v>
      </c>
      <c r="I253" s="8">
        <v>83.885417000000004</v>
      </c>
      <c r="J253" s="8">
        <v>17.949331000000001</v>
      </c>
      <c r="K253" s="6" t="s">
        <v>198</v>
      </c>
      <c r="L253" s="9">
        <v>43954</v>
      </c>
      <c r="M253" s="18">
        <v>0.50972222222222219</v>
      </c>
      <c r="N253" s="6">
        <v>31</v>
      </c>
      <c r="O253" s="6" t="s">
        <v>4267</v>
      </c>
      <c r="R253" s="6">
        <v>20.5</v>
      </c>
      <c r="S253" s="6">
        <v>19</v>
      </c>
      <c r="U253" s="32">
        <v>7.9</v>
      </c>
      <c r="V253" t="s">
        <v>4461</v>
      </c>
      <c r="W253" s="8">
        <v>-31.761141245269773</v>
      </c>
      <c r="X253" s="8">
        <v>-242.83596141357421</v>
      </c>
      <c r="Y253" s="8">
        <f>X253-(8*W253)</f>
        <v>11.253168548583972</v>
      </c>
      <c r="Z253" s="19" t="s">
        <v>3262</v>
      </c>
    </row>
    <row r="254" spans="1:26" s="6" customFormat="1" x14ac:dyDescent="0.35">
      <c r="A254" s="6" t="s">
        <v>25</v>
      </c>
      <c r="B254" s="6" t="s">
        <v>2906</v>
      </c>
      <c r="D254" s="6" t="s">
        <v>3151</v>
      </c>
      <c r="E254" s="6">
        <v>3</v>
      </c>
      <c r="F254" s="6">
        <v>38</v>
      </c>
      <c r="G254" s="6" t="s">
        <v>3263</v>
      </c>
      <c r="I254" s="8">
        <v>83.885417000000004</v>
      </c>
      <c r="J254" s="8">
        <v>17.949331000000001</v>
      </c>
      <c r="K254" s="6" t="s">
        <v>198</v>
      </c>
      <c r="L254" s="9">
        <v>43954</v>
      </c>
      <c r="M254" s="18">
        <v>0.50972222222222219</v>
      </c>
      <c r="N254" s="6">
        <v>31</v>
      </c>
      <c r="O254" s="6" t="s">
        <v>4267</v>
      </c>
      <c r="R254" s="6">
        <v>3</v>
      </c>
      <c r="S254" s="6">
        <v>0</v>
      </c>
      <c r="U254" s="32">
        <v>7.51</v>
      </c>
      <c r="V254" t="s">
        <v>4462</v>
      </c>
      <c r="W254" s="8">
        <v>-8.3105976299285871</v>
      </c>
      <c r="X254" s="8">
        <v>-67.00302682800293</v>
      </c>
      <c r="Y254" s="8">
        <f>X254-(8*W254)</f>
        <v>-0.51824578857423376</v>
      </c>
    </row>
    <row r="255" spans="1:26" s="6" customFormat="1" x14ac:dyDescent="0.35">
      <c r="A255" s="6" t="s">
        <v>25</v>
      </c>
      <c r="B255" s="6" t="s">
        <v>2907</v>
      </c>
      <c r="D255" s="6" t="s">
        <v>3152</v>
      </c>
      <c r="E255" s="6">
        <v>3</v>
      </c>
      <c r="F255" s="6">
        <v>39</v>
      </c>
      <c r="G255" s="6" t="s">
        <v>3265</v>
      </c>
      <c r="I255" s="8">
        <v>83.907985999999994</v>
      </c>
      <c r="J255" s="8">
        <v>18.352126999999999</v>
      </c>
      <c r="K255" s="6" t="s">
        <v>198</v>
      </c>
      <c r="L255" s="9">
        <v>43955</v>
      </c>
      <c r="M255" s="18">
        <v>0.53125</v>
      </c>
      <c r="N255" s="6">
        <v>32</v>
      </c>
      <c r="O255" s="6" t="s">
        <v>4374</v>
      </c>
      <c r="R255" s="6">
        <v>8.5</v>
      </c>
      <c r="S255" s="6">
        <v>6.5</v>
      </c>
      <c r="U255" s="32">
        <v>18</v>
      </c>
      <c r="V255" t="s">
        <v>4461</v>
      </c>
      <c r="W255" s="8">
        <v>-27.87285296859741</v>
      </c>
      <c r="X255" s="8">
        <v>-213.08580012817382</v>
      </c>
      <c r="Y255" s="8">
        <f>X255-(8*W255)</f>
        <v>9.8970236206054665</v>
      </c>
    </row>
    <row r="256" spans="1:26" s="6" customFormat="1" x14ac:dyDescent="0.35">
      <c r="A256" s="6" t="s">
        <v>25</v>
      </c>
      <c r="B256" s="6" t="s">
        <v>2908</v>
      </c>
      <c r="D256" s="6" t="s">
        <v>3152</v>
      </c>
      <c r="E256" s="6">
        <v>3</v>
      </c>
      <c r="F256" s="6">
        <v>39</v>
      </c>
      <c r="G256" s="6" t="s">
        <v>3265</v>
      </c>
      <c r="I256" s="8">
        <v>83.907985999999994</v>
      </c>
      <c r="J256" s="8">
        <v>18.352126999999999</v>
      </c>
      <c r="K256" s="6" t="s">
        <v>198</v>
      </c>
      <c r="L256" s="9">
        <v>43955</v>
      </c>
      <c r="M256" s="18">
        <v>0.53125</v>
      </c>
      <c r="N256" s="6">
        <v>32</v>
      </c>
      <c r="O256" s="6" t="s">
        <v>4374</v>
      </c>
      <c r="R256" s="6">
        <v>6</v>
      </c>
      <c r="S256" s="6">
        <v>3</v>
      </c>
      <c r="U256" s="32">
        <v>839</v>
      </c>
      <c r="V256" t="s">
        <v>4461</v>
      </c>
      <c r="W256" s="8">
        <v>-18.67505055465698</v>
      </c>
      <c r="X256" s="8">
        <v>-139.02623677368163</v>
      </c>
      <c r="Y256" s="8">
        <f>X256-(8*W256)</f>
        <v>10.374167663574212</v>
      </c>
    </row>
    <row r="257" spans="1:26" s="6" customFormat="1" x14ac:dyDescent="0.35">
      <c r="A257" s="6" t="s">
        <v>25</v>
      </c>
      <c r="B257" s="6" t="s">
        <v>2909</v>
      </c>
      <c r="D257" s="6" t="s">
        <v>3152</v>
      </c>
      <c r="E257" s="6">
        <v>3</v>
      </c>
      <c r="F257" s="6">
        <v>39</v>
      </c>
      <c r="G257" s="6" t="s">
        <v>3265</v>
      </c>
      <c r="I257" s="8">
        <v>83.907985999999994</v>
      </c>
      <c r="J257" s="8">
        <v>18.352126999999999</v>
      </c>
      <c r="K257" s="6" t="s">
        <v>198</v>
      </c>
      <c r="L257" s="9">
        <v>43955</v>
      </c>
      <c r="M257" s="18">
        <v>0.53125</v>
      </c>
      <c r="N257" s="6">
        <v>32</v>
      </c>
      <c r="O257" s="6" t="s">
        <v>4374</v>
      </c>
      <c r="R257" s="6">
        <v>3</v>
      </c>
      <c r="S257" s="6">
        <v>0</v>
      </c>
      <c r="U257" s="34">
        <v>11.56</v>
      </c>
      <c r="V257" t="s">
        <v>4462</v>
      </c>
      <c r="W257" s="8">
        <v>-7.9624918693542481</v>
      </c>
      <c r="X257" s="8">
        <v>-66.352066470336922</v>
      </c>
      <c r="Y257" s="8">
        <f>X257-(8*W257)</f>
        <v>-2.652131515502937</v>
      </c>
    </row>
    <row r="258" spans="1:26" s="6" customFormat="1" x14ac:dyDescent="0.35">
      <c r="A258" s="6" t="s">
        <v>25</v>
      </c>
      <c r="B258" s="6" t="s">
        <v>2910</v>
      </c>
      <c r="D258" s="6" t="s">
        <v>3153</v>
      </c>
      <c r="E258" s="6">
        <v>3</v>
      </c>
      <c r="F258" s="6">
        <v>39</v>
      </c>
      <c r="G258" s="6" t="s">
        <v>3268</v>
      </c>
      <c r="I258" s="8">
        <v>83.921973194444405</v>
      </c>
      <c r="J258" s="8">
        <v>17.654378611111099</v>
      </c>
      <c r="K258" s="6" t="s">
        <v>198</v>
      </c>
      <c r="L258" s="9">
        <v>43957</v>
      </c>
      <c r="M258" s="20">
        <v>0.51944444444444449</v>
      </c>
      <c r="N258" s="6">
        <v>32</v>
      </c>
      <c r="O258" s="6" t="s">
        <v>4376</v>
      </c>
      <c r="R258" s="6">
        <v>22</v>
      </c>
      <c r="S258" s="6">
        <v>20</v>
      </c>
      <c r="U258" s="32">
        <v>9.5</v>
      </c>
      <c r="V258" t="s">
        <v>4461</v>
      </c>
      <c r="W258" s="8">
        <v>-21.388443907546993</v>
      </c>
      <c r="X258" s="8">
        <v>-157.74929490356445</v>
      </c>
      <c r="Y258" s="8">
        <f>X258-(8*W258)</f>
        <v>13.358256356811495</v>
      </c>
    </row>
    <row r="259" spans="1:26" s="6" customFormat="1" x14ac:dyDescent="0.35">
      <c r="A259" s="6" t="s">
        <v>25</v>
      </c>
      <c r="B259" s="6" t="s">
        <v>2911</v>
      </c>
      <c r="D259" s="6" t="s">
        <v>3153</v>
      </c>
      <c r="E259" s="6">
        <v>3</v>
      </c>
      <c r="F259" s="6">
        <v>39</v>
      </c>
      <c r="G259" s="6" t="s">
        <v>3268</v>
      </c>
      <c r="I259" s="8">
        <v>83.921973194444405</v>
      </c>
      <c r="J259" s="8">
        <v>17.654378611111099</v>
      </c>
      <c r="K259" s="6" t="s">
        <v>198</v>
      </c>
      <c r="L259" s="9">
        <v>43957</v>
      </c>
      <c r="M259" s="20">
        <v>0.51944444444444449</v>
      </c>
      <c r="N259" s="6">
        <v>32</v>
      </c>
      <c r="O259" s="6" t="s">
        <v>4376</v>
      </c>
      <c r="R259" s="6">
        <v>18</v>
      </c>
      <c r="S259" s="6">
        <v>15</v>
      </c>
      <c r="U259" s="32">
        <v>50.7</v>
      </c>
      <c r="V259" t="s">
        <v>4461</v>
      </c>
      <c r="W259" s="8">
        <v>-17.513483368682859</v>
      </c>
      <c r="X259" s="8">
        <v>-128.05810809020994</v>
      </c>
      <c r="Y259" s="8">
        <f>X259-(8*W259)</f>
        <v>12.049758859252933</v>
      </c>
    </row>
    <row r="260" spans="1:26" s="6" customFormat="1" x14ac:dyDescent="0.35">
      <c r="A260" s="6" t="s">
        <v>25</v>
      </c>
      <c r="B260" s="6" t="s">
        <v>2912</v>
      </c>
      <c r="D260" s="6" t="s">
        <v>3153</v>
      </c>
      <c r="E260" s="6">
        <v>3</v>
      </c>
      <c r="F260" s="6">
        <v>39</v>
      </c>
      <c r="G260" s="6" t="s">
        <v>3268</v>
      </c>
      <c r="I260" s="8">
        <v>83.921973194444405</v>
      </c>
      <c r="J260" s="8">
        <v>17.654378611111099</v>
      </c>
      <c r="K260" s="6" t="s">
        <v>198</v>
      </c>
      <c r="L260" s="9">
        <v>43957</v>
      </c>
      <c r="M260" s="20">
        <v>0.51944444444444449</v>
      </c>
      <c r="N260" s="6">
        <v>32</v>
      </c>
      <c r="O260" s="6" t="s">
        <v>4376</v>
      </c>
      <c r="R260" s="6">
        <v>12</v>
      </c>
      <c r="S260" s="6">
        <v>9</v>
      </c>
      <c r="U260" s="32">
        <v>5.2</v>
      </c>
      <c r="V260" t="s">
        <v>4461</v>
      </c>
      <c r="W260" s="8">
        <v>-4.8820737641334544</v>
      </c>
      <c r="X260" s="8">
        <v>-37.213689709472654</v>
      </c>
      <c r="Y260" s="8">
        <f>X260-(8*W260)</f>
        <v>1.8429004035949816</v>
      </c>
    </row>
    <row r="261" spans="1:26" s="6" customFormat="1" x14ac:dyDescent="0.35">
      <c r="A261" s="6" t="s">
        <v>25</v>
      </c>
      <c r="B261" s="6" t="s">
        <v>2915</v>
      </c>
      <c r="D261" s="6" t="s">
        <v>3154</v>
      </c>
      <c r="E261" s="6">
        <v>3</v>
      </c>
      <c r="F261" s="6">
        <v>39</v>
      </c>
      <c r="G261" s="6" t="s">
        <v>3260</v>
      </c>
      <c r="I261" s="8">
        <v>83.791625999999994</v>
      </c>
      <c r="J261" s="8">
        <v>14.137250999999999</v>
      </c>
      <c r="K261" s="6" t="s">
        <v>198</v>
      </c>
      <c r="L261" s="9">
        <v>43960</v>
      </c>
      <c r="M261" s="18">
        <v>0.30763888888888891</v>
      </c>
      <c r="N261" s="6">
        <v>32</v>
      </c>
      <c r="O261" s="6" t="s">
        <v>4246</v>
      </c>
      <c r="R261" s="6">
        <v>10</v>
      </c>
      <c r="S261" s="6">
        <v>9</v>
      </c>
      <c r="U261" s="32">
        <v>68.400000000000006</v>
      </c>
      <c r="V261" t="s">
        <v>4461</v>
      </c>
      <c r="W261" s="8">
        <v>-17.250456938552855</v>
      </c>
      <c r="X261" s="8">
        <v>-127.62408575134276</v>
      </c>
      <c r="Y261" s="8">
        <f>X261-(8*W261)</f>
        <v>10.379569757080077</v>
      </c>
      <c r="Z261" s="6" t="s">
        <v>3188</v>
      </c>
    </row>
    <row r="262" spans="1:26" s="6" customFormat="1" x14ac:dyDescent="0.35">
      <c r="A262" s="6" t="s">
        <v>25</v>
      </c>
      <c r="B262" s="6" t="s">
        <v>2914</v>
      </c>
      <c r="D262" s="6" t="s">
        <v>3154</v>
      </c>
      <c r="E262" s="6">
        <v>3</v>
      </c>
      <c r="F262" s="6">
        <v>39</v>
      </c>
      <c r="G262" s="6" t="s">
        <v>3260</v>
      </c>
      <c r="I262" s="8">
        <v>83.791625999999994</v>
      </c>
      <c r="J262" s="8">
        <v>14.137250999999999</v>
      </c>
      <c r="K262" s="6" t="s">
        <v>198</v>
      </c>
      <c r="L262" s="9">
        <v>43960</v>
      </c>
      <c r="M262" s="18">
        <v>0.30763888888888891</v>
      </c>
      <c r="N262" s="6">
        <v>32</v>
      </c>
      <c r="O262" s="6" t="s">
        <v>4246</v>
      </c>
      <c r="R262" s="6">
        <v>7</v>
      </c>
      <c r="S262" s="6">
        <v>4</v>
      </c>
      <c r="U262" s="32">
        <v>11.7</v>
      </c>
      <c r="V262" t="s">
        <v>4461</v>
      </c>
      <c r="W262" s="8">
        <v>-10.711988621520995</v>
      </c>
      <c r="X262" s="8">
        <v>-87.467149807739247</v>
      </c>
      <c r="Y262" s="8">
        <f>X262-(8*W262)</f>
        <v>-1.771240835571291</v>
      </c>
    </row>
    <row r="263" spans="1:26" s="6" customFormat="1" x14ac:dyDescent="0.35">
      <c r="A263" s="6" t="s">
        <v>25</v>
      </c>
      <c r="B263" s="6" t="s">
        <v>2913</v>
      </c>
      <c r="D263" s="6" t="s">
        <v>3154</v>
      </c>
      <c r="E263" s="6">
        <v>3</v>
      </c>
      <c r="F263" s="6">
        <v>39</v>
      </c>
      <c r="G263" s="6" t="s">
        <v>3260</v>
      </c>
      <c r="I263" s="8">
        <v>83.791625999999994</v>
      </c>
      <c r="J263" s="8">
        <v>14.137250999999999</v>
      </c>
      <c r="K263" s="6" t="s">
        <v>198</v>
      </c>
      <c r="L263" s="9">
        <v>43960</v>
      </c>
      <c r="M263" s="18">
        <v>0.30763888888888891</v>
      </c>
      <c r="N263" s="6">
        <v>32</v>
      </c>
      <c r="O263" s="6" t="s">
        <v>4246</v>
      </c>
      <c r="R263" s="6">
        <v>3</v>
      </c>
      <c r="S263" s="6">
        <v>0</v>
      </c>
      <c r="U263" s="32">
        <v>202</v>
      </c>
      <c r="V263" t="s">
        <v>4461</v>
      </c>
      <c r="W263" s="8">
        <v>-3.3634456015110015</v>
      </c>
      <c r="X263" s="8">
        <v>-48.310350666809086</v>
      </c>
      <c r="Y263" s="8">
        <f>X263-(8*W263)</f>
        <v>-21.402785854721074</v>
      </c>
    </row>
    <row r="264" spans="1:26" s="6" customFormat="1" x14ac:dyDescent="0.35">
      <c r="A264" s="6" t="s">
        <v>25</v>
      </c>
      <c r="B264" s="6" t="s">
        <v>2917</v>
      </c>
      <c r="D264" s="6" t="s">
        <v>3155</v>
      </c>
      <c r="E264" s="6">
        <v>3</v>
      </c>
      <c r="F264" s="6">
        <v>39</v>
      </c>
      <c r="G264" s="6" t="s">
        <v>3269</v>
      </c>
      <c r="I264" s="8">
        <v>83.658608999999998</v>
      </c>
      <c r="J264" s="8">
        <v>13.462538</v>
      </c>
      <c r="K264" s="6" t="s">
        <v>198</v>
      </c>
      <c r="L264" s="9">
        <v>43961</v>
      </c>
      <c r="M264" s="18">
        <v>0.50416666666666665</v>
      </c>
      <c r="N264" s="6">
        <v>33</v>
      </c>
      <c r="O264" s="6" t="s">
        <v>4278</v>
      </c>
      <c r="R264" s="6">
        <v>3</v>
      </c>
      <c r="S264" s="6">
        <v>0</v>
      </c>
      <c r="U264" s="32">
        <v>87.4</v>
      </c>
      <c r="V264" t="s">
        <v>4461</v>
      </c>
      <c r="W264" s="8">
        <v>-29.83418852500915</v>
      </c>
      <c r="X264" s="8">
        <v>-225.46493943481445</v>
      </c>
      <c r="Y264" s="8">
        <f>X264-(8*W264)</f>
        <v>13.208568765258747</v>
      </c>
    </row>
    <row r="265" spans="1:26" s="6" customFormat="1" x14ac:dyDescent="0.35">
      <c r="A265" s="6" t="s">
        <v>25</v>
      </c>
      <c r="B265" s="6" t="s">
        <v>2916</v>
      </c>
      <c r="D265" s="6" t="s">
        <v>3155</v>
      </c>
      <c r="E265" s="6">
        <v>3</v>
      </c>
      <c r="F265" s="6">
        <v>39</v>
      </c>
      <c r="G265" s="6" t="s">
        <v>3269</v>
      </c>
      <c r="I265" s="8">
        <v>83.658608999999998</v>
      </c>
      <c r="J265" s="8">
        <v>13.462538</v>
      </c>
      <c r="K265" s="6" t="s">
        <v>198</v>
      </c>
      <c r="L265" s="9">
        <v>43961</v>
      </c>
      <c r="M265" s="18">
        <v>0.50416666666666665</v>
      </c>
      <c r="N265" s="6">
        <v>33</v>
      </c>
      <c r="O265" s="6" t="s">
        <v>4278</v>
      </c>
      <c r="R265" s="6">
        <v>32</v>
      </c>
      <c r="S265" s="6">
        <v>30</v>
      </c>
      <c r="U265" s="32">
        <v>104.2</v>
      </c>
      <c r="V265" t="s">
        <v>4461</v>
      </c>
      <c r="W265" s="8">
        <v>-25.787790139007566</v>
      </c>
      <c r="X265" s="8">
        <v>-195.36734415893554</v>
      </c>
      <c r="Y265" s="8">
        <f>X265-(8*W265)</f>
        <v>10.934976953124988</v>
      </c>
      <c r="Z265" s="6" t="s">
        <v>3189</v>
      </c>
    </row>
    <row r="266" spans="1:26" s="6" customFormat="1" x14ac:dyDescent="0.35">
      <c r="A266" s="6" t="s">
        <v>25</v>
      </c>
      <c r="B266" s="6" t="s">
        <v>2921</v>
      </c>
      <c r="D266" s="6" t="s">
        <v>3156</v>
      </c>
      <c r="E266" s="6">
        <v>4</v>
      </c>
      <c r="F266" s="6">
        <v>44</v>
      </c>
      <c r="G266" s="6" t="s">
        <v>3274</v>
      </c>
      <c r="I266" s="8">
        <v>82.130768000000003</v>
      </c>
      <c r="J266" s="8">
        <v>7.7027729999999996</v>
      </c>
      <c r="K266" s="6" t="s">
        <v>198</v>
      </c>
      <c r="L266" s="9">
        <v>43995</v>
      </c>
      <c r="M266" s="18">
        <v>0.625</v>
      </c>
      <c r="N266" s="6">
        <v>37</v>
      </c>
      <c r="O266" s="6" t="s">
        <v>4400</v>
      </c>
      <c r="R266" s="6">
        <v>41</v>
      </c>
      <c r="S266" s="6">
        <v>34</v>
      </c>
      <c r="U266" s="32">
        <v>9.1</v>
      </c>
      <c r="V266" t="s">
        <v>4461</v>
      </c>
      <c r="W266" s="8">
        <v>-19.205510394287106</v>
      </c>
      <c r="X266" s="8">
        <v>-148.49574862670897</v>
      </c>
      <c r="Y266" s="8">
        <f>X266-(8*W266)</f>
        <v>5.1483345275878776</v>
      </c>
      <c r="Z266" s="6" t="s">
        <v>3275</v>
      </c>
    </row>
    <row r="267" spans="1:26" s="6" customFormat="1" x14ac:dyDescent="0.35">
      <c r="A267" s="6" t="s">
        <v>25</v>
      </c>
      <c r="B267" s="6" t="s">
        <v>2920</v>
      </c>
      <c r="D267" s="6" t="s">
        <v>3120</v>
      </c>
      <c r="E267" s="6">
        <v>4</v>
      </c>
      <c r="F267" s="6">
        <v>44</v>
      </c>
      <c r="G267" s="6" t="s">
        <v>3270</v>
      </c>
      <c r="I267" s="8">
        <v>81.998671000000002</v>
      </c>
      <c r="J267" s="8">
        <v>9.6965789999999998</v>
      </c>
      <c r="K267" s="6" t="s">
        <v>198</v>
      </c>
      <c r="L267" s="9">
        <v>44005</v>
      </c>
      <c r="M267" s="18">
        <v>0.5</v>
      </c>
      <c r="N267" s="6">
        <v>39</v>
      </c>
      <c r="O267" s="6" t="s">
        <v>4406</v>
      </c>
      <c r="R267" s="6">
        <v>3</v>
      </c>
      <c r="S267" s="6">
        <v>1</v>
      </c>
      <c r="U267" s="34">
        <v>10.01</v>
      </c>
      <c r="V267" t="s">
        <v>4461</v>
      </c>
      <c r="W267" s="8">
        <v>-27.453256062316889</v>
      </c>
      <c r="X267" s="8">
        <v>-209.24083462219238</v>
      </c>
      <c r="Y267" s="8">
        <f>X267-(8*W267)</f>
        <v>10.385213876342732</v>
      </c>
    </row>
    <row r="268" spans="1:26" s="6" customFormat="1" x14ac:dyDescent="0.35">
      <c r="A268" s="6" t="s">
        <v>25</v>
      </c>
      <c r="B268" s="6" t="s">
        <v>2919</v>
      </c>
      <c r="D268" s="6" t="s">
        <v>3120</v>
      </c>
      <c r="E268" s="6">
        <v>4</v>
      </c>
      <c r="F268" s="6">
        <v>44</v>
      </c>
      <c r="G268" s="6" t="s">
        <v>3270</v>
      </c>
      <c r="I268" s="8">
        <v>81.998671000000002</v>
      </c>
      <c r="J268" s="8">
        <v>9.6965789999999998</v>
      </c>
      <c r="K268" s="6" t="s">
        <v>198</v>
      </c>
      <c r="L268" s="9">
        <v>44005</v>
      </c>
      <c r="M268" s="18">
        <v>0.5</v>
      </c>
      <c r="N268" s="6">
        <v>39</v>
      </c>
      <c r="O268" s="6" t="s">
        <v>4406</v>
      </c>
      <c r="R268" s="6">
        <v>32</v>
      </c>
      <c r="S268" s="6">
        <v>30</v>
      </c>
      <c r="U268" s="32"/>
      <c r="V268"/>
      <c r="W268" s="8">
        <v>-26.248525103759764</v>
      </c>
      <c r="X268" s="8">
        <v>-201.30112939453124</v>
      </c>
      <c r="Y268" s="8">
        <f>X268-(8*W268)</f>
        <v>8.6870714355468692</v>
      </c>
      <c r="Z268" s="6" t="s">
        <v>3190</v>
      </c>
    </row>
    <row r="269" spans="1:26" s="6" customFormat="1" x14ac:dyDescent="0.35">
      <c r="A269" s="6" t="s">
        <v>25</v>
      </c>
      <c r="B269" s="6" t="s">
        <v>2821</v>
      </c>
      <c r="D269" s="6" t="s">
        <v>3120</v>
      </c>
      <c r="E269" s="6">
        <v>4</v>
      </c>
      <c r="F269" s="6">
        <v>44</v>
      </c>
      <c r="G269" s="6" t="s">
        <v>3270</v>
      </c>
      <c r="I269" s="8">
        <v>81.998671000000002</v>
      </c>
      <c r="J269" s="8">
        <v>9.6965789999999998</v>
      </c>
      <c r="K269" s="6" t="s">
        <v>198</v>
      </c>
      <c r="L269" s="9">
        <v>44005</v>
      </c>
      <c r="M269" s="18">
        <v>0.5</v>
      </c>
      <c r="N269" s="6">
        <v>39</v>
      </c>
      <c r="O269" s="6" t="s">
        <v>4406</v>
      </c>
      <c r="R269" s="6">
        <v>62</v>
      </c>
      <c r="S269" s="6">
        <v>60</v>
      </c>
      <c r="U269" s="32">
        <v>4.5999999999999996</v>
      </c>
      <c r="V269" t="s">
        <v>4461</v>
      </c>
      <c r="W269" s="8">
        <v>-15.994630393409727</v>
      </c>
      <c r="X269" s="8">
        <v>-120.96031831054687</v>
      </c>
      <c r="Y269" s="8">
        <f>X269-(8*W269)</f>
        <v>6.996724836730948</v>
      </c>
    </row>
    <row r="270" spans="1:26" s="6" customFormat="1" x14ac:dyDescent="0.35">
      <c r="A270" s="6" t="s">
        <v>25</v>
      </c>
      <c r="B270" s="6" t="s">
        <v>2922</v>
      </c>
      <c r="D270" s="6" t="s">
        <v>3157</v>
      </c>
      <c r="E270" s="6">
        <v>4</v>
      </c>
      <c r="F270" s="6">
        <v>44</v>
      </c>
      <c r="G270" s="6" t="s">
        <v>3271</v>
      </c>
      <c r="I270" s="8">
        <v>81.967488000000003</v>
      </c>
      <c r="J270" s="8">
        <v>9.9098120000000005</v>
      </c>
      <c r="K270" s="6" t="s">
        <v>198</v>
      </c>
      <c r="L270" s="9">
        <v>44009</v>
      </c>
      <c r="M270" s="18">
        <v>0.34652777777777777</v>
      </c>
      <c r="N270" s="6">
        <v>39</v>
      </c>
      <c r="O270" s="6" t="s">
        <v>4403</v>
      </c>
      <c r="R270" s="6">
        <v>36</v>
      </c>
      <c r="S270" s="6">
        <v>33</v>
      </c>
      <c r="U270" s="32">
        <v>2.5</v>
      </c>
      <c r="V270" t="s">
        <v>4461</v>
      </c>
      <c r="W270" s="8">
        <v>-31.324418261718748</v>
      </c>
      <c r="X270" s="8">
        <v>-241.97053292846681</v>
      </c>
      <c r="Y270" s="8">
        <f>X270-(8*W270)</f>
        <v>8.6248131652831717</v>
      </c>
    </row>
    <row r="271" spans="1:26" s="6" customFormat="1" x14ac:dyDescent="0.35">
      <c r="A271" s="6" t="s">
        <v>25</v>
      </c>
      <c r="B271" s="6" t="s">
        <v>2924</v>
      </c>
      <c r="D271" s="6" t="s">
        <v>3157</v>
      </c>
      <c r="E271" s="6">
        <v>4</v>
      </c>
      <c r="F271" s="6">
        <v>44</v>
      </c>
      <c r="G271" s="6" t="s">
        <v>3271</v>
      </c>
      <c r="I271" s="8">
        <v>81.967488000000003</v>
      </c>
      <c r="J271" s="8">
        <v>9.9098120000000005</v>
      </c>
      <c r="K271" s="6" t="s">
        <v>198</v>
      </c>
      <c r="L271" s="9">
        <v>44009</v>
      </c>
      <c r="M271" s="18">
        <v>0.34652777777777777</v>
      </c>
      <c r="N271" s="6">
        <v>39</v>
      </c>
      <c r="O271" s="6" t="s">
        <v>4403</v>
      </c>
      <c r="R271" s="6">
        <v>5</v>
      </c>
      <c r="S271" s="6">
        <v>0</v>
      </c>
      <c r="U271" s="32">
        <v>7.9</v>
      </c>
      <c r="V271" t="s">
        <v>4461</v>
      </c>
      <c r="W271" s="8">
        <v>-26.096067403411865</v>
      </c>
      <c r="X271" s="8">
        <v>-197.22186871337891</v>
      </c>
      <c r="Y271" s="8">
        <f>X271-(8*W271)</f>
        <v>11.546670513916013</v>
      </c>
    </row>
    <row r="272" spans="1:26" s="6" customFormat="1" x14ac:dyDescent="0.35">
      <c r="A272" s="6" t="s">
        <v>25</v>
      </c>
      <c r="B272" s="6" t="s">
        <v>2923</v>
      </c>
      <c r="D272" s="6" t="s">
        <v>3157</v>
      </c>
      <c r="E272" s="6">
        <v>4</v>
      </c>
      <c r="F272" s="6">
        <v>44</v>
      </c>
      <c r="G272" s="6" t="s">
        <v>3271</v>
      </c>
      <c r="I272" s="8">
        <v>81.967488000000003</v>
      </c>
      <c r="J272" s="8">
        <v>9.9098120000000005</v>
      </c>
      <c r="K272" s="6" t="s">
        <v>198</v>
      </c>
      <c r="L272" s="9">
        <v>44009</v>
      </c>
      <c r="M272" s="18">
        <v>0.34652777777777777</v>
      </c>
      <c r="N272" s="6">
        <v>39</v>
      </c>
      <c r="O272" s="6" t="s">
        <v>4403</v>
      </c>
      <c r="R272" s="6">
        <v>23</v>
      </c>
      <c r="S272" s="6">
        <v>20</v>
      </c>
      <c r="U272" s="32">
        <v>4.8</v>
      </c>
      <c r="V272" t="s">
        <v>4461</v>
      </c>
      <c r="W272" s="8">
        <v>-23.839451861572265</v>
      </c>
      <c r="X272" s="8">
        <v>-179.98934991455079</v>
      </c>
      <c r="Y272" s="8">
        <f>X272-(8*W272)</f>
        <v>10.726264978027331</v>
      </c>
    </row>
    <row r="273" spans="1:26" s="6" customFormat="1" x14ac:dyDescent="0.35">
      <c r="A273" s="6" t="s">
        <v>25</v>
      </c>
      <c r="B273" s="6" t="s">
        <v>2926</v>
      </c>
      <c r="D273" s="6" t="s">
        <v>3159</v>
      </c>
      <c r="E273" s="6">
        <v>4</v>
      </c>
      <c r="F273" s="6">
        <v>44</v>
      </c>
      <c r="G273" s="6" t="s">
        <v>3272</v>
      </c>
      <c r="I273" s="8">
        <v>81.873215000000002</v>
      </c>
      <c r="J273" s="8">
        <v>9.4726710000000001</v>
      </c>
      <c r="K273" s="6" t="s">
        <v>198</v>
      </c>
      <c r="L273" s="9">
        <v>44010</v>
      </c>
      <c r="M273" s="18">
        <v>0.51250000000000007</v>
      </c>
      <c r="N273" s="6">
        <v>40</v>
      </c>
      <c r="O273" s="28" t="s">
        <v>4406</v>
      </c>
      <c r="R273" s="6">
        <v>40</v>
      </c>
      <c r="S273" s="6">
        <v>37</v>
      </c>
      <c r="U273" s="32">
        <v>2.2999999999999998</v>
      </c>
      <c r="V273" t="s">
        <v>4461</v>
      </c>
      <c r="W273" s="8">
        <v>-28.968867601013184</v>
      </c>
      <c r="X273" s="8">
        <v>-224.56484967041015</v>
      </c>
      <c r="Y273" s="8">
        <f>X273-(8*W273)</f>
        <v>7.186091137695314</v>
      </c>
    </row>
    <row r="274" spans="1:26" s="6" customFormat="1" x14ac:dyDescent="0.35">
      <c r="A274" s="6" t="s">
        <v>25</v>
      </c>
      <c r="B274" s="6" t="s">
        <v>2925</v>
      </c>
      <c r="D274" s="6" t="s">
        <v>3158</v>
      </c>
      <c r="E274" s="6">
        <v>4</v>
      </c>
      <c r="F274" s="6">
        <v>46</v>
      </c>
      <c r="G274" s="6" t="s">
        <v>3273</v>
      </c>
      <c r="I274" s="8">
        <v>81.637917999999999</v>
      </c>
      <c r="J274" s="8">
        <v>4.4815719999999999</v>
      </c>
      <c r="K274" s="6" t="s">
        <v>198</v>
      </c>
      <c r="L274" s="9">
        <v>44019</v>
      </c>
      <c r="M274" s="18">
        <v>0.51874999999999993</v>
      </c>
      <c r="N274" s="6">
        <v>41</v>
      </c>
      <c r="O274" s="6" t="s">
        <v>4414</v>
      </c>
      <c r="R274" s="6">
        <v>24</v>
      </c>
      <c r="S274" s="6">
        <v>20</v>
      </c>
      <c r="U274" s="32">
        <v>2.7</v>
      </c>
      <c r="V274" t="s">
        <v>4461</v>
      </c>
      <c r="W274" s="8">
        <v>-29.033161796188352</v>
      </c>
      <c r="X274" s="8">
        <v>-224.96191296386718</v>
      </c>
      <c r="Y274" s="8">
        <f>X274-(8*W274)</f>
        <v>7.3033814056396409</v>
      </c>
    </row>
    <row r="275" spans="1:26" s="6" customFormat="1" x14ac:dyDescent="0.35">
      <c r="A275" s="6" t="s">
        <v>25</v>
      </c>
      <c r="B275" s="6" t="s">
        <v>2927</v>
      </c>
      <c r="D275" s="6" t="s">
        <v>3158</v>
      </c>
      <c r="E275" s="6">
        <v>4</v>
      </c>
      <c r="F275" s="6">
        <v>46</v>
      </c>
      <c r="G275" s="6" t="s">
        <v>3273</v>
      </c>
      <c r="I275" s="8">
        <v>81.637917999999999</v>
      </c>
      <c r="J275" s="8">
        <v>4.4815719999999999</v>
      </c>
      <c r="K275" s="6" t="s">
        <v>198</v>
      </c>
      <c r="L275" s="9">
        <v>44019</v>
      </c>
      <c r="M275" s="18">
        <v>0.51874999999999993</v>
      </c>
      <c r="N275" s="6">
        <v>41</v>
      </c>
      <c r="O275" s="6" t="s">
        <v>4414</v>
      </c>
      <c r="R275" s="6">
        <v>8</v>
      </c>
      <c r="S275" s="6">
        <v>4</v>
      </c>
      <c r="U275" s="32">
        <v>10.5</v>
      </c>
      <c r="V275" t="s">
        <v>4461</v>
      </c>
      <c r="W275" s="8">
        <v>-25.531320939636228</v>
      </c>
      <c r="X275" s="8">
        <v>-196.50373638916014</v>
      </c>
      <c r="Y275" s="8">
        <f>X275-(8*W275)</f>
        <v>7.7468311279296813</v>
      </c>
    </row>
    <row r="276" spans="1:26" s="6" customFormat="1" x14ac:dyDescent="0.35">
      <c r="A276" s="6" t="s">
        <v>25</v>
      </c>
      <c r="B276" s="6" t="s">
        <v>3051</v>
      </c>
      <c r="D276" s="6" t="s">
        <v>3160</v>
      </c>
      <c r="E276" s="6">
        <v>4</v>
      </c>
      <c r="F276" s="6">
        <v>46</v>
      </c>
      <c r="G276" s="6" t="s">
        <v>3320</v>
      </c>
      <c r="I276" s="8">
        <v>81.597795000000005</v>
      </c>
      <c r="J276" s="8">
        <v>3.265714</v>
      </c>
      <c r="K276" s="6" t="s">
        <v>198</v>
      </c>
      <c r="L276" s="9">
        <v>44020</v>
      </c>
      <c r="M276" s="18">
        <v>0.48958333333333331</v>
      </c>
      <c r="N276" s="6">
        <v>41</v>
      </c>
      <c r="O276" s="6" t="s">
        <v>4412</v>
      </c>
      <c r="R276" s="6">
        <v>4</v>
      </c>
      <c r="U276" s="32">
        <v>2.6</v>
      </c>
      <c r="V276" t="s">
        <v>4461</v>
      </c>
      <c r="W276" s="8">
        <v>-25.529565375709531</v>
      </c>
      <c r="X276" s="8">
        <v>-193.46327694396967</v>
      </c>
      <c r="Y276" s="8">
        <f>X276-(8*W276)</f>
        <v>10.773246061706573</v>
      </c>
      <c r="Z276" s="6" t="s">
        <v>3194</v>
      </c>
    </row>
    <row r="277" spans="1:26" s="6" customFormat="1" x14ac:dyDescent="0.35">
      <c r="A277" s="6" t="s">
        <v>25</v>
      </c>
      <c r="B277" s="6" t="s">
        <v>3058</v>
      </c>
      <c r="D277" s="6" t="s">
        <v>3160</v>
      </c>
      <c r="E277" s="6">
        <v>4</v>
      </c>
      <c r="F277" s="6">
        <v>46</v>
      </c>
      <c r="G277" s="6" t="s">
        <v>3320</v>
      </c>
      <c r="I277" s="8">
        <v>81.597795000000005</v>
      </c>
      <c r="J277" s="8">
        <v>3.265714</v>
      </c>
      <c r="K277" s="6" t="s">
        <v>198</v>
      </c>
      <c r="L277" s="9">
        <v>44020</v>
      </c>
      <c r="M277" s="18">
        <v>0.48958333333333331</v>
      </c>
      <c r="N277" s="6">
        <v>41</v>
      </c>
      <c r="O277" s="6" t="s">
        <v>4412</v>
      </c>
      <c r="R277" s="6">
        <v>2.5</v>
      </c>
      <c r="U277" s="32">
        <v>4.8</v>
      </c>
      <c r="V277" t="s">
        <v>4461</v>
      </c>
      <c r="W277" s="8">
        <v>-23.386562406921385</v>
      </c>
      <c r="X277" s="8">
        <v>-175.79208381347655</v>
      </c>
      <c r="Y277" s="8">
        <f>X277-(8*W277)</f>
        <v>11.300415441894529</v>
      </c>
      <c r="Z277" s="6" t="s">
        <v>3201</v>
      </c>
    </row>
    <row r="278" spans="1:26" s="6" customFormat="1" x14ac:dyDescent="0.35">
      <c r="A278" s="6" t="s">
        <v>25</v>
      </c>
      <c r="B278" s="6" t="s">
        <v>3055</v>
      </c>
      <c r="D278" s="6" t="s">
        <v>3160</v>
      </c>
      <c r="E278" s="6">
        <v>4</v>
      </c>
      <c r="F278" s="6">
        <v>46</v>
      </c>
      <c r="G278" s="6" t="s">
        <v>3320</v>
      </c>
      <c r="I278" s="8">
        <v>81.597795000000005</v>
      </c>
      <c r="J278" s="8">
        <v>3.265714</v>
      </c>
      <c r="K278" s="6" t="s">
        <v>198</v>
      </c>
      <c r="L278" s="9">
        <v>44020</v>
      </c>
      <c r="M278" s="18">
        <v>0.48958333333333331</v>
      </c>
      <c r="N278" s="6">
        <v>41</v>
      </c>
      <c r="O278" s="6" t="s">
        <v>4412</v>
      </c>
      <c r="R278" s="6">
        <v>4.5</v>
      </c>
      <c r="U278" s="32">
        <v>4.5</v>
      </c>
      <c r="V278" t="s">
        <v>4461</v>
      </c>
      <c r="W278" s="8">
        <v>-21.099242945098872</v>
      </c>
      <c r="X278" s="8">
        <v>-156.02615290527342</v>
      </c>
      <c r="Y278" s="8">
        <f>X278-(8*W278)</f>
        <v>12.767790655517558</v>
      </c>
      <c r="Z278" s="6" t="s">
        <v>3198</v>
      </c>
    </row>
    <row r="279" spans="1:26" s="6" customFormat="1" x14ac:dyDescent="0.35">
      <c r="A279" s="6" t="s">
        <v>25</v>
      </c>
      <c r="B279" s="6" t="s">
        <v>2928</v>
      </c>
      <c r="D279" s="6" t="s">
        <v>3160</v>
      </c>
      <c r="E279" s="6">
        <v>4</v>
      </c>
      <c r="F279" s="6">
        <v>46</v>
      </c>
      <c r="G279" s="6" t="s">
        <v>3320</v>
      </c>
      <c r="I279" s="8">
        <v>81.597795000000005</v>
      </c>
      <c r="J279" s="8">
        <v>3.265714</v>
      </c>
      <c r="K279" s="6" t="s">
        <v>198</v>
      </c>
      <c r="L279" s="9">
        <v>44020</v>
      </c>
      <c r="M279" s="18">
        <v>0.48958333333333331</v>
      </c>
      <c r="N279" s="6">
        <v>41</v>
      </c>
      <c r="O279" s="6" t="s">
        <v>4412</v>
      </c>
      <c r="R279" s="6" t="s">
        <v>3178</v>
      </c>
      <c r="U279" s="32">
        <v>2.5</v>
      </c>
      <c r="V279" t="s">
        <v>4461</v>
      </c>
      <c r="W279" s="8">
        <v>-15.396179710960386</v>
      </c>
      <c r="X279" s="8">
        <v>-115.37747586059571</v>
      </c>
      <c r="Y279" s="8">
        <f>X279-(8*W279)</f>
        <v>7.7919618270873769</v>
      </c>
      <c r="Z279" s="6" t="s">
        <v>3191</v>
      </c>
    </row>
    <row r="280" spans="1:26" s="6" customFormat="1" x14ac:dyDescent="0.35">
      <c r="A280" s="6" t="s">
        <v>25</v>
      </c>
      <c r="B280" s="6" t="s">
        <v>3054</v>
      </c>
      <c r="D280" s="6" t="s">
        <v>3160</v>
      </c>
      <c r="E280" s="6">
        <v>4</v>
      </c>
      <c r="F280" s="6">
        <v>46</v>
      </c>
      <c r="G280" s="6" t="s">
        <v>3320</v>
      </c>
      <c r="I280" s="8">
        <v>81.597795000000005</v>
      </c>
      <c r="J280" s="8">
        <v>3.265714</v>
      </c>
      <c r="K280" s="6" t="s">
        <v>198</v>
      </c>
      <c r="L280" s="9">
        <v>44020</v>
      </c>
      <c r="M280" s="18">
        <v>0.48958333333333331</v>
      </c>
      <c r="N280" s="6">
        <v>41</v>
      </c>
      <c r="O280" s="6" t="s">
        <v>4412</v>
      </c>
      <c r="R280" s="6">
        <v>4</v>
      </c>
      <c r="U280" s="32">
        <v>5.0999999999999996</v>
      </c>
      <c r="V280" t="s">
        <v>4461</v>
      </c>
      <c r="W280" s="8">
        <v>-11.424668993377683</v>
      </c>
      <c r="X280" s="8">
        <v>-87.127330944824209</v>
      </c>
      <c r="Y280" s="8">
        <f>X280-(8*W280)</f>
        <v>4.2700210021972538</v>
      </c>
      <c r="Z280" s="6" t="s">
        <v>3197</v>
      </c>
    </row>
    <row r="281" spans="1:26" s="6" customFormat="1" x14ac:dyDescent="0.35">
      <c r="A281" s="6" t="s">
        <v>25</v>
      </c>
      <c r="B281" s="6" t="s">
        <v>3052</v>
      </c>
      <c r="D281" s="6" t="s">
        <v>3160</v>
      </c>
      <c r="E281" s="6">
        <v>4</v>
      </c>
      <c r="F281" s="6">
        <v>46</v>
      </c>
      <c r="G281" s="6" t="s">
        <v>3320</v>
      </c>
      <c r="I281" s="8">
        <v>81.597795000000005</v>
      </c>
      <c r="J281" s="8">
        <v>3.265714</v>
      </c>
      <c r="K281" s="6" t="s">
        <v>198</v>
      </c>
      <c r="L281" s="9">
        <v>44020</v>
      </c>
      <c r="M281" s="18">
        <v>0.48958333333333331</v>
      </c>
      <c r="N281" s="6">
        <v>41</v>
      </c>
      <c r="O281" s="6" t="s">
        <v>4412</v>
      </c>
      <c r="R281" s="6">
        <v>1.5</v>
      </c>
      <c r="U281" s="32">
        <v>14.3</v>
      </c>
      <c r="V281" t="s">
        <v>4461</v>
      </c>
      <c r="W281" s="8">
        <v>-5.6819154263973237</v>
      </c>
      <c r="X281" s="8">
        <v>-42.368758650588987</v>
      </c>
      <c r="Y281" s="8">
        <f>X281-(8*W281)</f>
        <v>3.0865647605896029</v>
      </c>
      <c r="Z281" s="6" t="s">
        <v>3195</v>
      </c>
    </row>
    <row r="282" spans="1:26" s="6" customFormat="1" x14ac:dyDescent="0.35">
      <c r="A282" s="6" t="s">
        <v>25</v>
      </c>
      <c r="B282" s="6" t="s">
        <v>3049</v>
      </c>
      <c r="D282" s="6" t="s">
        <v>3160</v>
      </c>
      <c r="E282" s="6">
        <v>4</v>
      </c>
      <c r="F282" s="6">
        <v>46</v>
      </c>
      <c r="G282" s="6" t="s">
        <v>3320</v>
      </c>
      <c r="I282" s="8">
        <v>81.597795000000005</v>
      </c>
      <c r="J282" s="8">
        <v>3.265714</v>
      </c>
      <c r="K282" s="6" t="s">
        <v>198</v>
      </c>
      <c r="L282" s="9">
        <v>44020</v>
      </c>
      <c r="M282" s="18">
        <v>0.48958333333333331</v>
      </c>
      <c r="N282" s="6">
        <v>41</v>
      </c>
      <c r="O282" s="6" t="s">
        <v>4412</v>
      </c>
      <c r="R282" s="6">
        <v>1.5</v>
      </c>
      <c r="U282" s="32">
        <v>25.7</v>
      </c>
      <c r="V282" t="s">
        <v>4461</v>
      </c>
      <c r="W282" s="8">
        <v>-5.6732501898765566</v>
      </c>
      <c r="X282" s="8">
        <v>-43.503004653930667</v>
      </c>
      <c r="Y282" s="8">
        <f>X282-(8*W282)</f>
        <v>1.8829968650817861</v>
      </c>
      <c r="Z282" s="6" t="s">
        <v>3192</v>
      </c>
    </row>
    <row r="283" spans="1:26" s="6" customFormat="1" x14ac:dyDescent="0.35">
      <c r="A283" s="6" t="s">
        <v>25</v>
      </c>
      <c r="B283" s="6" t="s">
        <v>3050</v>
      </c>
      <c r="D283" s="6" t="s">
        <v>3160</v>
      </c>
      <c r="E283" s="6">
        <v>4</v>
      </c>
      <c r="F283" s="6">
        <v>46</v>
      </c>
      <c r="G283" s="6" t="s">
        <v>3320</v>
      </c>
      <c r="I283" s="8">
        <v>81.597795000000005</v>
      </c>
      <c r="J283" s="8">
        <v>3.265714</v>
      </c>
      <c r="K283" s="6" t="s">
        <v>198</v>
      </c>
      <c r="L283" s="9">
        <v>44020</v>
      </c>
      <c r="M283" s="18">
        <v>0.48958333333333331</v>
      </c>
      <c r="N283" s="6">
        <v>41</v>
      </c>
      <c r="O283" s="6" t="s">
        <v>4412</v>
      </c>
      <c r="R283" s="6">
        <v>43</v>
      </c>
      <c r="U283" s="32" t="s">
        <v>4460</v>
      </c>
      <c r="V283" t="s">
        <v>4461</v>
      </c>
      <c r="W283" s="8">
        <v>-5.0631689201354968</v>
      </c>
      <c r="X283" s="8">
        <v>-40.235767257690433</v>
      </c>
      <c r="Y283" s="8">
        <f>X283-(8*W283)</f>
        <v>0.26958410339354089</v>
      </c>
      <c r="Z283" s="6" t="s">
        <v>3193</v>
      </c>
    </row>
    <row r="284" spans="1:26" s="6" customFormat="1" x14ac:dyDescent="0.35">
      <c r="A284" s="6" t="s">
        <v>25</v>
      </c>
      <c r="B284" s="6" t="s">
        <v>3057</v>
      </c>
      <c r="D284" s="6" t="s">
        <v>3160</v>
      </c>
      <c r="E284" s="6">
        <v>4</v>
      </c>
      <c r="F284" s="6">
        <v>46</v>
      </c>
      <c r="G284" s="6" t="s">
        <v>3320</v>
      </c>
      <c r="I284" s="8">
        <v>81.597795000000005</v>
      </c>
      <c r="J284" s="8">
        <v>3.265714</v>
      </c>
      <c r="K284" s="6" t="s">
        <v>198</v>
      </c>
      <c r="L284" s="9">
        <v>44020</v>
      </c>
      <c r="M284" s="18">
        <v>0.48958333333333331</v>
      </c>
      <c r="N284" s="6">
        <v>41</v>
      </c>
      <c r="O284" s="6" t="s">
        <v>4412</v>
      </c>
      <c r="R284" s="6">
        <v>7</v>
      </c>
      <c r="U284" s="32">
        <v>5.0999999999999996</v>
      </c>
      <c r="V284" t="s">
        <v>4461</v>
      </c>
      <c r="W284" s="8">
        <v>-3.2228004659652711</v>
      </c>
      <c r="X284" s="8">
        <v>-25.139528782653809</v>
      </c>
      <c r="Y284" s="8">
        <f>X284-(8*W284)</f>
        <v>0.6428749450683604</v>
      </c>
      <c r="Z284" s="6" t="s">
        <v>3200</v>
      </c>
    </row>
    <row r="285" spans="1:26" s="6" customFormat="1" x14ac:dyDescent="0.35">
      <c r="A285" s="6" t="s">
        <v>25</v>
      </c>
      <c r="B285" s="6" t="s">
        <v>3059</v>
      </c>
      <c r="D285" s="6" t="s">
        <v>3160</v>
      </c>
      <c r="E285" s="6">
        <v>4</v>
      </c>
      <c r="F285" s="6">
        <v>46</v>
      </c>
      <c r="G285" s="6" t="s">
        <v>3320</v>
      </c>
      <c r="I285" s="8">
        <v>81.597795000000005</v>
      </c>
      <c r="J285" s="8">
        <v>3.265714</v>
      </c>
      <c r="K285" s="6" t="s">
        <v>198</v>
      </c>
      <c r="L285" s="9">
        <v>44020</v>
      </c>
      <c r="M285" s="18">
        <v>0.48958333333333331</v>
      </c>
      <c r="N285" s="6">
        <v>41</v>
      </c>
      <c r="O285" s="6" t="s">
        <v>4412</v>
      </c>
      <c r="U285" s="32">
        <v>7.4</v>
      </c>
      <c r="V285" t="s">
        <v>4461</v>
      </c>
      <c r="W285" s="8">
        <v>-3.1567437490463255</v>
      </c>
      <c r="X285" s="8">
        <v>-23.662515888977051</v>
      </c>
      <c r="Y285" s="8">
        <f>X285-(8*W285)</f>
        <v>1.5914341033935528</v>
      </c>
      <c r="Z285" s="6" t="s">
        <v>3202</v>
      </c>
    </row>
    <row r="286" spans="1:26" s="6" customFormat="1" x14ac:dyDescent="0.35">
      <c r="A286" s="6" t="s">
        <v>25</v>
      </c>
      <c r="B286" s="6" t="s">
        <v>3056</v>
      </c>
      <c r="D286" s="6" t="s">
        <v>3160</v>
      </c>
      <c r="E286" s="6">
        <v>4</v>
      </c>
      <c r="F286" s="6">
        <v>46</v>
      </c>
      <c r="G286" s="6" t="s">
        <v>3320</v>
      </c>
      <c r="I286" s="8">
        <v>81.597795000000005</v>
      </c>
      <c r="J286" s="8">
        <v>3.265714</v>
      </c>
      <c r="K286" s="6" t="s">
        <v>198</v>
      </c>
      <c r="L286" s="9">
        <v>44020</v>
      </c>
      <c r="M286" s="18">
        <v>0.48958333333333331</v>
      </c>
      <c r="N286" s="6">
        <v>41</v>
      </c>
      <c r="O286" s="6" t="s">
        <v>4412</v>
      </c>
      <c r="R286" s="6">
        <v>2</v>
      </c>
      <c r="U286" s="32">
        <v>5.7</v>
      </c>
      <c r="V286" t="s">
        <v>4461</v>
      </c>
      <c r="W286" s="8">
        <v>-2.8990607065200806</v>
      </c>
      <c r="X286" s="8">
        <v>-24.874143791961671</v>
      </c>
      <c r="Y286" s="8">
        <f>X286-(8*W286)</f>
        <v>-1.6816581398010264</v>
      </c>
      <c r="Z286" s="6" t="s">
        <v>3199</v>
      </c>
    </row>
    <row r="287" spans="1:26" s="6" customFormat="1" x14ac:dyDescent="0.35">
      <c r="A287" s="6" t="s">
        <v>25</v>
      </c>
      <c r="B287" s="6" t="s">
        <v>3053</v>
      </c>
      <c r="D287" s="6" t="s">
        <v>3160</v>
      </c>
      <c r="E287" s="6">
        <v>4</v>
      </c>
      <c r="F287" s="6">
        <v>46</v>
      </c>
      <c r="G287" s="6" t="s">
        <v>3320</v>
      </c>
      <c r="I287" s="8">
        <v>81.597795000000005</v>
      </c>
      <c r="J287" s="8">
        <v>3.265714</v>
      </c>
      <c r="K287" s="6" t="s">
        <v>198</v>
      </c>
      <c r="L287" s="9">
        <v>44020</v>
      </c>
      <c r="M287" s="18">
        <v>0.48958333333333331</v>
      </c>
      <c r="N287" s="6">
        <v>41</v>
      </c>
      <c r="O287" s="6" t="s">
        <v>4412</v>
      </c>
      <c r="R287" s="6">
        <v>5</v>
      </c>
      <c r="U287" s="32">
        <v>37.700000000000003</v>
      </c>
      <c r="V287" t="s">
        <v>4461</v>
      </c>
      <c r="W287" s="8">
        <v>-1.4105425052881242</v>
      </c>
      <c r="X287" s="8">
        <v>-9.6090831411361677</v>
      </c>
      <c r="Y287" s="8">
        <f>X287-(8*W287)</f>
        <v>1.6752569011688259</v>
      </c>
      <c r="Z287" s="6" t="s">
        <v>3196</v>
      </c>
    </row>
    <row r="288" spans="1:26" s="6" customFormat="1" x14ac:dyDescent="0.35">
      <c r="A288" s="6" t="s">
        <v>25</v>
      </c>
      <c r="B288" s="6" t="s">
        <v>3060</v>
      </c>
      <c r="D288" s="6" t="s">
        <v>3161</v>
      </c>
      <c r="E288" s="6">
        <v>4</v>
      </c>
      <c r="F288" s="6">
        <v>47</v>
      </c>
      <c r="G288" s="6" t="s">
        <v>3321</v>
      </c>
      <c r="I288" s="8">
        <v>81.392386000000002</v>
      </c>
      <c r="J288" s="8">
        <v>0.245254</v>
      </c>
      <c r="K288" s="6" t="s">
        <v>198</v>
      </c>
      <c r="L288" s="9">
        <v>44026</v>
      </c>
      <c r="M288" s="18">
        <v>0.3125</v>
      </c>
      <c r="N288" s="6">
        <v>42</v>
      </c>
      <c r="O288" s="6" t="s">
        <v>4409</v>
      </c>
      <c r="R288" s="6">
        <v>62</v>
      </c>
      <c r="S288" s="6">
        <v>60</v>
      </c>
      <c r="U288" s="32">
        <v>2.9</v>
      </c>
      <c r="V288" t="s">
        <v>4461</v>
      </c>
      <c r="W288" s="8">
        <v>-25.597299715423581</v>
      </c>
      <c r="X288" s="8">
        <v>-197.48880726318359</v>
      </c>
      <c r="Y288" s="8">
        <f>X288-(8*W288)</f>
        <v>7.2895904602050621</v>
      </c>
    </row>
    <row r="289" spans="1:70" s="6" customFormat="1" x14ac:dyDescent="0.35">
      <c r="A289" s="6" t="s">
        <v>25</v>
      </c>
      <c r="B289" s="6" t="s">
        <v>3061</v>
      </c>
      <c r="D289" s="6" t="s">
        <v>3161</v>
      </c>
      <c r="E289" s="6">
        <v>4</v>
      </c>
      <c r="F289" s="6">
        <v>47</v>
      </c>
      <c r="G289" s="6" t="s">
        <v>3321</v>
      </c>
      <c r="I289" s="8">
        <v>81.392386000000002</v>
      </c>
      <c r="J289" s="8">
        <v>0.245254</v>
      </c>
      <c r="K289" s="6" t="s">
        <v>198</v>
      </c>
      <c r="L289" s="9">
        <v>44026</v>
      </c>
      <c r="M289" s="18">
        <v>0.3125</v>
      </c>
      <c r="N289" s="6">
        <v>42</v>
      </c>
      <c r="O289" s="6" t="s">
        <v>4409</v>
      </c>
      <c r="R289" s="6">
        <v>42</v>
      </c>
      <c r="S289" s="6">
        <v>40</v>
      </c>
      <c r="U289" s="32">
        <v>3.4</v>
      </c>
      <c r="V289" t="s">
        <v>4461</v>
      </c>
      <c r="W289" s="8">
        <v>-25.487297380828853</v>
      </c>
      <c r="X289" s="8">
        <v>-195.77925104980469</v>
      </c>
      <c r="Y289" s="8">
        <f>X289-(8*W289)</f>
        <v>8.119127996826137</v>
      </c>
    </row>
    <row r="290" spans="1:70" s="6" customFormat="1" x14ac:dyDescent="0.35">
      <c r="A290" s="6" t="s">
        <v>25</v>
      </c>
      <c r="B290" s="6" t="s">
        <v>3062</v>
      </c>
      <c r="D290" s="6" t="s">
        <v>3161</v>
      </c>
      <c r="E290" s="6">
        <v>4</v>
      </c>
      <c r="F290" s="6">
        <v>47</v>
      </c>
      <c r="G290" s="6" t="s">
        <v>3321</v>
      </c>
      <c r="I290" s="8">
        <v>81.392386000000002</v>
      </c>
      <c r="J290" s="8">
        <v>0.245254</v>
      </c>
      <c r="K290" s="6" t="s">
        <v>198</v>
      </c>
      <c r="L290" s="9">
        <v>44026</v>
      </c>
      <c r="M290" s="18">
        <v>0.3125</v>
      </c>
      <c r="N290" s="6">
        <v>42</v>
      </c>
      <c r="O290" s="6" t="s">
        <v>4409</v>
      </c>
      <c r="R290" s="6">
        <v>27</v>
      </c>
      <c r="S290" s="6">
        <v>24</v>
      </c>
      <c r="U290" s="32">
        <v>9</v>
      </c>
      <c r="V290" t="s">
        <v>4461</v>
      </c>
      <c r="W290" s="8">
        <v>-22.538915209197995</v>
      </c>
      <c r="X290" s="8">
        <v>-172.7661653564453</v>
      </c>
      <c r="Y290" s="8">
        <f>X290-(8*W290)</f>
        <v>7.5451563171386624</v>
      </c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</row>
    <row r="291" spans="1:70" s="6" customFormat="1" x14ac:dyDescent="0.35">
      <c r="A291" s="6" t="s">
        <v>25</v>
      </c>
      <c r="B291" s="6" t="s">
        <v>3072</v>
      </c>
      <c r="D291" s="6" t="s">
        <v>3167</v>
      </c>
      <c r="E291" s="6">
        <v>4</v>
      </c>
      <c r="F291" s="6">
        <v>48</v>
      </c>
      <c r="G291" s="6" t="s">
        <v>3326</v>
      </c>
      <c r="I291" s="8">
        <v>80.198576000000003</v>
      </c>
      <c r="J291" s="8">
        <v>-0.57530899999999996</v>
      </c>
      <c r="K291" s="6" t="s">
        <v>198</v>
      </c>
      <c r="L291" s="9">
        <v>44036</v>
      </c>
      <c r="M291" s="18">
        <v>0.52083333333333337</v>
      </c>
      <c r="N291" s="6">
        <v>43</v>
      </c>
      <c r="O291" s="6" t="s">
        <v>4417</v>
      </c>
      <c r="R291" s="6">
        <v>6</v>
      </c>
      <c r="S291" s="6">
        <v>3</v>
      </c>
      <c r="U291" s="32">
        <v>4</v>
      </c>
      <c r="V291" t="s">
        <v>4461</v>
      </c>
      <c r="W291" s="8">
        <v>-25.568931681060789</v>
      </c>
      <c r="X291" s="8">
        <v>-193.12965183715818</v>
      </c>
      <c r="Y291" s="8">
        <f>X291-(8*W291)</f>
        <v>11.421801611328135</v>
      </c>
      <c r="Z291" s="6" t="s">
        <v>3210</v>
      </c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</row>
    <row r="292" spans="1:70" s="6" customFormat="1" x14ac:dyDescent="0.35">
      <c r="A292" s="6" t="s">
        <v>25</v>
      </c>
      <c r="B292" s="6" t="s">
        <v>3073</v>
      </c>
      <c r="D292" s="6" t="s">
        <v>3167</v>
      </c>
      <c r="E292" s="6">
        <v>4</v>
      </c>
      <c r="F292" s="6">
        <v>48</v>
      </c>
      <c r="G292" s="6" t="s">
        <v>3326</v>
      </c>
      <c r="I292" s="8">
        <v>80.198576000000003</v>
      </c>
      <c r="J292" s="8">
        <v>-0.57530899999999996</v>
      </c>
      <c r="K292" s="6" t="s">
        <v>198</v>
      </c>
      <c r="L292" s="9">
        <v>44036</v>
      </c>
      <c r="M292" s="18">
        <v>0.31666666666666665</v>
      </c>
      <c r="N292" s="6">
        <v>43</v>
      </c>
      <c r="O292" s="6" t="s">
        <v>4417</v>
      </c>
      <c r="R292" s="6">
        <v>3</v>
      </c>
      <c r="S292" s="6">
        <v>0</v>
      </c>
      <c r="U292" s="32">
        <v>6.9</v>
      </c>
      <c r="V292" t="s">
        <v>4461</v>
      </c>
      <c r="W292" s="8">
        <v>-22.745640806579591</v>
      </c>
      <c r="X292" s="8">
        <v>-171.43382336120604</v>
      </c>
      <c r="Y292" s="8">
        <f>X292-(8*W292)</f>
        <v>10.531303091430686</v>
      </c>
      <c r="Z292" s="6" t="s">
        <v>3210</v>
      </c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</row>
    <row r="293" spans="1:70" s="6" customFormat="1" x14ac:dyDescent="0.35">
      <c r="A293" s="6" t="s">
        <v>25</v>
      </c>
      <c r="B293" s="6" t="s">
        <v>3071</v>
      </c>
      <c r="D293" s="6" t="s">
        <v>3166</v>
      </c>
      <c r="E293" s="6">
        <v>4</v>
      </c>
      <c r="F293" s="6">
        <v>48</v>
      </c>
      <c r="G293" s="6" t="s">
        <v>3325</v>
      </c>
      <c r="I293" s="8">
        <v>80.198576000000003</v>
      </c>
      <c r="J293" s="8">
        <v>-0.57530899999999996</v>
      </c>
      <c r="K293" s="6" t="s">
        <v>198</v>
      </c>
      <c r="L293" s="9">
        <v>44036</v>
      </c>
      <c r="M293" s="18">
        <v>0.50694444444444442</v>
      </c>
      <c r="N293" s="6">
        <v>43</v>
      </c>
      <c r="O293" s="6" t="s">
        <v>4417</v>
      </c>
      <c r="R293" s="6">
        <v>12</v>
      </c>
      <c r="S293" s="6">
        <v>9</v>
      </c>
      <c r="U293" s="32">
        <v>33.299999999999997</v>
      </c>
      <c r="V293" t="s">
        <v>4461</v>
      </c>
      <c r="W293" s="8">
        <v>-3.5436639484405528</v>
      </c>
      <c r="X293" s="8">
        <v>-26.582969927597045</v>
      </c>
      <c r="Y293" s="8">
        <f>X293-(8*W293)</f>
        <v>1.7663416599273773</v>
      </c>
      <c r="Z293" s="6" t="s">
        <v>3209</v>
      </c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</row>
    <row r="294" spans="1:70" s="6" customFormat="1" x14ac:dyDescent="0.35">
      <c r="A294" s="6" t="s">
        <v>25</v>
      </c>
      <c r="B294" s="6" t="s">
        <v>3070</v>
      </c>
      <c r="D294" s="6" t="s">
        <v>3165</v>
      </c>
      <c r="E294" s="6">
        <v>4</v>
      </c>
      <c r="F294" s="6">
        <v>48</v>
      </c>
      <c r="G294" s="6" t="s">
        <v>3324</v>
      </c>
      <c r="I294" s="8">
        <v>80.198576000000003</v>
      </c>
      <c r="J294" s="8">
        <v>-0.57530899999999996</v>
      </c>
      <c r="K294" s="6" t="s">
        <v>198</v>
      </c>
      <c r="L294" s="9">
        <v>44036</v>
      </c>
      <c r="M294" s="18">
        <v>0.49305555555555558</v>
      </c>
      <c r="N294" s="6">
        <v>43</v>
      </c>
      <c r="O294" s="6" t="s">
        <v>4417</v>
      </c>
      <c r="R294" s="6">
        <v>15</v>
      </c>
      <c r="S294" s="6">
        <v>13</v>
      </c>
      <c r="U294" s="32">
        <v>7.1</v>
      </c>
      <c r="V294" t="s">
        <v>4461</v>
      </c>
      <c r="W294" s="8">
        <v>-0.73567892410755165</v>
      </c>
      <c r="X294" s="8">
        <v>-5.0494607160568235</v>
      </c>
      <c r="Y294" s="8">
        <f>X294-(8*W294)</f>
        <v>0.83597067680358972</v>
      </c>
      <c r="Z294" s="6" t="s">
        <v>3208</v>
      </c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</row>
    <row r="295" spans="1:70" s="6" customFormat="1" x14ac:dyDescent="0.35">
      <c r="A295" s="6" t="s">
        <v>25</v>
      </c>
      <c r="B295" s="6" t="s">
        <v>3069</v>
      </c>
      <c r="D295" s="6" t="s">
        <v>3164</v>
      </c>
      <c r="E295" s="6">
        <v>4</v>
      </c>
      <c r="F295" s="6">
        <v>48</v>
      </c>
      <c r="G295" s="6" t="s">
        <v>3323</v>
      </c>
      <c r="I295" s="8">
        <v>80.198576000000003</v>
      </c>
      <c r="J295" s="8">
        <v>-0.57530899999999996</v>
      </c>
      <c r="K295" s="6" t="s">
        <v>198</v>
      </c>
      <c r="L295" s="9">
        <v>44036</v>
      </c>
      <c r="M295" s="18">
        <v>0.48055555555555557</v>
      </c>
      <c r="N295" s="6">
        <v>43</v>
      </c>
      <c r="O295" s="6" t="s">
        <v>4417</v>
      </c>
      <c r="R295" s="6">
        <v>5</v>
      </c>
      <c r="S295" s="6">
        <v>2</v>
      </c>
      <c r="U295" s="32">
        <v>14.7</v>
      </c>
      <c r="V295" t="s">
        <v>4461</v>
      </c>
      <c r="W295" s="8">
        <v>-0.64060093739032742</v>
      </c>
      <c r="X295" s="8">
        <v>-4.7027592213630669</v>
      </c>
      <c r="Y295" s="8">
        <f>X295-(8*W295)</f>
        <v>0.42204827775955245</v>
      </c>
      <c r="Z295" s="6" t="s">
        <v>3207</v>
      </c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</row>
    <row r="296" spans="1:70" s="6" customFormat="1" x14ac:dyDescent="0.35">
      <c r="A296" s="6" t="s">
        <v>25</v>
      </c>
      <c r="B296" s="6" t="s">
        <v>3063</v>
      </c>
      <c r="D296" s="6" t="s">
        <v>3162</v>
      </c>
      <c r="E296" s="6">
        <v>4</v>
      </c>
      <c r="F296" s="6">
        <v>48</v>
      </c>
      <c r="G296" s="6" t="s">
        <v>3322</v>
      </c>
      <c r="I296" s="8">
        <v>79.992951000000005</v>
      </c>
      <c r="J296" s="8">
        <v>-0.65327800000000003</v>
      </c>
      <c r="K296" s="6" t="s">
        <v>198</v>
      </c>
      <c r="L296" s="9">
        <v>44037</v>
      </c>
      <c r="M296" s="18">
        <v>0.31666666666666665</v>
      </c>
      <c r="N296" s="6">
        <v>43</v>
      </c>
      <c r="O296" s="6" t="s">
        <v>4392</v>
      </c>
      <c r="R296" s="6">
        <v>7</v>
      </c>
      <c r="S296" s="6">
        <v>4</v>
      </c>
      <c r="U296" s="32">
        <v>3.2</v>
      </c>
      <c r="V296" t="s">
        <v>4461</v>
      </c>
      <c r="W296" s="8">
        <v>-23.917580276870719</v>
      </c>
      <c r="X296" s="8">
        <v>-179.67299357299805</v>
      </c>
      <c r="Y296" s="8">
        <f>X296-(8*W296)</f>
        <v>11.667648641967702</v>
      </c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</row>
    <row r="297" spans="1:70" s="6" customFormat="1" x14ac:dyDescent="0.35">
      <c r="A297" s="6" t="s">
        <v>25</v>
      </c>
      <c r="B297" s="6" t="s">
        <v>3077</v>
      </c>
      <c r="D297" s="6" t="s">
        <v>3169</v>
      </c>
      <c r="E297" s="6">
        <v>5</v>
      </c>
      <c r="F297" s="6">
        <v>59</v>
      </c>
      <c r="G297" s="6" t="s">
        <v>3277</v>
      </c>
      <c r="I297" s="8">
        <v>87.751934000000006</v>
      </c>
      <c r="J297" s="8">
        <v>104.545247</v>
      </c>
      <c r="K297" s="6" t="s">
        <v>198</v>
      </c>
      <c r="L297" s="9">
        <v>44065</v>
      </c>
      <c r="M297" s="18">
        <v>0.47916666666666669</v>
      </c>
      <c r="N297" s="6">
        <v>48</v>
      </c>
      <c r="O297" s="6" t="s">
        <v>4397</v>
      </c>
      <c r="R297" s="6">
        <v>5</v>
      </c>
      <c r="S297" s="6">
        <v>2.5</v>
      </c>
      <c r="U297" s="32">
        <v>4.5999999999999996</v>
      </c>
      <c r="V297" t="s">
        <v>4461</v>
      </c>
      <c r="W297" s="8">
        <v>-3.6014146297454834</v>
      </c>
      <c r="X297" s="8">
        <v>-28.832678947448731</v>
      </c>
      <c r="Y297" s="8">
        <f>X297-(8*W297)</f>
        <v>-2.1361909484863162E-2</v>
      </c>
      <c r="Z297" s="6" t="s">
        <v>3211</v>
      </c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</row>
    <row r="298" spans="1:70" s="6" customFormat="1" x14ac:dyDescent="0.35">
      <c r="A298" s="6" t="s">
        <v>25</v>
      </c>
      <c r="B298" s="6" t="s">
        <v>3076</v>
      </c>
      <c r="D298" s="6" t="s">
        <v>3169</v>
      </c>
      <c r="E298" s="6">
        <v>5</v>
      </c>
      <c r="F298" s="6">
        <v>59</v>
      </c>
      <c r="G298" s="6" t="s">
        <v>3277</v>
      </c>
      <c r="I298" s="8">
        <v>87.751934000000006</v>
      </c>
      <c r="J298" s="8">
        <v>104.545247</v>
      </c>
      <c r="K298" s="6" t="s">
        <v>198</v>
      </c>
      <c r="L298" s="9">
        <v>44065</v>
      </c>
      <c r="M298" s="18">
        <v>0.47916666666666669</v>
      </c>
      <c r="N298" s="6">
        <v>48</v>
      </c>
      <c r="O298" s="6" t="s">
        <v>4397</v>
      </c>
      <c r="R298" s="6">
        <v>2.5</v>
      </c>
      <c r="S298" s="6">
        <v>0</v>
      </c>
      <c r="U298" s="32">
        <v>4.3</v>
      </c>
      <c r="V298" t="s">
        <v>4461</v>
      </c>
      <c r="W298" s="8">
        <v>-1.1973555152177813</v>
      </c>
      <c r="X298" s="8">
        <v>-8.5664467545509346</v>
      </c>
      <c r="Y298" s="8">
        <f>X298-(8*W298)</f>
        <v>1.0123973671913156</v>
      </c>
      <c r="Z298" s="6" t="s">
        <v>3276</v>
      </c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</row>
    <row r="299" spans="1:70" s="6" customFormat="1" x14ac:dyDescent="0.35">
      <c r="A299" s="6" t="s">
        <v>25</v>
      </c>
      <c r="B299" s="6" t="s">
        <v>3075</v>
      </c>
      <c r="D299" s="6" t="s">
        <v>3168</v>
      </c>
      <c r="E299" s="6">
        <v>5</v>
      </c>
      <c r="F299" s="6">
        <v>59</v>
      </c>
      <c r="G299" s="6" t="s">
        <v>3279</v>
      </c>
      <c r="I299" s="8">
        <v>87.945329000000001</v>
      </c>
      <c r="J299" s="8">
        <v>107.49315799999999</v>
      </c>
      <c r="K299" s="6" t="s">
        <v>198</v>
      </c>
      <c r="L299" s="9">
        <v>44070</v>
      </c>
      <c r="M299" s="18">
        <v>0.35416666666666669</v>
      </c>
      <c r="N299" s="6">
        <v>49</v>
      </c>
      <c r="O299" s="6" t="s">
        <v>4392</v>
      </c>
      <c r="R299" s="6">
        <v>5</v>
      </c>
      <c r="S299" s="6">
        <v>2</v>
      </c>
      <c r="U299" s="32">
        <v>4.4000000000000004</v>
      </c>
      <c r="V299" t="s">
        <v>4461</v>
      </c>
      <c r="W299" s="8">
        <v>-3.1145740405082707</v>
      </c>
      <c r="X299" s="8">
        <v>-24.089609257316589</v>
      </c>
      <c r="Y299" s="8">
        <f>X299-(8*W299)</f>
        <v>0.82698306674957678</v>
      </c>
      <c r="Z299" s="6" t="s">
        <v>3278</v>
      </c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</row>
    <row r="300" spans="1:70" s="6" customFormat="1" x14ac:dyDescent="0.35">
      <c r="A300" s="6" t="s">
        <v>25</v>
      </c>
      <c r="B300" s="6" t="s">
        <v>3078</v>
      </c>
      <c r="D300" s="6" t="s">
        <v>3170</v>
      </c>
      <c r="E300" s="6">
        <v>5</v>
      </c>
      <c r="F300" s="6">
        <v>60</v>
      </c>
      <c r="G300" s="6" t="s">
        <v>3281</v>
      </c>
      <c r="I300" s="8">
        <v>88.284475999999998</v>
      </c>
      <c r="J300" s="8">
        <v>113.764353</v>
      </c>
      <c r="K300" s="6" t="s">
        <v>198</v>
      </c>
      <c r="L300" s="9">
        <v>44074</v>
      </c>
      <c r="M300" s="18">
        <v>0.20138888888888887</v>
      </c>
      <c r="N300" s="6">
        <v>50</v>
      </c>
      <c r="O300" s="6" t="s">
        <v>4396</v>
      </c>
      <c r="R300" s="6">
        <v>4</v>
      </c>
      <c r="S300" s="6">
        <v>1</v>
      </c>
      <c r="U300" s="32">
        <v>4.7</v>
      </c>
      <c r="V300" t="s">
        <v>4461</v>
      </c>
      <c r="W300" s="8">
        <v>-1.6869805758476264</v>
      </c>
      <c r="X300" s="8">
        <v>-13.223916931152345</v>
      </c>
      <c r="Y300" s="8">
        <f>X300-(8*W300)</f>
        <v>0.27192767562866571</v>
      </c>
      <c r="Z300" s="6" t="s">
        <v>3280</v>
      </c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</row>
    <row r="301" spans="1:70" s="6" customFormat="1" x14ac:dyDescent="0.35">
      <c r="A301" s="6" t="s">
        <v>25</v>
      </c>
      <c r="B301" s="6" t="s">
        <v>3079</v>
      </c>
      <c r="D301" s="6" t="s">
        <v>3171</v>
      </c>
      <c r="E301" s="6">
        <v>5</v>
      </c>
      <c r="F301" s="6">
        <v>60</v>
      </c>
      <c r="G301" s="6" t="s">
        <v>3283</v>
      </c>
      <c r="I301" s="8">
        <v>88.697669000000005</v>
      </c>
      <c r="J301" s="8">
        <v>120.650948</v>
      </c>
      <c r="K301" s="6" t="s">
        <v>198</v>
      </c>
      <c r="L301" s="9">
        <v>44078</v>
      </c>
      <c r="M301" s="18">
        <v>0.18055555555555555</v>
      </c>
      <c r="N301" s="6">
        <v>50</v>
      </c>
      <c r="O301" s="6" t="s">
        <v>4402</v>
      </c>
      <c r="R301" s="6">
        <v>3.5</v>
      </c>
      <c r="U301" s="32">
        <v>3.2</v>
      </c>
      <c r="V301" t="s">
        <v>4461</v>
      </c>
      <c r="W301" s="8">
        <v>-8.9029781578063965</v>
      </c>
      <c r="X301" s="8">
        <v>-67.84558181762695</v>
      </c>
      <c r="Y301" s="8">
        <f>X301-(8*W301)</f>
        <v>3.3782434448242213</v>
      </c>
      <c r="Z301" s="6" t="s">
        <v>3282</v>
      </c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</row>
    <row r="302" spans="1:70" s="6" customFormat="1" x14ac:dyDescent="0.35">
      <c r="A302" s="6" t="s">
        <v>25</v>
      </c>
      <c r="B302" s="6" t="s">
        <v>3082</v>
      </c>
      <c r="D302" s="6" t="s">
        <v>3172</v>
      </c>
      <c r="E302" s="6">
        <v>5</v>
      </c>
      <c r="F302" s="6">
        <v>61</v>
      </c>
      <c r="G302" s="6" t="s">
        <v>3285</v>
      </c>
      <c r="I302" s="8">
        <v>88.676109999999994</v>
      </c>
      <c r="J302" s="8">
        <v>112.66196600000001</v>
      </c>
      <c r="K302" s="6" t="s">
        <v>198</v>
      </c>
      <c r="L302" s="9">
        <v>44082</v>
      </c>
      <c r="M302" s="18">
        <v>0.29722222222222222</v>
      </c>
      <c r="N302" s="6">
        <v>51</v>
      </c>
      <c r="O302" s="6" t="s">
        <v>4435</v>
      </c>
      <c r="R302" s="6">
        <v>3.5</v>
      </c>
      <c r="S302" s="6">
        <v>2.5</v>
      </c>
      <c r="U302" s="32">
        <v>6.8</v>
      </c>
      <c r="V302" t="s">
        <v>4461</v>
      </c>
      <c r="W302" s="8">
        <v>-10.268660057830809</v>
      </c>
      <c r="X302" s="8">
        <v>-79.657069168090814</v>
      </c>
      <c r="Y302" s="8">
        <f>X302-(8*W302)</f>
        <v>2.4922112945556592</v>
      </c>
      <c r="Z302" s="6" t="s">
        <v>3284</v>
      </c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</row>
    <row r="303" spans="1:70" s="6" customFormat="1" x14ac:dyDescent="0.35">
      <c r="A303" s="6" t="s">
        <v>25</v>
      </c>
      <c r="B303" s="6" t="s">
        <v>3084</v>
      </c>
      <c r="D303" s="6" t="s">
        <v>3173</v>
      </c>
      <c r="E303" s="6">
        <v>5</v>
      </c>
      <c r="F303" s="6">
        <v>62</v>
      </c>
      <c r="G303" s="6" t="s">
        <v>3288</v>
      </c>
      <c r="I303" s="8">
        <v>89.064766000000006</v>
      </c>
      <c r="J303" s="8">
        <v>107.78553599999999</v>
      </c>
      <c r="K303" s="6" t="s">
        <v>198</v>
      </c>
      <c r="L303" s="9">
        <v>44089</v>
      </c>
      <c r="M303" s="18">
        <v>0.38194444444444442</v>
      </c>
      <c r="N303" s="6">
        <v>52</v>
      </c>
      <c r="O303" s="6" t="s">
        <v>4431</v>
      </c>
      <c r="R303" s="6">
        <v>3</v>
      </c>
      <c r="S303" s="6">
        <v>0</v>
      </c>
      <c r="U303" s="32">
        <v>3.4</v>
      </c>
      <c r="V303" t="s">
        <v>4461</v>
      </c>
      <c r="W303" s="8">
        <v>-12.531260216522217</v>
      </c>
      <c r="X303" s="8">
        <v>-96.039039230346674</v>
      </c>
      <c r="Y303" s="8">
        <f>X303-(8*W303)</f>
        <v>4.2110425018310593</v>
      </c>
      <c r="Z303" s="6" t="s">
        <v>3289</v>
      </c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</row>
    <row r="304" spans="1:70" s="6" customFormat="1" x14ac:dyDescent="0.35">
      <c r="A304" s="6" t="s">
        <v>25</v>
      </c>
      <c r="B304" s="6" t="s">
        <v>3086</v>
      </c>
      <c r="D304" s="6" t="s">
        <v>3174</v>
      </c>
      <c r="E304" s="6">
        <v>5</v>
      </c>
      <c r="F304" s="6">
        <v>62</v>
      </c>
      <c r="G304" s="6" t="s">
        <v>3287</v>
      </c>
      <c r="I304" s="8">
        <v>89.070548000000002</v>
      </c>
      <c r="J304" s="8">
        <v>107.34374200000001</v>
      </c>
      <c r="K304" s="6" t="s">
        <v>198</v>
      </c>
      <c r="L304" s="9">
        <v>44092</v>
      </c>
      <c r="M304" s="18">
        <v>0.35069444444444442</v>
      </c>
      <c r="N304" s="6">
        <v>52</v>
      </c>
      <c r="O304" s="6" t="s">
        <v>4441</v>
      </c>
      <c r="R304" s="6">
        <v>3.5</v>
      </c>
      <c r="S304" s="6">
        <v>0</v>
      </c>
      <c r="U304" s="32">
        <v>5.6</v>
      </c>
      <c r="V304" t="s">
        <v>4461</v>
      </c>
      <c r="W304" s="8">
        <v>-17.718377476501463</v>
      </c>
      <c r="X304" s="8">
        <v>-135.83587646484375</v>
      </c>
      <c r="Y304" s="8">
        <f>X304-(8*W304)</f>
        <v>5.9111433471679504</v>
      </c>
      <c r="Z304" s="6" t="s">
        <v>401</v>
      </c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</row>
    <row r="305" spans="1:70" s="6" customFormat="1" x14ac:dyDescent="0.35">
      <c r="A305" s="6" t="s">
        <v>25</v>
      </c>
      <c r="B305" s="6" t="s">
        <v>3085</v>
      </c>
      <c r="D305" s="6" t="s">
        <v>3174</v>
      </c>
      <c r="E305" s="6">
        <v>5</v>
      </c>
      <c r="F305" s="6">
        <v>62</v>
      </c>
      <c r="G305" s="6" t="s">
        <v>3287</v>
      </c>
      <c r="I305" s="8">
        <v>89.070548000000002</v>
      </c>
      <c r="J305" s="8">
        <v>107.34374200000001</v>
      </c>
      <c r="K305" s="6" t="s">
        <v>198</v>
      </c>
      <c r="L305" s="9">
        <v>44092</v>
      </c>
      <c r="M305" s="18">
        <v>0.35069444444444442</v>
      </c>
      <c r="N305" s="6">
        <v>52</v>
      </c>
      <c r="O305" s="6" t="s">
        <v>4441</v>
      </c>
      <c r="R305" s="6">
        <v>6.5</v>
      </c>
      <c r="S305" s="6">
        <v>3.5</v>
      </c>
      <c r="U305" s="32">
        <v>4.3</v>
      </c>
      <c r="V305" t="s">
        <v>4461</v>
      </c>
      <c r="W305" s="8">
        <v>-16.644530567932129</v>
      </c>
      <c r="X305" s="8">
        <v>-126.08250144958497</v>
      </c>
      <c r="Y305" s="8">
        <f>X305-(8*W305)</f>
        <v>7.0737430938720678</v>
      </c>
      <c r="Z305" s="6" t="s">
        <v>3286</v>
      </c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</row>
    <row r="306" spans="1:70" s="6" customFormat="1" x14ac:dyDescent="0.35">
      <c r="A306" s="6" t="s">
        <v>25</v>
      </c>
      <c r="B306" s="7"/>
      <c r="C306" s="6">
        <v>510515</v>
      </c>
      <c r="D306" s="6" t="s">
        <v>2607</v>
      </c>
      <c r="E306" s="6">
        <v>1</v>
      </c>
      <c r="G306" s="6" t="s">
        <v>2608</v>
      </c>
      <c r="K306" s="6" t="s">
        <v>198</v>
      </c>
      <c r="L306" s="16"/>
      <c r="T306" s="10"/>
      <c r="W306" s="8">
        <v>-30.605428736114504</v>
      </c>
      <c r="X306" s="8">
        <v>-226.78351765747072</v>
      </c>
      <c r="Y306" s="8">
        <f>X306-(8*W306)</f>
        <v>18.05991223144531</v>
      </c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</row>
    <row r="307" spans="1:70" s="6" customFormat="1" x14ac:dyDescent="0.35">
      <c r="A307" s="6" t="s">
        <v>25</v>
      </c>
      <c r="B307" s="7"/>
      <c r="C307" s="6">
        <v>510514</v>
      </c>
      <c r="D307" s="6" t="s">
        <v>2607</v>
      </c>
      <c r="E307" s="6">
        <v>1</v>
      </c>
      <c r="G307" s="6" t="s">
        <v>2608</v>
      </c>
      <c r="K307" s="6" t="s">
        <v>198</v>
      </c>
      <c r="L307" s="16"/>
      <c r="T307" s="10"/>
      <c r="W307" s="8">
        <v>-19.358932722473146</v>
      </c>
      <c r="X307" s="8">
        <v>-144.03397319335937</v>
      </c>
      <c r="Y307" s="8">
        <f>X307-(8*W307)</f>
        <v>10.837488586425792</v>
      </c>
      <c r="Z307" s="6" t="s">
        <v>2609</v>
      </c>
    </row>
  </sheetData>
  <sortState ref="A2:Z307">
    <sortCondition ref="L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7B7A-75BA-40D5-A7C7-DB66731D8D63}">
  <dimension ref="A1:Y2"/>
  <sheetViews>
    <sheetView workbookViewId="0"/>
  </sheetViews>
  <sheetFormatPr defaultRowHeight="14.5" x14ac:dyDescent="0.35"/>
  <cols>
    <col min="1" max="1" width="7.7265625" bestFit="1" customWidth="1"/>
    <col min="2" max="3" width="17" bestFit="1" customWidth="1"/>
    <col min="4" max="4" width="52.6328125" bestFit="1" customWidth="1"/>
    <col min="5" max="5" width="3.81640625" bestFit="1" customWidth="1"/>
    <col min="6" max="6" width="6" bestFit="1" customWidth="1"/>
    <col min="7" max="7" width="14" customWidth="1"/>
    <col min="8" max="8" width="18.6328125" bestFit="1" customWidth="1"/>
    <col min="9" max="9" width="7.90625" bestFit="1" customWidth="1"/>
    <col min="10" max="10" width="9.36328125" bestFit="1" customWidth="1"/>
    <col min="11" max="11" width="10.90625" bestFit="1" customWidth="1"/>
    <col min="12" max="12" width="11.08984375" bestFit="1" customWidth="1"/>
    <col min="13" max="13" width="5.1796875" bestFit="1" customWidth="1"/>
    <col min="14" max="14" width="14" bestFit="1" customWidth="1"/>
    <col min="15" max="15" width="9.08984375" bestFit="1" customWidth="1"/>
    <col min="16" max="16" width="15.81640625" bestFit="1" customWidth="1"/>
    <col min="17" max="17" width="17.26953125" bestFit="1" customWidth="1"/>
    <col min="18" max="18" width="11.7265625" bestFit="1" customWidth="1"/>
    <col min="19" max="19" width="8" bestFit="1" customWidth="1"/>
    <col min="20" max="21" width="12" bestFit="1" customWidth="1"/>
    <col min="22" max="22" width="5.26953125" bestFit="1" customWidth="1"/>
    <col min="23" max="23" width="5" bestFit="1" customWidth="1"/>
    <col min="24" max="24" width="8.54296875" bestFit="1" customWidth="1"/>
    <col min="25" max="25" width="10.08984375" bestFit="1" customWidth="1"/>
  </cols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" t="s">
        <v>20</v>
      </c>
      <c r="V1" s="5" t="s">
        <v>21</v>
      </c>
      <c r="W1" s="5" t="s">
        <v>22</v>
      </c>
      <c r="X1" s="5" t="s">
        <v>23</v>
      </c>
      <c r="Y1" s="1" t="s">
        <v>24</v>
      </c>
    </row>
    <row r="2" spans="1:25" s="6" customFormat="1" x14ac:dyDescent="0.35">
      <c r="A2" s="6" t="s">
        <v>25</v>
      </c>
      <c r="B2" s="7" t="s">
        <v>1421</v>
      </c>
      <c r="D2" s="6" t="s">
        <v>1422</v>
      </c>
      <c r="E2" s="6">
        <v>3</v>
      </c>
      <c r="F2" s="6">
        <v>37</v>
      </c>
      <c r="G2" s="6" t="s">
        <v>1423</v>
      </c>
      <c r="I2" s="8">
        <v>84.074120555555595</v>
      </c>
      <c r="J2" s="8">
        <v>16.034243819444399</v>
      </c>
      <c r="K2" s="6" t="s">
        <v>1424</v>
      </c>
      <c r="L2" s="9">
        <v>43944</v>
      </c>
      <c r="N2" s="6">
        <v>30</v>
      </c>
      <c r="O2" s="6" t="s">
        <v>4279</v>
      </c>
      <c r="Q2" s="10"/>
      <c r="R2" s="10"/>
      <c r="S2" s="10"/>
      <c r="T2" s="10"/>
      <c r="U2" s="11"/>
      <c r="V2" s="8">
        <v>-1.3175461553764345</v>
      </c>
      <c r="W2" s="8">
        <v>-8.9447440767288207</v>
      </c>
      <c r="X2" s="8">
        <f>W2-(8*V2)</f>
        <v>1.5956251662826553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3848-D061-4115-AFD5-41DA2A7DF669}">
  <dimension ref="A1:Y11"/>
  <sheetViews>
    <sheetView workbookViewId="0"/>
  </sheetViews>
  <sheetFormatPr defaultRowHeight="14.5" x14ac:dyDescent="0.35"/>
  <cols>
    <col min="2" max="3" width="17" bestFit="1" customWidth="1"/>
    <col min="4" max="4" width="46.453125" bestFit="1" customWidth="1"/>
    <col min="5" max="5" width="3.81640625" bestFit="1" customWidth="1"/>
    <col min="6" max="6" width="6" bestFit="1" customWidth="1"/>
    <col min="7" max="7" width="26" bestFit="1" customWidth="1"/>
    <col min="8" max="8" width="18.6328125" bestFit="1" customWidth="1"/>
    <col min="9" max="9" width="7.90625" bestFit="1" customWidth="1"/>
    <col min="10" max="10" width="9.36328125" bestFit="1" customWidth="1"/>
    <col min="11" max="11" width="11.1796875" bestFit="1" customWidth="1"/>
    <col min="12" max="12" width="11.54296875" bestFit="1" customWidth="1"/>
    <col min="13" max="13" width="5.1796875" bestFit="1" customWidth="1"/>
    <col min="14" max="14" width="14" bestFit="1" customWidth="1"/>
    <col min="15" max="15" width="9.08984375" bestFit="1" customWidth="1"/>
    <col min="16" max="16" width="15.81640625" bestFit="1" customWidth="1"/>
    <col min="17" max="17" width="17.26953125" bestFit="1" customWidth="1"/>
    <col min="18" max="18" width="11.7265625" bestFit="1" customWidth="1"/>
    <col min="19" max="19" width="8" bestFit="1" customWidth="1"/>
    <col min="20" max="21" width="12" bestFit="1" customWidth="1"/>
    <col min="22" max="22" width="6" bestFit="1" customWidth="1"/>
    <col min="23" max="23" width="7" bestFit="1" customWidth="1"/>
    <col min="24" max="24" width="8.54296875" bestFit="1" customWidth="1"/>
    <col min="25" max="25" width="10.08984375" bestFit="1" customWidth="1"/>
  </cols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" t="s">
        <v>20</v>
      </c>
      <c r="V1" s="5" t="s">
        <v>21</v>
      </c>
      <c r="W1" s="5" t="s">
        <v>22</v>
      </c>
      <c r="X1" s="5" t="s">
        <v>23</v>
      </c>
      <c r="Y1" s="1" t="s">
        <v>24</v>
      </c>
    </row>
    <row r="2" spans="1:25" s="6" customFormat="1" x14ac:dyDescent="0.35">
      <c r="A2" s="6" t="s">
        <v>25</v>
      </c>
      <c r="B2" s="7"/>
      <c r="D2" s="6" t="s">
        <v>898</v>
      </c>
      <c r="E2" s="6">
        <v>2</v>
      </c>
      <c r="F2" s="6">
        <v>21</v>
      </c>
      <c r="I2" s="8">
        <v>87.416636944444406</v>
      </c>
      <c r="J2" s="8">
        <v>93.8729894444444</v>
      </c>
      <c r="K2" s="6" t="s">
        <v>897</v>
      </c>
      <c r="L2" s="14">
        <v>43850</v>
      </c>
      <c r="N2" s="6">
        <v>17</v>
      </c>
      <c r="O2" s="6" t="s">
        <v>4314</v>
      </c>
      <c r="R2" s="6">
        <v>0</v>
      </c>
      <c r="S2" s="6">
        <v>0</v>
      </c>
      <c r="T2" s="10">
        <f>AVERAGE(R2:S2)</f>
        <v>0</v>
      </c>
      <c r="V2" s="8">
        <v>-10.239562075195311</v>
      </c>
      <c r="W2" s="8">
        <v>-65.205062599182128</v>
      </c>
      <c r="X2" s="8">
        <f t="shared" ref="X2:X11" si="0">W2-(8*V2)</f>
        <v>16.711434002380358</v>
      </c>
    </row>
    <row r="3" spans="1:25" s="6" customFormat="1" x14ac:dyDescent="0.35">
      <c r="A3" s="6" t="s">
        <v>25</v>
      </c>
      <c r="B3" s="7"/>
      <c r="D3" s="6" t="s">
        <v>896</v>
      </c>
      <c r="E3" s="6">
        <v>2</v>
      </c>
      <c r="F3" s="6">
        <v>21</v>
      </c>
      <c r="I3" s="8">
        <v>87.416636944444406</v>
      </c>
      <c r="J3" s="8">
        <v>93.8729894444444</v>
      </c>
      <c r="K3" s="6" t="s">
        <v>897</v>
      </c>
      <c r="L3" s="14">
        <v>43850</v>
      </c>
      <c r="N3" s="6">
        <v>17</v>
      </c>
      <c r="O3" s="6" t="s">
        <v>4314</v>
      </c>
      <c r="R3" s="6">
        <v>0</v>
      </c>
      <c r="S3" s="6">
        <v>0</v>
      </c>
      <c r="T3" s="10">
        <f>AVERAGE(R3:S3)</f>
        <v>0</v>
      </c>
      <c r="V3" s="8">
        <v>-3.4442582860565185</v>
      </c>
      <c r="W3" s="8">
        <v>-23.932406997680662</v>
      </c>
      <c r="X3" s="8">
        <f t="shared" si="0"/>
        <v>3.6216592907714862</v>
      </c>
    </row>
    <row r="4" spans="1:25" s="6" customFormat="1" x14ac:dyDescent="0.35">
      <c r="A4" s="6" t="s">
        <v>25</v>
      </c>
      <c r="B4" s="7" t="s">
        <v>967</v>
      </c>
      <c r="D4" s="6" t="s">
        <v>968</v>
      </c>
      <c r="E4" s="6">
        <v>2</v>
      </c>
      <c r="F4" s="6">
        <v>22</v>
      </c>
      <c r="G4" s="6" t="s">
        <v>969</v>
      </c>
      <c r="I4" s="8">
        <v>87.472233819444398</v>
      </c>
      <c r="J4" s="8">
        <v>95.318004999999999</v>
      </c>
      <c r="K4" s="6" t="s">
        <v>897</v>
      </c>
      <c r="L4" s="9">
        <v>43859</v>
      </c>
      <c r="N4" s="6">
        <v>18</v>
      </c>
      <c r="O4" s="6" t="s">
        <v>4317</v>
      </c>
      <c r="Q4" s="10"/>
      <c r="R4" s="10"/>
      <c r="S4" s="10"/>
      <c r="T4" s="10"/>
      <c r="U4" s="11"/>
      <c r="V4" s="8">
        <v>-2.7141863705444345</v>
      </c>
      <c r="W4" s="8">
        <v>-20.775565223693846</v>
      </c>
      <c r="X4" s="8">
        <f t="shared" si="0"/>
        <v>0.9379257406616297</v>
      </c>
    </row>
    <row r="5" spans="1:25" s="6" customFormat="1" x14ac:dyDescent="0.35">
      <c r="A5" s="6" t="s">
        <v>25</v>
      </c>
      <c r="B5" s="7"/>
      <c r="D5" s="6" t="s">
        <v>1011</v>
      </c>
      <c r="E5" s="6">
        <v>2</v>
      </c>
      <c r="F5" s="6">
        <v>23</v>
      </c>
      <c r="G5" s="6" t="s">
        <v>1012</v>
      </c>
      <c r="I5" s="8">
        <v>87.547686597222196</v>
      </c>
      <c r="J5" s="8">
        <v>94.790669652777794</v>
      </c>
      <c r="K5" s="6" t="s">
        <v>897</v>
      </c>
      <c r="L5" s="9">
        <v>43866</v>
      </c>
      <c r="N5" s="6">
        <v>19</v>
      </c>
      <c r="O5" s="6" t="s">
        <v>4323</v>
      </c>
      <c r="R5" s="6">
        <v>0</v>
      </c>
      <c r="S5" s="6">
        <v>0</v>
      </c>
      <c r="T5" s="10">
        <f t="shared" ref="T5:T11" si="1">AVERAGE(R5:S5)</f>
        <v>0</v>
      </c>
      <c r="V5" s="8">
        <v>-8.0675154131889339</v>
      </c>
      <c r="W5" s="8">
        <v>-53.351456047821046</v>
      </c>
      <c r="X5" s="8">
        <f t="shared" si="0"/>
        <v>11.188667257690426</v>
      </c>
    </row>
    <row r="6" spans="1:25" s="6" customFormat="1" x14ac:dyDescent="0.35">
      <c r="A6" s="6" t="s">
        <v>25</v>
      </c>
      <c r="B6" s="7"/>
      <c r="D6" s="6" t="s">
        <v>1067</v>
      </c>
      <c r="E6" s="6">
        <v>3</v>
      </c>
      <c r="F6" s="6">
        <v>30</v>
      </c>
      <c r="G6" s="6" t="s">
        <v>60</v>
      </c>
      <c r="I6" s="8">
        <v>88.097969444444402</v>
      </c>
      <c r="J6" s="8">
        <v>30.514582083333298</v>
      </c>
      <c r="K6" s="6" t="s">
        <v>897</v>
      </c>
      <c r="L6" s="9">
        <v>43894</v>
      </c>
      <c r="N6" s="6">
        <v>23</v>
      </c>
      <c r="O6" s="6" t="s">
        <v>4340</v>
      </c>
      <c r="R6" s="6">
        <v>0</v>
      </c>
      <c r="S6" s="6">
        <v>0</v>
      </c>
      <c r="T6" s="10">
        <f t="shared" si="1"/>
        <v>0</v>
      </c>
      <c r="V6" s="8">
        <v>-20.997996973571777</v>
      </c>
      <c r="W6" s="8">
        <v>-148.68078475952149</v>
      </c>
      <c r="X6" s="8">
        <f t="shared" si="0"/>
        <v>19.303191029052726</v>
      </c>
    </row>
    <row r="7" spans="1:25" s="6" customFormat="1" x14ac:dyDescent="0.35">
      <c r="A7" s="6" t="s">
        <v>25</v>
      </c>
      <c r="B7" s="7"/>
      <c r="D7" s="6" t="s">
        <v>1152</v>
      </c>
      <c r="E7" s="6">
        <v>3</v>
      </c>
      <c r="F7" s="6">
        <v>32</v>
      </c>
      <c r="G7" s="6" t="s">
        <v>1153</v>
      </c>
      <c r="I7" s="8">
        <v>86.689110833333302</v>
      </c>
      <c r="J7" s="8">
        <v>12.1494461111111</v>
      </c>
      <c r="K7" s="6" t="s">
        <v>897</v>
      </c>
      <c r="L7" s="9">
        <v>43908</v>
      </c>
      <c r="N7" s="6">
        <v>25</v>
      </c>
      <c r="O7" s="6" t="s">
        <v>4298</v>
      </c>
      <c r="R7" s="6">
        <v>0</v>
      </c>
      <c r="S7" s="6">
        <v>0</v>
      </c>
      <c r="T7" s="10">
        <f t="shared" si="1"/>
        <v>0</v>
      </c>
      <c r="V7" s="8">
        <v>-7.4351538848876961</v>
      </c>
      <c r="W7" s="8">
        <v>-60.19941131591797</v>
      </c>
      <c r="X7" s="8">
        <f t="shared" si="0"/>
        <v>-0.71818023681640142</v>
      </c>
    </row>
    <row r="8" spans="1:25" s="6" customFormat="1" x14ac:dyDescent="0.35">
      <c r="A8" s="6" t="s">
        <v>25</v>
      </c>
      <c r="B8" s="7"/>
      <c r="D8" s="6" t="s">
        <v>1171</v>
      </c>
      <c r="E8" s="6">
        <v>3</v>
      </c>
      <c r="F8" s="6">
        <v>32</v>
      </c>
      <c r="G8" s="6" t="s">
        <v>1172</v>
      </c>
      <c r="I8" s="8">
        <v>86.257643333333306</v>
      </c>
      <c r="J8" s="8">
        <v>15.261599722222201</v>
      </c>
      <c r="K8" s="6" t="s">
        <v>897</v>
      </c>
      <c r="L8" s="9">
        <v>43911</v>
      </c>
      <c r="N8" s="6">
        <v>25</v>
      </c>
      <c r="O8" s="6" t="s">
        <v>4351</v>
      </c>
      <c r="R8" s="6">
        <v>0</v>
      </c>
      <c r="S8" s="6">
        <v>0</v>
      </c>
      <c r="T8" s="10">
        <f t="shared" si="1"/>
        <v>0</v>
      </c>
      <c r="V8" s="8">
        <v>-31.118119954299928</v>
      </c>
      <c r="W8" s="8">
        <v>-235.01976898193357</v>
      </c>
      <c r="X8" s="8">
        <f t="shared" si="0"/>
        <v>13.925190652465858</v>
      </c>
    </row>
    <row r="9" spans="1:25" s="6" customFormat="1" x14ac:dyDescent="0.35">
      <c r="A9" s="6" t="s">
        <v>25</v>
      </c>
      <c r="B9" s="7"/>
      <c r="D9" s="6" t="s">
        <v>1173</v>
      </c>
      <c r="E9" s="6">
        <v>3</v>
      </c>
      <c r="F9" s="6">
        <v>32</v>
      </c>
      <c r="G9" s="6" t="s">
        <v>1172</v>
      </c>
      <c r="I9" s="8">
        <v>86.257643333333306</v>
      </c>
      <c r="J9" s="8">
        <v>15.261599722222201</v>
      </c>
      <c r="K9" s="6" t="s">
        <v>897</v>
      </c>
      <c r="L9" s="9">
        <v>43911</v>
      </c>
      <c r="N9" s="6">
        <v>25</v>
      </c>
      <c r="O9" s="6" t="s">
        <v>4351</v>
      </c>
      <c r="R9" s="6">
        <v>0</v>
      </c>
      <c r="S9" s="6">
        <v>0</v>
      </c>
      <c r="T9" s="10">
        <f t="shared" si="1"/>
        <v>0</v>
      </c>
      <c r="V9" s="8">
        <v>-4.4429737345695495</v>
      </c>
      <c r="W9" s="8">
        <v>-32.273413848876949</v>
      </c>
      <c r="X9" s="8">
        <f t="shared" si="0"/>
        <v>3.2703760276794469</v>
      </c>
    </row>
    <row r="10" spans="1:25" s="6" customFormat="1" x14ac:dyDescent="0.35">
      <c r="A10" s="6" t="s">
        <v>25</v>
      </c>
      <c r="B10" s="7"/>
      <c r="D10" s="6" t="s">
        <v>1174</v>
      </c>
      <c r="E10" s="6">
        <v>3</v>
      </c>
      <c r="F10" s="6">
        <v>32</v>
      </c>
      <c r="G10" s="6" t="s">
        <v>1172</v>
      </c>
      <c r="I10" s="8">
        <v>86.257643333333306</v>
      </c>
      <c r="J10" s="8">
        <v>15.261599722222201</v>
      </c>
      <c r="K10" s="6" t="s">
        <v>897</v>
      </c>
      <c r="L10" s="9">
        <v>43911</v>
      </c>
      <c r="N10" s="6">
        <v>25</v>
      </c>
      <c r="O10" s="6" t="s">
        <v>4351</v>
      </c>
      <c r="R10" s="6">
        <v>0</v>
      </c>
      <c r="S10" s="6">
        <v>0</v>
      </c>
      <c r="T10" s="10">
        <f t="shared" si="1"/>
        <v>0</v>
      </c>
      <c r="V10" s="8">
        <v>-2.9762654726028446</v>
      </c>
      <c r="W10" s="8">
        <v>-26.728106079101558</v>
      </c>
      <c r="X10" s="8">
        <f t="shared" si="0"/>
        <v>-2.9179822982788011</v>
      </c>
    </row>
    <row r="11" spans="1:25" s="6" customFormat="1" x14ac:dyDescent="0.35">
      <c r="A11" s="6" t="s">
        <v>25</v>
      </c>
      <c r="B11" s="7"/>
      <c r="D11" s="6" t="s">
        <v>1196</v>
      </c>
      <c r="E11" s="6">
        <v>3</v>
      </c>
      <c r="F11" s="6">
        <v>32</v>
      </c>
      <c r="G11" s="6" t="s">
        <v>1172</v>
      </c>
      <c r="I11" s="8">
        <v>86.211634027777805</v>
      </c>
      <c r="J11" s="8">
        <v>15.8018358333333</v>
      </c>
      <c r="K11" s="6" t="s">
        <v>897</v>
      </c>
      <c r="L11" s="9">
        <v>43913</v>
      </c>
      <c r="N11" s="6">
        <v>26</v>
      </c>
      <c r="O11" s="6" t="s">
        <v>4280</v>
      </c>
      <c r="R11" s="6">
        <v>0</v>
      </c>
      <c r="S11" s="6">
        <v>0</v>
      </c>
      <c r="T11" s="10">
        <f t="shared" si="1"/>
        <v>0</v>
      </c>
      <c r="V11" s="8">
        <v>-4.0645832554817201</v>
      </c>
      <c r="W11" s="8">
        <v>-24.723810424804689</v>
      </c>
      <c r="X11" s="8">
        <f t="shared" si="0"/>
        <v>7.792855619049071</v>
      </c>
    </row>
  </sheetData>
  <sortState ref="A2:Y11">
    <sortCondition ref="L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14CE-72BE-4481-BF0E-974C2F5124E2}">
  <dimension ref="A1:Z1044"/>
  <sheetViews>
    <sheetView zoomScaleNormal="100" workbookViewId="0">
      <pane ySplit="1" topLeftCell="A1016" activePane="bottomLeft" state="frozen"/>
      <selection pane="bottomLeft"/>
    </sheetView>
  </sheetViews>
  <sheetFormatPr defaultRowHeight="14.5" x14ac:dyDescent="0.35"/>
  <cols>
    <col min="1" max="1" width="7.7265625" bestFit="1" customWidth="1"/>
    <col min="2" max="3" width="17" bestFit="1" customWidth="1"/>
    <col min="4" max="4" width="55.36328125" bestFit="1" customWidth="1"/>
    <col min="5" max="5" width="3.81640625" bestFit="1" customWidth="1"/>
    <col min="6" max="6" width="6" bestFit="1" customWidth="1"/>
    <col min="7" max="7" width="17.26953125" bestFit="1" customWidth="1"/>
    <col min="8" max="8" width="18.6328125" bestFit="1" customWidth="1"/>
    <col min="9" max="9" width="7.90625" bestFit="1" customWidth="1"/>
    <col min="10" max="10" width="9.36328125" bestFit="1" customWidth="1"/>
    <col min="11" max="11" width="10.90625" bestFit="1" customWidth="1"/>
    <col min="12" max="12" width="11.36328125" bestFit="1" customWidth="1"/>
    <col min="13" max="13" width="11.54296875" bestFit="1" customWidth="1"/>
    <col min="14" max="14" width="5.1796875" bestFit="1" customWidth="1"/>
    <col min="15" max="15" width="14" bestFit="1" customWidth="1"/>
    <col min="16" max="16" width="9.08984375" bestFit="1" customWidth="1"/>
    <col min="17" max="17" width="15.81640625" bestFit="1" customWidth="1"/>
    <col min="18" max="18" width="20.81640625" bestFit="1" customWidth="1"/>
    <col min="19" max="19" width="11.7265625" bestFit="1" customWidth="1"/>
    <col min="20" max="20" width="8" bestFit="1" customWidth="1"/>
    <col min="21" max="22" width="12" bestFit="1" customWidth="1"/>
    <col min="23" max="23" width="6" bestFit="1" customWidth="1"/>
    <col min="24" max="24" width="7" bestFit="1" customWidth="1"/>
    <col min="25" max="25" width="8.54296875" bestFit="1" customWidth="1"/>
    <col min="26" max="26" width="19.36328125" bestFit="1" customWidth="1"/>
  </cols>
  <sheetData>
    <row r="1" spans="1:2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4449</v>
      </c>
      <c r="M1" s="2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1" t="s">
        <v>20</v>
      </c>
      <c r="W1" s="5" t="s">
        <v>21</v>
      </c>
      <c r="X1" s="5" t="s">
        <v>22</v>
      </c>
      <c r="Y1" s="5" t="s">
        <v>23</v>
      </c>
      <c r="Z1" s="1" t="s">
        <v>24</v>
      </c>
    </row>
    <row r="2" spans="1:26" s="6" customFormat="1" x14ac:dyDescent="0.35">
      <c r="A2" s="6" t="s">
        <v>25</v>
      </c>
      <c r="B2" s="7" t="s">
        <v>36</v>
      </c>
      <c r="D2" s="6" t="s">
        <v>37</v>
      </c>
      <c r="E2" s="6">
        <v>1</v>
      </c>
      <c r="F2" s="6">
        <v>1</v>
      </c>
      <c r="G2" s="6" t="s">
        <v>28</v>
      </c>
      <c r="I2" s="8">
        <v>85.144790624999999</v>
      </c>
      <c r="J2" s="8">
        <v>133.79209895833301</v>
      </c>
      <c r="K2" s="6" t="s">
        <v>29</v>
      </c>
      <c r="L2" s="6" t="s">
        <v>335</v>
      </c>
      <c r="M2" s="9">
        <v>43741</v>
      </c>
      <c r="O2" s="6">
        <v>1</v>
      </c>
      <c r="P2" s="6" t="s">
        <v>4242</v>
      </c>
      <c r="R2" s="10"/>
      <c r="S2" s="10">
        <v>0</v>
      </c>
      <c r="T2" s="10">
        <v>10</v>
      </c>
      <c r="U2" s="10">
        <f t="shared" ref="U2:U65" si="0">AVERAGE(S2:T2)</f>
        <v>5</v>
      </c>
      <c r="W2" s="8">
        <v>-4.2837162017822266</v>
      </c>
      <c r="X2" s="8">
        <v>-32.932406082153321</v>
      </c>
      <c r="Y2" s="8">
        <f t="shared" ref="Y2:Y65" si="1">X2-(8*W2)</f>
        <v>1.3373235321044916</v>
      </c>
    </row>
    <row r="3" spans="1:26" s="6" customFormat="1" x14ac:dyDescent="0.35">
      <c r="A3" s="6" t="s">
        <v>25</v>
      </c>
      <c r="B3" s="7" t="s">
        <v>38</v>
      </c>
      <c r="D3" s="6" t="s">
        <v>39</v>
      </c>
      <c r="E3" s="6">
        <v>1</v>
      </c>
      <c r="F3" s="6">
        <v>1</v>
      </c>
      <c r="G3" s="6" t="s">
        <v>28</v>
      </c>
      <c r="I3" s="8">
        <v>85.144790624999999</v>
      </c>
      <c r="J3" s="8">
        <v>133.79209895833301</v>
      </c>
      <c r="K3" s="6" t="s">
        <v>29</v>
      </c>
      <c r="L3" s="6" t="s">
        <v>335</v>
      </c>
      <c r="M3" s="9">
        <v>43741</v>
      </c>
      <c r="O3" s="6">
        <v>1</v>
      </c>
      <c r="P3" s="6" t="s">
        <v>4242</v>
      </c>
      <c r="R3" s="10"/>
      <c r="S3" s="10">
        <v>10</v>
      </c>
      <c r="T3" s="10">
        <v>20</v>
      </c>
      <c r="U3" s="10">
        <f t="shared" si="0"/>
        <v>15</v>
      </c>
      <c r="W3" s="8">
        <v>-4.8361034393310556</v>
      </c>
      <c r="X3" s="8">
        <v>-35.87792022705078</v>
      </c>
      <c r="Y3" s="8">
        <f t="shared" si="1"/>
        <v>2.8109072875976651</v>
      </c>
    </row>
    <row r="4" spans="1:26" s="6" customFormat="1" x14ac:dyDescent="0.35">
      <c r="A4" s="6" t="s">
        <v>25</v>
      </c>
      <c r="B4" s="7" t="s">
        <v>40</v>
      </c>
      <c r="D4" s="6" t="s">
        <v>41</v>
      </c>
      <c r="E4" s="6">
        <v>1</v>
      </c>
      <c r="F4" s="6">
        <v>1</v>
      </c>
      <c r="G4" s="6" t="s">
        <v>28</v>
      </c>
      <c r="I4" s="8">
        <v>85.144790624999999</v>
      </c>
      <c r="J4" s="8">
        <v>133.79209895833301</v>
      </c>
      <c r="K4" s="6" t="s">
        <v>29</v>
      </c>
      <c r="L4" s="6" t="s">
        <v>335</v>
      </c>
      <c r="M4" s="9">
        <v>43741</v>
      </c>
      <c r="O4" s="6">
        <v>1</v>
      </c>
      <c r="P4" s="6" t="s">
        <v>4242</v>
      </c>
      <c r="R4" s="10"/>
      <c r="S4" s="10">
        <v>20</v>
      </c>
      <c r="T4" s="10">
        <v>30</v>
      </c>
      <c r="U4" s="10">
        <f t="shared" si="0"/>
        <v>25</v>
      </c>
      <c r="W4" s="8">
        <v>-2.7815372943878178</v>
      </c>
      <c r="X4" s="8">
        <v>-20.388182525634765</v>
      </c>
      <c r="Y4" s="8">
        <f t="shared" si="1"/>
        <v>1.864115829467778</v>
      </c>
    </row>
    <row r="5" spans="1:26" s="6" customFormat="1" x14ac:dyDescent="0.35">
      <c r="A5" s="6" t="s">
        <v>25</v>
      </c>
      <c r="B5" s="7" t="s">
        <v>32</v>
      </c>
      <c r="D5" s="6" t="s">
        <v>33</v>
      </c>
      <c r="E5" s="6">
        <v>1</v>
      </c>
      <c r="F5" s="6">
        <v>1</v>
      </c>
      <c r="G5" s="6" t="s">
        <v>28</v>
      </c>
      <c r="I5" s="8">
        <v>85.144790624999999</v>
      </c>
      <c r="J5" s="8">
        <v>133.79209895833301</v>
      </c>
      <c r="K5" s="6" t="s">
        <v>29</v>
      </c>
      <c r="L5" s="6" t="s">
        <v>335</v>
      </c>
      <c r="M5" s="9">
        <v>43741</v>
      </c>
      <c r="O5" s="6">
        <v>1</v>
      </c>
      <c r="P5" s="6" t="s">
        <v>4242</v>
      </c>
      <c r="R5" s="10"/>
      <c r="S5" s="10">
        <v>30</v>
      </c>
      <c r="T5" s="10">
        <v>42</v>
      </c>
      <c r="U5" s="10">
        <f t="shared" si="0"/>
        <v>36</v>
      </c>
      <c r="W5" s="8">
        <v>-0.53046490052938455</v>
      </c>
      <c r="X5" s="8">
        <v>-3.4013069109916687</v>
      </c>
      <c r="Y5" s="8">
        <f t="shared" si="1"/>
        <v>0.84241229324340772</v>
      </c>
    </row>
    <row r="6" spans="1:26" s="6" customFormat="1" x14ac:dyDescent="0.35">
      <c r="A6" s="6" t="s">
        <v>25</v>
      </c>
      <c r="B6" s="7" t="s">
        <v>42</v>
      </c>
      <c r="D6" s="6" t="s">
        <v>43</v>
      </c>
      <c r="E6" s="6">
        <v>1</v>
      </c>
      <c r="F6" s="6">
        <v>1</v>
      </c>
      <c r="G6" s="6" t="s">
        <v>28</v>
      </c>
      <c r="I6" s="8">
        <v>85.144790624999999</v>
      </c>
      <c r="J6" s="8">
        <v>133.79209895833301</v>
      </c>
      <c r="K6" s="6" t="s">
        <v>29</v>
      </c>
      <c r="L6" s="6" t="s">
        <v>335</v>
      </c>
      <c r="M6" s="9">
        <v>43741</v>
      </c>
      <c r="O6" s="6">
        <v>1</v>
      </c>
      <c r="P6" s="6" t="s">
        <v>4242</v>
      </c>
      <c r="R6" s="10"/>
      <c r="S6" s="10">
        <v>52</v>
      </c>
      <c r="T6" s="10">
        <v>62</v>
      </c>
      <c r="U6" s="10">
        <f t="shared" si="0"/>
        <v>57</v>
      </c>
      <c r="W6" s="8">
        <v>-0.52796268463134799</v>
      </c>
      <c r="X6" s="8">
        <v>-3.78242862701416</v>
      </c>
      <c r="Y6" s="8">
        <f t="shared" si="1"/>
        <v>0.44127285003662386</v>
      </c>
    </row>
    <row r="7" spans="1:26" s="6" customFormat="1" x14ac:dyDescent="0.35">
      <c r="A7" s="6" t="s">
        <v>25</v>
      </c>
      <c r="B7" s="7" t="s">
        <v>44</v>
      </c>
      <c r="D7" s="6" t="s">
        <v>45</v>
      </c>
      <c r="E7" s="6">
        <v>1</v>
      </c>
      <c r="F7" s="6">
        <v>1</v>
      </c>
      <c r="G7" s="6" t="s">
        <v>28</v>
      </c>
      <c r="I7" s="8">
        <v>85.144790624999999</v>
      </c>
      <c r="J7" s="8">
        <v>133.79209895833301</v>
      </c>
      <c r="K7" s="6" t="s">
        <v>29</v>
      </c>
      <c r="L7" s="6" t="s">
        <v>335</v>
      </c>
      <c r="M7" s="9">
        <v>43741</v>
      </c>
      <c r="O7" s="6">
        <v>1</v>
      </c>
      <c r="P7" s="6" t="s">
        <v>4242</v>
      </c>
      <c r="R7" s="10"/>
      <c r="S7" s="10">
        <v>62</v>
      </c>
      <c r="T7" s="10">
        <v>72</v>
      </c>
      <c r="U7" s="10">
        <f t="shared" si="0"/>
        <v>67</v>
      </c>
      <c r="W7" s="8">
        <v>-0.52897989749908503</v>
      </c>
      <c r="X7" s="8">
        <v>-2.8046562480926513</v>
      </c>
      <c r="Y7" s="8">
        <f t="shared" si="1"/>
        <v>1.4271829319000289</v>
      </c>
    </row>
    <row r="8" spans="1:26" s="6" customFormat="1" x14ac:dyDescent="0.35">
      <c r="A8" s="6" t="s">
        <v>25</v>
      </c>
      <c r="B8" s="7" t="s">
        <v>26</v>
      </c>
      <c r="D8" s="6" t="s">
        <v>27</v>
      </c>
      <c r="E8" s="6">
        <v>1</v>
      </c>
      <c r="F8" s="6">
        <v>1</v>
      </c>
      <c r="G8" s="6" t="s">
        <v>28</v>
      </c>
      <c r="I8" s="8">
        <v>85.144790624999999</v>
      </c>
      <c r="J8" s="8">
        <v>133.79209895833301</v>
      </c>
      <c r="K8" s="6" t="s">
        <v>29</v>
      </c>
      <c r="L8" s="6" t="s">
        <v>335</v>
      </c>
      <c r="M8" s="9">
        <v>43741</v>
      </c>
      <c r="O8" s="6">
        <v>1</v>
      </c>
      <c r="P8" s="6" t="s">
        <v>4242</v>
      </c>
      <c r="R8" s="10"/>
      <c r="S8" s="10">
        <v>72</v>
      </c>
      <c r="T8" s="10">
        <v>82</v>
      </c>
      <c r="U8" s="10">
        <f t="shared" si="0"/>
        <v>77</v>
      </c>
      <c r="W8" s="8">
        <v>8.400521952658821E-3</v>
      </c>
      <c r="X8" s="8">
        <v>0.66218341846019046</v>
      </c>
      <c r="Y8" s="8">
        <f t="shared" si="1"/>
        <v>0.5949792428389199</v>
      </c>
    </row>
    <row r="9" spans="1:26" s="6" customFormat="1" x14ac:dyDescent="0.35">
      <c r="A9" s="6" t="s">
        <v>25</v>
      </c>
      <c r="B9" s="7" t="s">
        <v>34</v>
      </c>
      <c r="D9" s="6" t="s">
        <v>35</v>
      </c>
      <c r="E9" s="6">
        <v>1</v>
      </c>
      <c r="F9" s="6">
        <v>1</v>
      </c>
      <c r="G9" s="6" t="s">
        <v>28</v>
      </c>
      <c r="I9" s="8">
        <v>85.144790624999999</v>
      </c>
      <c r="J9" s="8">
        <v>133.79209895833301</v>
      </c>
      <c r="K9" s="6" t="s">
        <v>29</v>
      </c>
      <c r="L9" s="6" t="s">
        <v>335</v>
      </c>
      <c r="M9" s="9">
        <v>43741</v>
      </c>
      <c r="O9" s="6">
        <v>1</v>
      </c>
      <c r="P9" s="6" t="s">
        <v>4242</v>
      </c>
      <c r="R9" s="10"/>
      <c r="S9" s="10">
        <v>82</v>
      </c>
      <c r="T9" s="10">
        <v>92</v>
      </c>
      <c r="U9" s="10">
        <f t="shared" si="0"/>
        <v>87</v>
      </c>
      <c r="W9" s="8">
        <v>-0.74133409360647184</v>
      </c>
      <c r="X9" s="8">
        <v>-5.9789396696090691</v>
      </c>
      <c r="Y9" s="8">
        <f t="shared" si="1"/>
        <v>-4.8266920757294329E-2</v>
      </c>
    </row>
    <row r="10" spans="1:26" s="6" customFormat="1" x14ac:dyDescent="0.35">
      <c r="A10" s="6" t="s">
        <v>25</v>
      </c>
      <c r="B10" s="7" t="s">
        <v>30</v>
      </c>
      <c r="D10" s="6" t="s">
        <v>31</v>
      </c>
      <c r="E10" s="6">
        <v>1</v>
      </c>
      <c r="F10" s="6">
        <v>1</v>
      </c>
      <c r="G10" s="6" t="s">
        <v>28</v>
      </c>
      <c r="I10" s="8">
        <v>85.144790624999999</v>
      </c>
      <c r="J10" s="8">
        <v>133.79209895833301</v>
      </c>
      <c r="K10" s="6" t="s">
        <v>29</v>
      </c>
      <c r="L10" s="6" t="s">
        <v>335</v>
      </c>
      <c r="M10" s="9">
        <v>43741</v>
      </c>
      <c r="O10" s="6">
        <v>1</v>
      </c>
      <c r="P10" s="6" t="s">
        <v>4242</v>
      </c>
      <c r="R10" s="10"/>
      <c r="S10" s="10">
        <v>92</v>
      </c>
      <c r="T10" s="10">
        <v>99</v>
      </c>
      <c r="U10" s="10">
        <f t="shared" si="0"/>
        <v>95.5</v>
      </c>
      <c r="W10" s="8">
        <v>0.26641544595360794</v>
      </c>
      <c r="X10" s="8">
        <v>3.0036548447608951</v>
      </c>
      <c r="Y10" s="8">
        <f t="shared" si="1"/>
        <v>0.87233127713203151</v>
      </c>
    </row>
    <row r="11" spans="1:26" s="6" customFormat="1" x14ac:dyDescent="0.35">
      <c r="A11" s="6" t="s">
        <v>25</v>
      </c>
      <c r="B11" s="7"/>
      <c r="D11" s="6" t="s">
        <v>46</v>
      </c>
      <c r="E11" s="6">
        <v>1</v>
      </c>
      <c r="F11" s="6">
        <v>1</v>
      </c>
      <c r="G11" s="6" t="s">
        <v>28</v>
      </c>
      <c r="I11" s="8">
        <v>85.099701597222193</v>
      </c>
      <c r="J11" s="8">
        <v>133.789371527778</v>
      </c>
      <c r="K11" s="6" t="s">
        <v>29</v>
      </c>
      <c r="L11" s="6" t="s">
        <v>335</v>
      </c>
      <c r="M11" s="9">
        <v>43743</v>
      </c>
      <c r="O11" s="6">
        <v>1</v>
      </c>
      <c r="P11" s="6" t="s">
        <v>4243</v>
      </c>
      <c r="S11" s="6">
        <v>0</v>
      </c>
      <c r="T11" s="6">
        <v>10</v>
      </c>
      <c r="U11" s="10">
        <f t="shared" si="0"/>
        <v>5</v>
      </c>
      <c r="W11" s="8">
        <v>-5.0546222634887705</v>
      </c>
      <c r="X11" s="8">
        <v>-39.570289764404293</v>
      </c>
      <c r="Y11" s="8">
        <f t="shared" si="1"/>
        <v>0.86668834350587076</v>
      </c>
    </row>
    <row r="12" spans="1:26" s="6" customFormat="1" x14ac:dyDescent="0.35">
      <c r="A12" s="6" t="s">
        <v>25</v>
      </c>
      <c r="B12" s="7"/>
      <c r="D12" s="6" t="s">
        <v>47</v>
      </c>
      <c r="E12" s="6">
        <v>1</v>
      </c>
      <c r="F12" s="6">
        <v>1</v>
      </c>
      <c r="G12" s="6" t="s">
        <v>28</v>
      </c>
      <c r="I12" s="8">
        <v>85.099701597222193</v>
      </c>
      <c r="J12" s="8">
        <v>133.789371527778</v>
      </c>
      <c r="K12" s="6" t="s">
        <v>29</v>
      </c>
      <c r="L12" s="6" t="s">
        <v>335</v>
      </c>
      <c r="M12" s="9">
        <v>43743</v>
      </c>
      <c r="O12" s="6">
        <v>1</v>
      </c>
      <c r="P12" s="6" t="s">
        <v>4243</v>
      </c>
      <c r="S12" s="6">
        <v>0</v>
      </c>
      <c r="T12" s="6">
        <v>10</v>
      </c>
      <c r="U12" s="10">
        <f t="shared" si="0"/>
        <v>5</v>
      </c>
      <c r="W12" s="8">
        <v>-4.3573673616027833</v>
      </c>
      <c r="X12" s="8">
        <v>-33.25143970489502</v>
      </c>
      <c r="Y12" s="8">
        <f t="shared" si="1"/>
        <v>1.607499187927246</v>
      </c>
    </row>
    <row r="13" spans="1:26" s="6" customFormat="1" x14ac:dyDescent="0.35">
      <c r="A13" s="6" t="s">
        <v>25</v>
      </c>
      <c r="B13" s="6" t="s">
        <v>48</v>
      </c>
      <c r="D13" s="6" t="s">
        <v>49</v>
      </c>
      <c r="E13" s="6">
        <v>1</v>
      </c>
      <c r="F13" s="6">
        <v>1</v>
      </c>
      <c r="G13" s="6" t="s">
        <v>50</v>
      </c>
      <c r="I13" s="8">
        <v>84.908087777777794</v>
      </c>
      <c r="J13" s="8">
        <v>135.908380208333</v>
      </c>
      <c r="K13" s="6" t="s">
        <v>29</v>
      </c>
      <c r="L13" s="6" t="s">
        <v>335</v>
      </c>
      <c r="M13" s="9">
        <v>43747</v>
      </c>
      <c r="O13" s="6">
        <v>2</v>
      </c>
      <c r="P13" s="6" t="s">
        <v>4244</v>
      </c>
      <c r="R13" s="6">
        <v>0</v>
      </c>
      <c r="S13" s="6">
        <v>0</v>
      </c>
      <c r="T13" s="6">
        <v>10</v>
      </c>
      <c r="U13" s="10">
        <f t="shared" si="0"/>
        <v>5</v>
      </c>
      <c r="W13" s="8">
        <v>-5.0611176494280494</v>
      </c>
      <c r="X13" s="8">
        <v>-39.810881086985269</v>
      </c>
      <c r="Y13" s="8">
        <f t="shared" si="1"/>
        <v>0.67806010843912645</v>
      </c>
    </row>
    <row r="14" spans="1:26" s="6" customFormat="1" x14ac:dyDescent="0.35">
      <c r="A14" s="6" t="s">
        <v>25</v>
      </c>
      <c r="B14" s="7"/>
      <c r="D14" s="6" t="s">
        <v>56</v>
      </c>
      <c r="E14" s="6">
        <v>1</v>
      </c>
      <c r="F14" s="6">
        <v>1</v>
      </c>
      <c r="G14" s="6" t="s">
        <v>57</v>
      </c>
      <c r="I14" s="8">
        <v>84.908087777777794</v>
      </c>
      <c r="J14" s="8">
        <v>135.908380208333</v>
      </c>
      <c r="K14" s="6" t="s">
        <v>29</v>
      </c>
      <c r="L14" s="6" t="s">
        <v>335</v>
      </c>
      <c r="M14" s="9">
        <v>43747</v>
      </c>
      <c r="O14" s="6">
        <v>2</v>
      </c>
      <c r="P14" s="6" t="s">
        <v>4244</v>
      </c>
      <c r="S14" s="6">
        <v>0</v>
      </c>
      <c r="T14" s="6">
        <v>10</v>
      </c>
      <c r="U14" s="10">
        <f t="shared" si="0"/>
        <v>5</v>
      </c>
      <c r="W14" s="8">
        <v>-4.673436317100526</v>
      </c>
      <c r="X14" s="8">
        <v>-36.002122789382938</v>
      </c>
      <c r="Y14" s="8">
        <f t="shared" si="1"/>
        <v>1.3853677474212702</v>
      </c>
    </row>
    <row r="15" spans="1:26" s="6" customFormat="1" x14ac:dyDescent="0.35">
      <c r="A15" s="6" t="s">
        <v>25</v>
      </c>
      <c r="B15" s="6" t="s">
        <v>51</v>
      </c>
      <c r="D15" s="6" t="s">
        <v>49</v>
      </c>
      <c r="E15" s="6">
        <v>1</v>
      </c>
      <c r="F15" s="6">
        <v>1</v>
      </c>
      <c r="G15" s="6" t="s">
        <v>50</v>
      </c>
      <c r="I15" s="8">
        <v>84.908087777777794</v>
      </c>
      <c r="J15" s="8">
        <v>135.908380208333</v>
      </c>
      <c r="K15" s="6" t="s">
        <v>29</v>
      </c>
      <c r="L15" s="6" t="s">
        <v>335</v>
      </c>
      <c r="M15" s="9">
        <v>43747</v>
      </c>
      <c r="O15" s="6">
        <v>2</v>
      </c>
      <c r="P15" s="6" t="s">
        <v>4244</v>
      </c>
      <c r="R15" s="6">
        <v>10</v>
      </c>
      <c r="S15" s="6">
        <v>10</v>
      </c>
      <c r="T15" s="6">
        <v>20</v>
      </c>
      <c r="U15" s="10">
        <f t="shared" si="0"/>
        <v>15</v>
      </c>
      <c r="W15" s="8">
        <v>-3.4949455609798434</v>
      </c>
      <c r="X15" s="8">
        <v>-26.491822105407714</v>
      </c>
      <c r="Y15" s="8">
        <f t="shared" si="1"/>
        <v>1.4677423824310338</v>
      </c>
    </row>
    <row r="16" spans="1:26" s="6" customFormat="1" x14ac:dyDescent="0.35">
      <c r="A16" s="6" t="s">
        <v>25</v>
      </c>
      <c r="B16" s="6" t="s">
        <v>52</v>
      </c>
      <c r="D16" s="6" t="s">
        <v>49</v>
      </c>
      <c r="E16" s="6">
        <v>1</v>
      </c>
      <c r="F16" s="6">
        <v>1</v>
      </c>
      <c r="G16" s="6" t="s">
        <v>50</v>
      </c>
      <c r="I16" s="8">
        <v>84.908087777777794</v>
      </c>
      <c r="J16" s="8">
        <v>135.908380208333</v>
      </c>
      <c r="K16" s="6" t="s">
        <v>29</v>
      </c>
      <c r="L16" s="6" t="s">
        <v>335</v>
      </c>
      <c r="M16" s="9">
        <v>43747</v>
      </c>
      <c r="O16" s="6">
        <v>2</v>
      </c>
      <c r="P16" s="6" t="s">
        <v>4244</v>
      </c>
      <c r="R16" s="6">
        <v>20</v>
      </c>
      <c r="S16" s="6">
        <v>20</v>
      </c>
      <c r="T16" s="6">
        <v>30</v>
      </c>
      <c r="U16" s="10">
        <f t="shared" si="0"/>
        <v>25</v>
      </c>
      <c r="W16" s="8">
        <v>-0.47649671385884274</v>
      </c>
      <c r="X16" s="8">
        <v>-2.9242799670219419</v>
      </c>
      <c r="Y16" s="8">
        <f t="shared" si="1"/>
        <v>0.88769374384879995</v>
      </c>
    </row>
    <row r="17" spans="1:25" s="6" customFormat="1" x14ac:dyDescent="0.35">
      <c r="A17" s="6" t="s">
        <v>25</v>
      </c>
      <c r="B17" s="6" t="s">
        <v>53</v>
      </c>
      <c r="D17" s="6" t="s">
        <v>49</v>
      </c>
      <c r="E17" s="6">
        <v>1</v>
      </c>
      <c r="F17" s="6">
        <v>1</v>
      </c>
      <c r="G17" s="6" t="s">
        <v>50</v>
      </c>
      <c r="I17" s="8">
        <v>84.908087777777794</v>
      </c>
      <c r="J17" s="8">
        <v>135.908380208333</v>
      </c>
      <c r="K17" s="6" t="s">
        <v>29</v>
      </c>
      <c r="L17" s="6" t="s">
        <v>335</v>
      </c>
      <c r="M17" s="9">
        <v>43747</v>
      </c>
      <c r="O17" s="6">
        <v>2</v>
      </c>
      <c r="P17" s="6" t="s">
        <v>4244</v>
      </c>
      <c r="R17" s="6">
        <v>30</v>
      </c>
      <c r="S17" s="6">
        <v>30</v>
      </c>
      <c r="T17" s="6">
        <v>40</v>
      </c>
      <c r="U17" s="10">
        <f t="shared" si="0"/>
        <v>35</v>
      </c>
      <c r="W17" s="8">
        <v>-0.44330404427945613</v>
      </c>
      <c r="X17" s="8">
        <v>-1.382868501663209</v>
      </c>
      <c r="Y17" s="8">
        <f t="shared" si="1"/>
        <v>2.1635638525724401</v>
      </c>
    </row>
    <row r="18" spans="1:25" s="6" customFormat="1" x14ac:dyDescent="0.35">
      <c r="A18" s="6" t="s">
        <v>25</v>
      </c>
      <c r="B18" s="6" t="s">
        <v>54</v>
      </c>
      <c r="D18" s="6" t="s">
        <v>49</v>
      </c>
      <c r="E18" s="6">
        <v>1</v>
      </c>
      <c r="F18" s="6">
        <v>1</v>
      </c>
      <c r="G18" s="6" t="s">
        <v>50</v>
      </c>
      <c r="I18" s="8">
        <v>84.908087777777794</v>
      </c>
      <c r="J18" s="8">
        <v>135.908380208333</v>
      </c>
      <c r="K18" s="6" t="s">
        <v>29</v>
      </c>
      <c r="L18" s="6" t="s">
        <v>335</v>
      </c>
      <c r="M18" s="9">
        <v>43747</v>
      </c>
      <c r="O18" s="6">
        <v>2</v>
      </c>
      <c r="P18" s="6" t="s">
        <v>4244</v>
      </c>
      <c r="R18" s="6">
        <v>40</v>
      </c>
      <c r="S18" s="6">
        <v>40</v>
      </c>
      <c r="T18" s="6">
        <v>50.5</v>
      </c>
      <c r="U18" s="10">
        <f t="shared" si="0"/>
        <v>45.25</v>
      </c>
      <c r="W18" s="8">
        <v>0.43791376897394663</v>
      </c>
      <c r="X18" s="8">
        <v>3.3449619412422176</v>
      </c>
      <c r="Y18" s="8">
        <f t="shared" si="1"/>
        <v>-0.15834821054935544</v>
      </c>
    </row>
    <row r="19" spans="1:25" s="6" customFormat="1" x14ac:dyDescent="0.35">
      <c r="A19" s="6" t="s">
        <v>25</v>
      </c>
      <c r="B19" s="6" t="s">
        <v>55</v>
      </c>
      <c r="D19" s="6" t="s">
        <v>49</v>
      </c>
      <c r="E19" s="6">
        <v>1</v>
      </c>
      <c r="F19" s="6">
        <v>1</v>
      </c>
      <c r="G19" s="6" t="s">
        <v>50</v>
      </c>
      <c r="I19" s="8">
        <v>84.908087777777794</v>
      </c>
      <c r="J19" s="8">
        <v>135.908380208333</v>
      </c>
      <c r="K19" s="6" t="s">
        <v>29</v>
      </c>
      <c r="L19" s="6" t="s">
        <v>335</v>
      </c>
      <c r="M19" s="9">
        <v>43747</v>
      </c>
      <c r="O19" s="6">
        <v>2</v>
      </c>
      <c r="P19" s="6" t="s">
        <v>4244</v>
      </c>
      <c r="R19" s="6">
        <v>50.5</v>
      </c>
      <c r="S19" s="6">
        <v>50.5</v>
      </c>
      <c r="T19" s="6">
        <v>61</v>
      </c>
      <c r="U19" s="10">
        <f t="shared" si="0"/>
        <v>55.75</v>
      </c>
      <c r="W19" s="8">
        <v>1.0000119287490845</v>
      </c>
      <c r="X19" s="8">
        <v>7.5923291271209719</v>
      </c>
      <c r="Y19" s="8">
        <f t="shared" si="1"/>
        <v>-0.40776630287170423</v>
      </c>
    </row>
    <row r="20" spans="1:25" s="6" customFormat="1" x14ac:dyDescent="0.35">
      <c r="A20" s="6" t="s">
        <v>25</v>
      </c>
      <c r="B20" s="6" t="s">
        <v>61</v>
      </c>
      <c r="C20" s="6">
        <v>510035</v>
      </c>
      <c r="D20" s="6" t="s">
        <v>62</v>
      </c>
      <c r="E20" s="6">
        <v>1</v>
      </c>
      <c r="F20" s="6">
        <v>2</v>
      </c>
      <c r="G20" s="6" t="s">
        <v>63</v>
      </c>
      <c r="I20" s="8">
        <v>84.770107638888902</v>
      </c>
      <c r="J20" s="8">
        <v>134.47681993055599</v>
      </c>
      <c r="K20" s="6" t="s">
        <v>29</v>
      </c>
      <c r="L20" s="6" t="s">
        <v>335</v>
      </c>
      <c r="M20" s="9">
        <v>43752</v>
      </c>
      <c r="O20" s="6">
        <v>3</v>
      </c>
      <c r="P20" s="6" t="s">
        <v>4246</v>
      </c>
      <c r="R20" s="6" t="s">
        <v>64</v>
      </c>
      <c r="S20" s="6">
        <v>0</v>
      </c>
      <c r="T20" s="6">
        <v>10</v>
      </c>
      <c r="U20" s="10">
        <f t="shared" si="0"/>
        <v>5</v>
      </c>
      <c r="V20" s="6">
        <v>6.2</v>
      </c>
      <c r="W20" s="8">
        <v>0.36466421204805399</v>
      </c>
      <c r="X20" s="8">
        <v>5.4302038135528568</v>
      </c>
      <c r="Y20" s="8">
        <f t="shared" si="1"/>
        <v>2.5128901171684248</v>
      </c>
    </row>
    <row r="21" spans="1:25" s="6" customFormat="1" x14ac:dyDescent="0.35">
      <c r="A21" s="6" t="s">
        <v>25</v>
      </c>
      <c r="B21" s="6" t="s">
        <v>91</v>
      </c>
      <c r="C21" s="6">
        <v>510057</v>
      </c>
      <c r="D21" s="6" t="s">
        <v>92</v>
      </c>
      <c r="E21" s="6">
        <v>1</v>
      </c>
      <c r="F21" s="6">
        <v>2</v>
      </c>
      <c r="G21" s="6" t="s">
        <v>63</v>
      </c>
      <c r="I21" s="8">
        <v>84.770107638888902</v>
      </c>
      <c r="J21" s="8">
        <v>134.47681993055599</v>
      </c>
      <c r="K21" s="6" t="s">
        <v>29</v>
      </c>
      <c r="L21" s="6" t="s">
        <v>335</v>
      </c>
      <c r="M21" s="9">
        <v>43752</v>
      </c>
      <c r="O21" s="6">
        <v>3</v>
      </c>
      <c r="P21" s="6" t="s">
        <v>4246</v>
      </c>
      <c r="R21" s="6" t="s">
        <v>64</v>
      </c>
      <c r="S21" s="6">
        <v>0</v>
      </c>
      <c r="T21" s="6">
        <v>10</v>
      </c>
      <c r="U21" s="10">
        <f t="shared" si="0"/>
        <v>5</v>
      </c>
      <c r="V21" s="6">
        <v>7</v>
      </c>
      <c r="W21" s="8">
        <v>-3.1577192207336431</v>
      </c>
      <c r="X21" s="8">
        <v>-24.152954673767088</v>
      </c>
      <c r="Y21" s="8">
        <f t="shared" si="1"/>
        <v>1.108799092102057</v>
      </c>
    </row>
    <row r="22" spans="1:25" s="6" customFormat="1" x14ac:dyDescent="0.35">
      <c r="A22" s="6" t="s">
        <v>25</v>
      </c>
      <c r="B22" s="6" t="s">
        <v>71</v>
      </c>
      <c r="C22" s="6">
        <v>510039</v>
      </c>
      <c r="D22" s="6" t="s">
        <v>72</v>
      </c>
      <c r="E22" s="6">
        <v>1</v>
      </c>
      <c r="F22" s="6">
        <v>2</v>
      </c>
      <c r="G22" s="6" t="s">
        <v>63</v>
      </c>
      <c r="I22" s="8">
        <v>84.770107638888902</v>
      </c>
      <c r="J22" s="8">
        <v>134.47681993055599</v>
      </c>
      <c r="K22" s="6" t="s">
        <v>29</v>
      </c>
      <c r="L22" s="6" t="s">
        <v>335</v>
      </c>
      <c r="M22" s="9">
        <v>43752</v>
      </c>
      <c r="O22" s="6">
        <v>3</v>
      </c>
      <c r="P22" s="6" t="s">
        <v>4246</v>
      </c>
      <c r="R22" s="6" t="s">
        <v>73</v>
      </c>
      <c r="S22" s="6">
        <v>0</v>
      </c>
      <c r="T22" s="6">
        <v>12</v>
      </c>
      <c r="U22" s="10">
        <f t="shared" si="0"/>
        <v>6</v>
      </c>
      <c r="V22" s="6">
        <v>6.8</v>
      </c>
      <c r="W22" s="8">
        <v>0.364278190255165</v>
      </c>
      <c r="X22" s="8">
        <v>3.0710392689704897</v>
      </c>
      <c r="Y22" s="8">
        <f t="shared" si="1"/>
        <v>0.15681374692916972</v>
      </c>
    </row>
    <row r="23" spans="1:25" s="6" customFormat="1" x14ac:dyDescent="0.35">
      <c r="A23" s="6" t="s">
        <v>25</v>
      </c>
      <c r="B23" s="6" t="s">
        <v>76</v>
      </c>
      <c r="C23" s="6">
        <v>510041</v>
      </c>
      <c r="D23" s="6" t="s">
        <v>77</v>
      </c>
      <c r="E23" s="6">
        <v>1</v>
      </c>
      <c r="F23" s="6">
        <v>2</v>
      </c>
      <c r="G23" s="6" t="s">
        <v>63</v>
      </c>
      <c r="I23" s="8">
        <v>84.770107638888902</v>
      </c>
      <c r="J23" s="8">
        <v>134.47681993055599</v>
      </c>
      <c r="K23" s="6" t="s">
        <v>29</v>
      </c>
      <c r="L23" s="6" t="s">
        <v>335</v>
      </c>
      <c r="M23" s="9">
        <v>43752</v>
      </c>
      <c r="O23" s="6">
        <v>3</v>
      </c>
      <c r="P23" s="6" t="s">
        <v>4246</v>
      </c>
      <c r="R23" s="6" t="s">
        <v>78</v>
      </c>
      <c r="S23" s="6">
        <v>0</v>
      </c>
      <c r="T23" s="6">
        <v>13.5</v>
      </c>
      <c r="U23" s="10">
        <f t="shared" si="0"/>
        <v>6.75</v>
      </c>
      <c r="V23" s="6">
        <v>0.1</v>
      </c>
      <c r="W23" s="8">
        <v>-1.8585682516098019</v>
      </c>
      <c r="X23" s="8">
        <v>-15.266206773757935</v>
      </c>
      <c r="Y23" s="8">
        <f t="shared" si="1"/>
        <v>-0.39766076087951951</v>
      </c>
    </row>
    <row r="24" spans="1:25" s="6" customFormat="1" x14ac:dyDescent="0.35">
      <c r="A24" s="6" t="s">
        <v>25</v>
      </c>
      <c r="B24" s="6" t="s">
        <v>65</v>
      </c>
      <c r="C24" s="6">
        <v>510036</v>
      </c>
      <c r="D24" s="6" t="s">
        <v>62</v>
      </c>
      <c r="E24" s="6">
        <v>1</v>
      </c>
      <c r="F24" s="6">
        <v>2</v>
      </c>
      <c r="G24" s="6" t="s">
        <v>63</v>
      </c>
      <c r="I24" s="8">
        <v>84.770107638888902</v>
      </c>
      <c r="J24" s="8">
        <v>134.47681993055599</v>
      </c>
      <c r="K24" s="6" t="s">
        <v>29</v>
      </c>
      <c r="L24" s="6" t="s">
        <v>335</v>
      </c>
      <c r="M24" s="9">
        <v>43752</v>
      </c>
      <c r="O24" s="6">
        <v>3</v>
      </c>
      <c r="P24" s="6" t="s">
        <v>4246</v>
      </c>
      <c r="R24" s="6" t="s">
        <v>66</v>
      </c>
      <c r="S24" s="6">
        <v>10</v>
      </c>
      <c r="T24" s="6">
        <v>20</v>
      </c>
      <c r="U24" s="10">
        <f t="shared" si="0"/>
        <v>15</v>
      </c>
      <c r="V24" s="6">
        <v>7.6</v>
      </c>
      <c r="W24" s="8">
        <v>0.15197142027318455</v>
      </c>
      <c r="X24" s="8">
        <v>2.0339510569572448</v>
      </c>
      <c r="Y24" s="8">
        <f t="shared" si="1"/>
        <v>0.81817969477176833</v>
      </c>
    </row>
    <row r="25" spans="1:25" s="6" customFormat="1" x14ac:dyDescent="0.35">
      <c r="A25" s="6" t="s">
        <v>25</v>
      </c>
      <c r="B25" s="6" t="s">
        <v>93</v>
      </c>
      <c r="C25" s="6">
        <v>510058</v>
      </c>
      <c r="D25" s="6" t="s">
        <v>92</v>
      </c>
      <c r="E25" s="6">
        <v>1</v>
      </c>
      <c r="F25" s="6">
        <v>2</v>
      </c>
      <c r="G25" s="6" t="s">
        <v>63</v>
      </c>
      <c r="I25" s="8">
        <v>84.770107638888902</v>
      </c>
      <c r="J25" s="8">
        <v>134.47681993055599</v>
      </c>
      <c r="K25" s="6" t="s">
        <v>29</v>
      </c>
      <c r="L25" s="6" t="s">
        <v>335</v>
      </c>
      <c r="M25" s="9">
        <v>43752</v>
      </c>
      <c r="O25" s="6">
        <v>3</v>
      </c>
      <c r="P25" s="6" t="s">
        <v>4246</v>
      </c>
      <c r="R25" s="6" t="s">
        <v>94</v>
      </c>
      <c r="S25" s="6">
        <v>10</v>
      </c>
      <c r="T25" s="6">
        <v>23</v>
      </c>
      <c r="U25" s="10">
        <f t="shared" si="0"/>
        <v>16.5</v>
      </c>
      <c r="V25" s="6">
        <v>6.4</v>
      </c>
      <c r="W25" s="8">
        <v>-0.25590915355682381</v>
      </c>
      <c r="X25" s="8">
        <v>-1.3738763601779942</v>
      </c>
      <c r="Y25" s="8">
        <f t="shared" si="1"/>
        <v>0.67339686827659628</v>
      </c>
    </row>
    <row r="26" spans="1:25" s="6" customFormat="1" x14ac:dyDescent="0.35">
      <c r="A26" s="6" t="s">
        <v>25</v>
      </c>
      <c r="B26" s="6" t="s">
        <v>74</v>
      </c>
      <c r="C26" s="6">
        <v>510040</v>
      </c>
      <c r="D26" s="6" t="s">
        <v>72</v>
      </c>
      <c r="E26" s="6">
        <v>1</v>
      </c>
      <c r="F26" s="6">
        <v>2</v>
      </c>
      <c r="G26" s="6" t="s">
        <v>63</v>
      </c>
      <c r="I26" s="8">
        <v>84.770107638888902</v>
      </c>
      <c r="J26" s="8">
        <v>134.47681993055599</v>
      </c>
      <c r="K26" s="6" t="s">
        <v>29</v>
      </c>
      <c r="L26" s="6" t="s">
        <v>335</v>
      </c>
      <c r="M26" s="9">
        <v>43752</v>
      </c>
      <c r="O26" s="6">
        <v>3</v>
      </c>
      <c r="P26" s="6" t="s">
        <v>4246</v>
      </c>
      <c r="R26" s="6" t="s">
        <v>75</v>
      </c>
      <c r="S26" s="6">
        <v>12</v>
      </c>
      <c r="T26" s="6">
        <v>24</v>
      </c>
      <c r="U26" s="10">
        <f t="shared" si="0"/>
        <v>18</v>
      </c>
      <c r="V26" s="6">
        <v>7.7</v>
      </c>
      <c r="W26" s="8">
        <v>0.89336090308427851</v>
      </c>
      <c r="X26" s="8">
        <v>7.4504221601486202</v>
      </c>
      <c r="Y26" s="8">
        <f t="shared" si="1"/>
        <v>0.30353493547439214</v>
      </c>
    </row>
    <row r="27" spans="1:25" s="6" customFormat="1" x14ac:dyDescent="0.35">
      <c r="A27" s="6" t="s">
        <v>25</v>
      </c>
      <c r="B27" s="6" t="s">
        <v>79</v>
      </c>
      <c r="C27" s="6">
        <v>510042</v>
      </c>
      <c r="D27" s="6" t="s">
        <v>77</v>
      </c>
      <c r="E27" s="6">
        <v>1</v>
      </c>
      <c r="F27" s="6">
        <v>2</v>
      </c>
      <c r="G27" s="6" t="s">
        <v>63</v>
      </c>
      <c r="I27" s="8">
        <v>84.770107638888902</v>
      </c>
      <c r="J27" s="8">
        <v>134.47681993055599</v>
      </c>
      <c r="K27" s="6" t="s">
        <v>29</v>
      </c>
      <c r="L27" s="6" t="s">
        <v>335</v>
      </c>
      <c r="M27" s="9">
        <v>43752</v>
      </c>
      <c r="O27" s="6">
        <v>3</v>
      </c>
      <c r="P27" s="6" t="s">
        <v>4246</v>
      </c>
      <c r="R27" s="6" t="s">
        <v>80</v>
      </c>
      <c r="S27" s="6">
        <v>13.5</v>
      </c>
      <c r="T27" s="6">
        <v>24</v>
      </c>
      <c r="U27" s="10">
        <f t="shared" si="0"/>
        <v>18.75</v>
      </c>
      <c r="V27" s="6">
        <v>0.1</v>
      </c>
      <c r="W27" s="8">
        <v>-2.2214837377071377</v>
      </c>
      <c r="X27" s="8">
        <v>-16.518616230010988</v>
      </c>
      <c r="Y27" s="8">
        <f t="shared" si="1"/>
        <v>1.2532536716461138</v>
      </c>
    </row>
    <row r="28" spans="1:25" s="6" customFormat="1" x14ac:dyDescent="0.35">
      <c r="A28" s="6" t="s">
        <v>25</v>
      </c>
      <c r="B28" s="6" t="s">
        <v>67</v>
      </c>
      <c r="C28" s="6">
        <v>510037</v>
      </c>
      <c r="D28" s="6" t="s">
        <v>62</v>
      </c>
      <c r="E28" s="6">
        <v>1</v>
      </c>
      <c r="F28" s="6">
        <v>2</v>
      </c>
      <c r="G28" s="6" t="s">
        <v>63</v>
      </c>
      <c r="I28" s="8">
        <v>84.770107638888902</v>
      </c>
      <c r="J28" s="8">
        <v>134.47681993055599</v>
      </c>
      <c r="K28" s="6" t="s">
        <v>29</v>
      </c>
      <c r="L28" s="6" t="s">
        <v>335</v>
      </c>
      <c r="M28" s="9">
        <v>43752</v>
      </c>
      <c r="O28" s="6">
        <v>3</v>
      </c>
      <c r="P28" s="6" t="s">
        <v>4246</v>
      </c>
      <c r="R28" s="6" t="s">
        <v>68</v>
      </c>
      <c r="S28" s="6">
        <v>20</v>
      </c>
      <c r="T28" s="6">
        <v>32</v>
      </c>
      <c r="U28" s="10">
        <f t="shared" si="0"/>
        <v>26</v>
      </c>
      <c r="V28" s="6">
        <v>6.5</v>
      </c>
      <c r="W28" s="8">
        <v>-0.58785051035881042</v>
      </c>
      <c r="X28" s="8">
        <v>-3.9343988332748414</v>
      </c>
      <c r="Y28" s="8">
        <f t="shared" si="1"/>
        <v>0.76840524959564194</v>
      </c>
    </row>
    <row r="29" spans="1:25" s="6" customFormat="1" x14ac:dyDescent="0.35">
      <c r="A29" s="6" t="s">
        <v>25</v>
      </c>
      <c r="B29" s="6" t="s">
        <v>95</v>
      </c>
      <c r="C29" s="6">
        <v>510059</v>
      </c>
      <c r="D29" s="6" t="s">
        <v>92</v>
      </c>
      <c r="E29" s="6">
        <v>1</v>
      </c>
      <c r="F29" s="6">
        <v>2</v>
      </c>
      <c r="G29" s="6" t="s">
        <v>63</v>
      </c>
      <c r="I29" s="8">
        <v>84.770107638888902</v>
      </c>
      <c r="J29" s="8">
        <v>134.47681993055599</v>
      </c>
      <c r="K29" s="6" t="s">
        <v>29</v>
      </c>
      <c r="L29" s="6" t="s">
        <v>335</v>
      </c>
      <c r="M29" s="9">
        <v>43752</v>
      </c>
      <c r="O29" s="6">
        <v>3</v>
      </c>
      <c r="P29" s="6" t="s">
        <v>4246</v>
      </c>
      <c r="R29" s="6" t="s">
        <v>96</v>
      </c>
      <c r="S29" s="6">
        <v>23</v>
      </c>
      <c r="T29" s="6">
        <v>33</v>
      </c>
      <c r="U29" s="10">
        <f t="shared" si="0"/>
        <v>28</v>
      </c>
      <c r="V29" s="6">
        <v>5.5</v>
      </c>
      <c r="W29" s="8">
        <v>-6.2115492439270364E-2</v>
      </c>
      <c r="X29" s="8">
        <v>-0.30956320410966892</v>
      </c>
      <c r="Y29" s="8">
        <f t="shared" si="1"/>
        <v>0.18736073540449399</v>
      </c>
    </row>
    <row r="30" spans="1:25" s="6" customFormat="1" x14ac:dyDescent="0.35">
      <c r="A30" s="6" t="s">
        <v>25</v>
      </c>
      <c r="B30" s="6" t="s">
        <v>81</v>
      </c>
      <c r="C30" s="6">
        <v>510043</v>
      </c>
      <c r="D30" s="6" t="s">
        <v>77</v>
      </c>
      <c r="E30" s="6">
        <v>1</v>
      </c>
      <c r="F30" s="6">
        <v>2</v>
      </c>
      <c r="G30" s="6" t="s">
        <v>63</v>
      </c>
      <c r="I30" s="8">
        <v>84.770107638888902</v>
      </c>
      <c r="J30" s="8">
        <v>134.47681993055599</v>
      </c>
      <c r="K30" s="6" t="s">
        <v>29</v>
      </c>
      <c r="L30" s="6" t="s">
        <v>335</v>
      </c>
      <c r="M30" s="9">
        <v>43752</v>
      </c>
      <c r="O30" s="6">
        <v>3</v>
      </c>
      <c r="P30" s="6" t="s">
        <v>4246</v>
      </c>
      <c r="R30" s="6" t="s">
        <v>82</v>
      </c>
      <c r="S30" s="6">
        <v>24</v>
      </c>
      <c r="T30" s="6">
        <v>34</v>
      </c>
      <c r="U30" s="10">
        <f t="shared" si="0"/>
        <v>29</v>
      </c>
      <c r="V30" s="6">
        <v>0</v>
      </c>
      <c r="W30" s="8">
        <v>-1.8651960931777956</v>
      </c>
      <c r="X30" s="8">
        <v>-14.498363297939299</v>
      </c>
      <c r="Y30" s="8">
        <f t="shared" si="1"/>
        <v>0.4232054474830651</v>
      </c>
    </row>
    <row r="31" spans="1:25" s="6" customFormat="1" x14ac:dyDescent="0.35">
      <c r="A31" s="6" t="s">
        <v>25</v>
      </c>
      <c r="B31" s="6" t="s">
        <v>69</v>
      </c>
      <c r="C31" s="6">
        <v>510038</v>
      </c>
      <c r="D31" s="6" t="s">
        <v>62</v>
      </c>
      <c r="E31" s="6">
        <v>1</v>
      </c>
      <c r="F31" s="6">
        <v>2</v>
      </c>
      <c r="G31" s="6" t="s">
        <v>63</v>
      </c>
      <c r="I31" s="8">
        <v>84.770107638888902</v>
      </c>
      <c r="J31" s="8">
        <v>134.47681993055599</v>
      </c>
      <c r="K31" s="6" t="s">
        <v>29</v>
      </c>
      <c r="L31" s="6" t="s">
        <v>335</v>
      </c>
      <c r="M31" s="9">
        <v>43752</v>
      </c>
      <c r="O31" s="6">
        <v>3</v>
      </c>
      <c r="P31" s="6" t="s">
        <v>4246</v>
      </c>
      <c r="R31" s="6" t="s">
        <v>70</v>
      </c>
      <c r="S31" s="6">
        <v>32</v>
      </c>
      <c r="T31" s="6">
        <v>43</v>
      </c>
      <c r="U31" s="10">
        <f t="shared" si="0"/>
        <v>37.5</v>
      </c>
      <c r="V31" s="6">
        <v>6.1</v>
      </c>
      <c r="W31" s="8">
        <v>-0.8322748823761944</v>
      </c>
      <c r="X31" s="8">
        <v>-5.6881000566482545</v>
      </c>
      <c r="Y31" s="8">
        <f t="shared" si="1"/>
        <v>0.97009900236130076</v>
      </c>
    </row>
    <row r="32" spans="1:25" s="6" customFormat="1" x14ac:dyDescent="0.35">
      <c r="A32" s="6" t="s">
        <v>25</v>
      </c>
      <c r="B32" s="6" t="s">
        <v>83</v>
      </c>
      <c r="C32" s="6">
        <v>510044</v>
      </c>
      <c r="D32" s="6" t="s">
        <v>77</v>
      </c>
      <c r="E32" s="6">
        <v>1</v>
      </c>
      <c r="F32" s="6">
        <v>2</v>
      </c>
      <c r="G32" s="6" t="s">
        <v>63</v>
      </c>
      <c r="I32" s="8">
        <v>84.770107638888902</v>
      </c>
      <c r="J32" s="8">
        <v>134.47681993055599</v>
      </c>
      <c r="K32" s="6" t="s">
        <v>29</v>
      </c>
      <c r="L32" s="6" t="s">
        <v>335</v>
      </c>
      <c r="M32" s="9">
        <v>43752</v>
      </c>
      <c r="O32" s="6">
        <v>3</v>
      </c>
      <c r="P32" s="6" t="s">
        <v>4246</v>
      </c>
      <c r="R32" s="6" t="s">
        <v>84</v>
      </c>
      <c r="S32" s="6">
        <v>34</v>
      </c>
      <c r="T32" s="6">
        <v>42</v>
      </c>
      <c r="U32" s="10">
        <f t="shared" si="0"/>
        <v>38</v>
      </c>
      <c r="V32" s="6">
        <v>0.9</v>
      </c>
      <c r="W32" s="8">
        <v>-1.5344789577484133</v>
      </c>
      <c r="X32" s="8">
        <v>-11.683573079586028</v>
      </c>
      <c r="Y32" s="8">
        <f t="shared" si="1"/>
        <v>0.59225858240127849</v>
      </c>
    </row>
    <row r="33" spans="1:25" s="6" customFormat="1" x14ac:dyDescent="0.35">
      <c r="A33" s="6" t="s">
        <v>25</v>
      </c>
      <c r="B33" s="6" t="s">
        <v>97</v>
      </c>
      <c r="C33" s="6">
        <v>510060</v>
      </c>
      <c r="D33" s="6" t="s">
        <v>92</v>
      </c>
      <c r="E33" s="6">
        <v>1</v>
      </c>
      <c r="F33" s="6">
        <v>2</v>
      </c>
      <c r="G33" s="6" t="s">
        <v>63</v>
      </c>
      <c r="I33" s="8">
        <v>84.770107638888902</v>
      </c>
      <c r="J33" s="8">
        <v>134.47681993055599</v>
      </c>
      <c r="K33" s="6" t="s">
        <v>29</v>
      </c>
      <c r="L33" s="6" t="s">
        <v>335</v>
      </c>
      <c r="M33" s="9">
        <v>43752</v>
      </c>
      <c r="O33" s="6">
        <v>3</v>
      </c>
      <c r="P33" s="6" t="s">
        <v>4246</v>
      </c>
      <c r="R33" s="6" t="s">
        <v>98</v>
      </c>
      <c r="S33" s="6">
        <v>33</v>
      </c>
      <c r="T33" s="6">
        <v>43</v>
      </c>
      <c r="U33" s="10">
        <f t="shared" si="0"/>
        <v>38</v>
      </c>
      <c r="V33" s="6">
        <v>3.5</v>
      </c>
      <c r="W33" s="8">
        <v>-0.14696355257034291</v>
      </c>
      <c r="X33" s="8">
        <v>-2.1757127945423123</v>
      </c>
      <c r="Y33" s="8">
        <f t="shared" si="1"/>
        <v>-1.000004373979569</v>
      </c>
    </row>
    <row r="34" spans="1:25" s="6" customFormat="1" x14ac:dyDescent="0.35">
      <c r="A34" s="6" t="s">
        <v>25</v>
      </c>
      <c r="B34" s="6" t="s">
        <v>85</v>
      </c>
      <c r="C34" s="6">
        <v>510045</v>
      </c>
      <c r="D34" s="6" t="s">
        <v>77</v>
      </c>
      <c r="E34" s="6">
        <v>1</v>
      </c>
      <c r="F34" s="6">
        <v>2</v>
      </c>
      <c r="G34" s="6" t="s">
        <v>63</v>
      </c>
      <c r="I34" s="8">
        <v>84.770107638888902</v>
      </c>
      <c r="J34" s="8">
        <v>134.47681993055599</v>
      </c>
      <c r="K34" s="6" t="s">
        <v>29</v>
      </c>
      <c r="L34" s="6" t="s">
        <v>335</v>
      </c>
      <c r="M34" s="9">
        <v>43752</v>
      </c>
      <c r="O34" s="6">
        <v>3</v>
      </c>
      <c r="P34" s="6" t="s">
        <v>4246</v>
      </c>
      <c r="R34" s="6" t="s">
        <v>86</v>
      </c>
      <c r="S34" s="6">
        <v>42</v>
      </c>
      <c r="T34" s="6">
        <v>53</v>
      </c>
      <c r="U34" s="10">
        <f t="shared" si="0"/>
        <v>47.5</v>
      </c>
      <c r="V34" s="6">
        <v>2.1</v>
      </c>
      <c r="W34" s="8">
        <v>-1.1124152589797971</v>
      </c>
      <c r="X34" s="8">
        <v>-8.1175827500820148</v>
      </c>
      <c r="Y34" s="8">
        <f t="shared" si="1"/>
        <v>0.78173932175636196</v>
      </c>
    </row>
    <row r="35" spans="1:25" s="6" customFormat="1" x14ac:dyDescent="0.35">
      <c r="A35" s="6" t="s">
        <v>25</v>
      </c>
      <c r="B35" s="6" t="s">
        <v>99</v>
      </c>
      <c r="C35" s="6">
        <v>510061</v>
      </c>
      <c r="D35" s="6" t="s">
        <v>92</v>
      </c>
      <c r="E35" s="6">
        <v>1</v>
      </c>
      <c r="F35" s="6">
        <v>2</v>
      </c>
      <c r="G35" s="6" t="s">
        <v>63</v>
      </c>
      <c r="I35" s="8">
        <v>84.770107638888902</v>
      </c>
      <c r="J35" s="8">
        <v>134.47681993055599</v>
      </c>
      <c r="K35" s="6" t="s">
        <v>29</v>
      </c>
      <c r="L35" s="6" t="s">
        <v>335</v>
      </c>
      <c r="M35" s="9">
        <v>43752</v>
      </c>
      <c r="O35" s="6">
        <v>3</v>
      </c>
      <c r="P35" s="6" t="s">
        <v>4246</v>
      </c>
      <c r="R35" s="6" t="s">
        <v>100</v>
      </c>
      <c r="S35" s="6">
        <v>43</v>
      </c>
      <c r="T35" s="6">
        <v>53</v>
      </c>
      <c r="U35" s="10">
        <f t="shared" si="0"/>
        <v>48</v>
      </c>
      <c r="V35" s="6">
        <v>3</v>
      </c>
      <c r="W35" s="8">
        <v>-0.9357251134872433</v>
      </c>
      <c r="X35" s="8">
        <v>-7.564944044113159</v>
      </c>
      <c r="Y35" s="8">
        <f t="shared" si="1"/>
        <v>-7.9143136215212628E-2</v>
      </c>
    </row>
    <row r="36" spans="1:25" s="6" customFormat="1" x14ac:dyDescent="0.35">
      <c r="A36" s="6" t="s">
        <v>25</v>
      </c>
      <c r="B36" s="6" t="s">
        <v>101</v>
      </c>
      <c r="C36" s="6">
        <v>510062</v>
      </c>
      <c r="D36" s="6" t="s">
        <v>92</v>
      </c>
      <c r="E36" s="6">
        <v>1</v>
      </c>
      <c r="F36" s="6">
        <v>2</v>
      </c>
      <c r="G36" s="6" t="s">
        <v>63</v>
      </c>
      <c r="I36" s="8">
        <v>84.770107638888902</v>
      </c>
      <c r="J36" s="8">
        <v>134.47681993055599</v>
      </c>
      <c r="K36" s="6" t="s">
        <v>29</v>
      </c>
      <c r="L36" s="6" t="s">
        <v>335</v>
      </c>
      <c r="M36" s="9">
        <v>43752</v>
      </c>
      <c r="O36" s="6">
        <v>3</v>
      </c>
      <c r="P36" s="6" t="s">
        <v>4246</v>
      </c>
      <c r="R36" s="6" t="s">
        <v>102</v>
      </c>
      <c r="S36" s="6">
        <v>53</v>
      </c>
      <c r="T36" s="6">
        <v>60</v>
      </c>
      <c r="U36" s="10">
        <f t="shared" si="0"/>
        <v>56.5</v>
      </c>
      <c r="V36" s="6">
        <v>3.1</v>
      </c>
      <c r="W36" s="8">
        <v>-1.328217908477783</v>
      </c>
      <c r="X36" s="8">
        <v>-10.759495302200317</v>
      </c>
      <c r="Y36" s="8">
        <f t="shared" si="1"/>
        <v>-0.13375203437805361</v>
      </c>
    </row>
    <row r="37" spans="1:25" s="6" customFormat="1" x14ac:dyDescent="0.35">
      <c r="A37" s="6" t="s">
        <v>25</v>
      </c>
      <c r="B37" s="6" t="s">
        <v>87</v>
      </c>
      <c r="C37" s="6">
        <v>510046</v>
      </c>
      <c r="D37" s="6" t="s">
        <v>77</v>
      </c>
      <c r="E37" s="6">
        <v>1</v>
      </c>
      <c r="F37" s="6">
        <v>2</v>
      </c>
      <c r="G37" s="6" t="s">
        <v>63</v>
      </c>
      <c r="I37" s="8">
        <v>84.770107638888902</v>
      </c>
      <c r="J37" s="8">
        <v>134.47681993055599</v>
      </c>
      <c r="K37" s="6" t="s">
        <v>29</v>
      </c>
      <c r="L37" s="6" t="s">
        <v>335</v>
      </c>
      <c r="M37" s="9">
        <v>43752</v>
      </c>
      <c r="O37" s="6">
        <v>3</v>
      </c>
      <c r="P37" s="6" t="s">
        <v>4246</v>
      </c>
      <c r="R37" s="6" t="s">
        <v>88</v>
      </c>
      <c r="S37" s="6">
        <v>53</v>
      </c>
      <c r="T37" s="6">
        <v>63</v>
      </c>
      <c r="U37" s="10">
        <f t="shared" si="0"/>
        <v>58</v>
      </c>
      <c r="V37" s="6">
        <v>1.5</v>
      </c>
      <c r="W37" s="8">
        <v>0.3263284114837649</v>
      </c>
      <c r="X37" s="8">
        <v>3.0676955606937408</v>
      </c>
      <c r="Y37" s="8">
        <f t="shared" si="1"/>
        <v>0.45706826882362162</v>
      </c>
    </row>
    <row r="38" spans="1:25" s="6" customFormat="1" x14ac:dyDescent="0.35">
      <c r="A38" s="6" t="s">
        <v>25</v>
      </c>
      <c r="B38" s="6" t="s">
        <v>103</v>
      </c>
      <c r="C38" s="6">
        <v>510063</v>
      </c>
      <c r="D38" s="6" t="s">
        <v>92</v>
      </c>
      <c r="E38" s="6">
        <v>1</v>
      </c>
      <c r="F38" s="6">
        <v>2</v>
      </c>
      <c r="G38" s="6" t="s">
        <v>63</v>
      </c>
      <c r="I38" s="8">
        <v>84.770107638888902</v>
      </c>
      <c r="J38" s="8">
        <v>134.47681993055599</v>
      </c>
      <c r="K38" s="6" t="s">
        <v>29</v>
      </c>
      <c r="L38" s="6" t="s">
        <v>335</v>
      </c>
      <c r="M38" s="9">
        <v>43752</v>
      </c>
      <c r="O38" s="6">
        <v>3</v>
      </c>
      <c r="P38" s="6" t="s">
        <v>4246</v>
      </c>
      <c r="R38" s="6" t="s">
        <v>104</v>
      </c>
      <c r="S38" s="6">
        <v>60</v>
      </c>
      <c r="T38" s="6">
        <v>69</v>
      </c>
      <c r="U38" s="10">
        <f t="shared" si="0"/>
        <v>64.5</v>
      </c>
      <c r="V38" s="6">
        <v>3.6</v>
      </c>
      <c r="W38" s="8">
        <v>-1.0762204319000246</v>
      </c>
      <c r="X38" s="8">
        <v>-8.4372869844436647</v>
      </c>
      <c r="Y38" s="8">
        <f t="shared" si="1"/>
        <v>0.17247647075653205</v>
      </c>
    </row>
    <row r="39" spans="1:25" s="6" customFormat="1" x14ac:dyDescent="0.35">
      <c r="A39" s="6" t="s">
        <v>25</v>
      </c>
      <c r="B39" s="6" t="s">
        <v>89</v>
      </c>
      <c r="C39" s="6">
        <v>510047</v>
      </c>
      <c r="D39" s="6" t="s">
        <v>77</v>
      </c>
      <c r="E39" s="6">
        <v>1</v>
      </c>
      <c r="F39" s="6">
        <v>2</v>
      </c>
      <c r="G39" s="6" t="s">
        <v>63</v>
      </c>
      <c r="I39" s="8">
        <v>84.770107638888902</v>
      </c>
      <c r="J39" s="8">
        <v>134.47681993055599</v>
      </c>
      <c r="K39" s="6" t="s">
        <v>29</v>
      </c>
      <c r="L39" s="6" t="s">
        <v>335</v>
      </c>
      <c r="M39" s="9">
        <v>43752</v>
      </c>
      <c r="O39" s="6">
        <v>3</v>
      </c>
      <c r="P39" s="6" t="s">
        <v>4246</v>
      </c>
      <c r="R39" s="6" t="s">
        <v>90</v>
      </c>
      <c r="S39" s="6">
        <v>63</v>
      </c>
      <c r="T39" s="6">
        <v>78</v>
      </c>
      <c r="U39" s="10">
        <f t="shared" si="0"/>
        <v>70.5</v>
      </c>
      <c r="V39" s="6">
        <v>3.6</v>
      </c>
      <c r="W39" s="8">
        <v>0.455266756439209</v>
      </c>
      <c r="X39" s="8">
        <v>3.5428511476516724</v>
      </c>
      <c r="Y39" s="8">
        <f t="shared" si="1"/>
        <v>-9.9282903861999561E-2</v>
      </c>
    </row>
    <row r="40" spans="1:25" s="6" customFormat="1" x14ac:dyDescent="0.35">
      <c r="A40" s="6" t="s">
        <v>25</v>
      </c>
      <c r="B40" s="6" t="s">
        <v>105</v>
      </c>
      <c r="C40" s="6">
        <v>510085</v>
      </c>
      <c r="D40" s="6" t="s">
        <v>106</v>
      </c>
      <c r="E40" s="6">
        <v>1</v>
      </c>
      <c r="F40" s="6">
        <v>2</v>
      </c>
      <c r="G40" s="6" t="s">
        <v>107</v>
      </c>
      <c r="I40" s="8">
        <v>84.8243581944444</v>
      </c>
      <c r="J40" s="8">
        <v>133.1380825</v>
      </c>
      <c r="K40" s="6" t="s">
        <v>29</v>
      </c>
      <c r="L40" s="6" t="s">
        <v>335</v>
      </c>
      <c r="M40" s="9">
        <v>43756</v>
      </c>
      <c r="O40" s="6">
        <v>3</v>
      </c>
      <c r="P40" s="6" t="s">
        <v>4247</v>
      </c>
      <c r="R40" s="6" t="s">
        <v>64</v>
      </c>
      <c r="S40" s="6">
        <v>0</v>
      </c>
      <c r="T40" s="6">
        <v>10</v>
      </c>
      <c r="U40" s="10">
        <f t="shared" si="0"/>
        <v>5</v>
      </c>
      <c r="V40" s="6">
        <v>8.6</v>
      </c>
      <c r="W40" s="8">
        <v>-2.7498560806274415</v>
      </c>
      <c r="X40" s="8">
        <v>-21.58897963142395</v>
      </c>
      <c r="Y40" s="8">
        <f t="shared" si="1"/>
        <v>0.40986901359558203</v>
      </c>
    </row>
    <row r="41" spans="1:25" s="6" customFormat="1" x14ac:dyDescent="0.35">
      <c r="A41" s="6" t="s">
        <v>25</v>
      </c>
      <c r="B41" s="6" t="s">
        <v>114</v>
      </c>
      <c r="C41" s="6">
        <v>510089</v>
      </c>
      <c r="D41" s="6" t="s">
        <v>115</v>
      </c>
      <c r="E41" s="6">
        <v>1</v>
      </c>
      <c r="F41" s="6">
        <v>2</v>
      </c>
      <c r="G41" s="6" t="s">
        <v>107</v>
      </c>
      <c r="I41" s="8">
        <v>84.8243581944444</v>
      </c>
      <c r="J41" s="8">
        <v>133.1380825</v>
      </c>
      <c r="K41" s="6" t="s">
        <v>29</v>
      </c>
      <c r="L41" s="6" t="s">
        <v>335</v>
      </c>
      <c r="M41" s="9">
        <v>43756</v>
      </c>
      <c r="O41" s="6">
        <v>3</v>
      </c>
      <c r="P41" s="6" t="s">
        <v>4247</v>
      </c>
      <c r="R41" s="6" t="s">
        <v>64</v>
      </c>
      <c r="S41" s="6">
        <v>0</v>
      </c>
      <c r="T41" s="6">
        <v>10</v>
      </c>
      <c r="U41" s="10">
        <f t="shared" si="0"/>
        <v>5</v>
      </c>
      <c r="V41" s="6">
        <v>8.6</v>
      </c>
      <c r="W41" s="8">
        <v>-11.181551385498047</v>
      </c>
      <c r="X41" s="8">
        <v>-84.252583648681636</v>
      </c>
      <c r="Y41" s="8">
        <f t="shared" si="1"/>
        <v>5.1998274353027369</v>
      </c>
    </row>
    <row r="42" spans="1:25" s="6" customFormat="1" x14ac:dyDescent="0.35">
      <c r="A42" s="6" t="s">
        <v>25</v>
      </c>
      <c r="B42" s="6" t="s">
        <v>124</v>
      </c>
      <c r="C42" s="6">
        <v>510095</v>
      </c>
      <c r="D42" s="6" t="s">
        <v>125</v>
      </c>
      <c r="E42" s="6">
        <v>1</v>
      </c>
      <c r="F42" s="6">
        <v>2</v>
      </c>
      <c r="G42" s="6" t="s">
        <v>107</v>
      </c>
      <c r="I42" s="8">
        <v>84.8243581944444</v>
      </c>
      <c r="J42" s="8">
        <v>133.1380825</v>
      </c>
      <c r="K42" s="6" t="s">
        <v>29</v>
      </c>
      <c r="L42" s="6" t="s">
        <v>335</v>
      </c>
      <c r="M42" s="9">
        <v>43756</v>
      </c>
      <c r="O42" s="6">
        <v>3</v>
      </c>
      <c r="P42" s="6" t="s">
        <v>4247</v>
      </c>
      <c r="R42" s="6" t="s">
        <v>64</v>
      </c>
      <c r="S42" s="6">
        <v>0</v>
      </c>
      <c r="T42" s="6">
        <v>10</v>
      </c>
      <c r="U42" s="10">
        <f t="shared" si="0"/>
        <v>5</v>
      </c>
      <c r="V42" s="6">
        <v>8</v>
      </c>
      <c r="W42" s="8">
        <v>-1.59002861366272</v>
      </c>
      <c r="X42" s="8">
        <v>-12.425722684860229</v>
      </c>
      <c r="Y42" s="8">
        <f t="shared" si="1"/>
        <v>0.29450622444153041</v>
      </c>
    </row>
    <row r="43" spans="1:25" s="6" customFormat="1" x14ac:dyDescent="0.35">
      <c r="A43" s="6" t="s">
        <v>25</v>
      </c>
      <c r="B43" s="6" t="s">
        <v>129</v>
      </c>
      <c r="C43" s="6">
        <v>510098</v>
      </c>
      <c r="D43" s="6" t="s">
        <v>130</v>
      </c>
      <c r="E43" s="6">
        <v>1</v>
      </c>
      <c r="F43" s="6">
        <v>2</v>
      </c>
      <c r="G43" s="6" t="s">
        <v>107</v>
      </c>
      <c r="I43" s="8">
        <v>84.8243581944444</v>
      </c>
      <c r="J43" s="8">
        <v>133.1380825</v>
      </c>
      <c r="K43" s="6" t="s">
        <v>29</v>
      </c>
      <c r="L43" s="6" t="s">
        <v>335</v>
      </c>
      <c r="M43" s="9">
        <v>43756</v>
      </c>
      <c r="O43" s="6">
        <v>3</v>
      </c>
      <c r="P43" s="6" t="s">
        <v>4247</v>
      </c>
      <c r="R43" s="6" t="s">
        <v>64</v>
      </c>
      <c r="S43" s="6">
        <v>0</v>
      </c>
      <c r="T43" s="6">
        <v>10</v>
      </c>
      <c r="U43" s="10">
        <f t="shared" si="0"/>
        <v>5</v>
      </c>
      <c r="V43" s="6">
        <v>5.4</v>
      </c>
      <c r="W43" s="8">
        <v>-12.870231317138671</v>
      </c>
      <c r="X43" s="8">
        <v>-96.674850646972658</v>
      </c>
      <c r="Y43" s="8">
        <f t="shared" si="1"/>
        <v>6.2869998901367126</v>
      </c>
    </row>
    <row r="44" spans="1:25" s="6" customFormat="1" x14ac:dyDescent="0.35">
      <c r="A44" s="6" t="s">
        <v>25</v>
      </c>
      <c r="B44" s="6" t="s">
        <v>136</v>
      </c>
      <c r="C44" s="6">
        <v>510109</v>
      </c>
      <c r="D44" s="6" t="s">
        <v>130</v>
      </c>
      <c r="E44" s="6">
        <v>1</v>
      </c>
      <c r="F44" s="6">
        <v>2</v>
      </c>
      <c r="G44" s="6" t="s">
        <v>107</v>
      </c>
      <c r="I44" s="8">
        <v>84.8243581944444</v>
      </c>
      <c r="J44" s="8">
        <v>133.1380825</v>
      </c>
      <c r="K44" s="6" t="s">
        <v>29</v>
      </c>
      <c r="L44" s="6" t="s">
        <v>335</v>
      </c>
      <c r="M44" s="9">
        <v>43756</v>
      </c>
      <c r="O44" s="6">
        <v>3</v>
      </c>
      <c r="P44" s="6" t="s">
        <v>4247</v>
      </c>
      <c r="R44" s="6" t="s">
        <v>64</v>
      </c>
      <c r="S44" s="6">
        <v>0</v>
      </c>
      <c r="T44" s="6">
        <v>10</v>
      </c>
      <c r="U44" s="10">
        <f t="shared" si="0"/>
        <v>5</v>
      </c>
      <c r="V44" s="6">
        <v>3.7</v>
      </c>
      <c r="W44" s="8">
        <v>-10.1019612118721</v>
      </c>
      <c r="X44" s="8">
        <v>-77.16741384201049</v>
      </c>
      <c r="Y44" s="8">
        <f t="shared" si="1"/>
        <v>3.6482758529663073</v>
      </c>
    </row>
    <row r="45" spans="1:25" s="6" customFormat="1" x14ac:dyDescent="0.35">
      <c r="A45" s="6" t="s">
        <v>25</v>
      </c>
      <c r="B45" s="6" t="s">
        <v>143</v>
      </c>
      <c r="C45" s="6">
        <v>510113</v>
      </c>
      <c r="D45" s="6" t="s">
        <v>130</v>
      </c>
      <c r="E45" s="6">
        <v>1</v>
      </c>
      <c r="F45" s="6">
        <v>2</v>
      </c>
      <c r="G45" s="6" t="s">
        <v>107</v>
      </c>
      <c r="I45" s="8">
        <v>84.8243581944444</v>
      </c>
      <c r="J45" s="8">
        <v>133.1380825</v>
      </c>
      <c r="K45" s="6" t="s">
        <v>29</v>
      </c>
      <c r="L45" s="6" t="s">
        <v>335</v>
      </c>
      <c r="M45" s="9">
        <v>43756</v>
      </c>
      <c r="O45" s="6">
        <v>3</v>
      </c>
      <c r="P45" s="6" t="s">
        <v>4247</v>
      </c>
      <c r="R45" s="6" t="s">
        <v>64</v>
      </c>
      <c r="S45" s="6">
        <v>0</v>
      </c>
      <c r="T45" s="6">
        <v>10</v>
      </c>
      <c r="U45" s="10">
        <f t="shared" si="0"/>
        <v>5</v>
      </c>
      <c r="V45" s="6">
        <v>8.8000000000000007</v>
      </c>
      <c r="W45" s="8">
        <v>-0.12590021206736562</v>
      </c>
      <c r="X45" s="8">
        <v>-1.8282734068393709</v>
      </c>
      <c r="Y45" s="8">
        <f t="shared" si="1"/>
        <v>-0.8210717103004459</v>
      </c>
    </row>
    <row r="46" spans="1:25" s="6" customFormat="1" x14ac:dyDescent="0.35">
      <c r="A46" s="6" t="s">
        <v>25</v>
      </c>
      <c r="B46" s="6" t="s">
        <v>108</v>
      </c>
      <c r="C46" s="6">
        <v>510086</v>
      </c>
      <c r="D46" s="6" t="s">
        <v>106</v>
      </c>
      <c r="E46" s="6">
        <v>1</v>
      </c>
      <c r="F46" s="6">
        <v>2</v>
      </c>
      <c r="G46" s="6" t="s">
        <v>107</v>
      </c>
      <c r="I46" s="8">
        <v>84.8243581944444</v>
      </c>
      <c r="J46" s="8">
        <v>133.1380825</v>
      </c>
      <c r="K46" s="6" t="s">
        <v>29</v>
      </c>
      <c r="L46" s="6" t="s">
        <v>335</v>
      </c>
      <c r="M46" s="9">
        <v>43756</v>
      </c>
      <c r="O46" s="6">
        <v>3</v>
      </c>
      <c r="P46" s="6" t="s">
        <v>4247</v>
      </c>
      <c r="R46" s="6" t="s">
        <v>109</v>
      </c>
      <c r="S46" s="6">
        <v>10</v>
      </c>
      <c r="T46" s="6">
        <v>20</v>
      </c>
      <c r="U46" s="10">
        <f t="shared" si="0"/>
        <v>15</v>
      </c>
      <c r="V46" s="6">
        <v>6.3</v>
      </c>
      <c r="W46" s="8">
        <v>-2.6487737937927252</v>
      </c>
      <c r="X46" s="8">
        <v>-21.526246559143065</v>
      </c>
      <c r="Y46" s="8">
        <f t="shared" si="1"/>
        <v>-0.33605620880126352</v>
      </c>
    </row>
    <row r="47" spans="1:25" s="6" customFormat="1" x14ac:dyDescent="0.35">
      <c r="A47" s="6" t="s">
        <v>25</v>
      </c>
      <c r="B47" s="6" t="s">
        <v>116</v>
      </c>
      <c r="C47" s="6">
        <v>510090</v>
      </c>
      <c r="D47" s="6" t="s">
        <v>115</v>
      </c>
      <c r="E47" s="6">
        <v>1</v>
      </c>
      <c r="F47" s="6">
        <v>2</v>
      </c>
      <c r="G47" s="6" t="s">
        <v>107</v>
      </c>
      <c r="I47" s="8">
        <v>84.8243581944444</v>
      </c>
      <c r="J47" s="8">
        <v>133.1380825</v>
      </c>
      <c r="K47" s="6" t="s">
        <v>29</v>
      </c>
      <c r="L47" s="6" t="s">
        <v>335</v>
      </c>
      <c r="M47" s="9">
        <v>43756</v>
      </c>
      <c r="O47" s="6">
        <v>3</v>
      </c>
      <c r="P47" s="6" t="s">
        <v>4247</v>
      </c>
      <c r="R47" s="6" t="s">
        <v>109</v>
      </c>
      <c r="S47" s="6">
        <v>10</v>
      </c>
      <c r="T47" s="6">
        <v>20</v>
      </c>
      <c r="U47" s="10">
        <f t="shared" si="0"/>
        <v>15</v>
      </c>
      <c r="V47" s="6">
        <v>6.2</v>
      </c>
      <c r="W47" s="8">
        <v>-4.1604870849609377</v>
      </c>
      <c r="X47" s="8">
        <v>-31.131747138977051</v>
      </c>
      <c r="Y47" s="8">
        <f t="shared" si="1"/>
        <v>2.1521495407104503</v>
      </c>
    </row>
    <row r="48" spans="1:25" s="6" customFormat="1" x14ac:dyDescent="0.35">
      <c r="A48" s="6" t="s">
        <v>25</v>
      </c>
      <c r="B48" s="6" t="s">
        <v>126</v>
      </c>
      <c r="C48" s="6">
        <v>510096</v>
      </c>
      <c r="D48" s="6" t="s">
        <v>125</v>
      </c>
      <c r="E48" s="6">
        <v>1</v>
      </c>
      <c r="F48" s="6">
        <v>2</v>
      </c>
      <c r="G48" s="6" t="s">
        <v>107</v>
      </c>
      <c r="I48" s="8">
        <v>84.8243581944444</v>
      </c>
      <c r="J48" s="8">
        <v>133.1380825</v>
      </c>
      <c r="K48" s="6" t="s">
        <v>29</v>
      </c>
      <c r="L48" s="6" t="s">
        <v>335</v>
      </c>
      <c r="M48" s="9">
        <v>43756</v>
      </c>
      <c r="O48" s="6">
        <v>3</v>
      </c>
      <c r="P48" s="6" t="s">
        <v>4247</v>
      </c>
      <c r="R48" s="6" t="s">
        <v>109</v>
      </c>
      <c r="S48" s="6">
        <v>10</v>
      </c>
      <c r="T48" s="6">
        <v>20</v>
      </c>
      <c r="U48" s="10">
        <f t="shared" si="0"/>
        <v>15</v>
      </c>
      <c r="V48" s="6">
        <v>4.0999999999999996</v>
      </c>
      <c r="W48" s="8">
        <v>-2.6127402854919439</v>
      </c>
      <c r="X48" s="8">
        <v>-20.507969882965089</v>
      </c>
      <c r="Y48" s="8">
        <f t="shared" si="1"/>
        <v>0.39395240097046269</v>
      </c>
    </row>
    <row r="49" spans="1:25" s="6" customFormat="1" x14ac:dyDescent="0.35">
      <c r="A49" s="6" t="s">
        <v>25</v>
      </c>
      <c r="B49" s="6" t="s">
        <v>131</v>
      </c>
      <c r="C49" s="6">
        <v>510099</v>
      </c>
      <c r="D49" s="6" t="s">
        <v>130</v>
      </c>
      <c r="E49" s="6">
        <v>1</v>
      </c>
      <c r="F49" s="6">
        <v>2</v>
      </c>
      <c r="G49" s="6" t="s">
        <v>107</v>
      </c>
      <c r="I49" s="8">
        <v>84.8243581944444</v>
      </c>
      <c r="J49" s="8">
        <v>133.1380825</v>
      </c>
      <c r="K49" s="6" t="s">
        <v>29</v>
      </c>
      <c r="L49" s="6" t="s">
        <v>335</v>
      </c>
      <c r="M49" s="9">
        <v>43756</v>
      </c>
      <c r="O49" s="6">
        <v>3</v>
      </c>
      <c r="P49" s="6" t="s">
        <v>4247</v>
      </c>
      <c r="R49" s="6" t="s">
        <v>109</v>
      </c>
      <c r="S49" s="6">
        <v>10</v>
      </c>
      <c r="T49" s="6">
        <v>20</v>
      </c>
      <c r="U49" s="10">
        <f t="shared" si="0"/>
        <v>15</v>
      </c>
      <c r="V49" s="6">
        <v>4.7</v>
      </c>
      <c r="W49" s="8">
        <v>-9.5982738192558266</v>
      </c>
      <c r="X49" s="8">
        <v>-72.932364829254141</v>
      </c>
      <c r="Y49" s="8">
        <f t="shared" si="1"/>
        <v>3.8538257247924719</v>
      </c>
    </row>
    <row r="50" spans="1:25" s="6" customFormat="1" x14ac:dyDescent="0.35">
      <c r="A50" s="6" t="s">
        <v>25</v>
      </c>
      <c r="B50" s="6" t="s">
        <v>137</v>
      </c>
      <c r="C50" s="6">
        <v>510110</v>
      </c>
      <c r="D50" s="6" t="s">
        <v>130</v>
      </c>
      <c r="E50" s="6">
        <v>1</v>
      </c>
      <c r="F50" s="6">
        <v>2</v>
      </c>
      <c r="G50" s="6" t="s">
        <v>107</v>
      </c>
      <c r="I50" s="8">
        <v>84.8243581944444</v>
      </c>
      <c r="J50" s="8">
        <v>133.1380825</v>
      </c>
      <c r="K50" s="6" t="s">
        <v>29</v>
      </c>
      <c r="L50" s="6" t="s">
        <v>335</v>
      </c>
      <c r="M50" s="9">
        <v>43756</v>
      </c>
      <c r="O50" s="6">
        <v>3</v>
      </c>
      <c r="P50" s="6" t="s">
        <v>4247</v>
      </c>
      <c r="R50" s="6" t="s">
        <v>138</v>
      </c>
      <c r="S50" s="6">
        <v>10</v>
      </c>
      <c r="T50" s="6">
        <v>20</v>
      </c>
      <c r="U50" s="10">
        <f t="shared" si="0"/>
        <v>15</v>
      </c>
      <c r="V50" s="6">
        <v>4.2</v>
      </c>
      <c r="W50" s="8">
        <v>-8.8945795643806473</v>
      </c>
      <c r="X50" s="8">
        <v>-66.444868512725833</v>
      </c>
      <c r="Y50" s="8">
        <f t="shared" si="1"/>
        <v>4.7117680023193458</v>
      </c>
    </row>
    <row r="51" spans="1:25" s="6" customFormat="1" x14ac:dyDescent="0.35">
      <c r="A51" s="6" t="s">
        <v>25</v>
      </c>
      <c r="B51" s="6" t="s">
        <v>144</v>
      </c>
      <c r="C51" s="6">
        <v>510114</v>
      </c>
      <c r="D51" s="6" t="s">
        <v>130</v>
      </c>
      <c r="E51" s="6">
        <v>1</v>
      </c>
      <c r="F51" s="6">
        <v>2</v>
      </c>
      <c r="G51" s="6" t="s">
        <v>107</v>
      </c>
      <c r="I51" s="8">
        <v>84.8243581944444</v>
      </c>
      <c r="J51" s="8">
        <v>133.1380825</v>
      </c>
      <c r="K51" s="6" t="s">
        <v>29</v>
      </c>
      <c r="L51" s="6" t="s">
        <v>335</v>
      </c>
      <c r="M51" s="9">
        <v>43756</v>
      </c>
      <c r="O51" s="6">
        <v>3</v>
      </c>
      <c r="P51" s="6" t="s">
        <v>4247</v>
      </c>
      <c r="R51" s="6" t="s">
        <v>109</v>
      </c>
      <c r="S51" s="6">
        <v>10</v>
      </c>
      <c r="T51" s="6">
        <v>20</v>
      </c>
      <c r="U51" s="10">
        <f t="shared" si="0"/>
        <v>15</v>
      </c>
      <c r="V51" s="6">
        <v>7.1</v>
      </c>
      <c r="W51" s="8">
        <v>0.13860396296232946</v>
      </c>
      <c r="X51" s="8">
        <v>-1.559410331583023</v>
      </c>
      <c r="Y51" s="8">
        <f t="shared" si="1"/>
        <v>-2.6682420352816587</v>
      </c>
    </row>
    <row r="52" spans="1:25" s="6" customFormat="1" x14ac:dyDescent="0.35">
      <c r="A52" s="6" t="s">
        <v>25</v>
      </c>
      <c r="B52" s="6" t="s">
        <v>110</v>
      </c>
      <c r="C52" s="6">
        <v>510087</v>
      </c>
      <c r="D52" s="6" t="s">
        <v>106</v>
      </c>
      <c r="E52" s="6">
        <v>1</v>
      </c>
      <c r="F52" s="6">
        <v>2</v>
      </c>
      <c r="G52" s="6" t="s">
        <v>107</v>
      </c>
      <c r="I52" s="8">
        <v>84.8243581944444</v>
      </c>
      <c r="J52" s="8">
        <v>133.1380825</v>
      </c>
      <c r="K52" s="6" t="s">
        <v>29</v>
      </c>
      <c r="L52" s="6" t="s">
        <v>335</v>
      </c>
      <c r="M52" s="9">
        <v>43756</v>
      </c>
      <c r="O52" s="6">
        <v>3</v>
      </c>
      <c r="P52" s="6" t="s">
        <v>4247</v>
      </c>
      <c r="R52" s="6" t="s">
        <v>111</v>
      </c>
      <c r="S52" s="6">
        <v>20</v>
      </c>
      <c r="T52" s="6">
        <v>30</v>
      </c>
      <c r="U52" s="10">
        <f t="shared" si="0"/>
        <v>25</v>
      </c>
      <c r="V52" s="6">
        <v>5.4</v>
      </c>
      <c r="W52" s="8">
        <v>-1.215491469955444</v>
      </c>
      <c r="X52" s="8">
        <v>-9.1255166225433353</v>
      </c>
      <c r="Y52" s="8">
        <f t="shared" si="1"/>
        <v>0.59841513710021665</v>
      </c>
    </row>
    <row r="53" spans="1:25" s="6" customFormat="1" x14ac:dyDescent="0.35">
      <c r="A53" s="6" t="s">
        <v>25</v>
      </c>
      <c r="B53" s="6" t="s">
        <v>117</v>
      </c>
      <c r="C53" s="6">
        <v>510091</v>
      </c>
      <c r="D53" s="6" t="s">
        <v>115</v>
      </c>
      <c r="E53" s="6">
        <v>1</v>
      </c>
      <c r="F53" s="6">
        <v>2</v>
      </c>
      <c r="G53" s="6" t="s">
        <v>107</v>
      </c>
      <c r="I53" s="8">
        <v>84.8243581944444</v>
      </c>
      <c r="J53" s="8">
        <v>133.1380825</v>
      </c>
      <c r="K53" s="6" t="s">
        <v>29</v>
      </c>
      <c r="L53" s="6" t="s">
        <v>335</v>
      </c>
      <c r="M53" s="9">
        <v>43756</v>
      </c>
      <c r="O53" s="6">
        <v>3</v>
      </c>
      <c r="P53" s="6" t="s">
        <v>4247</v>
      </c>
      <c r="R53" s="6" t="s">
        <v>111</v>
      </c>
      <c r="S53" s="6">
        <v>20</v>
      </c>
      <c r="T53" s="6">
        <v>30</v>
      </c>
      <c r="U53" s="10">
        <f t="shared" si="0"/>
        <v>25</v>
      </c>
      <c r="V53" s="6">
        <v>6.2</v>
      </c>
      <c r="W53" s="8">
        <v>-0.77248126373290993</v>
      </c>
      <c r="X53" s="8">
        <v>-5.492679805755615</v>
      </c>
      <c r="Y53" s="8">
        <f t="shared" si="1"/>
        <v>0.68717030410766444</v>
      </c>
    </row>
    <row r="54" spans="1:25" s="6" customFormat="1" x14ac:dyDescent="0.35">
      <c r="A54" s="6" t="s">
        <v>25</v>
      </c>
      <c r="B54" s="6" t="s">
        <v>145</v>
      </c>
      <c r="C54" s="6">
        <v>510115</v>
      </c>
      <c r="D54" s="6" t="s">
        <v>130</v>
      </c>
      <c r="E54" s="6">
        <v>1</v>
      </c>
      <c r="F54" s="6">
        <v>2</v>
      </c>
      <c r="G54" s="6" t="s">
        <v>107</v>
      </c>
      <c r="I54" s="8">
        <v>84.8243581944444</v>
      </c>
      <c r="J54" s="8">
        <v>133.1380825</v>
      </c>
      <c r="K54" s="6" t="s">
        <v>29</v>
      </c>
      <c r="L54" s="6" t="s">
        <v>335</v>
      </c>
      <c r="M54" s="9">
        <v>43756</v>
      </c>
      <c r="O54" s="6">
        <v>3</v>
      </c>
      <c r="P54" s="6" t="s">
        <v>4247</v>
      </c>
      <c r="R54" s="6" t="s">
        <v>146</v>
      </c>
      <c r="S54" s="6">
        <v>20</v>
      </c>
      <c r="T54" s="6">
        <v>30</v>
      </c>
      <c r="U54" s="10">
        <f t="shared" si="0"/>
        <v>25</v>
      </c>
      <c r="V54" s="6">
        <v>6.4</v>
      </c>
      <c r="W54" s="8">
        <v>-0.83052235064208513</v>
      </c>
      <c r="X54" s="8">
        <v>-7.5035937858581541</v>
      </c>
      <c r="Y54" s="8">
        <f t="shared" si="1"/>
        <v>-0.85941498072147304</v>
      </c>
    </row>
    <row r="55" spans="1:25" s="6" customFormat="1" x14ac:dyDescent="0.35">
      <c r="A55" s="6" t="s">
        <v>25</v>
      </c>
      <c r="B55" s="6" t="s">
        <v>139</v>
      </c>
      <c r="C55" s="6">
        <v>510111</v>
      </c>
      <c r="D55" s="6" t="s">
        <v>130</v>
      </c>
      <c r="E55" s="6">
        <v>1</v>
      </c>
      <c r="F55" s="6">
        <v>2</v>
      </c>
      <c r="G55" s="6" t="s">
        <v>107</v>
      </c>
      <c r="I55" s="8">
        <v>84.8243581944444</v>
      </c>
      <c r="J55" s="8">
        <v>133.1380825</v>
      </c>
      <c r="K55" s="6" t="s">
        <v>29</v>
      </c>
      <c r="L55" s="6" t="s">
        <v>335</v>
      </c>
      <c r="M55" s="9">
        <v>43756</v>
      </c>
      <c r="O55" s="6">
        <v>3</v>
      </c>
      <c r="P55" s="6" t="s">
        <v>4247</v>
      </c>
      <c r="R55" s="6" t="s">
        <v>140</v>
      </c>
      <c r="S55" s="6">
        <v>20</v>
      </c>
      <c r="T55" s="6">
        <v>31</v>
      </c>
      <c r="U55" s="10">
        <f t="shared" si="0"/>
        <v>25.5</v>
      </c>
      <c r="V55" s="6">
        <v>3.2</v>
      </c>
      <c r="W55" s="8">
        <v>-6.0336783111572272</v>
      </c>
      <c r="X55" s="8">
        <v>-47.787683221435543</v>
      </c>
      <c r="Y55" s="8">
        <f t="shared" si="1"/>
        <v>0.48174326782227439</v>
      </c>
    </row>
    <row r="56" spans="1:25" s="6" customFormat="1" x14ac:dyDescent="0.35">
      <c r="A56" s="6" t="s">
        <v>25</v>
      </c>
      <c r="B56" s="6" t="s">
        <v>132</v>
      </c>
      <c r="C56" s="6">
        <v>510100</v>
      </c>
      <c r="D56" s="6" t="s">
        <v>130</v>
      </c>
      <c r="E56" s="6">
        <v>1</v>
      </c>
      <c r="F56" s="6">
        <v>2</v>
      </c>
      <c r="G56" s="6" t="s">
        <v>107</v>
      </c>
      <c r="I56" s="8">
        <v>84.8243581944444</v>
      </c>
      <c r="J56" s="8">
        <v>133.1380825</v>
      </c>
      <c r="K56" s="6" t="s">
        <v>29</v>
      </c>
      <c r="L56" s="6" t="s">
        <v>335</v>
      </c>
      <c r="M56" s="9">
        <v>43756</v>
      </c>
      <c r="O56" s="6">
        <v>3</v>
      </c>
      <c r="P56" s="6" t="s">
        <v>4247</v>
      </c>
      <c r="R56" s="6" t="s">
        <v>133</v>
      </c>
      <c r="S56" s="6">
        <v>20</v>
      </c>
      <c r="T56" s="6">
        <v>32</v>
      </c>
      <c r="U56" s="10">
        <f t="shared" si="0"/>
        <v>26</v>
      </c>
      <c r="V56" s="6">
        <v>6.3</v>
      </c>
      <c r="W56" s="8">
        <v>-1.2040600635528567</v>
      </c>
      <c r="X56" s="8">
        <v>-8.4687438085556046</v>
      </c>
      <c r="Y56" s="8">
        <f t="shared" si="1"/>
        <v>1.1637366998672487</v>
      </c>
    </row>
    <row r="57" spans="1:25" s="6" customFormat="1" x14ac:dyDescent="0.35">
      <c r="A57" s="6" t="s">
        <v>25</v>
      </c>
      <c r="B57" s="6" t="s">
        <v>127</v>
      </c>
      <c r="C57" s="6">
        <v>510097</v>
      </c>
      <c r="D57" s="6" t="s">
        <v>125</v>
      </c>
      <c r="E57" s="6">
        <v>1</v>
      </c>
      <c r="F57" s="6">
        <v>2</v>
      </c>
      <c r="G57" s="6" t="s">
        <v>107</v>
      </c>
      <c r="I57" s="8">
        <v>84.8243581944444</v>
      </c>
      <c r="J57" s="8">
        <v>133.1380825</v>
      </c>
      <c r="K57" s="6" t="s">
        <v>29</v>
      </c>
      <c r="L57" s="6" t="s">
        <v>335</v>
      </c>
      <c r="M57" s="9">
        <v>43756</v>
      </c>
      <c r="O57" s="6">
        <v>3</v>
      </c>
      <c r="P57" s="6" t="s">
        <v>4247</v>
      </c>
      <c r="R57" s="6" t="s">
        <v>128</v>
      </c>
      <c r="S57" s="6">
        <v>20</v>
      </c>
      <c r="T57" s="6">
        <v>34</v>
      </c>
      <c r="U57" s="10">
        <f t="shared" si="0"/>
        <v>27</v>
      </c>
      <c r="V57" s="6">
        <v>6.9</v>
      </c>
      <c r="W57" s="8">
        <v>1.0432004064559932</v>
      </c>
      <c r="X57" s="8">
        <v>8.5457408065795892</v>
      </c>
      <c r="Y57" s="8">
        <f t="shared" si="1"/>
        <v>0.20013755493164354</v>
      </c>
    </row>
    <row r="58" spans="1:25" s="6" customFormat="1" x14ac:dyDescent="0.35">
      <c r="A58" s="6" t="s">
        <v>25</v>
      </c>
      <c r="B58" s="6" t="s">
        <v>147</v>
      </c>
      <c r="C58" s="6">
        <v>510116</v>
      </c>
      <c r="D58" s="6" t="s">
        <v>130</v>
      </c>
      <c r="E58" s="6">
        <v>1</v>
      </c>
      <c r="F58" s="6">
        <v>2</v>
      </c>
      <c r="G58" s="6" t="s">
        <v>107</v>
      </c>
      <c r="I58" s="8">
        <v>84.8243581944444</v>
      </c>
      <c r="J58" s="8">
        <v>133.1380825</v>
      </c>
      <c r="K58" s="6" t="s">
        <v>29</v>
      </c>
      <c r="L58" s="6" t="s">
        <v>335</v>
      </c>
      <c r="M58" s="9">
        <v>43756</v>
      </c>
      <c r="O58" s="6">
        <v>3</v>
      </c>
      <c r="P58" s="6" t="s">
        <v>4247</v>
      </c>
      <c r="R58" s="6" t="s">
        <v>148</v>
      </c>
      <c r="S58" s="6">
        <v>30</v>
      </c>
      <c r="T58" s="6">
        <v>37.5</v>
      </c>
      <c r="U58" s="10">
        <f t="shared" si="0"/>
        <v>33.75</v>
      </c>
      <c r="V58" s="6">
        <v>5.3</v>
      </c>
      <c r="W58" s="8">
        <v>-0.79831197236776363</v>
      </c>
      <c r="X58" s="8">
        <v>-9.1890559893608099</v>
      </c>
      <c r="Y58" s="8">
        <f t="shared" si="1"/>
        <v>-2.8025602104187008</v>
      </c>
    </row>
    <row r="59" spans="1:25" s="6" customFormat="1" x14ac:dyDescent="0.35">
      <c r="A59" s="6" t="s">
        <v>25</v>
      </c>
      <c r="B59" s="6" t="s">
        <v>118</v>
      </c>
      <c r="C59" s="6">
        <v>510092</v>
      </c>
      <c r="D59" s="6" t="s">
        <v>115</v>
      </c>
      <c r="E59" s="6">
        <v>1</v>
      </c>
      <c r="F59" s="6">
        <v>2</v>
      </c>
      <c r="G59" s="6" t="s">
        <v>107</v>
      </c>
      <c r="I59" s="8">
        <v>84.8243581944444</v>
      </c>
      <c r="J59" s="8">
        <v>133.1380825</v>
      </c>
      <c r="K59" s="6" t="s">
        <v>29</v>
      </c>
      <c r="L59" s="6" t="s">
        <v>335</v>
      </c>
      <c r="M59" s="9">
        <v>43756</v>
      </c>
      <c r="O59" s="6">
        <v>3</v>
      </c>
      <c r="P59" s="6" t="s">
        <v>4247</v>
      </c>
      <c r="R59" s="6" t="s">
        <v>119</v>
      </c>
      <c r="S59" s="6">
        <v>30</v>
      </c>
      <c r="T59" s="6">
        <v>38</v>
      </c>
      <c r="U59" s="10">
        <f t="shared" si="0"/>
        <v>34</v>
      </c>
      <c r="V59" s="6">
        <v>6.6</v>
      </c>
      <c r="W59" s="8">
        <v>-0.55139312610626223</v>
      </c>
      <c r="X59" s="8">
        <v>-3.5201894273757932</v>
      </c>
      <c r="Y59" s="8">
        <f t="shared" si="1"/>
        <v>0.89095558147430465</v>
      </c>
    </row>
    <row r="60" spans="1:25" s="6" customFormat="1" x14ac:dyDescent="0.35">
      <c r="A60" s="6" t="s">
        <v>25</v>
      </c>
      <c r="B60" s="6" t="s">
        <v>112</v>
      </c>
      <c r="C60" s="6">
        <v>510088</v>
      </c>
      <c r="D60" s="6" t="s">
        <v>106</v>
      </c>
      <c r="E60" s="6">
        <v>1</v>
      </c>
      <c r="F60" s="6">
        <v>2</v>
      </c>
      <c r="G60" s="6" t="s">
        <v>107</v>
      </c>
      <c r="I60" s="8">
        <v>84.8243581944444</v>
      </c>
      <c r="J60" s="8">
        <v>133.1380825</v>
      </c>
      <c r="K60" s="6" t="s">
        <v>29</v>
      </c>
      <c r="L60" s="6" t="s">
        <v>335</v>
      </c>
      <c r="M60" s="9">
        <v>43756</v>
      </c>
      <c r="O60" s="6">
        <v>3</v>
      </c>
      <c r="P60" s="6" t="s">
        <v>4247</v>
      </c>
      <c r="R60" s="6" t="s">
        <v>113</v>
      </c>
      <c r="S60" s="6">
        <v>30</v>
      </c>
      <c r="T60" s="6">
        <v>39</v>
      </c>
      <c r="U60" s="10">
        <f t="shared" si="0"/>
        <v>34.5</v>
      </c>
      <c r="V60" s="6">
        <v>6.9</v>
      </c>
      <c r="W60" s="8">
        <v>1.096433981323242</v>
      </c>
      <c r="X60" s="8">
        <v>9.053515159606933</v>
      </c>
      <c r="Y60" s="8">
        <f t="shared" si="1"/>
        <v>0.28204330902099706</v>
      </c>
    </row>
    <row r="61" spans="1:25" s="6" customFormat="1" x14ac:dyDescent="0.35">
      <c r="A61" s="6" t="s">
        <v>25</v>
      </c>
      <c r="B61" s="6" t="s">
        <v>134</v>
      </c>
      <c r="C61" s="6">
        <v>510101</v>
      </c>
      <c r="D61" s="6" t="s">
        <v>130</v>
      </c>
      <c r="E61" s="6">
        <v>1</v>
      </c>
      <c r="F61" s="6">
        <v>2</v>
      </c>
      <c r="G61" s="6" t="s">
        <v>107</v>
      </c>
      <c r="I61" s="8">
        <v>84.8243581944444</v>
      </c>
      <c r="J61" s="8">
        <v>133.1380825</v>
      </c>
      <c r="K61" s="6" t="s">
        <v>29</v>
      </c>
      <c r="L61" s="6" t="s">
        <v>335</v>
      </c>
      <c r="M61" s="9">
        <v>43756</v>
      </c>
      <c r="O61" s="6">
        <v>3</v>
      </c>
      <c r="P61" s="6" t="s">
        <v>4247</v>
      </c>
      <c r="R61" s="6" t="s">
        <v>135</v>
      </c>
      <c r="S61" s="6">
        <v>32</v>
      </c>
      <c r="T61" s="6">
        <v>42</v>
      </c>
      <c r="U61" s="10">
        <f t="shared" si="0"/>
        <v>37</v>
      </c>
      <c r="V61" s="6">
        <v>6.6</v>
      </c>
      <c r="W61" s="8">
        <v>-1.2915276650760321</v>
      </c>
      <c r="X61" s="8">
        <v>-10.387319383811951</v>
      </c>
      <c r="Y61" s="8">
        <f t="shared" si="1"/>
        <v>-5.5098063203693926E-2</v>
      </c>
    </row>
    <row r="62" spans="1:25" s="6" customFormat="1" x14ac:dyDescent="0.35">
      <c r="A62" s="6" t="s">
        <v>25</v>
      </c>
      <c r="B62" s="6" t="s">
        <v>141</v>
      </c>
      <c r="C62" s="6">
        <v>510112</v>
      </c>
      <c r="D62" s="6" t="s">
        <v>130</v>
      </c>
      <c r="E62" s="6">
        <v>1</v>
      </c>
      <c r="F62" s="6">
        <v>2</v>
      </c>
      <c r="G62" s="6" t="s">
        <v>107</v>
      </c>
      <c r="I62" s="8">
        <v>84.8243581944444</v>
      </c>
      <c r="J62" s="8">
        <v>133.1380825</v>
      </c>
      <c r="K62" s="6" t="s">
        <v>29</v>
      </c>
      <c r="L62" s="6" t="s">
        <v>335</v>
      </c>
      <c r="M62" s="9">
        <v>43756</v>
      </c>
      <c r="O62" s="6">
        <v>3</v>
      </c>
      <c r="P62" s="6" t="s">
        <v>4247</v>
      </c>
      <c r="R62" s="6" t="s">
        <v>142</v>
      </c>
      <c r="S62" s="6">
        <v>31</v>
      </c>
      <c r="T62" s="6">
        <v>44</v>
      </c>
      <c r="U62" s="10">
        <f t="shared" si="0"/>
        <v>37.5</v>
      </c>
      <c r="V62" s="6">
        <v>5.5</v>
      </c>
      <c r="W62" s="8">
        <v>0.37781292707920067</v>
      </c>
      <c r="X62" s="8">
        <v>1.3625032487154005</v>
      </c>
      <c r="Y62" s="8">
        <f t="shared" si="1"/>
        <v>-1.6600001679182048</v>
      </c>
    </row>
    <row r="63" spans="1:25" s="6" customFormat="1" x14ac:dyDescent="0.35">
      <c r="A63" s="6" t="s">
        <v>25</v>
      </c>
      <c r="B63" s="6" t="s">
        <v>149</v>
      </c>
      <c r="C63" s="6">
        <v>510117</v>
      </c>
      <c r="D63" s="6" t="s">
        <v>130</v>
      </c>
      <c r="E63" s="6">
        <v>1</v>
      </c>
      <c r="F63" s="6">
        <v>2</v>
      </c>
      <c r="G63" s="6" t="s">
        <v>107</v>
      </c>
      <c r="I63" s="8">
        <v>84.8243581944444</v>
      </c>
      <c r="J63" s="8">
        <v>133.1380825</v>
      </c>
      <c r="K63" s="6" t="s">
        <v>29</v>
      </c>
      <c r="L63" s="6" t="s">
        <v>335</v>
      </c>
      <c r="M63" s="9">
        <v>43756</v>
      </c>
      <c r="O63" s="6">
        <v>3</v>
      </c>
      <c r="P63" s="6" t="s">
        <v>4247</v>
      </c>
      <c r="R63" s="6" t="s">
        <v>150</v>
      </c>
      <c r="S63" s="6">
        <v>37.5</v>
      </c>
      <c r="T63" s="6">
        <v>46.5</v>
      </c>
      <c r="U63" s="10">
        <f t="shared" si="0"/>
        <v>42</v>
      </c>
      <c r="V63" s="6">
        <v>7.1</v>
      </c>
      <c r="W63" s="8">
        <v>0.95479983444213845</v>
      </c>
      <c r="X63" s="8">
        <v>5.7017754568397994</v>
      </c>
      <c r="Y63" s="8">
        <f t="shared" si="1"/>
        <v>-1.9366232186973082</v>
      </c>
    </row>
    <row r="64" spans="1:25" s="6" customFormat="1" x14ac:dyDescent="0.35">
      <c r="A64" s="6" t="s">
        <v>25</v>
      </c>
      <c r="B64" s="6" t="s">
        <v>120</v>
      </c>
      <c r="C64" s="6">
        <v>510093</v>
      </c>
      <c r="D64" s="6" t="s">
        <v>115</v>
      </c>
      <c r="E64" s="6">
        <v>1</v>
      </c>
      <c r="F64" s="6">
        <v>2</v>
      </c>
      <c r="G64" s="6" t="s">
        <v>107</v>
      </c>
      <c r="I64" s="8">
        <v>84.8243581944444</v>
      </c>
      <c r="J64" s="8">
        <v>133.1380825</v>
      </c>
      <c r="K64" s="6" t="s">
        <v>29</v>
      </c>
      <c r="L64" s="6" t="s">
        <v>335</v>
      </c>
      <c r="M64" s="9">
        <v>43756</v>
      </c>
      <c r="O64" s="6">
        <v>3</v>
      </c>
      <c r="P64" s="6" t="s">
        <v>4247</v>
      </c>
      <c r="R64" s="6" t="s">
        <v>121</v>
      </c>
      <c r="S64" s="6">
        <v>38</v>
      </c>
      <c r="T64" s="6">
        <v>48</v>
      </c>
      <c r="U64" s="10">
        <f t="shared" si="0"/>
        <v>43</v>
      </c>
      <c r="V64" s="6">
        <v>8</v>
      </c>
      <c r="W64" s="8">
        <v>0.61593647518157946</v>
      </c>
      <c r="X64" s="8">
        <v>4.9996384315490721</v>
      </c>
      <c r="Y64" s="8">
        <f t="shared" si="1"/>
        <v>7.2146630096436404E-2</v>
      </c>
    </row>
    <row r="65" spans="1:25" s="6" customFormat="1" x14ac:dyDescent="0.35">
      <c r="A65" s="6" t="s">
        <v>25</v>
      </c>
      <c r="B65" s="6" t="s">
        <v>122</v>
      </c>
      <c r="C65" s="6">
        <v>510094</v>
      </c>
      <c r="D65" s="6" t="s">
        <v>115</v>
      </c>
      <c r="E65" s="6">
        <v>1</v>
      </c>
      <c r="F65" s="6">
        <v>2</v>
      </c>
      <c r="G65" s="6" t="s">
        <v>107</v>
      </c>
      <c r="I65" s="8">
        <v>84.8243581944444</v>
      </c>
      <c r="J65" s="8">
        <v>133.1380825</v>
      </c>
      <c r="K65" s="6" t="s">
        <v>29</v>
      </c>
      <c r="L65" s="6" t="s">
        <v>335</v>
      </c>
      <c r="M65" s="9">
        <v>43756</v>
      </c>
      <c r="O65" s="6">
        <v>3</v>
      </c>
      <c r="P65" s="6" t="s">
        <v>4247</v>
      </c>
      <c r="R65" s="6" t="s">
        <v>123</v>
      </c>
      <c r="S65" s="6">
        <v>48</v>
      </c>
      <c r="T65" s="6">
        <v>58</v>
      </c>
      <c r="U65" s="10">
        <f t="shared" si="0"/>
        <v>53</v>
      </c>
      <c r="V65" s="6">
        <v>5.5</v>
      </c>
      <c r="W65" s="8">
        <v>-1.7631202388763427</v>
      </c>
      <c r="X65" s="8">
        <v>-14.085186630249023</v>
      </c>
      <c r="Y65" s="8">
        <f t="shared" si="1"/>
        <v>1.9775280761718861E-2</v>
      </c>
    </row>
    <row r="66" spans="1:25" s="6" customFormat="1" x14ac:dyDescent="0.35">
      <c r="A66" s="6" t="s">
        <v>25</v>
      </c>
      <c r="B66" s="6" t="s">
        <v>151</v>
      </c>
      <c r="C66" s="6">
        <v>510153</v>
      </c>
      <c r="D66" s="6" t="s">
        <v>152</v>
      </c>
      <c r="E66" s="6">
        <v>1</v>
      </c>
      <c r="F66" s="6">
        <v>3</v>
      </c>
      <c r="G66" s="6" t="s">
        <v>153</v>
      </c>
      <c r="I66" s="8">
        <v>85.348898888888897</v>
      </c>
      <c r="J66" s="8">
        <v>129.88336361111101</v>
      </c>
      <c r="K66" s="6" t="s">
        <v>29</v>
      </c>
      <c r="L66" s="6" t="s">
        <v>335</v>
      </c>
      <c r="M66" s="9">
        <v>43761</v>
      </c>
      <c r="O66" s="6">
        <v>4</v>
      </c>
      <c r="P66" s="6" t="s">
        <v>4248</v>
      </c>
      <c r="R66" s="6" t="s">
        <v>64</v>
      </c>
      <c r="S66" s="6">
        <v>0</v>
      </c>
      <c r="T66" s="6">
        <v>10</v>
      </c>
      <c r="U66" s="10">
        <f t="shared" ref="U66:U129" si="2">AVERAGE(S66:T66)</f>
        <v>5</v>
      </c>
      <c r="V66" s="6">
        <v>5.6</v>
      </c>
      <c r="W66" s="8">
        <v>-5.1415718735933318</v>
      </c>
      <c r="X66" s="8">
        <v>-42.128601903533934</v>
      </c>
      <c r="Y66" s="8">
        <f t="shared" ref="Y66:Y129" si="3">X66-(8*W66)</f>
        <v>-0.99602691478727934</v>
      </c>
    </row>
    <row r="67" spans="1:25" s="6" customFormat="1" x14ac:dyDescent="0.35">
      <c r="A67" s="6" t="s">
        <v>25</v>
      </c>
      <c r="B67" s="6" t="s">
        <v>154</v>
      </c>
      <c r="C67" s="6">
        <v>510154</v>
      </c>
      <c r="D67" s="6" t="s">
        <v>152</v>
      </c>
      <c r="E67" s="6">
        <v>1</v>
      </c>
      <c r="F67" s="6">
        <v>3</v>
      </c>
      <c r="G67" s="6" t="s">
        <v>153</v>
      </c>
      <c r="I67" s="8">
        <v>85.348898888888897</v>
      </c>
      <c r="J67" s="8">
        <v>129.88336361111101</v>
      </c>
      <c r="K67" s="6" t="s">
        <v>29</v>
      </c>
      <c r="L67" s="6" t="s">
        <v>335</v>
      </c>
      <c r="M67" s="9">
        <v>43761</v>
      </c>
      <c r="O67" s="6">
        <v>4</v>
      </c>
      <c r="P67" s="6" t="s">
        <v>4248</v>
      </c>
      <c r="R67" s="6" t="s">
        <v>138</v>
      </c>
      <c r="S67" s="6">
        <v>10</v>
      </c>
      <c r="T67" s="6">
        <v>20</v>
      </c>
      <c r="U67" s="10">
        <f t="shared" si="2"/>
        <v>15</v>
      </c>
      <c r="V67" s="6">
        <v>0.7</v>
      </c>
      <c r="W67" s="8">
        <v>-4.6903988467931752</v>
      </c>
      <c r="X67" s="8">
        <v>-37.674556609725947</v>
      </c>
      <c r="Y67" s="8">
        <f t="shared" si="3"/>
        <v>-0.15136583538054538</v>
      </c>
    </row>
    <row r="68" spans="1:25" s="6" customFormat="1" x14ac:dyDescent="0.35">
      <c r="A68" s="6" t="s">
        <v>25</v>
      </c>
      <c r="B68" s="6" t="s">
        <v>155</v>
      </c>
      <c r="C68" s="6">
        <v>510155</v>
      </c>
      <c r="D68" s="6" t="s">
        <v>152</v>
      </c>
      <c r="E68" s="6">
        <v>1</v>
      </c>
      <c r="F68" s="6">
        <v>3</v>
      </c>
      <c r="G68" s="6" t="s">
        <v>153</v>
      </c>
      <c r="I68" s="8">
        <v>85.348898888888897</v>
      </c>
      <c r="J68" s="8">
        <v>129.88336361111101</v>
      </c>
      <c r="K68" s="6" t="s">
        <v>29</v>
      </c>
      <c r="L68" s="6" t="s">
        <v>335</v>
      </c>
      <c r="M68" s="9">
        <v>43761</v>
      </c>
      <c r="O68" s="6">
        <v>4</v>
      </c>
      <c r="P68" s="6" t="s">
        <v>4248</v>
      </c>
      <c r="R68" s="6" t="s">
        <v>146</v>
      </c>
      <c r="S68" s="6">
        <v>20</v>
      </c>
      <c r="T68" s="6">
        <v>30</v>
      </c>
      <c r="U68" s="10">
        <f t="shared" si="2"/>
        <v>25</v>
      </c>
      <c r="V68" s="6">
        <v>2.2999999999999998</v>
      </c>
      <c r="W68" s="8">
        <v>-1.8384587564468386</v>
      </c>
      <c r="X68" s="8">
        <v>-13.702341223716736</v>
      </c>
      <c r="Y68" s="8">
        <f t="shared" si="3"/>
        <v>1.0053288278579728</v>
      </c>
    </row>
    <row r="69" spans="1:25" s="6" customFormat="1" x14ac:dyDescent="0.35">
      <c r="A69" s="6" t="s">
        <v>25</v>
      </c>
      <c r="B69" s="6" t="s">
        <v>156</v>
      </c>
      <c r="C69" s="6">
        <v>510156</v>
      </c>
      <c r="D69" s="6" t="s">
        <v>152</v>
      </c>
      <c r="E69" s="6">
        <v>1</v>
      </c>
      <c r="F69" s="6">
        <v>3</v>
      </c>
      <c r="G69" s="6" t="s">
        <v>153</v>
      </c>
      <c r="I69" s="8">
        <v>85.348898888888897</v>
      </c>
      <c r="J69" s="8">
        <v>129.88336361111101</v>
      </c>
      <c r="K69" s="6" t="s">
        <v>29</v>
      </c>
      <c r="L69" s="6" t="s">
        <v>335</v>
      </c>
      <c r="M69" s="9">
        <v>43761</v>
      </c>
      <c r="O69" s="6">
        <v>4</v>
      </c>
      <c r="P69" s="6" t="s">
        <v>4248</v>
      </c>
      <c r="R69" s="6" t="s">
        <v>157</v>
      </c>
      <c r="S69" s="6">
        <v>30</v>
      </c>
      <c r="T69" s="6">
        <v>40</v>
      </c>
      <c r="U69" s="10">
        <f t="shared" si="2"/>
        <v>35</v>
      </c>
      <c r="V69" s="6">
        <v>4.3</v>
      </c>
      <c r="W69" s="8">
        <v>-8.1380801916122125E-2</v>
      </c>
      <c r="X69" s="8">
        <v>-0.14442322815954658</v>
      </c>
      <c r="Y69" s="8">
        <f t="shared" si="3"/>
        <v>0.50662318716943044</v>
      </c>
    </row>
    <row r="70" spans="1:25" s="6" customFormat="1" x14ac:dyDescent="0.35">
      <c r="A70" s="6" t="s">
        <v>25</v>
      </c>
      <c r="B70" s="6" t="s">
        <v>158</v>
      </c>
      <c r="C70" s="6">
        <v>510157</v>
      </c>
      <c r="D70" s="6" t="s">
        <v>152</v>
      </c>
      <c r="E70" s="6">
        <v>1</v>
      </c>
      <c r="F70" s="6">
        <v>3</v>
      </c>
      <c r="G70" s="6" t="s">
        <v>153</v>
      </c>
      <c r="I70" s="8">
        <v>85.348898888888897</v>
      </c>
      <c r="J70" s="8">
        <v>129.88336361111101</v>
      </c>
      <c r="K70" s="6" t="s">
        <v>29</v>
      </c>
      <c r="L70" s="6" t="s">
        <v>335</v>
      </c>
      <c r="M70" s="9">
        <v>43761</v>
      </c>
      <c r="O70" s="6">
        <v>4</v>
      </c>
      <c r="P70" s="6" t="s">
        <v>4248</v>
      </c>
      <c r="R70" s="6" t="s">
        <v>159</v>
      </c>
      <c r="S70" s="6">
        <v>40</v>
      </c>
      <c r="T70" s="6">
        <v>50</v>
      </c>
      <c r="U70" s="10">
        <f t="shared" si="2"/>
        <v>45</v>
      </c>
      <c r="V70" s="6">
        <v>5.0999999999999996</v>
      </c>
      <c r="W70" s="8">
        <v>0.80143392676115022</v>
      </c>
      <c r="X70" s="8">
        <v>6.8504397459030155</v>
      </c>
      <c r="Y70" s="8">
        <f t="shared" si="3"/>
        <v>0.43896833181381378</v>
      </c>
    </row>
    <row r="71" spans="1:25" s="6" customFormat="1" x14ac:dyDescent="0.35">
      <c r="A71" s="6" t="s">
        <v>25</v>
      </c>
      <c r="B71" s="6" t="s">
        <v>160</v>
      </c>
      <c r="C71" s="6">
        <v>510158</v>
      </c>
      <c r="D71" s="6" t="s">
        <v>152</v>
      </c>
      <c r="E71" s="6">
        <v>1</v>
      </c>
      <c r="F71" s="6">
        <v>3</v>
      </c>
      <c r="G71" s="6" t="s">
        <v>153</v>
      </c>
      <c r="I71" s="8">
        <v>85.348898888888897</v>
      </c>
      <c r="J71" s="8">
        <v>129.88336361111101</v>
      </c>
      <c r="K71" s="6" t="s">
        <v>29</v>
      </c>
      <c r="L71" s="6" t="s">
        <v>335</v>
      </c>
      <c r="M71" s="9">
        <v>43761</v>
      </c>
      <c r="O71" s="6">
        <v>4</v>
      </c>
      <c r="P71" s="6" t="s">
        <v>4248</v>
      </c>
      <c r="R71" s="6" t="s">
        <v>161</v>
      </c>
      <c r="S71" s="6">
        <v>50</v>
      </c>
      <c r="T71" s="6">
        <v>60</v>
      </c>
      <c r="U71" s="10">
        <f t="shared" si="2"/>
        <v>55</v>
      </c>
      <c r="V71" s="6">
        <v>5.2</v>
      </c>
      <c r="W71" s="8">
        <v>-0.96435531420707743</v>
      </c>
      <c r="X71" s="8">
        <v>-7.6109197597503657</v>
      </c>
      <c r="Y71" s="8">
        <f t="shared" si="3"/>
        <v>0.10392275390625372</v>
      </c>
    </row>
    <row r="72" spans="1:25" s="6" customFormat="1" x14ac:dyDescent="0.35">
      <c r="A72" s="6" t="s">
        <v>25</v>
      </c>
      <c r="B72" s="6" t="s">
        <v>162</v>
      </c>
      <c r="C72" s="6">
        <v>510159</v>
      </c>
      <c r="D72" s="6" t="s">
        <v>152</v>
      </c>
      <c r="E72" s="6">
        <v>1</v>
      </c>
      <c r="F72" s="6">
        <v>3</v>
      </c>
      <c r="G72" s="6" t="s">
        <v>153</v>
      </c>
      <c r="I72" s="8">
        <v>85.348898888888897</v>
      </c>
      <c r="J72" s="8">
        <v>129.88336361111101</v>
      </c>
      <c r="K72" s="6" t="s">
        <v>29</v>
      </c>
      <c r="L72" s="6" t="s">
        <v>335</v>
      </c>
      <c r="M72" s="9">
        <v>43761</v>
      </c>
      <c r="O72" s="6">
        <v>4</v>
      </c>
      <c r="P72" s="6" t="s">
        <v>4248</v>
      </c>
      <c r="R72" s="6" t="s">
        <v>163</v>
      </c>
      <c r="S72" s="6">
        <v>60</v>
      </c>
      <c r="T72" s="6">
        <v>70</v>
      </c>
      <c r="U72" s="10">
        <f t="shared" si="2"/>
        <v>65</v>
      </c>
      <c r="V72" s="6">
        <v>5.5</v>
      </c>
      <c r="W72" s="8">
        <v>-0.81101499361991924</v>
      </c>
      <c r="X72" s="8">
        <v>-6.2816769914627075</v>
      </c>
      <c r="Y72" s="8">
        <f t="shared" si="3"/>
        <v>0.20644295749664643</v>
      </c>
    </row>
    <row r="73" spans="1:25" s="6" customFormat="1" x14ac:dyDescent="0.35">
      <c r="A73" s="6" t="s">
        <v>25</v>
      </c>
      <c r="B73" s="6" t="s">
        <v>164</v>
      </c>
      <c r="C73" s="6">
        <v>510160</v>
      </c>
      <c r="D73" s="6" t="s">
        <v>152</v>
      </c>
      <c r="E73" s="6">
        <v>1</v>
      </c>
      <c r="F73" s="6">
        <v>3</v>
      </c>
      <c r="G73" s="6" t="s">
        <v>153</v>
      </c>
      <c r="I73" s="8">
        <v>85.348898888888897</v>
      </c>
      <c r="J73" s="8">
        <v>129.88336361111101</v>
      </c>
      <c r="K73" s="6" t="s">
        <v>29</v>
      </c>
      <c r="L73" s="6" t="s">
        <v>335</v>
      </c>
      <c r="M73" s="9">
        <v>43761</v>
      </c>
      <c r="O73" s="6">
        <v>4</v>
      </c>
      <c r="P73" s="6" t="s">
        <v>4248</v>
      </c>
      <c r="R73" s="6" t="s">
        <v>165</v>
      </c>
      <c r="S73" s="6">
        <v>70</v>
      </c>
      <c r="T73" s="6">
        <v>80</v>
      </c>
      <c r="U73" s="10">
        <f t="shared" si="2"/>
        <v>75</v>
      </c>
      <c r="V73" s="6">
        <v>4.5999999999999996</v>
      </c>
      <c r="W73" s="8">
        <v>-0.89130975337028506</v>
      </c>
      <c r="X73" s="8">
        <v>-6.7000322809219366</v>
      </c>
      <c r="Y73" s="8">
        <f t="shared" si="3"/>
        <v>0.43044574604034391</v>
      </c>
    </row>
    <row r="74" spans="1:25" s="6" customFormat="1" x14ac:dyDescent="0.35">
      <c r="A74" s="6" t="s">
        <v>25</v>
      </c>
      <c r="B74" s="6" t="s">
        <v>166</v>
      </c>
      <c r="C74" s="6">
        <v>510161</v>
      </c>
      <c r="D74" s="6" t="s">
        <v>152</v>
      </c>
      <c r="E74" s="6">
        <v>1</v>
      </c>
      <c r="F74" s="6">
        <v>3</v>
      </c>
      <c r="G74" s="6" t="s">
        <v>153</v>
      </c>
      <c r="I74" s="8">
        <v>85.348898888888897</v>
      </c>
      <c r="J74" s="8">
        <v>129.88336361111101</v>
      </c>
      <c r="K74" s="6" t="s">
        <v>29</v>
      </c>
      <c r="L74" s="6" t="s">
        <v>335</v>
      </c>
      <c r="M74" s="9">
        <v>43761</v>
      </c>
      <c r="O74" s="6">
        <v>4</v>
      </c>
      <c r="P74" s="6" t="s">
        <v>4248</v>
      </c>
      <c r="R74" s="6" t="s">
        <v>167</v>
      </c>
      <c r="S74" s="6">
        <v>80</v>
      </c>
      <c r="T74" s="6">
        <v>90</v>
      </c>
      <c r="U74" s="10">
        <f t="shared" si="2"/>
        <v>85</v>
      </c>
      <c r="V74" s="6">
        <v>4</v>
      </c>
      <c r="W74" s="8">
        <v>-0.85771091325283055</v>
      </c>
      <c r="X74" s="8">
        <v>-6.3895367269515999</v>
      </c>
      <c r="Y74" s="8">
        <f t="shared" si="3"/>
        <v>0.47215057907104452</v>
      </c>
    </row>
    <row r="75" spans="1:25" s="6" customFormat="1" x14ac:dyDescent="0.35">
      <c r="A75" s="6" t="s">
        <v>25</v>
      </c>
      <c r="B75" s="6" t="s">
        <v>168</v>
      </c>
      <c r="C75" s="6">
        <v>510162</v>
      </c>
      <c r="D75" s="6" t="s">
        <v>152</v>
      </c>
      <c r="E75" s="6">
        <v>1</v>
      </c>
      <c r="F75" s="6">
        <v>3</v>
      </c>
      <c r="G75" s="6" t="s">
        <v>153</v>
      </c>
      <c r="I75" s="8">
        <v>85.348898888888897</v>
      </c>
      <c r="J75" s="8">
        <v>129.88336361111101</v>
      </c>
      <c r="K75" s="6" t="s">
        <v>29</v>
      </c>
      <c r="L75" s="6" t="s">
        <v>335</v>
      </c>
      <c r="M75" s="9">
        <v>43761</v>
      </c>
      <c r="O75" s="6">
        <v>4</v>
      </c>
      <c r="P75" s="6" t="s">
        <v>4248</v>
      </c>
      <c r="R75" s="6" t="s">
        <v>169</v>
      </c>
      <c r="S75" s="6">
        <v>90</v>
      </c>
      <c r="T75" s="6">
        <v>100</v>
      </c>
      <c r="U75" s="10">
        <f t="shared" si="2"/>
        <v>95</v>
      </c>
      <c r="V75" s="6">
        <v>3.5</v>
      </c>
      <c r="W75" s="8">
        <v>-1.044583995532989</v>
      </c>
      <c r="X75" s="8">
        <v>-8.1825255804061907</v>
      </c>
      <c r="Y75" s="8">
        <f t="shared" si="3"/>
        <v>0.17414638385772108</v>
      </c>
    </row>
    <row r="76" spans="1:25" s="6" customFormat="1" x14ac:dyDescent="0.35">
      <c r="A76" s="6" t="s">
        <v>25</v>
      </c>
      <c r="B76" s="6" t="s">
        <v>170</v>
      </c>
      <c r="C76" s="6">
        <v>510163</v>
      </c>
      <c r="D76" s="6" t="s">
        <v>152</v>
      </c>
      <c r="E76" s="6">
        <v>1</v>
      </c>
      <c r="F76" s="6">
        <v>3</v>
      </c>
      <c r="G76" s="6" t="s">
        <v>153</v>
      </c>
      <c r="I76" s="8">
        <v>85.348898888888897</v>
      </c>
      <c r="J76" s="8">
        <v>129.88336361111101</v>
      </c>
      <c r="K76" s="6" t="s">
        <v>29</v>
      </c>
      <c r="L76" s="6" t="s">
        <v>335</v>
      </c>
      <c r="M76" s="9">
        <v>43761</v>
      </c>
      <c r="O76" s="6">
        <v>4</v>
      </c>
      <c r="P76" s="6" t="s">
        <v>4248</v>
      </c>
      <c r="R76" s="6" t="s">
        <v>171</v>
      </c>
      <c r="S76" s="6">
        <v>100</v>
      </c>
      <c r="T76" s="6">
        <v>110</v>
      </c>
      <c r="U76" s="10">
        <f t="shared" si="2"/>
        <v>105</v>
      </c>
      <c r="V76" s="6">
        <v>3.4</v>
      </c>
      <c r="W76" s="8">
        <v>-1.2472095865726469</v>
      </c>
      <c r="X76" s="8">
        <v>-9.2739042739868172</v>
      </c>
      <c r="Y76" s="8">
        <f t="shared" si="3"/>
        <v>0.70377241859435813</v>
      </c>
    </row>
    <row r="77" spans="1:25" s="6" customFormat="1" x14ac:dyDescent="0.35">
      <c r="A77" s="6" t="s">
        <v>25</v>
      </c>
      <c r="B77" s="6" t="s">
        <v>172</v>
      </c>
      <c r="C77" s="6">
        <v>510164</v>
      </c>
      <c r="D77" s="6" t="s">
        <v>152</v>
      </c>
      <c r="E77" s="6">
        <v>1</v>
      </c>
      <c r="F77" s="6">
        <v>3</v>
      </c>
      <c r="G77" s="6" t="s">
        <v>153</v>
      </c>
      <c r="I77" s="8">
        <v>85.348898888888897</v>
      </c>
      <c r="J77" s="8">
        <v>129.88336361111101</v>
      </c>
      <c r="K77" s="6" t="s">
        <v>29</v>
      </c>
      <c r="L77" s="6" t="s">
        <v>335</v>
      </c>
      <c r="M77" s="9">
        <v>43761</v>
      </c>
      <c r="O77" s="6">
        <v>4</v>
      </c>
      <c r="P77" s="6" t="s">
        <v>4248</v>
      </c>
      <c r="R77" s="6" t="s">
        <v>173</v>
      </c>
      <c r="S77" s="6">
        <v>110</v>
      </c>
      <c r="T77" s="6">
        <v>120</v>
      </c>
      <c r="U77" s="10">
        <f t="shared" si="2"/>
        <v>115</v>
      </c>
      <c r="V77" s="6">
        <v>3</v>
      </c>
      <c r="W77" s="8">
        <v>-0.44667247242927538</v>
      </c>
      <c r="X77" s="8">
        <v>-3.4984359979629516</v>
      </c>
      <c r="Y77" s="8">
        <f t="shared" si="3"/>
        <v>7.4943781471251469E-2</v>
      </c>
    </row>
    <row r="78" spans="1:25" s="6" customFormat="1" x14ac:dyDescent="0.35">
      <c r="A78" s="6" t="s">
        <v>25</v>
      </c>
      <c r="B78" s="6" t="s">
        <v>174</v>
      </c>
      <c r="C78" s="6">
        <v>510165</v>
      </c>
      <c r="D78" s="6" t="s">
        <v>152</v>
      </c>
      <c r="E78" s="6">
        <v>1</v>
      </c>
      <c r="F78" s="6">
        <v>3</v>
      </c>
      <c r="G78" s="6" t="s">
        <v>153</v>
      </c>
      <c r="I78" s="8">
        <v>85.348898888888897</v>
      </c>
      <c r="J78" s="8">
        <v>129.88336361111101</v>
      </c>
      <c r="K78" s="6" t="s">
        <v>29</v>
      </c>
      <c r="L78" s="6" t="s">
        <v>335</v>
      </c>
      <c r="M78" s="9">
        <v>43761</v>
      </c>
      <c r="O78" s="6">
        <v>4</v>
      </c>
      <c r="P78" s="6" t="s">
        <v>4248</v>
      </c>
      <c r="R78" s="6" t="s">
        <v>175</v>
      </c>
      <c r="S78" s="6">
        <v>120</v>
      </c>
      <c r="T78" s="6">
        <v>130</v>
      </c>
      <c r="U78" s="10">
        <f t="shared" si="2"/>
        <v>125</v>
      </c>
      <c r="V78" s="6">
        <v>3.7</v>
      </c>
      <c r="W78" s="8">
        <v>5.3400847040768383E-2</v>
      </c>
      <c r="X78" s="8">
        <v>0.48741941881179807</v>
      </c>
      <c r="Y78" s="8">
        <f t="shared" si="3"/>
        <v>6.0212642485651002E-2</v>
      </c>
    </row>
    <row r="79" spans="1:25" s="6" customFormat="1" x14ac:dyDescent="0.35">
      <c r="A79" s="6" t="s">
        <v>25</v>
      </c>
      <c r="B79" s="6" t="s">
        <v>176</v>
      </c>
      <c r="C79" s="6">
        <v>510166</v>
      </c>
      <c r="D79" s="6" t="s">
        <v>152</v>
      </c>
      <c r="E79" s="6">
        <v>1</v>
      </c>
      <c r="F79" s="6">
        <v>3</v>
      </c>
      <c r="G79" s="6" t="s">
        <v>153</v>
      </c>
      <c r="I79" s="8">
        <v>85.348898888888897</v>
      </c>
      <c r="J79" s="8">
        <v>129.88336361111101</v>
      </c>
      <c r="K79" s="6" t="s">
        <v>29</v>
      </c>
      <c r="L79" s="6" t="s">
        <v>335</v>
      </c>
      <c r="M79" s="9">
        <v>43761</v>
      </c>
      <c r="O79" s="6">
        <v>4</v>
      </c>
      <c r="P79" s="6" t="s">
        <v>4248</v>
      </c>
      <c r="R79" s="6" t="s">
        <v>177</v>
      </c>
      <c r="S79" s="6">
        <v>130</v>
      </c>
      <c r="T79" s="6">
        <v>141</v>
      </c>
      <c r="U79" s="10">
        <f t="shared" si="2"/>
        <v>135.5</v>
      </c>
      <c r="V79" s="6">
        <v>3.9</v>
      </c>
      <c r="W79" s="8">
        <v>0.66707439486980469</v>
      </c>
      <c r="X79" s="8">
        <v>5.7219582624435423</v>
      </c>
      <c r="Y79" s="8">
        <f t="shared" si="3"/>
        <v>0.38536310348510483</v>
      </c>
    </row>
    <row r="80" spans="1:25" s="6" customFormat="1" x14ac:dyDescent="0.35">
      <c r="A80" s="6" t="s">
        <v>25</v>
      </c>
      <c r="B80" s="7"/>
      <c r="C80" s="6">
        <v>510167</v>
      </c>
      <c r="D80" s="6" t="s">
        <v>178</v>
      </c>
      <c r="E80" s="6">
        <v>1</v>
      </c>
      <c r="F80" s="6">
        <v>4</v>
      </c>
      <c r="G80" s="6" t="s">
        <v>179</v>
      </c>
      <c r="H80" s="6">
        <v>8</v>
      </c>
      <c r="I80" s="8">
        <v>85.406511180555597</v>
      </c>
      <c r="J80" s="8">
        <v>128.89254722222199</v>
      </c>
      <c r="K80" s="6" t="s">
        <v>29</v>
      </c>
      <c r="L80" s="6" t="s">
        <v>335</v>
      </c>
      <c r="M80" s="9">
        <v>43762</v>
      </c>
      <c r="O80" s="6">
        <v>4</v>
      </c>
      <c r="P80" s="6" t="s">
        <v>4249</v>
      </c>
      <c r="S80" s="6">
        <v>0</v>
      </c>
      <c r="T80" s="6">
        <v>10</v>
      </c>
      <c r="U80" s="10">
        <f t="shared" si="2"/>
        <v>5</v>
      </c>
      <c r="V80" s="6">
        <v>7.6</v>
      </c>
      <c r="W80" s="8">
        <v>-2.6598197258710861</v>
      </c>
      <c r="X80" s="8">
        <v>-18.441027037525174</v>
      </c>
      <c r="Y80" s="8">
        <f t="shared" si="3"/>
        <v>2.8375307694435143</v>
      </c>
    </row>
    <row r="81" spans="1:25" s="6" customFormat="1" x14ac:dyDescent="0.35">
      <c r="A81" s="6" t="s">
        <v>25</v>
      </c>
      <c r="B81" s="7"/>
      <c r="C81" s="6">
        <v>510168</v>
      </c>
      <c r="D81" s="6" t="s">
        <v>178</v>
      </c>
      <c r="E81" s="6">
        <v>1</v>
      </c>
      <c r="F81" s="6">
        <v>4</v>
      </c>
      <c r="G81" s="6" t="s">
        <v>179</v>
      </c>
      <c r="H81" s="6">
        <v>8</v>
      </c>
      <c r="I81" s="8">
        <v>85.406511180555597</v>
      </c>
      <c r="J81" s="8">
        <v>128.89254722222199</v>
      </c>
      <c r="K81" s="6" t="s">
        <v>29</v>
      </c>
      <c r="L81" s="6" t="s">
        <v>335</v>
      </c>
      <c r="M81" s="9">
        <v>43762</v>
      </c>
      <c r="O81" s="6">
        <v>4</v>
      </c>
      <c r="P81" s="6" t="s">
        <v>4249</v>
      </c>
      <c r="S81" s="6">
        <v>10</v>
      </c>
      <c r="T81" s="6">
        <v>20</v>
      </c>
      <c r="U81" s="10">
        <f t="shared" si="2"/>
        <v>15</v>
      </c>
      <c r="V81" s="6">
        <v>4.9000000000000004</v>
      </c>
      <c r="W81" s="8">
        <v>-2.2899503834247588</v>
      </c>
      <c r="X81" s="8">
        <v>-15.658707599544524</v>
      </c>
      <c r="Y81" s="8">
        <f t="shared" si="3"/>
        <v>2.6608954678535461</v>
      </c>
    </row>
    <row r="82" spans="1:25" s="6" customFormat="1" x14ac:dyDescent="0.35">
      <c r="A82" s="6" t="s">
        <v>25</v>
      </c>
      <c r="B82" s="7"/>
      <c r="C82" s="6">
        <v>510169</v>
      </c>
      <c r="D82" s="6" t="s">
        <v>178</v>
      </c>
      <c r="E82" s="6">
        <v>1</v>
      </c>
      <c r="F82" s="6">
        <v>4</v>
      </c>
      <c r="G82" s="6" t="s">
        <v>179</v>
      </c>
      <c r="H82" s="6">
        <v>8</v>
      </c>
      <c r="I82" s="8">
        <v>85.406511180555597</v>
      </c>
      <c r="J82" s="8">
        <v>128.89254722222199</v>
      </c>
      <c r="K82" s="6" t="s">
        <v>29</v>
      </c>
      <c r="L82" s="6" t="s">
        <v>335</v>
      </c>
      <c r="M82" s="9">
        <v>43762</v>
      </c>
      <c r="O82" s="6">
        <v>4</v>
      </c>
      <c r="P82" s="6" t="s">
        <v>4249</v>
      </c>
      <c r="S82" s="6">
        <v>20</v>
      </c>
      <c r="T82" s="6">
        <v>30</v>
      </c>
      <c r="U82" s="10">
        <f t="shared" si="2"/>
        <v>25</v>
      </c>
      <c r="V82" s="6">
        <v>5.6</v>
      </c>
      <c r="W82" s="8">
        <v>0.98245832091569885</v>
      </c>
      <c r="X82" s="8">
        <v>8.7730179806709288</v>
      </c>
      <c r="Y82" s="8">
        <f t="shared" si="3"/>
        <v>0.91335141334533798</v>
      </c>
    </row>
    <row r="83" spans="1:25" s="6" customFormat="1" x14ac:dyDescent="0.35">
      <c r="A83" s="6" t="s">
        <v>25</v>
      </c>
      <c r="B83" s="7"/>
      <c r="C83" s="6">
        <v>510170</v>
      </c>
      <c r="D83" s="6" t="s">
        <v>178</v>
      </c>
      <c r="E83" s="6">
        <v>1</v>
      </c>
      <c r="F83" s="6">
        <v>4</v>
      </c>
      <c r="G83" s="6" t="s">
        <v>179</v>
      </c>
      <c r="H83" s="6">
        <v>8</v>
      </c>
      <c r="I83" s="8">
        <v>85.406511180555597</v>
      </c>
      <c r="J83" s="8">
        <v>128.89254722222199</v>
      </c>
      <c r="K83" s="6" t="s">
        <v>29</v>
      </c>
      <c r="L83" s="6" t="s">
        <v>335</v>
      </c>
      <c r="M83" s="9">
        <v>43762</v>
      </c>
      <c r="O83" s="6">
        <v>4</v>
      </c>
      <c r="P83" s="6" t="s">
        <v>4249</v>
      </c>
      <c r="S83" s="6">
        <v>30</v>
      </c>
      <c r="T83" s="6">
        <v>40</v>
      </c>
      <c r="U83" s="10">
        <f t="shared" si="2"/>
        <v>35</v>
      </c>
      <c r="V83" s="6">
        <v>6</v>
      </c>
      <c r="W83" s="8">
        <v>1.0135080441713331</v>
      </c>
      <c r="X83" s="8">
        <v>9.0070739929199206</v>
      </c>
      <c r="Y83" s="8">
        <f t="shared" si="3"/>
        <v>0.89900963954925572</v>
      </c>
    </row>
    <row r="84" spans="1:25" s="6" customFormat="1" x14ac:dyDescent="0.35">
      <c r="A84" s="6" t="s">
        <v>25</v>
      </c>
      <c r="B84" s="7"/>
      <c r="C84" s="6">
        <v>510211</v>
      </c>
      <c r="D84" s="6" t="s">
        <v>201</v>
      </c>
      <c r="E84" s="6">
        <v>1</v>
      </c>
      <c r="F84" s="6">
        <v>5</v>
      </c>
      <c r="G84" s="6" t="s">
        <v>202</v>
      </c>
      <c r="H84" s="6">
        <v>9</v>
      </c>
      <c r="I84" s="8">
        <v>85.587483888888897</v>
      </c>
      <c r="J84" s="8">
        <v>126.139427777778</v>
      </c>
      <c r="K84" s="6" t="s">
        <v>29</v>
      </c>
      <c r="L84" s="6" t="s">
        <v>335</v>
      </c>
      <c r="M84" s="9">
        <v>43766</v>
      </c>
      <c r="O84" s="6">
        <v>5</v>
      </c>
      <c r="P84" s="6" t="s">
        <v>4251</v>
      </c>
      <c r="R84" s="6" t="s">
        <v>203</v>
      </c>
      <c r="S84" s="6">
        <v>0</v>
      </c>
      <c r="T84" s="6">
        <v>5</v>
      </c>
      <c r="U84" s="10">
        <f t="shared" si="2"/>
        <v>2.5</v>
      </c>
      <c r="V84" s="6">
        <v>10.6</v>
      </c>
      <c r="W84" s="8">
        <v>-2.4553351804733281</v>
      </c>
      <c r="X84" s="8">
        <v>-19.268064376640321</v>
      </c>
      <c r="Y84" s="8">
        <f t="shared" si="3"/>
        <v>0.37461706714630338</v>
      </c>
    </row>
    <row r="85" spans="1:25" s="6" customFormat="1" x14ac:dyDescent="0.35">
      <c r="A85" s="6" t="s">
        <v>25</v>
      </c>
      <c r="B85" s="7"/>
      <c r="C85" s="6">
        <v>510212</v>
      </c>
      <c r="D85" s="6" t="s">
        <v>201</v>
      </c>
      <c r="E85" s="6">
        <v>1</v>
      </c>
      <c r="F85" s="6">
        <v>5</v>
      </c>
      <c r="G85" s="6" t="s">
        <v>202</v>
      </c>
      <c r="H85" s="6">
        <v>9</v>
      </c>
      <c r="I85" s="8">
        <v>85.587483888888897</v>
      </c>
      <c r="J85" s="8">
        <v>126.139427777778</v>
      </c>
      <c r="K85" s="6" t="s">
        <v>29</v>
      </c>
      <c r="L85" s="6" t="s">
        <v>335</v>
      </c>
      <c r="M85" s="9">
        <v>43766</v>
      </c>
      <c r="O85" s="6">
        <v>5</v>
      </c>
      <c r="P85" s="6" t="s">
        <v>4251</v>
      </c>
      <c r="R85" s="6" t="s">
        <v>204</v>
      </c>
      <c r="S85" s="6">
        <v>5</v>
      </c>
      <c r="T85" s="6">
        <v>10</v>
      </c>
      <c r="U85" s="10">
        <f t="shared" si="2"/>
        <v>7.5</v>
      </c>
      <c r="V85" s="6">
        <v>8</v>
      </c>
      <c r="W85" s="8">
        <v>-0.88132902271747593</v>
      </c>
      <c r="X85" s="8">
        <v>-6.2668435342788689</v>
      </c>
      <c r="Y85" s="8">
        <f t="shared" si="3"/>
        <v>0.78378864746093857</v>
      </c>
    </row>
    <row r="86" spans="1:25" s="6" customFormat="1" x14ac:dyDescent="0.35">
      <c r="A86" s="6" t="s">
        <v>25</v>
      </c>
      <c r="B86" s="7"/>
      <c r="C86" s="6">
        <v>510216</v>
      </c>
      <c r="D86" s="6" t="s">
        <v>201</v>
      </c>
      <c r="E86" s="6">
        <v>1</v>
      </c>
      <c r="F86" s="6">
        <v>5</v>
      </c>
      <c r="G86" s="6" t="s">
        <v>202</v>
      </c>
      <c r="H86" s="6">
        <v>9</v>
      </c>
      <c r="I86" s="8">
        <v>85.587483888888897</v>
      </c>
      <c r="J86" s="8">
        <v>126.139427777778</v>
      </c>
      <c r="K86" s="6" t="s">
        <v>29</v>
      </c>
      <c r="L86" s="6" t="s">
        <v>335</v>
      </c>
      <c r="M86" s="9">
        <v>43766</v>
      </c>
      <c r="O86" s="6">
        <v>5</v>
      </c>
      <c r="P86" s="6" t="s">
        <v>4251</v>
      </c>
      <c r="R86" s="6" t="s">
        <v>208</v>
      </c>
      <c r="S86" s="6">
        <v>10</v>
      </c>
      <c r="T86" s="6">
        <v>20.7</v>
      </c>
      <c r="U86" s="10">
        <f t="shared" si="2"/>
        <v>15.35</v>
      </c>
      <c r="V86" s="6">
        <v>6.8</v>
      </c>
      <c r="W86" s="8">
        <v>-0.76919455982446683</v>
      </c>
      <c r="X86" s="8">
        <v>-5.3860452894002195</v>
      </c>
      <c r="Y86" s="8">
        <f t="shared" si="3"/>
        <v>0.76751118919551509</v>
      </c>
    </row>
    <row r="87" spans="1:25" s="6" customFormat="1" x14ac:dyDescent="0.35">
      <c r="A87" s="6" t="s">
        <v>25</v>
      </c>
      <c r="B87" s="7"/>
      <c r="C87" s="6">
        <v>510215</v>
      </c>
      <c r="D87" s="6" t="s">
        <v>201</v>
      </c>
      <c r="E87" s="6">
        <v>1</v>
      </c>
      <c r="F87" s="6">
        <v>5</v>
      </c>
      <c r="G87" s="6" t="s">
        <v>202</v>
      </c>
      <c r="H87" s="6">
        <v>9</v>
      </c>
      <c r="I87" s="8">
        <v>85.587483888888897</v>
      </c>
      <c r="J87" s="8">
        <v>126.139427777778</v>
      </c>
      <c r="K87" s="6" t="s">
        <v>29</v>
      </c>
      <c r="L87" s="6" t="s">
        <v>335</v>
      </c>
      <c r="M87" s="9">
        <v>43766</v>
      </c>
      <c r="O87" s="6">
        <v>5</v>
      </c>
      <c r="P87" s="6" t="s">
        <v>4251</v>
      </c>
      <c r="R87" s="6" t="s">
        <v>207</v>
      </c>
      <c r="S87" s="6">
        <v>20.7</v>
      </c>
      <c r="T87" s="6">
        <v>31.5</v>
      </c>
      <c r="U87" s="10">
        <f t="shared" si="2"/>
        <v>26.1</v>
      </c>
      <c r="V87" s="6">
        <v>5.7</v>
      </c>
      <c r="W87" s="8">
        <v>0.11191538362503048</v>
      </c>
      <c r="X87" s="8">
        <v>2.021436303806305</v>
      </c>
      <c r="Y87" s="8">
        <f t="shared" si="3"/>
        <v>1.1261132348060612</v>
      </c>
    </row>
    <row r="88" spans="1:25" s="6" customFormat="1" x14ac:dyDescent="0.35">
      <c r="A88" s="6" t="s">
        <v>25</v>
      </c>
      <c r="B88" s="7"/>
      <c r="C88" s="6">
        <v>510214</v>
      </c>
      <c r="D88" s="6" t="s">
        <v>201</v>
      </c>
      <c r="E88" s="6">
        <v>1</v>
      </c>
      <c r="F88" s="6">
        <v>5</v>
      </c>
      <c r="G88" s="6" t="s">
        <v>202</v>
      </c>
      <c r="H88" s="6">
        <v>9</v>
      </c>
      <c r="I88" s="8">
        <v>85.587483888888897</v>
      </c>
      <c r="J88" s="8">
        <v>126.139427777778</v>
      </c>
      <c r="K88" s="6" t="s">
        <v>29</v>
      </c>
      <c r="L88" s="6" t="s">
        <v>335</v>
      </c>
      <c r="M88" s="9">
        <v>43766</v>
      </c>
      <c r="O88" s="6">
        <v>5</v>
      </c>
      <c r="P88" s="6" t="s">
        <v>4251</v>
      </c>
      <c r="R88" s="6" t="s">
        <v>206</v>
      </c>
      <c r="S88" s="6">
        <v>31.5</v>
      </c>
      <c r="T88" s="6">
        <v>36.5</v>
      </c>
      <c r="U88" s="10">
        <f t="shared" si="2"/>
        <v>34</v>
      </c>
      <c r="V88" s="6">
        <v>5.4</v>
      </c>
      <c r="W88" s="8">
        <v>0.98120214204788259</v>
      </c>
      <c r="X88" s="8">
        <v>8.7251849262237542</v>
      </c>
      <c r="Y88" s="8">
        <f t="shared" si="3"/>
        <v>0.8755677898406935</v>
      </c>
    </row>
    <row r="89" spans="1:25" s="6" customFormat="1" x14ac:dyDescent="0.35">
      <c r="A89" s="6" t="s">
        <v>25</v>
      </c>
      <c r="B89" s="7"/>
      <c r="C89" s="6">
        <v>510213</v>
      </c>
      <c r="D89" s="6" t="s">
        <v>201</v>
      </c>
      <c r="E89" s="6">
        <v>1</v>
      </c>
      <c r="F89" s="6">
        <v>5</v>
      </c>
      <c r="G89" s="6" t="s">
        <v>202</v>
      </c>
      <c r="H89" s="6">
        <v>9</v>
      </c>
      <c r="I89" s="8">
        <v>85.587483888888897</v>
      </c>
      <c r="J89" s="8">
        <v>126.139427777778</v>
      </c>
      <c r="K89" s="6" t="s">
        <v>29</v>
      </c>
      <c r="L89" s="6" t="s">
        <v>335</v>
      </c>
      <c r="M89" s="9">
        <v>43766</v>
      </c>
      <c r="O89" s="6">
        <v>5</v>
      </c>
      <c r="P89" s="6" t="s">
        <v>4251</v>
      </c>
      <c r="R89" s="6" t="s">
        <v>205</v>
      </c>
      <c r="S89" s="6">
        <v>36.5</v>
      </c>
      <c r="T89" s="6">
        <v>41.5</v>
      </c>
      <c r="U89" s="10">
        <f t="shared" si="2"/>
        <v>39</v>
      </c>
      <c r="V89" s="6">
        <v>7.3</v>
      </c>
      <c r="W89" s="8">
        <v>0.95219366042614006</v>
      </c>
      <c r="X89" s="8">
        <v>7.7227568094253538</v>
      </c>
      <c r="Y89" s="8">
        <f t="shared" si="3"/>
        <v>0.10520752601623329</v>
      </c>
    </row>
    <row r="90" spans="1:25" s="6" customFormat="1" x14ac:dyDescent="0.35">
      <c r="A90" s="6" t="s">
        <v>25</v>
      </c>
      <c r="B90" s="7"/>
      <c r="C90" s="6">
        <v>510217</v>
      </c>
      <c r="D90" s="6" t="s">
        <v>209</v>
      </c>
      <c r="E90" s="6">
        <v>1</v>
      </c>
      <c r="F90" s="6">
        <v>5</v>
      </c>
      <c r="G90" s="6" t="s">
        <v>210</v>
      </c>
      <c r="H90" s="6">
        <v>16</v>
      </c>
      <c r="I90" s="8">
        <v>85.587483888888897</v>
      </c>
      <c r="J90" s="8">
        <v>126.139427777778</v>
      </c>
      <c r="K90" s="6" t="s">
        <v>29</v>
      </c>
      <c r="L90" s="6" t="s">
        <v>546</v>
      </c>
      <c r="M90" s="9">
        <v>43766</v>
      </c>
      <c r="O90" s="6">
        <v>5</v>
      </c>
      <c r="P90" s="6" t="s">
        <v>4251</v>
      </c>
      <c r="R90" s="6" t="s">
        <v>203</v>
      </c>
      <c r="S90" s="6">
        <v>0</v>
      </c>
      <c r="T90" s="6">
        <v>5</v>
      </c>
      <c r="U90" s="10">
        <f t="shared" si="2"/>
        <v>2.5</v>
      </c>
      <c r="V90" s="6">
        <v>5</v>
      </c>
      <c r="W90" s="8">
        <v>-5.9229873926162728</v>
      </c>
      <c r="X90" s="8">
        <v>-45.027758839416499</v>
      </c>
      <c r="Y90" s="8">
        <f t="shared" si="3"/>
        <v>2.3561403015136833</v>
      </c>
    </row>
    <row r="91" spans="1:25" s="6" customFormat="1" x14ac:dyDescent="0.35">
      <c r="A91" s="6" t="s">
        <v>25</v>
      </c>
      <c r="B91" s="7"/>
      <c r="C91" s="6">
        <v>510230</v>
      </c>
      <c r="D91" s="6" t="s">
        <v>217</v>
      </c>
      <c r="E91" s="6">
        <v>1</v>
      </c>
      <c r="F91" s="6">
        <v>5</v>
      </c>
      <c r="G91" s="6" t="s">
        <v>210</v>
      </c>
      <c r="H91" s="6">
        <v>16</v>
      </c>
      <c r="I91" s="8">
        <v>85.587483888888897</v>
      </c>
      <c r="J91" s="8">
        <v>126.139427777778</v>
      </c>
      <c r="K91" s="6" t="s">
        <v>29</v>
      </c>
      <c r="L91" s="6" t="s">
        <v>546</v>
      </c>
      <c r="M91" s="9">
        <v>43766</v>
      </c>
      <c r="O91" s="6">
        <v>5</v>
      </c>
      <c r="P91" s="6" t="s">
        <v>4251</v>
      </c>
      <c r="R91" s="6" t="s">
        <v>64</v>
      </c>
      <c r="S91" s="6">
        <v>0</v>
      </c>
      <c r="T91" s="6">
        <v>10</v>
      </c>
      <c r="U91" s="10">
        <f t="shared" si="2"/>
        <v>5</v>
      </c>
      <c r="V91" s="6">
        <v>0</v>
      </c>
      <c r="W91" s="8">
        <v>-6.3742679126739512</v>
      </c>
      <c r="X91" s="8">
        <v>-49.221475982666014</v>
      </c>
      <c r="Y91" s="8">
        <f t="shared" si="3"/>
        <v>1.7726673187255955</v>
      </c>
    </row>
    <row r="92" spans="1:25" s="6" customFormat="1" x14ac:dyDescent="0.35">
      <c r="A92" s="6" t="s">
        <v>25</v>
      </c>
      <c r="B92" s="7"/>
      <c r="C92" s="6">
        <v>510218</v>
      </c>
      <c r="D92" s="6" t="s">
        <v>209</v>
      </c>
      <c r="E92" s="6">
        <v>1</v>
      </c>
      <c r="F92" s="6">
        <v>5</v>
      </c>
      <c r="G92" s="6" t="s">
        <v>210</v>
      </c>
      <c r="H92" s="6">
        <v>16</v>
      </c>
      <c r="I92" s="8">
        <v>85.587483888888897</v>
      </c>
      <c r="J92" s="8">
        <v>126.139427777778</v>
      </c>
      <c r="K92" s="6" t="s">
        <v>29</v>
      </c>
      <c r="L92" s="6" t="s">
        <v>546</v>
      </c>
      <c r="M92" s="9">
        <v>43766</v>
      </c>
      <c r="O92" s="6">
        <v>5</v>
      </c>
      <c r="P92" s="6" t="s">
        <v>4251</v>
      </c>
      <c r="R92" s="6" t="s">
        <v>204</v>
      </c>
      <c r="S92" s="6">
        <v>5</v>
      </c>
      <c r="T92" s="6">
        <v>10</v>
      </c>
      <c r="U92" s="10">
        <f t="shared" si="2"/>
        <v>7.5</v>
      </c>
      <c r="V92" s="6">
        <v>1.1000000000000001</v>
      </c>
      <c r="W92" s="8">
        <v>-4.3661138207435606</v>
      </c>
      <c r="X92" s="8">
        <v>-33.876234398651121</v>
      </c>
      <c r="Y92" s="8">
        <f t="shared" si="3"/>
        <v>1.0526761672973635</v>
      </c>
    </row>
    <row r="93" spans="1:25" s="6" customFormat="1" x14ac:dyDescent="0.35">
      <c r="A93" s="6" t="s">
        <v>25</v>
      </c>
      <c r="B93" s="7"/>
      <c r="C93" s="6">
        <v>510219</v>
      </c>
      <c r="D93" s="6" t="s">
        <v>209</v>
      </c>
      <c r="E93" s="6">
        <v>1</v>
      </c>
      <c r="F93" s="6">
        <v>5</v>
      </c>
      <c r="G93" s="6" t="s">
        <v>210</v>
      </c>
      <c r="H93" s="6">
        <v>16</v>
      </c>
      <c r="I93" s="8">
        <v>85.587483888888897</v>
      </c>
      <c r="J93" s="8">
        <v>126.139427777778</v>
      </c>
      <c r="K93" s="6" t="s">
        <v>29</v>
      </c>
      <c r="L93" s="6" t="s">
        <v>546</v>
      </c>
      <c r="M93" s="9">
        <v>43766</v>
      </c>
      <c r="O93" s="6">
        <v>5</v>
      </c>
      <c r="P93" s="6" t="s">
        <v>4251</v>
      </c>
      <c r="R93" s="6" t="s">
        <v>138</v>
      </c>
      <c r="S93" s="6">
        <v>10</v>
      </c>
      <c r="T93" s="6">
        <v>20</v>
      </c>
      <c r="U93" s="10">
        <f t="shared" si="2"/>
        <v>15</v>
      </c>
      <c r="V93" s="6">
        <v>1.3</v>
      </c>
      <c r="W93" s="8">
        <v>-3.5823662671566012</v>
      </c>
      <c r="X93" s="8">
        <v>-27.383188616561888</v>
      </c>
      <c r="Y93" s="8">
        <f t="shared" si="3"/>
        <v>1.2757415206909215</v>
      </c>
    </row>
    <row r="94" spans="1:25" s="6" customFormat="1" x14ac:dyDescent="0.35">
      <c r="A94" s="6" t="s">
        <v>25</v>
      </c>
      <c r="B94" s="7"/>
      <c r="C94" s="6">
        <v>510231</v>
      </c>
      <c r="D94" s="6" t="s">
        <v>217</v>
      </c>
      <c r="E94" s="6">
        <v>1</v>
      </c>
      <c r="F94" s="6">
        <v>5</v>
      </c>
      <c r="G94" s="6" t="s">
        <v>210</v>
      </c>
      <c r="H94" s="6">
        <v>16</v>
      </c>
      <c r="I94" s="8">
        <v>85.587483888888897</v>
      </c>
      <c r="J94" s="8">
        <v>126.139427777778</v>
      </c>
      <c r="K94" s="6" t="s">
        <v>29</v>
      </c>
      <c r="L94" s="6" t="s">
        <v>546</v>
      </c>
      <c r="M94" s="9">
        <v>43766</v>
      </c>
      <c r="O94" s="6">
        <v>5</v>
      </c>
      <c r="P94" s="6" t="s">
        <v>4251</v>
      </c>
      <c r="R94" s="6" t="s">
        <v>218</v>
      </c>
      <c r="S94" s="6">
        <v>10</v>
      </c>
      <c r="T94" s="6">
        <v>20</v>
      </c>
      <c r="U94" s="10">
        <f t="shared" si="2"/>
        <v>15</v>
      </c>
      <c r="V94" s="6">
        <v>0</v>
      </c>
      <c r="W94" s="8">
        <v>-6.7339668742815659</v>
      </c>
      <c r="X94" s="8">
        <v>-51.164246877034508</v>
      </c>
      <c r="Y94" s="8">
        <f t="shared" si="3"/>
        <v>2.7074881172180199</v>
      </c>
    </row>
    <row r="95" spans="1:25" s="6" customFormat="1" x14ac:dyDescent="0.35">
      <c r="A95" s="6" t="s">
        <v>25</v>
      </c>
      <c r="B95" s="7"/>
      <c r="C95" s="6">
        <v>510224</v>
      </c>
      <c r="D95" s="6" t="s">
        <v>209</v>
      </c>
      <c r="E95" s="6">
        <v>1</v>
      </c>
      <c r="F95" s="6">
        <v>5</v>
      </c>
      <c r="G95" s="6" t="s">
        <v>210</v>
      </c>
      <c r="H95" s="6">
        <v>16</v>
      </c>
      <c r="I95" s="8">
        <v>85.587483888888897</v>
      </c>
      <c r="J95" s="8">
        <v>126.139427777778</v>
      </c>
      <c r="K95" s="6" t="s">
        <v>29</v>
      </c>
      <c r="L95" s="6" t="s">
        <v>546</v>
      </c>
      <c r="M95" s="9">
        <v>43766</v>
      </c>
      <c r="O95" s="6">
        <v>5</v>
      </c>
      <c r="P95" s="6" t="s">
        <v>4251</v>
      </c>
      <c r="R95" s="6" t="s">
        <v>215</v>
      </c>
      <c r="S95" s="6">
        <v>20</v>
      </c>
      <c r="T95" s="6">
        <v>30</v>
      </c>
      <c r="U95" s="10">
        <f t="shared" si="2"/>
        <v>25</v>
      </c>
      <c r="V95" s="6">
        <v>0.5</v>
      </c>
      <c r="W95" s="8">
        <v>-4.0189310023307803</v>
      </c>
      <c r="X95" s="8">
        <v>-30.410672192382812</v>
      </c>
      <c r="Y95" s="8">
        <f t="shared" si="3"/>
        <v>1.7407758262634303</v>
      </c>
    </row>
    <row r="96" spans="1:25" s="6" customFormat="1" x14ac:dyDescent="0.35">
      <c r="A96" s="6" t="s">
        <v>25</v>
      </c>
      <c r="B96" s="7"/>
      <c r="C96" s="6">
        <v>510232</v>
      </c>
      <c r="D96" s="6" t="s">
        <v>217</v>
      </c>
      <c r="E96" s="6">
        <v>1</v>
      </c>
      <c r="F96" s="6">
        <v>5</v>
      </c>
      <c r="G96" s="6" t="s">
        <v>210</v>
      </c>
      <c r="H96" s="6">
        <v>16</v>
      </c>
      <c r="I96" s="8">
        <v>85.587483888888897</v>
      </c>
      <c r="J96" s="8">
        <v>126.139427777778</v>
      </c>
      <c r="K96" s="6" t="s">
        <v>29</v>
      </c>
      <c r="L96" s="6" t="s">
        <v>546</v>
      </c>
      <c r="M96" s="9">
        <v>43766</v>
      </c>
      <c r="O96" s="6">
        <v>5</v>
      </c>
      <c r="P96" s="6" t="s">
        <v>4251</v>
      </c>
      <c r="R96" s="6" t="s">
        <v>215</v>
      </c>
      <c r="S96" s="6">
        <v>20</v>
      </c>
      <c r="T96" s="6">
        <v>30</v>
      </c>
      <c r="U96" s="10">
        <f t="shared" si="2"/>
        <v>25</v>
      </c>
      <c r="V96" s="6">
        <v>0</v>
      </c>
      <c r="W96" s="8">
        <v>-5.651340428670248</v>
      </c>
      <c r="X96" s="8">
        <v>-42.546320203145342</v>
      </c>
      <c r="Y96" s="8">
        <f t="shared" si="3"/>
        <v>2.6644032262166419</v>
      </c>
    </row>
    <row r="97" spans="1:25" s="6" customFormat="1" x14ac:dyDescent="0.35">
      <c r="A97" s="6" t="s">
        <v>25</v>
      </c>
      <c r="B97" s="7"/>
      <c r="C97" s="6">
        <v>510233</v>
      </c>
      <c r="D97" s="6" t="s">
        <v>217</v>
      </c>
      <c r="E97" s="6">
        <v>1</v>
      </c>
      <c r="F97" s="6">
        <v>5</v>
      </c>
      <c r="G97" s="6" t="s">
        <v>210</v>
      </c>
      <c r="H97" s="6">
        <v>16</v>
      </c>
      <c r="I97" s="8">
        <v>85.587483888888897</v>
      </c>
      <c r="J97" s="8">
        <v>126.139427777778</v>
      </c>
      <c r="K97" s="6" t="s">
        <v>29</v>
      </c>
      <c r="L97" s="6" t="s">
        <v>546</v>
      </c>
      <c r="M97" s="9">
        <v>43766</v>
      </c>
      <c r="O97" s="6">
        <v>5</v>
      </c>
      <c r="P97" s="6" t="s">
        <v>4251</v>
      </c>
      <c r="R97" s="6" t="s">
        <v>219</v>
      </c>
      <c r="S97" s="6">
        <v>30</v>
      </c>
      <c r="T97" s="6">
        <v>40</v>
      </c>
      <c r="U97" s="10">
        <f t="shared" si="2"/>
        <v>35</v>
      </c>
      <c r="V97" s="6">
        <v>0.4</v>
      </c>
      <c r="W97" s="8">
        <v>-4.7547472680409761</v>
      </c>
      <c r="X97" s="8">
        <v>-35.614885311126706</v>
      </c>
      <c r="Y97" s="8">
        <f t="shared" si="3"/>
        <v>2.4230928332011032</v>
      </c>
    </row>
    <row r="98" spans="1:25" s="6" customFormat="1" x14ac:dyDescent="0.35">
      <c r="A98" s="6" t="s">
        <v>25</v>
      </c>
      <c r="B98" s="7"/>
      <c r="C98" s="6">
        <v>510225</v>
      </c>
      <c r="D98" s="6" t="s">
        <v>209</v>
      </c>
      <c r="E98" s="6">
        <v>1</v>
      </c>
      <c r="F98" s="6">
        <v>5</v>
      </c>
      <c r="G98" s="6" t="s">
        <v>210</v>
      </c>
      <c r="H98" s="6">
        <v>16</v>
      </c>
      <c r="I98" s="8">
        <v>85.587483888888897</v>
      </c>
      <c r="J98" s="8">
        <v>126.139427777778</v>
      </c>
      <c r="K98" s="6" t="s">
        <v>29</v>
      </c>
      <c r="L98" s="6" t="s">
        <v>546</v>
      </c>
      <c r="M98" s="9">
        <v>43766</v>
      </c>
      <c r="O98" s="6">
        <v>5</v>
      </c>
      <c r="P98" s="6" t="s">
        <v>4251</v>
      </c>
      <c r="R98" s="6" t="s">
        <v>216</v>
      </c>
      <c r="S98" s="6">
        <v>30</v>
      </c>
      <c r="T98" s="6">
        <v>45</v>
      </c>
      <c r="U98" s="10">
        <f t="shared" si="2"/>
        <v>37.5</v>
      </c>
      <c r="V98" s="6">
        <v>0.3</v>
      </c>
      <c r="W98" s="8">
        <v>-2.8732378277301791</v>
      </c>
      <c r="X98" s="8">
        <v>-21.700378742980956</v>
      </c>
      <c r="Y98" s="8">
        <f t="shared" si="3"/>
        <v>1.2855238788604773</v>
      </c>
    </row>
    <row r="99" spans="1:25" s="6" customFormat="1" x14ac:dyDescent="0.35">
      <c r="A99" s="6" t="s">
        <v>25</v>
      </c>
      <c r="B99" s="7"/>
      <c r="C99" s="6">
        <v>510234</v>
      </c>
      <c r="D99" s="6" t="s">
        <v>217</v>
      </c>
      <c r="E99" s="6">
        <v>1</v>
      </c>
      <c r="F99" s="6">
        <v>5</v>
      </c>
      <c r="G99" s="6" t="s">
        <v>210</v>
      </c>
      <c r="H99" s="6">
        <v>16</v>
      </c>
      <c r="I99" s="8">
        <v>85.587483888888897</v>
      </c>
      <c r="J99" s="8">
        <v>126.139427777778</v>
      </c>
      <c r="K99" s="6" t="s">
        <v>29</v>
      </c>
      <c r="L99" s="6" t="s">
        <v>546</v>
      </c>
      <c r="M99" s="9">
        <v>43766</v>
      </c>
      <c r="O99" s="6">
        <v>5</v>
      </c>
      <c r="P99" s="6" t="s">
        <v>4251</v>
      </c>
      <c r="R99" s="6" t="s">
        <v>220</v>
      </c>
      <c r="S99" s="6">
        <v>40</v>
      </c>
      <c r="T99" s="6">
        <v>51</v>
      </c>
      <c r="U99" s="10">
        <f t="shared" si="2"/>
        <v>45.5</v>
      </c>
      <c r="V99" s="6">
        <v>0.9</v>
      </c>
      <c r="W99" s="8">
        <v>-4.7611390337467201</v>
      </c>
      <c r="X99" s="8">
        <v>-36.729997639656062</v>
      </c>
      <c r="Y99" s="8">
        <f t="shared" si="3"/>
        <v>1.3591146303176984</v>
      </c>
    </row>
    <row r="100" spans="1:25" s="6" customFormat="1" x14ac:dyDescent="0.35">
      <c r="A100" s="6" t="s">
        <v>25</v>
      </c>
      <c r="B100" s="7"/>
      <c r="C100" s="6">
        <v>510223</v>
      </c>
      <c r="D100" s="6" t="s">
        <v>209</v>
      </c>
      <c r="E100" s="6">
        <v>1</v>
      </c>
      <c r="F100" s="6">
        <v>5</v>
      </c>
      <c r="G100" s="6" t="s">
        <v>210</v>
      </c>
      <c r="H100" s="6">
        <v>16</v>
      </c>
      <c r="I100" s="8">
        <v>85.587483888888897</v>
      </c>
      <c r="J100" s="8">
        <v>126.139427777778</v>
      </c>
      <c r="K100" s="6" t="s">
        <v>29</v>
      </c>
      <c r="L100" s="6" t="s">
        <v>546</v>
      </c>
      <c r="M100" s="9">
        <v>43766</v>
      </c>
      <c r="O100" s="6">
        <v>5</v>
      </c>
      <c r="P100" s="6" t="s">
        <v>4251</v>
      </c>
      <c r="R100" s="6" t="s">
        <v>214</v>
      </c>
      <c r="S100" s="6">
        <v>45</v>
      </c>
      <c r="T100" s="6">
        <v>55</v>
      </c>
      <c r="U100" s="10">
        <f t="shared" si="2"/>
        <v>50</v>
      </c>
      <c r="V100" s="6">
        <v>0.3</v>
      </c>
      <c r="W100" s="8">
        <v>-2.4169040678024292</v>
      </c>
      <c r="X100" s="8">
        <v>-18.83899673461914</v>
      </c>
      <c r="Y100" s="8">
        <f t="shared" si="3"/>
        <v>0.49623580780029286</v>
      </c>
    </row>
    <row r="101" spans="1:25" s="6" customFormat="1" x14ac:dyDescent="0.35">
      <c r="A101" s="6" t="s">
        <v>25</v>
      </c>
      <c r="B101" s="7"/>
      <c r="C101" s="6">
        <v>510235</v>
      </c>
      <c r="D101" s="6" t="s">
        <v>217</v>
      </c>
      <c r="E101" s="6">
        <v>1</v>
      </c>
      <c r="F101" s="6">
        <v>5</v>
      </c>
      <c r="G101" s="6" t="s">
        <v>210</v>
      </c>
      <c r="H101" s="6">
        <v>16</v>
      </c>
      <c r="I101" s="8">
        <v>85.587483888888897</v>
      </c>
      <c r="J101" s="8">
        <v>126.139427777778</v>
      </c>
      <c r="K101" s="6" t="s">
        <v>29</v>
      </c>
      <c r="L101" s="6" t="s">
        <v>546</v>
      </c>
      <c r="M101" s="9">
        <v>43766</v>
      </c>
      <c r="O101" s="6">
        <v>5</v>
      </c>
      <c r="P101" s="6" t="s">
        <v>4251</v>
      </c>
      <c r="R101" s="6" t="s">
        <v>221</v>
      </c>
      <c r="S101" s="6">
        <v>51</v>
      </c>
      <c r="T101" s="6">
        <v>61</v>
      </c>
      <c r="U101" s="10">
        <f t="shared" si="2"/>
        <v>56</v>
      </c>
      <c r="V101" s="6">
        <v>1.1000000000000001</v>
      </c>
      <c r="W101" s="8">
        <v>-4.5568450691223141</v>
      </c>
      <c r="X101" s="8">
        <v>-35.182698736190794</v>
      </c>
      <c r="Y101" s="8">
        <f t="shared" si="3"/>
        <v>1.2720618167877191</v>
      </c>
    </row>
    <row r="102" spans="1:25" s="6" customFormat="1" x14ac:dyDescent="0.35">
      <c r="A102" s="6" t="s">
        <v>25</v>
      </c>
      <c r="B102" s="7"/>
      <c r="C102" s="6">
        <v>510222</v>
      </c>
      <c r="D102" s="6" t="s">
        <v>209</v>
      </c>
      <c r="E102" s="6">
        <v>1</v>
      </c>
      <c r="F102" s="6">
        <v>5</v>
      </c>
      <c r="G102" s="6" t="s">
        <v>210</v>
      </c>
      <c r="H102" s="6">
        <v>16</v>
      </c>
      <c r="I102" s="8">
        <v>85.587483888888897</v>
      </c>
      <c r="J102" s="8">
        <v>126.139427777778</v>
      </c>
      <c r="K102" s="6" t="s">
        <v>29</v>
      </c>
      <c r="L102" s="6" t="s">
        <v>546</v>
      </c>
      <c r="M102" s="9">
        <v>43766</v>
      </c>
      <c r="O102" s="6">
        <v>5</v>
      </c>
      <c r="P102" s="6" t="s">
        <v>4251</v>
      </c>
      <c r="R102" s="6" t="s">
        <v>213</v>
      </c>
      <c r="S102" s="6">
        <v>55</v>
      </c>
      <c r="T102" s="6">
        <v>65</v>
      </c>
      <c r="U102" s="10">
        <f t="shared" si="2"/>
        <v>60</v>
      </c>
      <c r="V102" s="6">
        <v>0.4</v>
      </c>
      <c r="W102" s="8">
        <v>-2.7246331263065335</v>
      </c>
      <c r="X102" s="8">
        <v>-21.292458181381225</v>
      </c>
      <c r="Y102" s="8">
        <f t="shared" si="3"/>
        <v>0.50460682907104371</v>
      </c>
    </row>
    <row r="103" spans="1:25" s="6" customFormat="1" x14ac:dyDescent="0.35">
      <c r="A103" s="6" t="s">
        <v>25</v>
      </c>
      <c r="B103" s="7"/>
      <c r="C103" s="6">
        <v>510236</v>
      </c>
      <c r="D103" s="6" t="s">
        <v>217</v>
      </c>
      <c r="E103" s="6">
        <v>1</v>
      </c>
      <c r="F103" s="6">
        <v>5</v>
      </c>
      <c r="G103" s="6" t="s">
        <v>210</v>
      </c>
      <c r="H103" s="6">
        <v>16</v>
      </c>
      <c r="I103" s="8">
        <v>85.587483888888897</v>
      </c>
      <c r="J103" s="8">
        <v>126.139427777778</v>
      </c>
      <c r="K103" s="6" t="s">
        <v>29</v>
      </c>
      <c r="L103" s="6" t="s">
        <v>546</v>
      </c>
      <c r="M103" s="9">
        <v>43766</v>
      </c>
      <c r="O103" s="6">
        <v>5</v>
      </c>
      <c r="P103" s="6" t="s">
        <v>4251</v>
      </c>
      <c r="R103" s="6" t="s">
        <v>222</v>
      </c>
      <c r="S103" s="6">
        <v>61</v>
      </c>
      <c r="T103" s="6">
        <v>71</v>
      </c>
      <c r="U103" s="10">
        <f t="shared" si="2"/>
        <v>66</v>
      </c>
      <c r="V103" s="6">
        <v>1.1000000000000001</v>
      </c>
      <c r="W103" s="8">
        <v>-4.3685796081542971</v>
      </c>
      <c r="X103" s="8">
        <v>-33.533265523910515</v>
      </c>
      <c r="Y103" s="8">
        <f t="shared" si="3"/>
        <v>1.415371341323862</v>
      </c>
    </row>
    <row r="104" spans="1:25" s="6" customFormat="1" x14ac:dyDescent="0.35">
      <c r="A104" s="6" t="s">
        <v>25</v>
      </c>
      <c r="B104" s="7"/>
      <c r="C104" s="6">
        <v>510221</v>
      </c>
      <c r="D104" s="6" t="s">
        <v>209</v>
      </c>
      <c r="E104" s="6">
        <v>1</v>
      </c>
      <c r="F104" s="6">
        <v>5</v>
      </c>
      <c r="G104" s="6" t="s">
        <v>210</v>
      </c>
      <c r="H104" s="6">
        <v>16</v>
      </c>
      <c r="I104" s="8">
        <v>85.587483888888897</v>
      </c>
      <c r="J104" s="8">
        <v>126.139427777778</v>
      </c>
      <c r="K104" s="6" t="s">
        <v>29</v>
      </c>
      <c r="L104" s="6" t="s">
        <v>546</v>
      </c>
      <c r="M104" s="9">
        <v>43766</v>
      </c>
      <c r="O104" s="6">
        <v>5</v>
      </c>
      <c r="P104" s="6" t="s">
        <v>4251</v>
      </c>
      <c r="R104" s="6" t="s">
        <v>212</v>
      </c>
      <c r="S104" s="6">
        <v>65</v>
      </c>
      <c r="T104" s="6">
        <v>70</v>
      </c>
      <c r="U104" s="10">
        <f t="shared" si="2"/>
        <v>67.5</v>
      </c>
      <c r="V104" s="6">
        <v>0.6</v>
      </c>
      <c r="W104" s="8">
        <v>-3.9849858267784124</v>
      </c>
      <c r="X104" s="8">
        <v>-30.859429340362549</v>
      </c>
      <c r="Y104" s="8">
        <f t="shared" si="3"/>
        <v>1.0204572738647499</v>
      </c>
    </row>
    <row r="105" spans="1:25" s="6" customFormat="1" x14ac:dyDescent="0.35">
      <c r="A105" s="6" t="s">
        <v>25</v>
      </c>
      <c r="B105" s="7"/>
      <c r="C105" s="6">
        <v>510220</v>
      </c>
      <c r="D105" s="6" t="s">
        <v>209</v>
      </c>
      <c r="E105" s="6">
        <v>1</v>
      </c>
      <c r="F105" s="6">
        <v>5</v>
      </c>
      <c r="G105" s="6" t="s">
        <v>210</v>
      </c>
      <c r="H105" s="6">
        <v>16</v>
      </c>
      <c r="I105" s="8">
        <v>85.587483888888897</v>
      </c>
      <c r="J105" s="8">
        <v>126.139427777778</v>
      </c>
      <c r="K105" s="6" t="s">
        <v>29</v>
      </c>
      <c r="L105" s="6" t="s">
        <v>546</v>
      </c>
      <c r="M105" s="9">
        <v>43766</v>
      </c>
      <c r="O105" s="6">
        <v>5</v>
      </c>
      <c r="P105" s="6" t="s">
        <v>4251</v>
      </c>
      <c r="R105" s="6" t="s">
        <v>211</v>
      </c>
      <c r="S105" s="6">
        <v>70</v>
      </c>
      <c r="T105" s="6">
        <v>75</v>
      </c>
      <c r="U105" s="10">
        <f t="shared" si="2"/>
        <v>72.5</v>
      </c>
      <c r="V105" s="6">
        <v>4.2</v>
      </c>
      <c r="W105" s="8">
        <v>-2.1944817402839663</v>
      </c>
      <c r="X105" s="8">
        <v>-16.356860151290892</v>
      </c>
      <c r="Y105" s="8">
        <f t="shared" si="3"/>
        <v>1.198993770980838</v>
      </c>
    </row>
    <row r="106" spans="1:25" s="6" customFormat="1" x14ac:dyDescent="0.35">
      <c r="A106" s="6" t="s">
        <v>25</v>
      </c>
      <c r="B106" s="7"/>
      <c r="C106" s="6">
        <v>510237</v>
      </c>
      <c r="D106" s="6" t="s">
        <v>217</v>
      </c>
      <c r="E106" s="6">
        <v>1</v>
      </c>
      <c r="F106" s="6">
        <v>5</v>
      </c>
      <c r="G106" s="6" t="s">
        <v>210</v>
      </c>
      <c r="H106" s="6">
        <v>16</v>
      </c>
      <c r="I106" s="8">
        <v>85.587483888888897</v>
      </c>
      <c r="J106" s="8">
        <v>126.139427777778</v>
      </c>
      <c r="K106" s="6" t="s">
        <v>29</v>
      </c>
      <c r="L106" s="6" t="s">
        <v>546</v>
      </c>
      <c r="M106" s="9">
        <v>43766</v>
      </c>
      <c r="O106" s="6">
        <v>5</v>
      </c>
      <c r="P106" s="6" t="s">
        <v>4251</v>
      </c>
      <c r="R106" s="6" t="s">
        <v>223</v>
      </c>
      <c r="S106" s="6">
        <v>71</v>
      </c>
      <c r="T106" s="6">
        <v>82</v>
      </c>
      <c r="U106" s="10">
        <f t="shared" si="2"/>
        <v>76.5</v>
      </c>
      <c r="V106" s="6">
        <v>1.1000000000000001</v>
      </c>
      <c r="W106" s="8">
        <v>-4.1030365712165837</v>
      </c>
      <c r="X106" s="8">
        <v>-31.02927852153778</v>
      </c>
      <c r="Y106" s="8">
        <f t="shared" si="3"/>
        <v>1.79501404819489</v>
      </c>
    </row>
    <row r="107" spans="1:25" s="6" customFormat="1" x14ac:dyDescent="0.35">
      <c r="A107" s="6" t="s">
        <v>25</v>
      </c>
      <c r="B107" s="7"/>
      <c r="C107" s="6">
        <v>510238</v>
      </c>
      <c r="D107" s="6" t="s">
        <v>217</v>
      </c>
      <c r="E107" s="6">
        <v>1</v>
      </c>
      <c r="F107" s="6">
        <v>5</v>
      </c>
      <c r="G107" s="6" t="s">
        <v>210</v>
      </c>
      <c r="H107" s="6">
        <v>16</v>
      </c>
      <c r="I107" s="8">
        <v>85.587483888888897</v>
      </c>
      <c r="J107" s="8">
        <v>126.139427777778</v>
      </c>
      <c r="K107" s="6" t="s">
        <v>29</v>
      </c>
      <c r="L107" s="6" t="s">
        <v>546</v>
      </c>
      <c r="M107" s="9">
        <v>43766</v>
      </c>
      <c r="O107" s="6">
        <v>5</v>
      </c>
      <c r="P107" s="6" t="s">
        <v>4251</v>
      </c>
      <c r="R107" s="6" t="s">
        <v>224</v>
      </c>
      <c r="S107" s="6">
        <v>82</v>
      </c>
      <c r="T107" s="6">
        <v>92</v>
      </c>
      <c r="U107" s="10">
        <f t="shared" si="2"/>
        <v>87</v>
      </c>
      <c r="V107" s="6">
        <v>2.4</v>
      </c>
      <c r="W107" s="8">
        <v>-3.9179990149497992</v>
      </c>
      <c r="X107" s="8">
        <v>-29.164505958557129</v>
      </c>
      <c r="Y107" s="8">
        <f t="shared" si="3"/>
        <v>2.1794861610412646</v>
      </c>
    </row>
    <row r="108" spans="1:25" s="6" customFormat="1" x14ac:dyDescent="0.35">
      <c r="A108" s="6" t="s">
        <v>25</v>
      </c>
      <c r="B108" s="7"/>
      <c r="C108" s="6">
        <v>510239</v>
      </c>
      <c r="D108" s="6" t="s">
        <v>217</v>
      </c>
      <c r="E108" s="6">
        <v>1</v>
      </c>
      <c r="F108" s="6">
        <v>5</v>
      </c>
      <c r="G108" s="6" t="s">
        <v>210</v>
      </c>
      <c r="H108" s="6">
        <v>16</v>
      </c>
      <c r="I108" s="8">
        <v>85.587483888888897</v>
      </c>
      <c r="J108" s="8">
        <v>126.139427777778</v>
      </c>
      <c r="K108" s="6" t="s">
        <v>29</v>
      </c>
      <c r="L108" s="6" t="s">
        <v>546</v>
      </c>
      <c r="M108" s="9">
        <v>43766</v>
      </c>
      <c r="O108" s="6">
        <v>5</v>
      </c>
      <c r="P108" s="6" t="s">
        <v>4251</v>
      </c>
      <c r="R108" s="6" t="s">
        <v>225</v>
      </c>
      <c r="S108" s="6">
        <v>92</v>
      </c>
      <c r="T108" s="6">
        <v>102</v>
      </c>
      <c r="U108" s="10">
        <f t="shared" si="2"/>
        <v>97</v>
      </c>
      <c r="V108" s="6">
        <v>1.6</v>
      </c>
      <c r="W108" s="8">
        <v>-3.7564663866519932</v>
      </c>
      <c r="X108" s="8">
        <v>-27.011794157028199</v>
      </c>
      <c r="Y108" s="8">
        <f t="shared" si="3"/>
        <v>3.0399369361877469</v>
      </c>
    </row>
    <row r="109" spans="1:25" s="6" customFormat="1" x14ac:dyDescent="0.35">
      <c r="A109" s="6" t="s">
        <v>25</v>
      </c>
      <c r="B109" s="7"/>
      <c r="C109" s="6">
        <v>510240</v>
      </c>
      <c r="D109" s="6" t="s">
        <v>217</v>
      </c>
      <c r="E109" s="6">
        <v>1</v>
      </c>
      <c r="F109" s="6">
        <v>5</v>
      </c>
      <c r="G109" s="6" t="s">
        <v>210</v>
      </c>
      <c r="H109" s="6">
        <v>16</v>
      </c>
      <c r="I109" s="8">
        <v>85.587483888888897</v>
      </c>
      <c r="J109" s="8">
        <v>126.139427777778</v>
      </c>
      <c r="K109" s="6" t="s">
        <v>29</v>
      </c>
      <c r="L109" s="6" t="s">
        <v>546</v>
      </c>
      <c r="M109" s="9">
        <v>43766</v>
      </c>
      <c r="O109" s="6">
        <v>5</v>
      </c>
      <c r="P109" s="6" t="s">
        <v>4251</v>
      </c>
      <c r="R109" s="6" t="s">
        <v>226</v>
      </c>
      <c r="S109" s="6">
        <v>102</v>
      </c>
      <c r="T109" s="6">
        <v>112</v>
      </c>
      <c r="U109" s="10">
        <f t="shared" si="2"/>
        <v>107</v>
      </c>
      <c r="V109" s="6">
        <v>2.6</v>
      </c>
      <c r="W109" s="8">
        <v>-3.1195882864952091</v>
      </c>
      <c r="X109" s="8">
        <v>-26.248680143356321</v>
      </c>
      <c r="Y109" s="8">
        <f t="shared" si="3"/>
        <v>-1.2919738513946477</v>
      </c>
    </row>
    <row r="110" spans="1:25" s="6" customFormat="1" x14ac:dyDescent="0.35">
      <c r="A110" s="6" t="s">
        <v>25</v>
      </c>
      <c r="B110" s="7"/>
      <c r="C110" s="6">
        <v>510241</v>
      </c>
      <c r="D110" s="6" t="s">
        <v>217</v>
      </c>
      <c r="E110" s="6">
        <v>1</v>
      </c>
      <c r="F110" s="6">
        <v>5</v>
      </c>
      <c r="G110" s="6" t="s">
        <v>210</v>
      </c>
      <c r="H110" s="6">
        <v>16</v>
      </c>
      <c r="I110" s="8">
        <v>85.587483888888897</v>
      </c>
      <c r="J110" s="8">
        <v>126.139427777778</v>
      </c>
      <c r="K110" s="6" t="s">
        <v>29</v>
      </c>
      <c r="L110" s="6" t="s">
        <v>546</v>
      </c>
      <c r="M110" s="9">
        <v>43766</v>
      </c>
      <c r="O110" s="6">
        <v>5</v>
      </c>
      <c r="P110" s="6" t="s">
        <v>4251</v>
      </c>
      <c r="R110" s="6" t="s">
        <v>227</v>
      </c>
      <c r="S110" s="6">
        <v>112</v>
      </c>
      <c r="T110" s="6">
        <v>122</v>
      </c>
      <c r="U110" s="10">
        <f t="shared" si="2"/>
        <v>117</v>
      </c>
      <c r="V110" s="6">
        <v>3</v>
      </c>
      <c r="W110" s="8">
        <v>-2.9093261881828312</v>
      </c>
      <c r="X110" s="8">
        <v>-23.106046199798584</v>
      </c>
      <c r="Y110" s="8">
        <f t="shared" si="3"/>
        <v>0.16856330566406541</v>
      </c>
    </row>
    <row r="111" spans="1:25" s="6" customFormat="1" x14ac:dyDescent="0.35">
      <c r="A111" s="6" t="s">
        <v>25</v>
      </c>
      <c r="B111" s="7"/>
      <c r="C111" s="6">
        <v>510242</v>
      </c>
      <c r="D111" s="6" t="s">
        <v>217</v>
      </c>
      <c r="E111" s="6">
        <v>1</v>
      </c>
      <c r="F111" s="6">
        <v>5</v>
      </c>
      <c r="G111" s="6" t="s">
        <v>210</v>
      </c>
      <c r="H111" s="6">
        <v>16</v>
      </c>
      <c r="I111" s="8">
        <v>85.587483888888897</v>
      </c>
      <c r="J111" s="8">
        <v>126.139427777778</v>
      </c>
      <c r="K111" s="6" t="s">
        <v>29</v>
      </c>
      <c r="L111" s="6" t="s">
        <v>546</v>
      </c>
      <c r="M111" s="9">
        <v>43766</v>
      </c>
      <c r="O111" s="6">
        <v>5</v>
      </c>
      <c r="P111" s="6" t="s">
        <v>4251</v>
      </c>
      <c r="R111" s="6" t="s">
        <v>228</v>
      </c>
      <c r="S111" s="6">
        <v>122</v>
      </c>
      <c r="T111" s="6">
        <v>132</v>
      </c>
      <c r="U111" s="10">
        <f t="shared" si="2"/>
        <v>127</v>
      </c>
      <c r="V111" s="6">
        <v>3.2</v>
      </c>
      <c r="W111" s="8">
        <v>-2.6709770585060126</v>
      </c>
      <c r="X111" s="8">
        <v>-20.092313795089719</v>
      </c>
      <c r="Y111" s="8">
        <f t="shared" si="3"/>
        <v>1.2755026729583818</v>
      </c>
    </row>
    <row r="112" spans="1:25" s="6" customFormat="1" x14ac:dyDescent="0.35">
      <c r="A112" s="6" t="s">
        <v>25</v>
      </c>
      <c r="B112" s="7"/>
      <c r="C112" s="6">
        <v>510243</v>
      </c>
      <c r="D112" s="6" t="s">
        <v>217</v>
      </c>
      <c r="E112" s="6">
        <v>1</v>
      </c>
      <c r="F112" s="6">
        <v>5</v>
      </c>
      <c r="G112" s="6" t="s">
        <v>210</v>
      </c>
      <c r="H112" s="6">
        <v>16</v>
      </c>
      <c r="I112" s="8">
        <v>85.587483888888897</v>
      </c>
      <c r="J112" s="8">
        <v>126.139427777778</v>
      </c>
      <c r="K112" s="6" t="s">
        <v>29</v>
      </c>
      <c r="L112" s="6" t="s">
        <v>546</v>
      </c>
      <c r="M112" s="9">
        <v>43766</v>
      </c>
      <c r="O112" s="6">
        <v>5</v>
      </c>
      <c r="P112" s="6" t="s">
        <v>4251</v>
      </c>
      <c r="R112" s="6" t="s">
        <v>229</v>
      </c>
      <c r="S112" s="6">
        <v>132</v>
      </c>
      <c r="T112" s="6">
        <v>142</v>
      </c>
      <c r="U112" s="10">
        <f t="shared" si="2"/>
        <v>137</v>
      </c>
      <c r="V112" s="6">
        <v>3</v>
      </c>
      <c r="W112" s="8">
        <v>-2.6098021329402927</v>
      </c>
      <c r="X112" s="8">
        <v>-20.018659806251524</v>
      </c>
      <c r="Y112" s="8">
        <f t="shared" si="3"/>
        <v>0.85975725727081809</v>
      </c>
    </row>
    <row r="113" spans="1:25" s="6" customFormat="1" x14ac:dyDescent="0.35">
      <c r="A113" s="6" t="s">
        <v>25</v>
      </c>
      <c r="B113" s="7"/>
      <c r="C113" s="6">
        <v>510244</v>
      </c>
      <c r="D113" s="6" t="s">
        <v>217</v>
      </c>
      <c r="E113" s="6">
        <v>1</v>
      </c>
      <c r="F113" s="6">
        <v>5</v>
      </c>
      <c r="G113" s="6" t="s">
        <v>210</v>
      </c>
      <c r="H113" s="6">
        <v>16</v>
      </c>
      <c r="I113" s="8">
        <v>85.587483888888897</v>
      </c>
      <c r="J113" s="8">
        <v>126.139427777778</v>
      </c>
      <c r="K113" s="6" t="s">
        <v>29</v>
      </c>
      <c r="L113" s="6" t="s">
        <v>546</v>
      </c>
      <c r="M113" s="9">
        <v>43766</v>
      </c>
      <c r="O113" s="6">
        <v>5</v>
      </c>
      <c r="P113" s="6" t="s">
        <v>4251</v>
      </c>
      <c r="R113" s="6" t="s">
        <v>230</v>
      </c>
      <c r="S113" s="6">
        <v>142</v>
      </c>
      <c r="T113" s="6">
        <v>152</v>
      </c>
      <c r="U113" s="10">
        <f t="shared" si="2"/>
        <v>147</v>
      </c>
      <c r="V113" s="6">
        <v>3.7</v>
      </c>
      <c r="W113" s="8">
        <v>-2.9264521842956546</v>
      </c>
      <c r="X113" s="8">
        <v>-22.275317440032957</v>
      </c>
      <c r="Y113" s="8">
        <f t="shared" si="3"/>
        <v>1.1363000343322796</v>
      </c>
    </row>
    <row r="114" spans="1:25" s="6" customFormat="1" x14ac:dyDescent="0.35">
      <c r="A114" s="6" t="s">
        <v>25</v>
      </c>
      <c r="B114" s="7"/>
      <c r="C114" s="6">
        <v>510246</v>
      </c>
      <c r="D114" s="6" t="s">
        <v>217</v>
      </c>
      <c r="E114" s="6">
        <v>1</v>
      </c>
      <c r="F114" s="6">
        <v>5</v>
      </c>
      <c r="G114" s="6" t="s">
        <v>210</v>
      </c>
      <c r="H114" s="6">
        <v>16</v>
      </c>
      <c r="I114" s="8">
        <v>85.587483888888897</v>
      </c>
      <c r="J114" s="8">
        <v>126.139427777778</v>
      </c>
      <c r="K114" s="6" t="s">
        <v>29</v>
      </c>
      <c r="L114" s="6" t="s">
        <v>546</v>
      </c>
      <c r="M114" s="9">
        <v>43766</v>
      </c>
      <c r="O114" s="6">
        <v>5</v>
      </c>
      <c r="P114" s="6" t="s">
        <v>4251</v>
      </c>
      <c r="R114" s="6" t="s">
        <v>231</v>
      </c>
      <c r="S114" s="6">
        <v>152</v>
      </c>
      <c r="T114" s="6">
        <v>162</v>
      </c>
      <c r="U114" s="10">
        <f t="shared" si="2"/>
        <v>157</v>
      </c>
      <c r="V114" s="6">
        <v>3.5</v>
      </c>
      <c r="W114" s="8">
        <v>-2.3997384308338172</v>
      </c>
      <c r="X114" s="8">
        <v>-17.939797806739808</v>
      </c>
      <c r="Y114" s="8">
        <f t="shared" si="3"/>
        <v>1.2581096399307299</v>
      </c>
    </row>
    <row r="115" spans="1:25" s="6" customFormat="1" x14ac:dyDescent="0.35">
      <c r="A115" s="6" t="s">
        <v>25</v>
      </c>
      <c r="B115" s="7"/>
      <c r="C115" s="6">
        <v>510247</v>
      </c>
      <c r="D115" s="6" t="s">
        <v>217</v>
      </c>
      <c r="E115" s="6">
        <v>1</v>
      </c>
      <c r="F115" s="6">
        <v>5</v>
      </c>
      <c r="G115" s="6" t="s">
        <v>210</v>
      </c>
      <c r="H115" s="6">
        <v>16</v>
      </c>
      <c r="I115" s="8">
        <v>85.587483888888897</v>
      </c>
      <c r="J115" s="8">
        <v>126.139427777778</v>
      </c>
      <c r="K115" s="6" t="s">
        <v>29</v>
      </c>
      <c r="L115" s="6" t="s">
        <v>546</v>
      </c>
      <c r="M115" s="9">
        <v>43766</v>
      </c>
      <c r="O115" s="6">
        <v>5</v>
      </c>
      <c r="P115" s="6" t="s">
        <v>4251</v>
      </c>
      <c r="R115" s="6" t="s">
        <v>232</v>
      </c>
      <c r="S115" s="6">
        <v>162</v>
      </c>
      <c r="T115" s="6">
        <v>172</v>
      </c>
      <c r="U115" s="10">
        <f t="shared" si="2"/>
        <v>167</v>
      </c>
      <c r="V115" s="6">
        <v>3.5</v>
      </c>
      <c r="W115" s="8">
        <v>-1.5904186336755757</v>
      </c>
      <c r="X115" s="8">
        <v>-12.725431365966797</v>
      </c>
      <c r="Y115" s="8">
        <f t="shared" si="3"/>
        <v>-2.082296562191388E-3</v>
      </c>
    </row>
    <row r="116" spans="1:25" s="6" customFormat="1" x14ac:dyDescent="0.35">
      <c r="A116" s="6" t="s">
        <v>25</v>
      </c>
      <c r="B116" s="7"/>
      <c r="C116" s="6">
        <v>510248</v>
      </c>
      <c r="D116" s="6" t="s">
        <v>217</v>
      </c>
      <c r="E116" s="6">
        <v>1</v>
      </c>
      <c r="F116" s="6">
        <v>5</v>
      </c>
      <c r="G116" s="6" t="s">
        <v>210</v>
      </c>
      <c r="H116" s="6">
        <v>16</v>
      </c>
      <c r="I116" s="8">
        <v>85.587483888888897</v>
      </c>
      <c r="J116" s="8">
        <v>126.139427777778</v>
      </c>
      <c r="K116" s="6" t="s">
        <v>29</v>
      </c>
      <c r="L116" s="6" t="s">
        <v>546</v>
      </c>
      <c r="M116" s="9">
        <v>43766</v>
      </c>
      <c r="O116" s="6">
        <v>5</v>
      </c>
      <c r="P116" s="6" t="s">
        <v>4251</v>
      </c>
      <c r="R116" s="6" t="s">
        <v>233</v>
      </c>
      <c r="S116" s="6">
        <v>172</v>
      </c>
      <c r="T116" s="6">
        <v>183</v>
      </c>
      <c r="U116" s="10">
        <f t="shared" si="2"/>
        <v>177.5</v>
      </c>
      <c r="V116" s="6">
        <v>4.3</v>
      </c>
      <c r="W116" s="8">
        <v>-0.14224494586363415</v>
      </c>
      <c r="X116" s="8">
        <v>-2.0455201721191387</v>
      </c>
      <c r="Y116" s="8">
        <f t="shared" si="3"/>
        <v>-0.90756060521006554</v>
      </c>
    </row>
    <row r="117" spans="1:25" s="6" customFormat="1" x14ac:dyDescent="0.35">
      <c r="A117" s="6" t="s">
        <v>25</v>
      </c>
      <c r="B117" s="7"/>
      <c r="C117" s="6">
        <v>510249</v>
      </c>
      <c r="D117" s="6" t="s">
        <v>217</v>
      </c>
      <c r="E117" s="6">
        <v>1</v>
      </c>
      <c r="F117" s="6">
        <v>5</v>
      </c>
      <c r="G117" s="6" t="s">
        <v>210</v>
      </c>
      <c r="H117" s="6">
        <v>16</v>
      </c>
      <c r="I117" s="8">
        <v>85.587483888888897</v>
      </c>
      <c r="J117" s="8">
        <v>126.139427777778</v>
      </c>
      <c r="K117" s="6" t="s">
        <v>29</v>
      </c>
      <c r="L117" s="6" t="s">
        <v>546</v>
      </c>
      <c r="M117" s="9">
        <v>43766</v>
      </c>
      <c r="O117" s="6">
        <v>5</v>
      </c>
      <c r="P117" s="6" t="s">
        <v>4251</v>
      </c>
      <c r="R117" s="6" t="s">
        <v>234</v>
      </c>
      <c r="S117" s="6">
        <v>183</v>
      </c>
      <c r="T117" s="6">
        <v>195</v>
      </c>
      <c r="U117" s="10">
        <f t="shared" si="2"/>
        <v>189</v>
      </c>
      <c r="V117" s="6">
        <v>5.7</v>
      </c>
      <c r="W117" s="8">
        <v>0.45892639836072974</v>
      </c>
      <c r="X117" s="8">
        <v>4.1714492797851577</v>
      </c>
      <c r="Y117" s="8">
        <f t="shared" si="3"/>
        <v>0.50003809289931977</v>
      </c>
    </row>
    <row r="118" spans="1:25" s="6" customFormat="1" x14ac:dyDescent="0.35">
      <c r="A118" s="6" t="s">
        <v>25</v>
      </c>
      <c r="B118" s="7" t="s">
        <v>242</v>
      </c>
      <c r="C118" s="6">
        <v>510280</v>
      </c>
      <c r="D118" s="6" t="s">
        <v>243</v>
      </c>
      <c r="E118" s="6">
        <v>1</v>
      </c>
      <c r="F118" s="6">
        <v>5</v>
      </c>
      <c r="G118" s="6" t="s">
        <v>179</v>
      </c>
      <c r="I118" s="8">
        <v>85.726575763888903</v>
      </c>
      <c r="J118" s="8">
        <v>124.264683611111</v>
      </c>
      <c r="K118" s="6" t="s">
        <v>29</v>
      </c>
      <c r="L118" s="6" t="s">
        <v>335</v>
      </c>
      <c r="M118" s="9">
        <v>43768</v>
      </c>
      <c r="O118" s="6">
        <v>5</v>
      </c>
      <c r="P118" s="6" t="s">
        <v>4252</v>
      </c>
      <c r="Q118" s="6">
        <v>-6.13</v>
      </c>
      <c r="R118" s="10"/>
      <c r="S118" s="10">
        <v>0</v>
      </c>
      <c r="T118" s="10">
        <v>5</v>
      </c>
      <c r="U118" s="10">
        <f t="shared" si="2"/>
        <v>2.5</v>
      </c>
      <c r="V118" s="6">
        <v>7.4</v>
      </c>
      <c r="W118" s="8">
        <v>-0.24091682289242766</v>
      </c>
      <c r="X118" s="8">
        <v>-2.5154734134674075</v>
      </c>
      <c r="Y118" s="8">
        <f t="shared" si="3"/>
        <v>-0.5881388303279862</v>
      </c>
    </row>
    <row r="119" spans="1:25" s="6" customFormat="1" x14ac:dyDescent="0.35">
      <c r="A119" s="6" t="s">
        <v>25</v>
      </c>
      <c r="B119" s="7" t="s">
        <v>244</v>
      </c>
      <c r="C119" s="6">
        <v>510281</v>
      </c>
      <c r="D119" s="6" t="s">
        <v>245</v>
      </c>
      <c r="E119" s="6">
        <v>1</v>
      </c>
      <c r="F119" s="6">
        <v>5</v>
      </c>
      <c r="G119" s="6" t="s">
        <v>179</v>
      </c>
      <c r="I119" s="8">
        <v>85.726575763888903</v>
      </c>
      <c r="J119" s="8">
        <v>124.264683611111</v>
      </c>
      <c r="K119" s="6" t="s">
        <v>29</v>
      </c>
      <c r="L119" s="6" t="s">
        <v>335</v>
      </c>
      <c r="M119" s="9">
        <v>43768</v>
      </c>
      <c r="O119" s="6">
        <v>5</v>
      </c>
      <c r="P119" s="6" t="s">
        <v>4252</v>
      </c>
      <c r="Q119" s="6">
        <v>-5.5</v>
      </c>
      <c r="R119" s="10"/>
      <c r="S119" s="10">
        <v>5</v>
      </c>
      <c r="T119" s="10">
        <v>10</v>
      </c>
      <c r="U119" s="10">
        <f t="shared" si="2"/>
        <v>7.5</v>
      </c>
      <c r="V119" s="6">
        <v>6.1</v>
      </c>
      <c r="W119" s="8">
        <v>-0.83127270923852936</v>
      </c>
      <c r="X119" s="8">
        <v>-5.726554048061371</v>
      </c>
      <c r="Y119" s="8">
        <f t="shared" si="3"/>
        <v>0.92362762584686386</v>
      </c>
    </row>
    <row r="120" spans="1:25" s="6" customFormat="1" x14ac:dyDescent="0.35">
      <c r="A120" s="6" t="s">
        <v>25</v>
      </c>
      <c r="B120" s="7" t="s">
        <v>250</v>
      </c>
      <c r="C120" s="6">
        <v>510282</v>
      </c>
      <c r="D120" s="6" t="s">
        <v>251</v>
      </c>
      <c r="E120" s="6">
        <v>1</v>
      </c>
      <c r="F120" s="6">
        <v>5</v>
      </c>
      <c r="G120" s="6" t="s">
        <v>179</v>
      </c>
      <c r="I120" s="8">
        <v>85.726575763888903</v>
      </c>
      <c r="J120" s="8">
        <v>124.264683611111</v>
      </c>
      <c r="K120" s="6" t="s">
        <v>29</v>
      </c>
      <c r="L120" s="6" t="s">
        <v>335</v>
      </c>
      <c r="M120" s="9">
        <v>43768</v>
      </c>
      <c r="O120" s="6">
        <v>5</v>
      </c>
      <c r="P120" s="6" t="s">
        <v>4252</v>
      </c>
      <c r="Q120" s="6">
        <v>-4.51</v>
      </c>
      <c r="R120" s="10"/>
      <c r="S120" s="10">
        <v>10</v>
      </c>
      <c r="T120" s="10">
        <v>20</v>
      </c>
      <c r="U120" s="10">
        <f t="shared" si="2"/>
        <v>15</v>
      </c>
      <c r="V120" s="6">
        <v>4.3</v>
      </c>
      <c r="W120" s="8">
        <v>-2.3643742787837985</v>
      </c>
      <c r="X120" s="8">
        <v>-17.135993766784665</v>
      </c>
      <c r="Y120" s="8">
        <f t="shared" si="3"/>
        <v>1.7790004634857226</v>
      </c>
    </row>
    <row r="121" spans="1:25" s="6" customFormat="1" x14ac:dyDescent="0.35">
      <c r="A121" s="6" t="s">
        <v>25</v>
      </c>
      <c r="B121" s="7" t="s">
        <v>246</v>
      </c>
      <c r="C121" s="6">
        <v>510283</v>
      </c>
      <c r="D121" s="6" t="s">
        <v>247</v>
      </c>
      <c r="E121" s="6">
        <v>1</v>
      </c>
      <c r="F121" s="6">
        <v>5</v>
      </c>
      <c r="G121" s="6" t="s">
        <v>179</v>
      </c>
      <c r="I121" s="8">
        <v>85.726575763888903</v>
      </c>
      <c r="J121" s="8">
        <v>124.264683611111</v>
      </c>
      <c r="K121" s="6" t="s">
        <v>29</v>
      </c>
      <c r="L121" s="6" t="s">
        <v>335</v>
      </c>
      <c r="M121" s="9">
        <v>43768</v>
      </c>
      <c r="O121" s="6">
        <v>5</v>
      </c>
      <c r="P121" s="6" t="s">
        <v>4252</v>
      </c>
      <c r="Q121" s="6">
        <v>-3.32</v>
      </c>
      <c r="R121" s="10"/>
      <c r="S121" s="10">
        <v>20</v>
      </c>
      <c r="T121" s="10">
        <v>29</v>
      </c>
      <c r="U121" s="10">
        <f t="shared" si="2"/>
        <v>24.5</v>
      </c>
      <c r="V121" s="6">
        <v>5.6</v>
      </c>
      <c r="W121" s="8">
        <v>1.0664392119169235</v>
      </c>
      <c r="X121" s="8">
        <v>9.7478967189788825</v>
      </c>
      <c r="Y121" s="8">
        <f t="shared" si="3"/>
        <v>1.2163830236434947</v>
      </c>
    </row>
    <row r="122" spans="1:25" s="6" customFormat="1" x14ac:dyDescent="0.35">
      <c r="A122" s="6" t="s">
        <v>25</v>
      </c>
      <c r="B122" s="7" t="s">
        <v>248</v>
      </c>
      <c r="C122" s="6">
        <v>510284</v>
      </c>
      <c r="D122" s="6" t="s">
        <v>249</v>
      </c>
      <c r="E122" s="6">
        <v>1</v>
      </c>
      <c r="F122" s="6">
        <v>5</v>
      </c>
      <c r="G122" s="6" t="s">
        <v>179</v>
      </c>
      <c r="I122" s="8">
        <v>85.726575763888903</v>
      </c>
      <c r="J122" s="8">
        <v>124.264683611111</v>
      </c>
      <c r="K122" s="6" t="s">
        <v>29</v>
      </c>
      <c r="L122" s="6" t="s">
        <v>335</v>
      </c>
      <c r="M122" s="9">
        <v>43768</v>
      </c>
      <c r="O122" s="6">
        <v>5</v>
      </c>
      <c r="P122" s="6" t="s">
        <v>4252</v>
      </c>
      <c r="Q122" s="6">
        <v>-2.0099999999999998</v>
      </c>
      <c r="R122" s="10"/>
      <c r="S122" s="10">
        <v>29</v>
      </c>
      <c r="T122" s="10">
        <v>38</v>
      </c>
      <c r="U122" s="10">
        <f t="shared" si="2"/>
        <v>33.5</v>
      </c>
      <c r="V122" s="6">
        <v>5.7</v>
      </c>
      <c r="W122" s="8">
        <v>1.1996086540222171</v>
      </c>
      <c r="X122" s="8">
        <v>9.7202150963544831</v>
      </c>
      <c r="Y122" s="8">
        <f t="shared" si="3"/>
        <v>0.12334586417674664</v>
      </c>
    </row>
    <row r="123" spans="1:25" s="6" customFormat="1" x14ac:dyDescent="0.35">
      <c r="A123" s="6" t="s">
        <v>25</v>
      </c>
      <c r="B123" s="7" t="s">
        <v>265</v>
      </c>
      <c r="D123" s="6" t="s">
        <v>266</v>
      </c>
      <c r="E123" s="6">
        <v>1</v>
      </c>
      <c r="F123" s="6">
        <v>5</v>
      </c>
      <c r="G123" s="6" t="s">
        <v>179</v>
      </c>
      <c r="I123" s="8">
        <v>85.859204791666698</v>
      </c>
      <c r="J123" s="8">
        <v>122.400430694444</v>
      </c>
      <c r="K123" s="7" t="s">
        <v>29</v>
      </c>
      <c r="L123" s="6" t="s">
        <v>335</v>
      </c>
      <c r="M123" s="9">
        <v>43771</v>
      </c>
      <c r="O123" s="6">
        <v>5</v>
      </c>
      <c r="P123" s="6" t="s">
        <v>4254</v>
      </c>
      <c r="R123" s="10"/>
      <c r="S123" s="10">
        <v>0</v>
      </c>
      <c r="T123" s="10">
        <v>11</v>
      </c>
      <c r="U123" s="10">
        <f t="shared" si="2"/>
        <v>5.5</v>
      </c>
      <c r="W123" s="8">
        <v>-5.9478245307922375</v>
      </c>
      <c r="X123" s="8">
        <v>-45.413395599365238</v>
      </c>
      <c r="Y123" s="8">
        <f t="shared" si="3"/>
        <v>2.1692006469726621</v>
      </c>
    </row>
    <row r="124" spans="1:25" s="6" customFormat="1" x14ac:dyDescent="0.35">
      <c r="A124" s="6" t="s">
        <v>25</v>
      </c>
      <c r="B124" s="7" t="s">
        <v>257</v>
      </c>
      <c r="D124" s="6" t="s">
        <v>258</v>
      </c>
      <c r="E124" s="6">
        <v>1</v>
      </c>
      <c r="F124" s="6">
        <v>5</v>
      </c>
      <c r="G124" s="6" t="s">
        <v>179</v>
      </c>
      <c r="I124" s="8">
        <v>85.859204791666698</v>
      </c>
      <c r="J124" s="8">
        <v>122.400430694444</v>
      </c>
      <c r="K124" s="7" t="s">
        <v>29</v>
      </c>
      <c r="L124" s="6" t="s">
        <v>335</v>
      </c>
      <c r="M124" s="9">
        <v>43771</v>
      </c>
      <c r="O124" s="6">
        <v>5</v>
      </c>
      <c r="P124" s="6" t="s">
        <v>4254</v>
      </c>
      <c r="R124" s="10"/>
      <c r="S124" s="10">
        <v>11</v>
      </c>
      <c r="T124" s="10">
        <v>22</v>
      </c>
      <c r="U124" s="10">
        <f t="shared" si="2"/>
        <v>16.5</v>
      </c>
      <c r="W124" s="8">
        <v>-4.2497204811096188</v>
      </c>
      <c r="X124" s="8">
        <v>-33.233796691894533</v>
      </c>
      <c r="Y124" s="8">
        <f t="shared" si="3"/>
        <v>0.76396715698241735</v>
      </c>
    </row>
    <row r="125" spans="1:25" s="6" customFormat="1" x14ac:dyDescent="0.35">
      <c r="A125" s="6" t="s">
        <v>25</v>
      </c>
      <c r="B125" s="7" t="s">
        <v>267</v>
      </c>
      <c r="D125" s="6" t="s">
        <v>268</v>
      </c>
      <c r="E125" s="6">
        <v>1</v>
      </c>
      <c r="F125" s="6">
        <v>5</v>
      </c>
      <c r="G125" s="6" t="s">
        <v>179</v>
      </c>
      <c r="I125" s="8">
        <v>85.859204791666698</v>
      </c>
      <c r="J125" s="8">
        <v>122.400430694444</v>
      </c>
      <c r="K125" s="7" t="s">
        <v>29</v>
      </c>
      <c r="L125" s="6" t="s">
        <v>335</v>
      </c>
      <c r="M125" s="9">
        <v>43771</v>
      </c>
      <c r="O125" s="6">
        <v>5</v>
      </c>
      <c r="P125" s="6" t="s">
        <v>4254</v>
      </c>
      <c r="R125" s="10"/>
      <c r="S125" s="10">
        <v>22</v>
      </c>
      <c r="T125" s="10">
        <v>30.5</v>
      </c>
      <c r="U125" s="10">
        <f t="shared" si="2"/>
        <v>26.25</v>
      </c>
      <c r="W125" s="8">
        <v>-4.4263598244667053</v>
      </c>
      <c r="X125" s="8">
        <v>-34.651463699340816</v>
      </c>
      <c r="Y125" s="8">
        <f t="shared" si="3"/>
        <v>0.75941489639282622</v>
      </c>
    </row>
    <row r="126" spans="1:25" s="6" customFormat="1" x14ac:dyDescent="0.35">
      <c r="A126" s="6" t="s">
        <v>25</v>
      </c>
      <c r="B126" s="7" t="s">
        <v>259</v>
      </c>
      <c r="D126" s="6" t="s">
        <v>260</v>
      </c>
      <c r="E126" s="6">
        <v>1</v>
      </c>
      <c r="F126" s="6">
        <v>5</v>
      </c>
      <c r="G126" s="6" t="s">
        <v>179</v>
      </c>
      <c r="I126" s="8">
        <v>85.859204791666698</v>
      </c>
      <c r="J126" s="8">
        <v>122.400430694444</v>
      </c>
      <c r="K126" s="7" t="s">
        <v>29</v>
      </c>
      <c r="L126" s="6" t="s">
        <v>335</v>
      </c>
      <c r="M126" s="9">
        <v>43771</v>
      </c>
      <c r="O126" s="6">
        <v>5</v>
      </c>
      <c r="P126" s="6" t="s">
        <v>4254</v>
      </c>
      <c r="R126" s="10"/>
      <c r="S126" s="10">
        <v>30.5</v>
      </c>
      <c r="T126" s="10">
        <v>39</v>
      </c>
      <c r="U126" s="10">
        <f t="shared" si="2"/>
        <v>34.75</v>
      </c>
      <c r="W126" s="8">
        <v>-5.2677801606178285</v>
      </c>
      <c r="X126" s="8">
        <v>-40.138639427185062</v>
      </c>
      <c r="Y126" s="8">
        <f t="shared" si="3"/>
        <v>2.0036018577575661</v>
      </c>
    </row>
    <row r="127" spans="1:25" s="6" customFormat="1" x14ac:dyDescent="0.35">
      <c r="A127" s="6" t="s">
        <v>25</v>
      </c>
      <c r="B127" s="7" t="s">
        <v>269</v>
      </c>
      <c r="D127" s="6" t="s">
        <v>270</v>
      </c>
      <c r="E127" s="6">
        <v>1</v>
      </c>
      <c r="F127" s="6">
        <v>5</v>
      </c>
      <c r="G127" s="6" t="s">
        <v>179</v>
      </c>
      <c r="I127" s="8">
        <v>85.859204791666698</v>
      </c>
      <c r="J127" s="8">
        <v>122.400430694444</v>
      </c>
      <c r="K127" s="7" t="s">
        <v>29</v>
      </c>
      <c r="L127" s="6" t="s">
        <v>335</v>
      </c>
      <c r="M127" s="9">
        <v>43771</v>
      </c>
      <c r="O127" s="6">
        <v>5</v>
      </c>
      <c r="P127" s="6" t="s">
        <v>4254</v>
      </c>
      <c r="R127" s="10"/>
      <c r="S127" s="10">
        <v>74</v>
      </c>
      <c r="T127" s="10">
        <v>84</v>
      </c>
      <c r="U127" s="10">
        <f t="shared" si="2"/>
        <v>79</v>
      </c>
      <c r="W127" s="8">
        <v>-6.8189414637565626</v>
      </c>
      <c r="X127" s="8">
        <v>-51.58909091949463</v>
      </c>
      <c r="Y127" s="8">
        <f t="shared" si="3"/>
        <v>2.9624407905578707</v>
      </c>
    </row>
    <row r="128" spans="1:25" s="6" customFormat="1" x14ac:dyDescent="0.35">
      <c r="A128" s="6" t="s">
        <v>25</v>
      </c>
      <c r="B128" s="7" t="s">
        <v>263</v>
      </c>
      <c r="D128" s="6" t="s">
        <v>264</v>
      </c>
      <c r="E128" s="6">
        <v>1</v>
      </c>
      <c r="F128" s="6">
        <v>5</v>
      </c>
      <c r="G128" s="6" t="s">
        <v>179</v>
      </c>
      <c r="I128" s="8">
        <v>85.859204791666698</v>
      </c>
      <c r="J128" s="8">
        <v>122.400430694444</v>
      </c>
      <c r="K128" s="7" t="s">
        <v>29</v>
      </c>
      <c r="L128" s="6" t="s">
        <v>335</v>
      </c>
      <c r="M128" s="9">
        <v>43771</v>
      </c>
      <c r="O128" s="6">
        <v>5</v>
      </c>
      <c r="P128" s="6" t="s">
        <v>4254</v>
      </c>
      <c r="R128" s="10"/>
      <c r="S128" s="10">
        <v>84</v>
      </c>
      <c r="T128" s="10">
        <v>94</v>
      </c>
      <c r="U128" s="10">
        <f t="shared" si="2"/>
        <v>89</v>
      </c>
      <c r="W128" s="8">
        <v>-4.7499608222961429</v>
      </c>
      <c r="X128" s="8">
        <v>-37.128971847534181</v>
      </c>
      <c r="Y128" s="8">
        <f t="shared" si="3"/>
        <v>0.87071473083496187</v>
      </c>
    </row>
    <row r="129" spans="1:25" s="6" customFormat="1" x14ac:dyDescent="0.35">
      <c r="A129" s="6" t="s">
        <v>25</v>
      </c>
      <c r="B129" s="7" t="s">
        <v>261</v>
      </c>
      <c r="D129" s="6" t="s">
        <v>262</v>
      </c>
      <c r="E129" s="6">
        <v>1</v>
      </c>
      <c r="F129" s="6">
        <v>5</v>
      </c>
      <c r="G129" s="6" t="s">
        <v>179</v>
      </c>
      <c r="I129" s="8">
        <v>85.859204791666698</v>
      </c>
      <c r="J129" s="8">
        <v>122.400430694444</v>
      </c>
      <c r="K129" s="7" t="s">
        <v>29</v>
      </c>
      <c r="L129" s="6" t="s">
        <v>335</v>
      </c>
      <c r="M129" s="9">
        <v>43771</v>
      </c>
      <c r="O129" s="6">
        <v>5</v>
      </c>
      <c r="P129" s="6" t="s">
        <v>4254</v>
      </c>
      <c r="R129" s="10"/>
      <c r="S129" s="10">
        <v>94</v>
      </c>
      <c r="T129" s="10">
        <v>101</v>
      </c>
      <c r="U129" s="10">
        <f t="shared" si="2"/>
        <v>97.5</v>
      </c>
      <c r="W129" s="8">
        <v>-2.4521247105121615</v>
      </c>
      <c r="X129" s="8">
        <v>-18.345744258880615</v>
      </c>
      <c r="Y129" s="8">
        <f t="shared" si="3"/>
        <v>1.2712534252166776</v>
      </c>
    </row>
    <row r="130" spans="1:25" s="6" customFormat="1" x14ac:dyDescent="0.35">
      <c r="A130" s="6" t="s">
        <v>25</v>
      </c>
      <c r="B130" s="7" t="s">
        <v>299</v>
      </c>
      <c r="C130" s="6">
        <v>510329</v>
      </c>
      <c r="D130" s="6" t="s">
        <v>300</v>
      </c>
      <c r="E130" s="6">
        <v>1</v>
      </c>
      <c r="F130" s="6">
        <v>6</v>
      </c>
      <c r="G130" s="6" t="s">
        <v>210</v>
      </c>
      <c r="I130" s="8">
        <v>85.946550833333305</v>
      </c>
      <c r="J130" s="8">
        <v>119.754510833333</v>
      </c>
      <c r="K130" s="6" t="s">
        <v>29</v>
      </c>
      <c r="L130" s="6" t="s">
        <v>546</v>
      </c>
      <c r="M130" s="9">
        <v>43773</v>
      </c>
      <c r="O130" s="6">
        <v>6</v>
      </c>
      <c r="P130" s="6" t="s">
        <v>4255</v>
      </c>
      <c r="Q130" s="8">
        <v>-10.4</v>
      </c>
      <c r="R130" s="10" t="s">
        <v>203</v>
      </c>
      <c r="S130" s="10">
        <v>0</v>
      </c>
      <c r="T130" s="10">
        <v>5</v>
      </c>
      <c r="U130" s="10">
        <f t="shared" ref="U130:U193" si="4">AVERAGE(S130:T130)</f>
        <v>2.5</v>
      </c>
      <c r="V130" s="6">
        <v>0</v>
      </c>
      <c r="W130" s="8">
        <v>-4.889712680101395</v>
      </c>
      <c r="X130" s="8">
        <v>-39.777869926071162</v>
      </c>
      <c r="Y130" s="8">
        <f t="shared" ref="Y130:Y193" si="5">X130-(8*W130)</f>
        <v>-0.6601684852600016</v>
      </c>
    </row>
    <row r="131" spans="1:25" s="6" customFormat="1" x14ac:dyDescent="0.35">
      <c r="A131" s="6" t="s">
        <v>25</v>
      </c>
      <c r="B131" s="7" t="s">
        <v>301</v>
      </c>
      <c r="C131" s="6">
        <v>510322</v>
      </c>
      <c r="D131" s="6" t="s">
        <v>302</v>
      </c>
      <c r="E131" s="6">
        <v>1</v>
      </c>
      <c r="F131" s="6">
        <v>6</v>
      </c>
      <c r="G131" s="6" t="s">
        <v>210</v>
      </c>
      <c r="I131" s="8">
        <v>85.946550833333305</v>
      </c>
      <c r="J131" s="8">
        <v>119.754510833333</v>
      </c>
      <c r="K131" s="6" t="s">
        <v>29</v>
      </c>
      <c r="L131" s="6" t="s">
        <v>546</v>
      </c>
      <c r="M131" s="9">
        <v>43773</v>
      </c>
      <c r="O131" s="6">
        <v>6</v>
      </c>
      <c r="P131" s="6" t="s">
        <v>4255</v>
      </c>
      <c r="Q131" s="8">
        <v>-8.6999999999999993</v>
      </c>
      <c r="R131" s="10" t="s">
        <v>203</v>
      </c>
      <c r="S131" s="10">
        <v>0</v>
      </c>
      <c r="T131" s="10">
        <v>5</v>
      </c>
      <c r="U131" s="10">
        <f t="shared" si="4"/>
        <v>2.5</v>
      </c>
      <c r="V131" s="6">
        <v>6.3</v>
      </c>
      <c r="W131" s="8">
        <v>-1.6827929244041444</v>
      </c>
      <c r="X131" s="8">
        <v>-16.135029471969602</v>
      </c>
      <c r="Y131" s="8">
        <f t="shared" si="5"/>
        <v>-2.6726860767364471</v>
      </c>
    </row>
    <row r="132" spans="1:25" s="6" customFormat="1" x14ac:dyDescent="0.35">
      <c r="A132" s="6" t="s">
        <v>25</v>
      </c>
      <c r="B132" s="6" t="s">
        <v>319</v>
      </c>
      <c r="C132" s="6">
        <v>510338</v>
      </c>
      <c r="D132" s="6" t="s">
        <v>320</v>
      </c>
      <c r="E132" s="6">
        <v>1</v>
      </c>
      <c r="F132" s="6">
        <v>6</v>
      </c>
      <c r="G132" s="6" t="s">
        <v>210</v>
      </c>
      <c r="I132" s="8">
        <v>85.946550833333305</v>
      </c>
      <c r="J132" s="8">
        <v>119.754510833333</v>
      </c>
      <c r="K132" s="6" t="s">
        <v>29</v>
      </c>
      <c r="L132" s="6" t="s">
        <v>546</v>
      </c>
      <c r="M132" s="9">
        <v>43773</v>
      </c>
      <c r="O132" s="6">
        <v>6</v>
      </c>
      <c r="P132" s="6" t="s">
        <v>4255</v>
      </c>
      <c r="R132" s="6" t="s">
        <v>64</v>
      </c>
      <c r="S132" s="6">
        <v>0</v>
      </c>
      <c r="T132" s="6">
        <v>10</v>
      </c>
      <c r="U132" s="10">
        <f t="shared" si="4"/>
        <v>5</v>
      </c>
      <c r="W132" s="8">
        <v>-6.9853986846923828</v>
      </c>
      <c r="X132" s="8">
        <v>-54.263505584716796</v>
      </c>
      <c r="Y132" s="8">
        <f t="shared" si="5"/>
        <v>1.6196838928222661</v>
      </c>
    </row>
    <row r="133" spans="1:25" s="6" customFormat="1" x14ac:dyDescent="0.35">
      <c r="A133" s="6" t="s">
        <v>25</v>
      </c>
      <c r="B133" s="7" t="s">
        <v>290</v>
      </c>
      <c r="C133" s="6">
        <v>510330</v>
      </c>
      <c r="D133" s="6" t="s">
        <v>291</v>
      </c>
      <c r="E133" s="6">
        <v>1</v>
      </c>
      <c r="F133" s="6">
        <v>6</v>
      </c>
      <c r="G133" s="6" t="s">
        <v>210</v>
      </c>
      <c r="I133" s="8">
        <v>85.946550833333305</v>
      </c>
      <c r="J133" s="8">
        <v>119.754510833333</v>
      </c>
      <c r="K133" s="6" t="s">
        <v>29</v>
      </c>
      <c r="L133" s="6" t="s">
        <v>546</v>
      </c>
      <c r="M133" s="9">
        <v>43773</v>
      </c>
      <c r="O133" s="6">
        <v>6</v>
      </c>
      <c r="P133" s="6" t="s">
        <v>4255</v>
      </c>
      <c r="Q133" s="8">
        <v>-7.5</v>
      </c>
      <c r="R133" s="10" t="s">
        <v>292</v>
      </c>
      <c r="S133" s="10">
        <v>5</v>
      </c>
      <c r="T133" s="10">
        <v>10</v>
      </c>
      <c r="U133" s="10">
        <f t="shared" si="4"/>
        <v>7.5</v>
      </c>
      <c r="V133" s="6">
        <v>0.3</v>
      </c>
      <c r="W133" s="8">
        <v>-4.2156116390228275</v>
      </c>
      <c r="X133" s="8">
        <v>-32.717088870620728</v>
      </c>
      <c r="Y133" s="8">
        <f t="shared" si="5"/>
        <v>1.0078042415618924</v>
      </c>
    </row>
    <row r="134" spans="1:25" s="6" customFormat="1" x14ac:dyDescent="0.35">
      <c r="A134" s="6" t="s">
        <v>25</v>
      </c>
      <c r="B134" s="7" t="s">
        <v>317</v>
      </c>
      <c r="C134" s="6">
        <v>510323</v>
      </c>
      <c r="D134" s="6" t="s">
        <v>318</v>
      </c>
      <c r="E134" s="6">
        <v>1</v>
      </c>
      <c r="F134" s="6">
        <v>6</v>
      </c>
      <c r="G134" s="6" t="s">
        <v>210</v>
      </c>
      <c r="I134" s="8">
        <v>85.946550833333305</v>
      </c>
      <c r="J134" s="8">
        <v>119.754510833333</v>
      </c>
      <c r="K134" s="6" t="s">
        <v>29</v>
      </c>
      <c r="L134" s="6" t="s">
        <v>546</v>
      </c>
      <c r="M134" s="9">
        <v>43773</v>
      </c>
      <c r="O134" s="6">
        <v>6</v>
      </c>
      <c r="P134" s="6" t="s">
        <v>4255</v>
      </c>
      <c r="Q134" s="8">
        <v>-7.05</v>
      </c>
      <c r="R134" s="10" t="s">
        <v>292</v>
      </c>
      <c r="S134" s="10">
        <v>5</v>
      </c>
      <c r="T134" s="10">
        <v>10</v>
      </c>
      <c r="U134" s="10">
        <f t="shared" si="4"/>
        <v>7.5</v>
      </c>
      <c r="V134" s="6">
        <v>4.5999999999999996</v>
      </c>
      <c r="W134" s="8">
        <v>-0.66034109100699434</v>
      </c>
      <c r="X134" s="8">
        <v>-6.4800299774169918</v>
      </c>
      <c r="Y134" s="8">
        <f t="shared" si="5"/>
        <v>-1.1973012493610371</v>
      </c>
    </row>
    <row r="135" spans="1:25" s="6" customFormat="1" x14ac:dyDescent="0.35">
      <c r="A135" s="6" t="s">
        <v>25</v>
      </c>
      <c r="B135" s="7" t="s">
        <v>288</v>
      </c>
      <c r="C135" s="6">
        <v>510331</v>
      </c>
      <c r="D135" s="6" t="s">
        <v>289</v>
      </c>
      <c r="E135" s="6">
        <v>1</v>
      </c>
      <c r="F135" s="6">
        <v>6</v>
      </c>
      <c r="G135" s="6" t="s">
        <v>210</v>
      </c>
      <c r="I135" s="8">
        <v>85.946550833333305</v>
      </c>
      <c r="J135" s="8">
        <v>119.754510833333</v>
      </c>
      <c r="K135" s="6" t="s">
        <v>29</v>
      </c>
      <c r="L135" s="6" t="s">
        <v>546</v>
      </c>
      <c r="M135" s="9">
        <v>43773</v>
      </c>
      <c r="O135" s="6">
        <v>6</v>
      </c>
      <c r="P135" s="6" t="s">
        <v>4255</v>
      </c>
      <c r="Q135" s="8">
        <v>-6.35</v>
      </c>
      <c r="R135" s="10" t="s">
        <v>66</v>
      </c>
      <c r="S135" s="10">
        <v>10</v>
      </c>
      <c r="T135" s="10">
        <v>20</v>
      </c>
      <c r="U135" s="10">
        <f t="shared" si="4"/>
        <v>15</v>
      </c>
      <c r="V135" s="6">
        <v>0.6</v>
      </c>
      <c r="W135" s="8">
        <v>-3.5058863943099983</v>
      </c>
      <c r="X135" s="8">
        <v>-26.506464242935181</v>
      </c>
      <c r="Y135" s="8">
        <f t="shared" si="5"/>
        <v>1.5406269115448055</v>
      </c>
    </row>
    <row r="136" spans="1:25" s="6" customFormat="1" x14ac:dyDescent="0.35">
      <c r="A136" s="6" t="s">
        <v>25</v>
      </c>
      <c r="B136" s="7" t="s">
        <v>315</v>
      </c>
      <c r="C136" s="6">
        <v>510327</v>
      </c>
      <c r="D136" s="6" t="s">
        <v>316</v>
      </c>
      <c r="E136" s="6">
        <v>1</v>
      </c>
      <c r="F136" s="6">
        <v>6</v>
      </c>
      <c r="G136" s="6" t="s">
        <v>210</v>
      </c>
      <c r="I136" s="8">
        <v>85.946550833333305</v>
      </c>
      <c r="J136" s="8">
        <v>119.754510833333</v>
      </c>
      <c r="K136" s="6" t="s">
        <v>29</v>
      </c>
      <c r="L136" s="6" t="s">
        <v>546</v>
      </c>
      <c r="M136" s="9">
        <v>43773</v>
      </c>
      <c r="O136" s="6">
        <v>6</v>
      </c>
      <c r="P136" s="6" t="s">
        <v>4255</v>
      </c>
      <c r="Q136" s="8">
        <v>-5.5</v>
      </c>
      <c r="R136" s="10" t="s">
        <v>66</v>
      </c>
      <c r="S136" s="10">
        <v>10</v>
      </c>
      <c r="T136" s="10">
        <v>20</v>
      </c>
      <c r="U136" s="10">
        <f t="shared" si="4"/>
        <v>15</v>
      </c>
      <c r="V136" s="6">
        <v>4.3</v>
      </c>
      <c r="W136" s="8">
        <v>-1.8905318483710287</v>
      </c>
      <c r="X136" s="8">
        <v>-16.196991018867493</v>
      </c>
      <c r="Y136" s="8">
        <f t="shared" si="5"/>
        <v>-1.0727362318992633</v>
      </c>
    </row>
    <row r="137" spans="1:25" s="6" customFormat="1" x14ac:dyDescent="0.35">
      <c r="A137" s="6" t="s">
        <v>25</v>
      </c>
      <c r="B137" s="6" t="s">
        <v>321</v>
      </c>
      <c r="C137" s="6">
        <v>510339</v>
      </c>
      <c r="D137" s="6" t="s">
        <v>320</v>
      </c>
      <c r="E137" s="6">
        <v>1</v>
      </c>
      <c r="F137" s="6">
        <v>6</v>
      </c>
      <c r="G137" s="6" t="s">
        <v>210</v>
      </c>
      <c r="I137" s="8">
        <v>85.946550833333305</v>
      </c>
      <c r="J137" s="8">
        <v>119.754510833333</v>
      </c>
      <c r="K137" s="6" t="s">
        <v>29</v>
      </c>
      <c r="L137" s="6" t="s">
        <v>546</v>
      </c>
      <c r="M137" s="9">
        <v>43773</v>
      </c>
      <c r="O137" s="6">
        <v>6</v>
      </c>
      <c r="P137" s="6" t="s">
        <v>4255</v>
      </c>
      <c r="R137" s="6" t="s">
        <v>66</v>
      </c>
      <c r="S137" s="6">
        <v>10</v>
      </c>
      <c r="T137" s="6">
        <v>20</v>
      </c>
      <c r="U137" s="10">
        <f t="shared" si="4"/>
        <v>15</v>
      </c>
      <c r="W137" s="8">
        <v>-4.9324842674255382</v>
      </c>
      <c r="X137" s="8">
        <v>-38.703971672058096</v>
      </c>
      <c r="Y137" s="8">
        <f t="shared" si="5"/>
        <v>0.75590246734621047</v>
      </c>
    </row>
    <row r="138" spans="1:25" s="6" customFormat="1" x14ac:dyDescent="0.35">
      <c r="A138" s="6" t="s">
        <v>25</v>
      </c>
      <c r="B138" s="7" t="s">
        <v>312</v>
      </c>
      <c r="C138" s="6">
        <v>510328</v>
      </c>
      <c r="D138" s="6" t="s">
        <v>313</v>
      </c>
      <c r="E138" s="6">
        <v>1</v>
      </c>
      <c r="F138" s="6">
        <v>6</v>
      </c>
      <c r="G138" s="6" t="s">
        <v>210</v>
      </c>
      <c r="I138" s="8">
        <v>85.946550833333305</v>
      </c>
      <c r="J138" s="8">
        <v>119.754510833333</v>
      </c>
      <c r="K138" s="6" t="s">
        <v>29</v>
      </c>
      <c r="L138" s="6" t="s">
        <v>546</v>
      </c>
      <c r="M138" s="9">
        <v>43773</v>
      </c>
      <c r="O138" s="6">
        <v>6</v>
      </c>
      <c r="P138" s="6" t="s">
        <v>4255</v>
      </c>
      <c r="Q138" s="8">
        <v>-4.2549999999999999</v>
      </c>
      <c r="R138" s="10" t="s">
        <v>314</v>
      </c>
      <c r="S138" s="10">
        <v>20</v>
      </c>
      <c r="T138" s="10">
        <v>29.5</v>
      </c>
      <c r="U138" s="10">
        <f t="shared" si="4"/>
        <v>24.75</v>
      </c>
      <c r="V138" s="6">
        <v>5.2</v>
      </c>
      <c r="W138" s="8">
        <v>0.93731891465187067</v>
      </c>
      <c r="X138" s="8">
        <v>6.2193669940918674</v>
      </c>
      <c r="Y138" s="8">
        <f t="shared" si="5"/>
        <v>-1.2791843231230979</v>
      </c>
    </row>
    <row r="139" spans="1:25" s="6" customFormat="1" x14ac:dyDescent="0.35">
      <c r="A139" s="6" t="s">
        <v>25</v>
      </c>
      <c r="B139" s="6" t="s">
        <v>322</v>
      </c>
      <c r="C139" s="6">
        <v>510340</v>
      </c>
      <c r="D139" s="6" t="s">
        <v>320</v>
      </c>
      <c r="E139" s="6">
        <v>1</v>
      </c>
      <c r="F139" s="6">
        <v>6</v>
      </c>
      <c r="G139" s="6" t="s">
        <v>210</v>
      </c>
      <c r="I139" s="8">
        <v>85.946550833333305</v>
      </c>
      <c r="J139" s="8">
        <v>119.754510833333</v>
      </c>
      <c r="K139" s="6" t="s">
        <v>29</v>
      </c>
      <c r="L139" s="6" t="s">
        <v>546</v>
      </c>
      <c r="M139" s="9">
        <v>43773</v>
      </c>
      <c r="O139" s="6">
        <v>6</v>
      </c>
      <c r="P139" s="6" t="s">
        <v>4255</v>
      </c>
      <c r="R139" s="6" t="s">
        <v>215</v>
      </c>
      <c r="S139" s="6">
        <v>20</v>
      </c>
      <c r="T139" s="6">
        <v>30</v>
      </c>
      <c r="U139" s="10">
        <f t="shared" si="4"/>
        <v>25</v>
      </c>
      <c r="W139" s="8">
        <v>-6.4398940679550183</v>
      </c>
      <c r="X139" s="8">
        <v>-48.782972869873049</v>
      </c>
      <c r="Y139" s="8">
        <f t="shared" si="5"/>
        <v>2.7361796737670971</v>
      </c>
    </row>
    <row r="140" spans="1:25" s="6" customFormat="1" x14ac:dyDescent="0.35">
      <c r="A140" s="6" t="s">
        <v>25</v>
      </c>
      <c r="B140" s="7" t="s">
        <v>296</v>
      </c>
      <c r="C140" s="6">
        <v>510332</v>
      </c>
      <c r="D140" s="6" t="s">
        <v>297</v>
      </c>
      <c r="E140" s="6">
        <v>1</v>
      </c>
      <c r="F140" s="6">
        <v>6</v>
      </c>
      <c r="G140" s="6" t="s">
        <v>210</v>
      </c>
      <c r="I140" s="8">
        <v>85.946550833333305</v>
      </c>
      <c r="J140" s="8">
        <v>119.754510833333</v>
      </c>
      <c r="K140" s="6" t="s">
        <v>29</v>
      </c>
      <c r="L140" s="6" t="s">
        <v>546</v>
      </c>
      <c r="M140" s="9">
        <v>43773</v>
      </c>
      <c r="O140" s="6">
        <v>6</v>
      </c>
      <c r="P140" s="6" t="s">
        <v>4255</v>
      </c>
      <c r="Q140" s="8">
        <v>-5.1000000000000005</v>
      </c>
      <c r="R140" s="10" t="s">
        <v>298</v>
      </c>
      <c r="S140" s="10">
        <v>20</v>
      </c>
      <c r="T140" s="10">
        <v>34</v>
      </c>
      <c r="U140" s="10">
        <f t="shared" si="4"/>
        <v>27</v>
      </c>
      <c r="V140" s="6">
        <v>0.6</v>
      </c>
      <c r="W140" s="8">
        <v>-3.4447655582427972</v>
      </c>
      <c r="X140" s="8">
        <v>-26.166269157981873</v>
      </c>
      <c r="Y140" s="8">
        <f t="shared" si="5"/>
        <v>1.3918553079605047</v>
      </c>
    </row>
    <row r="141" spans="1:25" s="6" customFormat="1" x14ac:dyDescent="0.35">
      <c r="A141" s="6" t="s">
        <v>25</v>
      </c>
      <c r="B141" s="7" t="s">
        <v>306</v>
      </c>
      <c r="C141" s="6">
        <v>510326</v>
      </c>
      <c r="D141" s="6" t="s">
        <v>307</v>
      </c>
      <c r="E141" s="6">
        <v>1</v>
      </c>
      <c r="F141" s="6">
        <v>6</v>
      </c>
      <c r="G141" s="6" t="s">
        <v>210</v>
      </c>
      <c r="I141" s="8">
        <v>85.946550833333305</v>
      </c>
      <c r="J141" s="8">
        <v>119.754510833333</v>
      </c>
      <c r="K141" s="6" t="s">
        <v>29</v>
      </c>
      <c r="L141" s="6" t="s">
        <v>546</v>
      </c>
      <c r="M141" s="9">
        <v>43773</v>
      </c>
      <c r="O141" s="6">
        <v>6</v>
      </c>
      <c r="P141" s="6" t="s">
        <v>4255</v>
      </c>
      <c r="Q141" s="8">
        <v>-2.855</v>
      </c>
      <c r="R141" s="10" t="s">
        <v>308</v>
      </c>
      <c r="S141" s="10">
        <v>29.5</v>
      </c>
      <c r="T141" s="10">
        <v>39.5</v>
      </c>
      <c r="U141" s="10">
        <f t="shared" si="4"/>
        <v>34.5</v>
      </c>
      <c r="V141" s="6">
        <v>5.5</v>
      </c>
      <c r="W141" s="8">
        <v>0.90709664541482926</v>
      </c>
      <c r="X141" s="8">
        <v>5.9026842371314761</v>
      </c>
      <c r="Y141" s="8">
        <f t="shared" si="5"/>
        <v>-1.354088926187158</v>
      </c>
    </row>
    <row r="142" spans="1:25" s="6" customFormat="1" x14ac:dyDescent="0.35">
      <c r="A142" s="6" t="s">
        <v>25</v>
      </c>
      <c r="B142" s="6" t="s">
        <v>323</v>
      </c>
      <c r="C142" s="6">
        <v>510341</v>
      </c>
      <c r="D142" s="6" t="s">
        <v>320</v>
      </c>
      <c r="E142" s="6">
        <v>1</v>
      </c>
      <c r="F142" s="6">
        <v>6</v>
      </c>
      <c r="G142" s="6" t="s">
        <v>210</v>
      </c>
      <c r="I142" s="8">
        <v>85.946550833333305</v>
      </c>
      <c r="J142" s="8">
        <v>119.754510833333</v>
      </c>
      <c r="K142" s="6" t="s">
        <v>29</v>
      </c>
      <c r="L142" s="6" t="s">
        <v>546</v>
      </c>
      <c r="M142" s="9">
        <v>43773</v>
      </c>
      <c r="O142" s="6">
        <v>6</v>
      </c>
      <c r="P142" s="6" t="s">
        <v>4255</v>
      </c>
      <c r="R142" s="6" t="s">
        <v>324</v>
      </c>
      <c r="S142" s="6">
        <v>30</v>
      </c>
      <c r="T142" s="6">
        <v>42</v>
      </c>
      <c r="U142" s="10">
        <f t="shared" si="4"/>
        <v>36</v>
      </c>
      <c r="W142" s="8">
        <v>-5.9732858283996588</v>
      </c>
      <c r="X142" s="8">
        <v>-45.735156990051266</v>
      </c>
      <c r="Y142" s="8">
        <f t="shared" si="5"/>
        <v>2.0511296371460048</v>
      </c>
    </row>
    <row r="143" spans="1:25" s="6" customFormat="1" x14ac:dyDescent="0.35">
      <c r="A143" s="6" t="s">
        <v>25</v>
      </c>
      <c r="B143" s="7" t="s">
        <v>279</v>
      </c>
      <c r="C143" s="6">
        <v>510337</v>
      </c>
      <c r="D143" s="6" t="s">
        <v>280</v>
      </c>
      <c r="E143" s="6">
        <v>1</v>
      </c>
      <c r="F143" s="6">
        <v>6</v>
      </c>
      <c r="G143" s="6" t="s">
        <v>210</v>
      </c>
      <c r="I143" s="8">
        <v>85.946550833333305</v>
      </c>
      <c r="J143" s="8">
        <v>119.754510833333</v>
      </c>
      <c r="K143" s="6" t="s">
        <v>29</v>
      </c>
      <c r="L143" s="6" t="s">
        <v>546</v>
      </c>
      <c r="M143" s="9">
        <v>43773</v>
      </c>
      <c r="O143" s="6">
        <v>6</v>
      </c>
      <c r="P143" s="6" t="s">
        <v>4255</v>
      </c>
      <c r="Q143" s="8">
        <v>-4.45</v>
      </c>
      <c r="R143" s="10" t="s">
        <v>281</v>
      </c>
      <c r="S143" s="10">
        <v>34</v>
      </c>
      <c r="T143" s="10">
        <v>46</v>
      </c>
      <c r="U143" s="10">
        <f t="shared" si="4"/>
        <v>40</v>
      </c>
      <c r="V143" s="6">
        <v>0.5</v>
      </c>
      <c r="W143" s="8">
        <v>-3.1799442282199868</v>
      </c>
      <c r="X143" s="8">
        <v>-23.351466464996339</v>
      </c>
      <c r="Y143" s="8">
        <f t="shared" si="5"/>
        <v>2.0880873607635557</v>
      </c>
    </row>
    <row r="144" spans="1:25" s="6" customFormat="1" x14ac:dyDescent="0.35">
      <c r="A144" s="6" t="s">
        <v>25</v>
      </c>
      <c r="B144" s="7" t="s">
        <v>309</v>
      </c>
      <c r="C144" s="6">
        <v>510325</v>
      </c>
      <c r="D144" s="6" t="s">
        <v>310</v>
      </c>
      <c r="E144" s="6">
        <v>1</v>
      </c>
      <c r="F144" s="6">
        <v>6</v>
      </c>
      <c r="G144" s="6" t="s">
        <v>210</v>
      </c>
      <c r="I144" s="8">
        <v>85.946550833333305</v>
      </c>
      <c r="J144" s="8">
        <v>119.754510833333</v>
      </c>
      <c r="K144" s="6" t="s">
        <v>29</v>
      </c>
      <c r="L144" s="6" t="s">
        <v>546</v>
      </c>
      <c r="M144" s="9">
        <v>43773</v>
      </c>
      <c r="O144" s="6">
        <v>6</v>
      </c>
      <c r="P144" s="6" t="s">
        <v>4255</v>
      </c>
      <c r="Q144" s="8">
        <v>-1.99</v>
      </c>
      <c r="R144" s="10" t="s">
        <v>311</v>
      </c>
      <c r="S144" s="10">
        <v>39.5</v>
      </c>
      <c r="T144" s="10">
        <v>44.5</v>
      </c>
      <c r="U144" s="10">
        <f t="shared" si="4"/>
        <v>42</v>
      </c>
      <c r="V144" s="6">
        <v>5.5</v>
      </c>
      <c r="W144" s="8">
        <v>0.35651671186089551</v>
      </c>
      <c r="X144" s="8">
        <v>1.283579244339466</v>
      </c>
      <c r="Y144" s="8">
        <f t="shared" si="5"/>
        <v>-1.568554450547698</v>
      </c>
    </row>
    <row r="145" spans="1:25" s="6" customFormat="1" x14ac:dyDescent="0.35">
      <c r="A145" s="6" t="s">
        <v>25</v>
      </c>
      <c r="B145" s="6" t="s">
        <v>325</v>
      </c>
      <c r="C145" s="6">
        <v>510342</v>
      </c>
      <c r="D145" s="6" t="s">
        <v>320</v>
      </c>
      <c r="E145" s="6">
        <v>1</v>
      </c>
      <c r="F145" s="6">
        <v>6</v>
      </c>
      <c r="G145" s="6" t="s">
        <v>210</v>
      </c>
      <c r="I145" s="8">
        <v>85.946550833333305</v>
      </c>
      <c r="J145" s="8">
        <v>119.754510833333</v>
      </c>
      <c r="K145" s="6" t="s">
        <v>29</v>
      </c>
      <c r="L145" s="6" t="s">
        <v>546</v>
      </c>
      <c r="M145" s="9">
        <v>43773</v>
      </c>
      <c r="O145" s="6">
        <v>6</v>
      </c>
      <c r="P145" s="6" t="s">
        <v>4255</v>
      </c>
      <c r="R145" s="6" t="s">
        <v>326</v>
      </c>
      <c r="S145" s="6">
        <v>42</v>
      </c>
      <c r="T145" s="6">
        <v>50</v>
      </c>
      <c r="U145" s="10">
        <f t="shared" si="4"/>
        <v>46</v>
      </c>
      <c r="W145" s="8">
        <v>-4.7754862220764167</v>
      </c>
      <c r="X145" s="8">
        <v>-36.649697181701661</v>
      </c>
      <c r="Y145" s="8">
        <f t="shared" si="5"/>
        <v>1.5541925949096722</v>
      </c>
    </row>
    <row r="146" spans="1:25" s="6" customFormat="1" x14ac:dyDescent="0.35">
      <c r="A146" s="6" t="s">
        <v>25</v>
      </c>
      <c r="B146" s="7" t="s">
        <v>303</v>
      </c>
      <c r="C146" s="6">
        <v>510324</v>
      </c>
      <c r="D146" s="6" t="s">
        <v>304</v>
      </c>
      <c r="E146" s="6">
        <v>1</v>
      </c>
      <c r="F146" s="6">
        <v>6</v>
      </c>
      <c r="G146" s="6" t="s">
        <v>210</v>
      </c>
      <c r="I146" s="8">
        <v>85.946550833333305</v>
      </c>
      <c r="J146" s="8">
        <v>119.754510833333</v>
      </c>
      <c r="K146" s="6" t="s">
        <v>29</v>
      </c>
      <c r="L146" s="6" t="s">
        <v>546</v>
      </c>
      <c r="M146" s="9">
        <v>43773</v>
      </c>
      <c r="O146" s="6">
        <v>6</v>
      </c>
      <c r="P146" s="6" t="s">
        <v>4255</v>
      </c>
      <c r="Q146" s="8">
        <v>-1.99</v>
      </c>
      <c r="R146" s="10" t="s">
        <v>305</v>
      </c>
      <c r="S146" s="10">
        <v>44.5</v>
      </c>
      <c r="T146" s="10">
        <v>49.5</v>
      </c>
      <c r="U146" s="10">
        <f t="shared" si="4"/>
        <v>47</v>
      </c>
      <c r="V146" s="6">
        <v>6.9</v>
      </c>
      <c r="W146" s="8">
        <v>0.5719859746396545</v>
      </c>
      <c r="X146" s="8">
        <v>3.975163489127159</v>
      </c>
      <c r="Y146" s="8">
        <f t="shared" si="5"/>
        <v>-0.60072430799007703</v>
      </c>
    </row>
    <row r="147" spans="1:25" s="6" customFormat="1" x14ac:dyDescent="0.35">
      <c r="A147" s="6" t="s">
        <v>25</v>
      </c>
      <c r="B147" s="7" t="s">
        <v>276</v>
      </c>
      <c r="C147" s="6">
        <v>510336</v>
      </c>
      <c r="D147" s="6" t="s">
        <v>277</v>
      </c>
      <c r="E147" s="6">
        <v>1</v>
      </c>
      <c r="F147" s="6">
        <v>6</v>
      </c>
      <c r="G147" s="6" t="s">
        <v>210</v>
      </c>
      <c r="I147" s="8">
        <v>85.946550833333305</v>
      </c>
      <c r="J147" s="8">
        <v>119.754510833333</v>
      </c>
      <c r="K147" s="6" t="s">
        <v>29</v>
      </c>
      <c r="L147" s="6" t="s">
        <v>546</v>
      </c>
      <c r="M147" s="9">
        <v>43773</v>
      </c>
      <c r="O147" s="6">
        <v>6</v>
      </c>
      <c r="P147" s="6" t="s">
        <v>4255</v>
      </c>
      <c r="Q147" s="8">
        <v>-4.166666666666667</v>
      </c>
      <c r="R147" s="10" t="s">
        <v>278</v>
      </c>
      <c r="S147" s="10">
        <v>46</v>
      </c>
      <c r="T147" s="10">
        <v>58</v>
      </c>
      <c r="U147" s="10">
        <f t="shared" si="4"/>
        <v>52</v>
      </c>
      <c r="V147" s="6">
        <v>0.4</v>
      </c>
      <c r="W147" s="8">
        <v>-2.7985884950637825</v>
      </c>
      <c r="X147" s="8">
        <v>-21.788494348526001</v>
      </c>
      <c r="Y147" s="8">
        <f t="shared" si="5"/>
        <v>0.60021361198425893</v>
      </c>
    </row>
    <row r="148" spans="1:25" s="6" customFormat="1" x14ac:dyDescent="0.35">
      <c r="A148" s="6" t="s">
        <v>25</v>
      </c>
      <c r="B148" s="6" t="s">
        <v>327</v>
      </c>
      <c r="C148" s="6">
        <v>510343</v>
      </c>
      <c r="D148" s="6" t="s">
        <v>320</v>
      </c>
      <c r="E148" s="6">
        <v>1</v>
      </c>
      <c r="F148" s="6">
        <v>6</v>
      </c>
      <c r="G148" s="6" t="s">
        <v>210</v>
      </c>
      <c r="I148" s="8">
        <v>85.946550833333305</v>
      </c>
      <c r="J148" s="8">
        <v>119.754510833333</v>
      </c>
      <c r="K148" s="6" t="s">
        <v>29</v>
      </c>
      <c r="L148" s="6" t="s">
        <v>546</v>
      </c>
      <c r="M148" s="9">
        <v>43773</v>
      </c>
      <c r="O148" s="6">
        <v>6</v>
      </c>
      <c r="P148" s="6" t="s">
        <v>4255</v>
      </c>
      <c r="R148" s="6" t="s">
        <v>328</v>
      </c>
      <c r="S148" s="6">
        <v>50</v>
      </c>
      <c r="T148" s="6">
        <v>58</v>
      </c>
      <c r="U148" s="10">
        <f t="shared" si="4"/>
        <v>54</v>
      </c>
      <c r="W148" s="8">
        <v>-4.4754091651916497</v>
      </c>
      <c r="X148" s="8">
        <v>-34.715039283752439</v>
      </c>
      <c r="Y148" s="8">
        <f t="shared" si="5"/>
        <v>1.088234037780758</v>
      </c>
    </row>
    <row r="149" spans="1:25" s="6" customFormat="1" x14ac:dyDescent="0.35">
      <c r="A149" s="6" t="s">
        <v>25</v>
      </c>
      <c r="B149" s="7" t="s">
        <v>293</v>
      </c>
      <c r="C149" s="6">
        <v>510335</v>
      </c>
      <c r="D149" s="6" t="s">
        <v>294</v>
      </c>
      <c r="E149" s="6">
        <v>1</v>
      </c>
      <c r="F149" s="6">
        <v>6</v>
      </c>
      <c r="G149" s="6" t="s">
        <v>210</v>
      </c>
      <c r="I149" s="8">
        <v>85.946550833333305</v>
      </c>
      <c r="J149" s="8">
        <v>119.754510833333</v>
      </c>
      <c r="K149" s="6" t="s">
        <v>29</v>
      </c>
      <c r="L149" s="6" t="s">
        <v>546</v>
      </c>
      <c r="M149" s="9">
        <v>43773</v>
      </c>
      <c r="O149" s="6">
        <v>6</v>
      </c>
      <c r="P149" s="6" t="s">
        <v>4255</v>
      </c>
      <c r="Q149" s="8">
        <v>-3.4</v>
      </c>
      <c r="R149" s="10" t="s">
        <v>295</v>
      </c>
      <c r="S149" s="10">
        <v>58</v>
      </c>
      <c r="T149" s="10">
        <v>68</v>
      </c>
      <c r="U149" s="10">
        <f t="shared" si="4"/>
        <v>63</v>
      </c>
      <c r="V149" s="6">
        <v>0.4</v>
      </c>
      <c r="W149" s="8">
        <v>-3.5069515768289561</v>
      </c>
      <c r="X149" s="8">
        <v>-26.477782238578797</v>
      </c>
      <c r="Y149" s="8">
        <f t="shared" si="5"/>
        <v>1.5778303760528516</v>
      </c>
    </row>
    <row r="150" spans="1:25" s="6" customFormat="1" x14ac:dyDescent="0.35">
      <c r="A150" s="6" t="s">
        <v>25</v>
      </c>
      <c r="B150" s="6" t="s">
        <v>329</v>
      </c>
      <c r="C150" s="6">
        <v>510344</v>
      </c>
      <c r="D150" s="6" t="s">
        <v>320</v>
      </c>
      <c r="E150" s="6">
        <v>1</v>
      </c>
      <c r="F150" s="6">
        <v>6</v>
      </c>
      <c r="G150" s="6" t="s">
        <v>210</v>
      </c>
      <c r="I150" s="8">
        <v>85.946550833333305</v>
      </c>
      <c r="J150" s="8">
        <v>119.754510833333</v>
      </c>
      <c r="K150" s="6" t="s">
        <v>29</v>
      </c>
      <c r="L150" s="6" t="s">
        <v>546</v>
      </c>
      <c r="M150" s="9">
        <v>43773</v>
      </c>
      <c r="O150" s="6">
        <v>6</v>
      </c>
      <c r="P150" s="6" t="s">
        <v>4255</v>
      </c>
      <c r="R150" s="6" t="s">
        <v>295</v>
      </c>
      <c r="S150" s="6">
        <v>58</v>
      </c>
      <c r="T150" s="6">
        <v>68</v>
      </c>
      <c r="U150" s="10">
        <f t="shared" si="4"/>
        <v>63</v>
      </c>
      <c r="W150" s="8">
        <v>-4.7303832233428977</v>
      </c>
      <c r="X150" s="8">
        <v>-36.10707070159912</v>
      </c>
      <c r="Y150" s="8">
        <f t="shared" si="5"/>
        <v>1.7359950851440615</v>
      </c>
    </row>
    <row r="151" spans="1:25" s="6" customFormat="1" x14ac:dyDescent="0.35">
      <c r="A151" s="6" t="s">
        <v>25</v>
      </c>
      <c r="B151" s="7" t="s">
        <v>285</v>
      </c>
      <c r="C151" s="6">
        <v>510334</v>
      </c>
      <c r="D151" s="6" t="s">
        <v>286</v>
      </c>
      <c r="E151" s="6">
        <v>1</v>
      </c>
      <c r="F151" s="6">
        <v>6</v>
      </c>
      <c r="G151" s="6" t="s">
        <v>210</v>
      </c>
      <c r="I151" s="8">
        <v>85.946550833333305</v>
      </c>
      <c r="J151" s="8">
        <v>119.754510833333</v>
      </c>
      <c r="K151" s="6" t="s">
        <v>29</v>
      </c>
      <c r="L151" s="6" t="s">
        <v>546</v>
      </c>
      <c r="M151" s="9">
        <v>43773</v>
      </c>
      <c r="O151" s="6">
        <v>6</v>
      </c>
      <c r="P151" s="6" t="s">
        <v>4255</v>
      </c>
      <c r="Q151" s="8">
        <v>-2.9</v>
      </c>
      <c r="R151" s="10" t="s">
        <v>287</v>
      </c>
      <c r="S151" s="10">
        <v>68</v>
      </c>
      <c r="T151" s="10">
        <v>73</v>
      </c>
      <c r="U151" s="10">
        <f t="shared" si="4"/>
        <v>70.5</v>
      </c>
      <c r="V151" s="6">
        <v>1</v>
      </c>
      <c r="W151" s="8">
        <v>-4.6322437079429628</v>
      </c>
      <c r="X151" s="8">
        <v>-36.569987010955806</v>
      </c>
      <c r="Y151" s="8">
        <f t="shared" si="5"/>
        <v>0.48796265258789617</v>
      </c>
    </row>
    <row r="152" spans="1:25" s="6" customFormat="1" x14ac:dyDescent="0.35">
      <c r="A152" s="6" t="s">
        <v>25</v>
      </c>
      <c r="B152" s="6" t="s">
        <v>330</v>
      </c>
      <c r="C152" s="6">
        <v>510345</v>
      </c>
      <c r="D152" s="6" t="s">
        <v>320</v>
      </c>
      <c r="E152" s="6">
        <v>1</v>
      </c>
      <c r="F152" s="6">
        <v>6</v>
      </c>
      <c r="G152" s="6" t="s">
        <v>210</v>
      </c>
      <c r="I152" s="8">
        <v>85.946550833333305</v>
      </c>
      <c r="J152" s="8">
        <v>119.754510833333</v>
      </c>
      <c r="K152" s="6" t="s">
        <v>29</v>
      </c>
      <c r="L152" s="6" t="s">
        <v>546</v>
      </c>
      <c r="M152" s="9">
        <v>43773</v>
      </c>
      <c r="O152" s="6">
        <v>6</v>
      </c>
      <c r="P152" s="6" t="s">
        <v>4255</v>
      </c>
      <c r="R152" s="6" t="s">
        <v>331</v>
      </c>
      <c r="S152" s="6">
        <v>68</v>
      </c>
      <c r="T152" s="6">
        <v>78</v>
      </c>
      <c r="U152" s="10">
        <f t="shared" si="4"/>
        <v>73</v>
      </c>
      <c r="W152" s="8">
        <v>-5.0023024433135985</v>
      </c>
      <c r="X152" s="8">
        <v>-38.61040202331543</v>
      </c>
      <c r="Y152" s="8">
        <f t="shared" si="5"/>
        <v>1.408017523193358</v>
      </c>
    </row>
    <row r="153" spans="1:25" s="6" customFormat="1" x14ac:dyDescent="0.35">
      <c r="A153" s="6" t="s">
        <v>25</v>
      </c>
      <c r="B153" s="7" t="s">
        <v>282</v>
      </c>
      <c r="C153" s="6">
        <v>510333</v>
      </c>
      <c r="D153" s="6" t="s">
        <v>283</v>
      </c>
      <c r="E153" s="6">
        <v>1</v>
      </c>
      <c r="F153" s="6">
        <v>6</v>
      </c>
      <c r="G153" s="6" t="s">
        <v>210</v>
      </c>
      <c r="I153" s="8">
        <v>85.946550833333305</v>
      </c>
      <c r="J153" s="8">
        <v>119.754510833333</v>
      </c>
      <c r="K153" s="6" t="s">
        <v>29</v>
      </c>
      <c r="L153" s="6" t="s">
        <v>546</v>
      </c>
      <c r="M153" s="9">
        <v>43773</v>
      </c>
      <c r="O153" s="6">
        <v>6</v>
      </c>
      <c r="P153" s="6" t="s">
        <v>4255</v>
      </c>
      <c r="Q153" s="8">
        <v>-1.7</v>
      </c>
      <c r="R153" s="10" t="s">
        <v>284</v>
      </c>
      <c r="S153" s="10">
        <v>73</v>
      </c>
      <c r="T153" s="10">
        <v>78</v>
      </c>
      <c r="U153" s="10">
        <f t="shared" si="4"/>
        <v>75.5</v>
      </c>
      <c r="V153" s="6">
        <v>6.5</v>
      </c>
      <c r="W153" s="8">
        <v>0.50078047440648044</v>
      </c>
      <c r="X153" s="8">
        <v>3.9671292543411263</v>
      </c>
      <c r="Y153" s="8">
        <f t="shared" si="5"/>
        <v>-3.9114540910717199E-2</v>
      </c>
    </row>
    <row r="154" spans="1:25" s="6" customFormat="1" x14ac:dyDescent="0.35">
      <c r="A154" s="6" t="s">
        <v>25</v>
      </c>
      <c r="B154" s="6" t="s">
        <v>332</v>
      </c>
      <c r="C154" s="6">
        <v>510346</v>
      </c>
      <c r="D154" s="6" t="s">
        <v>320</v>
      </c>
      <c r="E154" s="6">
        <v>1</v>
      </c>
      <c r="F154" s="6">
        <v>6</v>
      </c>
      <c r="G154" s="6" t="s">
        <v>210</v>
      </c>
      <c r="I154" s="8">
        <v>85.946550833333305</v>
      </c>
      <c r="J154" s="8">
        <v>119.754510833333</v>
      </c>
      <c r="K154" s="6" t="s">
        <v>29</v>
      </c>
      <c r="L154" s="6" t="s">
        <v>546</v>
      </c>
      <c r="M154" s="9">
        <v>43773</v>
      </c>
      <c r="O154" s="6">
        <v>6</v>
      </c>
      <c r="P154" s="6" t="s">
        <v>4255</v>
      </c>
      <c r="R154" s="6" t="s">
        <v>333</v>
      </c>
      <c r="S154" s="6">
        <v>78</v>
      </c>
      <c r="T154" s="6">
        <v>90</v>
      </c>
      <c r="U154" s="10">
        <f t="shared" si="4"/>
        <v>84</v>
      </c>
      <c r="W154" s="8">
        <v>-4.2030892360687258</v>
      </c>
      <c r="X154" s="8">
        <v>-32.107350929260257</v>
      </c>
      <c r="Y154" s="8">
        <f t="shared" si="5"/>
        <v>1.5173629592895495</v>
      </c>
    </row>
    <row r="155" spans="1:25" s="6" customFormat="1" x14ac:dyDescent="0.35">
      <c r="A155" s="6" t="s">
        <v>25</v>
      </c>
      <c r="B155" s="7"/>
      <c r="C155" s="6">
        <v>510411</v>
      </c>
      <c r="D155" s="6" t="s">
        <v>344</v>
      </c>
      <c r="E155" s="6">
        <v>1</v>
      </c>
      <c r="F155" s="6">
        <v>6</v>
      </c>
      <c r="G155" s="6" t="s">
        <v>345</v>
      </c>
      <c r="H155" s="6">
        <v>18</v>
      </c>
      <c r="I155" s="8">
        <v>85.9187781944444</v>
      </c>
      <c r="J155" s="8">
        <v>117.45457173611101</v>
      </c>
      <c r="K155" s="6" t="s">
        <v>29</v>
      </c>
      <c r="L155" s="6" t="s">
        <v>335</v>
      </c>
      <c r="M155" s="9">
        <v>43775</v>
      </c>
      <c r="O155" s="6">
        <v>6</v>
      </c>
      <c r="P155" s="6" t="s">
        <v>4256</v>
      </c>
      <c r="R155" s="6" t="s">
        <v>64</v>
      </c>
      <c r="S155" s="6">
        <v>0</v>
      </c>
      <c r="T155" s="6">
        <v>10</v>
      </c>
      <c r="U155" s="10">
        <f t="shared" si="4"/>
        <v>5</v>
      </c>
      <c r="V155" s="6">
        <v>6.3</v>
      </c>
      <c r="W155" s="8">
        <v>-2.3824332152366638</v>
      </c>
      <c r="X155" s="8">
        <v>-18.529459533691405</v>
      </c>
      <c r="Y155" s="8">
        <f t="shared" si="5"/>
        <v>0.53000618820190581</v>
      </c>
    </row>
    <row r="156" spans="1:25" s="6" customFormat="1" x14ac:dyDescent="0.35">
      <c r="A156" s="6" t="s">
        <v>25</v>
      </c>
      <c r="B156" s="7"/>
      <c r="C156" s="6">
        <v>510412</v>
      </c>
      <c r="D156" s="6" t="s">
        <v>344</v>
      </c>
      <c r="E156" s="6">
        <v>1</v>
      </c>
      <c r="F156" s="6">
        <v>6</v>
      </c>
      <c r="G156" s="6" t="s">
        <v>345</v>
      </c>
      <c r="H156" s="6">
        <v>18</v>
      </c>
      <c r="I156" s="8">
        <v>85.9187781944444</v>
      </c>
      <c r="J156" s="8">
        <v>117.45457173611101</v>
      </c>
      <c r="K156" s="6" t="s">
        <v>29</v>
      </c>
      <c r="L156" s="6" t="s">
        <v>335</v>
      </c>
      <c r="M156" s="9">
        <v>43775</v>
      </c>
      <c r="O156" s="6">
        <v>6</v>
      </c>
      <c r="P156" s="6" t="s">
        <v>4256</v>
      </c>
      <c r="R156" s="6" t="s">
        <v>66</v>
      </c>
      <c r="S156" s="6">
        <v>10</v>
      </c>
      <c r="T156" s="6">
        <v>20</v>
      </c>
      <c r="U156" s="10">
        <f t="shared" si="4"/>
        <v>15</v>
      </c>
      <c r="V156" s="6">
        <v>5.5</v>
      </c>
      <c r="W156" s="8">
        <v>-0.70530308125019137</v>
      </c>
      <c r="X156" s="8">
        <v>-5.4305435943603513</v>
      </c>
      <c r="Y156" s="8">
        <f t="shared" si="5"/>
        <v>0.21188105564117965</v>
      </c>
    </row>
    <row r="157" spans="1:25" s="6" customFormat="1" x14ac:dyDescent="0.35">
      <c r="A157" s="6" t="s">
        <v>25</v>
      </c>
      <c r="B157" s="7"/>
      <c r="C157" s="6">
        <v>510413</v>
      </c>
      <c r="D157" s="6" t="s">
        <v>344</v>
      </c>
      <c r="E157" s="6">
        <v>1</v>
      </c>
      <c r="F157" s="6">
        <v>6</v>
      </c>
      <c r="G157" s="6" t="s">
        <v>345</v>
      </c>
      <c r="H157" s="6">
        <v>18</v>
      </c>
      <c r="I157" s="8">
        <v>85.9187781944444</v>
      </c>
      <c r="J157" s="8">
        <v>117.45457173611101</v>
      </c>
      <c r="K157" s="6" t="s">
        <v>29</v>
      </c>
      <c r="L157" s="6" t="s">
        <v>335</v>
      </c>
      <c r="M157" s="9">
        <v>43775</v>
      </c>
      <c r="O157" s="6">
        <v>6</v>
      </c>
      <c r="P157" s="6" t="s">
        <v>4256</v>
      </c>
      <c r="R157" s="6" t="s">
        <v>215</v>
      </c>
      <c r="S157" s="6">
        <v>20</v>
      </c>
      <c r="T157" s="6">
        <v>30</v>
      </c>
      <c r="U157" s="10">
        <f t="shared" si="4"/>
        <v>25</v>
      </c>
      <c r="V157" s="6">
        <v>5.2</v>
      </c>
      <c r="W157" s="8">
        <v>0.20417146500349048</v>
      </c>
      <c r="X157" s="8">
        <v>2.0477893066406248</v>
      </c>
      <c r="Y157" s="8">
        <f t="shared" si="5"/>
        <v>0.41441758661270089</v>
      </c>
    </row>
    <row r="158" spans="1:25" s="6" customFormat="1" x14ac:dyDescent="0.35">
      <c r="A158" s="6" t="s">
        <v>25</v>
      </c>
      <c r="B158" s="7"/>
      <c r="C158" s="6">
        <v>510414</v>
      </c>
      <c r="D158" s="6" t="s">
        <v>344</v>
      </c>
      <c r="E158" s="6">
        <v>1</v>
      </c>
      <c r="F158" s="6">
        <v>6</v>
      </c>
      <c r="G158" s="6" t="s">
        <v>345</v>
      </c>
      <c r="H158" s="6">
        <v>18</v>
      </c>
      <c r="I158" s="8">
        <v>85.9187781944444</v>
      </c>
      <c r="J158" s="8">
        <v>117.45457173611101</v>
      </c>
      <c r="K158" s="6" t="s">
        <v>29</v>
      </c>
      <c r="L158" s="6" t="s">
        <v>335</v>
      </c>
      <c r="M158" s="9">
        <v>43775</v>
      </c>
      <c r="O158" s="6">
        <v>6</v>
      </c>
      <c r="P158" s="6" t="s">
        <v>4256</v>
      </c>
      <c r="R158" s="6" t="s">
        <v>324</v>
      </c>
      <c r="S158" s="6">
        <v>30</v>
      </c>
      <c r="T158" s="6">
        <v>42</v>
      </c>
      <c r="U158" s="10">
        <f t="shared" si="4"/>
        <v>36</v>
      </c>
      <c r="V158" s="6">
        <v>5.3</v>
      </c>
      <c r="W158" s="8">
        <v>0.44455604978799795</v>
      </c>
      <c r="X158" s="8">
        <v>1.7875396728515607</v>
      </c>
      <c r="Y158" s="8">
        <f t="shared" si="5"/>
        <v>-1.7689087254524229</v>
      </c>
    </row>
    <row r="159" spans="1:25" s="6" customFormat="1" x14ac:dyDescent="0.35">
      <c r="A159" s="6" t="s">
        <v>25</v>
      </c>
      <c r="B159" s="7"/>
      <c r="C159" s="6">
        <v>510415</v>
      </c>
      <c r="D159" s="6" t="s">
        <v>344</v>
      </c>
      <c r="E159" s="6">
        <v>1</v>
      </c>
      <c r="F159" s="6">
        <v>6</v>
      </c>
      <c r="G159" s="6" t="s">
        <v>345</v>
      </c>
      <c r="H159" s="6">
        <v>18</v>
      </c>
      <c r="I159" s="8">
        <v>85.9187781944444</v>
      </c>
      <c r="J159" s="8">
        <v>117.45457173611101</v>
      </c>
      <c r="K159" s="6" t="s">
        <v>29</v>
      </c>
      <c r="L159" s="6" t="s">
        <v>335</v>
      </c>
      <c r="M159" s="9">
        <v>43775</v>
      </c>
      <c r="O159" s="6">
        <v>6</v>
      </c>
      <c r="P159" s="6" t="s">
        <v>4256</v>
      </c>
      <c r="R159" s="6" t="s">
        <v>346</v>
      </c>
      <c r="S159" s="6">
        <v>65</v>
      </c>
      <c r="T159" s="6">
        <v>75</v>
      </c>
      <c r="U159" s="10">
        <f t="shared" si="4"/>
        <v>70</v>
      </c>
      <c r="V159" s="6">
        <v>4.9000000000000004</v>
      </c>
      <c r="W159" s="8">
        <v>-1.2337172890663148</v>
      </c>
      <c r="X159" s="8">
        <v>-9.3097730255126958</v>
      </c>
      <c r="Y159" s="8">
        <f t="shared" si="5"/>
        <v>0.55996528701782289</v>
      </c>
    </row>
    <row r="160" spans="1:25" s="6" customFormat="1" x14ac:dyDescent="0.35">
      <c r="A160" s="6" t="s">
        <v>25</v>
      </c>
      <c r="B160" s="7"/>
      <c r="C160" s="6">
        <v>510416</v>
      </c>
      <c r="D160" s="6" t="s">
        <v>344</v>
      </c>
      <c r="E160" s="6">
        <v>1</v>
      </c>
      <c r="F160" s="6">
        <v>6</v>
      </c>
      <c r="G160" s="6" t="s">
        <v>345</v>
      </c>
      <c r="H160" s="6">
        <v>18</v>
      </c>
      <c r="I160" s="8">
        <v>85.9187781944444</v>
      </c>
      <c r="J160" s="8">
        <v>117.45457173611101</v>
      </c>
      <c r="K160" s="6" t="s">
        <v>29</v>
      </c>
      <c r="L160" s="6" t="s">
        <v>335</v>
      </c>
      <c r="M160" s="9">
        <v>43775</v>
      </c>
      <c r="O160" s="6">
        <v>6</v>
      </c>
      <c r="P160" s="6" t="s">
        <v>4256</v>
      </c>
      <c r="R160" s="6" t="s">
        <v>347</v>
      </c>
      <c r="S160" s="6">
        <v>75</v>
      </c>
      <c r="T160" s="6">
        <v>85</v>
      </c>
      <c r="U160" s="10">
        <f t="shared" si="4"/>
        <v>80</v>
      </c>
      <c r="V160" s="6">
        <v>4.7</v>
      </c>
      <c r="W160" s="8">
        <v>-1.1915248319864271</v>
      </c>
      <c r="X160" s="8">
        <v>-9.2696645736694325</v>
      </c>
      <c r="Y160" s="8">
        <f t="shared" si="5"/>
        <v>0.26253408222198438</v>
      </c>
    </row>
    <row r="161" spans="1:25" s="6" customFormat="1" x14ac:dyDescent="0.35">
      <c r="A161" s="6" t="s">
        <v>25</v>
      </c>
      <c r="B161" s="7"/>
      <c r="C161" s="6">
        <v>510417</v>
      </c>
      <c r="D161" s="6" t="s">
        <v>344</v>
      </c>
      <c r="E161" s="6">
        <v>1</v>
      </c>
      <c r="F161" s="6">
        <v>6</v>
      </c>
      <c r="G161" s="6" t="s">
        <v>345</v>
      </c>
      <c r="H161" s="6">
        <v>18</v>
      </c>
      <c r="I161" s="8">
        <v>85.9187781944444</v>
      </c>
      <c r="J161" s="8">
        <v>117.45457173611101</v>
      </c>
      <c r="K161" s="6" t="s">
        <v>29</v>
      </c>
      <c r="L161" s="6" t="s">
        <v>335</v>
      </c>
      <c r="M161" s="9">
        <v>43775</v>
      </c>
      <c r="O161" s="6">
        <v>6</v>
      </c>
      <c r="P161" s="6" t="s">
        <v>4256</v>
      </c>
      <c r="R161" s="6" t="s">
        <v>348</v>
      </c>
      <c r="S161" s="6">
        <v>85</v>
      </c>
      <c r="T161" s="6">
        <v>97</v>
      </c>
      <c r="U161" s="10">
        <f t="shared" si="4"/>
        <v>91</v>
      </c>
      <c r="V161" s="6">
        <v>4.0999999999999996</v>
      </c>
      <c r="W161" s="8">
        <v>-0.95799639866352115</v>
      </c>
      <c r="X161" s="8">
        <v>-9.2019908523559568</v>
      </c>
      <c r="Y161" s="8">
        <f t="shared" si="5"/>
        <v>-1.5380196630477876</v>
      </c>
    </row>
    <row r="162" spans="1:25" s="6" customFormat="1" x14ac:dyDescent="0.35">
      <c r="A162" s="6" t="s">
        <v>25</v>
      </c>
      <c r="B162" s="7"/>
      <c r="C162" s="6">
        <v>510418</v>
      </c>
      <c r="D162" s="6" t="s">
        <v>344</v>
      </c>
      <c r="E162" s="6">
        <v>1</v>
      </c>
      <c r="F162" s="6">
        <v>6</v>
      </c>
      <c r="G162" s="6" t="s">
        <v>345</v>
      </c>
      <c r="H162" s="6">
        <v>18</v>
      </c>
      <c r="I162" s="8">
        <v>85.9187781944444</v>
      </c>
      <c r="J162" s="8">
        <v>117.45457173611101</v>
      </c>
      <c r="K162" s="6" t="s">
        <v>29</v>
      </c>
      <c r="L162" s="6" t="s">
        <v>335</v>
      </c>
      <c r="M162" s="9">
        <v>43775</v>
      </c>
      <c r="O162" s="6">
        <v>6</v>
      </c>
      <c r="P162" s="6" t="s">
        <v>4256</v>
      </c>
      <c r="R162" s="6" t="s">
        <v>349</v>
      </c>
      <c r="S162" s="6">
        <v>97</v>
      </c>
      <c r="T162" s="6">
        <v>107</v>
      </c>
      <c r="U162" s="10">
        <f t="shared" si="4"/>
        <v>102</v>
      </c>
      <c r="V162" s="6">
        <v>4.2</v>
      </c>
      <c r="W162" s="8">
        <v>-1.2195166899919505</v>
      </c>
      <c r="X162" s="8">
        <v>-9.5242559051513673</v>
      </c>
      <c r="Y162" s="8">
        <f t="shared" si="5"/>
        <v>0.23187761478423674</v>
      </c>
    </row>
    <row r="163" spans="1:25" s="6" customFormat="1" x14ac:dyDescent="0.35">
      <c r="A163" s="6" t="s">
        <v>25</v>
      </c>
      <c r="B163" s="7"/>
      <c r="C163" s="6">
        <v>510419</v>
      </c>
      <c r="D163" s="6" t="s">
        <v>344</v>
      </c>
      <c r="E163" s="6">
        <v>1</v>
      </c>
      <c r="F163" s="6">
        <v>6</v>
      </c>
      <c r="G163" s="6" t="s">
        <v>345</v>
      </c>
      <c r="H163" s="6">
        <v>18</v>
      </c>
      <c r="I163" s="8">
        <v>85.9187781944444</v>
      </c>
      <c r="J163" s="8">
        <v>117.45457173611101</v>
      </c>
      <c r="K163" s="6" t="s">
        <v>29</v>
      </c>
      <c r="L163" s="6" t="s">
        <v>335</v>
      </c>
      <c r="M163" s="9">
        <v>43775</v>
      </c>
      <c r="O163" s="6">
        <v>6</v>
      </c>
      <c r="P163" s="6" t="s">
        <v>4256</v>
      </c>
      <c r="R163" s="6" t="s">
        <v>350</v>
      </c>
      <c r="S163" s="6">
        <v>107</v>
      </c>
      <c r="T163" s="6">
        <v>117</v>
      </c>
      <c r="U163" s="10">
        <f t="shared" si="4"/>
        <v>112</v>
      </c>
      <c r="V163" s="6">
        <v>2.7</v>
      </c>
      <c r="W163" s="8">
        <v>-1.1697381230950352</v>
      </c>
      <c r="X163" s="8">
        <v>-11.817052688598633</v>
      </c>
      <c r="Y163" s="8">
        <f t="shared" si="5"/>
        <v>-2.4591477038383509</v>
      </c>
    </row>
    <row r="164" spans="1:25" s="6" customFormat="1" x14ac:dyDescent="0.35">
      <c r="A164" s="6" t="s">
        <v>25</v>
      </c>
      <c r="B164" s="7"/>
      <c r="C164" s="6">
        <v>510420</v>
      </c>
      <c r="D164" s="6" t="s">
        <v>354</v>
      </c>
      <c r="E164" s="6">
        <v>1</v>
      </c>
      <c r="F164" s="6">
        <v>6</v>
      </c>
      <c r="G164" s="6" t="s">
        <v>179</v>
      </c>
      <c r="H164" s="6">
        <v>7</v>
      </c>
      <c r="I164" s="8">
        <v>85.917653888888907</v>
      </c>
      <c r="J164" s="8">
        <v>116.64332493055601</v>
      </c>
      <c r="K164" s="6" t="s">
        <v>29</v>
      </c>
      <c r="L164" s="6" t="s">
        <v>335</v>
      </c>
      <c r="M164" s="9">
        <v>43776</v>
      </c>
      <c r="O164" s="6">
        <v>6</v>
      </c>
      <c r="P164" s="6" t="s">
        <v>4257</v>
      </c>
      <c r="R164" s="6" t="s">
        <v>64</v>
      </c>
      <c r="S164" s="6">
        <v>0</v>
      </c>
      <c r="T164" s="6">
        <v>10</v>
      </c>
      <c r="U164" s="10">
        <f t="shared" si="4"/>
        <v>5</v>
      </c>
      <c r="V164" s="6">
        <v>5.5</v>
      </c>
      <c r="W164" s="8">
        <v>-1.0643846802234647</v>
      </c>
      <c r="X164" s="8">
        <v>-6.7328532966613768</v>
      </c>
      <c r="Y164" s="8">
        <f t="shared" si="5"/>
        <v>1.7822241451263405</v>
      </c>
    </row>
    <row r="165" spans="1:25" s="6" customFormat="1" x14ac:dyDescent="0.35">
      <c r="A165" s="6" t="s">
        <v>25</v>
      </c>
      <c r="B165" s="7"/>
      <c r="C165" s="6">
        <v>510421</v>
      </c>
      <c r="D165" s="6" t="s">
        <v>354</v>
      </c>
      <c r="E165" s="6">
        <v>1</v>
      </c>
      <c r="F165" s="6">
        <v>6</v>
      </c>
      <c r="G165" s="6" t="s">
        <v>179</v>
      </c>
      <c r="H165" s="6">
        <v>7</v>
      </c>
      <c r="I165" s="8">
        <v>85.917653888888907</v>
      </c>
      <c r="J165" s="8">
        <v>116.64332493055601</v>
      </c>
      <c r="K165" s="6" t="s">
        <v>29</v>
      </c>
      <c r="L165" s="6" t="s">
        <v>335</v>
      </c>
      <c r="M165" s="9">
        <v>43776</v>
      </c>
      <c r="O165" s="6">
        <v>6</v>
      </c>
      <c r="P165" s="6" t="s">
        <v>4257</v>
      </c>
      <c r="R165" s="6" t="s">
        <v>66</v>
      </c>
      <c r="S165" s="6">
        <v>10</v>
      </c>
      <c r="T165" s="6">
        <v>20</v>
      </c>
      <c r="U165" s="10">
        <f t="shared" si="4"/>
        <v>15</v>
      </c>
      <c r="V165" s="6">
        <v>4.3</v>
      </c>
      <c r="W165" s="8">
        <v>-2.5771507598876955</v>
      </c>
      <c r="X165" s="8">
        <v>-18.693501305007935</v>
      </c>
      <c r="Y165" s="8">
        <f t="shared" si="5"/>
        <v>1.9237047740936291</v>
      </c>
    </row>
    <row r="166" spans="1:25" s="6" customFormat="1" x14ac:dyDescent="0.35">
      <c r="A166" s="6" t="s">
        <v>25</v>
      </c>
      <c r="B166" s="7"/>
      <c r="C166" s="6">
        <v>510422</v>
      </c>
      <c r="D166" s="6" t="s">
        <v>354</v>
      </c>
      <c r="E166" s="6">
        <v>1</v>
      </c>
      <c r="F166" s="6">
        <v>6</v>
      </c>
      <c r="G166" s="6" t="s">
        <v>179</v>
      </c>
      <c r="H166" s="6">
        <v>7</v>
      </c>
      <c r="I166" s="8">
        <v>85.917653888888907</v>
      </c>
      <c r="J166" s="8">
        <v>116.64332493055601</v>
      </c>
      <c r="K166" s="6" t="s">
        <v>29</v>
      </c>
      <c r="L166" s="6" t="s">
        <v>335</v>
      </c>
      <c r="M166" s="9">
        <v>43776</v>
      </c>
      <c r="O166" s="6">
        <v>6</v>
      </c>
      <c r="P166" s="6" t="s">
        <v>4257</v>
      </c>
      <c r="R166" s="6" t="s">
        <v>215</v>
      </c>
      <c r="S166" s="6">
        <v>20</v>
      </c>
      <c r="T166" s="6">
        <v>30</v>
      </c>
      <c r="U166" s="10">
        <f t="shared" si="4"/>
        <v>25</v>
      </c>
      <c r="V166" s="6">
        <v>4.8</v>
      </c>
      <c r="W166" s="8">
        <v>0.8475094679991404</v>
      </c>
      <c r="X166" s="8">
        <v>8.060726840082804</v>
      </c>
      <c r="Y166" s="8">
        <f t="shared" si="5"/>
        <v>1.2806510960896809</v>
      </c>
    </row>
    <row r="167" spans="1:25" s="6" customFormat="1" x14ac:dyDescent="0.35">
      <c r="A167" s="6" t="s">
        <v>25</v>
      </c>
      <c r="B167" s="7"/>
      <c r="C167" s="6">
        <v>510423</v>
      </c>
      <c r="D167" s="6" t="s">
        <v>354</v>
      </c>
      <c r="E167" s="6">
        <v>1</v>
      </c>
      <c r="F167" s="6">
        <v>6</v>
      </c>
      <c r="G167" s="6" t="s">
        <v>179</v>
      </c>
      <c r="H167" s="6">
        <v>7</v>
      </c>
      <c r="I167" s="8">
        <v>85.917653888888907</v>
      </c>
      <c r="J167" s="8">
        <v>116.64332493055601</v>
      </c>
      <c r="K167" s="6" t="s">
        <v>29</v>
      </c>
      <c r="L167" s="6" t="s">
        <v>335</v>
      </c>
      <c r="M167" s="9">
        <v>43776</v>
      </c>
      <c r="O167" s="6">
        <v>6</v>
      </c>
      <c r="P167" s="6" t="s">
        <v>4257</v>
      </c>
      <c r="R167" s="6" t="s">
        <v>157</v>
      </c>
      <c r="S167" s="6">
        <v>30</v>
      </c>
      <c r="T167" s="6">
        <v>40</v>
      </c>
      <c r="U167" s="10">
        <f t="shared" si="4"/>
        <v>35</v>
      </c>
      <c r="V167" s="6">
        <v>4.4000000000000004</v>
      </c>
      <c r="W167" s="8">
        <v>1.0332192993164067</v>
      </c>
      <c r="X167" s="8">
        <v>9.0996565341949456</v>
      </c>
      <c r="Y167" s="8">
        <f t="shared" si="5"/>
        <v>0.83390213966369231</v>
      </c>
    </row>
    <row r="168" spans="1:25" s="6" customFormat="1" x14ac:dyDescent="0.35">
      <c r="A168" s="6" t="s">
        <v>25</v>
      </c>
      <c r="B168" s="7"/>
      <c r="C168" s="6">
        <v>510433</v>
      </c>
      <c r="D168" s="6" t="s">
        <v>354</v>
      </c>
      <c r="E168" s="6">
        <v>1</v>
      </c>
      <c r="F168" s="6">
        <v>6</v>
      </c>
      <c r="G168" s="6" t="s">
        <v>179</v>
      </c>
      <c r="H168" s="6">
        <v>7</v>
      </c>
      <c r="I168" s="8">
        <v>85.917653888888907</v>
      </c>
      <c r="J168" s="8">
        <v>116.64332493055601</v>
      </c>
      <c r="K168" s="6" t="s">
        <v>29</v>
      </c>
      <c r="L168" s="6" t="s">
        <v>335</v>
      </c>
      <c r="M168" s="9">
        <v>43776</v>
      </c>
      <c r="O168" s="6">
        <v>6</v>
      </c>
      <c r="P168" s="6" t="s">
        <v>4257</v>
      </c>
      <c r="R168" s="6" t="s">
        <v>355</v>
      </c>
      <c r="S168" s="6">
        <v>40</v>
      </c>
      <c r="T168" s="6">
        <v>52</v>
      </c>
      <c r="U168" s="10">
        <f t="shared" si="4"/>
        <v>46</v>
      </c>
      <c r="V168" s="6">
        <v>6.6</v>
      </c>
      <c r="W168" s="8">
        <v>0.70982344436645528</v>
      </c>
      <c r="X168" s="8">
        <v>6.2529753208160379</v>
      </c>
      <c r="Y168" s="8">
        <f t="shared" si="5"/>
        <v>0.57438776588439566</v>
      </c>
    </row>
    <row r="169" spans="1:25" s="6" customFormat="1" x14ac:dyDescent="0.35">
      <c r="A169" s="6" t="s">
        <v>25</v>
      </c>
      <c r="B169" s="7" t="s">
        <v>363</v>
      </c>
      <c r="C169" s="6">
        <v>510450</v>
      </c>
      <c r="D169" s="6" t="s">
        <v>364</v>
      </c>
      <c r="E169" s="6">
        <v>1</v>
      </c>
      <c r="F169" s="6">
        <v>6</v>
      </c>
      <c r="G169" s="6" t="s">
        <v>272</v>
      </c>
      <c r="I169" s="8">
        <v>85.829839027777794</v>
      </c>
      <c r="J169" s="8">
        <v>116.152829027778</v>
      </c>
      <c r="K169" s="6" t="s">
        <v>29</v>
      </c>
      <c r="L169" s="6" t="s">
        <v>546</v>
      </c>
      <c r="M169" s="9">
        <v>43779</v>
      </c>
      <c r="O169" s="6">
        <v>6</v>
      </c>
      <c r="P169" s="6" t="s">
        <v>4258</v>
      </c>
      <c r="Q169" s="6">
        <v>-10.35</v>
      </c>
      <c r="R169" s="10" t="s">
        <v>64</v>
      </c>
      <c r="S169" s="10">
        <v>0</v>
      </c>
      <c r="T169" s="10">
        <v>10</v>
      </c>
      <c r="U169" s="10">
        <f t="shared" si="4"/>
        <v>5</v>
      </c>
      <c r="V169" s="6">
        <v>0.5</v>
      </c>
      <c r="W169" s="8">
        <v>-7.8467096345424645</v>
      </c>
      <c r="X169" s="8">
        <v>-61.276709058380121</v>
      </c>
      <c r="Y169" s="8">
        <f t="shared" si="5"/>
        <v>1.4969680179595954</v>
      </c>
    </row>
    <row r="170" spans="1:25" s="6" customFormat="1" x14ac:dyDescent="0.35">
      <c r="A170" s="6" t="s">
        <v>25</v>
      </c>
      <c r="B170" s="7" t="s">
        <v>368</v>
      </c>
      <c r="C170" s="6">
        <v>510451</v>
      </c>
      <c r="D170" s="6" t="s">
        <v>369</v>
      </c>
      <c r="E170" s="6">
        <v>1</v>
      </c>
      <c r="F170" s="6">
        <v>6</v>
      </c>
      <c r="G170" s="6" t="s">
        <v>272</v>
      </c>
      <c r="I170" s="8">
        <v>85.829839027777794</v>
      </c>
      <c r="J170" s="8">
        <v>116.152829027778</v>
      </c>
      <c r="K170" s="6" t="s">
        <v>29</v>
      </c>
      <c r="L170" s="6" t="s">
        <v>546</v>
      </c>
      <c r="M170" s="9">
        <v>43779</v>
      </c>
      <c r="O170" s="6">
        <v>6</v>
      </c>
      <c r="P170" s="6" t="s">
        <v>4258</v>
      </c>
      <c r="Q170" s="6">
        <v>-7.8</v>
      </c>
      <c r="R170" s="10" t="s">
        <v>66</v>
      </c>
      <c r="S170" s="10">
        <v>10</v>
      </c>
      <c r="T170" s="10">
        <v>20</v>
      </c>
      <c r="U170" s="10">
        <f t="shared" si="4"/>
        <v>15</v>
      </c>
      <c r="V170" s="6">
        <v>0.4</v>
      </c>
      <c r="W170" s="8">
        <v>-4.8191917993545541</v>
      </c>
      <c r="X170" s="8">
        <v>-36.867779441833491</v>
      </c>
      <c r="Y170" s="8">
        <f t="shared" si="5"/>
        <v>1.6857549530029416</v>
      </c>
    </row>
    <row r="171" spans="1:25" s="6" customFormat="1" x14ac:dyDescent="0.35">
      <c r="A171" s="6" t="s">
        <v>25</v>
      </c>
      <c r="B171" s="7" t="s">
        <v>365</v>
      </c>
      <c r="C171" s="6">
        <v>510452</v>
      </c>
      <c r="D171" s="6" t="s">
        <v>366</v>
      </c>
      <c r="E171" s="6">
        <v>1</v>
      </c>
      <c r="F171" s="6">
        <v>6</v>
      </c>
      <c r="G171" s="6" t="s">
        <v>272</v>
      </c>
      <c r="I171" s="8">
        <v>85.829839027777794</v>
      </c>
      <c r="J171" s="8">
        <v>116.152829027778</v>
      </c>
      <c r="K171" s="6" t="s">
        <v>29</v>
      </c>
      <c r="L171" s="6" t="s">
        <v>546</v>
      </c>
      <c r="M171" s="9">
        <v>43779</v>
      </c>
      <c r="O171" s="6">
        <v>6</v>
      </c>
      <c r="P171" s="6" t="s">
        <v>4258</v>
      </c>
      <c r="Q171" s="6">
        <v>-5.8</v>
      </c>
      <c r="R171" s="10" t="s">
        <v>367</v>
      </c>
      <c r="S171" s="10">
        <v>20</v>
      </c>
      <c r="T171" s="10">
        <v>29</v>
      </c>
      <c r="U171" s="10">
        <f t="shared" si="4"/>
        <v>24.5</v>
      </c>
      <c r="V171" s="6">
        <v>2.1</v>
      </c>
      <c r="W171" s="8">
        <v>-6.2547456981658938</v>
      </c>
      <c r="X171" s="8">
        <v>-45.933073534011839</v>
      </c>
      <c r="Y171" s="8">
        <f t="shared" si="5"/>
        <v>4.1048920513153107</v>
      </c>
    </row>
    <row r="172" spans="1:25" s="6" customFormat="1" x14ac:dyDescent="0.35">
      <c r="A172" s="6" t="s">
        <v>25</v>
      </c>
      <c r="B172" s="7" t="s">
        <v>372</v>
      </c>
      <c r="C172" s="6">
        <v>510453</v>
      </c>
      <c r="D172" s="6" t="s">
        <v>373</v>
      </c>
      <c r="E172" s="6">
        <v>1</v>
      </c>
      <c r="F172" s="6">
        <v>6</v>
      </c>
      <c r="G172" s="6" t="s">
        <v>272</v>
      </c>
      <c r="I172" s="8">
        <v>85.829839027777794</v>
      </c>
      <c r="J172" s="8">
        <v>116.152829027778</v>
      </c>
      <c r="K172" s="6" t="s">
        <v>29</v>
      </c>
      <c r="L172" s="6" t="s">
        <v>546</v>
      </c>
      <c r="M172" s="9">
        <v>43779</v>
      </c>
      <c r="O172" s="6">
        <v>6</v>
      </c>
      <c r="P172" s="6" t="s">
        <v>4258</v>
      </c>
      <c r="Q172" s="6">
        <v>-5.0500000000000007</v>
      </c>
      <c r="R172" s="10" t="s">
        <v>374</v>
      </c>
      <c r="S172" s="10">
        <v>29</v>
      </c>
      <c r="T172" s="10">
        <v>38</v>
      </c>
      <c r="U172" s="10">
        <f t="shared" si="4"/>
        <v>33.5</v>
      </c>
      <c r="V172" s="6">
        <v>3.9</v>
      </c>
      <c r="W172" s="8">
        <v>-7.5700963770866396</v>
      </c>
      <c r="X172" s="8">
        <v>-55.866168888092034</v>
      </c>
      <c r="Y172" s="8">
        <f t="shared" si="5"/>
        <v>4.6946021286010833</v>
      </c>
    </row>
    <row r="173" spans="1:25" s="6" customFormat="1" x14ac:dyDescent="0.35">
      <c r="A173" s="6" t="s">
        <v>25</v>
      </c>
      <c r="B173" s="7" t="s">
        <v>370</v>
      </c>
      <c r="C173" s="6">
        <v>510454</v>
      </c>
      <c r="D173" s="6" t="s">
        <v>371</v>
      </c>
      <c r="E173" s="6">
        <v>1</v>
      </c>
      <c r="F173" s="6">
        <v>6</v>
      </c>
      <c r="G173" s="6" t="s">
        <v>272</v>
      </c>
      <c r="I173" s="8">
        <v>85.829839027777794</v>
      </c>
      <c r="J173" s="8">
        <v>116.152829027778</v>
      </c>
      <c r="K173" s="6" t="s">
        <v>29</v>
      </c>
      <c r="L173" s="6" t="s">
        <v>546</v>
      </c>
      <c r="M173" s="9">
        <v>43779</v>
      </c>
      <c r="O173" s="6">
        <v>6</v>
      </c>
      <c r="P173" s="6" t="s">
        <v>4258</v>
      </c>
      <c r="Q173" s="6">
        <v>-4.75</v>
      </c>
      <c r="R173" s="10" t="s">
        <v>121</v>
      </c>
      <c r="S173" s="10">
        <v>38</v>
      </c>
      <c r="T173" s="10">
        <v>48</v>
      </c>
      <c r="U173" s="10">
        <f t="shared" si="4"/>
        <v>43</v>
      </c>
      <c r="V173" s="6">
        <v>2.2999999999999998</v>
      </c>
      <c r="W173" s="8">
        <v>-5.824529635429383</v>
      </c>
      <c r="X173" s="8">
        <v>-43.747547641754153</v>
      </c>
      <c r="Y173" s="8">
        <f t="shared" si="5"/>
        <v>2.8486894416809108</v>
      </c>
    </row>
    <row r="174" spans="1:25" s="6" customFormat="1" x14ac:dyDescent="0.35">
      <c r="A174" s="6" t="s">
        <v>25</v>
      </c>
      <c r="B174" s="7" t="s">
        <v>360</v>
      </c>
      <c r="C174" s="6">
        <v>510455</v>
      </c>
      <c r="D174" s="6" t="s">
        <v>361</v>
      </c>
      <c r="E174" s="6">
        <v>1</v>
      </c>
      <c r="F174" s="6">
        <v>6</v>
      </c>
      <c r="G174" s="6" t="s">
        <v>272</v>
      </c>
      <c r="I174" s="8">
        <v>85.829839027777794</v>
      </c>
      <c r="J174" s="8">
        <v>116.152829027778</v>
      </c>
      <c r="K174" s="6" t="s">
        <v>29</v>
      </c>
      <c r="L174" s="6" t="s">
        <v>546</v>
      </c>
      <c r="M174" s="9">
        <v>43779</v>
      </c>
      <c r="O174" s="6">
        <v>6</v>
      </c>
      <c r="P174" s="6" t="s">
        <v>4258</v>
      </c>
      <c r="Q174" s="6">
        <v>-3.7</v>
      </c>
      <c r="R174" s="10" t="s">
        <v>362</v>
      </c>
      <c r="S174" s="10">
        <v>48</v>
      </c>
      <c r="T174" s="10">
        <v>62</v>
      </c>
      <c r="U174" s="10">
        <f t="shared" si="4"/>
        <v>55</v>
      </c>
      <c r="V174" s="6">
        <v>4.8</v>
      </c>
      <c r="W174" s="8">
        <v>0.82114367139339417</v>
      </c>
      <c r="X174" s="8">
        <v>5.7406171865515407</v>
      </c>
      <c r="Y174" s="8">
        <f t="shared" si="5"/>
        <v>-0.82853218459561262</v>
      </c>
    </row>
    <row r="175" spans="1:25" s="6" customFormat="1" x14ac:dyDescent="0.35">
      <c r="A175" s="6" t="s">
        <v>25</v>
      </c>
      <c r="B175" s="7"/>
      <c r="C175" s="6">
        <v>510509</v>
      </c>
      <c r="D175" s="6" t="s">
        <v>377</v>
      </c>
      <c r="E175" s="6">
        <v>1</v>
      </c>
      <c r="F175" s="6">
        <v>7</v>
      </c>
      <c r="G175" s="6" t="s">
        <v>202</v>
      </c>
      <c r="H175" s="6">
        <v>9</v>
      </c>
      <c r="I175" s="8">
        <v>85.915187361111094</v>
      </c>
      <c r="J175" s="8">
        <v>116.660135</v>
      </c>
      <c r="K175" s="6" t="s">
        <v>29</v>
      </c>
      <c r="L175" s="6" t="s">
        <v>335</v>
      </c>
      <c r="M175" s="9">
        <v>43780</v>
      </c>
      <c r="O175" s="6">
        <v>7</v>
      </c>
      <c r="P175" s="6" t="s">
        <v>4259</v>
      </c>
      <c r="R175" s="6" t="s">
        <v>64</v>
      </c>
      <c r="S175" s="6">
        <v>0</v>
      </c>
      <c r="T175" s="6">
        <v>10</v>
      </c>
      <c r="U175" s="10">
        <f t="shared" si="4"/>
        <v>5</v>
      </c>
      <c r="V175" s="6">
        <v>7.5</v>
      </c>
      <c r="W175" s="8">
        <v>-4.0145954532623298</v>
      </c>
      <c r="X175" s="8">
        <v>-32.282085399627682</v>
      </c>
      <c r="Y175" s="8">
        <f t="shared" si="5"/>
        <v>-0.16532177352904398</v>
      </c>
    </row>
    <row r="176" spans="1:25" s="6" customFormat="1" x14ac:dyDescent="0.35">
      <c r="A176" s="6" t="s">
        <v>25</v>
      </c>
      <c r="B176" s="7"/>
      <c r="C176" s="6">
        <v>510510</v>
      </c>
      <c r="D176" s="6" t="s">
        <v>377</v>
      </c>
      <c r="E176" s="6">
        <v>1</v>
      </c>
      <c r="F176" s="6">
        <v>7</v>
      </c>
      <c r="G176" s="6" t="s">
        <v>202</v>
      </c>
      <c r="H176" s="6">
        <v>9</v>
      </c>
      <c r="I176" s="8">
        <v>85.915187361111094</v>
      </c>
      <c r="J176" s="8">
        <v>116.660135</v>
      </c>
      <c r="K176" s="6" t="s">
        <v>29</v>
      </c>
      <c r="L176" s="6" t="s">
        <v>335</v>
      </c>
      <c r="M176" s="9">
        <v>43780</v>
      </c>
      <c r="O176" s="6">
        <v>7</v>
      </c>
      <c r="P176" s="6" t="s">
        <v>4259</v>
      </c>
      <c r="R176" s="6" t="s">
        <v>109</v>
      </c>
      <c r="S176" s="6">
        <v>10</v>
      </c>
      <c r="T176" s="6">
        <v>20</v>
      </c>
      <c r="U176" s="10">
        <f t="shared" si="4"/>
        <v>15</v>
      </c>
      <c r="V176" s="6">
        <v>5.4</v>
      </c>
      <c r="W176" s="8">
        <v>-1.3527526688575746</v>
      </c>
      <c r="X176" s="8">
        <v>-10.334767413139343</v>
      </c>
      <c r="Y176" s="8">
        <f t="shared" si="5"/>
        <v>0.48725393772125436</v>
      </c>
    </row>
    <row r="177" spans="1:25" s="6" customFormat="1" x14ac:dyDescent="0.35">
      <c r="A177" s="6" t="s">
        <v>25</v>
      </c>
      <c r="B177" s="7"/>
      <c r="C177" s="6">
        <v>510511</v>
      </c>
      <c r="D177" s="6" t="s">
        <v>377</v>
      </c>
      <c r="E177" s="6">
        <v>1</v>
      </c>
      <c r="F177" s="6">
        <v>7</v>
      </c>
      <c r="G177" s="6" t="s">
        <v>202</v>
      </c>
      <c r="H177" s="6">
        <v>9</v>
      </c>
      <c r="I177" s="8">
        <v>85.915187361111094</v>
      </c>
      <c r="J177" s="8">
        <v>116.660135</v>
      </c>
      <c r="K177" s="6" t="s">
        <v>29</v>
      </c>
      <c r="L177" s="6" t="s">
        <v>335</v>
      </c>
      <c r="M177" s="9">
        <v>43780</v>
      </c>
      <c r="O177" s="6">
        <v>7</v>
      </c>
      <c r="P177" s="6" t="s">
        <v>4259</v>
      </c>
      <c r="R177" s="6" t="s">
        <v>215</v>
      </c>
      <c r="S177" s="6">
        <v>20</v>
      </c>
      <c r="T177" s="6">
        <v>30</v>
      </c>
      <c r="U177" s="10">
        <f t="shared" si="4"/>
        <v>25</v>
      </c>
      <c r="V177" s="6">
        <v>5.3</v>
      </c>
      <c r="W177" s="8">
        <v>0.62388703250884991</v>
      </c>
      <c r="X177" s="8">
        <v>5.5862853336334224</v>
      </c>
      <c r="Y177" s="8">
        <f t="shared" si="5"/>
        <v>0.59518907356262307</v>
      </c>
    </row>
    <row r="178" spans="1:25" s="6" customFormat="1" x14ac:dyDescent="0.35">
      <c r="A178" s="6" t="s">
        <v>25</v>
      </c>
      <c r="B178" s="7"/>
      <c r="C178" s="6">
        <v>510512</v>
      </c>
      <c r="D178" s="6" t="s">
        <v>377</v>
      </c>
      <c r="E178" s="6">
        <v>1</v>
      </c>
      <c r="F178" s="6">
        <v>7</v>
      </c>
      <c r="G178" s="6" t="s">
        <v>202</v>
      </c>
      <c r="H178" s="6">
        <v>9</v>
      </c>
      <c r="I178" s="8">
        <v>85.915187361111094</v>
      </c>
      <c r="J178" s="8">
        <v>116.660135</v>
      </c>
      <c r="K178" s="6" t="s">
        <v>29</v>
      </c>
      <c r="L178" s="6" t="s">
        <v>335</v>
      </c>
      <c r="M178" s="9">
        <v>43780</v>
      </c>
      <c r="O178" s="6">
        <v>7</v>
      </c>
      <c r="P178" s="6" t="s">
        <v>4259</v>
      </c>
      <c r="R178" s="6" t="s">
        <v>378</v>
      </c>
      <c r="S178" s="6">
        <v>30</v>
      </c>
      <c r="T178" s="6">
        <v>39</v>
      </c>
      <c r="U178" s="10">
        <f t="shared" si="4"/>
        <v>34.5</v>
      </c>
      <c r="V178" s="6">
        <v>5.6</v>
      </c>
      <c r="W178" s="8">
        <v>0.72356797242164617</v>
      </c>
      <c r="X178" s="8">
        <v>7.6969411563873287</v>
      </c>
      <c r="Y178" s="8">
        <f t="shared" si="5"/>
        <v>1.9083973770141593</v>
      </c>
    </row>
    <row r="179" spans="1:25" s="6" customFormat="1" x14ac:dyDescent="0.35">
      <c r="A179" s="6" t="s">
        <v>25</v>
      </c>
      <c r="B179" s="7"/>
      <c r="C179" s="6">
        <v>510513</v>
      </c>
      <c r="D179" s="6" t="s">
        <v>377</v>
      </c>
      <c r="E179" s="6">
        <v>1</v>
      </c>
      <c r="F179" s="6">
        <v>7</v>
      </c>
      <c r="G179" s="6" t="s">
        <v>202</v>
      </c>
      <c r="H179" s="6">
        <v>9</v>
      </c>
      <c r="I179" s="8">
        <v>85.915187361111094</v>
      </c>
      <c r="J179" s="8">
        <v>116.660135</v>
      </c>
      <c r="K179" s="6" t="s">
        <v>29</v>
      </c>
      <c r="L179" s="6" t="s">
        <v>335</v>
      </c>
      <c r="M179" s="9">
        <v>43780</v>
      </c>
      <c r="O179" s="6">
        <v>7</v>
      </c>
      <c r="P179" s="6" t="s">
        <v>4259</v>
      </c>
      <c r="R179" s="6" t="s">
        <v>379</v>
      </c>
      <c r="S179" s="6">
        <v>39</v>
      </c>
      <c r="T179" s="6">
        <v>47</v>
      </c>
      <c r="U179" s="10">
        <f t="shared" si="4"/>
        <v>43</v>
      </c>
      <c r="V179" s="6">
        <v>6.9</v>
      </c>
      <c r="W179" s="8">
        <v>0.71591637825965937</v>
      </c>
      <c r="X179" s="8">
        <v>6.6381229782104487</v>
      </c>
      <c r="Y179" s="8">
        <f t="shared" si="5"/>
        <v>0.91079195213317377</v>
      </c>
    </row>
    <row r="180" spans="1:25" s="6" customFormat="1" x14ac:dyDescent="0.35">
      <c r="A180" s="6" t="s">
        <v>25</v>
      </c>
      <c r="B180" s="7"/>
      <c r="C180" s="6">
        <v>510489</v>
      </c>
      <c r="D180" s="6" t="s">
        <v>380</v>
      </c>
      <c r="E180" s="6">
        <v>1</v>
      </c>
      <c r="F180" s="6">
        <v>7</v>
      </c>
      <c r="G180" s="6" t="s">
        <v>210</v>
      </c>
      <c r="H180" s="6">
        <v>10</v>
      </c>
      <c r="I180" s="8">
        <v>85.915187361111094</v>
      </c>
      <c r="J180" s="8">
        <v>116.660135</v>
      </c>
      <c r="K180" s="6" t="s">
        <v>29</v>
      </c>
      <c r="L180" s="6" t="s">
        <v>546</v>
      </c>
      <c r="M180" s="9">
        <v>43780</v>
      </c>
      <c r="O180" s="6">
        <v>7</v>
      </c>
      <c r="P180" s="6" t="s">
        <v>4259</v>
      </c>
      <c r="R180" s="6" t="s">
        <v>64</v>
      </c>
      <c r="S180" s="6">
        <v>0</v>
      </c>
      <c r="T180" s="6">
        <v>10</v>
      </c>
      <c r="U180" s="10">
        <f t="shared" si="4"/>
        <v>5</v>
      </c>
      <c r="V180" s="6">
        <v>0</v>
      </c>
      <c r="W180" s="8">
        <v>-4.1303396472930904</v>
      </c>
      <c r="X180" s="8">
        <v>-31.478965110778809</v>
      </c>
      <c r="Y180" s="8">
        <f t="shared" si="5"/>
        <v>1.5637520675659147</v>
      </c>
    </row>
    <row r="181" spans="1:25" s="6" customFormat="1" x14ac:dyDescent="0.35">
      <c r="A181" s="6" t="s">
        <v>25</v>
      </c>
      <c r="B181" s="7"/>
      <c r="C181" s="6">
        <v>510490</v>
      </c>
      <c r="D181" s="6" t="s">
        <v>380</v>
      </c>
      <c r="E181" s="6">
        <v>1</v>
      </c>
      <c r="F181" s="6">
        <v>7</v>
      </c>
      <c r="G181" s="6" t="s">
        <v>210</v>
      </c>
      <c r="H181" s="6">
        <v>10</v>
      </c>
      <c r="I181" s="8">
        <v>85.915187361111094</v>
      </c>
      <c r="J181" s="8">
        <v>116.660135</v>
      </c>
      <c r="K181" s="6" t="s">
        <v>29</v>
      </c>
      <c r="L181" s="6" t="s">
        <v>546</v>
      </c>
      <c r="M181" s="9">
        <v>43780</v>
      </c>
      <c r="O181" s="6">
        <v>7</v>
      </c>
      <c r="P181" s="6" t="s">
        <v>4259</v>
      </c>
      <c r="R181" s="6" t="s">
        <v>109</v>
      </c>
      <c r="S181" s="6">
        <v>10</v>
      </c>
      <c r="T181" s="6">
        <v>20</v>
      </c>
      <c r="U181" s="10">
        <f t="shared" si="4"/>
        <v>15</v>
      </c>
      <c r="V181" s="6">
        <v>0.6</v>
      </c>
      <c r="W181" s="8">
        <v>-3.3139920587539673</v>
      </c>
      <c r="X181" s="8">
        <v>-25.366929779052732</v>
      </c>
      <c r="Y181" s="8">
        <f t="shared" si="5"/>
        <v>1.145006690979006</v>
      </c>
    </row>
    <row r="182" spans="1:25" s="6" customFormat="1" x14ac:dyDescent="0.35">
      <c r="A182" s="6" t="s">
        <v>25</v>
      </c>
      <c r="B182" s="7"/>
      <c r="C182" s="6">
        <v>510491</v>
      </c>
      <c r="D182" s="6" t="s">
        <v>380</v>
      </c>
      <c r="E182" s="6">
        <v>1</v>
      </c>
      <c r="F182" s="6">
        <v>7</v>
      </c>
      <c r="G182" s="6" t="s">
        <v>210</v>
      </c>
      <c r="H182" s="6">
        <v>10</v>
      </c>
      <c r="I182" s="8">
        <v>85.915187361111094</v>
      </c>
      <c r="J182" s="8">
        <v>116.660135</v>
      </c>
      <c r="K182" s="6" t="s">
        <v>29</v>
      </c>
      <c r="L182" s="6" t="s">
        <v>546</v>
      </c>
      <c r="M182" s="9">
        <v>43780</v>
      </c>
      <c r="O182" s="6">
        <v>7</v>
      </c>
      <c r="P182" s="6" t="s">
        <v>4259</v>
      </c>
      <c r="R182" s="6" t="s">
        <v>381</v>
      </c>
      <c r="S182" s="6">
        <v>20</v>
      </c>
      <c r="T182" s="6">
        <v>32.5</v>
      </c>
      <c r="U182" s="10">
        <f t="shared" si="4"/>
        <v>26.25</v>
      </c>
      <c r="V182" s="6">
        <v>1.4</v>
      </c>
      <c r="W182" s="8">
        <v>-3.4253467140197755</v>
      </c>
      <c r="X182" s="8">
        <v>-26.034110050201416</v>
      </c>
      <c r="Y182" s="8">
        <f t="shared" si="5"/>
        <v>1.3686636619567878</v>
      </c>
    </row>
    <row r="183" spans="1:25" s="6" customFormat="1" x14ac:dyDescent="0.35">
      <c r="A183" s="6" t="s">
        <v>25</v>
      </c>
      <c r="B183" s="7"/>
      <c r="C183" s="6">
        <v>510492</v>
      </c>
      <c r="D183" s="6" t="s">
        <v>380</v>
      </c>
      <c r="E183" s="6">
        <v>1</v>
      </c>
      <c r="F183" s="6">
        <v>7</v>
      </c>
      <c r="G183" s="6" t="s">
        <v>210</v>
      </c>
      <c r="H183" s="6">
        <v>10</v>
      </c>
      <c r="I183" s="8">
        <v>85.915187361111094</v>
      </c>
      <c r="J183" s="8">
        <v>116.660135</v>
      </c>
      <c r="K183" s="6" t="s">
        <v>29</v>
      </c>
      <c r="L183" s="6" t="s">
        <v>546</v>
      </c>
      <c r="M183" s="9">
        <v>43780</v>
      </c>
      <c r="O183" s="6">
        <v>7</v>
      </c>
      <c r="P183" s="6" t="s">
        <v>4259</v>
      </c>
      <c r="R183" s="6" t="s">
        <v>382</v>
      </c>
      <c r="S183" s="6">
        <v>32.5</v>
      </c>
      <c r="T183" s="6">
        <v>45.5</v>
      </c>
      <c r="U183" s="10">
        <f t="shared" si="4"/>
        <v>39</v>
      </c>
      <c r="V183" s="6">
        <v>2.1</v>
      </c>
      <c r="W183" s="8">
        <v>-3.1219416046142578</v>
      </c>
      <c r="X183" s="8">
        <v>-23.755642051696778</v>
      </c>
      <c r="Y183" s="8">
        <f t="shared" si="5"/>
        <v>1.2198907852172844</v>
      </c>
    </row>
    <row r="184" spans="1:25" s="6" customFormat="1" x14ac:dyDescent="0.35">
      <c r="A184" s="6" t="s">
        <v>25</v>
      </c>
      <c r="B184" s="7"/>
      <c r="C184" s="6">
        <v>510493</v>
      </c>
      <c r="D184" s="6" t="s">
        <v>380</v>
      </c>
      <c r="E184" s="6">
        <v>1</v>
      </c>
      <c r="F184" s="6">
        <v>7</v>
      </c>
      <c r="G184" s="6" t="s">
        <v>210</v>
      </c>
      <c r="H184" s="6">
        <v>10</v>
      </c>
      <c r="I184" s="8">
        <v>85.915187361111094</v>
      </c>
      <c r="J184" s="8">
        <v>116.660135</v>
      </c>
      <c r="K184" s="6" t="s">
        <v>29</v>
      </c>
      <c r="L184" s="6" t="s">
        <v>546</v>
      </c>
      <c r="M184" s="9">
        <v>43780</v>
      </c>
      <c r="O184" s="6">
        <v>7</v>
      </c>
      <c r="P184" s="6" t="s">
        <v>4259</v>
      </c>
      <c r="R184" s="6" t="s">
        <v>383</v>
      </c>
      <c r="S184" s="6">
        <v>45.5</v>
      </c>
      <c r="T184" s="6">
        <v>55.5</v>
      </c>
      <c r="U184" s="10">
        <f t="shared" si="4"/>
        <v>50.5</v>
      </c>
      <c r="V184" s="6">
        <v>1.3</v>
      </c>
      <c r="W184" s="8">
        <v>-2.9770132112503052</v>
      </c>
      <c r="X184" s="8">
        <v>-22.603611640930179</v>
      </c>
      <c r="Y184" s="8">
        <f t="shared" si="5"/>
        <v>1.2124940490722622</v>
      </c>
    </row>
    <row r="185" spans="1:25" s="6" customFormat="1" x14ac:dyDescent="0.35">
      <c r="A185" s="6" t="s">
        <v>25</v>
      </c>
      <c r="B185" s="7"/>
      <c r="C185" s="6">
        <v>510494</v>
      </c>
      <c r="D185" s="6" t="s">
        <v>380</v>
      </c>
      <c r="E185" s="6">
        <v>1</v>
      </c>
      <c r="F185" s="6">
        <v>7</v>
      </c>
      <c r="G185" s="6" t="s">
        <v>210</v>
      </c>
      <c r="H185" s="6">
        <v>10</v>
      </c>
      <c r="I185" s="8">
        <v>85.915187361111094</v>
      </c>
      <c r="J185" s="8">
        <v>116.660135</v>
      </c>
      <c r="K185" s="6" t="s">
        <v>29</v>
      </c>
      <c r="L185" s="6" t="s">
        <v>546</v>
      </c>
      <c r="M185" s="9">
        <v>43780</v>
      </c>
      <c r="O185" s="6">
        <v>7</v>
      </c>
      <c r="P185" s="6" t="s">
        <v>4259</v>
      </c>
      <c r="R185" s="6" t="s">
        <v>384</v>
      </c>
      <c r="S185" s="6">
        <v>55.5</v>
      </c>
      <c r="T185" s="6">
        <v>65.5</v>
      </c>
      <c r="U185" s="10">
        <f t="shared" si="4"/>
        <v>60.5</v>
      </c>
      <c r="V185" s="6">
        <v>1.9</v>
      </c>
      <c r="W185" s="8">
        <v>-4.2042965235710152</v>
      </c>
      <c r="X185" s="8">
        <v>-32.152200041198732</v>
      </c>
      <c r="Y185" s="8">
        <f t="shared" si="5"/>
        <v>1.4821721473693898</v>
      </c>
    </row>
    <row r="186" spans="1:25" s="6" customFormat="1" x14ac:dyDescent="0.35">
      <c r="A186" s="6" t="s">
        <v>25</v>
      </c>
      <c r="B186" s="7"/>
      <c r="C186" s="6">
        <v>510495</v>
      </c>
      <c r="D186" s="6" t="s">
        <v>380</v>
      </c>
      <c r="E186" s="6">
        <v>1</v>
      </c>
      <c r="F186" s="6">
        <v>7</v>
      </c>
      <c r="G186" s="6" t="s">
        <v>210</v>
      </c>
      <c r="H186" s="6">
        <v>10</v>
      </c>
      <c r="I186" s="8">
        <v>85.915187361111094</v>
      </c>
      <c r="J186" s="8">
        <v>116.660135</v>
      </c>
      <c r="K186" s="6" t="s">
        <v>29</v>
      </c>
      <c r="L186" s="6" t="s">
        <v>546</v>
      </c>
      <c r="M186" s="9">
        <v>43780</v>
      </c>
      <c r="O186" s="6">
        <v>7</v>
      </c>
      <c r="P186" s="6" t="s">
        <v>4259</v>
      </c>
      <c r="R186" s="6" t="s">
        <v>385</v>
      </c>
      <c r="S186" s="6">
        <v>65.5</v>
      </c>
      <c r="T186" s="6">
        <v>74.5</v>
      </c>
      <c r="U186" s="10">
        <f t="shared" si="4"/>
        <v>70</v>
      </c>
      <c r="V186" s="6">
        <v>4.7</v>
      </c>
      <c r="W186" s="8">
        <v>-0.83882532777786245</v>
      </c>
      <c r="X186" s="8">
        <v>-5.0943775018930433</v>
      </c>
      <c r="Y186" s="8">
        <f t="shared" si="5"/>
        <v>1.6162251203298563</v>
      </c>
    </row>
    <row r="187" spans="1:25" s="6" customFormat="1" x14ac:dyDescent="0.35">
      <c r="A187" s="6" t="s">
        <v>25</v>
      </c>
      <c r="B187" s="7"/>
      <c r="C187" s="6">
        <v>510496</v>
      </c>
      <c r="D187" s="6" t="s">
        <v>380</v>
      </c>
      <c r="E187" s="6">
        <v>1</v>
      </c>
      <c r="F187" s="6">
        <v>7</v>
      </c>
      <c r="G187" s="6" t="s">
        <v>210</v>
      </c>
      <c r="H187" s="6">
        <v>10</v>
      </c>
      <c r="I187" s="8">
        <v>85.915187361111094</v>
      </c>
      <c r="J187" s="8">
        <v>116.660135</v>
      </c>
      <c r="K187" s="6" t="s">
        <v>29</v>
      </c>
      <c r="L187" s="6" t="s">
        <v>546</v>
      </c>
      <c r="M187" s="9">
        <v>43780</v>
      </c>
      <c r="O187" s="6">
        <v>7</v>
      </c>
      <c r="P187" s="6" t="s">
        <v>4259</v>
      </c>
      <c r="R187" s="6" t="s">
        <v>386</v>
      </c>
      <c r="S187" s="6">
        <v>74.5</v>
      </c>
      <c r="T187" s="6">
        <v>83.5</v>
      </c>
      <c r="U187" s="10">
        <f t="shared" si="4"/>
        <v>79</v>
      </c>
      <c r="V187" s="6">
        <v>6.6</v>
      </c>
      <c r="W187" s="8">
        <v>0.74339151892662092</v>
      </c>
      <c r="X187" s="8">
        <v>6.7826061441421501</v>
      </c>
      <c r="Y187" s="8">
        <f t="shared" si="5"/>
        <v>0.83547399272918277</v>
      </c>
    </row>
    <row r="188" spans="1:25" s="6" customFormat="1" x14ac:dyDescent="0.35">
      <c r="A188" s="6" t="s">
        <v>25</v>
      </c>
      <c r="B188" s="7"/>
      <c r="C188" s="6">
        <v>510531</v>
      </c>
      <c r="D188" s="6" t="s">
        <v>409</v>
      </c>
      <c r="E188" s="6">
        <v>1</v>
      </c>
      <c r="F188" s="6">
        <v>7</v>
      </c>
      <c r="G188" s="6" t="s">
        <v>345</v>
      </c>
      <c r="H188" s="6">
        <v>10</v>
      </c>
      <c r="I188" s="8">
        <v>86.116053611111099</v>
      </c>
      <c r="J188" s="8">
        <v>117.978438125</v>
      </c>
      <c r="K188" s="6" t="s">
        <v>29</v>
      </c>
      <c r="L188" s="6" t="s">
        <v>335</v>
      </c>
      <c r="M188" s="9">
        <v>43782</v>
      </c>
      <c r="O188" s="6">
        <v>7</v>
      </c>
      <c r="P188" s="6" t="s">
        <v>4254</v>
      </c>
      <c r="R188" s="6" t="s">
        <v>410</v>
      </c>
      <c r="S188" s="6">
        <v>0</v>
      </c>
      <c r="T188" s="6">
        <v>15</v>
      </c>
      <c r="U188" s="10">
        <f t="shared" si="4"/>
        <v>7.5</v>
      </c>
      <c r="V188" s="6">
        <v>2.7</v>
      </c>
      <c r="W188" s="8">
        <v>-3.9272911485672006</v>
      </c>
      <c r="X188" s="8">
        <v>-30.441711792755125</v>
      </c>
      <c r="Y188" s="8">
        <f t="shared" si="5"/>
        <v>0.97661739578247975</v>
      </c>
    </row>
    <row r="189" spans="1:25" s="6" customFormat="1" x14ac:dyDescent="0.35">
      <c r="A189" s="6" t="s">
        <v>25</v>
      </c>
      <c r="B189" s="7"/>
      <c r="C189" s="6">
        <v>510532</v>
      </c>
      <c r="D189" s="6" t="s">
        <v>409</v>
      </c>
      <c r="E189" s="6">
        <v>1</v>
      </c>
      <c r="F189" s="6">
        <v>7</v>
      </c>
      <c r="G189" s="6" t="s">
        <v>345</v>
      </c>
      <c r="H189" s="6">
        <v>10</v>
      </c>
      <c r="I189" s="8">
        <v>86.116053611111099</v>
      </c>
      <c r="J189" s="8">
        <v>117.978438125</v>
      </c>
      <c r="K189" s="6" t="s">
        <v>29</v>
      </c>
      <c r="L189" s="6" t="s">
        <v>335</v>
      </c>
      <c r="M189" s="9">
        <v>43782</v>
      </c>
      <c r="O189" s="6">
        <v>7</v>
      </c>
      <c r="P189" s="6" t="s">
        <v>4254</v>
      </c>
      <c r="R189" s="6" t="s">
        <v>411</v>
      </c>
      <c r="S189" s="6">
        <v>15</v>
      </c>
      <c r="T189" s="6">
        <v>30</v>
      </c>
      <c r="U189" s="10">
        <f t="shared" si="4"/>
        <v>22.5</v>
      </c>
      <c r="V189" s="6">
        <v>1.8</v>
      </c>
      <c r="W189" s="8">
        <v>-2.742843749427796</v>
      </c>
      <c r="X189" s="8">
        <v>-20.65143934421539</v>
      </c>
      <c r="Y189" s="8">
        <f t="shared" si="5"/>
        <v>1.2913106512069774</v>
      </c>
    </row>
    <row r="190" spans="1:25" s="6" customFormat="1" x14ac:dyDescent="0.35">
      <c r="A190" s="6" t="s">
        <v>25</v>
      </c>
      <c r="B190" s="7"/>
      <c r="C190" s="6">
        <v>510533</v>
      </c>
      <c r="D190" s="6" t="s">
        <v>409</v>
      </c>
      <c r="E190" s="6">
        <v>1</v>
      </c>
      <c r="F190" s="6">
        <v>7</v>
      </c>
      <c r="G190" s="6" t="s">
        <v>345</v>
      </c>
      <c r="H190" s="6">
        <v>10</v>
      </c>
      <c r="I190" s="8">
        <v>86.116053611111099</v>
      </c>
      <c r="J190" s="8">
        <v>117.978438125</v>
      </c>
      <c r="K190" s="6" t="s">
        <v>29</v>
      </c>
      <c r="L190" s="6" t="s">
        <v>335</v>
      </c>
      <c r="M190" s="9">
        <v>43782</v>
      </c>
      <c r="O190" s="6">
        <v>7</v>
      </c>
      <c r="P190" s="6" t="s">
        <v>4254</v>
      </c>
      <c r="R190" s="6" t="s">
        <v>216</v>
      </c>
      <c r="S190" s="6">
        <v>30</v>
      </c>
      <c r="T190" s="6">
        <v>45</v>
      </c>
      <c r="U190" s="10">
        <f t="shared" si="4"/>
        <v>37.5</v>
      </c>
      <c r="V190" s="6">
        <v>4.7</v>
      </c>
      <c r="W190" s="8">
        <v>-6.1067047798633679E-2</v>
      </c>
      <c r="X190" s="8">
        <v>1.1539277083396917</v>
      </c>
      <c r="Y190" s="8">
        <f t="shared" si="5"/>
        <v>1.6424640907287611</v>
      </c>
    </row>
    <row r="191" spans="1:25" s="6" customFormat="1" x14ac:dyDescent="0.35">
      <c r="A191" s="6" t="s">
        <v>25</v>
      </c>
      <c r="B191" s="7"/>
      <c r="C191" s="6">
        <v>510534</v>
      </c>
      <c r="D191" s="6" t="s">
        <v>409</v>
      </c>
      <c r="E191" s="6">
        <v>1</v>
      </c>
      <c r="F191" s="6">
        <v>7</v>
      </c>
      <c r="G191" s="6" t="s">
        <v>345</v>
      </c>
      <c r="H191" s="6">
        <v>10</v>
      </c>
      <c r="I191" s="8">
        <v>86.116053611111099</v>
      </c>
      <c r="J191" s="8">
        <v>117.978438125</v>
      </c>
      <c r="K191" s="6" t="s">
        <v>29</v>
      </c>
      <c r="L191" s="6" t="s">
        <v>335</v>
      </c>
      <c r="M191" s="9">
        <v>43782</v>
      </c>
      <c r="O191" s="6">
        <v>7</v>
      </c>
      <c r="P191" s="6" t="s">
        <v>4254</v>
      </c>
      <c r="R191" s="6" t="s">
        <v>412</v>
      </c>
      <c r="S191" s="6">
        <v>45</v>
      </c>
      <c r="T191" s="6">
        <v>59.5</v>
      </c>
      <c r="U191" s="10">
        <f t="shared" si="4"/>
        <v>52.25</v>
      </c>
      <c r="V191" s="6">
        <v>5.3</v>
      </c>
      <c r="W191" s="8">
        <v>0.25954267594814323</v>
      </c>
      <c r="X191" s="8">
        <v>1.9250031263351446</v>
      </c>
      <c r="Y191" s="8">
        <f t="shared" si="5"/>
        <v>-0.15133828125000126</v>
      </c>
    </row>
    <row r="192" spans="1:25" s="6" customFormat="1" x14ac:dyDescent="0.35">
      <c r="A192" s="6" t="s">
        <v>25</v>
      </c>
      <c r="B192" s="7"/>
      <c r="C192" s="6">
        <v>510535</v>
      </c>
      <c r="D192" s="6" t="s">
        <v>409</v>
      </c>
      <c r="E192" s="6">
        <v>1</v>
      </c>
      <c r="F192" s="6">
        <v>7</v>
      </c>
      <c r="G192" s="6" t="s">
        <v>345</v>
      </c>
      <c r="H192" s="6">
        <v>10</v>
      </c>
      <c r="I192" s="8">
        <v>86.116053611111099</v>
      </c>
      <c r="J192" s="8">
        <v>117.978438125</v>
      </c>
      <c r="K192" s="6" t="s">
        <v>29</v>
      </c>
      <c r="L192" s="6" t="s">
        <v>335</v>
      </c>
      <c r="M192" s="9">
        <v>43782</v>
      </c>
      <c r="O192" s="6">
        <v>7</v>
      </c>
      <c r="P192" s="6" t="s">
        <v>4254</v>
      </c>
      <c r="R192" s="6" t="s">
        <v>413</v>
      </c>
      <c r="S192" s="6">
        <v>59.5</v>
      </c>
      <c r="T192" s="6">
        <v>75</v>
      </c>
      <c r="U192" s="10">
        <f t="shared" si="4"/>
        <v>67.25</v>
      </c>
      <c r="V192" s="6">
        <v>5.5</v>
      </c>
      <c r="W192" s="8">
        <v>-0.69739645471572898</v>
      </c>
      <c r="X192" s="8">
        <v>-5.7964950211822988</v>
      </c>
      <c r="Y192" s="8">
        <f t="shared" si="5"/>
        <v>-0.21732338345646696</v>
      </c>
    </row>
    <row r="193" spans="1:25" s="6" customFormat="1" x14ac:dyDescent="0.35">
      <c r="A193" s="6" t="s">
        <v>25</v>
      </c>
      <c r="B193" s="7"/>
      <c r="C193" s="6">
        <v>510536</v>
      </c>
      <c r="D193" s="6" t="s">
        <v>409</v>
      </c>
      <c r="E193" s="6">
        <v>1</v>
      </c>
      <c r="F193" s="6">
        <v>7</v>
      </c>
      <c r="G193" s="6" t="s">
        <v>345</v>
      </c>
      <c r="H193" s="6">
        <v>10</v>
      </c>
      <c r="I193" s="8">
        <v>86.116053611111099</v>
      </c>
      <c r="J193" s="8">
        <v>117.978438125</v>
      </c>
      <c r="K193" s="6" t="s">
        <v>29</v>
      </c>
      <c r="L193" s="6" t="s">
        <v>335</v>
      </c>
      <c r="M193" s="9">
        <v>43782</v>
      </c>
      <c r="O193" s="6">
        <v>7</v>
      </c>
      <c r="P193" s="6" t="s">
        <v>4254</v>
      </c>
      <c r="R193" s="6" t="s">
        <v>414</v>
      </c>
      <c r="S193" s="6">
        <v>75</v>
      </c>
      <c r="T193" s="6">
        <v>90</v>
      </c>
      <c r="U193" s="10">
        <f t="shared" si="4"/>
        <v>82.5</v>
      </c>
      <c r="V193" s="6">
        <v>4.7</v>
      </c>
      <c r="W193" s="8">
        <v>-0.87209107389450113</v>
      </c>
      <c r="X193" s="8">
        <v>-6.5918688539743426</v>
      </c>
      <c r="Y193" s="8">
        <f t="shared" si="5"/>
        <v>0.38485973718166644</v>
      </c>
    </row>
    <row r="194" spans="1:25" s="6" customFormat="1" x14ac:dyDescent="0.35">
      <c r="A194" s="6" t="s">
        <v>25</v>
      </c>
      <c r="B194" s="7"/>
      <c r="C194" s="6">
        <v>510537</v>
      </c>
      <c r="D194" s="6" t="s">
        <v>409</v>
      </c>
      <c r="E194" s="6">
        <v>1</v>
      </c>
      <c r="F194" s="6">
        <v>7</v>
      </c>
      <c r="G194" s="6" t="s">
        <v>345</v>
      </c>
      <c r="H194" s="6">
        <v>10</v>
      </c>
      <c r="I194" s="8">
        <v>86.116053611111099</v>
      </c>
      <c r="J194" s="8">
        <v>117.978438125</v>
      </c>
      <c r="K194" s="6" t="s">
        <v>29</v>
      </c>
      <c r="L194" s="6" t="s">
        <v>335</v>
      </c>
      <c r="M194" s="9">
        <v>43782</v>
      </c>
      <c r="O194" s="6">
        <v>7</v>
      </c>
      <c r="P194" s="6" t="s">
        <v>4254</v>
      </c>
      <c r="R194" s="6" t="s">
        <v>415</v>
      </c>
      <c r="S194" s="6">
        <v>90</v>
      </c>
      <c r="T194" s="6">
        <v>103.5</v>
      </c>
      <c r="U194" s="10">
        <f t="shared" ref="U194:U257" si="6">AVERAGE(S194:T194)</f>
        <v>96.75</v>
      </c>
      <c r="V194" s="6">
        <v>5.4</v>
      </c>
      <c r="W194" s="8">
        <v>-0.39115417760610549</v>
      </c>
      <c r="X194" s="8">
        <v>-2.5230861119270322</v>
      </c>
      <c r="Y194" s="8">
        <f t="shared" ref="Y194:Y257" si="7">X194-(8*W194)</f>
        <v>0.60614730892181168</v>
      </c>
    </row>
    <row r="195" spans="1:25" s="6" customFormat="1" x14ac:dyDescent="0.35">
      <c r="A195" s="6" t="s">
        <v>25</v>
      </c>
      <c r="B195" s="7" t="s">
        <v>420</v>
      </c>
      <c r="C195" s="6">
        <v>510586</v>
      </c>
      <c r="D195" s="6" t="s">
        <v>421</v>
      </c>
      <c r="E195" s="6">
        <v>1</v>
      </c>
      <c r="F195" s="6">
        <v>7</v>
      </c>
      <c r="G195" s="6" t="s">
        <v>179</v>
      </c>
      <c r="I195" s="8">
        <v>86.1718883333333</v>
      </c>
      <c r="J195" s="8">
        <v>118.24158284722201</v>
      </c>
      <c r="K195" s="6" t="s">
        <v>29</v>
      </c>
      <c r="L195" s="6" t="s">
        <v>335</v>
      </c>
      <c r="M195" s="9">
        <v>43783</v>
      </c>
      <c r="O195" s="6">
        <v>7</v>
      </c>
      <c r="P195" s="6" t="s">
        <v>4248</v>
      </c>
      <c r="Q195" s="8">
        <v>-6.35</v>
      </c>
      <c r="R195" s="10" t="s">
        <v>422</v>
      </c>
      <c r="S195" s="10">
        <v>0</v>
      </c>
      <c r="T195" s="10">
        <v>10</v>
      </c>
      <c r="U195" s="10">
        <f t="shared" si="6"/>
        <v>5</v>
      </c>
      <c r="V195" s="6">
        <v>6.1</v>
      </c>
      <c r="W195" s="8">
        <v>-1.1872953195169567</v>
      </c>
      <c r="X195" s="8">
        <v>-8.7001789560318006</v>
      </c>
      <c r="Y195" s="8">
        <f t="shared" si="7"/>
        <v>0.7981836001038527</v>
      </c>
    </row>
    <row r="196" spans="1:25" s="6" customFormat="1" x14ac:dyDescent="0.35">
      <c r="A196" s="6" t="s">
        <v>25</v>
      </c>
      <c r="B196" s="7" t="s">
        <v>429</v>
      </c>
      <c r="C196" s="6">
        <v>510587</v>
      </c>
      <c r="D196" s="6" t="s">
        <v>430</v>
      </c>
      <c r="E196" s="6">
        <v>1</v>
      </c>
      <c r="F196" s="6">
        <v>7</v>
      </c>
      <c r="G196" s="6" t="s">
        <v>179</v>
      </c>
      <c r="I196" s="8">
        <v>86.1718883333333</v>
      </c>
      <c r="J196" s="8">
        <v>118.24158284722201</v>
      </c>
      <c r="K196" s="6" t="s">
        <v>29</v>
      </c>
      <c r="L196" s="6" t="s">
        <v>335</v>
      </c>
      <c r="M196" s="9">
        <v>43783</v>
      </c>
      <c r="O196" s="6">
        <v>7</v>
      </c>
      <c r="P196" s="6" t="s">
        <v>4248</v>
      </c>
      <c r="Q196" s="8">
        <v>-5.5333333333333341</v>
      </c>
      <c r="R196" s="10" t="s">
        <v>109</v>
      </c>
      <c r="S196" s="10">
        <v>10</v>
      </c>
      <c r="T196" s="10">
        <v>20</v>
      </c>
      <c r="U196" s="10">
        <f t="shared" si="6"/>
        <v>15</v>
      </c>
      <c r="V196" s="6">
        <v>3.3</v>
      </c>
      <c r="W196" s="8">
        <v>-3.0089028963565827</v>
      </c>
      <c r="X196" s="8">
        <v>-21.844005692481993</v>
      </c>
      <c r="Y196" s="8">
        <f t="shared" si="7"/>
        <v>2.2272174783706689</v>
      </c>
    </row>
    <row r="197" spans="1:25" s="6" customFormat="1" x14ac:dyDescent="0.35">
      <c r="A197" s="6" t="s">
        <v>25</v>
      </c>
      <c r="B197" s="7" t="s">
        <v>427</v>
      </c>
      <c r="C197" s="6">
        <v>510588</v>
      </c>
      <c r="D197" s="6" t="s">
        <v>428</v>
      </c>
      <c r="E197" s="6">
        <v>1</v>
      </c>
      <c r="F197" s="6">
        <v>7</v>
      </c>
      <c r="G197" s="6" t="s">
        <v>179</v>
      </c>
      <c r="I197" s="8">
        <v>86.1718883333333</v>
      </c>
      <c r="J197" s="8">
        <v>118.24158284722201</v>
      </c>
      <c r="K197" s="6" t="s">
        <v>29</v>
      </c>
      <c r="L197" s="6" t="s">
        <v>335</v>
      </c>
      <c r="M197" s="9">
        <v>43783</v>
      </c>
      <c r="O197" s="6">
        <v>7</v>
      </c>
      <c r="P197" s="6" t="s">
        <v>4248</v>
      </c>
      <c r="Q197" s="8">
        <v>-4.7333333333333334</v>
      </c>
      <c r="R197" s="10" t="s">
        <v>215</v>
      </c>
      <c r="S197" s="10">
        <v>20</v>
      </c>
      <c r="T197" s="10">
        <v>30</v>
      </c>
      <c r="U197" s="10">
        <f t="shared" si="6"/>
        <v>25</v>
      </c>
      <c r="V197" s="6">
        <v>3.6</v>
      </c>
      <c r="W197" s="8">
        <v>-0.43585673393011126</v>
      </c>
      <c r="X197" s="8">
        <v>-1.9956918797492982</v>
      </c>
      <c r="Y197" s="8">
        <f t="shared" si="7"/>
        <v>1.4911619916915919</v>
      </c>
    </row>
    <row r="198" spans="1:25" s="6" customFormat="1" x14ac:dyDescent="0.35">
      <c r="A198" s="6" t="s">
        <v>25</v>
      </c>
      <c r="B198" s="7" t="s">
        <v>425</v>
      </c>
      <c r="C198" s="6">
        <v>510589</v>
      </c>
      <c r="D198" s="6" t="s">
        <v>426</v>
      </c>
      <c r="E198" s="6">
        <v>1</v>
      </c>
      <c r="F198" s="6">
        <v>7</v>
      </c>
      <c r="G198" s="6" t="s">
        <v>179</v>
      </c>
      <c r="I198" s="8">
        <v>86.1718883333333</v>
      </c>
      <c r="J198" s="8">
        <v>118.24158284722201</v>
      </c>
      <c r="K198" s="6" t="s">
        <v>29</v>
      </c>
      <c r="L198" s="6" t="s">
        <v>335</v>
      </c>
      <c r="M198" s="9">
        <v>43783</v>
      </c>
      <c r="O198" s="6">
        <v>7</v>
      </c>
      <c r="P198" s="6" t="s">
        <v>4248</v>
      </c>
      <c r="Q198" s="8">
        <v>-3.5333333333333332</v>
      </c>
      <c r="R198" s="10" t="s">
        <v>157</v>
      </c>
      <c r="S198" s="10">
        <v>30</v>
      </c>
      <c r="T198" s="10">
        <v>40</v>
      </c>
      <c r="U198" s="10">
        <f t="shared" si="6"/>
        <v>35</v>
      </c>
      <c r="V198" s="6">
        <v>4.7</v>
      </c>
      <c r="W198" s="8">
        <v>0.9935412322759628</v>
      </c>
      <c r="X198" s="8">
        <v>9.109675403654574</v>
      </c>
      <c r="Y198" s="8">
        <f t="shared" si="7"/>
        <v>1.1613455454468715</v>
      </c>
    </row>
    <row r="199" spans="1:25" s="6" customFormat="1" x14ac:dyDescent="0.35">
      <c r="A199" s="6" t="s">
        <v>25</v>
      </c>
      <c r="B199" s="7" t="s">
        <v>423</v>
      </c>
      <c r="C199" s="6">
        <v>510590</v>
      </c>
      <c r="D199" s="6" t="s">
        <v>424</v>
      </c>
      <c r="E199" s="6">
        <v>1</v>
      </c>
      <c r="F199" s="6">
        <v>7</v>
      </c>
      <c r="G199" s="6" t="s">
        <v>179</v>
      </c>
      <c r="I199" s="8">
        <v>86.1718883333333</v>
      </c>
      <c r="J199" s="8">
        <v>118.24158284722201</v>
      </c>
      <c r="K199" s="6" t="s">
        <v>29</v>
      </c>
      <c r="L199" s="6" t="s">
        <v>335</v>
      </c>
      <c r="M199" s="9">
        <v>43783</v>
      </c>
      <c r="O199" s="6">
        <v>7</v>
      </c>
      <c r="P199" s="6" t="s">
        <v>4248</v>
      </c>
      <c r="Q199" s="8">
        <v>-2.5333333333333332</v>
      </c>
      <c r="R199" s="10" t="s">
        <v>159</v>
      </c>
      <c r="S199" s="10">
        <v>40</v>
      </c>
      <c r="T199" s="10">
        <v>50</v>
      </c>
      <c r="U199" s="10">
        <f t="shared" si="6"/>
        <v>45</v>
      </c>
      <c r="V199" s="6">
        <v>6</v>
      </c>
      <c r="W199" s="8">
        <v>0.88480188924074166</v>
      </c>
      <c r="X199" s="8">
        <v>6.9215391101837156</v>
      </c>
      <c r="Y199" s="8">
        <f t="shared" si="7"/>
        <v>-0.15687600374221766</v>
      </c>
    </row>
    <row r="200" spans="1:25" s="6" customFormat="1" x14ac:dyDescent="0.35">
      <c r="A200" s="6" t="s">
        <v>25</v>
      </c>
      <c r="B200" s="7" t="s">
        <v>455</v>
      </c>
      <c r="C200" s="6">
        <v>510643</v>
      </c>
      <c r="D200" s="6" t="s">
        <v>456</v>
      </c>
      <c r="E200" s="6">
        <v>1</v>
      </c>
      <c r="F200" s="6">
        <v>7</v>
      </c>
      <c r="G200" s="6" t="s">
        <v>179</v>
      </c>
      <c r="I200" s="8">
        <v>86.191348333333295</v>
      </c>
      <c r="J200" s="8">
        <v>118.623774583333</v>
      </c>
      <c r="K200" s="6" t="s">
        <v>29</v>
      </c>
      <c r="L200" s="6" t="s">
        <v>335</v>
      </c>
      <c r="M200" s="9">
        <v>43784</v>
      </c>
      <c r="O200" s="6">
        <v>7</v>
      </c>
      <c r="P200" s="6" t="s">
        <v>4260</v>
      </c>
      <c r="Q200" s="8">
        <v>-8.9</v>
      </c>
      <c r="R200" s="10" t="s">
        <v>422</v>
      </c>
      <c r="S200" s="10">
        <v>0</v>
      </c>
      <c r="T200" s="10">
        <v>10</v>
      </c>
      <c r="U200" s="10">
        <f t="shared" si="6"/>
        <v>5</v>
      </c>
      <c r="V200" s="6">
        <v>0.1</v>
      </c>
      <c r="W200" s="8">
        <v>-6.0917515594482428</v>
      </c>
      <c r="X200" s="8">
        <v>-46.377056671142576</v>
      </c>
      <c r="Y200" s="8">
        <f t="shared" si="7"/>
        <v>2.3569558044433663</v>
      </c>
    </row>
    <row r="201" spans="1:25" s="6" customFormat="1" x14ac:dyDescent="0.35">
      <c r="A201" s="6" t="s">
        <v>25</v>
      </c>
      <c r="B201" s="7" t="s">
        <v>453</v>
      </c>
      <c r="C201" s="6">
        <v>510626</v>
      </c>
      <c r="D201" s="6" t="s">
        <v>454</v>
      </c>
      <c r="E201" s="6">
        <v>1</v>
      </c>
      <c r="F201" s="6">
        <v>7</v>
      </c>
      <c r="G201" s="6" t="s">
        <v>179</v>
      </c>
      <c r="I201" s="8">
        <v>86.191348333333295</v>
      </c>
      <c r="J201" s="8">
        <v>118.623774583333</v>
      </c>
      <c r="K201" s="6" t="s">
        <v>29</v>
      </c>
      <c r="L201" s="6" t="s">
        <v>335</v>
      </c>
      <c r="M201" s="9">
        <v>43784</v>
      </c>
      <c r="O201" s="6">
        <v>7</v>
      </c>
      <c r="P201" s="6" t="s">
        <v>4260</v>
      </c>
      <c r="Q201" s="8">
        <v>-7.7666666666666657</v>
      </c>
      <c r="R201" s="10" t="s">
        <v>109</v>
      </c>
      <c r="S201" s="10">
        <v>10</v>
      </c>
      <c r="T201" s="10">
        <v>20</v>
      </c>
      <c r="U201" s="10">
        <f t="shared" si="6"/>
        <v>15</v>
      </c>
      <c r="V201" s="6">
        <v>0.1</v>
      </c>
      <c r="W201" s="8">
        <v>-5.7262965762138371</v>
      </c>
      <c r="X201" s="8">
        <v>-43.416944984436036</v>
      </c>
      <c r="Y201" s="8">
        <f t="shared" si="7"/>
        <v>2.3934276252746614</v>
      </c>
    </row>
    <row r="202" spans="1:25" s="6" customFormat="1" x14ac:dyDescent="0.35">
      <c r="A202" s="6" t="s">
        <v>25</v>
      </c>
      <c r="B202" s="7" t="s">
        <v>450</v>
      </c>
      <c r="C202" s="6">
        <v>510627</v>
      </c>
      <c r="D202" s="6" t="s">
        <v>451</v>
      </c>
      <c r="E202" s="6">
        <v>1</v>
      </c>
      <c r="F202" s="6">
        <v>7</v>
      </c>
      <c r="G202" s="6" t="s">
        <v>179</v>
      </c>
      <c r="I202" s="8">
        <v>86.191348333333295</v>
      </c>
      <c r="J202" s="8">
        <v>118.623774583333</v>
      </c>
      <c r="K202" s="6" t="s">
        <v>29</v>
      </c>
      <c r="L202" s="6" t="s">
        <v>335</v>
      </c>
      <c r="M202" s="9">
        <v>43784</v>
      </c>
      <c r="O202" s="6">
        <v>7</v>
      </c>
      <c r="P202" s="6" t="s">
        <v>4260</v>
      </c>
      <c r="Q202" s="8">
        <v>-7.0333333333333341</v>
      </c>
      <c r="R202" s="10" t="s">
        <v>452</v>
      </c>
      <c r="S202" s="10">
        <v>20</v>
      </c>
      <c r="T202" s="10">
        <v>30.5</v>
      </c>
      <c r="U202" s="10">
        <f t="shared" si="6"/>
        <v>25.25</v>
      </c>
      <c r="V202" s="6">
        <v>0</v>
      </c>
      <c r="W202" s="8">
        <v>-4.9634786464691167</v>
      </c>
      <c r="X202" s="8">
        <v>-37.982069183349608</v>
      </c>
      <c r="Y202" s="8">
        <f t="shared" si="7"/>
        <v>1.7257599884033255</v>
      </c>
    </row>
    <row r="203" spans="1:25" s="6" customFormat="1" x14ac:dyDescent="0.35">
      <c r="A203" s="6" t="s">
        <v>25</v>
      </c>
      <c r="B203" s="7" t="s">
        <v>447</v>
      </c>
      <c r="C203" s="6">
        <v>510628</v>
      </c>
      <c r="D203" s="6" t="s">
        <v>448</v>
      </c>
      <c r="E203" s="6">
        <v>1</v>
      </c>
      <c r="F203" s="6">
        <v>7</v>
      </c>
      <c r="G203" s="6" t="s">
        <v>179</v>
      </c>
      <c r="I203" s="8">
        <v>86.191348333333295</v>
      </c>
      <c r="J203" s="8">
        <v>118.623774583333</v>
      </c>
      <c r="K203" s="6" t="s">
        <v>29</v>
      </c>
      <c r="L203" s="6" t="s">
        <v>335</v>
      </c>
      <c r="M203" s="9">
        <v>43784</v>
      </c>
      <c r="O203" s="6">
        <v>7</v>
      </c>
      <c r="P203" s="6" t="s">
        <v>4260</v>
      </c>
      <c r="Q203" s="8">
        <v>-6.0666666666666673</v>
      </c>
      <c r="R203" s="10" t="s">
        <v>449</v>
      </c>
      <c r="S203" s="10">
        <v>30.5</v>
      </c>
      <c r="T203" s="10">
        <v>41</v>
      </c>
      <c r="U203" s="10">
        <f t="shared" si="6"/>
        <v>35.75</v>
      </c>
      <c r="V203" s="6">
        <v>0.1</v>
      </c>
      <c r="W203" s="8">
        <v>-4.4579405972480783</v>
      </c>
      <c r="X203" s="8">
        <v>-33.982097534179687</v>
      </c>
      <c r="Y203" s="8">
        <f t="shared" si="7"/>
        <v>1.68142724380494</v>
      </c>
    </row>
    <row r="204" spans="1:25" s="6" customFormat="1" x14ac:dyDescent="0.35">
      <c r="A204" s="6" t="s">
        <v>25</v>
      </c>
      <c r="B204" s="7" t="s">
        <v>444</v>
      </c>
      <c r="C204" s="6">
        <v>510630</v>
      </c>
      <c r="D204" s="6" t="s">
        <v>445</v>
      </c>
      <c r="E204" s="6">
        <v>1</v>
      </c>
      <c r="F204" s="6">
        <v>7</v>
      </c>
      <c r="G204" s="6" t="s">
        <v>179</v>
      </c>
      <c r="I204" s="8">
        <v>86.191348333333295</v>
      </c>
      <c r="J204" s="8">
        <v>118.623774583333</v>
      </c>
      <c r="K204" s="6" t="s">
        <v>29</v>
      </c>
      <c r="L204" s="6" t="s">
        <v>335</v>
      </c>
      <c r="M204" s="9">
        <v>43784</v>
      </c>
      <c r="O204" s="6">
        <v>7</v>
      </c>
      <c r="P204" s="6" t="s">
        <v>4260</v>
      </c>
      <c r="Q204" s="8">
        <v>-5.7333333333333343</v>
      </c>
      <c r="R204" s="10" t="s">
        <v>446</v>
      </c>
      <c r="S204" s="10">
        <v>41</v>
      </c>
      <c r="T204" s="10">
        <v>51</v>
      </c>
      <c r="U204" s="10">
        <f t="shared" si="6"/>
        <v>46</v>
      </c>
      <c r="V204" s="6">
        <v>2.1</v>
      </c>
      <c r="W204" s="8">
        <v>-3.1219651090860365</v>
      </c>
      <c r="X204" s="8">
        <v>-23.351678671836851</v>
      </c>
      <c r="Y204" s="8">
        <f t="shared" si="7"/>
        <v>1.6240422008514415</v>
      </c>
    </row>
    <row r="205" spans="1:25" s="6" customFormat="1" x14ac:dyDescent="0.35">
      <c r="A205" s="6" t="s">
        <v>25</v>
      </c>
      <c r="B205" s="7" t="s">
        <v>442</v>
      </c>
      <c r="C205" s="6">
        <v>510629</v>
      </c>
      <c r="D205" s="6" t="s">
        <v>443</v>
      </c>
      <c r="E205" s="6">
        <v>1</v>
      </c>
      <c r="F205" s="6">
        <v>7</v>
      </c>
      <c r="G205" s="6" t="s">
        <v>179</v>
      </c>
      <c r="I205" s="8">
        <v>86.191348333333295</v>
      </c>
      <c r="J205" s="8">
        <v>118.623774583333</v>
      </c>
      <c r="K205" s="6" t="s">
        <v>29</v>
      </c>
      <c r="L205" s="6" t="s">
        <v>335</v>
      </c>
      <c r="M205" s="9">
        <v>43784</v>
      </c>
      <c r="O205" s="6">
        <v>7</v>
      </c>
      <c r="P205" s="6" t="s">
        <v>4260</v>
      </c>
      <c r="Q205" s="8">
        <v>-5.5333333333333341</v>
      </c>
      <c r="R205" s="10" t="s">
        <v>221</v>
      </c>
      <c r="S205" s="10">
        <v>51</v>
      </c>
      <c r="T205" s="10">
        <v>61</v>
      </c>
      <c r="U205" s="10">
        <f t="shared" si="6"/>
        <v>56</v>
      </c>
      <c r="V205" s="6">
        <v>3.5</v>
      </c>
      <c r="W205" s="8">
        <v>-2.2790679079055787</v>
      </c>
      <c r="X205" s="8">
        <v>-17.146720239639279</v>
      </c>
      <c r="Y205" s="8">
        <f t="shared" si="7"/>
        <v>1.0858230236053501</v>
      </c>
    </row>
    <row r="206" spans="1:25" s="6" customFormat="1" x14ac:dyDescent="0.35">
      <c r="A206" s="6" t="s">
        <v>25</v>
      </c>
      <c r="B206" s="7" t="s">
        <v>440</v>
      </c>
      <c r="C206" s="6">
        <v>510631</v>
      </c>
      <c r="D206" s="6" t="s">
        <v>441</v>
      </c>
      <c r="E206" s="6">
        <v>1</v>
      </c>
      <c r="F206" s="6">
        <v>7</v>
      </c>
      <c r="G206" s="6" t="s">
        <v>179</v>
      </c>
      <c r="I206" s="8">
        <v>86.191348333333295</v>
      </c>
      <c r="J206" s="8">
        <v>118.623774583333</v>
      </c>
      <c r="K206" s="6" t="s">
        <v>29</v>
      </c>
      <c r="L206" s="6" t="s">
        <v>335</v>
      </c>
      <c r="M206" s="9">
        <v>43784</v>
      </c>
      <c r="O206" s="6">
        <v>7</v>
      </c>
      <c r="P206" s="6" t="s">
        <v>4260</v>
      </c>
      <c r="Q206" s="8">
        <v>-4.9333333333333336</v>
      </c>
      <c r="R206" s="10" t="s">
        <v>222</v>
      </c>
      <c r="S206" s="10">
        <v>61</v>
      </c>
      <c r="T206" s="10">
        <v>71</v>
      </c>
      <c r="U206" s="10">
        <f t="shared" si="6"/>
        <v>66</v>
      </c>
      <c r="V206" s="6">
        <v>4.8</v>
      </c>
      <c r="W206" s="8">
        <v>-1.9387942031979564</v>
      </c>
      <c r="X206" s="8">
        <v>-13.504592364788056</v>
      </c>
      <c r="Y206" s="8">
        <f t="shared" si="7"/>
        <v>2.0057612607955946</v>
      </c>
    </row>
    <row r="207" spans="1:25" s="6" customFormat="1" x14ac:dyDescent="0.35">
      <c r="A207" s="6" t="s">
        <v>25</v>
      </c>
      <c r="B207" s="7" t="s">
        <v>434</v>
      </c>
      <c r="C207" s="6">
        <v>510632</v>
      </c>
      <c r="D207" s="6" t="s">
        <v>435</v>
      </c>
      <c r="E207" s="6">
        <v>1</v>
      </c>
      <c r="F207" s="6">
        <v>7</v>
      </c>
      <c r="G207" s="6" t="s">
        <v>179</v>
      </c>
      <c r="I207" s="8">
        <v>86.191348333333295</v>
      </c>
      <c r="J207" s="8">
        <v>118.623774583333</v>
      </c>
      <c r="K207" s="6" t="s">
        <v>29</v>
      </c>
      <c r="L207" s="6" t="s">
        <v>335</v>
      </c>
      <c r="M207" s="9">
        <v>43784</v>
      </c>
      <c r="O207" s="6">
        <v>7</v>
      </c>
      <c r="P207" s="6" t="s">
        <v>4260</v>
      </c>
      <c r="Q207" s="8">
        <v>-4.3333333333333339</v>
      </c>
      <c r="R207" s="10" t="s">
        <v>436</v>
      </c>
      <c r="S207" s="10">
        <v>71</v>
      </c>
      <c r="T207" s="10">
        <v>81</v>
      </c>
      <c r="U207" s="10">
        <f t="shared" si="6"/>
        <v>76</v>
      </c>
      <c r="V207" s="6">
        <v>4.4000000000000004</v>
      </c>
      <c r="W207" s="8">
        <v>-1.5416475386142734</v>
      </c>
      <c r="X207" s="8">
        <v>-10.599506978034974</v>
      </c>
      <c r="Y207" s="8">
        <f t="shared" si="7"/>
        <v>1.7336733308792134</v>
      </c>
    </row>
    <row r="208" spans="1:25" s="6" customFormat="1" x14ac:dyDescent="0.35">
      <c r="A208" s="6" t="s">
        <v>25</v>
      </c>
      <c r="B208" s="7" t="s">
        <v>437</v>
      </c>
      <c r="C208" s="6">
        <v>510633</v>
      </c>
      <c r="D208" s="6" t="s">
        <v>438</v>
      </c>
      <c r="E208" s="6">
        <v>1</v>
      </c>
      <c r="F208" s="6">
        <v>7</v>
      </c>
      <c r="G208" s="6" t="s">
        <v>179</v>
      </c>
      <c r="I208" s="8">
        <v>86.191348333333295</v>
      </c>
      <c r="J208" s="8">
        <v>118.623774583333</v>
      </c>
      <c r="K208" s="6" t="s">
        <v>29</v>
      </c>
      <c r="L208" s="6" t="s">
        <v>335</v>
      </c>
      <c r="M208" s="9">
        <v>43784</v>
      </c>
      <c r="O208" s="6">
        <v>7</v>
      </c>
      <c r="P208" s="6" t="s">
        <v>4260</v>
      </c>
      <c r="Q208" s="8">
        <v>-3.9333333333333336</v>
      </c>
      <c r="R208" s="10" t="s">
        <v>439</v>
      </c>
      <c r="S208" s="10">
        <v>81</v>
      </c>
      <c r="T208" s="10">
        <v>90</v>
      </c>
      <c r="U208" s="10">
        <f t="shared" si="6"/>
        <v>85.5</v>
      </c>
      <c r="V208" s="6">
        <v>4.4000000000000004</v>
      </c>
      <c r="W208" s="8">
        <v>-1.2154237134575847</v>
      </c>
      <c r="X208" s="8">
        <v>-6.9502818198204039</v>
      </c>
      <c r="Y208" s="8">
        <f t="shared" si="7"/>
        <v>2.7731078878402737</v>
      </c>
    </row>
    <row r="209" spans="1:25" s="6" customFormat="1" x14ac:dyDescent="0.35">
      <c r="A209" s="6" t="s">
        <v>25</v>
      </c>
      <c r="B209" s="7" t="s">
        <v>460</v>
      </c>
      <c r="C209" s="6">
        <v>510634</v>
      </c>
      <c r="D209" s="6" t="s">
        <v>461</v>
      </c>
      <c r="E209" s="6">
        <v>1</v>
      </c>
      <c r="F209" s="6">
        <v>7</v>
      </c>
      <c r="G209" s="6" t="s">
        <v>179</v>
      </c>
      <c r="I209" s="8">
        <v>86.191348333333295</v>
      </c>
      <c r="J209" s="8">
        <v>118.623774583333</v>
      </c>
      <c r="K209" s="6" t="s">
        <v>29</v>
      </c>
      <c r="L209" s="6" t="s">
        <v>335</v>
      </c>
      <c r="M209" s="9">
        <v>43784</v>
      </c>
      <c r="O209" s="6">
        <v>7</v>
      </c>
      <c r="P209" s="6" t="s">
        <v>4260</v>
      </c>
      <c r="Q209" s="8">
        <v>-3.2666666666666671</v>
      </c>
      <c r="R209" s="10" t="s">
        <v>462</v>
      </c>
      <c r="S209" s="10">
        <v>90</v>
      </c>
      <c r="T209" s="10">
        <v>99</v>
      </c>
      <c r="U209" s="10">
        <f t="shared" si="6"/>
        <v>94.5</v>
      </c>
      <c r="V209" s="6">
        <v>3.3</v>
      </c>
      <c r="W209" s="8">
        <v>-0.5425894407153129</v>
      </c>
      <c r="X209" s="8">
        <v>-4.3496512598991393</v>
      </c>
      <c r="Y209" s="8">
        <f t="shared" si="7"/>
        <v>-8.9357341766360676E-3</v>
      </c>
    </row>
    <row r="210" spans="1:25" s="6" customFormat="1" x14ac:dyDescent="0.35">
      <c r="A210" s="6" t="s">
        <v>25</v>
      </c>
      <c r="B210" s="7" t="s">
        <v>457</v>
      </c>
      <c r="C210" s="6">
        <v>510635</v>
      </c>
      <c r="D210" s="6" t="s">
        <v>458</v>
      </c>
      <c r="E210" s="6">
        <v>1</v>
      </c>
      <c r="F210" s="6">
        <v>7</v>
      </c>
      <c r="G210" s="6" t="s">
        <v>179</v>
      </c>
      <c r="I210" s="8">
        <v>86.191348333333295</v>
      </c>
      <c r="J210" s="8">
        <v>118.623774583333</v>
      </c>
      <c r="K210" s="6" t="s">
        <v>29</v>
      </c>
      <c r="L210" s="6" t="s">
        <v>335</v>
      </c>
      <c r="M210" s="9">
        <v>43784</v>
      </c>
      <c r="O210" s="6">
        <v>7</v>
      </c>
      <c r="P210" s="6" t="s">
        <v>4260</v>
      </c>
      <c r="Q210" s="8">
        <v>-2.9666666666666668</v>
      </c>
      <c r="R210" s="10" t="s">
        <v>459</v>
      </c>
      <c r="S210" s="10">
        <v>99</v>
      </c>
      <c r="T210" s="10">
        <v>110</v>
      </c>
      <c r="U210" s="10">
        <f t="shared" si="6"/>
        <v>104.5</v>
      </c>
      <c r="V210" s="6">
        <v>5.3</v>
      </c>
      <c r="W210" s="8">
        <v>-0.36465785096287745</v>
      </c>
      <c r="X210" s="8">
        <v>-1.5780080122947688</v>
      </c>
      <c r="Y210" s="8">
        <f t="shared" si="7"/>
        <v>1.3392547954082508</v>
      </c>
    </row>
    <row r="211" spans="1:25" s="6" customFormat="1" x14ac:dyDescent="0.35">
      <c r="A211" s="6" t="s">
        <v>25</v>
      </c>
      <c r="B211" s="7" t="s">
        <v>469</v>
      </c>
      <c r="C211" s="6">
        <v>510636</v>
      </c>
      <c r="D211" s="6" t="s">
        <v>470</v>
      </c>
      <c r="E211" s="6">
        <v>1</v>
      </c>
      <c r="F211" s="6">
        <v>7</v>
      </c>
      <c r="G211" s="6" t="s">
        <v>179</v>
      </c>
      <c r="I211" s="8">
        <v>86.191348333333295</v>
      </c>
      <c r="J211" s="8">
        <v>118.623774583333</v>
      </c>
      <c r="K211" s="6" t="s">
        <v>29</v>
      </c>
      <c r="L211" s="6" t="s">
        <v>335</v>
      </c>
      <c r="M211" s="9">
        <v>43784</v>
      </c>
      <c r="O211" s="6">
        <v>7</v>
      </c>
      <c r="P211" s="6" t="s">
        <v>4260</v>
      </c>
      <c r="Q211" s="8">
        <v>-2.2000000000000002</v>
      </c>
      <c r="R211" s="10" t="s">
        <v>173</v>
      </c>
      <c r="S211" s="10">
        <v>110</v>
      </c>
      <c r="T211" s="10">
        <v>120</v>
      </c>
      <c r="U211" s="10">
        <f t="shared" si="6"/>
        <v>115</v>
      </c>
      <c r="V211" s="6">
        <v>4.7</v>
      </c>
      <c r="W211" s="8">
        <v>-1.0169011907100676</v>
      </c>
      <c r="X211" s="8">
        <v>-6.6864777030944831</v>
      </c>
      <c r="Y211" s="8">
        <f t="shared" si="7"/>
        <v>1.4487318225860575</v>
      </c>
    </row>
    <row r="212" spans="1:25" s="6" customFormat="1" x14ac:dyDescent="0.35">
      <c r="A212" s="6" t="s">
        <v>25</v>
      </c>
      <c r="B212" s="7" t="s">
        <v>480</v>
      </c>
      <c r="C212" s="6">
        <v>510637</v>
      </c>
      <c r="D212" s="6" t="s">
        <v>481</v>
      </c>
      <c r="E212" s="6">
        <v>1</v>
      </c>
      <c r="F212" s="6">
        <v>7</v>
      </c>
      <c r="G212" s="6" t="s">
        <v>179</v>
      </c>
      <c r="I212" s="8">
        <v>86.191348333333295</v>
      </c>
      <c r="J212" s="8">
        <v>118.623774583333</v>
      </c>
      <c r="K212" s="6" t="s">
        <v>29</v>
      </c>
      <c r="L212" s="6" t="s">
        <v>335</v>
      </c>
      <c r="M212" s="9">
        <v>43784</v>
      </c>
      <c r="O212" s="6">
        <v>7</v>
      </c>
      <c r="P212" s="6" t="s">
        <v>4260</v>
      </c>
      <c r="Q212" s="8">
        <v>-2.2000000000000002</v>
      </c>
      <c r="R212" s="10" t="s">
        <v>175</v>
      </c>
      <c r="S212" s="10">
        <v>120</v>
      </c>
      <c r="T212" s="10">
        <v>130</v>
      </c>
      <c r="U212" s="10">
        <f t="shared" si="6"/>
        <v>125</v>
      </c>
      <c r="V212" s="6">
        <v>3.7</v>
      </c>
      <c r="W212" s="8">
        <v>-2.3137565000000002</v>
      </c>
      <c r="X212" s="8">
        <v>-17.36439</v>
      </c>
      <c r="Y212" s="8">
        <f t="shared" si="7"/>
        <v>1.1456620000000015</v>
      </c>
    </row>
    <row r="213" spans="1:25" s="6" customFormat="1" x14ac:dyDescent="0.35">
      <c r="A213" s="6" t="s">
        <v>25</v>
      </c>
      <c r="B213" s="7" t="s">
        <v>477</v>
      </c>
      <c r="C213" s="6">
        <v>510638</v>
      </c>
      <c r="D213" s="6" t="s">
        <v>478</v>
      </c>
      <c r="E213" s="6">
        <v>1</v>
      </c>
      <c r="F213" s="6">
        <v>7</v>
      </c>
      <c r="G213" s="6" t="s">
        <v>179</v>
      </c>
      <c r="I213" s="8">
        <v>86.191348333333295</v>
      </c>
      <c r="J213" s="8">
        <v>118.623774583333</v>
      </c>
      <c r="K213" s="6" t="s">
        <v>29</v>
      </c>
      <c r="L213" s="6" t="s">
        <v>335</v>
      </c>
      <c r="M213" s="9">
        <v>43784</v>
      </c>
      <c r="O213" s="6">
        <v>7</v>
      </c>
      <c r="P213" s="6" t="s">
        <v>4260</v>
      </c>
      <c r="Q213" s="8">
        <v>-2</v>
      </c>
      <c r="R213" s="10" t="s">
        <v>479</v>
      </c>
      <c r="S213" s="10">
        <v>130</v>
      </c>
      <c r="T213" s="10">
        <v>140</v>
      </c>
      <c r="U213" s="10">
        <f t="shared" si="6"/>
        <v>135</v>
      </c>
      <c r="V213" s="6">
        <v>3.3</v>
      </c>
      <c r="W213" s="8">
        <v>-3.0584567440261843</v>
      </c>
      <c r="X213" s="8">
        <v>-23.245142125579832</v>
      </c>
      <c r="Y213" s="8">
        <f t="shared" si="7"/>
        <v>1.222511826629642</v>
      </c>
    </row>
    <row r="214" spans="1:25" s="6" customFormat="1" x14ac:dyDescent="0.35">
      <c r="A214" s="6" t="s">
        <v>25</v>
      </c>
      <c r="B214" s="7" t="s">
        <v>474</v>
      </c>
      <c r="C214" s="6">
        <v>510639</v>
      </c>
      <c r="D214" s="6" t="s">
        <v>475</v>
      </c>
      <c r="E214" s="6">
        <v>1</v>
      </c>
      <c r="F214" s="6">
        <v>7</v>
      </c>
      <c r="G214" s="6" t="s">
        <v>179</v>
      </c>
      <c r="I214" s="8">
        <v>86.191348333333295</v>
      </c>
      <c r="J214" s="8">
        <v>118.623774583333</v>
      </c>
      <c r="K214" s="6" t="s">
        <v>29</v>
      </c>
      <c r="L214" s="6" t="s">
        <v>335</v>
      </c>
      <c r="M214" s="9">
        <v>43784</v>
      </c>
      <c r="O214" s="6">
        <v>7</v>
      </c>
      <c r="P214" s="6" t="s">
        <v>4260</v>
      </c>
      <c r="Q214" s="8">
        <v>-1.95</v>
      </c>
      <c r="R214" s="10" t="s">
        <v>476</v>
      </c>
      <c r="S214" s="10">
        <v>140</v>
      </c>
      <c r="T214" s="10">
        <v>150</v>
      </c>
      <c r="U214" s="10">
        <f t="shared" si="6"/>
        <v>145</v>
      </c>
      <c r="V214" s="6">
        <v>4.0999999999999996</v>
      </c>
      <c r="W214" s="8">
        <v>-3.3308886101226811</v>
      </c>
      <c r="X214" s="8">
        <v>-25.864500485519407</v>
      </c>
      <c r="Y214" s="8">
        <f t="shared" si="7"/>
        <v>0.78260839546204153</v>
      </c>
    </row>
    <row r="215" spans="1:25" s="6" customFormat="1" x14ac:dyDescent="0.35">
      <c r="A215" s="6" t="s">
        <v>25</v>
      </c>
      <c r="B215" s="7" t="s">
        <v>471</v>
      </c>
      <c r="C215" s="6">
        <v>510640</v>
      </c>
      <c r="D215" s="6" t="s">
        <v>472</v>
      </c>
      <c r="E215" s="6">
        <v>1</v>
      </c>
      <c r="F215" s="6">
        <v>7</v>
      </c>
      <c r="G215" s="6" t="s">
        <v>179</v>
      </c>
      <c r="I215" s="8">
        <v>86.191348333333295</v>
      </c>
      <c r="J215" s="8">
        <v>118.623774583333</v>
      </c>
      <c r="K215" s="6" t="s">
        <v>29</v>
      </c>
      <c r="L215" s="6" t="s">
        <v>335</v>
      </c>
      <c r="M215" s="9">
        <v>43784</v>
      </c>
      <c r="O215" s="6">
        <v>7</v>
      </c>
      <c r="P215" s="6" t="s">
        <v>4260</v>
      </c>
      <c r="Q215" s="8">
        <v>-2.2000000000000002</v>
      </c>
      <c r="R215" s="10" t="s">
        <v>473</v>
      </c>
      <c r="S215" s="10">
        <v>150</v>
      </c>
      <c r="T215" s="10">
        <v>160</v>
      </c>
      <c r="U215" s="10">
        <f t="shared" si="6"/>
        <v>155</v>
      </c>
      <c r="V215" s="6">
        <v>4.0999999999999996</v>
      </c>
      <c r="W215" s="8">
        <v>-3.0540419417648317</v>
      </c>
      <c r="X215" s="8">
        <v>-23.534182119140624</v>
      </c>
      <c r="Y215" s="8">
        <f t="shared" si="7"/>
        <v>0.89815341497802947</v>
      </c>
    </row>
    <row r="216" spans="1:25" s="6" customFormat="1" x14ac:dyDescent="0.35">
      <c r="A216" s="6" t="s">
        <v>25</v>
      </c>
      <c r="B216" s="7" t="s">
        <v>466</v>
      </c>
      <c r="C216" s="6">
        <v>510641</v>
      </c>
      <c r="D216" s="6" t="s">
        <v>467</v>
      </c>
      <c r="E216" s="6">
        <v>1</v>
      </c>
      <c r="F216" s="6">
        <v>7</v>
      </c>
      <c r="G216" s="6" t="s">
        <v>179</v>
      </c>
      <c r="I216" s="8">
        <v>86.191348333333295</v>
      </c>
      <c r="J216" s="8">
        <v>118.623774583333</v>
      </c>
      <c r="K216" s="6" t="s">
        <v>29</v>
      </c>
      <c r="L216" s="6" t="s">
        <v>335</v>
      </c>
      <c r="M216" s="9">
        <v>43784</v>
      </c>
      <c r="O216" s="6">
        <v>7</v>
      </c>
      <c r="P216" s="6" t="s">
        <v>4260</v>
      </c>
      <c r="Q216" s="8">
        <v>-1.9</v>
      </c>
      <c r="R216" s="10" t="s">
        <v>468</v>
      </c>
      <c r="S216" s="10">
        <v>160</v>
      </c>
      <c r="T216" s="10">
        <v>169</v>
      </c>
      <c r="U216" s="10">
        <f t="shared" si="6"/>
        <v>164.5</v>
      </c>
      <c r="V216" s="6">
        <v>4</v>
      </c>
      <c r="W216" s="8">
        <v>-2.13909932847023</v>
      </c>
      <c r="X216" s="8">
        <v>-16.4258458442688</v>
      </c>
      <c r="Y216" s="8">
        <f t="shared" si="7"/>
        <v>0.68694878349304034</v>
      </c>
    </row>
    <row r="217" spans="1:25" s="6" customFormat="1" x14ac:dyDescent="0.35">
      <c r="A217" s="6" t="s">
        <v>25</v>
      </c>
      <c r="B217" s="7" t="s">
        <v>463</v>
      </c>
      <c r="C217" s="6">
        <v>510642</v>
      </c>
      <c r="D217" s="6" t="s">
        <v>464</v>
      </c>
      <c r="E217" s="6">
        <v>1</v>
      </c>
      <c r="F217" s="6">
        <v>7</v>
      </c>
      <c r="G217" s="6" t="s">
        <v>179</v>
      </c>
      <c r="I217" s="8">
        <v>86.191348333333295</v>
      </c>
      <c r="J217" s="8">
        <v>118.623774583333</v>
      </c>
      <c r="K217" s="6" t="s">
        <v>29</v>
      </c>
      <c r="L217" s="6" t="s">
        <v>335</v>
      </c>
      <c r="M217" s="9">
        <v>43784</v>
      </c>
      <c r="O217" s="6">
        <v>7</v>
      </c>
      <c r="P217" s="6" t="s">
        <v>4260</v>
      </c>
      <c r="Q217" s="8">
        <v>-1.95</v>
      </c>
      <c r="R217" s="10" t="s">
        <v>465</v>
      </c>
      <c r="S217" s="10">
        <v>169</v>
      </c>
      <c r="T217" s="10">
        <v>178</v>
      </c>
      <c r="U217" s="10">
        <f t="shared" si="6"/>
        <v>173.5</v>
      </c>
      <c r="V217" s="6">
        <v>4.4000000000000004</v>
      </c>
      <c r="W217" s="8">
        <v>-1.1758525982618333</v>
      </c>
      <c r="X217" s="8">
        <v>-7.9394926357269284</v>
      </c>
      <c r="Y217" s="8">
        <f t="shared" si="7"/>
        <v>1.467328150367738</v>
      </c>
    </row>
    <row r="218" spans="1:25" s="6" customFormat="1" x14ac:dyDescent="0.35">
      <c r="A218" s="6" t="s">
        <v>25</v>
      </c>
      <c r="B218" s="7" t="s">
        <v>486</v>
      </c>
      <c r="C218" s="6">
        <v>510672</v>
      </c>
      <c r="D218" s="6" t="s">
        <v>487</v>
      </c>
      <c r="E218" s="6">
        <v>1</v>
      </c>
      <c r="F218" s="6">
        <v>8</v>
      </c>
      <c r="G218" s="6" t="s">
        <v>202</v>
      </c>
      <c r="I218" s="8">
        <v>85.829729583333304</v>
      </c>
      <c r="J218" s="8">
        <v>120.62869888888901</v>
      </c>
      <c r="K218" s="6" t="s">
        <v>29</v>
      </c>
      <c r="L218" s="6" t="s">
        <v>335</v>
      </c>
      <c r="M218" s="9">
        <v>43787</v>
      </c>
      <c r="O218" s="6">
        <v>8</v>
      </c>
      <c r="P218" s="6" t="s">
        <v>4263</v>
      </c>
      <c r="Q218" s="8">
        <v>-5.8</v>
      </c>
      <c r="R218" s="10" t="s">
        <v>422</v>
      </c>
      <c r="S218" s="10">
        <v>0</v>
      </c>
      <c r="T218" s="10">
        <v>10</v>
      </c>
      <c r="U218" s="10">
        <f t="shared" si="6"/>
        <v>5</v>
      </c>
      <c r="V218" s="6">
        <v>6</v>
      </c>
      <c r="W218" s="8">
        <v>-6.0056913136138919</v>
      </c>
      <c r="X218" s="8">
        <v>-46.932632494903558</v>
      </c>
      <c r="Y218" s="8">
        <f t="shared" si="7"/>
        <v>1.1128980140075768</v>
      </c>
    </row>
    <row r="219" spans="1:25" s="6" customFormat="1" x14ac:dyDescent="0.35">
      <c r="A219" s="6" t="s">
        <v>25</v>
      </c>
      <c r="B219" s="7" t="s">
        <v>495</v>
      </c>
      <c r="C219" s="6">
        <v>510673</v>
      </c>
      <c r="D219" s="6" t="s">
        <v>496</v>
      </c>
      <c r="E219" s="6">
        <v>1</v>
      </c>
      <c r="F219" s="6">
        <v>8</v>
      </c>
      <c r="G219" s="6" t="s">
        <v>202</v>
      </c>
      <c r="I219" s="8">
        <v>85.829729583333304</v>
      </c>
      <c r="J219" s="8">
        <v>120.62869888888901</v>
      </c>
      <c r="K219" s="6" t="s">
        <v>29</v>
      </c>
      <c r="L219" s="6" t="s">
        <v>335</v>
      </c>
      <c r="M219" s="9">
        <v>43787</v>
      </c>
      <c r="O219" s="6">
        <v>8</v>
      </c>
      <c r="P219" s="6" t="s">
        <v>4263</v>
      </c>
      <c r="Q219" s="8">
        <v>-4.8</v>
      </c>
      <c r="R219" s="10" t="s">
        <v>109</v>
      </c>
      <c r="S219" s="10">
        <v>10</v>
      </c>
      <c r="T219" s="10">
        <v>20</v>
      </c>
      <c r="U219" s="10">
        <f t="shared" si="6"/>
        <v>15</v>
      </c>
      <c r="V219" s="6">
        <v>4.8</v>
      </c>
      <c r="W219" s="8">
        <v>-1.7685017141494748</v>
      </c>
      <c r="X219" s="8">
        <v>-13.617832814369201</v>
      </c>
      <c r="Y219" s="8">
        <f t="shared" si="7"/>
        <v>0.5301808988265968</v>
      </c>
    </row>
    <row r="220" spans="1:25" s="6" customFormat="1" x14ac:dyDescent="0.35">
      <c r="A220" s="6" t="s">
        <v>25</v>
      </c>
      <c r="B220" s="7" t="s">
        <v>493</v>
      </c>
      <c r="C220" s="6">
        <v>510674</v>
      </c>
      <c r="D220" s="6" t="s">
        <v>494</v>
      </c>
      <c r="E220" s="6">
        <v>1</v>
      </c>
      <c r="F220" s="6">
        <v>8</v>
      </c>
      <c r="G220" s="6" t="s">
        <v>202</v>
      </c>
      <c r="I220" s="8">
        <v>85.829729583333304</v>
      </c>
      <c r="J220" s="8">
        <v>120.62869888888901</v>
      </c>
      <c r="K220" s="6" t="s">
        <v>29</v>
      </c>
      <c r="L220" s="6" t="s">
        <v>335</v>
      </c>
      <c r="M220" s="9">
        <v>43787</v>
      </c>
      <c r="O220" s="6">
        <v>8</v>
      </c>
      <c r="P220" s="6" t="s">
        <v>4263</v>
      </c>
      <c r="Q220" s="8">
        <v>-3.75</v>
      </c>
      <c r="R220" s="10" t="s">
        <v>111</v>
      </c>
      <c r="S220" s="10">
        <v>20</v>
      </c>
      <c r="T220" s="10">
        <v>30</v>
      </c>
      <c r="U220" s="10">
        <f t="shared" si="6"/>
        <v>25</v>
      </c>
      <c r="V220" s="6">
        <v>5.0999999999999996</v>
      </c>
      <c r="W220" s="8">
        <v>1.0932815381355285</v>
      </c>
      <c r="X220" s="8">
        <v>8.5169217619705204</v>
      </c>
      <c r="Y220" s="8">
        <f t="shared" si="7"/>
        <v>-0.22933054311370782</v>
      </c>
    </row>
    <row r="221" spans="1:25" s="6" customFormat="1" x14ac:dyDescent="0.35">
      <c r="A221" s="6" t="s">
        <v>25</v>
      </c>
      <c r="B221" s="7" t="s">
        <v>490</v>
      </c>
      <c r="C221" s="6">
        <v>510675</v>
      </c>
      <c r="D221" s="6" t="s">
        <v>491</v>
      </c>
      <c r="E221" s="6">
        <v>1</v>
      </c>
      <c r="F221" s="6">
        <v>8</v>
      </c>
      <c r="G221" s="6" t="s">
        <v>202</v>
      </c>
      <c r="I221" s="8">
        <v>85.829729583333304</v>
      </c>
      <c r="J221" s="8">
        <v>120.62869888888901</v>
      </c>
      <c r="K221" s="6" t="s">
        <v>29</v>
      </c>
      <c r="L221" s="6" t="s">
        <v>335</v>
      </c>
      <c r="M221" s="9">
        <v>43787</v>
      </c>
      <c r="O221" s="6">
        <v>8</v>
      </c>
      <c r="P221" s="6" t="s">
        <v>4263</v>
      </c>
      <c r="Q221" s="8">
        <v>-2.95</v>
      </c>
      <c r="R221" s="10" t="s">
        <v>492</v>
      </c>
      <c r="S221" s="10">
        <v>30</v>
      </c>
      <c r="T221" s="10">
        <v>40</v>
      </c>
      <c r="U221" s="10">
        <f t="shared" si="6"/>
        <v>35</v>
      </c>
      <c r="V221" s="6">
        <v>4.8</v>
      </c>
      <c r="W221" s="8">
        <v>0.90774568188095106</v>
      </c>
      <c r="X221" s="8">
        <v>7.5538018973503114</v>
      </c>
      <c r="Y221" s="8">
        <f t="shared" si="7"/>
        <v>0.29183644230270289</v>
      </c>
    </row>
    <row r="222" spans="1:25" s="6" customFormat="1" x14ac:dyDescent="0.35">
      <c r="A222" s="6" t="s">
        <v>25</v>
      </c>
      <c r="B222" s="7" t="s">
        <v>488</v>
      </c>
      <c r="C222" s="6">
        <v>510676</v>
      </c>
      <c r="D222" s="6" t="s">
        <v>489</v>
      </c>
      <c r="E222" s="6">
        <v>1</v>
      </c>
      <c r="F222" s="6">
        <v>8</v>
      </c>
      <c r="G222" s="6" t="s">
        <v>202</v>
      </c>
      <c r="I222" s="8">
        <v>85.829729583333304</v>
      </c>
      <c r="J222" s="8">
        <v>120.62869888888901</v>
      </c>
      <c r="K222" s="6" t="s">
        <v>29</v>
      </c>
      <c r="L222" s="6" t="s">
        <v>335</v>
      </c>
      <c r="M222" s="9">
        <v>43787</v>
      </c>
      <c r="O222" s="6">
        <v>8</v>
      </c>
      <c r="P222" s="6" t="s">
        <v>4263</v>
      </c>
      <c r="Q222" s="8">
        <v>-2</v>
      </c>
      <c r="R222" s="10" t="s">
        <v>159</v>
      </c>
      <c r="S222" s="10">
        <v>40</v>
      </c>
      <c r="T222" s="10">
        <v>50</v>
      </c>
      <c r="U222" s="10">
        <f t="shared" si="6"/>
        <v>45</v>
      </c>
      <c r="V222" s="6">
        <v>5.9</v>
      </c>
      <c r="W222" s="8">
        <v>0.75441726304054257</v>
      </c>
      <c r="X222" s="8">
        <v>6.2584710131149297</v>
      </c>
      <c r="Y222" s="8">
        <f t="shared" si="7"/>
        <v>0.22313290879058911</v>
      </c>
    </row>
    <row r="223" spans="1:25" s="6" customFormat="1" x14ac:dyDescent="0.35">
      <c r="A223" s="6" t="s">
        <v>25</v>
      </c>
      <c r="B223" s="7" t="s">
        <v>497</v>
      </c>
      <c r="C223" s="6">
        <v>510677</v>
      </c>
      <c r="D223" s="6" t="s">
        <v>498</v>
      </c>
      <c r="E223" s="6">
        <v>1</v>
      </c>
      <c r="F223" s="6">
        <v>8</v>
      </c>
      <c r="G223" s="6" t="s">
        <v>179</v>
      </c>
      <c r="I223" s="8">
        <v>85.788680208333304</v>
      </c>
      <c r="J223" s="8">
        <v>120.807478194444</v>
      </c>
      <c r="K223" s="6" t="s">
        <v>29</v>
      </c>
      <c r="L223" s="6" t="s">
        <v>335</v>
      </c>
      <c r="M223" s="9">
        <v>43788</v>
      </c>
      <c r="O223" s="6">
        <v>8</v>
      </c>
      <c r="P223" s="6" t="s">
        <v>4264</v>
      </c>
      <c r="Q223" s="8">
        <v>-6.2666666666666666</v>
      </c>
      <c r="R223" s="10" t="s">
        <v>422</v>
      </c>
      <c r="S223" s="10">
        <v>0</v>
      </c>
      <c r="T223" s="10">
        <v>10</v>
      </c>
      <c r="U223" s="10">
        <f t="shared" si="6"/>
        <v>5</v>
      </c>
      <c r="V223" s="6">
        <v>6.1</v>
      </c>
      <c r="W223" s="8">
        <v>-1.1915258343658448</v>
      </c>
      <c r="X223" s="8">
        <v>-9.525246726760864</v>
      </c>
      <c r="Y223" s="8">
        <f t="shared" si="7"/>
        <v>6.9599481658944029E-3</v>
      </c>
    </row>
    <row r="224" spans="1:25" s="6" customFormat="1" x14ac:dyDescent="0.35">
      <c r="A224" s="6" t="s">
        <v>25</v>
      </c>
      <c r="B224" s="7" t="s">
        <v>502</v>
      </c>
      <c r="C224" s="6">
        <v>510678</v>
      </c>
      <c r="D224" s="6" t="s">
        <v>503</v>
      </c>
      <c r="E224" s="6">
        <v>1</v>
      </c>
      <c r="F224" s="6">
        <v>8</v>
      </c>
      <c r="G224" s="6" t="s">
        <v>179</v>
      </c>
      <c r="I224" s="8">
        <v>85.788680208333304</v>
      </c>
      <c r="J224" s="8">
        <v>120.807478194444</v>
      </c>
      <c r="K224" s="6" t="s">
        <v>29</v>
      </c>
      <c r="L224" s="6" t="s">
        <v>335</v>
      </c>
      <c r="M224" s="9">
        <v>43788</v>
      </c>
      <c r="O224" s="6">
        <v>8</v>
      </c>
      <c r="P224" s="6" t="s">
        <v>4264</v>
      </c>
      <c r="Q224" s="8">
        <v>-5.4499999999999993</v>
      </c>
      <c r="R224" s="10" t="s">
        <v>504</v>
      </c>
      <c r="S224" s="10">
        <v>10</v>
      </c>
      <c r="T224" s="10">
        <v>17.5</v>
      </c>
      <c r="U224" s="10">
        <f t="shared" si="6"/>
        <v>13.75</v>
      </c>
      <c r="V224" s="6">
        <v>4</v>
      </c>
      <c r="W224" s="8">
        <v>-2.3961139773864746</v>
      </c>
      <c r="X224" s="8">
        <v>-17.684685740447996</v>
      </c>
      <c r="Y224" s="8">
        <f t="shared" si="7"/>
        <v>1.4842260786438004</v>
      </c>
    </row>
    <row r="225" spans="1:25" s="6" customFormat="1" x14ac:dyDescent="0.35">
      <c r="A225" s="6" t="s">
        <v>25</v>
      </c>
      <c r="B225" s="7" t="s">
        <v>499</v>
      </c>
      <c r="C225" s="6">
        <v>510679</v>
      </c>
      <c r="D225" s="6" t="s">
        <v>500</v>
      </c>
      <c r="E225" s="6">
        <v>1</v>
      </c>
      <c r="F225" s="6">
        <v>8</v>
      </c>
      <c r="G225" s="6" t="s">
        <v>179</v>
      </c>
      <c r="I225" s="8">
        <v>85.788680208333304</v>
      </c>
      <c r="J225" s="8">
        <v>120.807478194444</v>
      </c>
      <c r="K225" s="6" t="s">
        <v>29</v>
      </c>
      <c r="L225" s="6" t="s">
        <v>335</v>
      </c>
      <c r="M225" s="9">
        <v>43788</v>
      </c>
      <c r="O225" s="6">
        <v>8</v>
      </c>
      <c r="P225" s="6" t="s">
        <v>4264</v>
      </c>
      <c r="Q225" s="8">
        <v>-4.833333333333333</v>
      </c>
      <c r="R225" s="10" t="s">
        <v>501</v>
      </c>
      <c r="S225" s="10">
        <v>17.5</v>
      </c>
      <c r="T225" s="10">
        <v>27.5</v>
      </c>
      <c r="U225" s="10">
        <f t="shared" si="6"/>
        <v>22.5</v>
      </c>
      <c r="V225" s="6">
        <v>5.0999999999999996</v>
      </c>
      <c r="W225" s="8">
        <v>0.32871546478652947</v>
      </c>
      <c r="X225" s="8">
        <v>2.9548660347251889</v>
      </c>
      <c r="Y225" s="8">
        <f t="shared" si="7"/>
        <v>0.32514231643295322</v>
      </c>
    </row>
    <row r="226" spans="1:25" s="6" customFormat="1" x14ac:dyDescent="0.35">
      <c r="A226" s="6" t="s">
        <v>25</v>
      </c>
      <c r="B226" s="7" t="s">
        <v>511</v>
      </c>
      <c r="C226" s="6">
        <v>510680</v>
      </c>
      <c r="D226" s="6" t="s">
        <v>512</v>
      </c>
      <c r="E226" s="6">
        <v>1</v>
      </c>
      <c r="F226" s="6">
        <v>8</v>
      </c>
      <c r="G226" s="6" t="s">
        <v>179</v>
      </c>
      <c r="I226" s="8">
        <v>85.788680208333304</v>
      </c>
      <c r="J226" s="8">
        <v>120.807478194444</v>
      </c>
      <c r="K226" s="6" t="s">
        <v>29</v>
      </c>
      <c r="L226" s="6" t="s">
        <v>335</v>
      </c>
      <c r="M226" s="9">
        <v>43788</v>
      </c>
      <c r="O226" s="6">
        <v>8</v>
      </c>
      <c r="P226" s="6" t="s">
        <v>4264</v>
      </c>
      <c r="Q226" s="8">
        <v>-3.7</v>
      </c>
      <c r="R226" s="10" t="s">
        <v>513</v>
      </c>
      <c r="S226" s="10">
        <v>27.5</v>
      </c>
      <c r="T226" s="10">
        <v>37.5</v>
      </c>
      <c r="U226" s="10">
        <f t="shared" si="6"/>
        <v>32.5</v>
      </c>
      <c r="V226" s="6">
        <v>4.7</v>
      </c>
      <c r="W226" s="8">
        <v>1.0681391934633253</v>
      </c>
      <c r="X226" s="8">
        <v>9.0338456811904919</v>
      </c>
      <c r="Y226" s="8">
        <f t="shared" si="7"/>
        <v>0.48873213348388944</v>
      </c>
    </row>
    <row r="227" spans="1:25" s="6" customFormat="1" x14ac:dyDescent="0.35">
      <c r="A227" s="6" t="s">
        <v>25</v>
      </c>
      <c r="B227" s="7" t="s">
        <v>508</v>
      </c>
      <c r="C227" s="6">
        <v>510681</v>
      </c>
      <c r="D227" s="6" t="s">
        <v>509</v>
      </c>
      <c r="E227" s="6">
        <v>1</v>
      </c>
      <c r="F227" s="6">
        <v>8</v>
      </c>
      <c r="G227" s="6" t="s">
        <v>179</v>
      </c>
      <c r="I227" s="8">
        <v>85.788680208333304</v>
      </c>
      <c r="J227" s="8">
        <v>120.807478194444</v>
      </c>
      <c r="K227" s="6" t="s">
        <v>29</v>
      </c>
      <c r="L227" s="6" t="s">
        <v>335</v>
      </c>
      <c r="M227" s="9">
        <v>43788</v>
      </c>
      <c r="O227" s="6">
        <v>8</v>
      </c>
      <c r="P227" s="6" t="s">
        <v>4264</v>
      </c>
      <c r="Q227" s="8">
        <v>-3.35</v>
      </c>
      <c r="R227" s="10" t="s">
        <v>510</v>
      </c>
      <c r="S227" s="10">
        <v>37.5</v>
      </c>
      <c r="T227" s="10">
        <v>47.5</v>
      </c>
      <c r="U227" s="10">
        <f t="shared" si="6"/>
        <v>42.5</v>
      </c>
      <c r="V227" s="6">
        <v>4.8</v>
      </c>
      <c r="W227" s="8">
        <v>0.78531542216936756</v>
      </c>
      <c r="X227" s="8">
        <v>6.8051776831944792</v>
      </c>
      <c r="Y227" s="8">
        <f t="shared" si="7"/>
        <v>0.52265430583953876</v>
      </c>
    </row>
    <row r="228" spans="1:25" s="6" customFormat="1" x14ac:dyDescent="0.35">
      <c r="A228" s="6" t="s">
        <v>25</v>
      </c>
      <c r="B228" s="7" t="s">
        <v>505</v>
      </c>
      <c r="C228" s="6">
        <v>510682</v>
      </c>
      <c r="D228" s="6" t="s">
        <v>506</v>
      </c>
      <c r="E228" s="6">
        <v>1</v>
      </c>
      <c r="F228" s="6">
        <v>8</v>
      </c>
      <c r="G228" s="6" t="s">
        <v>179</v>
      </c>
      <c r="I228" s="8">
        <v>85.788680208333304</v>
      </c>
      <c r="J228" s="8">
        <v>120.807478194444</v>
      </c>
      <c r="K228" s="6" t="s">
        <v>29</v>
      </c>
      <c r="L228" s="6" t="s">
        <v>335</v>
      </c>
      <c r="M228" s="9">
        <v>43788</v>
      </c>
      <c r="O228" s="6">
        <v>8</v>
      </c>
      <c r="P228" s="6" t="s">
        <v>4264</v>
      </c>
      <c r="Q228" s="8">
        <v>-2.3000000000000003</v>
      </c>
      <c r="R228" s="10" t="s">
        <v>507</v>
      </c>
      <c r="S228" s="10">
        <v>47.5</v>
      </c>
      <c r="T228" s="10">
        <v>57</v>
      </c>
      <c r="U228" s="10">
        <f t="shared" si="6"/>
        <v>52.25</v>
      </c>
      <c r="V228" s="6">
        <v>5.2</v>
      </c>
      <c r="W228" s="8">
        <v>0.84002982193756104</v>
      </c>
      <c r="X228" s="8">
        <v>7.0100583707199089</v>
      </c>
      <c r="Y228" s="8">
        <f t="shared" si="7"/>
        <v>0.28981979521942058</v>
      </c>
    </row>
    <row r="229" spans="1:25" s="6" customFormat="1" x14ac:dyDescent="0.35">
      <c r="A229" s="6" t="s">
        <v>25</v>
      </c>
      <c r="B229" s="7"/>
      <c r="C229" s="6">
        <v>511731</v>
      </c>
      <c r="D229" s="6" t="s">
        <v>541</v>
      </c>
      <c r="E229" s="6">
        <v>1</v>
      </c>
      <c r="F229" s="6">
        <v>8</v>
      </c>
      <c r="G229" s="6" t="s">
        <v>272</v>
      </c>
      <c r="H229" s="6">
        <v>7</v>
      </c>
      <c r="I229" s="8">
        <v>85.759181597222195</v>
      </c>
      <c r="J229" s="8">
        <v>121.429430833333</v>
      </c>
      <c r="K229" s="6" t="s">
        <v>29</v>
      </c>
      <c r="L229" s="6" t="s">
        <v>546</v>
      </c>
      <c r="M229" s="9">
        <v>43789</v>
      </c>
      <c r="O229" s="6">
        <v>8</v>
      </c>
      <c r="P229" s="6" t="s">
        <v>4265</v>
      </c>
      <c r="R229" s="6" t="s">
        <v>64</v>
      </c>
      <c r="S229" s="6">
        <v>0</v>
      </c>
      <c r="T229" s="6">
        <v>10</v>
      </c>
      <c r="U229" s="10">
        <f t="shared" si="6"/>
        <v>5</v>
      </c>
      <c r="V229" s="6">
        <v>0.6</v>
      </c>
      <c r="W229" s="8">
        <v>-8.5044886917114262</v>
      </c>
      <c r="X229" s="8">
        <v>-65.976621899414056</v>
      </c>
      <c r="Y229" s="8">
        <f t="shared" si="7"/>
        <v>2.0592876342773536</v>
      </c>
    </row>
    <row r="230" spans="1:25" s="6" customFormat="1" x14ac:dyDescent="0.35">
      <c r="A230" s="6" t="s">
        <v>25</v>
      </c>
      <c r="B230" s="7" t="s">
        <v>533</v>
      </c>
      <c r="C230" s="6">
        <v>511739</v>
      </c>
      <c r="D230" s="6" t="s">
        <v>534</v>
      </c>
      <c r="E230" s="6">
        <v>1</v>
      </c>
      <c r="F230" s="6">
        <v>8</v>
      </c>
      <c r="G230" s="6" t="s">
        <v>272</v>
      </c>
      <c r="I230" s="8">
        <v>85.759181597222195</v>
      </c>
      <c r="J230" s="8">
        <v>121.429430833333</v>
      </c>
      <c r="K230" s="6" t="s">
        <v>29</v>
      </c>
      <c r="L230" s="6" t="s">
        <v>546</v>
      </c>
      <c r="M230" s="9">
        <v>43789</v>
      </c>
      <c r="O230" s="6">
        <v>8</v>
      </c>
      <c r="P230" s="6" t="s">
        <v>4265</v>
      </c>
      <c r="Q230" s="8">
        <v>-4.1333333333333337</v>
      </c>
      <c r="R230" s="10" t="s">
        <v>73</v>
      </c>
      <c r="S230" s="10">
        <v>0</v>
      </c>
      <c r="T230" s="10">
        <v>12</v>
      </c>
      <c r="U230" s="10">
        <f t="shared" si="6"/>
        <v>6</v>
      </c>
      <c r="V230" s="6">
        <v>0.9</v>
      </c>
      <c r="W230" s="8">
        <v>-10.294303627014161</v>
      </c>
      <c r="X230" s="8">
        <v>-79.547774456024172</v>
      </c>
      <c r="Y230" s="8">
        <f t="shared" si="7"/>
        <v>2.8066545600891146</v>
      </c>
    </row>
    <row r="231" spans="1:25" s="6" customFormat="1" ht="13.5" customHeight="1" x14ac:dyDescent="0.35">
      <c r="A231" s="6" t="s">
        <v>25</v>
      </c>
      <c r="B231" s="7"/>
      <c r="C231" s="6">
        <v>511732</v>
      </c>
      <c r="D231" s="6" t="s">
        <v>541</v>
      </c>
      <c r="E231" s="6">
        <v>1</v>
      </c>
      <c r="F231" s="6">
        <v>8</v>
      </c>
      <c r="G231" s="6" t="s">
        <v>272</v>
      </c>
      <c r="H231" s="6">
        <v>7</v>
      </c>
      <c r="I231" s="8">
        <v>85.759181597222195</v>
      </c>
      <c r="J231" s="8">
        <v>121.429430833333</v>
      </c>
      <c r="K231" s="6" t="s">
        <v>29</v>
      </c>
      <c r="L231" s="6" t="s">
        <v>546</v>
      </c>
      <c r="M231" s="9">
        <v>43789</v>
      </c>
      <c r="O231" s="6">
        <v>8</v>
      </c>
      <c r="P231" s="6" t="s">
        <v>4265</v>
      </c>
      <c r="R231" s="6" t="s">
        <v>109</v>
      </c>
      <c r="S231" s="6">
        <v>10</v>
      </c>
      <c r="T231" s="6">
        <v>20</v>
      </c>
      <c r="U231" s="10">
        <f t="shared" si="6"/>
        <v>15</v>
      </c>
      <c r="V231" s="6">
        <v>0.2</v>
      </c>
      <c r="W231" s="8">
        <v>-3.716192922019959</v>
      </c>
      <c r="X231" s="8">
        <v>-29.22277873878479</v>
      </c>
      <c r="Y231" s="8">
        <f t="shared" si="7"/>
        <v>0.5067646373748822</v>
      </c>
    </row>
    <row r="232" spans="1:25" s="6" customFormat="1" x14ac:dyDescent="0.35">
      <c r="A232" s="6" t="s">
        <v>25</v>
      </c>
      <c r="B232" s="7" t="s">
        <v>530</v>
      </c>
      <c r="C232" s="6">
        <v>511740</v>
      </c>
      <c r="D232" s="6" t="s">
        <v>531</v>
      </c>
      <c r="E232" s="6">
        <v>1</v>
      </c>
      <c r="F232" s="6">
        <v>8</v>
      </c>
      <c r="G232" s="6" t="s">
        <v>272</v>
      </c>
      <c r="I232" s="8">
        <v>85.759181597222195</v>
      </c>
      <c r="J232" s="8">
        <v>121.429430833333</v>
      </c>
      <c r="K232" s="6" t="s">
        <v>29</v>
      </c>
      <c r="L232" s="6" t="s">
        <v>546</v>
      </c>
      <c r="M232" s="9">
        <v>43789</v>
      </c>
      <c r="O232" s="6">
        <v>8</v>
      </c>
      <c r="P232" s="6" t="s">
        <v>4265</v>
      </c>
      <c r="Q232" s="8">
        <v>-4.5999999999999996</v>
      </c>
      <c r="R232" s="10" t="s">
        <v>532</v>
      </c>
      <c r="S232" s="10">
        <v>12</v>
      </c>
      <c r="T232" s="10">
        <v>22</v>
      </c>
      <c r="U232" s="10">
        <f t="shared" si="6"/>
        <v>17</v>
      </c>
      <c r="V232" s="6">
        <v>0.2</v>
      </c>
      <c r="W232" s="8">
        <v>-8.5169632654190064</v>
      </c>
      <c r="X232" s="8">
        <v>-63.312075901031491</v>
      </c>
      <c r="Y232" s="8">
        <f t="shared" si="7"/>
        <v>4.8236302223205598</v>
      </c>
    </row>
    <row r="233" spans="1:25" s="6" customFormat="1" x14ac:dyDescent="0.35">
      <c r="A233" s="6" t="s">
        <v>25</v>
      </c>
      <c r="B233" s="7"/>
      <c r="C233" s="6">
        <v>511733</v>
      </c>
      <c r="D233" s="6" t="s">
        <v>541</v>
      </c>
      <c r="E233" s="6">
        <v>1</v>
      </c>
      <c r="F233" s="6">
        <v>8</v>
      </c>
      <c r="G233" s="6" t="s">
        <v>272</v>
      </c>
      <c r="H233" s="6">
        <v>7</v>
      </c>
      <c r="I233" s="8">
        <v>85.759181597222195</v>
      </c>
      <c r="J233" s="8">
        <v>121.429430833333</v>
      </c>
      <c r="K233" s="6" t="s">
        <v>29</v>
      </c>
      <c r="L233" s="6" t="s">
        <v>546</v>
      </c>
      <c r="M233" s="9">
        <v>43789</v>
      </c>
      <c r="O233" s="6">
        <v>8</v>
      </c>
      <c r="P233" s="6" t="s">
        <v>4265</v>
      </c>
      <c r="R233" s="6" t="s">
        <v>542</v>
      </c>
      <c r="S233" s="6">
        <v>20</v>
      </c>
      <c r="T233" s="6">
        <v>29</v>
      </c>
      <c r="U233" s="10">
        <f t="shared" si="6"/>
        <v>24.5</v>
      </c>
      <c r="V233" s="6">
        <v>0.5</v>
      </c>
      <c r="W233" s="8">
        <v>-5.0834542774677285</v>
      </c>
      <c r="X233" s="8">
        <v>-38.44756481552124</v>
      </c>
      <c r="Y233" s="8">
        <f t="shared" si="7"/>
        <v>2.2200694042205882</v>
      </c>
    </row>
    <row r="234" spans="1:25" s="6" customFormat="1" x14ac:dyDescent="0.35">
      <c r="A234" s="6" t="s">
        <v>25</v>
      </c>
      <c r="B234" s="7" t="s">
        <v>524</v>
      </c>
      <c r="C234" s="6">
        <v>511741</v>
      </c>
      <c r="D234" s="6" t="s">
        <v>525</v>
      </c>
      <c r="E234" s="6">
        <v>1</v>
      </c>
      <c r="F234" s="6">
        <v>8</v>
      </c>
      <c r="G234" s="6" t="s">
        <v>272</v>
      </c>
      <c r="I234" s="8">
        <v>85.759181597222195</v>
      </c>
      <c r="J234" s="8">
        <v>121.429430833333</v>
      </c>
      <c r="K234" s="6" t="s">
        <v>29</v>
      </c>
      <c r="L234" s="6" t="s">
        <v>546</v>
      </c>
      <c r="M234" s="9">
        <v>43789</v>
      </c>
      <c r="O234" s="6">
        <v>8</v>
      </c>
      <c r="P234" s="6" t="s">
        <v>4265</v>
      </c>
      <c r="Q234" s="8">
        <v>-3.5</v>
      </c>
      <c r="R234" s="10" t="s">
        <v>526</v>
      </c>
      <c r="S234" s="10">
        <v>22</v>
      </c>
      <c r="T234" s="10">
        <v>32</v>
      </c>
      <c r="U234" s="10">
        <f t="shared" si="6"/>
        <v>27</v>
      </c>
      <c r="V234" s="6">
        <v>0.1</v>
      </c>
      <c r="W234" s="8">
        <v>-7.5617114118576048</v>
      </c>
      <c r="X234" s="8">
        <v>-58.084247634887696</v>
      </c>
      <c r="Y234" s="8">
        <f t="shared" si="7"/>
        <v>2.4094436599731424</v>
      </c>
    </row>
    <row r="235" spans="1:25" s="6" customFormat="1" x14ac:dyDescent="0.35">
      <c r="A235" s="6" t="s">
        <v>25</v>
      </c>
      <c r="B235" s="7"/>
      <c r="C235" s="6">
        <v>511734</v>
      </c>
      <c r="D235" s="6" t="s">
        <v>541</v>
      </c>
      <c r="E235" s="6">
        <v>1</v>
      </c>
      <c r="F235" s="6">
        <v>8</v>
      </c>
      <c r="G235" s="6" t="s">
        <v>272</v>
      </c>
      <c r="H235" s="6">
        <v>7</v>
      </c>
      <c r="I235" s="8">
        <v>85.759181597222195</v>
      </c>
      <c r="J235" s="8">
        <v>121.429430833333</v>
      </c>
      <c r="K235" s="6" t="s">
        <v>29</v>
      </c>
      <c r="L235" s="6" t="s">
        <v>546</v>
      </c>
      <c r="M235" s="9">
        <v>43789</v>
      </c>
      <c r="O235" s="6">
        <v>8</v>
      </c>
      <c r="P235" s="6" t="s">
        <v>4265</v>
      </c>
      <c r="R235" s="6" t="s">
        <v>543</v>
      </c>
      <c r="S235" s="6">
        <v>29</v>
      </c>
      <c r="T235" s="6">
        <v>40</v>
      </c>
      <c r="U235" s="10">
        <f t="shared" si="6"/>
        <v>34.5</v>
      </c>
      <c r="V235" s="6">
        <v>1.1000000000000001</v>
      </c>
      <c r="W235" s="8">
        <v>-5.3702387423038491</v>
      </c>
      <c r="X235" s="8">
        <v>-39.748929430007934</v>
      </c>
      <c r="Y235" s="8">
        <f t="shared" si="7"/>
        <v>3.2129805084228593</v>
      </c>
    </row>
    <row r="236" spans="1:25" s="6" customFormat="1" x14ac:dyDescent="0.35">
      <c r="A236" s="6" t="s">
        <v>25</v>
      </c>
      <c r="B236" s="7" t="s">
        <v>521</v>
      </c>
      <c r="C236" s="6">
        <v>511742</v>
      </c>
      <c r="D236" s="6" t="s">
        <v>522</v>
      </c>
      <c r="E236" s="6">
        <v>1</v>
      </c>
      <c r="F236" s="6">
        <v>8</v>
      </c>
      <c r="G236" s="6" t="s">
        <v>272</v>
      </c>
      <c r="I236" s="8">
        <v>85.759181597222195</v>
      </c>
      <c r="J236" s="8">
        <v>121.429430833333</v>
      </c>
      <c r="K236" s="6" t="s">
        <v>29</v>
      </c>
      <c r="L236" s="6" t="s">
        <v>546</v>
      </c>
      <c r="M236" s="9">
        <v>43789</v>
      </c>
      <c r="O236" s="6">
        <v>8</v>
      </c>
      <c r="P236" s="6" t="s">
        <v>4265</v>
      </c>
      <c r="Q236" s="8">
        <v>-2.65</v>
      </c>
      <c r="R236" s="10" t="s">
        <v>523</v>
      </c>
      <c r="S236" s="10">
        <v>32</v>
      </c>
      <c r="T236" s="10">
        <v>42</v>
      </c>
      <c r="U236" s="10">
        <f t="shared" si="6"/>
        <v>37</v>
      </c>
      <c r="V236" s="6">
        <v>0.1</v>
      </c>
      <c r="W236" s="8">
        <v>-7.7442740628242497</v>
      </c>
      <c r="X236" s="8">
        <v>-59.422231876373289</v>
      </c>
      <c r="Y236" s="8">
        <f t="shared" si="7"/>
        <v>2.5319606262207088</v>
      </c>
    </row>
    <row r="237" spans="1:25" s="6" customFormat="1" x14ac:dyDescent="0.35">
      <c r="A237" s="6" t="s">
        <v>25</v>
      </c>
      <c r="B237" s="7"/>
      <c r="C237" s="6">
        <v>511735</v>
      </c>
      <c r="D237" s="6" t="s">
        <v>541</v>
      </c>
      <c r="E237" s="6">
        <v>1</v>
      </c>
      <c r="F237" s="6">
        <v>8</v>
      </c>
      <c r="G237" s="6" t="s">
        <v>272</v>
      </c>
      <c r="H237" s="6">
        <v>7</v>
      </c>
      <c r="I237" s="8">
        <v>85.759181597222195</v>
      </c>
      <c r="J237" s="8">
        <v>121.429430833333</v>
      </c>
      <c r="K237" s="6" t="s">
        <v>29</v>
      </c>
      <c r="L237" s="6" t="s">
        <v>546</v>
      </c>
      <c r="M237" s="9">
        <v>43789</v>
      </c>
      <c r="O237" s="6">
        <v>8</v>
      </c>
      <c r="P237" s="6" t="s">
        <v>4265</v>
      </c>
      <c r="R237" s="6" t="s">
        <v>159</v>
      </c>
      <c r="S237" s="6">
        <v>40</v>
      </c>
      <c r="T237" s="6">
        <v>50</v>
      </c>
      <c r="U237" s="10">
        <f t="shared" si="6"/>
        <v>45</v>
      </c>
      <c r="V237" s="6">
        <v>1.9</v>
      </c>
      <c r="W237" s="8">
        <v>-3.80087574095726</v>
      </c>
      <c r="X237" s="8">
        <v>-28.41981415081024</v>
      </c>
      <c r="Y237" s="8">
        <f t="shared" si="7"/>
        <v>1.9871917768478404</v>
      </c>
    </row>
    <row r="238" spans="1:25" s="6" customFormat="1" x14ac:dyDescent="0.35">
      <c r="A238" s="6" t="s">
        <v>25</v>
      </c>
      <c r="B238" s="7" t="s">
        <v>538</v>
      </c>
      <c r="C238" s="6">
        <v>511743</v>
      </c>
      <c r="D238" s="6" t="s">
        <v>539</v>
      </c>
      <c r="E238" s="6">
        <v>1</v>
      </c>
      <c r="F238" s="6">
        <v>8</v>
      </c>
      <c r="G238" s="6" t="s">
        <v>272</v>
      </c>
      <c r="I238" s="8">
        <v>85.759181597222195</v>
      </c>
      <c r="J238" s="8">
        <v>121.429430833333</v>
      </c>
      <c r="K238" s="6" t="s">
        <v>29</v>
      </c>
      <c r="L238" s="6" t="s">
        <v>546</v>
      </c>
      <c r="M238" s="9">
        <v>43789</v>
      </c>
      <c r="O238" s="6">
        <v>8</v>
      </c>
      <c r="P238" s="6" t="s">
        <v>4265</v>
      </c>
      <c r="Q238" s="8">
        <v>-2.2000000000000002</v>
      </c>
      <c r="R238" s="10" t="s">
        <v>540</v>
      </c>
      <c r="S238" s="10">
        <v>42</v>
      </c>
      <c r="T238" s="10">
        <v>52</v>
      </c>
      <c r="U238" s="10">
        <f t="shared" si="6"/>
        <v>47</v>
      </c>
      <c r="V238" s="6">
        <v>0</v>
      </c>
      <c r="W238" s="8">
        <v>-4.4310695865154273</v>
      </c>
      <c r="X238" s="8">
        <v>-35.388180980682371</v>
      </c>
      <c r="Y238" s="8">
        <f t="shared" si="7"/>
        <v>6.0375711441047031E-2</v>
      </c>
    </row>
    <row r="239" spans="1:25" s="6" customFormat="1" x14ac:dyDescent="0.35">
      <c r="A239" s="6" t="s">
        <v>25</v>
      </c>
      <c r="B239" s="7"/>
      <c r="C239" s="6">
        <v>511736</v>
      </c>
      <c r="D239" s="6" t="s">
        <v>541</v>
      </c>
      <c r="E239" s="6">
        <v>1</v>
      </c>
      <c r="F239" s="6">
        <v>8</v>
      </c>
      <c r="G239" s="6" t="s">
        <v>272</v>
      </c>
      <c r="H239" s="6">
        <v>7</v>
      </c>
      <c r="I239" s="8">
        <v>85.759181597222195</v>
      </c>
      <c r="J239" s="8">
        <v>121.429430833333</v>
      </c>
      <c r="K239" s="6" t="s">
        <v>29</v>
      </c>
      <c r="L239" s="6" t="s">
        <v>546</v>
      </c>
      <c r="M239" s="9">
        <v>43789</v>
      </c>
      <c r="O239" s="6">
        <v>8</v>
      </c>
      <c r="P239" s="6" t="s">
        <v>4265</v>
      </c>
      <c r="R239" s="6" t="s">
        <v>161</v>
      </c>
      <c r="S239" s="6">
        <v>50</v>
      </c>
      <c r="T239" s="6">
        <v>60</v>
      </c>
      <c r="U239" s="10">
        <f t="shared" si="6"/>
        <v>55</v>
      </c>
      <c r="V239" s="6">
        <v>5.0999999999999996</v>
      </c>
      <c r="W239" s="8">
        <v>0.60958277349472079</v>
      </c>
      <c r="X239" s="8">
        <v>5.3585159301757832</v>
      </c>
      <c r="Y239" s="8">
        <f t="shared" si="7"/>
        <v>0.48185374221801691</v>
      </c>
    </row>
    <row r="240" spans="1:25" s="6" customFormat="1" x14ac:dyDescent="0.35">
      <c r="A240" s="6" t="s">
        <v>25</v>
      </c>
      <c r="B240" s="7" t="s">
        <v>527</v>
      </c>
      <c r="C240" s="6">
        <v>511744</v>
      </c>
      <c r="D240" s="6" t="s">
        <v>528</v>
      </c>
      <c r="E240" s="6">
        <v>1</v>
      </c>
      <c r="F240" s="6">
        <v>8</v>
      </c>
      <c r="G240" s="6" t="s">
        <v>272</v>
      </c>
      <c r="I240" s="8">
        <v>85.759181597222195</v>
      </c>
      <c r="J240" s="8">
        <v>121.429430833333</v>
      </c>
      <c r="K240" s="6" t="s">
        <v>29</v>
      </c>
      <c r="L240" s="6" t="s">
        <v>546</v>
      </c>
      <c r="M240" s="9">
        <v>43789</v>
      </c>
      <c r="O240" s="6">
        <v>8</v>
      </c>
      <c r="P240" s="6" t="s">
        <v>4265</v>
      </c>
      <c r="Q240" s="8">
        <v>-2.3499999999999996</v>
      </c>
      <c r="R240" s="10" t="s">
        <v>529</v>
      </c>
      <c r="S240" s="10">
        <v>52</v>
      </c>
      <c r="T240" s="10">
        <v>62</v>
      </c>
      <c r="U240" s="10">
        <f t="shared" si="6"/>
        <v>57</v>
      </c>
      <c r="V240" s="6">
        <v>0</v>
      </c>
      <c r="W240" s="8">
        <v>-5.4646301130294805</v>
      </c>
      <c r="X240" s="8">
        <v>-42.125679359436035</v>
      </c>
      <c r="Y240" s="8">
        <f t="shared" si="7"/>
        <v>1.5913615447998097</v>
      </c>
    </row>
    <row r="241" spans="1:25" s="6" customFormat="1" x14ac:dyDescent="0.35">
      <c r="A241" s="6" t="s">
        <v>25</v>
      </c>
      <c r="B241" s="7"/>
      <c r="C241" s="6">
        <v>511737</v>
      </c>
      <c r="D241" s="6" t="s">
        <v>541</v>
      </c>
      <c r="E241" s="6">
        <v>1</v>
      </c>
      <c r="F241" s="6">
        <v>8</v>
      </c>
      <c r="G241" s="6" t="s">
        <v>272</v>
      </c>
      <c r="H241" s="6">
        <v>7</v>
      </c>
      <c r="I241" s="8">
        <v>85.759181597222195</v>
      </c>
      <c r="J241" s="8">
        <v>121.429430833333</v>
      </c>
      <c r="K241" s="6" t="s">
        <v>29</v>
      </c>
      <c r="L241" s="6" t="s">
        <v>546</v>
      </c>
      <c r="M241" s="9">
        <v>43789</v>
      </c>
      <c r="O241" s="6">
        <v>8</v>
      </c>
      <c r="P241" s="6" t="s">
        <v>4265</v>
      </c>
      <c r="R241" s="6" t="s">
        <v>163</v>
      </c>
      <c r="S241" s="6">
        <v>60</v>
      </c>
      <c r="T241" s="6">
        <v>70</v>
      </c>
      <c r="U241" s="10">
        <f t="shared" si="6"/>
        <v>65</v>
      </c>
      <c r="V241" s="6">
        <v>4.5</v>
      </c>
      <c r="W241" s="8">
        <v>-0.65098000974655212</v>
      </c>
      <c r="X241" s="8">
        <v>-4.4572639168500903</v>
      </c>
      <c r="Y241" s="8">
        <f t="shared" si="7"/>
        <v>0.75057616112232672</v>
      </c>
    </row>
    <row r="242" spans="1:25" s="6" customFormat="1" x14ac:dyDescent="0.35">
      <c r="A242" s="6" t="s">
        <v>25</v>
      </c>
      <c r="B242" s="7" t="s">
        <v>535</v>
      </c>
      <c r="C242" s="6">
        <v>511745</v>
      </c>
      <c r="D242" s="6" t="s">
        <v>536</v>
      </c>
      <c r="E242" s="6">
        <v>1</v>
      </c>
      <c r="F242" s="6">
        <v>8</v>
      </c>
      <c r="G242" s="6" t="s">
        <v>272</v>
      </c>
      <c r="I242" s="8">
        <v>85.759181597222195</v>
      </c>
      <c r="J242" s="8">
        <v>121.429430833333</v>
      </c>
      <c r="K242" s="6" t="s">
        <v>29</v>
      </c>
      <c r="L242" s="6" t="s">
        <v>546</v>
      </c>
      <c r="M242" s="9">
        <v>43789</v>
      </c>
      <c r="O242" s="6">
        <v>8</v>
      </c>
      <c r="P242" s="6" t="s">
        <v>4265</v>
      </c>
      <c r="Q242" s="8">
        <v>-1.6333333333333335</v>
      </c>
      <c r="R242" s="10" t="s">
        <v>537</v>
      </c>
      <c r="S242" s="10">
        <v>62</v>
      </c>
      <c r="T242" s="10">
        <v>74</v>
      </c>
      <c r="U242" s="10">
        <f t="shared" si="6"/>
        <v>68</v>
      </c>
      <c r="V242" s="6">
        <v>0.1</v>
      </c>
      <c r="W242" s="8">
        <v>-7.4539993848800652</v>
      </c>
      <c r="X242" s="8">
        <v>-54.851127269744865</v>
      </c>
      <c r="Y242" s="8">
        <f t="shared" si="7"/>
        <v>4.7808678092956569</v>
      </c>
    </row>
    <row r="243" spans="1:25" s="6" customFormat="1" x14ac:dyDescent="0.35">
      <c r="A243" s="6" t="s">
        <v>25</v>
      </c>
      <c r="B243" s="7"/>
      <c r="C243" s="6">
        <v>511738</v>
      </c>
      <c r="D243" s="6" t="s">
        <v>541</v>
      </c>
      <c r="E243" s="6">
        <v>1</v>
      </c>
      <c r="F243" s="6">
        <v>8</v>
      </c>
      <c r="G243" s="6" t="s">
        <v>272</v>
      </c>
      <c r="H243" s="6">
        <v>7</v>
      </c>
      <c r="I243" s="8">
        <v>85.759181597222195</v>
      </c>
      <c r="J243" s="8">
        <v>121.429430833333</v>
      </c>
      <c r="K243" s="6" t="s">
        <v>29</v>
      </c>
      <c r="L243" s="6" t="s">
        <v>546</v>
      </c>
      <c r="M243" s="9">
        <v>43789</v>
      </c>
      <c r="O243" s="6">
        <v>8</v>
      </c>
      <c r="P243" s="6" t="s">
        <v>4265</v>
      </c>
      <c r="R243" s="6" t="s">
        <v>544</v>
      </c>
      <c r="S243" s="6">
        <v>70</v>
      </c>
      <c r="T243" s="6">
        <v>82</v>
      </c>
      <c r="U243" s="10">
        <f t="shared" si="6"/>
        <v>76</v>
      </c>
      <c r="V243" s="6">
        <v>5.7</v>
      </c>
      <c r="W243" s="8">
        <v>0.66162847309112605</v>
      </c>
      <c r="X243" s="8">
        <v>5.5158791427612304</v>
      </c>
      <c r="Y243" s="8">
        <f t="shared" si="7"/>
        <v>0.222851358032222</v>
      </c>
    </row>
    <row r="244" spans="1:25" s="6" customFormat="1" x14ac:dyDescent="0.35">
      <c r="A244" s="6" t="s">
        <v>25</v>
      </c>
      <c r="B244" s="7" t="s">
        <v>565</v>
      </c>
      <c r="C244" s="6">
        <v>511775</v>
      </c>
      <c r="D244" s="6" t="s">
        <v>566</v>
      </c>
      <c r="E244" s="6">
        <v>1</v>
      </c>
      <c r="F244" s="6">
        <v>8</v>
      </c>
      <c r="G244" s="6" t="s">
        <v>272</v>
      </c>
      <c r="I244" s="8">
        <v>85.754208888888897</v>
      </c>
      <c r="J244" s="8">
        <v>120.59057125</v>
      </c>
      <c r="K244" s="6" t="s">
        <v>29</v>
      </c>
      <c r="L244" s="6" t="s">
        <v>546</v>
      </c>
      <c r="M244" s="9">
        <v>43792</v>
      </c>
      <c r="O244" s="6">
        <v>8</v>
      </c>
      <c r="P244" s="6" t="s">
        <v>4268</v>
      </c>
      <c r="Q244" s="8">
        <v>-4.8250000000000002</v>
      </c>
      <c r="R244" s="10" t="s">
        <v>422</v>
      </c>
      <c r="S244" s="10">
        <v>0</v>
      </c>
      <c r="T244" s="10">
        <v>10</v>
      </c>
      <c r="U244" s="10">
        <f t="shared" si="6"/>
        <v>5</v>
      </c>
      <c r="V244" s="6">
        <v>0</v>
      </c>
      <c r="W244" s="8">
        <v>-8.487798881530761</v>
      </c>
      <c r="X244" s="8">
        <v>-64.646313354492193</v>
      </c>
      <c r="Y244" s="8">
        <f t="shared" si="7"/>
        <v>3.256077697753895</v>
      </c>
    </row>
    <row r="245" spans="1:25" s="6" customFormat="1" x14ac:dyDescent="0.35">
      <c r="A245" s="6" t="s">
        <v>25</v>
      </c>
      <c r="B245" s="7" t="s">
        <v>567</v>
      </c>
      <c r="C245" s="6">
        <v>511776</v>
      </c>
      <c r="D245" s="6" t="s">
        <v>568</v>
      </c>
      <c r="E245" s="6">
        <v>1</v>
      </c>
      <c r="F245" s="6">
        <v>8</v>
      </c>
      <c r="G245" s="6" t="s">
        <v>272</v>
      </c>
      <c r="I245" s="8">
        <v>85.754208888888897</v>
      </c>
      <c r="J245" s="8">
        <v>120.59057125</v>
      </c>
      <c r="K245" s="6" t="s">
        <v>29</v>
      </c>
      <c r="L245" s="6" t="s">
        <v>546</v>
      </c>
      <c r="M245" s="9">
        <v>43792</v>
      </c>
      <c r="O245" s="6">
        <v>8</v>
      </c>
      <c r="P245" s="6" t="s">
        <v>4268</v>
      </c>
      <c r="Q245" s="8">
        <v>-3.3333333333333335</v>
      </c>
      <c r="R245" s="10" t="s">
        <v>109</v>
      </c>
      <c r="S245" s="10">
        <v>10</v>
      </c>
      <c r="T245" s="10">
        <v>20</v>
      </c>
      <c r="U245" s="10">
        <f t="shared" si="6"/>
        <v>15</v>
      </c>
      <c r="V245" s="6">
        <v>0</v>
      </c>
      <c r="W245" s="8">
        <v>-7.7250368118286143</v>
      </c>
      <c r="X245" s="8">
        <v>-58.843904090881345</v>
      </c>
      <c r="Y245" s="8">
        <f t="shared" si="7"/>
        <v>2.9563904037475695</v>
      </c>
    </row>
    <row r="246" spans="1:25" s="6" customFormat="1" x14ac:dyDescent="0.35">
      <c r="A246" s="6" t="s">
        <v>25</v>
      </c>
      <c r="B246" s="7" t="s">
        <v>553</v>
      </c>
      <c r="C246" s="6">
        <v>511777</v>
      </c>
      <c r="D246" s="6" t="s">
        <v>554</v>
      </c>
      <c r="E246" s="6">
        <v>1</v>
      </c>
      <c r="F246" s="6">
        <v>8</v>
      </c>
      <c r="G246" s="6" t="s">
        <v>272</v>
      </c>
      <c r="I246" s="8">
        <v>85.754208888888897</v>
      </c>
      <c r="J246" s="8">
        <v>120.59057125</v>
      </c>
      <c r="K246" s="6" t="s">
        <v>29</v>
      </c>
      <c r="L246" s="6" t="s">
        <v>546</v>
      </c>
      <c r="M246" s="9">
        <v>43792</v>
      </c>
      <c r="O246" s="6">
        <v>8</v>
      </c>
      <c r="P246" s="6" t="s">
        <v>4268</v>
      </c>
      <c r="Q246" s="8">
        <v>-2.8333333333333335</v>
      </c>
      <c r="R246" s="10" t="s">
        <v>111</v>
      </c>
      <c r="S246" s="10">
        <v>20</v>
      </c>
      <c r="T246" s="10">
        <v>30</v>
      </c>
      <c r="U246" s="10">
        <f t="shared" si="6"/>
        <v>25</v>
      </c>
      <c r="V246" s="6" t="s">
        <v>555</v>
      </c>
      <c r="W246" s="8">
        <v>-6.8318292617797862</v>
      </c>
      <c r="X246" s="8">
        <v>-52.75497512054443</v>
      </c>
      <c r="Y246" s="8">
        <f t="shared" si="7"/>
        <v>1.8996589736938603</v>
      </c>
    </row>
    <row r="247" spans="1:25" s="6" customFormat="1" x14ac:dyDescent="0.35">
      <c r="A247" s="6" t="s">
        <v>25</v>
      </c>
      <c r="B247" s="7" t="s">
        <v>556</v>
      </c>
      <c r="C247" s="6">
        <v>511778</v>
      </c>
      <c r="D247" s="6" t="s">
        <v>557</v>
      </c>
      <c r="E247" s="6">
        <v>1</v>
      </c>
      <c r="F247" s="6">
        <v>8</v>
      </c>
      <c r="G247" s="6" t="s">
        <v>272</v>
      </c>
      <c r="I247" s="8">
        <v>85.754208888888897</v>
      </c>
      <c r="J247" s="8">
        <v>120.59057125</v>
      </c>
      <c r="K247" s="6" t="s">
        <v>29</v>
      </c>
      <c r="L247" s="6" t="s">
        <v>546</v>
      </c>
      <c r="M247" s="9">
        <v>43792</v>
      </c>
      <c r="O247" s="6">
        <v>8</v>
      </c>
      <c r="P247" s="6" t="s">
        <v>4268</v>
      </c>
      <c r="Q247" s="8">
        <v>-2.1666666666666665</v>
      </c>
      <c r="R247" s="10" t="s">
        <v>558</v>
      </c>
      <c r="S247" s="10">
        <v>30</v>
      </c>
      <c r="T247" s="10">
        <v>41.5</v>
      </c>
      <c r="U247" s="10">
        <f t="shared" si="6"/>
        <v>35.75</v>
      </c>
      <c r="V247" s="6">
        <v>0</v>
      </c>
      <c r="W247" s="8">
        <v>-7.1323143959045421</v>
      </c>
      <c r="X247" s="8">
        <v>-54.771659889221191</v>
      </c>
      <c r="Y247" s="8">
        <f t="shared" si="7"/>
        <v>2.2868552780151461</v>
      </c>
    </row>
    <row r="248" spans="1:25" s="6" customFormat="1" x14ac:dyDescent="0.35">
      <c r="A248" s="6" t="s">
        <v>25</v>
      </c>
      <c r="B248" s="7" t="s">
        <v>559</v>
      </c>
      <c r="C248" s="6">
        <v>511779</v>
      </c>
      <c r="D248" s="6" t="s">
        <v>560</v>
      </c>
      <c r="E248" s="6">
        <v>1</v>
      </c>
      <c r="F248" s="6">
        <v>8</v>
      </c>
      <c r="G248" s="6" t="s">
        <v>272</v>
      </c>
      <c r="I248" s="8">
        <v>85.754208888888897</v>
      </c>
      <c r="J248" s="8">
        <v>120.59057125</v>
      </c>
      <c r="K248" s="6" t="s">
        <v>29</v>
      </c>
      <c r="L248" s="6" t="s">
        <v>546</v>
      </c>
      <c r="M248" s="9">
        <v>43792</v>
      </c>
      <c r="O248" s="6">
        <v>8</v>
      </c>
      <c r="P248" s="6" t="s">
        <v>4268</v>
      </c>
      <c r="Q248" s="8">
        <v>-1.3666666666666665</v>
      </c>
      <c r="R248" s="10" t="s">
        <v>561</v>
      </c>
      <c r="S248" s="10">
        <v>41.5</v>
      </c>
      <c r="T248" s="10">
        <v>51.5</v>
      </c>
      <c r="U248" s="10">
        <f t="shared" si="6"/>
        <v>46.5</v>
      </c>
      <c r="V248" s="6">
        <v>0</v>
      </c>
      <c r="W248" s="8">
        <v>-5.2751872062683125</v>
      </c>
      <c r="X248" s="8">
        <v>-40.872490013122558</v>
      </c>
      <c r="Y248" s="8">
        <f t="shared" si="7"/>
        <v>1.3290076370239419</v>
      </c>
    </row>
    <row r="249" spans="1:25" s="6" customFormat="1" x14ac:dyDescent="0.35">
      <c r="A249" s="6" t="s">
        <v>25</v>
      </c>
      <c r="B249" s="7" t="s">
        <v>562</v>
      </c>
      <c r="C249" s="6">
        <v>511780</v>
      </c>
      <c r="D249" s="6" t="s">
        <v>563</v>
      </c>
      <c r="E249" s="6">
        <v>1</v>
      </c>
      <c r="F249" s="6">
        <v>8</v>
      </c>
      <c r="G249" s="6" t="s">
        <v>272</v>
      </c>
      <c r="I249" s="8">
        <v>85.754208888888897</v>
      </c>
      <c r="J249" s="8">
        <v>120.59057125</v>
      </c>
      <c r="K249" s="6" t="s">
        <v>29</v>
      </c>
      <c r="L249" s="6" t="s">
        <v>546</v>
      </c>
      <c r="M249" s="9">
        <v>43792</v>
      </c>
      <c r="O249" s="6">
        <v>8</v>
      </c>
      <c r="P249" s="6" t="s">
        <v>4268</v>
      </c>
      <c r="Q249" s="8">
        <v>-0.5</v>
      </c>
      <c r="R249" s="10" t="s">
        <v>564</v>
      </c>
      <c r="S249" s="10">
        <v>51.5</v>
      </c>
      <c r="T249" s="10">
        <v>60</v>
      </c>
      <c r="U249" s="10">
        <f t="shared" si="6"/>
        <v>55.75</v>
      </c>
      <c r="V249" s="6">
        <v>0</v>
      </c>
      <c r="W249" s="8">
        <v>-5.4678871154785158</v>
      </c>
      <c r="X249" s="8">
        <v>-42.221549057006833</v>
      </c>
      <c r="Y249" s="8">
        <f t="shared" si="7"/>
        <v>1.5215478668212938</v>
      </c>
    </row>
    <row r="250" spans="1:25" s="6" customFormat="1" x14ac:dyDescent="0.35">
      <c r="A250" s="6" t="s">
        <v>25</v>
      </c>
      <c r="B250" s="7" t="s">
        <v>550</v>
      </c>
      <c r="C250" s="6">
        <v>511781</v>
      </c>
      <c r="D250" s="6" t="s">
        <v>551</v>
      </c>
      <c r="E250" s="6">
        <v>1</v>
      </c>
      <c r="F250" s="6">
        <v>8</v>
      </c>
      <c r="G250" s="6" t="s">
        <v>272</v>
      </c>
      <c r="I250" s="8">
        <v>85.754208888888897</v>
      </c>
      <c r="J250" s="8">
        <v>120.59057125</v>
      </c>
      <c r="K250" s="6" t="s">
        <v>29</v>
      </c>
      <c r="L250" s="6" t="s">
        <v>546</v>
      </c>
      <c r="M250" s="9">
        <v>43792</v>
      </c>
      <c r="O250" s="6">
        <v>8</v>
      </c>
      <c r="P250" s="6" t="s">
        <v>4268</v>
      </c>
      <c r="Q250" s="8">
        <v>-0.5</v>
      </c>
      <c r="R250" s="10" t="s">
        <v>552</v>
      </c>
      <c r="S250" s="10">
        <v>60</v>
      </c>
      <c r="T250" s="10">
        <v>68.5</v>
      </c>
      <c r="U250" s="10">
        <f t="shared" si="6"/>
        <v>64.25</v>
      </c>
      <c r="V250" s="6">
        <v>0.1</v>
      </c>
      <c r="W250" s="8">
        <v>-7.469007682800294</v>
      </c>
      <c r="X250" s="8">
        <v>-55.94306320953369</v>
      </c>
      <c r="Y250" s="8">
        <f t="shared" si="7"/>
        <v>3.8089982528686619</v>
      </c>
    </row>
    <row r="251" spans="1:25" s="6" customFormat="1" x14ac:dyDescent="0.35">
      <c r="A251" s="6" t="s">
        <v>25</v>
      </c>
      <c r="B251" s="7" t="s">
        <v>605</v>
      </c>
      <c r="C251" s="6">
        <v>510734</v>
      </c>
      <c r="D251" s="6" t="s">
        <v>606</v>
      </c>
      <c r="E251" s="6">
        <v>1</v>
      </c>
      <c r="F251" s="6">
        <v>9</v>
      </c>
      <c r="G251" s="6" t="s">
        <v>202</v>
      </c>
      <c r="I251" s="8">
        <v>86.047909722222201</v>
      </c>
      <c r="J251" s="8">
        <v>120.497726180556</v>
      </c>
      <c r="K251" s="6" t="s">
        <v>29</v>
      </c>
      <c r="L251" s="6" t="s">
        <v>335</v>
      </c>
      <c r="M251" s="9">
        <v>43794</v>
      </c>
      <c r="O251" s="6">
        <v>9</v>
      </c>
      <c r="P251" s="6" t="s">
        <v>4270</v>
      </c>
      <c r="Q251" s="8">
        <v>-8.9</v>
      </c>
      <c r="R251" s="10" t="s">
        <v>64</v>
      </c>
      <c r="S251" s="10">
        <v>0</v>
      </c>
      <c r="T251" s="10">
        <v>10</v>
      </c>
      <c r="U251" s="10">
        <f t="shared" si="6"/>
        <v>5</v>
      </c>
      <c r="V251" s="11">
        <v>5.6</v>
      </c>
      <c r="W251" s="8">
        <v>-2.9458334699630742</v>
      </c>
      <c r="X251" s="8">
        <v>-24.637205187034606</v>
      </c>
      <c r="Y251" s="8">
        <f t="shared" si="7"/>
        <v>-1.070537427330013</v>
      </c>
    </row>
    <row r="252" spans="1:25" s="6" customFormat="1" x14ac:dyDescent="0.35">
      <c r="A252" s="6" t="s">
        <v>25</v>
      </c>
      <c r="B252" s="7" t="s">
        <v>609</v>
      </c>
      <c r="C252" s="6">
        <v>510735</v>
      </c>
      <c r="D252" s="6" t="s">
        <v>610</v>
      </c>
      <c r="E252" s="6">
        <v>1</v>
      </c>
      <c r="F252" s="6">
        <v>9</v>
      </c>
      <c r="G252" s="6" t="s">
        <v>202</v>
      </c>
      <c r="I252" s="8">
        <v>86.047909722222201</v>
      </c>
      <c r="J252" s="8">
        <v>120.497726180556</v>
      </c>
      <c r="K252" s="6" t="s">
        <v>29</v>
      </c>
      <c r="L252" s="6" t="s">
        <v>335</v>
      </c>
      <c r="M252" s="9">
        <v>43794</v>
      </c>
      <c r="O252" s="6">
        <v>9</v>
      </c>
      <c r="P252" s="6" t="s">
        <v>4270</v>
      </c>
      <c r="Q252" s="8">
        <v>-7.0333333333333341</v>
      </c>
      <c r="R252" s="10" t="s">
        <v>66</v>
      </c>
      <c r="S252" s="10">
        <v>10</v>
      </c>
      <c r="T252" s="10">
        <v>20</v>
      </c>
      <c r="U252" s="10">
        <f t="shared" si="6"/>
        <v>15</v>
      </c>
      <c r="V252" s="11">
        <v>4.2</v>
      </c>
      <c r="W252" s="8">
        <v>0.11816988470018835</v>
      </c>
      <c r="X252" s="8">
        <v>-0.31090283961296089</v>
      </c>
      <c r="Y252" s="8">
        <f t="shared" si="7"/>
        <v>-1.2562619172144678</v>
      </c>
    </row>
    <row r="253" spans="1:25" s="6" customFormat="1" x14ac:dyDescent="0.35">
      <c r="A253" s="6" t="s">
        <v>25</v>
      </c>
      <c r="B253" s="7" t="s">
        <v>607</v>
      </c>
      <c r="C253" s="6">
        <v>510736</v>
      </c>
      <c r="D253" s="6" t="s">
        <v>608</v>
      </c>
      <c r="E253" s="6">
        <v>1</v>
      </c>
      <c r="F253" s="6">
        <v>9</v>
      </c>
      <c r="G253" s="6" t="s">
        <v>202</v>
      </c>
      <c r="I253" s="8">
        <v>86.047909722222201</v>
      </c>
      <c r="J253" s="8">
        <v>120.497726180556</v>
      </c>
      <c r="K253" s="6" t="s">
        <v>29</v>
      </c>
      <c r="L253" s="6" t="s">
        <v>335</v>
      </c>
      <c r="M253" s="9">
        <v>43794</v>
      </c>
      <c r="O253" s="6">
        <v>9</v>
      </c>
      <c r="P253" s="6" t="s">
        <v>4270</v>
      </c>
      <c r="Q253" s="8">
        <v>-4.75</v>
      </c>
      <c r="R253" s="10" t="s">
        <v>215</v>
      </c>
      <c r="S253" s="10">
        <v>20</v>
      </c>
      <c r="T253" s="10">
        <v>30</v>
      </c>
      <c r="U253" s="10">
        <f t="shared" si="6"/>
        <v>25</v>
      </c>
      <c r="V253" s="11">
        <v>4.4000000000000004</v>
      </c>
      <c r="W253" s="8">
        <v>0.95690118815898906</v>
      </c>
      <c r="X253" s="8">
        <v>8.6374443071365352</v>
      </c>
      <c r="Y253" s="8">
        <f t="shared" si="7"/>
        <v>0.98223480186462275</v>
      </c>
    </row>
    <row r="254" spans="1:25" s="6" customFormat="1" x14ac:dyDescent="0.35">
      <c r="A254" s="6" t="s">
        <v>25</v>
      </c>
      <c r="B254" s="7" t="s">
        <v>617</v>
      </c>
      <c r="C254" s="6">
        <v>510737</v>
      </c>
      <c r="D254" s="6" t="s">
        <v>618</v>
      </c>
      <c r="E254" s="6">
        <v>1</v>
      </c>
      <c r="F254" s="6">
        <v>9</v>
      </c>
      <c r="G254" s="6" t="s">
        <v>202</v>
      </c>
      <c r="I254" s="8">
        <v>86.047909722222201</v>
      </c>
      <c r="J254" s="8">
        <v>120.497726180556</v>
      </c>
      <c r="K254" s="6" t="s">
        <v>29</v>
      </c>
      <c r="L254" s="6" t="s">
        <v>335</v>
      </c>
      <c r="M254" s="9">
        <v>43794</v>
      </c>
      <c r="O254" s="6">
        <v>9</v>
      </c>
      <c r="P254" s="6" t="s">
        <v>4270</v>
      </c>
      <c r="Q254" s="8">
        <v>-3.2</v>
      </c>
      <c r="R254" s="10" t="s">
        <v>157</v>
      </c>
      <c r="S254" s="10">
        <v>30</v>
      </c>
      <c r="T254" s="10">
        <v>40</v>
      </c>
      <c r="U254" s="10">
        <f t="shared" si="6"/>
        <v>35</v>
      </c>
      <c r="V254" s="11">
        <v>4.7</v>
      </c>
      <c r="W254" s="8">
        <v>0.87469836559295655</v>
      </c>
      <c r="X254" s="8">
        <v>6.1195877483814956</v>
      </c>
      <c r="Y254" s="8">
        <f t="shared" si="7"/>
        <v>-0.87799917636215685</v>
      </c>
    </row>
    <row r="255" spans="1:25" s="6" customFormat="1" x14ac:dyDescent="0.35">
      <c r="A255" s="6" t="s">
        <v>25</v>
      </c>
      <c r="B255" s="7" t="s">
        <v>614</v>
      </c>
      <c r="C255" s="6">
        <v>510738</v>
      </c>
      <c r="D255" s="6" t="s">
        <v>615</v>
      </c>
      <c r="E255" s="6">
        <v>1</v>
      </c>
      <c r="F255" s="6">
        <v>9</v>
      </c>
      <c r="G255" s="6" t="s">
        <v>202</v>
      </c>
      <c r="I255" s="8">
        <v>86.047909722222201</v>
      </c>
      <c r="J255" s="8">
        <v>120.497726180556</v>
      </c>
      <c r="K255" s="6" t="s">
        <v>29</v>
      </c>
      <c r="L255" s="6" t="s">
        <v>335</v>
      </c>
      <c r="M255" s="9">
        <v>43794</v>
      </c>
      <c r="O255" s="6">
        <v>9</v>
      </c>
      <c r="P255" s="6" t="s">
        <v>4270</v>
      </c>
      <c r="Q255" s="8">
        <v>-2.2000000000000002</v>
      </c>
      <c r="R255" s="10" t="s">
        <v>616</v>
      </c>
      <c r="S255" s="10">
        <v>40</v>
      </c>
      <c r="T255" s="10">
        <v>48</v>
      </c>
      <c r="U255" s="10">
        <f t="shared" si="6"/>
        <v>44</v>
      </c>
      <c r="V255" s="11">
        <v>4.3</v>
      </c>
      <c r="W255" s="8">
        <v>0.86157641443014166</v>
      </c>
      <c r="X255" s="8">
        <v>5.6964585723459722</v>
      </c>
      <c r="Y255" s="8">
        <f t="shared" si="7"/>
        <v>-1.1961527430951611</v>
      </c>
    </row>
    <row r="256" spans="1:25" s="6" customFormat="1" x14ac:dyDescent="0.35">
      <c r="A256" s="6" t="s">
        <v>25</v>
      </c>
      <c r="B256" s="7" t="s">
        <v>611</v>
      </c>
      <c r="C256" s="6">
        <v>510739</v>
      </c>
      <c r="D256" s="6" t="s">
        <v>612</v>
      </c>
      <c r="E256" s="6">
        <v>1</v>
      </c>
      <c r="F256" s="6">
        <v>9</v>
      </c>
      <c r="G256" s="6" t="s">
        <v>202</v>
      </c>
      <c r="I256" s="8">
        <v>86.047909722222201</v>
      </c>
      <c r="J256" s="8">
        <v>120.497726180556</v>
      </c>
      <c r="K256" s="6" t="s">
        <v>29</v>
      </c>
      <c r="L256" s="6" t="s">
        <v>335</v>
      </c>
      <c r="M256" s="9">
        <v>43794</v>
      </c>
      <c r="O256" s="6">
        <v>9</v>
      </c>
      <c r="P256" s="6" t="s">
        <v>4270</v>
      </c>
      <c r="Q256" s="8">
        <v>-1.9</v>
      </c>
      <c r="R256" s="10" t="s">
        <v>613</v>
      </c>
      <c r="S256" s="10">
        <v>48</v>
      </c>
      <c r="T256" s="10">
        <v>56</v>
      </c>
      <c r="U256" s="10">
        <f t="shared" si="6"/>
        <v>52</v>
      </c>
      <c r="V256" s="11">
        <v>6.3</v>
      </c>
      <c r="W256" s="8">
        <v>-8.0227537861466372E-2</v>
      </c>
      <c r="X256" s="8">
        <v>0.10265798549652072</v>
      </c>
      <c r="Y256" s="8">
        <f t="shared" si="7"/>
        <v>0.7444782883882517</v>
      </c>
    </row>
    <row r="257" spans="1:26" s="6" customFormat="1" x14ac:dyDescent="0.35">
      <c r="A257" s="6" t="s">
        <v>25</v>
      </c>
      <c r="B257" s="7" t="s">
        <v>619</v>
      </c>
      <c r="C257" s="6">
        <v>510725</v>
      </c>
      <c r="D257" s="6" t="s">
        <v>620</v>
      </c>
      <c r="E257" s="6">
        <v>1</v>
      </c>
      <c r="F257" s="6">
        <v>9</v>
      </c>
      <c r="G257" s="6" t="s">
        <v>210</v>
      </c>
      <c r="I257" s="8">
        <v>86.047909722222201</v>
      </c>
      <c r="J257" s="8">
        <v>120.497726180556</v>
      </c>
      <c r="K257" s="6" t="s">
        <v>29</v>
      </c>
      <c r="L257" s="6" t="s">
        <v>546</v>
      </c>
      <c r="M257" s="9">
        <v>43794</v>
      </c>
      <c r="O257" s="6">
        <v>9</v>
      </c>
      <c r="P257" s="6" t="s">
        <v>4270</v>
      </c>
      <c r="Q257" s="8">
        <v>-8.9</v>
      </c>
      <c r="R257" s="10" t="s">
        <v>64</v>
      </c>
      <c r="S257" s="10">
        <v>0</v>
      </c>
      <c r="T257" s="10">
        <v>10</v>
      </c>
      <c r="U257" s="10">
        <f t="shared" si="6"/>
        <v>5</v>
      </c>
      <c r="V257" s="11">
        <v>0</v>
      </c>
      <c r="W257" s="8">
        <v>-3.8551429930686956</v>
      </c>
      <c r="X257" s="8">
        <v>-31.370535130691529</v>
      </c>
      <c r="Y257" s="8">
        <f t="shared" si="7"/>
        <v>-0.52939118614196445</v>
      </c>
    </row>
    <row r="258" spans="1:26" s="6" customFormat="1" x14ac:dyDescent="0.35">
      <c r="A258" s="6" t="s">
        <v>25</v>
      </c>
      <c r="B258" s="7" t="s">
        <v>577</v>
      </c>
      <c r="C258" s="6">
        <v>510991</v>
      </c>
      <c r="D258" s="6" t="s">
        <v>578</v>
      </c>
      <c r="E258" s="6">
        <v>1</v>
      </c>
      <c r="F258" s="6">
        <v>9</v>
      </c>
      <c r="G258" s="6" t="s">
        <v>546</v>
      </c>
      <c r="I258" s="8">
        <v>86.047909722222201</v>
      </c>
      <c r="J258" s="8">
        <v>120.497726180556</v>
      </c>
      <c r="K258" s="6" t="s">
        <v>29</v>
      </c>
      <c r="L258" s="6" t="s">
        <v>546</v>
      </c>
      <c r="M258" s="9">
        <v>43794</v>
      </c>
      <c r="O258" s="6">
        <v>9</v>
      </c>
      <c r="P258" s="6" t="s">
        <v>4270</v>
      </c>
      <c r="R258" s="10"/>
      <c r="S258" s="10">
        <v>0</v>
      </c>
      <c r="T258" s="10">
        <v>13</v>
      </c>
      <c r="U258" s="10">
        <f t="shared" ref="U258:U321" si="8">AVERAGE(S258:T258)</f>
        <v>6.5</v>
      </c>
      <c r="V258" s="11">
        <v>0</v>
      </c>
      <c r="W258" s="8">
        <v>-6.1924520928859721</v>
      </c>
      <c r="X258" s="8">
        <v>-48.593491779327394</v>
      </c>
      <c r="Y258" s="8">
        <f t="shared" ref="Y258:Y321" si="9">X258-(8*W258)</f>
        <v>0.9461249637603828</v>
      </c>
    </row>
    <row r="259" spans="1:26" s="6" customFormat="1" x14ac:dyDescent="0.35">
      <c r="A259" s="6" t="s">
        <v>25</v>
      </c>
      <c r="B259" s="7" t="s">
        <v>621</v>
      </c>
      <c r="C259" s="6">
        <v>510726</v>
      </c>
      <c r="D259" s="6" t="s">
        <v>622</v>
      </c>
      <c r="E259" s="6">
        <v>1</v>
      </c>
      <c r="F259" s="6">
        <v>9</v>
      </c>
      <c r="G259" s="6" t="s">
        <v>210</v>
      </c>
      <c r="I259" s="8">
        <v>86.047909722222201</v>
      </c>
      <c r="J259" s="8">
        <v>120.497726180556</v>
      </c>
      <c r="K259" s="6" t="s">
        <v>29</v>
      </c>
      <c r="L259" s="6" t="s">
        <v>546</v>
      </c>
      <c r="M259" s="9">
        <v>43794</v>
      </c>
      <c r="O259" s="6">
        <v>9</v>
      </c>
      <c r="P259" s="6" t="s">
        <v>4270</v>
      </c>
      <c r="Q259" s="8">
        <v>-7.6</v>
      </c>
      <c r="R259" s="10" t="s">
        <v>138</v>
      </c>
      <c r="S259" s="10">
        <v>10</v>
      </c>
      <c r="T259" s="10">
        <v>20</v>
      </c>
      <c r="U259" s="10">
        <f t="shared" si="8"/>
        <v>15</v>
      </c>
      <c r="V259" s="11">
        <v>0</v>
      </c>
      <c r="W259" s="8">
        <v>-3.6429505804538733</v>
      </c>
      <c r="X259" s="8">
        <v>-28.895716279220579</v>
      </c>
      <c r="Y259" s="8">
        <f t="shared" si="9"/>
        <v>0.24788836441040729</v>
      </c>
    </row>
    <row r="260" spans="1:26" s="6" customFormat="1" x14ac:dyDescent="0.35">
      <c r="A260" s="6" t="s">
        <v>25</v>
      </c>
      <c r="B260" s="7" t="s">
        <v>579</v>
      </c>
      <c r="C260" s="6">
        <v>510992</v>
      </c>
      <c r="D260" s="6" t="s">
        <v>580</v>
      </c>
      <c r="E260" s="6">
        <v>1</v>
      </c>
      <c r="F260" s="6">
        <v>9</v>
      </c>
      <c r="G260" s="6" t="s">
        <v>546</v>
      </c>
      <c r="I260" s="8">
        <v>86.047909722222201</v>
      </c>
      <c r="J260" s="8">
        <v>120.497726180556</v>
      </c>
      <c r="K260" s="6" t="s">
        <v>29</v>
      </c>
      <c r="L260" s="6" t="s">
        <v>546</v>
      </c>
      <c r="M260" s="9">
        <v>43794</v>
      </c>
      <c r="O260" s="6">
        <v>9</v>
      </c>
      <c r="P260" s="6" t="s">
        <v>4270</v>
      </c>
      <c r="R260" s="10"/>
      <c r="S260" s="10">
        <v>13</v>
      </c>
      <c r="T260" s="10">
        <v>23</v>
      </c>
      <c r="U260" s="10">
        <f t="shared" si="8"/>
        <v>18</v>
      </c>
      <c r="V260" s="11">
        <v>0</v>
      </c>
      <c r="W260" s="8">
        <v>-6.5645071506500248</v>
      </c>
      <c r="X260" s="8">
        <v>-51.025356479644771</v>
      </c>
      <c r="Y260" s="8">
        <f t="shared" si="9"/>
        <v>1.4907007255554277</v>
      </c>
    </row>
    <row r="261" spans="1:26" s="6" customFormat="1" x14ac:dyDescent="0.35">
      <c r="A261" s="6" t="s">
        <v>25</v>
      </c>
      <c r="B261" s="7" t="s">
        <v>623</v>
      </c>
      <c r="C261" s="6">
        <v>510727</v>
      </c>
      <c r="D261" s="6" t="s">
        <v>624</v>
      </c>
      <c r="E261" s="6">
        <v>1</v>
      </c>
      <c r="F261" s="6">
        <v>9</v>
      </c>
      <c r="G261" s="6" t="s">
        <v>210</v>
      </c>
      <c r="I261" s="8">
        <v>86.047909722222201</v>
      </c>
      <c r="J261" s="8">
        <v>120.497726180556</v>
      </c>
      <c r="K261" s="6" t="s">
        <v>29</v>
      </c>
      <c r="L261" s="6" t="s">
        <v>546</v>
      </c>
      <c r="M261" s="9">
        <v>43794</v>
      </c>
      <c r="O261" s="6">
        <v>9</v>
      </c>
      <c r="P261" s="6" t="s">
        <v>4270</v>
      </c>
      <c r="Q261" s="8">
        <v>-6.25</v>
      </c>
      <c r="R261" s="10" t="s">
        <v>215</v>
      </c>
      <c r="S261" s="10">
        <v>20</v>
      </c>
      <c r="T261" s="10">
        <v>30</v>
      </c>
      <c r="U261" s="10">
        <f t="shared" si="8"/>
        <v>25</v>
      </c>
      <c r="V261" s="11">
        <v>0</v>
      </c>
      <c r="W261" s="8">
        <v>-3.9175674210548399</v>
      </c>
      <c r="X261" s="8">
        <v>-30.923781315994262</v>
      </c>
      <c r="Y261" s="8">
        <f t="shared" si="9"/>
        <v>0.41675805244445741</v>
      </c>
    </row>
    <row r="262" spans="1:26" s="12" customFormat="1" x14ac:dyDescent="0.35">
      <c r="A262" s="6" t="s">
        <v>25</v>
      </c>
      <c r="B262" s="7" t="s">
        <v>581</v>
      </c>
      <c r="C262" s="6">
        <v>510994</v>
      </c>
      <c r="D262" s="6" t="s">
        <v>582</v>
      </c>
      <c r="E262" s="6">
        <v>1</v>
      </c>
      <c r="F262" s="6">
        <v>9</v>
      </c>
      <c r="G262" s="6" t="s">
        <v>546</v>
      </c>
      <c r="H262" s="6"/>
      <c r="I262" s="8">
        <v>86.047909722222201</v>
      </c>
      <c r="J262" s="8">
        <v>120.497726180556</v>
      </c>
      <c r="K262" s="6" t="s">
        <v>29</v>
      </c>
      <c r="L262" s="6" t="s">
        <v>546</v>
      </c>
      <c r="M262" s="9">
        <v>43794</v>
      </c>
      <c r="N262" s="6"/>
      <c r="O262" s="6">
        <v>9</v>
      </c>
      <c r="P262" s="6" t="s">
        <v>4270</v>
      </c>
      <c r="Q262" s="6"/>
      <c r="R262" s="10"/>
      <c r="S262" s="10">
        <v>23</v>
      </c>
      <c r="T262" s="10">
        <v>32</v>
      </c>
      <c r="U262" s="10">
        <f t="shared" si="8"/>
        <v>27.5</v>
      </c>
      <c r="V262" s="11">
        <v>0</v>
      </c>
      <c r="W262" s="8">
        <v>-5.80350133895874</v>
      </c>
      <c r="X262" s="8">
        <v>-45.005876619338991</v>
      </c>
      <c r="Y262" s="8">
        <f t="shared" si="9"/>
        <v>1.4221340923309285</v>
      </c>
      <c r="Z262" s="6"/>
    </row>
    <row r="263" spans="1:26" s="12" customFormat="1" x14ac:dyDescent="0.35">
      <c r="A263" s="6" t="s">
        <v>25</v>
      </c>
      <c r="B263" s="7" t="s">
        <v>636</v>
      </c>
      <c r="C263" s="6">
        <v>510728</v>
      </c>
      <c r="D263" s="6" t="s">
        <v>637</v>
      </c>
      <c r="E263" s="6">
        <v>1</v>
      </c>
      <c r="F263" s="6">
        <v>9</v>
      </c>
      <c r="G263" s="6" t="s">
        <v>210</v>
      </c>
      <c r="H263" s="6"/>
      <c r="I263" s="8">
        <v>86.047909722222201</v>
      </c>
      <c r="J263" s="8">
        <v>120.497726180556</v>
      </c>
      <c r="K263" s="6" t="s">
        <v>29</v>
      </c>
      <c r="L263" s="6" t="s">
        <v>546</v>
      </c>
      <c r="M263" s="9">
        <v>43794</v>
      </c>
      <c r="N263" s="6"/>
      <c r="O263" s="6">
        <v>9</v>
      </c>
      <c r="P263" s="6" t="s">
        <v>4270</v>
      </c>
      <c r="Q263" s="8">
        <v>-5.3</v>
      </c>
      <c r="R263" s="10" t="s">
        <v>157</v>
      </c>
      <c r="S263" s="10">
        <v>30</v>
      </c>
      <c r="T263" s="10">
        <v>40</v>
      </c>
      <c r="U263" s="10">
        <f t="shared" si="8"/>
        <v>35</v>
      </c>
      <c r="V263" s="11">
        <v>0.4</v>
      </c>
      <c r="W263" s="8">
        <v>-4.0112327098846441</v>
      </c>
      <c r="X263" s="8">
        <v>-30.31946295070648</v>
      </c>
      <c r="Y263" s="8">
        <f t="shared" si="9"/>
        <v>1.7703987283706724</v>
      </c>
      <c r="Z263" s="6"/>
    </row>
    <row r="264" spans="1:26" s="12" customFormat="1" x14ac:dyDescent="0.35">
      <c r="A264" s="6" t="s">
        <v>25</v>
      </c>
      <c r="B264" s="7" t="s">
        <v>583</v>
      </c>
      <c r="C264" s="6">
        <v>510993</v>
      </c>
      <c r="D264" s="6" t="s">
        <v>584</v>
      </c>
      <c r="E264" s="6">
        <v>1</v>
      </c>
      <c r="F264" s="6">
        <v>9</v>
      </c>
      <c r="G264" s="6" t="s">
        <v>546</v>
      </c>
      <c r="H264" s="6"/>
      <c r="I264" s="8">
        <v>86.047909722222201</v>
      </c>
      <c r="J264" s="8">
        <v>120.497726180556</v>
      </c>
      <c r="K264" s="6" t="s">
        <v>29</v>
      </c>
      <c r="L264" s="6" t="s">
        <v>546</v>
      </c>
      <c r="M264" s="9">
        <v>43794</v>
      </c>
      <c r="N264" s="6"/>
      <c r="O264" s="6">
        <v>9</v>
      </c>
      <c r="P264" s="6" t="s">
        <v>4270</v>
      </c>
      <c r="Q264" s="6"/>
      <c r="R264" s="10"/>
      <c r="S264" s="10">
        <v>32</v>
      </c>
      <c r="T264" s="10">
        <v>43</v>
      </c>
      <c r="U264" s="10">
        <f t="shared" si="8"/>
        <v>37.5</v>
      </c>
      <c r="V264" s="11">
        <v>0</v>
      </c>
      <c r="W264" s="8">
        <v>-5.9832395856380467</v>
      </c>
      <c r="X264" s="8">
        <v>-45.374108484268191</v>
      </c>
      <c r="Y264" s="8">
        <f t="shared" si="9"/>
        <v>2.4918082008361822</v>
      </c>
      <c r="Z264" s="6"/>
    </row>
    <row r="265" spans="1:26" s="12" customFormat="1" x14ac:dyDescent="0.35">
      <c r="A265" s="6" t="s">
        <v>25</v>
      </c>
      <c r="B265" s="7" t="s">
        <v>638</v>
      </c>
      <c r="C265" s="6">
        <v>510729</v>
      </c>
      <c r="D265" s="6" t="s">
        <v>639</v>
      </c>
      <c r="E265" s="6">
        <v>1</v>
      </c>
      <c r="F265" s="6">
        <v>9</v>
      </c>
      <c r="G265" s="6" t="s">
        <v>210</v>
      </c>
      <c r="H265" s="6"/>
      <c r="I265" s="8">
        <v>86.047909722222201</v>
      </c>
      <c r="J265" s="8">
        <v>120.497726180556</v>
      </c>
      <c r="K265" s="6" t="s">
        <v>29</v>
      </c>
      <c r="L265" s="6" t="s">
        <v>546</v>
      </c>
      <c r="M265" s="9">
        <v>43794</v>
      </c>
      <c r="N265" s="6"/>
      <c r="O265" s="6">
        <v>9</v>
      </c>
      <c r="P265" s="6" t="s">
        <v>4270</v>
      </c>
      <c r="Q265" s="8">
        <v>-4.5</v>
      </c>
      <c r="R265" s="10" t="s">
        <v>159</v>
      </c>
      <c r="S265" s="10">
        <v>40</v>
      </c>
      <c r="T265" s="10">
        <v>50</v>
      </c>
      <c r="U265" s="10">
        <f t="shared" si="8"/>
        <v>45</v>
      </c>
      <c r="V265" s="11">
        <v>0.2</v>
      </c>
      <c r="W265" s="8">
        <v>-3.1835229158401495</v>
      </c>
      <c r="X265" s="8">
        <v>-24.051939007759096</v>
      </c>
      <c r="Y265" s="8">
        <f t="shared" si="9"/>
        <v>1.4162443189621001</v>
      </c>
      <c r="Z265" s="6"/>
    </row>
    <row r="266" spans="1:26" s="12" customFormat="1" x14ac:dyDescent="0.35">
      <c r="A266" s="6" t="s">
        <v>25</v>
      </c>
      <c r="B266" s="7" t="s">
        <v>585</v>
      </c>
      <c r="C266" s="6">
        <v>510995</v>
      </c>
      <c r="D266" s="6" t="s">
        <v>586</v>
      </c>
      <c r="E266" s="6">
        <v>1</v>
      </c>
      <c r="F266" s="6">
        <v>9</v>
      </c>
      <c r="G266" s="6" t="s">
        <v>546</v>
      </c>
      <c r="H266" s="6"/>
      <c r="I266" s="8">
        <v>86.047909722222201</v>
      </c>
      <c r="J266" s="8">
        <v>120.497726180556</v>
      </c>
      <c r="K266" s="6" t="s">
        <v>29</v>
      </c>
      <c r="L266" s="6" t="s">
        <v>546</v>
      </c>
      <c r="M266" s="9">
        <v>43794</v>
      </c>
      <c r="N266" s="6"/>
      <c r="O266" s="6">
        <v>9</v>
      </c>
      <c r="P266" s="6" t="s">
        <v>4270</v>
      </c>
      <c r="Q266" s="6"/>
      <c r="R266" s="10"/>
      <c r="S266" s="10">
        <v>43</v>
      </c>
      <c r="T266" s="10">
        <v>53</v>
      </c>
      <c r="U266" s="10">
        <f t="shared" si="8"/>
        <v>48</v>
      </c>
      <c r="V266" s="11">
        <v>0</v>
      </c>
      <c r="W266" s="8">
        <v>-5.1794139232635503</v>
      </c>
      <c r="X266" s="8">
        <v>-38.965010154724119</v>
      </c>
      <c r="Y266" s="8">
        <f t="shared" si="9"/>
        <v>2.4703012313842834</v>
      </c>
      <c r="Z266" s="6"/>
    </row>
    <row r="267" spans="1:26" s="12" customFormat="1" x14ac:dyDescent="0.35">
      <c r="A267" s="6" t="s">
        <v>25</v>
      </c>
      <c r="B267" s="7" t="s">
        <v>631</v>
      </c>
      <c r="C267" s="6">
        <v>510730</v>
      </c>
      <c r="D267" s="6" t="s">
        <v>632</v>
      </c>
      <c r="E267" s="6">
        <v>1</v>
      </c>
      <c r="F267" s="6">
        <v>9</v>
      </c>
      <c r="G267" s="6" t="s">
        <v>210</v>
      </c>
      <c r="H267" s="6"/>
      <c r="I267" s="8">
        <v>86.047909722222201</v>
      </c>
      <c r="J267" s="8">
        <v>120.497726180556</v>
      </c>
      <c r="K267" s="6" t="s">
        <v>29</v>
      </c>
      <c r="L267" s="6" t="s">
        <v>546</v>
      </c>
      <c r="M267" s="9">
        <v>43794</v>
      </c>
      <c r="N267" s="6"/>
      <c r="O267" s="6">
        <v>9</v>
      </c>
      <c r="P267" s="6" t="s">
        <v>4270</v>
      </c>
      <c r="Q267" s="8">
        <v>-3.9</v>
      </c>
      <c r="R267" s="10" t="s">
        <v>161</v>
      </c>
      <c r="S267" s="10">
        <v>50</v>
      </c>
      <c r="T267" s="10">
        <v>60</v>
      </c>
      <c r="U267" s="10">
        <f t="shared" si="8"/>
        <v>55</v>
      </c>
      <c r="V267" s="11">
        <v>0.4</v>
      </c>
      <c r="W267" s="8">
        <v>-3.2244848608016974</v>
      </c>
      <c r="X267" s="8">
        <v>-24.491736167907714</v>
      </c>
      <c r="Y267" s="8">
        <f t="shared" si="9"/>
        <v>1.3041427185058652</v>
      </c>
      <c r="Z267" s="6"/>
    </row>
    <row r="268" spans="1:26" s="6" customFormat="1" x14ac:dyDescent="0.35">
      <c r="A268" s="6" t="s">
        <v>25</v>
      </c>
      <c r="B268" s="7" t="s">
        <v>587</v>
      </c>
      <c r="C268" s="6">
        <v>510996</v>
      </c>
      <c r="D268" s="6" t="s">
        <v>588</v>
      </c>
      <c r="E268" s="6">
        <v>1</v>
      </c>
      <c r="F268" s="6">
        <v>9</v>
      </c>
      <c r="G268" s="6" t="s">
        <v>546</v>
      </c>
      <c r="I268" s="8">
        <v>86.047909722222201</v>
      </c>
      <c r="J268" s="8">
        <v>120.497726180556</v>
      </c>
      <c r="K268" s="6" t="s">
        <v>29</v>
      </c>
      <c r="L268" s="6" t="s">
        <v>546</v>
      </c>
      <c r="M268" s="9">
        <v>43794</v>
      </c>
      <c r="O268" s="6">
        <v>9</v>
      </c>
      <c r="P268" s="6" t="s">
        <v>4270</v>
      </c>
      <c r="R268" s="10"/>
      <c r="S268" s="10">
        <v>53</v>
      </c>
      <c r="T268" s="10">
        <v>63</v>
      </c>
      <c r="U268" s="10">
        <f t="shared" si="8"/>
        <v>58</v>
      </c>
      <c r="V268" s="11">
        <v>0.4</v>
      </c>
      <c r="W268" s="8">
        <v>-4.2969443085193637</v>
      </c>
      <c r="X268" s="8">
        <v>-32.084927045822148</v>
      </c>
      <c r="Y268" s="8">
        <f t="shared" si="9"/>
        <v>2.2906274223327614</v>
      </c>
    </row>
    <row r="269" spans="1:26" s="6" customFormat="1" x14ac:dyDescent="0.35">
      <c r="A269" s="6" t="s">
        <v>25</v>
      </c>
      <c r="B269" s="7" t="s">
        <v>628</v>
      </c>
      <c r="C269" s="6">
        <v>510731</v>
      </c>
      <c r="D269" s="6" t="s">
        <v>629</v>
      </c>
      <c r="E269" s="6">
        <v>1</v>
      </c>
      <c r="F269" s="6">
        <v>9</v>
      </c>
      <c r="G269" s="6" t="s">
        <v>210</v>
      </c>
      <c r="I269" s="8">
        <v>86.047909722222201</v>
      </c>
      <c r="J269" s="8">
        <v>120.497726180556</v>
      </c>
      <c r="K269" s="6" t="s">
        <v>29</v>
      </c>
      <c r="L269" s="6" t="s">
        <v>546</v>
      </c>
      <c r="M269" s="9">
        <v>43794</v>
      </c>
      <c r="O269" s="6">
        <v>9</v>
      </c>
      <c r="P269" s="6" t="s">
        <v>4270</v>
      </c>
      <c r="Q269" s="8">
        <v>-3.4</v>
      </c>
      <c r="R269" s="10" t="s">
        <v>630</v>
      </c>
      <c r="S269" s="10">
        <v>60</v>
      </c>
      <c r="T269" s="10">
        <v>69.5</v>
      </c>
      <c r="U269" s="10">
        <f t="shared" si="8"/>
        <v>64.75</v>
      </c>
      <c r="V269" s="11">
        <v>1.1000000000000001</v>
      </c>
      <c r="W269" s="8">
        <v>-3.751620147562027</v>
      </c>
      <c r="X269" s="8">
        <v>-30.150318513107301</v>
      </c>
      <c r="Y269" s="8">
        <f t="shared" si="9"/>
        <v>-0.13735733261108507</v>
      </c>
    </row>
    <row r="270" spans="1:26" s="6" customFormat="1" x14ac:dyDescent="0.35">
      <c r="A270" s="6" t="s">
        <v>25</v>
      </c>
      <c r="B270" s="7" t="s">
        <v>589</v>
      </c>
      <c r="C270" s="6">
        <v>510997</v>
      </c>
      <c r="D270" s="6" t="s">
        <v>590</v>
      </c>
      <c r="E270" s="6">
        <v>1</v>
      </c>
      <c r="F270" s="6">
        <v>9</v>
      </c>
      <c r="G270" s="6" t="s">
        <v>546</v>
      </c>
      <c r="I270" s="8">
        <v>86.047909722222201</v>
      </c>
      <c r="J270" s="8">
        <v>120.497726180556</v>
      </c>
      <c r="K270" s="6" t="s">
        <v>29</v>
      </c>
      <c r="L270" s="6" t="s">
        <v>546</v>
      </c>
      <c r="M270" s="9">
        <v>43794</v>
      </c>
      <c r="O270" s="6">
        <v>9</v>
      </c>
      <c r="P270" s="6" t="s">
        <v>4270</v>
      </c>
      <c r="R270" s="10"/>
      <c r="S270" s="10">
        <v>63</v>
      </c>
      <c r="T270" s="10">
        <v>73</v>
      </c>
      <c r="U270" s="10">
        <f t="shared" si="8"/>
        <v>68</v>
      </c>
      <c r="V270" s="11">
        <v>1.9</v>
      </c>
      <c r="W270" s="8">
        <v>-3.979136388540268</v>
      </c>
      <c r="X270" s="8">
        <v>-31.399914548873902</v>
      </c>
      <c r="Y270" s="8">
        <f t="shared" si="9"/>
        <v>0.43317655944824196</v>
      </c>
    </row>
    <row r="271" spans="1:26" s="6" customFormat="1" x14ac:dyDescent="0.35">
      <c r="A271" s="6" t="s">
        <v>25</v>
      </c>
      <c r="B271" s="7" t="s">
        <v>625</v>
      </c>
      <c r="C271" s="6">
        <v>510732</v>
      </c>
      <c r="D271" s="6" t="s">
        <v>626</v>
      </c>
      <c r="E271" s="6">
        <v>1</v>
      </c>
      <c r="F271" s="6">
        <v>9</v>
      </c>
      <c r="G271" s="6" t="s">
        <v>210</v>
      </c>
      <c r="I271" s="8">
        <v>86.047909722222201</v>
      </c>
      <c r="J271" s="8">
        <v>120.497726180556</v>
      </c>
      <c r="K271" s="6" t="s">
        <v>29</v>
      </c>
      <c r="L271" s="6" t="s">
        <v>546</v>
      </c>
      <c r="M271" s="9">
        <v>43794</v>
      </c>
      <c r="O271" s="6">
        <v>9</v>
      </c>
      <c r="P271" s="6" t="s">
        <v>4270</v>
      </c>
      <c r="Q271" s="8">
        <v>-2.4</v>
      </c>
      <c r="R271" s="10" t="s">
        <v>627</v>
      </c>
      <c r="S271" s="10">
        <v>69.5</v>
      </c>
      <c r="T271" s="10">
        <v>78</v>
      </c>
      <c r="U271" s="10">
        <f t="shared" si="8"/>
        <v>73.75</v>
      </c>
      <c r="V271" s="11">
        <v>5</v>
      </c>
      <c r="W271" s="8">
        <v>0.88827423580487608</v>
      </c>
      <c r="X271" s="8">
        <v>7.1373027065813544</v>
      </c>
      <c r="Y271" s="8">
        <f t="shared" si="9"/>
        <v>3.1108820142345728E-2</v>
      </c>
    </row>
    <row r="272" spans="1:26" s="6" customFormat="1" x14ac:dyDescent="0.35">
      <c r="A272" s="6" t="s">
        <v>25</v>
      </c>
      <c r="B272" s="7" t="s">
        <v>591</v>
      </c>
      <c r="C272" s="6">
        <v>510998</v>
      </c>
      <c r="D272" s="6" t="s">
        <v>592</v>
      </c>
      <c r="E272" s="6">
        <v>1</v>
      </c>
      <c r="F272" s="6">
        <v>9</v>
      </c>
      <c r="G272" s="6" t="s">
        <v>546</v>
      </c>
      <c r="I272" s="8">
        <v>86.047909722222201</v>
      </c>
      <c r="J272" s="8">
        <v>120.497726180556</v>
      </c>
      <c r="K272" s="6" t="s">
        <v>29</v>
      </c>
      <c r="L272" s="6" t="s">
        <v>546</v>
      </c>
      <c r="M272" s="9">
        <v>43794</v>
      </c>
      <c r="O272" s="6">
        <v>9</v>
      </c>
      <c r="P272" s="6" t="s">
        <v>4270</v>
      </c>
      <c r="R272" s="10"/>
      <c r="S272" s="10">
        <v>73</v>
      </c>
      <c r="T272" s="10">
        <v>83</v>
      </c>
      <c r="U272" s="10">
        <f t="shared" si="8"/>
        <v>78</v>
      </c>
      <c r="V272" s="11">
        <v>1.5</v>
      </c>
      <c r="W272" s="8">
        <v>-3.4536190527677535</v>
      </c>
      <c r="X272" s="8">
        <v>-26.088811264038085</v>
      </c>
      <c r="Y272" s="8">
        <f t="shared" si="9"/>
        <v>1.5401411581039426</v>
      </c>
    </row>
    <row r="273" spans="1:25" s="6" customFormat="1" x14ac:dyDescent="0.35">
      <c r="A273" s="6" t="s">
        <v>25</v>
      </c>
      <c r="B273" s="7" t="s">
        <v>633</v>
      </c>
      <c r="C273" s="6">
        <v>510733</v>
      </c>
      <c r="D273" s="6" t="s">
        <v>634</v>
      </c>
      <c r="E273" s="6">
        <v>1</v>
      </c>
      <c r="F273" s="6">
        <v>9</v>
      </c>
      <c r="G273" s="6" t="s">
        <v>210</v>
      </c>
      <c r="I273" s="8">
        <v>86.047909722222201</v>
      </c>
      <c r="J273" s="8">
        <v>120.497726180556</v>
      </c>
      <c r="K273" s="6" t="s">
        <v>29</v>
      </c>
      <c r="L273" s="6" t="s">
        <v>546</v>
      </c>
      <c r="M273" s="9">
        <v>43794</v>
      </c>
      <c r="O273" s="6">
        <v>9</v>
      </c>
      <c r="P273" s="6" t="s">
        <v>4270</v>
      </c>
      <c r="Q273" s="8">
        <v>-1.8</v>
      </c>
      <c r="R273" s="10" t="s">
        <v>635</v>
      </c>
      <c r="S273" s="10">
        <v>78</v>
      </c>
      <c r="T273" s="10">
        <v>86.5</v>
      </c>
      <c r="U273" s="10">
        <f t="shared" si="8"/>
        <v>82.25</v>
      </c>
      <c r="V273" s="11">
        <v>5.7</v>
      </c>
      <c r="W273" s="8">
        <v>0.75496243834495558</v>
      </c>
      <c r="X273" s="8">
        <v>6.8994224557876596</v>
      </c>
      <c r="Y273" s="8">
        <f t="shared" si="9"/>
        <v>0.85972294902801494</v>
      </c>
    </row>
    <row r="274" spans="1:25" s="6" customFormat="1" x14ac:dyDescent="0.35">
      <c r="A274" s="6" t="s">
        <v>25</v>
      </c>
      <c r="B274" s="7" t="s">
        <v>593</v>
      </c>
      <c r="C274" s="6">
        <v>510999</v>
      </c>
      <c r="D274" s="6" t="s">
        <v>594</v>
      </c>
      <c r="E274" s="6">
        <v>1</v>
      </c>
      <c r="F274" s="6">
        <v>9</v>
      </c>
      <c r="G274" s="6" t="s">
        <v>546</v>
      </c>
      <c r="I274" s="8">
        <v>86.047909722222201</v>
      </c>
      <c r="J274" s="8">
        <v>120.497726180556</v>
      </c>
      <c r="K274" s="6" t="s">
        <v>29</v>
      </c>
      <c r="L274" s="6" t="s">
        <v>546</v>
      </c>
      <c r="M274" s="9">
        <v>43794</v>
      </c>
      <c r="O274" s="6">
        <v>9</v>
      </c>
      <c r="P274" s="6" t="s">
        <v>4270</v>
      </c>
      <c r="R274" s="10"/>
      <c r="S274" s="10">
        <v>83</v>
      </c>
      <c r="T274" s="10">
        <v>93</v>
      </c>
      <c r="U274" s="10">
        <f t="shared" si="8"/>
        <v>88</v>
      </c>
      <c r="V274" s="11">
        <v>1</v>
      </c>
      <c r="W274" s="8">
        <v>-3.7847295897006989</v>
      </c>
      <c r="X274" s="8">
        <v>-28.09827088165283</v>
      </c>
      <c r="Y274" s="8">
        <f t="shared" si="9"/>
        <v>2.1795658359527614</v>
      </c>
    </row>
    <row r="275" spans="1:25" s="6" customFormat="1" x14ac:dyDescent="0.35">
      <c r="A275" s="6" t="s">
        <v>25</v>
      </c>
      <c r="B275" s="7" t="s">
        <v>595</v>
      </c>
      <c r="C275" s="6">
        <v>511000</v>
      </c>
      <c r="D275" s="6" t="s">
        <v>596</v>
      </c>
      <c r="E275" s="6">
        <v>1</v>
      </c>
      <c r="F275" s="6">
        <v>9</v>
      </c>
      <c r="G275" s="6" t="s">
        <v>546</v>
      </c>
      <c r="I275" s="8">
        <v>86.047909722222201</v>
      </c>
      <c r="J275" s="8">
        <v>120.497726180556</v>
      </c>
      <c r="K275" s="6" t="s">
        <v>29</v>
      </c>
      <c r="L275" s="6" t="s">
        <v>546</v>
      </c>
      <c r="M275" s="9">
        <v>43794</v>
      </c>
      <c r="O275" s="6">
        <v>9</v>
      </c>
      <c r="P275" s="6" t="s">
        <v>4270</v>
      </c>
      <c r="R275" s="10"/>
      <c r="S275" s="10">
        <v>93</v>
      </c>
      <c r="T275" s="10">
        <v>103</v>
      </c>
      <c r="U275" s="10">
        <f t="shared" si="8"/>
        <v>98</v>
      </c>
      <c r="V275" s="11">
        <v>1.6</v>
      </c>
      <c r="W275" s="8">
        <v>-3.7971380108594897</v>
      </c>
      <c r="X275" s="8">
        <v>-28.659025354385378</v>
      </c>
      <c r="Y275" s="8">
        <f t="shared" si="9"/>
        <v>1.7180787324905396</v>
      </c>
    </row>
    <row r="276" spans="1:25" s="6" customFormat="1" x14ac:dyDescent="0.35">
      <c r="A276" s="6" t="s">
        <v>25</v>
      </c>
      <c r="B276" s="7" t="s">
        <v>597</v>
      </c>
      <c r="C276" s="6">
        <v>511001</v>
      </c>
      <c r="D276" s="6" t="s">
        <v>598</v>
      </c>
      <c r="E276" s="6">
        <v>1</v>
      </c>
      <c r="F276" s="6">
        <v>9</v>
      </c>
      <c r="G276" s="6" t="s">
        <v>546</v>
      </c>
      <c r="I276" s="8">
        <v>86.047909722222201</v>
      </c>
      <c r="J276" s="8">
        <v>120.497726180556</v>
      </c>
      <c r="K276" s="6" t="s">
        <v>29</v>
      </c>
      <c r="L276" s="6" t="s">
        <v>546</v>
      </c>
      <c r="M276" s="9">
        <v>43794</v>
      </c>
      <c r="O276" s="6">
        <v>9</v>
      </c>
      <c r="P276" s="6" t="s">
        <v>4270</v>
      </c>
      <c r="R276" s="10"/>
      <c r="S276" s="10">
        <v>103</v>
      </c>
      <c r="T276" s="10">
        <v>113</v>
      </c>
      <c r="U276" s="10">
        <f t="shared" si="8"/>
        <v>108</v>
      </c>
      <c r="V276" s="11">
        <v>1.1000000000000001</v>
      </c>
      <c r="W276" s="8">
        <v>-4.2360823557376861</v>
      </c>
      <c r="X276" s="8">
        <v>-31.75932439994812</v>
      </c>
      <c r="Y276" s="8">
        <f t="shared" si="9"/>
        <v>2.1293344459533685</v>
      </c>
    </row>
    <row r="277" spans="1:25" s="6" customFormat="1" x14ac:dyDescent="0.35">
      <c r="A277" s="6" t="s">
        <v>25</v>
      </c>
      <c r="B277" s="7" t="s">
        <v>603</v>
      </c>
      <c r="C277" s="6">
        <v>511002</v>
      </c>
      <c r="D277" s="6" t="s">
        <v>604</v>
      </c>
      <c r="E277" s="6">
        <v>1</v>
      </c>
      <c r="F277" s="6">
        <v>9</v>
      </c>
      <c r="G277" s="6" t="s">
        <v>546</v>
      </c>
      <c r="I277" s="8">
        <v>86.047909722222201</v>
      </c>
      <c r="J277" s="8">
        <v>120.497726180556</v>
      </c>
      <c r="K277" s="6" t="s">
        <v>29</v>
      </c>
      <c r="L277" s="6" t="s">
        <v>546</v>
      </c>
      <c r="M277" s="9">
        <v>43794</v>
      </c>
      <c r="O277" s="6">
        <v>9</v>
      </c>
      <c r="P277" s="6" t="s">
        <v>4270</v>
      </c>
      <c r="R277" s="10"/>
      <c r="S277" s="10">
        <v>113</v>
      </c>
      <c r="T277" s="10">
        <v>123</v>
      </c>
      <c r="U277" s="10">
        <f t="shared" si="8"/>
        <v>118</v>
      </c>
      <c r="V277" s="11">
        <v>2.2000000000000002</v>
      </c>
      <c r="W277" s="8">
        <v>-3.9163591927528389</v>
      </c>
      <c r="X277" s="8">
        <v>-29.640991378784179</v>
      </c>
      <c r="Y277" s="8">
        <f t="shared" si="9"/>
        <v>1.6898821632385328</v>
      </c>
    </row>
    <row r="278" spans="1:25" s="6" customFormat="1" x14ac:dyDescent="0.35">
      <c r="A278" s="6" t="s">
        <v>25</v>
      </c>
      <c r="B278" s="7" t="s">
        <v>599</v>
      </c>
      <c r="C278" s="6">
        <v>511003</v>
      </c>
      <c r="D278" s="6" t="s">
        <v>600</v>
      </c>
      <c r="E278" s="6">
        <v>1</v>
      </c>
      <c r="F278" s="6">
        <v>9</v>
      </c>
      <c r="G278" s="6" t="s">
        <v>546</v>
      </c>
      <c r="I278" s="8">
        <v>86.047909722222201</v>
      </c>
      <c r="J278" s="8">
        <v>120.497726180556</v>
      </c>
      <c r="K278" s="6" t="s">
        <v>29</v>
      </c>
      <c r="L278" s="6" t="s">
        <v>546</v>
      </c>
      <c r="M278" s="9">
        <v>43794</v>
      </c>
      <c r="O278" s="6">
        <v>9</v>
      </c>
      <c r="P278" s="6" t="s">
        <v>4270</v>
      </c>
      <c r="R278" s="10"/>
      <c r="S278" s="10">
        <v>123</v>
      </c>
      <c r="T278" s="10">
        <v>133</v>
      </c>
      <c r="U278" s="10">
        <f t="shared" si="8"/>
        <v>128</v>
      </c>
      <c r="V278" s="11">
        <v>1.8</v>
      </c>
      <c r="W278" s="8">
        <v>-2.679935659790039</v>
      </c>
      <c r="X278" s="8">
        <v>-20.844055904388426</v>
      </c>
      <c r="Y278" s="8">
        <f t="shared" si="9"/>
        <v>0.59542937393188566</v>
      </c>
    </row>
    <row r="279" spans="1:25" s="6" customFormat="1" x14ac:dyDescent="0.35">
      <c r="A279" s="6" t="s">
        <v>25</v>
      </c>
      <c r="B279" s="7" t="s">
        <v>601</v>
      </c>
      <c r="C279" s="6">
        <v>511004</v>
      </c>
      <c r="D279" s="6" t="s">
        <v>602</v>
      </c>
      <c r="E279" s="6">
        <v>1</v>
      </c>
      <c r="F279" s="6">
        <v>9</v>
      </c>
      <c r="G279" s="6" t="s">
        <v>546</v>
      </c>
      <c r="I279" s="8">
        <v>86.047909722222201</v>
      </c>
      <c r="J279" s="8">
        <v>120.497726180556</v>
      </c>
      <c r="K279" s="6" t="s">
        <v>29</v>
      </c>
      <c r="L279" s="6" t="s">
        <v>546</v>
      </c>
      <c r="M279" s="9">
        <v>43794</v>
      </c>
      <c r="O279" s="6">
        <v>9</v>
      </c>
      <c r="P279" s="6" t="s">
        <v>4270</v>
      </c>
      <c r="R279" s="10"/>
      <c r="S279" s="10">
        <v>133</v>
      </c>
      <c r="T279" s="10">
        <v>146.5</v>
      </c>
      <c r="U279" s="10">
        <f t="shared" si="8"/>
        <v>139.75</v>
      </c>
      <c r="V279" s="11">
        <v>3.9</v>
      </c>
      <c r="W279" s="8">
        <v>0.14679047851860499</v>
      </c>
      <c r="X279" s="8">
        <v>1.6475284194946289</v>
      </c>
      <c r="Y279" s="8">
        <f t="shared" si="9"/>
        <v>0.47320459134578896</v>
      </c>
    </row>
    <row r="280" spans="1:25" s="6" customFormat="1" x14ac:dyDescent="0.35">
      <c r="A280" s="6" t="s">
        <v>25</v>
      </c>
      <c r="B280" s="7" t="s">
        <v>654</v>
      </c>
      <c r="C280" s="6">
        <v>510777</v>
      </c>
      <c r="D280" s="6" t="s">
        <v>655</v>
      </c>
      <c r="E280" s="6">
        <v>1</v>
      </c>
      <c r="F280" s="6">
        <v>9</v>
      </c>
      <c r="G280" s="6" t="s">
        <v>179</v>
      </c>
      <c r="I280" s="8">
        <v>86.158515138888902</v>
      </c>
      <c r="J280" s="8">
        <v>117.89724090277799</v>
      </c>
      <c r="K280" s="6" t="s">
        <v>29</v>
      </c>
      <c r="L280" s="6" t="s">
        <v>335</v>
      </c>
      <c r="M280" s="9">
        <v>43796</v>
      </c>
      <c r="O280" s="6">
        <v>9</v>
      </c>
      <c r="P280" s="6" t="s">
        <v>4272</v>
      </c>
      <c r="Q280" s="8">
        <v>-11.700000000000001</v>
      </c>
      <c r="R280" s="10" t="s">
        <v>64</v>
      </c>
      <c r="S280" s="10">
        <v>0</v>
      </c>
      <c r="T280" s="10">
        <v>10</v>
      </c>
      <c r="U280" s="10">
        <f t="shared" si="8"/>
        <v>5</v>
      </c>
      <c r="V280" s="11">
        <v>5.3</v>
      </c>
      <c r="W280" s="8">
        <v>-0.763541579246521</v>
      </c>
      <c r="X280" s="8">
        <v>-5.5080523290634158</v>
      </c>
      <c r="Y280" s="8">
        <f t="shared" si="9"/>
        <v>0.60028030490875217</v>
      </c>
    </row>
    <row r="281" spans="1:25" s="6" customFormat="1" x14ac:dyDescent="0.35">
      <c r="A281" s="6" t="s">
        <v>25</v>
      </c>
      <c r="B281" s="7" t="s">
        <v>666</v>
      </c>
      <c r="C281" s="6">
        <v>510778</v>
      </c>
      <c r="D281" s="6" t="s">
        <v>667</v>
      </c>
      <c r="E281" s="6">
        <v>1</v>
      </c>
      <c r="F281" s="6">
        <v>9</v>
      </c>
      <c r="G281" s="6" t="s">
        <v>179</v>
      </c>
      <c r="I281" s="8">
        <v>86.158515138888902</v>
      </c>
      <c r="J281" s="8">
        <v>117.89724090277799</v>
      </c>
      <c r="K281" s="6" t="s">
        <v>29</v>
      </c>
      <c r="L281" s="6" t="s">
        <v>335</v>
      </c>
      <c r="M281" s="9">
        <v>43796</v>
      </c>
      <c r="O281" s="6">
        <v>9</v>
      </c>
      <c r="P281" s="6" t="s">
        <v>4272</v>
      </c>
      <c r="Q281" s="8">
        <v>-10.6</v>
      </c>
      <c r="R281" s="10" t="s">
        <v>138</v>
      </c>
      <c r="S281" s="10">
        <v>10</v>
      </c>
      <c r="T281" s="10">
        <v>20</v>
      </c>
      <c r="U281" s="10">
        <f t="shared" si="8"/>
        <v>15</v>
      </c>
      <c r="V281" s="11">
        <v>5.5</v>
      </c>
      <c r="W281" s="8">
        <v>-2.163780689239502</v>
      </c>
      <c r="X281" s="8">
        <v>-16.426574987411499</v>
      </c>
      <c r="Y281" s="8">
        <f t="shared" si="9"/>
        <v>0.88367052650451683</v>
      </c>
    </row>
    <row r="282" spans="1:25" s="6" customFormat="1" x14ac:dyDescent="0.35">
      <c r="A282" s="6" t="s">
        <v>25</v>
      </c>
      <c r="B282" s="7" t="s">
        <v>664</v>
      </c>
      <c r="C282" s="6">
        <v>510779</v>
      </c>
      <c r="D282" s="6" t="s">
        <v>665</v>
      </c>
      <c r="E282" s="6">
        <v>1</v>
      </c>
      <c r="F282" s="6">
        <v>9</v>
      </c>
      <c r="G282" s="6" t="s">
        <v>179</v>
      </c>
      <c r="I282" s="8">
        <v>86.158515138888902</v>
      </c>
      <c r="J282" s="8">
        <v>117.89724090277799</v>
      </c>
      <c r="K282" s="6" t="s">
        <v>29</v>
      </c>
      <c r="L282" s="6" t="s">
        <v>335</v>
      </c>
      <c r="M282" s="9">
        <v>43796</v>
      </c>
      <c r="O282" s="6">
        <v>9</v>
      </c>
      <c r="P282" s="6" t="s">
        <v>4272</v>
      </c>
      <c r="Q282" s="8">
        <v>-9.9499999999999993</v>
      </c>
      <c r="R282" s="10" t="s">
        <v>146</v>
      </c>
      <c r="S282" s="10">
        <v>20</v>
      </c>
      <c r="T282" s="10">
        <v>30</v>
      </c>
      <c r="U282" s="10">
        <f t="shared" si="8"/>
        <v>25</v>
      </c>
      <c r="V282" s="11">
        <v>5.9</v>
      </c>
      <c r="W282" s="8">
        <v>0.582566797733307</v>
      </c>
      <c r="X282" s="8">
        <v>5.7263306312561033</v>
      </c>
      <c r="Y282" s="8">
        <f t="shared" si="9"/>
        <v>1.0657962493896473</v>
      </c>
    </row>
    <row r="283" spans="1:25" s="6" customFormat="1" x14ac:dyDescent="0.35">
      <c r="A283" s="6" t="s">
        <v>25</v>
      </c>
      <c r="B283" s="7" t="s">
        <v>662</v>
      </c>
      <c r="C283" s="6">
        <v>510780</v>
      </c>
      <c r="D283" s="6" t="s">
        <v>663</v>
      </c>
      <c r="E283" s="6">
        <v>1</v>
      </c>
      <c r="F283" s="6">
        <v>9</v>
      </c>
      <c r="G283" s="6" t="s">
        <v>179</v>
      </c>
      <c r="I283" s="8">
        <v>86.158515138888902</v>
      </c>
      <c r="J283" s="8">
        <v>117.89724090277799</v>
      </c>
      <c r="K283" s="6" t="s">
        <v>29</v>
      </c>
      <c r="L283" s="6" t="s">
        <v>335</v>
      </c>
      <c r="M283" s="9">
        <v>43796</v>
      </c>
      <c r="O283" s="6">
        <v>9</v>
      </c>
      <c r="P283" s="6" t="s">
        <v>4272</v>
      </c>
      <c r="Q283" s="8">
        <v>-8.0500000000000007</v>
      </c>
      <c r="R283" s="10" t="s">
        <v>492</v>
      </c>
      <c r="S283" s="10">
        <v>30</v>
      </c>
      <c r="T283" s="10">
        <v>40</v>
      </c>
      <c r="U283" s="10">
        <f t="shared" si="8"/>
        <v>35</v>
      </c>
      <c r="V283" s="11">
        <v>5.7</v>
      </c>
      <c r="W283" s="8">
        <v>0.66463780403137196</v>
      </c>
      <c r="X283" s="8">
        <v>6.1755526261329647</v>
      </c>
      <c r="Y283" s="8">
        <f t="shared" si="9"/>
        <v>0.85845019388198907</v>
      </c>
    </row>
    <row r="284" spans="1:25" s="6" customFormat="1" x14ac:dyDescent="0.35">
      <c r="A284" s="6" t="s">
        <v>25</v>
      </c>
      <c r="B284" s="7" t="s">
        <v>659</v>
      </c>
      <c r="C284" s="6">
        <v>510781</v>
      </c>
      <c r="D284" s="6" t="s">
        <v>660</v>
      </c>
      <c r="E284" s="6">
        <v>1</v>
      </c>
      <c r="F284" s="6">
        <v>9</v>
      </c>
      <c r="G284" s="6" t="s">
        <v>179</v>
      </c>
      <c r="I284" s="8">
        <v>86.158515138888902</v>
      </c>
      <c r="J284" s="8">
        <v>117.89724090277799</v>
      </c>
      <c r="K284" s="6" t="s">
        <v>29</v>
      </c>
      <c r="L284" s="6" t="s">
        <v>335</v>
      </c>
      <c r="M284" s="9">
        <v>43796</v>
      </c>
      <c r="O284" s="6">
        <v>9</v>
      </c>
      <c r="P284" s="6" t="s">
        <v>4272</v>
      </c>
      <c r="Q284" s="8">
        <v>-5.15</v>
      </c>
      <c r="R284" s="10" t="s">
        <v>661</v>
      </c>
      <c r="S284" s="10">
        <v>40</v>
      </c>
      <c r="T284" s="10">
        <v>49</v>
      </c>
      <c r="U284" s="10">
        <f t="shared" si="8"/>
        <v>44.5</v>
      </c>
      <c r="V284" s="11">
        <v>5.3</v>
      </c>
      <c r="W284" s="8">
        <v>0.60116082429885898</v>
      </c>
      <c r="X284" s="8">
        <v>5.4287404036521911</v>
      </c>
      <c r="Y284" s="8">
        <f t="shared" si="9"/>
        <v>0.61945380926131932</v>
      </c>
    </row>
    <row r="285" spans="1:25" s="6" customFormat="1" x14ac:dyDescent="0.35">
      <c r="A285" s="6" t="s">
        <v>25</v>
      </c>
      <c r="B285" s="7" t="s">
        <v>656</v>
      </c>
      <c r="C285" s="6">
        <v>510782</v>
      </c>
      <c r="D285" s="6" t="s">
        <v>657</v>
      </c>
      <c r="E285" s="6">
        <v>1</v>
      </c>
      <c r="F285" s="6">
        <v>9</v>
      </c>
      <c r="G285" s="6" t="s">
        <v>179</v>
      </c>
      <c r="I285" s="8">
        <v>86.158515138888902</v>
      </c>
      <c r="J285" s="8">
        <v>117.89724090277799</v>
      </c>
      <c r="K285" s="6" t="s">
        <v>29</v>
      </c>
      <c r="L285" s="6" t="s">
        <v>335</v>
      </c>
      <c r="M285" s="9">
        <v>43796</v>
      </c>
      <c r="O285" s="6">
        <v>9</v>
      </c>
      <c r="P285" s="6" t="s">
        <v>4272</v>
      </c>
      <c r="Q285" s="8">
        <v>-2.75</v>
      </c>
      <c r="R285" s="10" t="s">
        <v>658</v>
      </c>
      <c r="S285" s="10">
        <v>49</v>
      </c>
      <c r="T285" s="10">
        <v>58</v>
      </c>
      <c r="U285" s="10">
        <f t="shared" si="8"/>
        <v>53.5</v>
      </c>
      <c r="V285" s="11">
        <v>5.2</v>
      </c>
      <c r="W285" s="8">
        <v>0.70111793279647805</v>
      </c>
      <c r="X285" s="8">
        <v>6.2307087655067441</v>
      </c>
      <c r="Y285" s="8">
        <f t="shared" si="9"/>
        <v>0.62176530313491973</v>
      </c>
    </row>
    <row r="286" spans="1:25" s="6" customFormat="1" x14ac:dyDescent="0.35">
      <c r="A286" s="6" t="s">
        <v>25</v>
      </c>
      <c r="B286" s="7" t="s">
        <v>680</v>
      </c>
      <c r="C286" s="6">
        <v>510834</v>
      </c>
      <c r="D286" s="6" t="s">
        <v>681</v>
      </c>
      <c r="E286" s="6">
        <v>1</v>
      </c>
      <c r="F286" s="6">
        <v>9</v>
      </c>
      <c r="G286" s="6" t="s">
        <v>272</v>
      </c>
      <c r="I286" s="8">
        <v>86.154772777777794</v>
      </c>
      <c r="J286" s="8">
        <v>116.51710749999999</v>
      </c>
      <c r="K286" s="6" t="s">
        <v>29</v>
      </c>
      <c r="L286" s="6" t="s">
        <v>546</v>
      </c>
      <c r="M286" s="9">
        <v>43797</v>
      </c>
      <c r="O286" s="6">
        <v>9</v>
      </c>
      <c r="P286" s="6" t="s">
        <v>4273</v>
      </c>
      <c r="Q286" s="8">
        <v>-18.3</v>
      </c>
      <c r="R286" s="10" t="s">
        <v>64</v>
      </c>
      <c r="S286" s="10">
        <v>0</v>
      </c>
      <c r="T286" s="10">
        <v>10</v>
      </c>
      <c r="U286" s="10">
        <f t="shared" si="8"/>
        <v>5</v>
      </c>
      <c r="V286" s="11">
        <v>1.3</v>
      </c>
      <c r="W286" s="8">
        <v>-10.595552635192872</v>
      </c>
      <c r="X286" s="8">
        <v>-79.949064231872555</v>
      </c>
      <c r="Y286" s="8">
        <f t="shared" si="9"/>
        <v>4.8153568496704224</v>
      </c>
    </row>
    <row r="287" spans="1:25" s="6" customFormat="1" x14ac:dyDescent="0.35">
      <c r="A287" s="6" t="s">
        <v>25</v>
      </c>
      <c r="B287" s="7" t="s">
        <v>686</v>
      </c>
      <c r="C287" s="6">
        <v>510824</v>
      </c>
      <c r="D287" s="6" t="s">
        <v>687</v>
      </c>
      <c r="E287" s="6">
        <v>1</v>
      </c>
      <c r="F287" s="6">
        <v>9</v>
      </c>
      <c r="G287" s="6" t="s">
        <v>272</v>
      </c>
      <c r="I287" s="8">
        <v>86.154772777777794</v>
      </c>
      <c r="J287" s="8">
        <v>116.51710749999999</v>
      </c>
      <c r="K287" s="6" t="s">
        <v>29</v>
      </c>
      <c r="L287" s="6" t="s">
        <v>546</v>
      </c>
      <c r="M287" s="9">
        <v>43797</v>
      </c>
      <c r="O287" s="6">
        <v>9</v>
      </c>
      <c r="P287" s="6" t="s">
        <v>4273</v>
      </c>
      <c r="Q287" s="8">
        <v>-18.3</v>
      </c>
      <c r="R287" s="10" t="s">
        <v>688</v>
      </c>
      <c r="S287" s="10">
        <v>0</v>
      </c>
      <c r="T287" s="10">
        <v>10.5</v>
      </c>
      <c r="U287" s="10">
        <f t="shared" si="8"/>
        <v>5.25</v>
      </c>
      <c r="V287" s="11">
        <v>0.1</v>
      </c>
      <c r="W287" s="8">
        <v>-10.213447761535644</v>
      </c>
      <c r="X287" s="8">
        <v>-77.42768933105468</v>
      </c>
      <c r="Y287" s="8">
        <f t="shared" si="9"/>
        <v>4.2798927612304709</v>
      </c>
    </row>
    <row r="288" spans="1:25" s="6" customFormat="1" x14ac:dyDescent="0.35">
      <c r="A288" s="6" t="s">
        <v>25</v>
      </c>
      <c r="B288" s="7" t="s">
        <v>682</v>
      </c>
      <c r="C288" s="6">
        <v>510835</v>
      </c>
      <c r="D288" s="6" t="s">
        <v>683</v>
      </c>
      <c r="E288" s="6">
        <v>1</v>
      </c>
      <c r="F288" s="6">
        <v>9</v>
      </c>
      <c r="G288" s="6" t="s">
        <v>272</v>
      </c>
      <c r="I288" s="8">
        <v>86.154772777777794</v>
      </c>
      <c r="J288" s="8">
        <v>116.51710749999999</v>
      </c>
      <c r="K288" s="6" t="s">
        <v>29</v>
      </c>
      <c r="L288" s="6" t="s">
        <v>546</v>
      </c>
      <c r="M288" s="9">
        <v>43797</v>
      </c>
      <c r="O288" s="6">
        <v>9</v>
      </c>
      <c r="P288" s="6" t="s">
        <v>4273</v>
      </c>
      <c r="Q288" s="8">
        <v>-17.533333333333331</v>
      </c>
      <c r="R288" s="10" t="s">
        <v>138</v>
      </c>
      <c r="S288" s="10">
        <v>10</v>
      </c>
      <c r="T288" s="10">
        <v>20</v>
      </c>
      <c r="U288" s="10">
        <f t="shared" si="8"/>
        <v>15</v>
      </c>
      <c r="V288" s="11">
        <v>0</v>
      </c>
      <c r="W288" s="8">
        <v>-9.2938529968261712</v>
      </c>
      <c r="X288" s="8">
        <v>-70.179736763000491</v>
      </c>
      <c r="Y288" s="8">
        <f t="shared" si="9"/>
        <v>4.171087211608878</v>
      </c>
    </row>
    <row r="289" spans="1:25" s="6" customFormat="1" x14ac:dyDescent="0.35">
      <c r="A289" s="6" t="s">
        <v>25</v>
      </c>
      <c r="B289" s="7" t="s">
        <v>696</v>
      </c>
      <c r="C289" s="6">
        <v>510825</v>
      </c>
      <c r="D289" s="6" t="s">
        <v>697</v>
      </c>
      <c r="E289" s="6">
        <v>1</v>
      </c>
      <c r="F289" s="6">
        <v>9</v>
      </c>
      <c r="G289" s="6" t="s">
        <v>272</v>
      </c>
      <c r="I289" s="8">
        <v>86.154772777777794</v>
      </c>
      <c r="J289" s="8">
        <v>116.51710749999999</v>
      </c>
      <c r="K289" s="6" t="s">
        <v>29</v>
      </c>
      <c r="L289" s="6" t="s">
        <v>546</v>
      </c>
      <c r="M289" s="9">
        <v>43797</v>
      </c>
      <c r="O289" s="6">
        <v>9</v>
      </c>
      <c r="P289" s="6" t="s">
        <v>4273</v>
      </c>
      <c r="Q289" s="8">
        <v>-17.533333333333331</v>
      </c>
      <c r="R289" s="10" t="s">
        <v>698</v>
      </c>
      <c r="S289" s="10">
        <v>10.5</v>
      </c>
      <c r="T289" s="10">
        <v>20.5</v>
      </c>
      <c r="U289" s="10">
        <f t="shared" si="8"/>
        <v>15.5</v>
      </c>
      <c r="V289" s="11">
        <v>0</v>
      </c>
      <c r="W289" s="8">
        <v>-8.3274051666259776</v>
      </c>
      <c r="X289" s="8">
        <v>-63.702220344543456</v>
      </c>
      <c r="Y289" s="8">
        <f t="shared" si="9"/>
        <v>2.9170209884643654</v>
      </c>
    </row>
    <row r="290" spans="1:25" s="6" customFormat="1" x14ac:dyDescent="0.35">
      <c r="A290" s="6" t="s">
        <v>25</v>
      </c>
      <c r="B290" s="7" t="s">
        <v>672</v>
      </c>
      <c r="C290" s="6">
        <v>510836</v>
      </c>
      <c r="D290" s="6" t="s">
        <v>673</v>
      </c>
      <c r="E290" s="6">
        <v>1</v>
      </c>
      <c r="F290" s="6">
        <v>9</v>
      </c>
      <c r="G290" s="6" t="s">
        <v>272</v>
      </c>
      <c r="I290" s="8">
        <v>86.154772777777794</v>
      </c>
      <c r="J290" s="8">
        <v>116.51710749999999</v>
      </c>
      <c r="K290" s="6" t="s">
        <v>29</v>
      </c>
      <c r="L290" s="6" t="s">
        <v>546</v>
      </c>
      <c r="M290" s="9">
        <v>43797</v>
      </c>
      <c r="O290" s="6">
        <v>9</v>
      </c>
      <c r="P290" s="6" t="s">
        <v>4273</v>
      </c>
      <c r="Q290" s="8">
        <v>-15.9</v>
      </c>
      <c r="R290" s="10" t="s">
        <v>146</v>
      </c>
      <c r="S290" s="10">
        <v>20</v>
      </c>
      <c r="T290" s="10">
        <v>30</v>
      </c>
      <c r="U290" s="10">
        <f t="shared" si="8"/>
        <v>25</v>
      </c>
      <c r="V290" s="11">
        <v>0</v>
      </c>
      <c r="W290" s="8">
        <v>-8.3745422363281268</v>
      </c>
      <c r="X290" s="8">
        <v>-63.300843948364253</v>
      </c>
      <c r="Y290" s="8">
        <f t="shared" si="9"/>
        <v>3.6954939422607609</v>
      </c>
    </row>
    <row r="291" spans="1:25" s="6" customFormat="1" x14ac:dyDescent="0.35">
      <c r="A291" s="6" t="s">
        <v>25</v>
      </c>
      <c r="B291" s="7" t="s">
        <v>707</v>
      </c>
      <c r="C291" s="6">
        <v>510826</v>
      </c>
      <c r="D291" s="6" t="s">
        <v>708</v>
      </c>
      <c r="E291" s="6">
        <v>1</v>
      </c>
      <c r="F291" s="6">
        <v>9</v>
      </c>
      <c r="G291" s="6" t="s">
        <v>272</v>
      </c>
      <c r="I291" s="8">
        <v>86.154772777777794</v>
      </c>
      <c r="J291" s="8">
        <v>116.51710749999999</v>
      </c>
      <c r="K291" s="6" t="s">
        <v>29</v>
      </c>
      <c r="L291" s="6" t="s">
        <v>546</v>
      </c>
      <c r="M291" s="9">
        <v>43797</v>
      </c>
      <c r="O291" s="6">
        <v>9</v>
      </c>
      <c r="P291" s="6" t="s">
        <v>4273</v>
      </c>
      <c r="Q291" s="8">
        <v>-15.9</v>
      </c>
      <c r="R291" s="10" t="s">
        <v>709</v>
      </c>
      <c r="S291" s="10">
        <v>20.5</v>
      </c>
      <c r="T291" s="10">
        <v>30.5</v>
      </c>
      <c r="U291" s="10">
        <f t="shared" si="8"/>
        <v>25.5</v>
      </c>
      <c r="V291" s="11">
        <v>0</v>
      </c>
      <c r="W291" s="8">
        <v>-6.8677606296539304</v>
      </c>
      <c r="X291" s="8">
        <v>-52.347490077972409</v>
      </c>
      <c r="Y291" s="8">
        <f t="shared" si="9"/>
        <v>2.5945949592590338</v>
      </c>
    </row>
    <row r="292" spans="1:25" s="6" customFormat="1" x14ac:dyDescent="0.35">
      <c r="A292" s="6" t="s">
        <v>25</v>
      </c>
      <c r="B292" s="7" t="s">
        <v>674</v>
      </c>
      <c r="C292" s="6">
        <v>510837</v>
      </c>
      <c r="D292" s="6" t="s">
        <v>675</v>
      </c>
      <c r="E292" s="6">
        <v>1</v>
      </c>
      <c r="F292" s="6">
        <v>9</v>
      </c>
      <c r="G292" s="6" t="s">
        <v>272</v>
      </c>
      <c r="I292" s="8">
        <v>86.154772777777794</v>
      </c>
      <c r="J292" s="8">
        <v>116.51710749999999</v>
      </c>
      <c r="K292" s="6" t="s">
        <v>29</v>
      </c>
      <c r="L292" s="6" t="s">
        <v>546</v>
      </c>
      <c r="M292" s="9">
        <v>43797</v>
      </c>
      <c r="O292" s="6">
        <v>9</v>
      </c>
      <c r="P292" s="6" t="s">
        <v>4273</v>
      </c>
      <c r="Q292" s="8">
        <v>-14.85</v>
      </c>
      <c r="R292" s="10" t="s">
        <v>157</v>
      </c>
      <c r="S292" s="10">
        <v>30</v>
      </c>
      <c r="T292" s="10">
        <v>40</v>
      </c>
      <c r="U292" s="10">
        <f t="shared" si="8"/>
        <v>35</v>
      </c>
      <c r="V292" s="11">
        <v>0</v>
      </c>
      <c r="W292" s="8">
        <v>-7.5786032676696777</v>
      </c>
      <c r="X292" s="8">
        <v>-58.790032283782956</v>
      </c>
      <c r="Y292" s="8">
        <f t="shared" si="9"/>
        <v>1.8387938575744656</v>
      </c>
    </row>
    <row r="293" spans="1:25" s="6" customFormat="1" x14ac:dyDescent="0.35">
      <c r="A293" s="6" t="s">
        <v>25</v>
      </c>
      <c r="B293" s="7" t="s">
        <v>699</v>
      </c>
      <c r="C293" s="6">
        <v>510827</v>
      </c>
      <c r="D293" s="6" t="s">
        <v>700</v>
      </c>
      <c r="E293" s="6">
        <v>1</v>
      </c>
      <c r="F293" s="6">
        <v>9</v>
      </c>
      <c r="G293" s="6" t="s">
        <v>272</v>
      </c>
      <c r="I293" s="8">
        <v>86.154772777777794</v>
      </c>
      <c r="J293" s="8">
        <v>116.51710749999999</v>
      </c>
      <c r="K293" s="6" t="s">
        <v>29</v>
      </c>
      <c r="L293" s="6" t="s">
        <v>546</v>
      </c>
      <c r="M293" s="9">
        <v>43797</v>
      </c>
      <c r="O293" s="6">
        <v>9</v>
      </c>
      <c r="P293" s="6" t="s">
        <v>4273</v>
      </c>
      <c r="Q293" s="8">
        <v>-14.85</v>
      </c>
      <c r="R293" s="10" t="s">
        <v>701</v>
      </c>
      <c r="S293" s="10">
        <v>30.5</v>
      </c>
      <c r="T293" s="10">
        <v>40</v>
      </c>
      <c r="U293" s="10">
        <f t="shared" si="8"/>
        <v>35.25</v>
      </c>
      <c r="V293" s="11">
        <v>0</v>
      </c>
      <c r="W293" s="8">
        <v>-8.2914907455444329</v>
      </c>
      <c r="X293" s="8">
        <v>-63.329500511169435</v>
      </c>
      <c r="Y293" s="8">
        <f t="shared" si="9"/>
        <v>3.0024254531860279</v>
      </c>
    </row>
    <row r="294" spans="1:25" s="6" customFormat="1" x14ac:dyDescent="0.35">
      <c r="A294" s="6" t="s">
        <v>25</v>
      </c>
      <c r="B294" s="7" t="s">
        <v>670</v>
      </c>
      <c r="C294" s="6">
        <v>510838</v>
      </c>
      <c r="D294" s="6" t="s">
        <v>671</v>
      </c>
      <c r="E294" s="6">
        <v>1</v>
      </c>
      <c r="F294" s="6">
        <v>9</v>
      </c>
      <c r="G294" s="6" t="s">
        <v>272</v>
      </c>
      <c r="I294" s="8">
        <v>86.154772777777794</v>
      </c>
      <c r="J294" s="8">
        <v>116.51710749999999</v>
      </c>
      <c r="K294" s="6" t="s">
        <v>29</v>
      </c>
      <c r="L294" s="6" t="s">
        <v>546</v>
      </c>
      <c r="M294" s="9">
        <v>43797</v>
      </c>
      <c r="O294" s="6">
        <v>9</v>
      </c>
      <c r="P294" s="6" t="s">
        <v>4273</v>
      </c>
      <c r="Q294" s="8">
        <v>-13.65</v>
      </c>
      <c r="R294" s="10" t="s">
        <v>159</v>
      </c>
      <c r="S294" s="10">
        <v>40</v>
      </c>
      <c r="T294" s="10">
        <v>50</v>
      </c>
      <c r="U294" s="10">
        <f t="shared" si="8"/>
        <v>45</v>
      </c>
      <c r="V294" s="11">
        <v>0</v>
      </c>
      <c r="W294" s="8">
        <v>-4.0977993011474609</v>
      </c>
      <c r="X294" s="8">
        <v>-31.60804933166504</v>
      </c>
      <c r="Y294" s="8">
        <f t="shared" si="9"/>
        <v>1.1743450775146478</v>
      </c>
    </row>
    <row r="295" spans="1:25" s="6" customFormat="1" x14ac:dyDescent="0.35">
      <c r="A295" s="6" t="s">
        <v>25</v>
      </c>
      <c r="B295" s="7" t="s">
        <v>702</v>
      </c>
      <c r="C295" s="6">
        <v>510828</v>
      </c>
      <c r="D295" s="6" t="s">
        <v>703</v>
      </c>
      <c r="E295" s="6">
        <v>1</v>
      </c>
      <c r="F295" s="6">
        <v>9</v>
      </c>
      <c r="G295" s="6" t="s">
        <v>272</v>
      </c>
      <c r="I295" s="8">
        <v>86.154772777777794</v>
      </c>
      <c r="J295" s="8">
        <v>116.51710749999999</v>
      </c>
      <c r="K295" s="6" t="s">
        <v>29</v>
      </c>
      <c r="L295" s="6" t="s">
        <v>546</v>
      </c>
      <c r="M295" s="9">
        <v>43797</v>
      </c>
      <c r="O295" s="6">
        <v>9</v>
      </c>
      <c r="P295" s="6" t="s">
        <v>4273</v>
      </c>
      <c r="Q295" s="8">
        <v>-13.65</v>
      </c>
      <c r="R295" s="10" t="s">
        <v>704</v>
      </c>
      <c r="S295" s="10">
        <v>40</v>
      </c>
      <c r="T295" s="10">
        <v>50</v>
      </c>
      <c r="U295" s="10">
        <f t="shared" si="8"/>
        <v>45</v>
      </c>
      <c r="V295" s="11">
        <v>0</v>
      </c>
      <c r="W295" s="8">
        <v>-4.5763923645019542</v>
      </c>
      <c r="X295" s="8">
        <v>-35.642104660034178</v>
      </c>
      <c r="Y295" s="8">
        <f t="shared" si="9"/>
        <v>0.96903425598145532</v>
      </c>
    </row>
    <row r="296" spans="1:25" s="6" customFormat="1" x14ac:dyDescent="0.35">
      <c r="A296" s="6" t="s">
        <v>25</v>
      </c>
      <c r="B296" s="7" t="s">
        <v>684</v>
      </c>
      <c r="C296" s="6">
        <v>510839</v>
      </c>
      <c r="D296" s="6" t="s">
        <v>685</v>
      </c>
      <c r="E296" s="6">
        <v>1</v>
      </c>
      <c r="F296" s="6">
        <v>9</v>
      </c>
      <c r="G296" s="6" t="s">
        <v>272</v>
      </c>
      <c r="I296" s="8">
        <v>86.154772777777794</v>
      </c>
      <c r="J296" s="8">
        <v>116.51710749999999</v>
      </c>
      <c r="K296" s="6" t="s">
        <v>29</v>
      </c>
      <c r="L296" s="6" t="s">
        <v>546</v>
      </c>
      <c r="M296" s="9">
        <v>43797</v>
      </c>
      <c r="O296" s="6">
        <v>9</v>
      </c>
      <c r="P296" s="6" t="s">
        <v>4273</v>
      </c>
      <c r="Q296" s="8">
        <v>-11</v>
      </c>
      <c r="R296" s="10" t="s">
        <v>161</v>
      </c>
      <c r="S296" s="10">
        <v>50</v>
      </c>
      <c r="T296" s="10">
        <v>60</v>
      </c>
      <c r="U296" s="10">
        <f t="shared" si="8"/>
        <v>55</v>
      </c>
      <c r="V296" s="11">
        <v>0</v>
      </c>
      <c r="W296" s="8">
        <v>-5.1306511878967305</v>
      </c>
      <c r="X296" s="8">
        <v>-39.316722633361806</v>
      </c>
      <c r="Y296" s="8">
        <f t="shared" si="9"/>
        <v>1.7284868698120377</v>
      </c>
    </row>
    <row r="297" spans="1:25" s="6" customFormat="1" x14ac:dyDescent="0.35">
      <c r="A297" s="6" t="s">
        <v>25</v>
      </c>
      <c r="B297" s="7" t="s">
        <v>705</v>
      </c>
      <c r="C297" s="6">
        <v>510829</v>
      </c>
      <c r="D297" s="6" t="s">
        <v>706</v>
      </c>
      <c r="E297" s="6">
        <v>1</v>
      </c>
      <c r="F297" s="6">
        <v>9</v>
      </c>
      <c r="G297" s="6" t="s">
        <v>272</v>
      </c>
      <c r="I297" s="8">
        <v>86.154772777777794</v>
      </c>
      <c r="J297" s="8">
        <v>116.51710749999999</v>
      </c>
      <c r="K297" s="6" t="s">
        <v>29</v>
      </c>
      <c r="L297" s="6" t="s">
        <v>546</v>
      </c>
      <c r="M297" s="9">
        <v>43797</v>
      </c>
      <c r="O297" s="6">
        <v>9</v>
      </c>
      <c r="P297" s="6" t="s">
        <v>4273</v>
      </c>
      <c r="Q297" s="8">
        <v>-11</v>
      </c>
      <c r="R297" s="10" t="s">
        <v>161</v>
      </c>
      <c r="S297" s="10">
        <v>50</v>
      </c>
      <c r="T297" s="10">
        <v>60</v>
      </c>
      <c r="U297" s="10">
        <f t="shared" si="8"/>
        <v>55</v>
      </c>
      <c r="V297" s="11">
        <v>0</v>
      </c>
      <c r="W297" s="8">
        <v>-6.0672330570220954</v>
      </c>
      <c r="X297" s="8">
        <v>-46.185987373352049</v>
      </c>
      <c r="Y297" s="8">
        <f t="shared" si="9"/>
        <v>2.3518770828247142</v>
      </c>
    </row>
    <row r="298" spans="1:25" s="6" customFormat="1" x14ac:dyDescent="0.35">
      <c r="A298" s="6" t="s">
        <v>25</v>
      </c>
      <c r="B298" s="7" t="s">
        <v>676</v>
      </c>
      <c r="C298" s="6">
        <v>510840</v>
      </c>
      <c r="D298" s="6" t="s">
        <v>677</v>
      </c>
      <c r="E298" s="6">
        <v>1</v>
      </c>
      <c r="F298" s="6">
        <v>9</v>
      </c>
      <c r="G298" s="6" t="s">
        <v>272</v>
      </c>
      <c r="I298" s="8">
        <v>86.154772777777794</v>
      </c>
      <c r="J298" s="8">
        <v>116.51710749999999</v>
      </c>
      <c r="K298" s="6" t="s">
        <v>29</v>
      </c>
      <c r="L298" s="6" t="s">
        <v>546</v>
      </c>
      <c r="M298" s="9">
        <v>43797</v>
      </c>
      <c r="O298" s="6">
        <v>9</v>
      </c>
      <c r="P298" s="6" t="s">
        <v>4273</v>
      </c>
      <c r="Q298" s="8">
        <v>-8.6333333333333346</v>
      </c>
      <c r="R298" s="10" t="s">
        <v>163</v>
      </c>
      <c r="S298" s="10">
        <v>60</v>
      </c>
      <c r="T298" s="10">
        <v>70</v>
      </c>
      <c r="U298" s="10">
        <f t="shared" si="8"/>
        <v>65</v>
      </c>
      <c r="V298" s="11">
        <v>0</v>
      </c>
      <c r="W298" s="8">
        <v>-6.7291829109191905</v>
      </c>
      <c r="X298" s="8">
        <v>-50.793325630187987</v>
      </c>
      <c r="Y298" s="8">
        <f t="shared" si="9"/>
        <v>3.0401376571655376</v>
      </c>
    </row>
    <row r="299" spans="1:25" s="6" customFormat="1" x14ac:dyDescent="0.35">
      <c r="A299" s="6" t="s">
        <v>25</v>
      </c>
      <c r="B299" s="7" t="s">
        <v>710</v>
      </c>
      <c r="C299" s="6">
        <v>510830</v>
      </c>
      <c r="D299" s="6" t="s">
        <v>711</v>
      </c>
      <c r="E299" s="6">
        <v>1</v>
      </c>
      <c r="F299" s="6">
        <v>9</v>
      </c>
      <c r="G299" s="6" t="s">
        <v>272</v>
      </c>
      <c r="I299" s="8">
        <v>86.154772777777794</v>
      </c>
      <c r="J299" s="8">
        <v>116.51710749999999</v>
      </c>
      <c r="K299" s="6" t="s">
        <v>29</v>
      </c>
      <c r="L299" s="6" t="s">
        <v>546</v>
      </c>
      <c r="M299" s="9">
        <v>43797</v>
      </c>
      <c r="O299" s="6">
        <v>9</v>
      </c>
      <c r="P299" s="6" t="s">
        <v>4273</v>
      </c>
      <c r="Q299" s="8">
        <v>-8.6333333333333346</v>
      </c>
      <c r="R299" s="10" t="s">
        <v>163</v>
      </c>
      <c r="S299" s="10">
        <v>60</v>
      </c>
      <c r="T299" s="10">
        <v>70</v>
      </c>
      <c r="U299" s="10">
        <f t="shared" si="8"/>
        <v>65</v>
      </c>
      <c r="V299" s="11">
        <v>0.2</v>
      </c>
      <c r="W299" s="8">
        <v>-7.9346642208099372</v>
      </c>
      <c r="X299" s="8">
        <v>-59.06503889465332</v>
      </c>
      <c r="Y299" s="8">
        <f t="shared" si="9"/>
        <v>4.4122748718261775</v>
      </c>
    </row>
    <row r="300" spans="1:25" s="6" customFormat="1" x14ac:dyDescent="0.35">
      <c r="A300" s="6" t="s">
        <v>25</v>
      </c>
      <c r="B300" s="7" t="s">
        <v>689</v>
      </c>
      <c r="C300" s="6">
        <v>510831</v>
      </c>
      <c r="D300" s="6" t="s">
        <v>690</v>
      </c>
      <c r="E300" s="6">
        <v>1</v>
      </c>
      <c r="F300" s="6">
        <v>9</v>
      </c>
      <c r="G300" s="6" t="s">
        <v>272</v>
      </c>
      <c r="I300" s="8">
        <v>86.154772777777794</v>
      </c>
      <c r="J300" s="8">
        <v>116.51710749999999</v>
      </c>
      <c r="K300" s="6" t="s">
        <v>29</v>
      </c>
      <c r="L300" s="6" t="s">
        <v>546</v>
      </c>
      <c r="M300" s="9">
        <v>43797</v>
      </c>
      <c r="O300" s="6">
        <v>9</v>
      </c>
      <c r="P300" s="6" t="s">
        <v>4273</v>
      </c>
      <c r="Q300" s="8">
        <v>-4.7</v>
      </c>
      <c r="R300" s="10" t="s">
        <v>165</v>
      </c>
      <c r="S300" s="10">
        <v>70</v>
      </c>
      <c r="T300" s="10">
        <v>80</v>
      </c>
      <c r="U300" s="10">
        <f t="shared" si="8"/>
        <v>75</v>
      </c>
      <c r="V300" s="11">
        <v>0.2</v>
      </c>
      <c r="W300" s="8">
        <v>-7.0378629684448244</v>
      </c>
      <c r="X300" s="8">
        <v>-52.557332599639892</v>
      </c>
      <c r="Y300" s="8">
        <f t="shared" si="9"/>
        <v>3.745571147918703</v>
      </c>
    </row>
    <row r="301" spans="1:25" s="6" customFormat="1" x14ac:dyDescent="0.35">
      <c r="A301" s="6" t="s">
        <v>25</v>
      </c>
      <c r="B301" s="7" t="s">
        <v>678</v>
      </c>
      <c r="C301" s="6">
        <v>510852</v>
      </c>
      <c r="D301" s="6" t="s">
        <v>679</v>
      </c>
      <c r="E301" s="6">
        <v>1</v>
      </c>
      <c r="F301" s="6">
        <v>9</v>
      </c>
      <c r="G301" s="6" t="s">
        <v>272</v>
      </c>
      <c r="I301" s="8">
        <v>86.154772777777794</v>
      </c>
      <c r="J301" s="8">
        <v>116.51710749999999</v>
      </c>
      <c r="K301" s="6" t="s">
        <v>29</v>
      </c>
      <c r="L301" s="6" t="s">
        <v>546</v>
      </c>
      <c r="M301" s="9">
        <v>43797</v>
      </c>
      <c r="O301" s="6">
        <v>9</v>
      </c>
      <c r="P301" s="6" t="s">
        <v>4273</v>
      </c>
      <c r="Q301" s="8">
        <v>-4.7</v>
      </c>
      <c r="R301" s="10" t="s">
        <v>544</v>
      </c>
      <c r="S301" s="10">
        <v>70</v>
      </c>
      <c r="T301" s="10">
        <v>82</v>
      </c>
      <c r="U301" s="10">
        <f t="shared" si="8"/>
        <v>76</v>
      </c>
      <c r="V301" s="11">
        <v>0.7</v>
      </c>
      <c r="W301" s="8">
        <v>-9.0278388977050774</v>
      </c>
      <c r="X301" s="8">
        <v>-66.617486717224125</v>
      </c>
      <c r="Y301" s="8">
        <f t="shared" si="9"/>
        <v>5.6052244644164944</v>
      </c>
    </row>
    <row r="302" spans="1:25" s="6" customFormat="1" x14ac:dyDescent="0.35">
      <c r="A302" s="6" t="s">
        <v>25</v>
      </c>
      <c r="B302" s="7" t="s">
        <v>691</v>
      </c>
      <c r="C302" s="6">
        <v>510832</v>
      </c>
      <c r="D302" s="6" t="s">
        <v>692</v>
      </c>
      <c r="E302" s="6">
        <v>1</v>
      </c>
      <c r="F302" s="6">
        <v>9</v>
      </c>
      <c r="G302" s="6" t="s">
        <v>272</v>
      </c>
      <c r="I302" s="8">
        <v>86.154772777777794</v>
      </c>
      <c r="J302" s="8">
        <v>116.51710749999999</v>
      </c>
      <c r="K302" s="6" t="s">
        <v>29</v>
      </c>
      <c r="L302" s="6" t="s">
        <v>546</v>
      </c>
      <c r="M302" s="9">
        <v>43797</v>
      </c>
      <c r="O302" s="6">
        <v>9</v>
      </c>
      <c r="P302" s="6" t="s">
        <v>4273</v>
      </c>
      <c r="Q302" s="8">
        <v>-2.1</v>
      </c>
      <c r="R302" s="10" t="s">
        <v>167</v>
      </c>
      <c r="S302" s="10">
        <v>80</v>
      </c>
      <c r="T302" s="10">
        <v>90</v>
      </c>
      <c r="U302" s="10">
        <f t="shared" si="8"/>
        <v>85</v>
      </c>
      <c r="V302" s="11">
        <v>0</v>
      </c>
      <c r="W302" s="8">
        <v>-5.6694361686706545</v>
      </c>
      <c r="X302" s="8">
        <v>-43.136583446502684</v>
      </c>
      <c r="Y302" s="8">
        <f t="shared" si="9"/>
        <v>2.2189059028625522</v>
      </c>
    </row>
    <row r="303" spans="1:25" s="6" customFormat="1" x14ac:dyDescent="0.35">
      <c r="A303" s="6" t="s">
        <v>25</v>
      </c>
      <c r="B303" s="7" t="s">
        <v>693</v>
      </c>
      <c r="C303" s="6">
        <v>510833</v>
      </c>
      <c r="D303" s="6" t="s">
        <v>694</v>
      </c>
      <c r="E303" s="6">
        <v>1</v>
      </c>
      <c r="F303" s="6">
        <v>9</v>
      </c>
      <c r="G303" s="6" t="s">
        <v>272</v>
      </c>
      <c r="I303" s="8">
        <v>86.154772777777794</v>
      </c>
      <c r="J303" s="8">
        <v>116.51710749999999</v>
      </c>
      <c r="K303" s="6" t="s">
        <v>29</v>
      </c>
      <c r="L303" s="6" t="s">
        <v>546</v>
      </c>
      <c r="M303" s="9">
        <v>43797</v>
      </c>
      <c r="O303" s="6">
        <v>9</v>
      </c>
      <c r="P303" s="6" t="s">
        <v>4273</v>
      </c>
      <c r="Q303" s="8">
        <v>-1.8</v>
      </c>
      <c r="R303" s="10" t="s">
        <v>695</v>
      </c>
      <c r="S303" s="10">
        <v>90</v>
      </c>
      <c r="T303" s="10">
        <v>98.5</v>
      </c>
      <c r="U303" s="10">
        <f t="shared" si="8"/>
        <v>94.25</v>
      </c>
      <c r="V303" s="11">
        <v>0.4</v>
      </c>
      <c r="W303" s="8">
        <v>-5.2159769058227541</v>
      </c>
      <c r="X303" s="8">
        <v>-40.017617862701414</v>
      </c>
      <c r="Y303" s="8">
        <f t="shared" si="9"/>
        <v>1.7101973838806188</v>
      </c>
    </row>
    <row r="304" spans="1:25" s="6" customFormat="1" x14ac:dyDescent="0.35">
      <c r="A304" s="6" t="s">
        <v>25</v>
      </c>
      <c r="B304" s="7"/>
      <c r="C304" s="6">
        <v>510945</v>
      </c>
      <c r="D304" s="6" t="s">
        <v>747</v>
      </c>
      <c r="E304" s="6">
        <v>1</v>
      </c>
      <c r="F304" s="6">
        <v>10</v>
      </c>
      <c r="G304" s="6" t="s">
        <v>202</v>
      </c>
      <c r="H304" s="6">
        <v>7.6</v>
      </c>
      <c r="I304" s="8">
        <v>85.933882569444407</v>
      </c>
      <c r="J304" s="8">
        <v>114.06437159722201</v>
      </c>
      <c r="K304" s="6" t="s">
        <v>29</v>
      </c>
      <c r="L304" s="6" t="s">
        <v>335</v>
      </c>
      <c r="M304" s="9">
        <v>43801</v>
      </c>
      <c r="O304" s="6">
        <v>10</v>
      </c>
      <c r="P304" s="6" t="s">
        <v>4277</v>
      </c>
      <c r="R304" s="6" t="s">
        <v>64</v>
      </c>
      <c r="S304" s="6">
        <v>0</v>
      </c>
      <c r="T304" s="6">
        <v>10</v>
      </c>
      <c r="U304" s="10">
        <f t="shared" si="8"/>
        <v>5</v>
      </c>
      <c r="V304" s="6">
        <v>5.3</v>
      </c>
      <c r="W304" s="8">
        <v>-1.4482838597893665E-2</v>
      </c>
      <c r="X304" s="8">
        <v>-1.6035538144111625</v>
      </c>
      <c r="Y304" s="8">
        <f t="shared" si="9"/>
        <v>-1.4876911056280131</v>
      </c>
    </row>
    <row r="305" spans="1:25" s="6" customFormat="1" x14ac:dyDescent="0.35">
      <c r="A305" s="6" t="s">
        <v>25</v>
      </c>
      <c r="B305" s="7"/>
      <c r="C305" s="6">
        <v>510946</v>
      </c>
      <c r="D305" s="6" t="s">
        <v>747</v>
      </c>
      <c r="E305" s="6">
        <v>1</v>
      </c>
      <c r="F305" s="6">
        <v>10</v>
      </c>
      <c r="G305" s="6" t="s">
        <v>202</v>
      </c>
      <c r="H305" s="6">
        <v>7.6</v>
      </c>
      <c r="I305" s="8">
        <v>85.933882569444407</v>
      </c>
      <c r="J305" s="8">
        <v>114.06437159722201</v>
      </c>
      <c r="K305" s="6" t="s">
        <v>29</v>
      </c>
      <c r="L305" s="6" t="s">
        <v>335</v>
      </c>
      <c r="M305" s="9">
        <v>43801</v>
      </c>
      <c r="O305" s="6">
        <v>10</v>
      </c>
      <c r="P305" s="6" t="s">
        <v>4277</v>
      </c>
      <c r="R305" s="6" t="s">
        <v>138</v>
      </c>
      <c r="S305" s="6">
        <v>10</v>
      </c>
      <c r="T305" s="6">
        <v>20</v>
      </c>
      <c r="U305" s="10">
        <f t="shared" si="8"/>
        <v>15</v>
      </c>
      <c r="V305" s="6">
        <v>4.9000000000000004</v>
      </c>
      <c r="W305" s="8">
        <v>-1.7017200886726387</v>
      </c>
      <c r="X305" s="8">
        <v>-13.1204226064682</v>
      </c>
      <c r="Y305" s="8">
        <f t="shared" si="9"/>
        <v>0.4933381029129098</v>
      </c>
    </row>
    <row r="306" spans="1:25" s="6" customFormat="1" x14ac:dyDescent="0.35">
      <c r="A306" s="6" t="s">
        <v>25</v>
      </c>
      <c r="B306" s="7"/>
      <c r="C306" s="6">
        <v>510947</v>
      </c>
      <c r="D306" s="6" t="s">
        <v>747</v>
      </c>
      <c r="E306" s="6">
        <v>1</v>
      </c>
      <c r="F306" s="6">
        <v>10</v>
      </c>
      <c r="G306" s="6" t="s">
        <v>202</v>
      </c>
      <c r="H306" s="6">
        <v>7.6</v>
      </c>
      <c r="I306" s="8">
        <v>85.933882569444407</v>
      </c>
      <c r="J306" s="8">
        <v>114.06437159722201</v>
      </c>
      <c r="K306" s="6" t="s">
        <v>29</v>
      </c>
      <c r="L306" s="6" t="s">
        <v>335</v>
      </c>
      <c r="M306" s="9">
        <v>43801</v>
      </c>
      <c r="O306" s="6">
        <v>10</v>
      </c>
      <c r="P306" s="6" t="s">
        <v>4277</v>
      </c>
      <c r="R306" s="6" t="s">
        <v>146</v>
      </c>
      <c r="S306" s="6">
        <v>20</v>
      </c>
      <c r="T306" s="6">
        <v>30</v>
      </c>
      <c r="U306" s="10">
        <f t="shared" si="8"/>
        <v>25</v>
      </c>
      <c r="V306" s="6">
        <v>4.8</v>
      </c>
      <c r="W306" s="8">
        <v>0.27010248838663126</v>
      </c>
      <c r="X306" s="8">
        <v>0.79528664875030597</v>
      </c>
      <c r="Y306" s="8">
        <f t="shared" si="9"/>
        <v>-1.3655332583427442</v>
      </c>
    </row>
    <row r="307" spans="1:25" s="6" customFormat="1" x14ac:dyDescent="0.35">
      <c r="A307" s="6" t="s">
        <v>25</v>
      </c>
      <c r="B307" s="7"/>
      <c r="C307" s="6">
        <v>510949</v>
      </c>
      <c r="D307" s="6" t="s">
        <v>747</v>
      </c>
      <c r="E307" s="6">
        <v>1</v>
      </c>
      <c r="F307" s="6">
        <v>10</v>
      </c>
      <c r="G307" s="6" t="s">
        <v>202</v>
      </c>
      <c r="H307" s="6">
        <v>7.6</v>
      </c>
      <c r="I307" s="8">
        <v>85.933882569444407</v>
      </c>
      <c r="J307" s="8">
        <v>114.06437159722201</v>
      </c>
      <c r="K307" s="6" t="s">
        <v>29</v>
      </c>
      <c r="L307" s="6" t="s">
        <v>335</v>
      </c>
      <c r="M307" s="9">
        <v>43801</v>
      </c>
      <c r="O307" s="6">
        <v>10</v>
      </c>
      <c r="P307" s="6" t="s">
        <v>4277</v>
      </c>
      <c r="R307" s="6" t="s">
        <v>157</v>
      </c>
      <c r="S307" s="6">
        <v>30</v>
      </c>
      <c r="T307" s="6">
        <v>40</v>
      </c>
      <c r="U307" s="10">
        <f t="shared" si="8"/>
        <v>35</v>
      </c>
      <c r="V307" s="6">
        <v>5.3</v>
      </c>
      <c r="W307" s="8">
        <v>1.0935855397462848</v>
      </c>
      <c r="X307" s="8">
        <v>9.0776650342941281</v>
      </c>
      <c r="Y307" s="8">
        <f t="shared" si="9"/>
        <v>0.32898071632384962</v>
      </c>
    </row>
    <row r="308" spans="1:25" s="6" customFormat="1" x14ac:dyDescent="0.35">
      <c r="A308" s="6" t="s">
        <v>25</v>
      </c>
      <c r="B308" s="7"/>
      <c r="C308" s="6">
        <v>510950</v>
      </c>
      <c r="D308" s="6" t="s">
        <v>747</v>
      </c>
      <c r="E308" s="6">
        <v>1</v>
      </c>
      <c r="F308" s="6">
        <v>10</v>
      </c>
      <c r="G308" s="6" t="s">
        <v>202</v>
      </c>
      <c r="H308" s="6">
        <v>7.6</v>
      </c>
      <c r="I308" s="8">
        <v>85.933882569444407</v>
      </c>
      <c r="J308" s="8">
        <v>114.06437159722201</v>
      </c>
      <c r="K308" s="6" t="s">
        <v>29</v>
      </c>
      <c r="L308" s="6" t="s">
        <v>335</v>
      </c>
      <c r="M308" s="9">
        <v>43801</v>
      </c>
      <c r="O308" s="6">
        <v>10</v>
      </c>
      <c r="P308" s="6" t="s">
        <v>4277</v>
      </c>
      <c r="R308" s="6" t="s">
        <v>159</v>
      </c>
      <c r="S308" s="6">
        <v>40</v>
      </c>
      <c r="T308" s="6">
        <v>50</v>
      </c>
      <c r="U308" s="10">
        <f t="shared" si="8"/>
        <v>45</v>
      </c>
      <c r="V308" s="6">
        <v>3.4</v>
      </c>
      <c r="W308" s="8">
        <v>-1.2305602495193482</v>
      </c>
      <c r="X308" s="8">
        <v>-9.4396129767894745</v>
      </c>
      <c r="Y308" s="8">
        <f t="shared" si="9"/>
        <v>0.40486901936531083</v>
      </c>
    </row>
    <row r="309" spans="1:25" s="6" customFormat="1" x14ac:dyDescent="0.35">
      <c r="A309" s="6" t="s">
        <v>25</v>
      </c>
      <c r="B309" s="7"/>
      <c r="C309" s="6">
        <v>510951</v>
      </c>
      <c r="D309" s="6" t="s">
        <v>747</v>
      </c>
      <c r="E309" s="6">
        <v>1</v>
      </c>
      <c r="F309" s="6">
        <v>10</v>
      </c>
      <c r="G309" s="6" t="s">
        <v>202</v>
      </c>
      <c r="H309" s="6">
        <v>7.6</v>
      </c>
      <c r="I309" s="8">
        <v>85.933882569444407</v>
      </c>
      <c r="J309" s="8">
        <v>114.06437159722201</v>
      </c>
      <c r="K309" s="6" t="s">
        <v>29</v>
      </c>
      <c r="L309" s="6" t="s">
        <v>335</v>
      </c>
      <c r="M309" s="9">
        <v>43801</v>
      </c>
      <c r="O309" s="6">
        <v>10</v>
      </c>
      <c r="P309" s="6" t="s">
        <v>4277</v>
      </c>
      <c r="R309" s="6" t="s">
        <v>161</v>
      </c>
      <c r="S309" s="6">
        <v>50</v>
      </c>
      <c r="T309" s="6">
        <v>60</v>
      </c>
      <c r="U309" s="10">
        <f t="shared" si="8"/>
        <v>55</v>
      </c>
      <c r="V309" s="6">
        <v>5.0999999999999996</v>
      </c>
      <c r="W309" s="8">
        <v>0.61010084270238885</v>
      </c>
      <c r="X309" s="8">
        <v>5.6499824151992799</v>
      </c>
      <c r="Y309" s="8">
        <f t="shared" si="9"/>
        <v>0.76917567358016914</v>
      </c>
    </row>
    <row r="310" spans="1:25" s="6" customFormat="1" x14ac:dyDescent="0.35">
      <c r="A310" s="6" t="s">
        <v>25</v>
      </c>
      <c r="B310" s="7"/>
      <c r="C310" s="6">
        <v>510952</v>
      </c>
      <c r="D310" s="6" t="s">
        <v>747</v>
      </c>
      <c r="E310" s="6">
        <v>1</v>
      </c>
      <c r="F310" s="6">
        <v>10</v>
      </c>
      <c r="G310" s="6" t="s">
        <v>202</v>
      </c>
      <c r="H310" s="6">
        <v>7.6</v>
      </c>
      <c r="I310" s="8">
        <v>85.933882569444407</v>
      </c>
      <c r="J310" s="8">
        <v>114.06437159722201</v>
      </c>
      <c r="K310" s="6" t="s">
        <v>29</v>
      </c>
      <c r="L310" s="6" t="s">
        <v>335</v>
      </c>
      <c r="M310" s="9">
        <v>43801</v>
      </c>
      <c r="O310" s="6">
        <v>10</v>
      </c>
      <c r="P310" s="6" t="s">
        <v>4277</v>
      </c>
      <c r="R310" s="6" t="s">
        <v>748</v>
      </c>
      <c r="S310" s="6">
        <v>60</v>
      </c>
      <c r="T310" s="6">
        <v>68</v>
      </c>
      <c r="U310" s="10">
        <f t="shared" si="8"/>
        <v>64</v>
      </c>
      <c r="V310" s="6">
        <v>6.9</v>
      </c>
      <c r="W310" s="8">
        <v>0.77120979671478274</v>
      </c>
      <c r="X310" s="8">
        <v>6.1018363666534423</v>
      </c>
      <c r="Y310" s="8">
        <f t="shared" si="9"/>
        <v>-6.7842007064819576E-2</v>
      </c>
    </row>
    <row r="311" spans="1:25" s="6" customFormat="1" x14ac:dyDescent="0.35">
      <c r="A311" s="6" t="s">
        <v>25</v>
      </c>
      <c r="B311" s="7"/>
      <c r="C311" s="6">
        <v>510944</v>
      </c>
      <c r="D311" s="6" t="s">
        <v>749</v>
      </c>
      <c r="E311" s="6">
        <v>1</v>
      </c>
      <c r="F311" s="6">
        <v>10</v>
      </c>
      <c r="G311" s="6" t="s">
        <v>210</v>
      </c>
      <c r="H311" s="6">
        <v>12</v>
      </c>
      <c r="I311" s="8">
        <v>85.933882569444407</v>
      </c>
      <c r="J311" s="8">
        <v>114.06437159722201</v>
      </c>
      <c r="K311" s="6" t="s">
        <v>29</v>
      </c>
      <c r="L311" s="6" t="s">
        <v>335</v>
      </c>
      <c r="M311" s="9">
        <v>43801</v>
      </c>
      <c r="O311" s="6">
        <v>10</v>
      </c>
      <c r="P311" s="6" t="s">
        <v>4277</v>
      </c>
      <c r="R311" s="6" t="s">
        <v>751</v>
      </c>
      <c r="S311" s="6">
        <v>73.5</v>
      </c>
      <c r="T311" s="6">
        <v>85</v>
      </c>
      <c r="U311" s="10">
        <f t="shared" si="8"/>
        <v>79.25</v>
      </c>
      <c r="V311" s="6">
        <v>5.8</v>
      </c>
      <c r="W311" s="8">
        <v>0.77186977999210415</v>
      </c>
      <c r="X311" s="8">
        <v>5.7184765548706054</v>
      </c>
      <c r="Y311" s="8">
        <f t="shared" si="9"/>
        <v>-0.45648168506622788</v>
      </c>
    </row>
    <row r="312" spans="1:25" s="6" customFormat="1" x14ac:dyDescent="0.35">
      <c r="A312" s="6" t="s">
        <v>25</v>
      </c>
      <c r="B312" s="7"/>
      <c r="C312" s="6">
        <v>510938</v>
      </c>
      <c r="D312" s="6" t="s">
        <v>749</v>
      </c>
      <c r="E312" s="6">
        <v>1</v>
      </c>
      <c r="F312" s="6">
        <v>10</v>
      </c>
      <c r="G312" s="6" t="s">
        <v>210</v>
      </c>
      <c r="H312" s="6">
        <v>12</v>
      </c>
      <c r="I312" s="8">
        <v>85.933882569444407</v>
      </c>
      <c r="J312" s="8">
        <v>114.06437159722201</v>
      </c>
      <c r="K312" s="6" t="s">
        <v>29</v>
      </c>
      <c r="L312" s="6" t="s">
        <v>546</v>
      </c>
      <c r="M312" s="9">
        <v>43801</v>
      </c>
      <c r="O312" s="6">
        <v>10</v>
      </c>
      <c r="P312" s="6" t="s">
        <v>4277</v>
      </c>
      <c r="R312" s="6" t="s">
        <v>64</v>
      </c>
      <c r="S312" s="6">
        <v>0</v>
      </c>
      <c r="T312" s="6">
        <v>10</v>
      </c>
      <c r="U312" s="10">
        <f t="shared" si="8"/>
        <v>5</v>
      </c>
      <c r="V312" s="6">
        <v>0.9</v>
      </c>
      <c r="W312" s="8">
        <v>-6.715717029476167</v>
      </c>
      <c r="X312" s="8">
        <v>-52.168557056427005</v>
      </c>
      <c r="Y312" s="8">
        <f t="shared" si="9"/>
        <v>1.5571791793823309</v>
      </c>
    </row>
    <row r="313" spans="1:25" s="6" customFormat="1" x14ac:dyDescent="0.35">
      <c r="A313" s="6" t="s">
        <v>25</v>
      </c>
      <c r="B313" s="7"/>
      <c r="C313" s="6">
        <v>510937</v>
      </c>
      <c r="D313" s="6" t="s">
        <v>749</v>
      </c>
      <c r="E313" s="6">
        <v>1</v>
      </c>
      <c r="F313" s="6">
        <v>10</v>
      </c>
      <c r="G313" s="6" t="s">
        <v>210</v>
      </c>
      <c r="H313" s="6">
        <v>12</v>
      </c>
      <c r="I313" s="8">
        <v>85.933882569444407</v>
      </c>
      <c r="J313" s="8">
        <v>114.06437159722201</v>
      </c>
      <c r="K313" s="6" t="s">
        <v>29</v>
      </c>
      <c r="L313" s="6" t="s">
        <v>546</v>
      </c>
      <c r="M313" s="9">
        <v>43801</v>
      </c>
      <c r="O313" s="6">
        <v>10</v>
      </c>
      <c r="P313" s="6" t="s">
        <v>4277</v>
      </c>
      <c r="R313" s="6" t="s">
        <v>138</v>
      </c>
      <c r="S313" s="6">
        <v>10</v>
      </c>
      <c r="T313" s="6">
        <v>20</v>
      </c>
      <c r="U313" s="10">
        <f t="shared" si="8"/>
        <v>15</v>
      </c>
      <c r="V313" s="6">
        <v>0.6</v>
      </c>
      <c r="W313" s="8">
        <v>-4.4399233271598826</v>
      </c>
      <c r="X313" s="8">
        <v>-35.353708003997802</v>
      </c>
      <c r="Y313" s="8">
        <f t="shared" si="9"/>
        <v>0.16567861328125844</v>
      </c>
    </row>
    <row r="314" spans="1:25" s="6" customFormat="1" x14ac:dyDescent="0.35">
      <c r="A314" s="6" t="s">
        <v>25</v>
      </c>
      <c r="B314" s="7"/>
      <c r="C314" s="6">
        <v>510939</v>
      </c>
      <c r="D314" s="6" t="s">
        <v>749</v>
      </c>
      <c r="E314" s="6">
        <v>1</v>
      </c>
      <c r="F314" s="6">
        <v>10</v>
      </c>
      <c r="G314" s="6" t="s">
        <v>210</v>
      </c>
      <c r="H314" s="6">
        <v>12</v>
      </c>
      <c r="I314" s="8">
        <v>85.933882569444407</v>
      </c>
      <c r="J314" s="8">
        <v>114.06437159722201</v>
      </c>
      <c r="K314" s="6" t="s">
        <v>29</v>
      </c>
      <c r="L314" s="6" t="s">
        <v>546</v>
      </c>
      <c r="M314" s="9">
        <v>43801</v>
      </c>
      <c r="O314" s="6">
        <v>10</v>
      </c>
      <c r="P314" s="6" t="s">
        <v>4277</v>
      </c>
      <c r="R314" s="6" t="s">
        <v>146</v>
      </c>
      <c r="S314" s="6">
        <v>20</v>
      </c>
      <c r="T314" s="6">
        <v>30</v>
      </c>
      <c r="U314" s="10">
        <f t="shared" si="8"/>
        <v>25</v>
      </c>
      <c r="V314" s="6">
        <v>1</v>
      </c>
      <c r="W314" s="8">
        <v>-6.5670164978027348</v>
      </c>
      <c r="X314" s="8">
        <v>-50.652841316223146</v>
      </c>
      <c r="Y314" s="8">
        <f t="shared" si="9"/>
        <v>1.8832906661987323</v>
      </c>
    </row>
    <row r="315" spans="1:25" s="6" customFormat="1" x14ac:dyDescent="0.35">
      <c r="A315" s="6" t="s">
        <v>25</v>
      </c>
      <c r="B315" s="7"/>
      <c r="C315" s="6">
        <v>510940</v>
      </c>
      <c r="D315" s="6" t="s">
        <v>749</v>
      </c>
      <c r="E315" s="6">
        <v>1</v>
      </c>
      <c r="F315" s="6">
        <v>10</v>
      </c>
      <c r="G315" s="6" t="s">
        <v>210</v>
      </c>
      <c r="H315" s="6">
        <v>12</v>
      </c>
      <c r="I315" s="8">
        <v>85.933882569444407</v>
      </c>
      <c r="J315" s="8">
        <v>114.06437159722201</v>
      </c>
      <c r="K315" s="6" t="s">
        <v>29</v>
      </c>
      <c r="L315" s="6" t="s">
        <v>546</v>
      </c>
      <c r="M315" s="9">
        <v>43801</v>
      </c>
      <c r="O315" s="6">
        <v>10</v>
      </c>
      <c r="P315" s="6" t="s">
        <v>4277</v>
      </c>
      <c r="R315" s="6" t="s">
        <v>324</v>
      </c>
      <c r="S315" s="6">
        <v>30</v>
      </c>
      <c r="T315" s="6">
        <v>42</v>
      </c>
      <c r="U315" s="10">
        <f t="shared" si="8"/>
        <v>36</v>
      </c>
      <c r="V315" s="6">
        <v>2</v>
      </c>
      <c r="W315" s="8">
        <v>-8.0284166032791138</v>
      </c>
      <c r="X315" s="8">
        <v>-59.665636978149415</v>
      </c>
      <c r="Y315" s="8">
        <f t="shared" si="9"/>
        <v>4.5616958480834953</v>
      </c>
    </row>
    <row r="316" spans="1:25" s="6" customFormat="1" x14ac:dyDescent="0.35">
      <c r="A316" s="6" t="s">
        <v>25</v>
      </c>
      <c r="B316" s="7"/>
      <c r="C316" s="6">
        <v>510941</v>
      </c>
      <c r="D316" s="6" t="s">
        <v>749</v>
      </c>
      <c r="E316" s="6">
        <v>1</v>
      </c>
      <c r="F316" s="6">
        <v>10</v>
      </c>
      <c r="G316" s="6" t="s">
        <v>210</v>
      </c>
      <c r="H316" s="6">
        <v>12</v>
      </c>
      <c r="I316" s="8">
        <v>85.933882569444407</v>
      </c>
      <c r="J316" s="8">
        <v>114.06437159722201</v>
      </c>
      <c r="K316" s="6" t="s">
        <v>29</v>
      </c>
      <c r="L316" s="6" t="s">
        <v>546</v>
      </c>
      <c r="M316" s="9">
        <v>43801</v>
      </c>
      <c r="O316" s="6">
        <v>10</v>
      </c>
      <c r="P316" s="6" t="s">
        <v>4277</v>
      </c>
      <c r="R316" s="6" t="s">
        <v>540</v>
      </c>
      <c r="S316" s="6">
        <v>42</v>
      </c>
      <c r="T316" s="6">
        <v>52</v>
      </c>
      <c r="U316" s="10">
        <f t="shared" si="8"/>
        <v>47</v>
      </c>
      <c r="V316" s="6">
        <v>1.5</v>
      </c>
      <c r="W316" s="8">
        <v>-4.6836083075523378</v>
      </c>
      <c r="X316" s="8">
        <v>-35.93631749725342</v>
      </c>
      <c r="Y316" s="8">
        <f t="shared" si="9"/>
        <v>1.5325489631652829</v>
      </c>
    </row>
    <row r="317" spans="1:25" s="6" customFormat="1" x14ac:dyDescent="0.35">
      <c r="A317" s="6" t="s">
        <v>25</v>
      </c>
      <c r="B317" s="7"/>
      <c r="C317" s="6">
        <v>510942</v>
      </c>
      <c r="D317" s="6" t="s">
        <v>749</v>
      </c>
      <c r="E317" s="6">
        <v>1</v>
      </c>
      <c r="F317" s="6">
        <v>10</v>
      </c>
      <c r="G317" s="6" t="s">
        <v>210</v>
      </c>
      <c r="H317" s="6">
        <v>12</v>
      </c>
      <c r="I317" s="8">
        <v>85.933882569444407</v>
      </c>
      <c r="J317" s="8">
        <v>114.06437159722201</v>
      </c>
      <c r="K317" s="6" t="s">
        <v>29</v>
      </c>
      <c r="L317" s="6" t="s">
        <v>546</v>
      </c>
      <c r="M317" s="9">
        <v>43801</v>
      </c>
      <c r="O317" s="6">
        <v>10</v>
      </c>
      <c r="P317" s="6" t="s">
        <v>4277</v>
      </c>
      <c r="R317" s="6" t="s">
        <v>529</v>
      </c>
      <c r="S317" s="6">
        <v>52</v>
      </c>
      <c r="T317" s="6">
        <v>62</v>
      </c>
      <c r="U317" s="10">
        <f t="shared" si="8"/>
        <v>57</v>
      </c>
      <c r="V317" s="6">
        <v>1.2</v>
      </c>
      <c r="W317" s="8">
        <v>-4.1984877202033992</v>
      </c>
      <c r="X317" s="8">
        <v>-32.518442989349367</v>
      </c>
      <c r="Y317" s="8">
        <f t="shared" si="9"/>
        <v>1.0694587722778266</v>
      </c>
    </row>
    <row r="318" spans="1:25" s="6" customFormat="1" x14ac:dyDescent="0.35">
      <c r="A318" s="6" t="s">
        <v>25</v>
      </c>
      <c r="B318" s="7"/>
      <c r="C318" s="6">
        <v>510943</v>
      </c>
      <c r="D318" s="6" t="s">
        <v>749</v>
      </c>
      <c r="E318" s="6">
        <v>1</v>
      </c>
      <c r="F318" s="6">
        <v>10</v>
      </c>
      <c r="G318" s="6" t="s">
        <v>210</v>
      </c>
      <c r="H318" s="6">
        <v>12</v>
      </c>
      <c r="I318" s="8">
        <v>85.933882569444407</v>
      </c>
      <c r="J318" s="8">
        <v>114.06437159722201</v>
      </c>
      <c r="K318" s="6" t="s">
        <v>29</v>
      </c>
      <c r="L318" s="6" t="s">
        <v>546</v>
      </c>
      <c r="M318" s="9">
        <v>43801</v>
      </c>
      <c r="O318" s="6">
        <v>10</v>
      </c>
      <c r="P318" s="6" t="s">
        <v>4277</v>
      </c>
      <c r="R318" s="6" t="s">
        <v>750</v>
      </c>
      <c r="S318" s="6">
        <v>62</v>
      </c>
      <c r="T318" s="6">
        <v>73.5</v>
      </c>
      <c r="U318" s="10">
        <f t="shared" si="8"/>
        <v>67.75</v>
      </c>
      <c r="V318" s="6">
        <v>5.5</v>
      </c>
      <c r="W318" s="8">
        <v>0.84544609605073984</v>
      </c>
      <c r="X318" s="8">
        <v>5.9924041767120357</v>
      </c>
      <c r="Y318" s="8">
        <f t="shared" si="9"/>
        <v>-0.77116459169388296</v>
      </c>
    </row>
    <row r="319" spans="1:25" s="6" customFormat="1" x14ac:dyDescent="0.35">
      <c r="A319" s="6" t="s">
        <v>25</v>
      </c>
      <c r="B319" s="6" t="s">
        <v>757</v>
      </c>
      <c r="C319" s="6">
        <v>511029</v>
      </c>
      <c r="D319" s="6" t="s">
        <v>758</v>
      </c>
      <c r="E319" s="6">
        <v>1</v>
      </c>
      <c r="F319" s="6">
        <v>10</v>
      </c>
      <c r="G319" s="6" t="s">
        <v>179</v>
      </c>
      <c r="I319" s="8">
        <v>86.106434930555594</v>
      </c>
      <c r="J319" s="8">
        <v>118.771893680556</v>
      </c>
      <c r="K319" s="6" t="s">
        <v>29</v>
      </c>
      <c r="L319" s="6" t="s">
        <v>335</v>
      </c>
      <c r="M319" s="9">
        <v>43803</v>
      </c>
      <c r="O319" s="6">
        <v>10</v>
      </c>
      <c r="P319" s="6" t="s">
        <v>4278</v>
      </c>
      <c r="R319" s="6" t="s">
        <v>759</v>
      </c>
      <c r="S319" s="6">
        <v>0</v>
      </c>
      <c r="T319" s="6">
        <v>10</v>
      </c>
      <c r="U319" s="10">
        <f t="shared" si="8"/>
        <v>5</v>
      </c>
      <c r="V319" s="6">
        <v>2.4</v>
      </c>
      <c r="W319" s="8">
        <v>-1.0174513670873639</v>
      </c>
      <c r="X319" s="8">
        <v>-9.0294616050720222</v>
      </c>
      <c r="Y319" s="8">
        <f t="shared" si="9"/>
        <v>-0.88985066837311066</v>
      </c>
    </row>
    <row r="320" spans="1:25" s="6" customFormat="1" x14ac:dyDescent="0.35">
      <c r="A320" s="6" t="s">
        <v>25</v>
      </c>
      <c r="B320" s="6" t="s">
        <v>760</v>
      </c>
      <c r="C320" s="6">
        <v>511030</v>
      </c>
      <c r="D320" s="6" t="s">
        <v>758</v>
      </c>
      <c r="E320" s="6">
        <v>1</v>
      </c>
      <c r="F320" s="6">
        <v>10</v>
      </c>
      <c r="G320" s="6" t="s">
        <v>179</v>
      </c>
      <c r="I320" s="8">
        <v>86.106434930555594</v>
      </c>
      <c r="J320" s="8">
        <v>118.771893680556</v>
      </c>
      <c r="K320" s="6" t="s">
        <v>29</v>
      </c>
      <c r="L320" s="6" t="s">
        <v>335</v>
      </c>
      <c r="M320" s="9">
        <v>43803</v>
      </c>
      <c r="O320" s="6">
        <v>10</v>
      </c>
      <c r="P320" s="6" t="s">
        <v>4278</v>
      </c>
      <c r="R320" s="6" t="s">
        <v>138</v>
      </c>
      <c r="S320" s="6">
        <v>10</v>
      </c>
      <c r="T320" s="6">
        <v>20</v>
      </c>
      <c r="U320" s="10">
        <f t="shared" si="8"/>
        <v>15</v>
      </c>
      <c r="V320" s="6">
        <v>5.6</v>
      </c>
      <c r="W320" s="8">
        <v>-3.4602572537422174</v>
      </c>
      <c r="X320" s="8">
        <v>-26.932680797195435</v>
      </c>
      <c r="Y320" s="8">
        <f t="shared" si="9"/>
        <v>0.7493772327423045</v>
      </c>
    </row>
    <row r="321" spans="1:25" s="6" customFormat="1" x14ac:dyDescent="0.35">
      <c r="A321" s="6" t="s">
        <v>25</v>
      </c>
      <c r="B321" s="6" t="s">
        <v>761</v>
      </c>
      <c r="C321" s="6">
        <v>511031</v>
      </c>
      <c r="D321" s="6" t="s">
        <v>758</v>
      </c>
      <c r="E321" s="6">
        <v>1</v>
      </c>
      <c r="F321" s="6">
        <v>10</v>
      </c>
      <c r="G321" s="6" t="s">
        <v>179</v>
      </c>
      <c r="I321" s="8">
        <v>86.106434930555594</v>
      </c>
      <c r="J321" s="8">
        <v>118.771893680556</v>
      </c>
      <c r="K321" s="6" t="s">
        <v>29</v>
      </c>
      <c r="L321" s="6" t="s">
        <v>335</v>
      </c>
      <c r="M321" s="9">
        <v>43803</v>
      </c>
      <c r="O321" s="6">
        <v>10</v>
      </c>
      <c r="P321" s="6" t="s">
        <v>4278</v>
      </c>
      <c r="R321" s="6" t="s">
        <v>146</v>
      </c>
      <c r="S321" s="6">
        <v>20</v>
      </c>
      <c r="T321" s="6">
        <v>30</v>
      </c>
      <c r="U321" s="10">
        <f t="shared" si="8"/>
        <v>25</v>
      </c>
      <c r="V321" s="6">
        <v>4.9000000000000004</v>
      </c>
      <c r="W321" s="8">
        <v>1.0506085866928099</v>
      </c>
      <c r="X321" s="8">
        <v>8.3306553434371935</v>
      </c>
      <c r="Y321" s="8">
        <f t="shared" si="9"/>
        <v>-7.4213350105285514E-2</v>
      </c>
    </row>
    <row r="322" spans="1:25" s="6" customFormat="1" x14ac:dyDescent="0.35">
      <c r="A322" s="6" t="s">
        <v>25</v>
      </c>
      <c r="B322" s="6" t="s">
        <v>762</v>
      </c>
      <c r="C322" s="6">
        <v>511032</v>
      </c>
      <c r="D322" s="6" t="s">
        <v>758</v>
      </c>
      <c r="E322" s="6">
        <v>1</v>
      </c>
      <c r="F322" s="6">
        <v>10</v>
      </c>
      <c r="G322" s="6" t="s">
        <v>179</v>
      </c>
      <c r="I322" s="8">
        <v>86.106434930555594</v>
      </c>
      <c r="J322" s="8">
        <v>118.771893680556</v>
      </c>
      <c r="K322" s="6" t="s">
        <v>29</v>
      </c>
      <c r="L322" s="6" t="s">
        <v>335</v>
      </c>
      <c r="M322" s="9">
        <v>43803</v>
      </c>
      <c r="O322" s="6">
        <v>10</v>
      </c>
      <c r="P322" s="6" t="s">
        <v>4278</v>
      </c>
      <c r="R322" s="6" t="s">
        <v>157</v>
      </c>
      <c r="S322" s="6">
        <v>30</v>
      </c>
      <c r="T322" s="6">
        <v>40</v>
      </c>
      <c r="U322" s="10">
        <f t="shared" ref="U322:U385" si="10">AVERAGE(S322:T322)</f>
        <v>35</v>
      </c>
      <c r="V322" s="6">
        <v>4.5</v>
      </c>
      <c r="W322" s="8">
        <v>0.89443824251890203</v>
      </c>
      <c r="X322" s="8">
        <v>6.8919579056739808</v>
      </c>
      <c r="Y322" s="8">
        <f t="shared" ref="Y322:Y385" si="11">X322-(8*W322)</f>
        <v>-0.2635480344772354</v>
      </c>
    </row>
    <row r="323" spans="1:25" s="6" customFormat="1" x14ac:dyDescent="0.35">
      <c r="A323" s="6" t="s">
        <v>25</v>
      </c>
      <c r="B323" s="6" t="s">
        <v>763</v>
      </c>
      <c r="C323" s="6">
        <v>511028</v>
      </c>
      <c r="D323" s="6" t="s">
        <v>758</v>
      </c>
      <c r="E323" s="6">
        <v>1</v>
      </c>
      <c r="F323" s="6">
        <v>10</v>
      </c>
      <c r="G323" s="6" t="s">
        <v>179</v>
      </c>
      <c r="I323" s="8">
        <v>86.106434930555594</v>
      </c>
      <c r="J323" s="8">
        <v>118.771893680556</v>
      </c>
      <c r="K323" s="6" t="s">
        <v>29</v>
      </c>
      <c r="L323" s="6" t="s">
        <v>335</v>
      </c>
      <c r="M323" s="9">
        <v>43803</v>
      </c>
      <c r="O323" s="6">
        <v>10</v>
      </c>
      <c r="P323" s="6" t="s">
        <v>4278</v>
      </c>
      <c r="R323" s="6" t="s">
        <v>159</v>
      </c>
      <c r="S323" s="6">
        <v>40</v>
      </c>
      <c r="T323" s="6">
        <v>50</v>
      </c>
      <c r="U323" s="10">
        <f t="shared" si="10"/>
        <v>45</v>
      </c>
      <c r="V323" s="6">
        <v>5.3</v>
      </c>
      <c r="W323" s="8">
        <v>0.9016941443324088</v>
      </c>
      <c r="X323" s="8">
        <v>7.3343075260162358</v>
      </c>
      <c r="Y323" s="8">
        <f t="shared" si="11"/>
        <v>0.12075437135696543</v>
      </c>
    </row>
    <row r="324" spans="1:25" s="6" customFormat="1" x14ac:dyDescent="0.35">
      <c r="A324" s="6" t="s">
        <v>25</v>
      </c>
      <c r="B324" s="6" t="s">
        <v>764</v>
      </c>
      <c r="C324" s="6">
        <v>511033</v>
      </c>
      <c r="D324" s="6" t="s">
        <v>758</v>
      </c>
      <c r="E324" s="6">
        <v>1</v>
      </c>
      <c r="F324" s="6">
        <v>10</v>
      </c>
      <c r="G324" s="6" t="s">
        <v>179</v>
      </c>
      <c r="I324" s="8">
        <v>86.106434930555594</v>
      </c>
      <c r="J324" s="8">
        <v>118.771893680556</v>
      </c>
      <c r="K324" s="6" t="s">
        <v>29</v>
      </c>
      <c r="L324" s="6" t="s">
        <v>335</v>
      </c>
      <c r="M324" s="9">
        <v>43803</v>
      </c>
      <c r="O324" s="6">
        <v>10</v>
      </c>
      <c r="P324" s="6" t="s">
        <v>4278</v>
      </c>
      <c r="R324" s="6" t="s">
        <v>765</v>
      </c>
      <c r="S324" s="6">
        <v>50</v>
      </c>
      <c r="T324" s="6">
        <v>62</v>
      </c>
      <c r="U324" s="10">
        <f t="shared" si="10"/>
        <v>56</v>
      </c>
      <c r="V324" s="6">
        <v>5.2</v>
      </c>
      <c r="W324" s="8">
        <v>0.67595794376134899</v>
      </c>
      <c r="X324" s="8">
        <v>5.8258021954536447</v>
      </c>
      <c r="Y324" s="8">
        <f t="shared" si="11"/>
        <v>0.41813864536285283</v>
      </c>
    </row>
    <row r="325" spans="1:25" s="6" customFormat="1" x14ac:dyDescent="0.35">
      <c r="A325" s="6" t="s">
        <v>25</v>
      </c>
      <c r="B325" s="7"/>
      <c r="C325" s="6">
        <v>511054</v>
      </c>
      <c r="D325" s="6" t="s">
        <v>772</v>
      </c>
      <c r="E325" s="6">
        <v>1</v>
      </c>
      <c r="F325" s="6">
        <v>10</v>
      </c>
      <c r="G325" s="6" t="s">
        <v>345</v>
      </c>
      <c r="H325" s="6">
        <v>22</v>
      </c>
      <c r="I325" s="8">
        <v>86.141995833333297</v>
      </c>
      <c r="J325" s="8">
        <v>122.240208541667</v>
      </c>
      <c r="K325" s="6" t="s">
        <v>29</v>
      </c>
      <c r="L325" s="6" t="s">
        <v>335</v>
      </c>
      <c r="M325" s="9">
        <v>43805</v>
      </c>
      <c r="O325" s="6">
        <v>10</v>
      </c>
      <c r="P325" s="6" t="s">
        <v>4280</v>
      </c>
      <c r="R325" s="6" t="s">
        <v>759</v>
      </c>
      <c r="S325" s="6">
        <v>0</v>
      </c>
      <c r="T325" s="6">
        <v>10</v>
      </c>
      <c r="U325" s="10">
        <f t="shared" si="10"/>
        <v>5</v>
      </c>
      <c r="V325" s="6">
        <v>0.2</v>
      </c>
      <c r="W325" s="8">
        <v>-4.6566015440940856</v>
      </c>
      <c r="X325" s="8">
        <v>-35.821781702041626</v>
      </c>
      <c r="Y325" s="8">
        <f t="shared" si="11"/>
        <v>1.4310306507110582</v>
      </c>
    </row>
    <row r="326" spans="1:25" s="6" customFormat="1" x14ac:dyDescent="0.35">
      <c r="A326" s="6" t="s">
        <v>25</v>
      </c>
      <c r="B326" s="7"/>
      <c r="C326" s="6">
        <v>511039</v>
      </c>
      <c r="D326" s="6" t="s">
        <v>772</v>
      </c>
      <c r="E326" s="6">
        <v>1</v>
      </c>
      <c r="F326" s="6">
        <v>10</v>
      </c>
      <c r="G326" s="6" t="s">
        <v>345</v>
      </c>
      <c r="H326" s="6">
        <v>22</v>
      </c>
      <c r="I326" s="8">
        <v>86.141995833333297</v>
      </c>
      <c r="J326" s="8">
        <v>122.240208541667</v>
      </c>
      <c r="K326" s="6" t="s">
        <v>29</v>
      </c>
      <c r="L326" s="6" t="s">
        <v>335</v>
      </c>
      <c r="M326" s="9">
        <v>43805</v>
      </c>
      <c r="O326" s="6">
        <v>10</v>
      </c>
      <c r="P326" s="6" t="s">
        <v>4280</v>
      </c>
      <c r="R326" s="6" t="s">
        <v>138</v>
      </c>
      <c r="S326" s="6">
        <v>10</v>
      </c>
      <c r="T326" s="6">
        <v>20</v>
      </c>
      <c r="U326" s="10">
        <f t="shared" si="10"/>
        <v>15</v>
      </c>
      <c r="V326" s="6">
        <v>4.9000000000000004</v>
      </c>
      <c r="W326" s="8">
        <v>0.29610987641215303</v>
      </c>
      <c r="X326" s="8">
        <v>2.9027795877456684</v>
      </c>
      <c r="Y326" s="8">
        <f t="shared" si="11"/>
        <v>0.53390057644844413</v>
      </c>
    </row>
    <row r="327" spans="1:25" s="6" customFormat="1" x14ac:dyDescent="0.35">
      <c r="A327" s="6" t="s">
        <v>25</v>
      </c>
      <c r="B327" s="7"/>
      <c r="C327" s="6">
        <v>511051</v>
      </c>
      <c r="D327" s="6" t="s">
        <v>773</v>
      </c>
      <c r="E327" s="6">
        <v>1</v>
      </c>
      <c r="F327" s="6">
        <v>10</v>
      </c>
      <c r="G327" s="6" t="s">
        <v>345</v>
      </c>
      <c r="H327" s="6">
        <v>22</v>
      </c>
      <c r="I327" s="8">
        <v>86.141995833333297</v>
      </c>
      <c r="J327" s="8">
        <v>122.240208541667</v>
      </c>
      <c r="K327" s="6" t="s">
        <v>29</v>
      </c>
      <c r="L327" s="6" t="s">
        <v>335</v>
      </c>
      <c r="M327" s="9">
        <v>43805</v>
      </c>
      <c r="O327" s="6">
        <v>10</v>
      </c>
      <c r="P327" s="6" t="s">
        <v>4280</v>
      </c>
      <c r="R327" s="6" t="s">
        <v>215</v>
      </c>
      <c r="S327" s="6">
        <v>20</v>
      </c>
      <c r="T327" s="6">
        <v>30</v>
      </c>
      <c r="U327" s="10">
        <f t="shared" si="10"/>
        <v>25</v>
      </c>
      <c r="V327" s="6">
        <v>4.5999999999999996</v>
      </c>
      <c r="W327" s="8">
        <v>1.0881247812986379</v>
      </c>
      <c r="X327" s="8">
        <v>9.4003061714172365</v>
      </c>
      <c r="Y327" s="8">
        <f t="shared" si="11"/>
        <v>0.69530792102813344</v>
      </c>
    </row>
    <row r="328" spans="1:25" s="6" customFormat="1" x14ac:dyDescent="0.35">
      <c r="A328" s="6" t="s">
        <v>25</v>
      </c>
      <c r="B328" s="7"/>
      <c r="C328" s="6">
        <v>511053</v>
      </c>
      <c r="D328" s="6" t="s">
        <v>773</v>
      </c>
      <c r="E328" s="6">
        <v>1</v>
      </c>
      <c r="F328" s="6">
        <v>10</v>
      </c>
      <c r="G328" s="6" t="s">
        <v>345</v>
      </c>
      <c r="H328" s="6">
        <v>22</v>
      </c>
      <c r="I328" s="8">
        <v>86.141995833333297</v>
      </c>
      <c r="J328" s="8">
        <v>122.240208541667</v>
      </c>
      <c r="K328" s="6" t="s">
        <v>29</v>
      </c>
      <c r="L328" s="6" t="s">
        <v>335</v>
      </c>
      <c r="M328" s="9">
        <v>43805</v>
      </c>
      <c r="O328" s="6">
        <v>10</v>
      </c>
      <c r="P328" s="6" t="s">
        <v>4280</v>
      </c>
      <c r="R328" s="6" t="s">
        <v>157</v>
      </c>
      <c r="S328" s="6">
        <v>30</v>
      </c>
      <c r="T328" s="6">
        <v>40</v>
      </c>
      <c r="U328" s="10">
        <f t="shared" si="10"/>
        <v>35</v>
      </c>
      <c r="V328" s="6">
        <v>5.5</v>
      </c>
      <c r="W328" s="8">
        <v>0.75974013595581025</v>
      </c>
      <c r="X328" s="8">
        <v>6.499924650192261</v>
      </c>
      <c r="Y328" s="8">
        <f t="shared" si="11"/>
        <v>0.42200356254577898</v>
      </c>
    </row>
    <row r="329" spans="1:25" s="6" customFormat="1" x14ac:dyDescent="0.35">
      <c r="A329" s="6" t="s">
        <v>25</v>
      </c>
      <c r="B329" s="7"/>
      <c r="C329" s="6">
        <v>511055</v>
      </c>
      <c r="D329" s="6" t="s">
        <v>773</v>
      </c>
      <c r="E329" s="6">
        <v>1</v>
      </c>
      <c r="F329" s="6">
        <v>10</v>
      </c>
      <c r="G329" s="6" t="s">
        <v>345</v>
      </c>
      <c r="H329" s="6">
        <v>22</v>
      </c>
      <c r="I329" s="8">
        <v>86.141995833333297</v>
      </c>
      <c r="J329" s="8">
        <v>122.240208541667</v>
      </c>
      <c r="K329" s="6" t="s">
        <v>29</v>
      </c>
      <c r="L329" s="6" t="s">
        <v>335</v>
      </c>
      <c r="M329" s="9">
        <v>43805</v>
      </c>
      <c r="O329" s="6">
        <v>10</v>
      </c>
      <c r="P329" s="6" t="s">
        <v>4280</v>
      </c>
      <c r="R329" s="6" t="s">
        <v>159</v>
      </c>
      <c r="S329" s="6">
        <v>40</v>
      </c>
      <c r="T329" s="6">
        <v>50</v>
      </c>
      <c r="U329" s="10">
        <f t="shared" si="10"/>
        <v>45</v>
      </c>
      <c r="V329" s="6">
        <v>5.9</v>
      </c>
      <c r="W329" s="8">
        <v>0.20225988757133506</v>
      </c>
      <c r="X329" s="8">
        <v>3.3586240573883055</v>
      </c>
      <c r="Y329" s="8">
        <f t="shared" si="11"/>
        <v>1.740544956817625</v>
      </c>
    </row>
    <row r="330" spans="1:25" s="6" customFormat="1" x14ac:dyDescent="0.35">
      <c r="A330" s="6" t="s">
        <v>25</v>
      </c>
      <c r="B330" s="7"/>
      <c r="C330" s="6">
        <v>511056</v>
      </c>
      <c r="D330" s="6" t="s">
        <v>773</v>
      </c>
      <c r="E330" s="6">
        <v>1</v>
      </c>
      <c r="F330" s="6">
        <v>10</v>
      </c>
      <c r="G330" s="6" t="s">
        <v>345</v>
      </c>
      <c r="H330" s="6">
        <v>22</v>
      </c>
      <c r="I330" s="8">
        <v>86.141995833333297</v>
      </c>
      <c r="J330" s="8">
        <v>122.240208541667</v>
      </c>
      <c r="K330" s="6" t="s">
        <v>29</v>
      </c>
      <c r="L330" s="6" t="s">
        <v>335</v>
      </c>
      <c r="M330" s="9">
        <v>43805</v>
      </c>
      <c r="O330" s="6">
        <v>10</v>
      </c>
      <c r="P330" s="6" t="s">
        <v>4280</v>
      </c>
      <c r="R330" s="6" t="s">
        <v>777</v>
      </c>
      <c r="S330" s="6">
        <v>50</v>
      </c>
      <c r="T330" s="6">
        <v>59</v>
      </c>
      <c r="U330" s="10">
        <f t="shared" si="10"/>
        <v>54.5</v>
      </c>
      <c r="V330" s="6">
        <v>5.4</v>
      </c>
      <c r="W330" s="8">
        <v>-0.73730394220352169</v>
      </c>
      <c r="X330" s="8">
        <v>-3.2655441998799639</v>
      </c>
      <c r="Y330" s="8">
        <f t="shared" si="11"/>
        <v>2.6328873377482096</v>
      </c>
    </row>
    <row r="331" spans="1:25" s="6" customFormat="1" x14ac:dyDescent="0.35">
      <c r="A331" s="6" t="s">
        <v>25</v>
      </c>
      <c r="B331" s="7"/>
      <c r="C331" s="6">
        <v>511041</v>
      </c>
      <c r="D331" s="6" t="s">
        <v>773</v>
      </c>
      <c r="E331" s="6">
        <v>1</v>
      </c>
      <c r="F331" s="6">
        <v>10</v>
      </c>
      <c r="G331" s="6" t="s">
        <v>345</v>
      </c>
      <c r="H331" s="6">
        <v>22</v>
      </c>
      <c r="I331" s="8">
        <v>86.141995833333297</v>
      </c>
      <c r="J331" s="8">
        <v>122.240208541667</v>
      </c>
      <c r="K331" s="6" t="s">
        <v>29</v>
      </c>
      <c r="L331" s="6" t="s">
        <v>335</v>
      </c>
      <c r="M331" s="9">
        <v>43805</v>
      </c>
      <c r="O331" s="6">
        <v>10</v>
      </c>
      <c r="P331" s="6" t="s">
        <v>4280</v>
      </c>
      <c r="R331" s="6" t="s">
        <v>775</v>
      </c>
      <c r="S331" s="6">
        <v>59</v>
      </c>
      <c r="T331" s="6">
        <v>70</v>
      </c>
      <c r="U331" s="10">
        <f t="shared" si="10"/>
        <v>64.5</v>
      </c>
      <c r="V331" s="6">
        <v>4.5999999999999996</v>
      </c>
      <c r="W331" s="8">
        <v>-0.58904567518830286</v>
      </c>
      <c r="X331" s="8">
        <v>-1.6217680989265437</v>
      </c>
      <c r="Y331" s="8">
        <f t="shared" si="11"/>
        <v>3.0905973025798792</v>
      </c>
    </row>
    <row r="332" spans="1:25" s="6" customFormat="1" x14ac:dyDescent="0.35">
      <c r="A332" s="6" t="s">
        <v>25</v>
      </c>
      <c r="B332" s="7"/>
      <c r="C332" s="6">
        <v>511052</v>
      </c>
      <c r="D332" s="6" t="s">
        <v>773</v>
      </c>
      <c r="E332" s="6">
        <v>1</v>
      </c>
      <c r="F332" s="6">
        <v>10</v>
      </c>
      <c r="G332" s="6" t="s">
        <v>345</v>
      </c>
      <c r="H332" s="6">
        <v>22</v>
      </c>
      <c r="I332" s="8">
        <v>86.141995833333297</v>
      </c>
      <c r="J332" s="8">
        <v>122.240208541667</v>
      </c>
      <c r="K332" s="6" t="s">
        <v>29</v>
      </c>
      <c r="L332" s="6" t="s">
        <v>335</v>
      </c>
      <c r="M332" s="9">
        <v>43805</v>
      </c>
      <c r="O332" s="6">
        <v>10</v>
      </c>
      <c r="P332" s="6" t="s">
        <v>4280</v>
      </c>
      <c r="R332" s="6" t="s">
        <v>776</v>
      </c>
      <c r="S332" s="6">
        <v>70</v>
      </c>
      <c r="T332" s="6">
        <v>77</v>
      </c>
      <c r="U332" s="10">
        <f t="shared" si="10"/>
        <v>73.5</v>
      </c>
      <c r="V332" s="6">
        <v>4.5999999999999996</v>
      </c>
      <c r="W332" s="8">
        <v>0.26688390216827385</v>
      </c>
      <c r="X332" s="8">
        <v>2.9275794563293456</v>
      </c>
      <c r="Y332" s="8">
        <f t="shared" si="11"/>
        <v>0.79250823898315481</v>
      </c>
    </row>
    <row r="333" spans="1:25" s="6" customFormat="1" x14ac:dyDescent="0.35">
      <c r="A333" s="6" t="s">
        <v>25</v>
      </c>
      <c r="B333" s="7"/>
      <c r="C333" s="6">
        <v>511040</v>
      </c>
      <c r="D333" s="6" t="s">
        <v>773</v>
      </c>
      <c r="E333" s="6">
        <v>1</v>
      </c>
      <c r="F333" s="6">
        <v>10</v>
      </c>
      <c r="G333" s="6" t="s">
        <v>345</v>
      </c>
      <c r="H333" s="6">
        <v>22</v>
      </c>
      <c r="I333" s="8">
        <v>86.141995833333297</v>
      </c>
      <c r="J333" s="8">
        <v>122.240208541667</v>
      </c>
      <c r="K333" s="6" t="s">
        <v>29</v>
      </c>
      <c r="L333" s="6" t="s">
        <v>335</v>
      </c>
      <c r="M333" s="9">
        <v>43805</v>
      </c>
      <c r="O333" s="6">
        <v>10</v>
      </c>
      <c r="P333" s="6" t="s">
        <v>4280</v>
      </c>
      <c r="R333" s="6" t="s">
        <v>774</v>
      </c>
      <c r="S333" s="6">
        <v>77</v>
      </c>
      <c r="T333" s="6">
        <v>84</v>
      </c>
      <c r="U333" s="10">
        <f t="shared" si="10"/>
        <v>80.5</v>
      </c>
      <c r="V333" s="6">
        <v>5.9</v>
      </c>
      <c r="W333" s="8">
        <v>0.52806736335754356</v>
      </c>
      <c r="X333" s="8">
        <v>5.0883320388793942</v>
      </c>
      <c r="Y333" s="8">
        <f t="shared" si="11"/>
        <v>0.86379313201904573</v>
      </c>
    </row>
    <row r="334" spans="1:25" s="6" customFormat="1" x14ac:dyDescent="0.35">
      <c r="A334" s="6" t="s">
        <v>25</v>
      </c>
      <c r="B334" s="6" t="s">
        <v>778</v>
      </c>
      <c r="D334" s="6" t="s">
        <v>779</v>
      </c>
      <c r="E334" s="6">
        <v>1</v>
      </c>
      <c r="F334" s="6">
        <v>11</v>
      </c>
      <c r="G334" s="6" t="s">
        <v>179</v>
      </c>
      <c r="I334" s="8">
        <v>86.506581944444406</v>
      </c>
      <c r="J334" s="8">
        <v>120.985913333333</v>
      </c>
      <c r="K334" s="6" t="s">
        <v>29</v>
      </c>
      <c r="L334" s="6" t="s">
        <v>335</v>
      </c>
      <c r="M334" s="9">
        <v>43809</v>
      </c>
      <c r="O334" s="6">
        <v>11</v>
      </c>
      <c r="P334" s="6" t="s">
        <v>4284</v>
      </c>
      <c r="R334" s="6">
        <v>0</v>
      </c>
      <c r="S334" s="6">
        <v>0</v>
      </c>
      <c r="T334" s="6">
        <v>10</v>
      </c>
      <c r="U334" s="10">
        <f t="shared" si="10"/>
        <v>5</v>
      </c>
      <c r="W334" s="8">
        <v>6.2196739642508839E-2</v>
      </c>
      <c r="X334" s="8">
        <v>-0.51185487484931969</v>
      </c>
      <c r="Y334" s="8">
        <f t="shared" si="11"/>
        <v>-1.0094287919893903</v>
      </c>
    </row>
    <row r="335" spans="1:25" s="6" customFormat="1" x14ac:dyDescent="0.35">
      <c r="A335" s="6" t="s">
        <v>25</v>
      </c>
      <c r="B335" s="6" t="s">
        <v>780</v>
      </c>
      <c r="D335" s="6" t="s">
        <v>779</v>
      </c>
      <c r="E335" s="6">
        <v>1</v>
      </c>
      <c r="F335" s="6">
        <v>11</v>
      </c>
      <c r="G335" s="6" t="s">
        <v>179</v>
      </c>
      <c r="I335" s="8">
        <v>86.506581944444406</v>
      </c>
      <c r="J335" s="8">
        <v>120.985913333333</v>
      </c>
      <c r="K335" s="6" t="s">
        <v>29</v>
      </c>
      <c r="L335" s="6" t="s">
        <v>335</v>
      </c>
      <c r="M335" s="9">
        <v>43809</v>
      </c>
      <c r="O335" s="6">
        <v>11</v>
      </c>
      <c r="P335" s="6" t="s">
        <v>4284</v>
      </c>
      <c r="R335" s="6">
        <v>10</v>
      </c>
      <c r="S335" s="6">
        <v>10</v>
      </c>
      <c r="T335" s="6">
        <v>20</v>
      </c>
      <c r="U335" s="10">
        <f t="shared" si="10"/>
        <v>15</v>
      </c>
      <c r="W335" s="8">
        <v>-1.9447241787672038</v>
      </c>
      <c r="X335" s="8">
        <v>-15.137517152786256</v>
      </c>
      <c r="Y335" s="8">
        <f t="shared" si="11"/>
        <v>0.42027627735137507</v>
      </c>
    </row>
    <row r="336" spans="1:25" s="6" customFormat="1" x14ac:dyDescent="0.35">
      <c r="A336" s="6" t="s">
        <v>25</v>
      </c>
      <c r="B336" s="6" t="s">
        <v>781</v>
      </c>
      <c r="D336" s="6" t="s">
        <v>779</v>
      </c>
      <c r="E336" s="6">
        <v>1</v>
      </c>
      <c r="F336" s="6">
        <v>11</v>
      </c>
      <c r="G336" s="6" t="s">
        <v>179</v>
      </c>
      <c r="I336" s="8">
        <v>86.506581944444406</v>
      </c>
      <c r="J336" s="8">
        <v>120.985913333333</v>
      </c>
      <c r="K336" s="6" t="s">
        <v>29</v>
      </c>
      <c r="L336" s="6" t="s">
        <v>335</v>
      </c>
      <c r="M336" s="9">
        <v>43809</v>
      </c>
      <c r="O336" s="6">
        <v>11</v>
      </c>
      <c r="P336" s="6" t="s">
        <v>4284</v>
      </c>
      <c r="R336" s="6">
        <v>20</v>
      </c>
      <c r="S336" s="6">
        <v>20</v>
      </c>
      <c r="T336" s="6">
        <v>30</v>
      </c>
      <c r="U336" s="10">
        <f t="shared" si="10"/>
        <v>25</v>
      </c>
      <c r="W336" s="8">
        <v>0.72111159422397653</v>
      </c>
      <c r="X336" s="8">
        <v>5.7146652727127076</v>
      </c>
      <c r="Y336" s="8">
        <f t="shared" si="11"/>
        <v>-5.4227481079104578E-2</v>
      </c>
    </row>
    <row r="337" spans="1:25" s="6" customFormat="1" x14ac:dyDescent="0.35">
      <c r="A337" s="6" t="s">
        <v>25</v>
      </c>
      <c r="B337" s="6" t="s">
        <v>782</v>
      </c>
      <c r="D337" s="6" t="s">
        <v>779</v>
      </c>
      <c r="E337" s="6">
        <v>1</v>
      </c>
      <c r="F337" s="6">
        <v>11</v>
      </c>
      <c r="G337" s="6" t="s">
        <v>179</v>
      </c>
      <c r="I337" s="8">
        <v>86.506581944444406</v>
      </c>
      <c r="J337" s="8">
        <v>120.985913333333</v>
      </c>
      <c r="K337" s="6" t="s">
        <v>29</v>
      </c>
      <c r="L337" s="6" t="s">
        <v>335</v>
      </c>
      <c r="M337" s="9">
        <v>43809</v>
      </c>
      <c r="O337" s="6">
        <v>11</v>
      </c>
      <c r="P337" s="6" t="s">
        <v>4284</v>
      </c>
      <c r="R337" s="6">
        <v>30</v>
      </c>
      <c r="S337" s="6">
        <v>30</v>
      </c>
      <c r="T337" s="6">
        <v>40</v>
      </c>
      <c r="U337" s="10">
        <f t="shared" si="10"/>
        <v>35</v>
      </c>
      <c r="W337" s="8">
        <v>0.88430901786088956</v>
      </c>
      <c r="X337" s="8">
        <v>6.960191621303558</v>
      </c>
      <c r="Y337" s="8">
        <f t="shared" si="11"/>
        <v>-0.1142805215835585</v>
      </c>
    </row>
    <row r="338" spans="1:25" s="6" customFormat="1" x14ac:dyDescent="0.35">
      <c r="A338" s="6" t="s">
        <v>25</v>
      </c>
      <c r="B338" s="6" t="s">
        <v>783</v>
      </c>
      <c r="D338" s="6" t="s">
        <v>779</v>
      </c>
      <c r="E338" s="6">
        <v>1</v>
      </c>
      <c r="F338" s="6">
        <v>11</v>
      </c>
      <c r="G338" s="6" t="s">
        <v>179</v>
      </c>
      <c r="I338" s="8">
        <v>86.506581944444406</v>
      </c>
      <c r="J338" s="8">
        <v>120.985913333333</v>
      </c>
      <c r="K338" s="6" t="s">
        <v>29</v>
      </c>
      <c r="L338" s="6" t="s">
        <v>335</v>
      </c>
      <c r="M338" s="9">
        <v>43809</v>
      </c>
      <c r="O338" s="6">
        <v>11</v>
      </c>
      <c r="P338" s="6" t="s">
        <v>4284</v>
      </c>
      <c r="R338" s="6">
        <v>40</v>
      </c>
      <c r="S338" s="6">
        <v>40</v>
      </c>
      <c r="T338" s="6">
        <v>50</v>
      </c>
      <c r="U338" s="10">
        <f t="shared" si="10"/>
        <v>45</v>
      </c>
      <c r="W338" s="8">
        <v>0.77729022994041475</v>
      </c>
      <c r="X338" s="8">
        <v>6.1750190401077258</v>
      </c>
      <c r="Y338" s="8">
        <f t="shared" si="11"/>
        <v>-4.3302799415592119E-2</v>
      </c>
    </row>
    <row r="339" spans="1:25" s="6" customFormat="1" x14ac:dyDescent="0.35">
      <c r="A339" s="6" t="s">
        <v>25</v>
      </c>
      <c r="B339" s="6" t="s">
        <v>784</v>
      </c>
      <c r="D339" s="6" t="s">
        <v>779</v>
      </c>
      <c r="E339" s="6">
        <v>1</v>
      </c>
      <c r="F339" s="6">
        <v>11</v>
      </c>
      <c r="G339" s="6" t="s">
        <v>179</v>
      </c>
      <c r="I339" s="8">
        <v>86.506581944444406</v>
      </c>
      <c r="J339" s="8">
        <v>120.985913333333</v>
      </c>
      <c r="K339" s="6" t="s">
        <v>29</v>
      </c>
      <c r="L339" s="6" t="s">
        <v>335</v>
      </c>
      <c r="M339" s="9">
        <v>43809</v>
      </c>
      <c r="O339" s="6">
        <v>11</v>
      </c>
      <c r="P339" s="6" t="s">
        <v>4284</v>
      </c>
      <c r="R339" s="6">
        <v>50</v>
      </c>
      <c r="S339" s="6">
        <v>50</v>
      </c>
      <c r="T339" s="6">
        <v>59</v>
      </c>
      <c r="U339" s="10">
        <f t="shared" si="10"/>
        <v>54.5</v>
      </c>
      <c r="W339" s="8">
        <v>0.5991727680802349</v>
      </c>
      <c r="X339" s="8">
        <v>5.9057204670906067</v>
      </c>
      <c r="Y339" s="8">
        <f t="shared" si="11"/>
        <v>1.1123383224487275</v>
      </c>
    </row>
    <row r="340" spans="1:25" s="6" customFormat="1" x14ac:dyDescent="0.35">
      <c r="A340" s="6" t="s">
        <v>25</v>
      </c>
      <c r="B340" s="6" t="s">
        <v>785</v>
      </c>
      <c r="D340" s="6" t="s">
        <v>779</v>
      </c>
      <c r="E340" s="6">
        <v>1</v>
      </c>
      <c r="F340" s="6">
        <v>11</v>
      </c>
      <c r="G340" s="6" t="s">
        <v>179</v>
      </c>
      <c r="I340" s="8">
        <v>86.506581944444406</v>
      </c>
      <c r="J340" s="8">
        <v>120.985913333333</v>
      </c>
      <c r="K340" s="6" t="s">
        <v>29</v>
      </c>
      <c r="L340" s="6" t="s">
        <v>335</v>
      </c>
      <c r="M340" s="9">
        <v>43809</v>
      </c>
      <c r="O340" s="6">
        <v>11</v>
      </c>
      <c r="P340" s="6" t="s">
        <v>4284</v>
      </c>
      <c r="R340" s="6">
        <v>59</v>
      </c>
      <c r="S340" s="6">
        <v>59</v>
      </c>
      <c r="T340" s="6">
        <v>68</v>
      </c>
      <c r="U340" s="10">
        <f t="shared" si="10"/>
        <v>63.5</v>
      </c>
      <c r="W340" s="8">
        <v>0.38140909583866556</v>
      </c>
      <c r="X340" s="8">
        <v>4.1348745708465575</v>
      </c>
      <c r="Y340" s="8">
        <f t="shared" si="11"/>
        <v>1.0836018041372331</v>
      </c>
    </row>
    <row r="341" spans="1:25" s="6" customFormat="1" x14ac:dyDescent="0.35">
      <c r="A341" s="6" t="s">
        <v>25</v>
      </c>
      <c r="B341" s="6" t="s">
        <v>788</v>
      </c>
      <c r="D341" s="6" t="s">
        <v>789</v>
      </c>
      <c r="E341" s="6">
        <v>2</v>
      </c>
      <c r="F341" s="6">
        <v>17</v>
      </c>
      <c r="G341" s="6" t="s">
        <v>202</v>
      </c>
      <c r="I341" s="8">
        <v>86.641082222222195</v>
      </c>
      <c r="J341" s="8">
        <v>113.166453680556</v>
      </c>
      <c r="K341" s="6" t="s">
        <v>29</v>
      </c>
      <c r="L341" s="6" t="s">
        <v>335</v>
      </c>
      <c r="M341" s="9">
        <v>43822</v>
      </c>
      <c r="O341" s="6">
        <v>13</v>
      </c>
      <c r="P341" s="6" t="s">
        <v>4294</v>
      </c>
      <c r="R341" s="6">
        <v>0</v>
      </c>
      <c r="S341" s="6">
        <v>0</v>
      </c>
      <c r="T341" s="6">
        <v>10</v>
      </c>
      <c r="U341" s="10">
        <f t="shared" si="10"/>
        <v>5</v>
      </c>
      <c r="W341" s="8">
        <v>-3.4426701181888579</v>
      </c>
      <c r="X341" s="8">
        <v>-28.229901266098022</v>
      </c>
      <c r="Y341" s="8">
        <f t="shared" si="11"/>
        <v>-0.68854032058715831</v>
      </c>
    </row>
    <row r="342" spans="1:25" s="6" customFormat="1" x14ac:dyDescent="0.35">
      <c r="A342" s="6" t="s">
        <v>25</v>
      </c>
      <c r="B342" s="6" t="s">
        <v>790</v>
      </c>
      <c r="D342" s="6" t="s">
        <v>789</v>
      </c>
      <c r="E342" s="6">
        <v>2</v>
      </c>
      <c r="F342" s="6">
        <v>17</v>
      </c>
      <c r="G342" s="6" t="s">
        <v>202</v>
      </c>
      <c r="I342" s="8">
        <v>86.641082222222195</v>
      </c>
      <c r="J342" s="8">
        <v>113.166453680556</v>
      </c>
      <c r="K342" s="6" t="s">
        <v>29</v>
      </c>
      <c r="L342" s="6" t="s">
        <v>335</v>
      </c>
      <c r="M342" s="9">
        <v>43822</v>
      </c>
      <c r="O342" s="6">
        <v>13</v>
      </c>
      <c r="P342" s="6" t="s">
        <v>4294</v>
      </c>
      <c r="R342" s="6">
        <v>10</v>
      </c>
      <c r="S342" s="6">
        <v>10</v>
      </c>
      <c r="T342" s="6">
        <v>20</v>
      </c>
      <c r="U342" s="10">
        <f t="shared" si="10"/>
        <v>15</v>
      </c>
      <c r="W342" s="8">
        <v>-0.28242439437508554</v>
      </c>
      <c r="X342" s="8">
        <v>-2.1347481787204745</v>
      </c>
      <c r="Y342" s="8">
        <f t="shared" si="11"/>
        <v>0.12464697628020982</v>
      </c>
    </row>
    <row r="343" spans="1:25" s="6" customFormat="1" x14ac:dyDescent="0.35">
      <c r="A343" s="6" t="s">
        <v>25</v>
      </c>
      <c r="B343" s="6" t="s">
        <v>791</v>
      </c>
      <c r="D343" s="6" t="s">
        <v>789</v>
      </c>
      <c r="E343" s="6">
        <v>2</v>
      </c>
      <c r="F343" s="6">
        <v>17</v>
      </c>
      <c r="G343" s="6" t="s">
        <v>202</v>
      </c>
      <c r="I343" s="8">
        <v>86.641082222222195</v>
      </c>
      <c r="J343" s="8">
        <v>113.166453680556</v>
      </c>
      <c r="K343" s="6" t="s">
        <v>29</v>
      </c>
      <c r="L343" s="6" t="s">
        <v>335</v>
      </c>
      <c r="M343" s="9">
        <v>43822</v>
      </c>
      <c r="O343" s="6">
        <v>13</v>
      </c>
      <c r="P343" s="6" t="s">
        <v>4294</v>
      </c>
      <c r="R343" s="6">
        <v>20</v>
      </c>
      <c r="S343" s="6">
        <v>20</v>
      </c>
      <c r="T343" s="6">
        <v>30</v>
      </c>
      <c r="U343" s="10">
        <f t="shared" si="10"/>
        <v>25</v>
      </c>
      <c r="W343" s="8">
        <v>1.082240750575066</v>
      </c>
      <c r="X343" s="8">
        <v>8.6817071199417111</v>
      </c>
      <c r="Y343" s="8">
        <f t="shared" si="11"/>
        <v>2.3781115341183323E-2</v>
      </c>
    </row>
    <row r="344" spans="1:25" s="6" customFormat="1" x14ac:dyDescent="0.35">
      <c r="A344" s="6" t="s">
        <v>25</v>
      </c>
      <c r="B344" s="6" t="s">
        <v>792</v>
      </c>
      <c r="D344" s="6" t="s">
        <v>789</v>
      </c>
      <c r="E344" s="6">
        <v>2</v>
      </c>
      <c r="F344" s="6">
        <v>17</v>
      </c>
      <c r="G344" s="6" t="s">
        <v>202</v>
      </c>
      <c r="I344" s="8">
        <v>86.641082222222195</v>
      </c>
      <c r="J344" s="8">
        <v>113.166453680556</v>
      </c>
      <c r="K344" s="6" t="s">
        <v>29</v>
      </c>
      <c r="L344" s="6" t="s">
        <v>335</v>
      </c>
      <c r="M344" s="9">
        <v>43822</v>
      </c>
      <c r="O344" s="6">
        <v>13</v>
      </c>
      <c r="P344" s="6" t="s">
        <v>4294</v>
      </c>
      <c r="R344" s="6">
        <v>30</v>
      </c>
      <c r="S344" s="6">
        <v>30</v>
      </c>
      <c r="T344" s="6">
        <v>40</v>
      </c>
      <c r="U344" s="10">
        <f t="shared" si="10"/>
        <v>35</v>
      </c>
      <c r="W344" s="8">
        <v>0.89594497134685513</v>
      </c>
      <c r="X344" s="8">
        <v>7.4317361354827884</v>
      </c>
      <c r="Y344" s="8">
        <f t="shared" si="11"/>
        <v>0.26417636470794736</v>
      </c>
    </row>
    <row r="345" spans="1:25" s="6" customFormat="1" x14ac:dyDescent="0.35">
      <c r="A345" s="6" t="s">
        <v>25</v>
      </c>
      <c r="B345" s="6" t="s">
        <v>793</v>
      </c>
      <c r="D345" s="6" t="s">
        <v>789</v>
      </c>
      <c r="E345" s="6">
        <v>2</v>
      </c>
      <c r="F345" s="6">
        <v>17</v>
      </c>
      <c r="G345" s="6" t="s">
        <v>202</v>
      </c>
      <c r="I345" s="8">
        <v>86.641082222222195</v>
      </c>
      <c r="J345" s="8">
        <v>113.166453680556</v>
      </c>
      <c r="K345" s="6" t="s">
        <v>29</v>
      </c>
      <c r="L345" s="6" t="s">
        <v>335</v>
      </c>
      <c r="M345" s="9">
        <v>43822</v>
      </c>
      <c r="O345" s="6">
        <v>13</v>
      </c>
      <c r="P345" s="6" t="s">
        <v>4294</v>
      </c>
      <c r="R345" s="6">
        <v>40</v>
      </c>
      <c r="S345" s="6">
        <v>40</v>
      </c>
      <c r="T345" s="6">
        <v>50</v>
      </c>
      <c r="U345" s="10">
        <f t="shared" si="10"/>
        <v>45</v>
      </c>
      <c r="W345" s="8">
        <v>0.85815704276561722</v>
      </c>
      <c r="X345" s="8">
        <v>6.5551593661308294</v>
      </c>
      <c r="Y345" s="8">
        <f t="shared" si="11"/>
        <v>-0.31009697599410835</v>
      </c>
    </row>
    <row r="346" spans="1:25" s="6" customFormat="1" x14ac:dyDescent="0.35">
      <c r="A346" s="6" t="s">
        <v>25</v>
      </c>
      <c r="B346" s="6" t="s">
        <v>794</v>
      </c>
      <c r="D346" s="6" t="s">
        <v>789</v>
      </c>
      <c r="E346" s="6">
        <v>2</v>
      </c>
      <c r="F346" s="6">
        <v>17</v>
      </c>
      <c r="G346" s="6" t="s">
        <v>202</v>
      </c>
      <c r="I346" s="8">
        <v>86.641082222222195</v>
      </c>
      <c r="J346" s="8">
        <v>113.166453680556</v>
      </c>
      <c r="K346" s="6" t="s">
        <v>29</v>
      </c>
      <c r="L346" s="6" t="s">
        <v>335</v>
      </c>
      <c r="M346" s="9">
        <v>43822</v>
      </c>
      <c r="O346" s="6">
        <v>13</v>
      </c>
      <c r="P346" s="6" t="s">
        <v>4294</v>
      </c>
      <c r="R346" s="6">
        <v>50</v>
      </c>
      <c r="S346" s="6">
        <v>50</v>
      </c>
      <c r="T346" s="6">
        <v>60</v>
      </c>
      <c r="U346" s="10">
        <f t="shared" si="10"/>
        <v>55</v>
      </c>
      <c r="W346" s="8">
        <v>0.71503125777244603</v>
      </c>
      <c r="X346" s="8">
        <v>5.8470626592636128</v>
      </c>
      <c r="Y346" s="8">
        <f t="shared" si="11"/>
        <v>0.12681259708404458</v>
      </c>
    </row>
    <row r="347" spans="1:25" s="6" customFormat="1" x14ac:dyDescent="0.35">
      <c r="A347" s="6" t="s">
        <v>25</v>
      </c>
      <c r="B347" s="7"/>
      <c r="D347" s="6" t="s">
        <v>802</v>
      </c>
      <c r="E347" s="6">
        <v>2</v>
      </c>
      <c r="F347" s="6">
        <v>17</v>
      </c>
      <c r="G347" s="6" t="s">
        <v>202</v>
      </c>
      <c r="I347" s="8">
        <v>86.641082222222195</v>
      </c>
      <c r="J347" s="8">
        <v>113.166453680556</v>
      </c>
      <c r="K347" s="6" t="s">
        <v>29</v>
      </c>
      <c r="L347" s="6" t="s">
        <v>335</v>
      </c>
      <c r="M347" s="9">
        <v>43822</v>
      </c>
      <c r="O347" s="6">
        <v>13</v>
      </c>
      <c r="P347" s="6" t="s">
        <v>4294</v>
      </c>
      <c r="S347" s="6">
        <v>60</v>
      </c>
      <c r="T347" s="6">
        <v>70</v>
      </c>
      <c r="U347" s="10">
        <f t="shared" si="10"/>
        <v>65</v>
      </c>
      <c r="W347" s="8">
        <v>0.59086883919239008</v>
      </c>
      <c r="X347" s="8">
        <v>4.2740157485961907</v>
      </c>
      <c r="Y347" s="8">
        <f t="shared" si="11"/>
        <v>-0.45293496494292995</v>
      </c>
    </row>
    <row r="348" spans="1:25" s="6" customFormat="1" x14ac:dyDescent="0.35">
      <c r="A348" s="6" t="s">
        <v>25</v>
      </c>
      <c r="B348" s="7"/>
      <c r="D348" s="6" t="s">
        <v>803</v>
      </c>
      <c r="E348" s="6">
        <v>2</v>
      </c>
      <c r="F348" s="6">
        <v>17</v>
      </c>
      <c r="G348" s="6" t="s">
        <v>202</v>
      </c>
      <c r="I348" s="8">
        <v>86.641082222222195</v>
      </c>
      <c r="J348" s="8">
        <v>113.166453680556</v>
      </c>
      <c r="K348" s="6" t="s">
        <v>29</v>
      </c>
      <c r="L348" s="6" t="s">
        <v>335</v>
      </c>
      <c r="M348" s="9">
        <v>43822</v>
      </c>
      <c r="O348" s="6">
        <v>13</v>
      </c>
      <c r="P348" s="6" t="s">
        <v>4294</v>
      </c>
      <c r="S348" s="6">
        <v>70</v>
      </c>
      <c r="T348" s="6">
        <v>82</v>
      </c>
      <c r="U348" s="10">
        <f t="shared" si="10"/>
        <v>76</v>
      </c>
      <c r="W348" s="8">
        <v>-1.269902184602091E-4</v>
      </c>
      <c r="X348" s="8">
        <v>0.12298065147399885</v>
      </c>
      <c r="Y348" s="8">
        <f t="shared" si="11"/>
        <v>0.12399657322168052</v>
      </c>
    </row>
    <row r="349" spans="1:25" s="6" customFormat="1" x14ac:dyDescent="0.35">
      <c r="A349" s="6" t="s">
        <v>25</v>
      </c>
      <c r="B349" s="6" t="s">
        <v>795</v>
      </c>
      <c r="D349" s="6" t="s">
        <v>789</v>
      </c>
      <c r="E349" s="6">
        <v>2</v>
      </c>
      <c r="F349" s="6">
        <v>17</v>
      </c>
      <c r="G349" s="6" t="s">
        <v>272</v>
      </c>
      <c r="I349" s="8">
        <v>86.641082222222195</v>
      </c>
      <c r="J349" s="8">
        <v>113.166453680556</v>
      </c>
      <c r="K349" s="6" t="s">
        <v>29</v>
      </c>
      <c r="L349" s="6" t="s">
        <v>546</v>
      </c>
      <c r="M349" s="9">
        <v>43822</v>
      </c>
      <c r="O349" s="6">
        <v>13</v>
      </c>
      <c r="P349" s="6" t="s">
        <v>4294</v>
      </c>
      <c r="R349" s="6">
        <v>0</v>
      </c>
      <c r="S349" s="6">
        <v>0</v>
      </c>
      <c r="T349" s="6">
        <v>10</v>
      </c>
      <c r="U349" s="10">
        <f t="shared" si="10"/>
        <v>5</v>
      </c>
      <c r="W349" s="8">
        <v>-7.9361170722007737</v>
      </c>
      <c r="X349" s="8">
        <v>-62.25497217178345</v>
      </c>
      <c r="Y349" s="8">
        <f t="shared" si="11"/>
        <v>1.2339644058227393</v>
      </c>
    </row>
    <row r="350" spans="1:25" s="6" customFormat="1" x14ac:dyDescent="0.35">
      <c r="A350" s="6" t="s">
        <v>25</v>
      </c>
      <c r="B350" s="6" t="s">
        <v>796</v>
      </c>
      <c r="D350" s="6" t="s">
        <v>789</v>
      </c>
      <c r="E350" s="6">
        <v>2</v>
      </c>
      <c r="F350" s="6">
        <v>17</v>
      </c>
      <c r="G350" s="6" t="s">
        <v>272</v>
      </c>
      <c r="I350" s="8">
        <v>86.641082222222195</v>
      </c>
      <c r="J350" s="8">
        <v>113.166453680556</v>
      </c>
      <c r="K350" s="6" t="s">
        <v>29</v>
      </c>
      <c r="L350" s="6" t="s">
        <v>546</v>
      </c>
      <c r="M350" s="9">
        <v>43822</v>
      </c>
      <c r="O350" s="6">
        <v>13</v>
      </c>
      <c r="P350" s="6" t="s">
        <v>4294</v>
      </c>
      <c r="R350" s="6">
        <v>10</v>
      </c>
      <c r="S350" s="6">
        <v>10</v>
      </c>
      <c r="T350" s="6">
        <v>20</v>
      </c>
      <c r="U350" s="10">
        <f t="shared" si="10"/>
        <v>15</v>
      </c>
      <c r="W350" s="8">
        <v>-4.179701880073547</v>
      </c>
      <c r="X350" s="8">
        <v>-32.985706043243404</v>
      </c>
      <c r="Y350" s="8">
        <f t="shared" si="11"/>
        <v>0.45190899734497236</v>
      </c>
    </row>
    <row r="351" spans="1:25" s="6" customFormat="1" x14ac:dyDescent="0.35">
      <c r="A351" s="6" t="s">
        <v>25</v>
      </c>
      <c r="B351" s="6" t="s">
        <v>797</v>
      </c>
      <c r="D351" s="6" t="s">
        <v>789</v>
      </c>
      <c r="E351" s="6">
        <v>2</v>
      </c>
      <c r="F351" s="6">
        <v>17</v>
      </c>
      <c r="G351" s="6" t="s">
        <v>272</v>
      </c>
      <c r="I351" s="8">
        <v>86.641082222222195</v>
      </c>
      <c r="J351" s="8">
        <v>113.166453680556</v>
      </c>
      <c r="K351" s="6" t="s">
        <v>29</v>
      </c>
      <c r="L351" s="6" t="s">
        <v>546</v>
      </c>
      <c r="M351" s="9">
        <v>43822</v>
      </c>
      <c r="O351" s="6">
        <v>13</v>
      </c>
      <c r="P351" s="6" t="s">
        <v>4294</v>
      </c>
      <c r="R351" s="6">
        <v>20</v>
      </c>
      <c r="S351" s="6">
        <v>20</v>
      </c>
      <c r="T351" s="6">
        <v>30</v>
      </c>
      <c r="U351" s="10">
        <f t="shared" si="10"/>
        <v>25</v>
      </c>
      <c r="W351" s="8">
        <v>-5.4898640299797075</v>
      </c>
      <c r="X351" s="8">
        <v>-42.25164270401001</v>
      </c>
      <c r="Y351" s="8">
        <f t="shared" si="11"/>
        <v>1.6672695358276499</v>
      </c>
    </row>
    <row r="352" spans="1:25" s="6" customFormat="1" x14ac:dyDescent="0.35">
      <c r="A352" s="6" t="s">
        <v>25</v>
      </c>
      <c r="B352" s="6" t="s">
        <v>798</v>
      </c>
      <c r="D352" s="6" t="s">
        <v>789</v>
      </c>
      <c r="E352" s="6">
        <v>2</v>
      </c>
      <c r="F352" s="6">
        <v>17</v>
      </c>
      <c r="G352" s="6" t="s">
        <v>272</v>
      </c>
      <c r="I352" s="8">
        <v>86.641082222222195</v>
      </c>
      <c r="J352" s="8">
        <v>113.166453680556</v>
      </c>
      <c r="K352" s="6" t="s">
        <v>29</v>
      </c>
      <c r="L352" s="6" t="s">
        <v>546</v>
      </c>
      <c r="M352" s="9">
        <v>43822</v>
      </c>
      <c r="O352" s="6">
        <v>13</v>
      </c>
      <c r="P352" s="6" t="s">
        <v>4294</v>
      </c>
      <c r="R352" s="6">
        <v>30</v>
      </c>
      <c r="S352" s="6">
        <v>30</v>
      </c>
      <c r="T352" s="6">
        <v>40</v>
      </c>
      <c r="U352" s="10">
        <f t="shared" si="10"/>
        <v>35</v>
      </c>
      <c r="W352" s="8">
        <v>-4.8376169301033025</v>
      </c>
      <c r="X352" s="8">
        <v>-37.646933841705327</v>
      </c>
      <c r="Y352" s="8">
        <f t="shared" si="11"/>
        <v>1.0540015991210936</v>
      </c>
    </row>
    <row r="353" spans="1:25" s="6" customFormat="1" x14ac:dyDescent="0.35">
      <c r="A353" s="6" t="s">
        <v>25</v>
      </c>
      <c r="B353" s="6" t="s">
        <v>799</v>
      </c>
      <c r="D353" s="6" t="s">
        <v>789</v>
      </c>
      <c r="E353" s="6">
        <v>2</v>
      </c>
      <c r="F353" s="6">
        <v>17</v>
      </c>
      <c r="G353" s="6" t="s">
        <v>272</v>
      </c>
      <c r="I353" s="8">
        <v>86.641082222222195</v>
      </c>
      <c r="J353" s="8">
        <v>113.166453680556</v>
      </c>
      <c r="K353" s="6" t="s">
        <v>29</v>
      </c>
      <c r="L353" s="6" t="s">
        <v>546</v>
      </c>
      <c r="M353" s="9">
        <v>43822</v>
      </c>
      <c r="O353" s="6">
        <v>13</v>
      </c>
      <c r="P353" s="6" t="s">
        <v>4294</v>
      </c>
      <c r="R353" s="6">
        <v>40</v>
      </c>
      <c r="S353" s="6">
        <v>40</v>
      </c>
      <c r="T353" s="6">
        <v>50</v>
      </c>
      <c r="U353" s="10">
        <f t="shared" si="10"/>
        <v>45</v>
      </c>
      <c r="W353" s="8">
        <v>0.62047368615865706</v>
      </c>
      <c r="X353" s="8">
        <v>5.3707594223022461</v>
      </c>
      <c r="Y353" s="8">
        <f t="shared" si="11"/>
        <v>0.40696993303298967</v>
      </c>
    </row>
    <row r="354" spans="1:25" s="6" customFormat="1" x14ac:dyDescent="0.35">
      <c r="A354" s="6" t="s">
        <v>25</v>
      </c>
      <c r="B354" s="6" t="s">
        <v>800</v>
      </c>
      <c r="D354" s="6" t="s">
        <v>789</v>
      </c>
      <c r="E354" s="6">
        <v>2</v>
      </c>
      <c r="F354" s="6">
        <v>17</v>
      </c>
      <c r="G354" s="6" t="s">
        <v>272</v>
      </c>
      <c r="I354" s="8">
        <v>86.641082222222195</v>
      </c>
      <c r="J354" s="8">
        <v>113.166453680556</v>
      </c>
      <c r="K354" s="6" t="s">
        <v>29</v>
      </c>
      <c r="L354" s="6" t="s">
        <v>546</v>
      </c>
      <c r="M354" s="9">
        <v>43822</v>
      </c>
      <c r="O354" s="6">
        <v>13</v>
      </c>
      <c r="P354" s="6" t="s">
        <v>4294</v>
      </c>
      <c r="R354" s="6">
        <v>50</v>
      </c>
      <c r="S354" s="6">
        <v>50</v>
      </c>
      <c r="T354" s="6">
        <v>60</v>
      </c>
      <c r="U354" s="10">
        <f t="shared" si="10"/>
        <v>55</v>
      </c>
      <c r="W354" s="8">
        <v>0.75570721763372406</v>
      </c>
      <c r="X354" s="8">
        <v>6.6648044948577878</v>
      </c>
      <c r="Y354" s="8">
        <f t="shared" si="11"/>
        <v>0.61914675378799533</v>
      </c>
    </row>
    <row r="355" spans="1:25" s="6" customFormat="1" x14ac:dyDescent="0.35">
      <c r="A355" s="6" t="s">
        <v>25</v>
      </c>
      <c r="B355" s="6" t="s">
        <v>801</v>
      </c>
      <c r="D355" s="6" t="s">
        <v>789</v>
      </c>
      <c r="E355" s="6">
        <v>2</v>
      </c>
      <c r="F355" s="6">
        <v>17</v>
      </c>
      <c r="G355" s="6" t="s">
        <v>272</v>
      </c>
      <c r="I355" s="8">
        <v>86.641082222222195</v>
      </c>
      <c r="J355" s="8">
        <v>113.166453680556</v>
      </c>
      <c r="K355" s="6" t="s">
        <v>29</v>
      </c>
      <c r="L355" s="6" t="s">
        <v>546</v>
      </c>
      <c r="M355" s="9">
        <v>43822</v>
      </c>
      <c r="O355" s="6">
        <v>13</v>
      </c>
      <c r="P355" s="6" t="s">
        <v>4294</v>
      </c>
      <c r="R355" s="6">
        <v>60</v>
      </c>
      <c r="S355" s="6">
        <v>60</v>
      </c>
      <c r="T355" s="6">
        <v>70</v>
      </c>
      <c r="U355" s="10">
        <f t="shared" si="10"/>
        <v>65</v>
      </c>
      <c r="W355" s="8">
        <v>0.62928481143712967</v>
      </c>
      <c r="X355" s="8">
        <v>5.349043605804443</v>
      </c>
      <c r="Y355" s="8">
        <f t="shared" si="11"/>
        <v>0.31476511430740572</v>
      </c>
    </row>
    <row r="356" spans="1:25" s="6" customFormat="1" x14ac:dyDescent="0.35">
      <c r="A356" s="6" t="s">
        <v>25</v>
      </c>
      <c r="B356" s="7"/>
      <c r="D356" s="6" t="s">
        <v>807</v>
      </c>
      <c r="E356" s="6">
        <v>2</v>
      </c>
      <c r="F356" s="6">
        <v>17</v>
      </c>
      <c r="G356" s="6" t="s">
        <v>272</v>
      </c>
      <c r="I356" s="8">
        <v>86.626447986111103</v>
      </c>
      <c r="J356" s="8">
        <v>114.979117013889</v>
      </c>
      <c r="K356" s="6" t="s">
        <v>29</v>
      </c>
      <c r="L356" s="6" t="s">
        <v>546</v>
      </c>
      <c r="M356" s="9">
        <v>43824</v>
      </c>
      <c r="O356" s="6">
        <v>13</v>
      </c>
      <c r="P356" s="6" t="s">
        <v>4281</v>
      </c>
      <c r="S356" s="6">
        <v>0</v>
      </c>
      <c r="T356" s="6">
        <v>10</v>
      </c>
      <c r="U356" s="10">
        <f t="shared" si="10"/>
        <v>5</v>
      </c>
      <c r="W356" s="8">
        <v>-4.5087057084560396</v>
      </c>
      <c r="X356" s="8">
        <v>-35.770803579711917</v>
      </c>
      <c r="Y356" s="8">
        <f t="shared" si="11"/>
        <v>0.29884208793639999</v>
      </c>
    </row>
    <row r="357" spans="1:25" s="6" customFormat="1" x14ac:dyDescent="0.35">
      <c r="A357" s="6" t="s">
        <v>25</v>
      </c>
      <c r="B357" s="7"/>
      <c r="D357" s="6" t="s">
        <v>808</v>
      </c>
      <c r="E357" s="6">
        <v>2</v>
      </c>
      <c r="F357" s="6">
        <v>17</v>
      </c>
      <c r="G357" s="6" t="s">
        <v>272</v>
      </c>
      <c r="I357" s="8">
        <v>86.626447986111103</v>
      </c>
      <c r="J357" s="8">
        <v>114.979117013889</v>
      </c>
      <c r="K357" s="6" t="s">
        <v>29</v>
      </c>
      <c r="L357" s="6" t="s">
        <v>546</v>
      </c>
      <c r="M357" s="9">
        <v>43824</v>
      </c>
      <c r="O357" s="6">
        <v>13</v>
      </c>
      <c r="P357" s="6" t="s">
        <v>4281</v>
      </c>
      <c r="S357" s="6">
        <v>10</v>
      </c>
      <c r="T357" s="6">
        <v>20</v>
      </c>
      <c r="U357" s="10">
        <f t="shared" si="10"/>
        <v>15</v>
      </c>
      <c r="W357" s="8">
        <v>-0.4244502829134465</v>
      </c>
      <c r="X357" s="8">
        <v>-3.864791949176789</v>
      </c>
      <c r="Y357" s="8">
        <f t="shared" si="11"/>
        <v>-0.46918968586921705</v>
      </c>
    </row>
    <row r="358" spans="1:25" s="6" customFormat="1" x14ac:dyDescent="0.35">
      <c r="A358" s="6" t="s">
        <v>25</v>
      </c>
      <c r="B358" s="7"/>
      <c r="D358" s="6" t="s">
        <v>809</v>
      </c>
      <c r="E358" s="6">
        <v>2</v>
      </c>
      <c r="F358" s="6">
        <v>17</v>
      </c>
      <c r="G358" s="6" t="s">
        <v>272</v>
      </c>
      <c r="I358" s="8">
        <v>86.626447986111103</v>
      </c>
      <c r="J358" s="8">
        <v>114.979117013889</v>
      </c>
      <c r="K358" s="6" t="s">
        <v>29</v>
      </c>
      <c r="L358" s="6" t="s">
        <v>546</v>
      </c>
      <c r="M358" s="9">
        <v>43824</v>
      </c>
      <c r="O358" s="6">
        <v>13</v>
      </c>
      <c r="P358" s="6" t="s">
        <v>4281</v>
      </c>
      <c r="S358" s="6">
        <v>20</v>
      </c>
      <c r="T358" s="6">
        <v>30</v>
      </c>
      <c r="U358" s="10">
        <f t="shared" si="10"/>
        <v>25</v>
      </c>
      <c r="W358" s="8">
        <v>0.3871653164505961</v>
      </c>
      <c r="X358" s="8">
        <v>3.7956298919677733</v>
      </c>
      <c r="Y358" s="8">
        <f t="shared" si="11"/>
        <v>0.69830736036300456</v>
      </c>
    </row>
    <row r="359" spans="1:25" s="6" customFormat="1" x14ac:dyDescent="0.35">
      <c r="A359" s="6" t="s">
        <v>25</v>
      </c>
      <c r="B359" s="7"/>
      <c r="D359" s="6" t="s">
        <v>810</v>
      </c>
      <c r="E359" s="6">
        <v>2</v>
      </c>
      <c r="F359" s="6">
        <v>17</v>
      </c>
      <c r="G359" s="6" t="s">
        <v>272</v>
      </c>
      <c r="I359" s="8">
        <v>86.626447986111103</v>
      </c>
      <c r="J359" s="8">
        <v>114.979117013889</v>
      </c>
      <c r="K359" s="6" t="s">
        <v>29</v>
      </c>
      <c r="L359" s="6" t="s">
        <v>546</v>
      </c>
      <c r="M359" s="9">
        <v>43824</v>
      </c>
      <c r="O359" s="6">
        <v>13</v>
      </c>
      <c r="P359" s="6" t="s">
        <v>4281</v>
      </c>
      <c r="S359" s="6">
        <v>30</v>
      </c>
      <c r="T359" s="6">
        <v>40</v>
      </c>
      <c r="U359" s="10">
        <f t="shared" si="10"/>
        <v>35</v>
      </c>
      <c r="W359" s="8">
        <v>0.74321113257408122</v>
      </c>
      <c r="X359" s="8">
        <v>5.5995265022277829</v>
      </c>
      <c r="Y359" s="8">
        <f t="shared" si="11"/>
        <v>-0.34616255836486687</v>
      </c>
    </row>
    <row r="360" spans="1:25" s="6" customFormat="1" x14ac:dyDescent="0.35">
      <c r="A360" s="6" t="s">
        <v>25</v>
      </c>
      <c r="B360" s="7"/>
      <c r="D360" s="6" t="s">
        <v>811</v>
      </c>
      <c r="E360" s="6">
        <v>2</v>
      </c>
      <c r="F360" s="6">
        <v>17</v>
      </c>
      <c r="G360" s="6" t="s">
        <v>272</v>
      </c>
      <c r="I360" s="8">
        <v>86.626447986111103</v>
      </c>
      <c r="J360" s="8">
        <v>114.979117013889</v>
      </c>
      <c r="K360" s="6" t="s">
        <v>29</v>
      </c>
      <c r="L360" s="6" t="s">
        <v>546</v>
      </c>
      <c r="M360" s="9">
        <v>43824</v>
      </c>
      <c r="O360" s="6">
        <v>13</v>
      </c>
      <c r="P360" s="6" t="s">
        <v>4281</v>
      </c>
      <c r="S360" s="6">
        <v>40</v>
      </c>
      <c r="T360" s="6">
        <v>50</v>
      </c>
      <c r="U360" s="10">
        <f t="shared" si="10"/>
        <v>45</v>
      </c>
      <c r="W360" s="8">
        <v>0.61564213632345188</v>
      </c>
      <c r="X360" s="8">
        <v>5.4413851753234859</v>
      </c>
      <c r="Y360" s="8">
        <f t="shared" si="11"/>
        <v>0.5162480847358708</v>
      </c>
    </row>
    <row r="361" spans="1:25" s="6" customFormat="1" x14ac:dyDescent="0.35">
      <c r="A361" s="6" t="s">
        <v>25</v>
      </c>
      <c r="B361" s="7"/>
      <c r="D361" s="6" t="s">
        <v>812</v>
      </c>
      <c r="E361" s="6">
        <v>2</v>
      </c>
      <c r="F361" s="6">
        <v>17</v>
      </c>
      <c r="G361" s="6" t="s">
        <v>272</v>
      </c>
      <c r="I361" s="8">
        <v>86.626447986111103</v>
      </c>
      <c r="J361" s="8">
        <v>114.979117013889</v>
      </c>
      <c r="K361" s="6" t="s">
        <v>29</v>
      </c>
      <c r="L361" s="6" t="s">
        <v>546</v>
      </c>
      <c r="M361" s="9">
        <v>43824</v>
      </c>
      <c r="O361" s="6">
        <v>13</v>
      </c>
      <c r="P361" s="6" t="s">
        <v>4281</v>
      </c>
      <c r="S361" s="6">
        <v>50</v>
      </c>
      <c r="T361" s="6">
        <v>60</v>
      </c>
      <c r="U361" s="10">
        <f t="shared" si="10"/>
        <v>55</v>
      </c>
      <c r="W361" s="8">
        <v>0.71805889080762886</v>
      </c>
      <c r="X361" s="8">
        <v>5.8327135826110839</v>
      </c>
      <c r="Y361" s="8">
        <f t="shared" si="11"/>
        <v>8.8242456150052995E-2</v>
      </c>
    </row>
    <row r="362" spans="1:25" s="6" customFormat="1" x14ac:dyDescent="0.35">
      <c r="A362" s="6" t="s">
        <v>25</v>
      </c>
      <c r="B362" s="7"/>
      <c r="D362" s="6" t="s">
        <v>813</v>
      </c>
      <c r="E362" s="6">
        <v>2</v>
      </c>
      <c r="F362" s="6">
        <v>17</v>
      </c>
      <c r="G362" s="6" t="s">
        <v>272</v>
      </c>
      <c r="I362" s="8">
        <v>86.626447986111103</v>
      </c>
      <c r="J362" s="8">
        <v>114.979117013889</v>
      </c>
      <c r="K362" s="6" t="s">
        <v>29</v>
      </c>
      <c r="L362" s="6" t="s">
        <v>546</v>
      </c>
      <c r="M362" s="9">
        <v>43824</v>
      </c>
      <c r="O362" s="6">
        <v>13</v>
      </c>
      <c r="P362" s="6" t="s">
        <v>4281</v>
      </c>
      <c r="S362" s="6">
        <v>60</v>
      </c>
      <c r="T362" s="6">
        <v>70</v>
      </c>
      <c r="U362" s="10">
        <f t="shared" si="10"/>
        <v>65</v>
      </c>
      <c r="W362" s="8">
        <v>0.49942504470348381</v>
      </c>
      <c r="X362" s="8">
        <v>3.9058505035400386</v>
      </c>
      <c r="Y362" s="8">
        <f t="shared" si="11"/>
        <v>-8.9549854087831893E-2</v>
      </c>
    </row>
    <row r="363" spans="1:25" s="6" customFormat="1" x14ac:dyDescent="0.35">
      <c r="A363" s="6" t="s">
        <v>25</v>
      </c>
      <c r="B363" s="6" t="s">
        <v>806</v>
      </c>
      <c r="D363" s="6" t="s">
        <v>789</v>
      </c>
      <c r="E363" s="6">
        <v>2</v>
      </c>
      <c r="F363" s="6">
        <v>17</v>
      </c>
      <c r="G363" s="6" t="s">
        <v>272</v>
      </c>
      <c r="I363" s="8">
        <v>86.626447986111103</v>
      </c>
      <c r="J363" s="8">
        <v>114.979117013889</v>
      </c>
      <c r="K363" s="6" t="s">
        <v>29</v>
      </c>
      <c r="L363" s="6" t="s">
        <v>546</v>
      </c>
      <c r="M363" s="9">
        <v>43824</v>
      </c>
      <c r="O363" s="6">
        <v>13</v>
      </c>
      <c r="P363" s="6" t="s">
        <v>4281</v>
      </c>
      <c r="R363" s="6">
        <v>70</v>
      </c>
      <c r="S363" s="6">
        <v>70</v>
      </c>
      <c r="T363" s="6">
        <v>80</v>
      </c>
      <c r="U363" s="10">
        <f t="shared" si="10"/>
        <v>75</v>
      </c>
      <c r="W363" s="8">
        <v>0.52351400321721997</v>
      </c>
      <c r="X363" s="8">
        <v>4.6879655933380135</v>
      </c>
      <c r="Y363" s="8">
        <f t="shared" si="11"/>
        <v>0.49985356760025379</v>
      </c>
    </row>
    <row r="364" spans="1:25" s="6" customFormat="1" x14ac:dyDescent="0.35">
      <c r="A364" s="6" t="s">
        <v>25</v>
      </c>
      <c r="B364" s="7"/>
      <c r="D364" s="6" t="s">
        <v>814</v>
      </c>
      <c r="E364" s="6">
        <v>2</v>
      </c>
      <c r="F364" s="6">
        <v>17</v>
      </c>
      <c r="G364" s="6" t="s">
        <v>272</v>
      </c>
      <c r="I364" s="8">
        <v>86.626447986111103</v>
      </c>
      <c r="J364" s="8">
        <v>114.979117013889</v>
      </c>
      <c r="K364" s="6" t="s">
        <v>29</v>
      </c>
      <c r="L364" s="6" t="s">
        <v>546</v>
      </c>
      <c r="M364" s="9">
        <v>43824</v>
      </c>
      <c r="O364" s="6">
        <v>13</v>
      </c>
      <c r="P364" s="6" t="s">
        <v>4281</v>
      </c>
      <c r="S364" s="6">
        <v>80</v>
      </c>
      <c r="T364" s="6">
        <v>92</v>
      </c>
      <c r="U364" s="10">
        <f t="shared" si="10"/>
        <v>86</v>
      </c>
      <c r="W364" s="8">
        <v>8.3070921517163721E-2</v>
      </c>
      <c r="X364" s="8">
        <v>1.0942003732681274</v>
      </c>
      <c r="Y364" s="8">
        <f t="shared" si="11"/>
        <v>0.42963300113081759</v>
      </c>
    </row>
    <row r="365" spans="1:25" s="6" customFormat="1" x14ac:dyDescent="0.35">
      <c r="A365" s="6" t="s">
        <v>25</v>
      </c>
      <c r="B365" s="7"/>
      <c r="D365" s="6" t="s">
        <v>816</v>
      </c>
      <c r="E365" s="6">
        <v>2</v>
      </c>
      <c r="F365" s="6">
        <v>18</v>
      </c>
      <c r="G365" s="6" t="s">
        <v>272</v>
      </c>
      <c r="I365" s="8">
        <v>86.8240929166667</v>
      </c>
      <c r="J365" s="8">
        <v>116.572940347222</v>
      </c>
      <c r="K365" s="6" t="s">
        <v>29</v>
      </c>
      <c r="L365" s="6" t="s">
        <v>546</v>
      </c>
      <c r="M365" s="9">
        <v>43832</v>
      </c>
      <c r="O365" s="6">
        <v>14</v>
      </c>
      <c r="P365" s="6" t="s">
        <v>4302</v>
      </c>
      <c r="S365" s="6">
        <v>0</v>
      </c>
      <c r="T365" s="6">
        <v>10</v>
      </c>
      <c r="U365" s="10">
        <f t="shared" si="10"/>
        <v>5</v>
      </c>
      <c r="W365" s="8">
        <v>-8.2584200733184812</v>
      </c>
      <c r="X365" s="8">
        <v>-63.555062789916988</v>
      </c>
      <c r="Y365" s="8">
        <f t="shared" si="11"/>
        <v>2.5122977966308611</v>
      </c>
    </row>
    <row r="366" spans="1:25" s="6" customFormat="1" x14ac:dyDescent="0.35">
      <c r="A366" s="6" t="s">
        <v>25</v>
      </c>
      <c r="B366" s="7"/>
      <c r="D366" s="6" t="s">
        <v>817</v>
      </c>
      <c r="E366" s="6">
        <v>2</v>
      </c>
      <c r="F366" s="6">
        <v>18</v>
      </c>
      <c r="G366" s="6" t="s">
        <v>272</v>
      </c>
      <c r="I366" s="8">
        <v>86.8240929166667</v>
      </c>
      <c r="J366" s="8">
        <v>116.572940347222</v>
      </c>
      <c r="K366" s="6" t="s">
        <v>29</v>
      </c>
      <c r="L366" s="6" t="s">
        <v>546</v>
      </c>
      <c r="M366" s="9">
        <v>43832</v>
      </c>
      <c r="O366" s="6">
        <v>14</v>
      </c>
      <c r="P366" s="6" t="s">
        <v>4302</v>
      </c>
      <c r="S366" s="6">
        <v>10</v>
      </c>
      <c r="T366" s="6">
        <v>20</v>
      </c>
      <c r="U366" s="10">
        <f t="shared" si="10"/>
        <v>15</v>
      </c>
      <c r="W366" s="8">
        <v>-5.1245955636978149</v>
      </c>
      <c r="X366" s="8">
        <v>-39.588480224609377</v>
      </c>
      <c r="Y366" s="8">
        <f t="shared" si="11"/>
        <v>1.4082842849731421</v>
      </c>
    </row>
    <row r="367" spans="1:25" s="6" customFormat="1" x14ac:dyDescent="0.35">
      <c r="A367" s="6" t="s">
        <v>25</v>
      </c>
      <c r="B367" s="7"/>
      <c r="D367" s="6" t="s">
        <v>818</v>
      </c>
      <c r="E367" s="6">
        <v>2</v>
      </c>
      <c r="F367" s="6">
        <v>18</v>
      </c>
      <c r="G367" s="6" t="s">
        <v>272</v>
      </c>
      <c r="I367" s="8">
        <v>86.8240929166667</v>
      </c>
      <c r="J367" s="8">
        <v>116.572940347222</v>
      </c>
      <c r="K367" s="6" t="s">
        <v>29</v>
      </c>
      <c r="L367" s="6" t="s">
        <v>546</v>
      </c>
      <c r="M367" s="9">
        <v>43832</v>
      </c>
      <c r="O367" s="6">
        <v>14</v>
      </c>
      <c r="P367" s="6" t="s">
        <v>4302</v>
      </c>
      <c r="S367" s="6">
        <v>20</v>
      </c>
      <c r="T367" s="6">
        <v>30</v>
      </c>
      <c r="U367" s="10">
        <f t="shared" si="10"/>
        <v>25</v>
      </c>
      <c r="W367" s="8">
        <v>-6.5064331720352175</v>
      </c>
      <c r="X367" s="8">
        <v>-48.317877082824708</v>
      </c>
      <c r="Y367" s="8">
        <f t="shared" si="11"/>
        <v>3.7335882934570321</v>
      </c>
    </row>
    <row r="368" spans="1:25" s="6" customFormat="1" x14ac:dyDescent="0.35">
      <c r="A368" s="6" t="s">
        <v>25</v>
      </c>
      <c r="B368" s="7"/>
      <c r="D368" s="6" t="s">
        <v>819</v>
      </c>
      <c r="E368" s="6">
        <v>2</v>
      </c>
      <c r="F368" s="6">
        <v>18</v>
      </c>
      <c r="G368" s="6" t="s">
        <v>272</v>
      </c>
      <c r="I368" s="8">
        <v>86.8240929166667</v>
      </c>
      <c r="J368" s="8">
        <v>116.572940347222</v>
      </c>
      <c r="K368" s="6" t="s">
        <v>29</v>
      </c>
      <c r="L368" s="6" t="s">
        <v>546</v>
      </c>
      <c r="M368" s="9">
        <v>43832</v>
      </c>
      <c r="O368" s="6">
        <v>14</v>
      </c>
      <c r="P368" s="6" t="s">
        <v>4302</v>
      </c>
      <c r="S368" s="6">
        <v>30</v>
      </c>
      <c r="T368" s="6">
        <v>40</v>
      </c>
      <c r="U368" s="10">
        <f t="shared" si="10"/>
        <v>35</v>
      </c>
      <c r="W368" s="8">
        <v>-7.8130384443283072</v>
      </c>
      <c r="X368" s="8">
        <v>-59.034518814086915</v>
      </c>
      <c r="Y368" s="8">
        <f t="shared" si="11"/>
        <v>3.469788740539542</v>
      </c>
    </row>
    <row r="369" spans="1:25" s="6" customFormat="1" x14ac:dyDescent="0.35">
      <c r="A369" s="6" t="s">
        <v>25</v>
      </c>
      <c r="B369" s="7"/>
      <c r="D369" s="6" t="s">
        <v>820</v>
      </c>
      <c r="E369" s="6">
        <v>2</v>
      </c>
      <c r="F369" s="6">
        <v>18</v>
      </c>
      <c r="G369" s="6" t="s">
        <v>272</v>
      </c>
      <c r="I369" s="8">
        <v>86.8240929166667</v>
      </c>
      <c r="J369" s="8">
        <v>116.572940347222</v>
      </c>
      <c r="K369" s="6" t="s">
        <v>29</v>
      </c>
      <c r="L369" s="6" t="s">
        <v>546</v>
      </c>
      <c r="M369" s="9">
        <v>43832</v>
      </c>
      <c r="O369" s="6">
        <v>14</v>
      </c>
      <c r="P369" s="6" t="s">
        <v>4302</v>
      </c>
      <c r="S369" s="6">
        <v>40</v>
      </c>
      <c r="T369" s="6">
        <v>50</v>
      </c>
      <c r="U369" s="10">
        <f t="shared" si="10"/>
        <v>45</v>
      </c>
      <c r="W369" s="8">
        <v>-3.7781566260337835</v>
      </c>
      <c r="X369" s="8">
        <v>-28.138656749725342</v>
      </c>
      <c r="Y369" s="8">
        <f t="shared" si="11"/>
        <v>2.086596258544926</v>
      </c>
    </row>
    <row r="370" spans="1:25" s="6" customFormat="1" x14ac:dyDescent="0.35">
      <c r="A370" s="6" t="s">
        <v>25</v>
      </c>
      <c r="B370" s="7"/>
      <c r="D370" s="6" t="s">
        <v>821</v>
      </c>
      <c r="E370" s="6">
        <v>2</v>
      </c>
      <c r="F370" s="6">
        <v>18</v>
      </c>
      <c r="G370" s="6" t="s">
        <v>272</v>
      </c>
      <c r="I370" s="8">
        <v>86.8240929166667</v>
      </c>
      <c r="J370" s="8">
        <v>116.572940347222</v>
      </c>
      <c r="K370" s="6" t="s">
        <v>29</v>
      </c>
      <c r="L370" s="6" t="s">
        <v>546</v>
      </c>
      <c r="M370" s="9">
        <v>43832</v>
      </c>
      <c r="O370" s="6">
        <v>14</v>
      </c>
      <c r="P370" s="6" t="s">
        <v>4302</v>
      </c>
      <c r="S370" s="6">
        <v>50</v>
      </c>
      <c r="T370" s="6">
        <v>60</v>
      </c>
      <c r="U370" s="10">
        <f t="shared" si="10"/>
        <v>55</v>
      </c>
      <c r="W370" s="8">
        <v>0.58013483350276962</v>
      </c>
      <c r="X370" s="8">
        <v>5.5713226547241206</v>
      </c>
      <c r="Y370" s="8">
        <f t="shared" si="11"/>
        <v>0.93024398670196362</v>
      </c>
    </row>
    <row r="371" spans="1:25" s="6" customFormat="1" x14ac:dyDescent="0.35">
      <c r="A371" s="6" t="s">
        <v>25</v>
      </c>
      <c r="B371" s="7"/>
      <c r="D371" s="6" t="s">
        <v>822</v>
      </c>
      <c r="E371" s="6">
        <v>2</v>
      </c>
      <c r="F371" s="6">
        <v>18</v>
      </c>
      <c r="G371" s="6" t="s">
        <v>272</v>
      </c>
      <c r="I371" s="8">
        <v>86.8240929166667</v>
      </c>
      <c r="J371" s="8">
        <v>116.572940347222</v>
      </c>
      <c r="K371" s="6" t="s">
        <v>29</v>
      </c>
      <c r="L371" s="6" t="s">
        <v>546</v>
      </c>
      <c r="M371" s="9">
        <v>43832</v>
      </c>
      <c r="O371" s="6">
        <v>14</v>
      </c>
      <c r="P371" s="6" t="s">
        <v>4302</v>
      </c>
      <c r="S371" s="6">
        <v>60</v>
      </c>
      <c r="T371" s="6">
        <v>70</v>
      </c>
      <c r="U371" s="10">
        <f t="shared" si="10"/>
        <v>65</v>
      </c>
      <c r="W371" s="8">
        <v>0.37906479589939091</v>
      </c>
      <c r="X371" s="8">
        <v>4.111809058189392</v>
      </c>
      <c r="Y371" s="8">
        <f t="shared" si="11"/>
        <v>1.0792906909942648</v>
      </c>
    </row>
    <row r="372" spans="1:25" s="6" customFormat="1" x14ac:dyDescent="0.35">
      <c r="A372" s="6" t="s">
        <v>25</v>
      </c>
      <c r="B372" s="7"/>
      <c r="D372" s="6" t="s">
        <v>823</v>
      </c>
      <c r="E372" s="6">
        <v>2</v>
      </c>
      <c r="F372" s="6">
        <v>18</v>
      </c>
      <c r="G372" s="6" t="s">
        <v>272</v>
      </c>
      <c r="I372" s="8">
        <v>86.8240929166667</v>
      </c>
      <c r="J372" s="8">
        <v>116.572940347222</v>
      </c>
      <c r="K372" s="6" t="s">
        <v>29</v>
      </c>
      <c r="L372" s="6" t="s">
        <v>546</v>
      </c>
      <c r="M372" s="9">
        <v>43832</v>
      </c>
      <c r="O372" s="6">
        <v>14</v>
      </c>
      <c r="P372" s="6" t="s">
        <v>4302</v>
      </c>
      <c r="S372" s="6">
        <v>70</v>
      </c>
      <c r="T372" s="6">
        <v>82</v>
      </c>
      <c r="U372" s="10">
        <f t="shared" si="10"/>
        <v>76</v>
      </c>
      <c r="W372" s="8">
        <v>-0.63225653754472733</v>
      </c>
      <c r="X372" s="8">
        <v>-4.3573744654655453</v>
      </c>
      <c r="Y372" s="8">
        <f t="shared" si="11"/>
        <v>0.70067783489227331</v>
      </c>
    </row>
    <row r="373" spans="1:25" s="6" customFormat="1" x14ac:dyDescent="0.35">
      <c r="A373" s="6" t="s">
        <v>25</v>
      </c>
      <c r="B373" s="7"/>
      <c r="D373" s="6" t="s">
        <v>824</v>
      </c>
      <c r="E373" s="6">
        <v>2</v>
      </c>
      <c r="F373" s="6">
        <v>18</v>
      </c>
      <c r="G373" s="6" t="s">
        <v>272</v>
      </c>
      <c r="I373" s="8">
        <v>86.8240929166667</v>
      </c>
      <c r="J373" s="8">
        <v>116.572940347222</v>
      </c>
      <c r="K373" s="6" t="s">
        <v>29</v>
      </c>
      <c r="L373" s="6" t="s">
        <v>546</v>
      </c>
      <c r="M373" s="9">
        <v>43832</v>
      </c>
      <c r="O373" s="6">
        <v>14</v>
      </c>
      <c r="P373" s="6" t="s">
        <v>4302</v>
      </c>
      <c r="S373" s="6">
        <v>82</v>
      </c>
      <c r="T373" s="6">
        <v>92</v>
      </c>
      <c r="U373" s="10">
        <f t="shared" si="10"/>
        <v>87</v>
      </c>
      <c r="W373" s="8">
        <v>-0.82251190969944044</v>
      </c>
      <c r="X373" s="8">
        <v>-1.9674591398239136</v>
      </c>
      <c r="Y373" s="8">
        <f t="shared" si="11"/>
        <v>4.6126361377716094</v>
      </c>
    </row>
    <row r="374" spans="1:25" s="6" customFormat="1" x14ac:dyDescent="0.35">
      <c r="A374" s="6" t="s">
        <v>25</v>
      </c>
      <c r="B374" s="7"/>
      <c r="D374" s="6" t="s">
        <v>825</v>
      </c>
      <c r="E374" s="6">
        <v>2</v>
      </c>
      <c r="F374" s="6">
        <v>18</v>
      </c>
      <c r="G374" s="6" t="s">
        <v>272</v>
      </c>
      <c r="I374" s="8">
        <v>86.8240929166667</v>
      </c>
      <c r="J374" s="8">
        <v>116.572940347222</v>
      </c>
      <c r="K374" s="6" t="s">
        <v>29</v>
      </c>
      <c r="L374" s="6" t="s">
        <v>546</v>
      </c>
      <c r="M374" s="9">
        <v>43832</v>
      </c>
      <c r="O374" s="6">
        <v>14</v>
      </c>
      <c r="P374" s="6" t="s">
        <v>4302</v>
      </c>
      <c r="S374" s="6">
        <v>92</v>
      </c>
      <c r="T374" s="6">
        <v>104</v>
      </c>
      <c r="U374" s="10">
        <f t="shared" si="10"/>
        <v>98</v>
      </c>
      <c r="W374" s="8">
        <v>3.2043377909995639E-2</v>
      </c>
      <c r="X374" s="8">
        <v>0.22374151954650862</v>
      </c>
      <c r="Y374" s="8">
        <f t="shared" si="11"/>
        <v>-3.2605503733456498E-2</v>
      </c>
    </row>
    <row r="375" spans="1:25" s="6" customFormat="1" x14ac:dyDescent="0.35">
      <c r="A375" s="6" t="s">
        <v>25</v>
      </c>
      <c r="B375" s="7"/>
      <c r="D375" s="6" t="s">
        <v>842</v>
      </c>
      <c r="E375" s="6">
        <v>2</v>
      </c>
      <c r="F375" s="6">
        <v>19</v>
      </c>
      <c r="G375" s="6" t="s">
        <v>202</v>
      </c>
      <c r="I375" s="8">
        <v>87.103055694444393</v>
      </c>
      <c r="J375" s="8">
        <v>115.160686597222</v>
      </c>
      <c r="K375" s="6" t="s">
        <v>29</v>
      </c>
      <c r="L375" s="6" t="s">
        <v>335</v>
      </c>
      <c r="M375" s="9">
        <v>43836</v>
      </c>
      <c r="O375" s="6">
        <v>15</v>
      </c>
      <c r="P375" s="6" t="s">
        <v>4271</v>
      </c>
      <c r="S375" s="6">
        <v>0</v>
      </c>
      <c r="T375" s="6">
        <v>10</v>
      </c>
      <c r="U375" s="10">
        <f t="shared" si="10"/>
        <v>5</v>
      </c>
      <c r="W375" s="8">
        <v>-6.7278392742157003</v>
      </c>
      <c r="X375" s="8">
        <v>-52.288089332580562</v>
      </c>
      <c r="Y375" s="8">
        <f t="shared" si="11"/>
        <v>1.5346248611450406</v>
      </c>
    </row>
    <row r="376" spans="1:25" s="6" customFormat="1" x14ac:dyDescent="0.35">
      <c r="A376" s="6" t="s">
        <v>25</v>
      </c>
      <c r="B376" s="7" t="s">
        <v>830</v>
      </c>
      <c r="D376" s="6" t="s">
        <v>831</v>
      </c>
      <c r="E376" s="6">
        <v>2</v>
      </c>
      <c r="F376" s="6">
        <v>19</v>
      </c>
      <c r="G376" s="6" t="s">
        <v>202</v>
      </c>
      <c r="I376" s="8">
        <v>87.103055694444393</v>
      </c>
      <c r="J376" s="8">
        <v>115.160686597222</v>
      </c>
      <c r="K376" s="6" t="s">
        <v>29</v>
      </c>
      <c r="L376" s="6" t="s">
        <v>335</v>
      </c>
      <c r="M376" s="9">
        <v>43836</v>
      </c>
      <c r="O376" s="6">
        <v>15</v>
      </c>
      <c r="P376" s="6" t="s">
        <v>4271</v>
      </c>
      <c r="R376" s="10"/>
      <c r="S376" s="10">
        <v>10</v>
      </c>
      <c r="T376" s="10">
        <v>20</v>
      </c>
      <c r="U376" s="10">
        <f t="shared" si="10"/>
        <v>15</v>
      </c>
      <c r="V376" s="11"/>
      <c r="W376" s="8">
        <v>-0.37047206266820465</v>
      </c>
      <c r="X376" s="8">
        <v>-3.3752148056030276</v>
      </c>
      <c r="Y376" s="8">
        <f t="shared" si="11"/>
        <v>-0.41143830425739036</v>
      </c>
    </row>
    <row r="377" spans="1:25" s="6" customFormat="1" x14ac:dyDescent="0.35">
      <c r="A377" s="6" t="s">
        <v>25</v>
      </c>
      <c r="B377" s="7" t="s">
        <v>828</v>
      </c>
      <c r="D377" s="6" t="s">
        <v>829</v>
      </c>
      <c r="E377" s="6">
        <v>2</v>
      </c>
      <c r="F377" s="6">
        <v>19</v>
      </c>
      <c r="G377" s="6" t="s">
        <v>202</v>
      </c>
      <c r="I377" s="8">
        <v>87.103055694444393</v>
      </c>
      <c r="J377" s="8">
        <v>115.160686597222</v>
      </c>
      <c r="K377" s="6" t="s">
        <v>29</v>
      </c>
      <c r="L377" s="6" t="s">
        <v>335</v>
      </c>
      <c r="M377" s="9">
        <v>43836</v>
      </c>
      <c r="O377" s="6">
        <v>15</v>
      </c>
      <c r="P377" s="6" t="s">
        <v>4271</v>
      </c>
      <c r="R377" s="10"/>
      <c r="S377" s="10">
        <v>20</v>
      </c>
      <c r="T377" s="10">
        <v>30</v>
      </c>
      <c r="U377" s="10">
        <f t="shared" si="10"/>
        <v>25</v>
      </c>
      <c r="V377" s="11"/>
      <c r="W377" s="8">
        <v>8.1345738506503409E-2</v>
      </c>
      <c r="X377" s="8">
        <v>0.64970873260498019</v>
      </c>
      <c r="Y377" s="8">
        <f t="shared" si="11"/>
        <v>-1.0571754470470873E-3</v>
      </c>
    </row>
    <row r="378" spans="1:25" s="6" customFormat="1" x14ac:dyDescent="0.35">
      <c r="A378" s="6" t="s">
        <v>25</v>
      </c>
      <c r="B378" s="7" t="s">
        <v>826</v>
      </c>
      <c r="D378" s="6" t="s">
        <v>827</v>
      </c>
      <c r="E378" s="6">
        <v>2</v>
      </c>
      <c r="F378" s="6">
        <v>19</v>
      </c>
      <c r="G378" s="6" t="s">
        <v>202</v>
      </c>
      <c r="I378" s="8">
        <v>87.103055694444393</v>
      </c>
      <c r="J378" s="8">
        <v>115.160686597222</v>
      </c>
      <c r="K378" s="6" t="s">
        <v>29</v>
      </c>
      <c r="L378" s="6" t="s">
        <v>335</v>
      </c>
      <c r="M378" s="9">
        <v>43836</v>
      </c>
      <c r="O378" s="6">
        <v>15</v>
      </c>
      <c r="P378" s="6" t="s">
        <v>4271</v>
      </c>
      <c r="R378" s="10"/>
      <c r="S378" s="10">
        <v>30</v>
      </c>
      <c r="T378" s="10">
        <v>40</v>
      </c>
      <c r="U378" s="10">
        <f t="shared" si="10"/>
        <v>35</v>
      </c>
      <c r="V378" s="11"/>
      <c r="W378" s="8">
        <v>0.85312201660871478</v>
      </c>
      <c r="X378" s="8">
        <v>6.2123077748298652</v>
      </c>
      <c r="Y378" s="8">
        <f t="shared" si="11"/>
        <v>-0.61266835803985309</v>
      </c>
    </row>
    <row r="379" spans="1:25" s="6" customFormat="1" x14ac:dyDescent="0.35">
      <c r="A379" s="6" t="s">
        <v>25</v>
      </c>
      <c r="B379" s="7" t="s">
        <v>840</v>
      </c>
      <c r="D379" s="6" t="s">
        <v>841</v>
      </c>
      <c r="E379" s="6">
        <v>2</v>
      </c>
      <c r="F379" s="6">
        <v>19</v>
      </c>
      <c r="G379" s="6" t="s">
        <v>202</v>
      </c>
      <c r="I379" s="8">
        <v>87.103055694444393</v>
      </c>
      <c r="J379" s="8">
        <v>115.160686597222</v>
      </c>
      <c r="K379" s="6" t="s">
        <v>29</v>
      </c>
      <c r="L379" s="6" t="s">
        <v>335</v>
      </c>
      <c r="M379" s="9">
        <v>43836</v>
      </c>
      <c r="O379" s="6">
        <v>15</v>
      </c>
      <c r="P379" s="6" t="s">
        <v>4271</v>
      </c>
      <c r="R379" s="10"/>
      <c r="S379" s="10">
        <v>40</v>
      </c>
      <c r="T379" s="10">
        <v>50</v>
      </c>
      <c r="U379" s="10">
        <f t="shared" si="10"/>
        <v>45</v>
      </c>
      <c r="V379" s="11"/>
      <c r="W379" s="8">
        <v>0.4826410680502653</v>
      </c>
      <c r="X379" s="8">
        <v>4.3334591529369355</v>
      </c>
      <c r="Y379" s="8">
        <f t="shared" si="11"/>
        <v>0.47233060853481312</v>
      </c>
    </row>
    <row r="380" spans="1:25" s="6" customFormat="1" x14ac:dyDescent="0.35">
      <c r="A380" s="6" t="s">
        <v>25</v>
      </c>
      <c r="B380" s="7" t="s">
        <v>838</v>
      </c>
      <c r="D380" s="6" t="s">
        <v>839</v>
      </c>
      <c r="E380" s="6">
        <v>2</v>
      </c>
      <c r="F380" s="6">
        <v>19</v>
      </c>
      <c r="G380" s="6" t="s">
        <v>202</v>
      </c>
      <c r="I380" s="8">
        <v>87.103055694444393</v>
      </c>
      <c r="J380" s="8">
        <v>115.160686597222</v>
      </c>
      <c r="K380" s="6" t="s">
        <v>29</v>
      </c>
      <c r="L380" s="6" t="s">
        <v>335</v>
      </c>
      <c r="M380" s="9">
        <v>43836</v>
      </c>
      <c r="O380" s="6">
        <v>15</v>
      </c>
      <c r="P380" s="6" t="s">
        <v>4271</v>
      </c>
      <c r="R380" s="10"/>
      <c r="S380" s="10">
        <v>50</v>
      </c>
      <c r="T380" s="10">
        <v>60</v>
      </c>
      <c r="U380" s="10">
        <f t="shared" si="10"/>
        <v>55</v>
      </c>
      <c r="V380" s="11"/>
      <c r="W380" s="8">
        <v>0.6373284979184467</v>
      </c>
      <c r="X380" s="8">
        <v>6.9747774707476298</v>
      </c>
      <c r="Y380" s="8">
        <f t="shared" si="11"/>
        <v>1.8761494874000562</v>
      </c>
    </row>
    <row r="381" spans="1:25" s="6" customFormat="1" x14ac:dyDescent="0.35">
      <c r="A381" s="6" t="s">
        <v>25</v>
      </c>
      <c r="B381" s="7" t="s">
        <v>836</v>
      </c>
      <c r="D381" s="6" t="s">
        <v>837</v>
      </c>
      <c r="E381" s="6">
        <v>2</v>
      </c>
      <c r="F381" s="6">
        <v>19</v>
      </c>
      <c r="G381" s="6" t="s">
        <v>202</v>
      </c>
      <c r="I381" s="8">
        <v>87.103055694444393</v>
      </c>
      <c r="J381" s="8">
        <v>115.160686597222</v>
      </c>
      <c r="K381" s="6" t="s">
        <v>29</v>
      </c>
      <c r="L381" s="6" t="s">
        <v>335</v>
      </c>
      <c r="M381" s="9">
        <v>43836</v>
      </c>
      <c r="O381" s="6">
        <v>15</v>
      </c>
      <c r="P381" s="6" t="s">
        <v>4271</v>
      </c>
      <c r="R381" s="10"/>
      <c r="S381" s="10">
        <v>60</v>
      </c>
      <c r="T381" s="10">
        <v>70</v>
      </c>
      <c r="U381" s="10">
        <f t="shared" si="10"/>
        <v>65</v>
      </c>
      <c r="V381" s="11"/>
      <c r="W381" s="8">
        <v>0.5014731675624845</v>
      </c>
      <c r="X381" s="8">
        <v>4.5685110980272299</v>
      </c>
      <c r="Y381" s="8">
        <f t="shared" si="11"/>
        <v>0.55672575752735387</v>
      </c>
    </row>
    <row r="382" spans="1:25" s="6" customFormat="1" x14ac:dyDescent="0.35">
      <c r="A382" s="6" t="s">
        <v>25</v>
      </c>
      <c r="B382" s="7" t="s">
        <v>834</v>
      </c>
      <c r="D382" s="6" t="s">
        <v>835</v>
      </c>
      <c r="E382" s="6">
        <v>2</v>
      </c>
      <c r="F382" s="6">
        <v>19</v>
      </c>
      <c r="G382" s="6" t="s">
        <v>202</v>
      </c>
      <c r="I382" s="8">
        <v>87.103055694444393</v>
      </c>
      <c r="J382" s="8">
        <v>115.160686597222</v>
      </c>
      <c r="K382" s="6" t="s">
        <v>29</v>
      </c>
      <c r="L382" s="6" t="s">
        <v>335</v>
      </c>
      <c r="M382" s="9">
        <v>43836</v>
      </c>
      <c r="O382" s="6">
        <v>15</v>
      </c>
      <c r="P382" s="6" t="s">
        <v>4271</v>
      </c>
      <c r="R382" s="10"/>
      <c r="S382" s="10">
        <v>70</v>
      </c>
      <c r="T382" s="10">
        <v>80</v>
      </c>
      <c r="U382" s="10">
        <f t="shared" si="10"/>
        <v>75</v>
      </c>
      <c r="V382" s="11"/>
      <c r="W382" s="8">
        <v>2.1923592650334375E-3</v>
      </c>
      <c r="X382" s="8">
        <v>0.31680703115463277</v>
      </c>
      <c r="Y382" s="8">
        <f t="shared" si="11"/>
        <v>0.29926815703436527</v>
      </c>
    </row>
    <row r="383" spans="1:25" s="6" customFormat="1" x14ac:dyDescent="0.35">
      <c r="A383" s="6" t="s">
        <v>25</v>
      </c>
      <c r="B383" s="7" t="s">
        <v>832</v>
      </c>
      <c r="D383" s="6" t="s">
        <v>833</v>
      </c>
      <c r="E383" s="6">
        <v>2</v>
      </c>
      <c r="F383" s="6">
        <v>19</v>
      </c>
      <c r="G383" s="6" t="s">
        <v>202</v>
      </c>
      <c r="I383" s="8">
        <v>87.103055694444393</v>
      </c>
      <c r="J383" s="8">
        <v>115.160686597222</v>
      </c>
      <c r="K383" s="6" t="s">
        <v>29</v>
      </c>
      <c r="L383" s="6" t="s">
        <v>335</v>
      </c>
      <c r="M383" s="9">
        <v>43836</v>
      </c>
      <c r="O383" s="6">
        <v>15</v>
      </c>
      <c r="P383" s="6" t="s">
        <v>4271</v>
      </c>
      <c r="R383" s="10"/>
      <c r="S383" s="10">
        <v>80</v>
      </c>
      <c r="T383" s="10">
        <v>91</v>
      </c>
      <c r="U383" s="10">
        <f t="shared" si="10"/>
        <v>85.5</v>
      </c>
      <c r="V383" s="11"/>
      <c r="W383" s="8">
        <v>-0.16804410050660362</v>
      </c>
      <c r="X383" s="8">
        <v>-0.75928994172811481</v>
      </c>
      <c r="Y383" s="8">
        <f t="shared" si="11"/>
        <v>0.58506286232471416</v>
      </c>
    </row>
    <row r="384" spans="1:25" s="6" customFormat="1" x14ac:dyDescent="0.35">
      <c r="A384" s="6" t="s">
        <v>25</v>
      </c>
      <c r="B384" s="7" t="s">
        <v>869</v>
      </c>
      <c r="D384" s="6" t="s">
        <v>870</v>
      </c>
      <c r="E384" s="6">
        <v>2</v>
      </c>
      <c r="F384" s="6">
        <v>20</v>
      </c>
      <c r="G384" s="6" t="s">
        <v>210</v>
      </c>
      <c r="I384" s="8">
        <v>87.337473819444398</v>
      </c>
      <c r="J384" s="8">
        <v>107.081499861111</v>
      </c>
      <c r="K384" s="6" t="s">
        <v>29</v>
      </c>
      <c r="L384" s="6" t="s">
        <v>546</v>
      </c>
      <c r="M384" s="9">
        <v>43843</v>
      </c>
      <c r="O384" s="6">
        <v>16</v>
      </c>
      <c r="P384" s="6" t="s">
        <v>4308</v>
      </c>
      <c r="R384" s="10"/>
      <c r="S384" s="10">
        <v>0</v>
      </c>
      <c r="T384" s="10">
        <v>10</v>
      </c>
      <c r="U384" s="10">
        <f t="shared" si="10"/>
        <v>5</v>
      </c>
      <c r="V384" s="11"/>
      <c r="W384" s="8">
        <v>-4.9911356513023382</v>
      </c>
      <c r="X384" s="8">
        <v>-39.42065802001953</v>
      </c>
      <c r="Y384" s="8">
        <f t="shared" si="11"/>
        <v>0.50842719039917483</v>
      </c>
    </row>
    <row r="385" spans="1:25" s="6" customFormat="1" x14ac:dyDescent="0.35">
      <c r="A385" s="6" t="s">
        <v>25</v>
      </c>
      <c r="B385" s="7" t="s">
        <v>867</v>
      </c>
      <c r="D385" s="6" t="s">
        <v>868</v>
      </c>
      <c r="E385" s="6">
        <v>2</v>
      </c>
      <c r="F385" s="6">
        <v>20</v>
      </c>
      <c r="G385" s="6" t="s">
        <v>210</v>
      </c>
      <c r="I385" s="8">
        <v>87.337473819444398</v>
      </c>
      <c r="J385" s="8">
        <v>107.081499861111</v>
      </c>
      <c r="K385" s="6" t="s">
        <v>29</v>
      </c>
      <c r="L385" s="6" t="s">
        <v>546</v>
      </c>
      <c r="M385" s="9">
        <v>43843</v>
      </c>
      <c r="O385" s="6">
        <v>16</v>
      </c>
      <c r="P385" s="6" t="s">
        <v>4308</v>
      </c>
      <c r="R385" s="10"/>
      <c r="S385" s="10">
        <v>10</v>
      </c>
      <c r="T385" s="10">
        <v>20</v>
      </c>
      <c r="U385" s="10">
        <f t="shared" si="10"/>
        <v>15</v>
      </c>
      <c r="V385" s="11"/>
      <c r="W385" s="8">
        <v>-4.2565833621025098</v>
      </c>
      <c r="X385" s="8">
        <v>-33.36057511138916</v>
      </c>
      <c r="Y385" s="8">
        <f t="shared" si="11"/>
        <v>0.69209178543091809</v>
      </c>
    </row>
    <row r="386" spans="1:25" s="6" customFormat="1" x14ac:dyDescent="0.35">
      <c r="A386" s="6" t="s">
        <v>25</v>
      </c>
      <c r="B386" s="7" t="s">
        <v>865</v>
      </c>
      <c r="D386" s="6" t="s">
        <v>866</v>
      </c>
      <c r="E386" s="6">
        <v>2</v>
      </c>
      <c r="F386" s="6">
        <v>20</v>
      </c>
      <c r="G386" s="6" t="s">
        <v>210</v>
      </c>
      <c r="I386" s="8">
        <v>87.337473819444398</v>
      </c>
      <c r="J386" s="8">
        <v>107.081499861111</v>
      </c>
      <c r="K386" s="6" t="s">
        <v>29</v>
      </c>
      <c r="L386" s="6" t="s">
        <v>546</v>
      </c>
      <c r="M386" s="9">
        <v>43843</v>
      </c>
      <c r="O386" s="6">
        <v>16</v>
      </c>
      <c r="P386" s="6" t="s">
        <v>4308</v>
      </c>
      <c r="R386" s="10"/>
      <c r="S386" s="10">
        <v>20</v>
      </c>
      <c r="T386" s="10">
        <v>30</v>
      </c>
      <c r="U386" s="10">
        <f t="shared" ref="U386:U449" si="12">AVERAGE(S386:T386)</f>
        <v>25</v>
      </c>
      <c r="V386" s="11"/>
      <c r="W386" s="8">
        <v>-4.6787369071006779</v>
      </c>
      <c r="X386" s="8">
        <v>-35.376296037673953</v>
      </c>
      <c r="Y386" s="8">
        <f t="shared" ref="Y386:Y449" si="13">X386-(8*W386)</f>
        <v>2.0535992191314705</v>
      </c>
    </row>
    <row r="387" spans="1:25" s="6" customFormat="1" x14ac:dyDescent="0.35">
      <c r="A387" s="6" t="s">
        <v>25</v>
      </c>
      <c r="B387" s="7" t="s">
        <v>863</v>
      </c>
      <c r="D387" s="6" t="s">
        <v>864</v>
      </c>
      <c r="E387" s="6">
        <v>2</v>
      </c>
      <c r="F387" s="6">
        <v>20</v>
      </c>
      <c r="G387" s="6" t="s">
        <v>210</v>
      </c>
      <c r="I387" s="8">
        <v>87.337473819444398</v>
      </c>
      <c r="J387" s="8">
        <v>107.081499861111</v>
      </c>
      <c r="K387" s="6" t="s">
        <v>29</v>
      </c>
      <c r="L387" s="6" t="s">
        <v>546</v>
      </c>
      <c r="M387" s="9">
        <v>43843</v>
      </c>
      <c r="O387" s="6">
        <v>16</v>
      </c>
      <c r="P387" s="6" t="s">
        <v>4308</v>
      </c>
      <c r="R387" s="10"/>
      <c r="S387" s="10">
        <v>30</v>
      </c>
      <c r="T387" s="10">
        <v>40</v>
      </c>
      <c r="U387" s="10">
        <f t="shared" si="12"/>
        <v>35</v>
      </c>
      <c r="V387" s="11"/>
      <c r="W387" s="8">
        <v>-6.6068320736408239</v>
      </c>
      <c r="X387" s="8">
        <v>-46.945481948852532</v>
      </c>
      <c r="Y387" s="8">
        <f t="shared" si="13"/>
        <v>5.9091746402740597</v>
      </c>
    </row>
    <row r="388" spans="1:25" s="6" customFormat="1" x14ac:dyDescent="0.35">
      <c r="A388" s="6" t="s">
        <v>25</v>
      </c>
      <c r="B388" s="7" t="s">
        <v>871</v>
      </c>
      <c r="D388" s="6" t="s">
        <v>872</v>
      </c>
      <c r="E388" s="6">
        <v>2</v>
      </c>
      <c r="F388" s="6">
        <v>20</v>
      </c>
      <c r="G388" s="6" t="s">
        <v>210</v>
      </c>
      <c r="I388" s="8">
        <v>87.337473819444398</v>
      </c>
      <c r="J388" s="8">
        <v>107.081499861111</v>
      </c>
      <c r="K388" s="6" t="s">
        <v>29</v>
      </c>
      <c r="L388" s="6" t="s">
        <v>546</v>
      </c>
      <c r="M388" s="9">
        <v>43843</v>
      </c>
      <c r="O388" s="6">
        <v>16</v>
      </c>
      <c r="P388" s="6" t="s">
        <v>4308</v>
      </c>
      <c r="R388" s="10"/>
      <c r="S388" s="10">
        <v>40</v>
      </c>
      <c r="T388" s="10">
        <v>50</v>
      </c>
      <c r="U388" s="10">
        <f t="shared" si="12"/>
        <v>45</v>
      </c>
      <c r="V388" s="11"/>
      <c r="W388" s="8">
        <v>-6.3831932067871104</v>
      </c>
      <c r="X388" s="8">
        <v>-47.557089567565924</v>
      </c>
      <c r="Y388" s="8">
        <f t="shared" si="13"/>
        <v>3.5084560867309591</v>
      </c>
    </row>
    <row r="389" spans="1:25" s="6" customFormat="1" x14ac:dyDescent="0.35">
      <c r="A389" s="6" t="s">
        <v>25</v>
      </c>
      <c r="B389" s="7" t="s">
        <v>849</v>
      </c>
      <c r="D389" s="6" t="s">
        <v>850</v>
      </c>
      <c r="E389" s="6">
        <v>2</v>
      </c>
      <c r="F389" s="6">
        <v>20</v>
      </c>
      <c r="G389" s="6" t="s">
        <v>210</v>
      </c>
      <c r="I389" s="8">
        <v>87.337473819444398</v>
      </c>
      <c r="J389" s="8">
        <v>107.081499861111</v>
      </c>
      <c r="K389" s="6" t="s">
        <v>29</v>
      </c>
      <c r="L389" s="6" t="s">
        <v>546</v>
      </c>
      <c r="M389" s="9">
        <v>43843</v>
      </c>
      <c r="O389" s="6">
        <v>16</v>
      </c>
      <c r="P389" s="6" t="s">
        <v>4308</v>
      </c>
      <c r="R389" s="10"/>
      <c r="S389" s="10">
        <v>50</v>
      </c>
      <c r="T389" s="10">
        <v>60</v>
      </c>
      <c r="U389" s="10">
        <f t="shared" si="12"/>
        <v>55</v>
      </c>
      <c r="V389" s="11"/>
      <c r="W389" s="8">
        <v>-4.5279526710510263</v>
      </c>
      <c r="X389" s="8">
        <v>-34.903572692871094</v>
      </c>
      <c r="Y389" s="8">
        <f t="shared" si="13"/>
        <v>1.3200486755371159</v>
      </c>
    </row>
    <row r="390" spans="1:25" s="6" customFormat="1" x14ac:dyDescent="0.35">
      <c r="A390" s="6" t="s">
        <v>25</v>
      </c>
      <c r="B390" s="7" t="s">
        <v>855</v>
      </c>
      <c r="D390" s="6" t="s">
        <v>856</v>
      </c>
      <c r="E390" s="6">
        <v>2</v>
      </c>
      <c r="F390" s="6">
        <v>20</v>
      </c>
      <c r="G390" s="6" t="s">
        <v>210</v>
      </c>
      <c r="I390" s="8">
        <v>87.337473819444398</v>
      </c>
      <c r="J390" s="8">
        <v>107.081499861111</v>
      </c>
      <c r="K390" s="6" t="s">
        <v>29</v>
      </c>
      <c r="L390" s="6" t="s">
        <v>546</v>
      </c>
      <c r="M390" s="9">
        <v>43843</v>
      </c>
      <c r="O390" s="6">
        <v>16</v>
      </c>
      <c r="P390" s="6" t="s">
        <v>4308</v>
      </c>
      <c r="R390" s="10"/>
      <c r="S390" s="10">
        <v>60</v>
      </c>
      <c r="T390" s="10">
        <v>70</v>
      </c>
      <c r="U390" s="10">
        <f t="shared" si="12"/>
        <v>65</v>
      </c>
      <c r="V390" s="11"/>
      <c r="W390" s="8">
        <v>-4.058103626203537</v>
      </c>
      <c r="X390" s="8">
        <v>-31.180339813232422</v>
      </c>
      <c r="Y390" s="8">
        <f t="shared" si="13"/>
        <v>1.2844891963958744</v>
      </c>
    </row>
    <row r="391" spans="1:25" s="6" customFormat="1" x14ac:dyDescent="0.35">
      <c r="A391" s="6" t="s">
        <v>25</v>
      </c>
      <c r="B391" s="7" t="s">
        <v>851</v>
      </c>
      <c r="D391" s="6" t="s">
        <v>852</v>
      </c>
      <c r="E391" s="6">
        <v>2</v>
      </c>
      <c r="F391" s="6">
        <v>20</v>
      </c>
      <c r="G391" s="6" t="s">
        <v>210</v>
      </c>
      <c r="I391" s="8">
        <v>87.337473819444398</v>
      </c>
      <c r="J391" s="8">
        <v>107.081499861111</v>
      </c>
      <c r="K391" s="6" t="s">
        <v>29</v>
      </c>
      <c r="L391" s="6" t="s">
        <v>546</v>
      </c>
      <c r="M391" s="9">
        <v>43843</v>
      </c>
      <c r="O391" s="6">
        <v>16</v>
      </c>
      <c r="P391" s="6" t="s">
        <v>4308</v>
      </c>
      <c r="R391" s="10"/>
      <c r="S391" s="10">
        <v>70</v>
      </c>
      <c r="T391" s="10">
        <v>80</v>
      </c>
      <c r="U391" s="10">
        <f t="shared" si="12"/>
        <v>75</v>
      </c>
      <c r="V391" s="11"/>
      <c r="W391" s="8">
        <v>-3.7048726081848149</v>
      </c>
      <c r="X391" s="8">
        <v>-27.592865180969238</v>
      </c>
      <c r="Y391" s="8">
        <f t="shared" si="13"/>
        <v>2.0461156845092816</v>
      </c>
    </row>
    <row r="392" spans="1:25" s="6" customFormat="1" x14ac:dyDescent="0.35">
      <c r="A392" s="6" t="s">
        <v>25</v>
      </c>
      <c r="B392" s="7" t="s">
        <v>853</v>
      </c>
      <c r="D392" s="6" t="s">
        <v>854</v>
      </c>
      <c r="E392" s="6">
        <v>2</v>
      </c>
      <c r="F392" s="6">
        <v>20</v>
      </c>
      <c r="G392" s="6" t="s">
        <v>210</v>
      </c>
      <c r="I392" s="8">
        <v>87.337473819444398</v>
      </c>
      <c r="J392" s="8">
        <v>107.081499861111</v>
      </c>
      <c r="K392" s="6" t="s">
        <v>29</v>
      </c>
      <c r="L392" s="6" t="s">
        <v>546</v>
      </c>
      <c r="M392" s="9">
        <v>43843</v>
      </c>
      <c r="O392" s="6">
        <v>16</v>
      </c>
      <c r="P392" s="6" t="s">
        <v>4308</v>
      </c>
      <c r="R392" s="10"/>
      <c r="S392" s="10">
        <v>80</v>
      </c>
      <c r="T392" s="10">
        <v>90</v>
      </c>
      <c r="U392" s="10">
        <f t="shared" si="12"/>
        <v>85</v>
      </c>
      <c r="V392" s="11"/>
      <c r="W392" s="8">
        <v>-0.53029427672624618</v>
      </c>
      <c r="X392" s="8">
        <v>-2.7898264694213868</v>
      </c>
      <c r="Y392" s="8">
        <f t="shared" si="13"/>
        <v>1.4525277443885827</v>
      </c>
    </row>
    <row r="393" spans="1:25" s="6" customFormat="1" x14ac:dyDescent="0.35">
      <c r="A393" s="6" t="s">
        <v>25</v>
      </c>
      <c r="B393" s="7" t="s">
        <v>861</v>
      </c>
      <c r="D393" s="6" t="s">
        <v>862</v>
      </c>
      <c r="E393" s="6">
        <v>2</v>
      </c>
      <c r="F393" s="6">
        <v>20</v>
      </c>
      <c r="G393" s="6" t="s">
        <v>210</v>
      </c>
      <c r="I393" s="8">
        <v>87.337473819444398</v>
      </c>
      <c r="J393" s="8">
        <v>107.081499861111</v>
      </c>
      <c r="K393" s="6" t="s">
        <v>29</v>
      </c>
      <c r="L393" s="6" t="s">
        <v>546</v>
      </c>
      <c r="M393" s="9">
        <v>43843</v>
      </c>
      <c r="O393" s="6">
        <v>16</v>
      </c>
      <c r="P393" s="6" t="s">
        <v>4308</v>
      </c>
      <c r="R393" s="10"/>
      <c r="S393" s="10">
        <v>90</v>
      </c>
      <c r="T393" s="10">
        <v>100</v>
      </c>
      <c r="U393" s="10">
        <f t="shared" si="12"/>
        <v>95</v>
      </c>
      <c r="V393" s="11"/>
      <c r="W393" s="8">
        <v>0.23469412919282942</v>
      </c>
      <c r="X393" s="8">
        <v>3.1097677000761035</v>
      </c>
      <c r="Y393" s="8">
        <f t="shared" si="13"/>
        <v>1.2322146665334681</v>
      </c>
    </row>
    <row r="394" spans="1:25" s="6" customFormat="1" x14ac:dyDescent="0.35">
      <c r="A394" s="6" t="s">
        <v>25</v>
      </c>
      <c r="B394" s="7" t="s">
        <v>859</v>
      </c>
      <c r="D394" s="6" t="s">
        <v>860</v>
      </c>
      <c r="E394" s="6">
        <v>2</v>
      </c>
      <c r="F394" s="6">
        <v>20</v>
      </c>
      <c r="G394" s="6" t="s">
        <v>210</v>
      </c>
      <c r="I394" s="8">
        <v>87.337473819444398</v>
      </c>
      <c r="J394" s="8">
        <v>107.081499861111</v>
      </c>
      <c r="K394" s="6" t="s">
        <v>29</v>
      </c>
      <c r="L394" s="6" t="s">
        <v>546</v>
      </c>
      <c r="M394" s="9">
        <v>43843</v>
      </c>
      <c r="O394" s="6">
        <v>16</v>
      </c>
      <c r="P394" s="6" t="s">
        <v>4308</v>
      </c>
      <c r="R394" s="10"/>
      <c r="S394" s="10">
        <v>100</v>
      </c>
      <c r="T394" s="10">
        <v>110</v>
      </c>
      <c r="U394" s="10">
        <f t="shared" si="12"/>
        <v>105</v>
      </c>
      <c r="V394" s="11"/>
      <c r="W394" s="8">
        <v>8.6103206010162775E-2</v>
      </c>
      <c r="X394" s="8">
        <v>1.4614724401235581</v>
      </c>
      <c r="Y394" s="8">
        <f t="shared" si="13"/>
        <v>0.77264679204225595</v>
      </c>
    </row>
    <row r="395" spans="1:25" s="6" customFormat="1" x14ac:dyDescent="0.35">
      <c r="A395" s="6" t="s">
        <v>25</v>
      </c>
      <c r="B395" s="7" t="s">
        <v>857</v>
      </c>
      <c r="D395" s="6" t="s">
        <v>858</v>
      </c>
      <c r="E395" s="6">
        <v>2</v>
      </c>
      <c r="F395" s="6">
        <v>20</v>
      </c>
      <c r="G395" s="6" t="s">
        <v>210</v>
      </c>
      <c r="I395" s="8">
        <v>87.337473819444398</v>
      </c>
      <c r="J395" s="8">
        <v>107.081499861111</v>
      </c>
      <c r="K395" s="6" t="s">
        <v>29</v>
      </c>
      <c r="L395" s="6" t="s">
        <v>546</v>
      </c>
      <c r="M395" s="9">
        <v>43843</v>
      </c>
      <c r="O395" s="6">
        <v>16</v>
      </c>
      <c r="P395" s="6" t="s">
        <v>4308</v>
      </c>
      <c r="R395" s="10"/>
      <c r="S395" s="10">
        <v>110</v>
      </c>
      <c r="T395" s="10">
        <v>120</v>
      </c>
      <c r="U395" s="10">
        <f t="shared" si="12"/>
        <v>115</v>
      </c>
      <c r="V395" s="11"/>
      <c r="W395" s="8">
        <v>-9.4491479026898695E-2</v>
      </c>
      <c r="X395" s="8">
        <v>2.0565166950225828</v>
      </c>
      <c r="Y395" s="8">
        <f t="shared" si="13"/>
        <v>2.8124485272377724</v>
      </c>
    </row>
    <row r="396" spans="1:25" s="6" customFormat="1" x14ac:dyDescent="0.35">
      <c r="A396" s="6" t="s">
        <v>25</v>
      </c>
      <c r="B396" s="6" t="s">
        <v>883</v>
      </c>
      <c r="D396" s="6" t="s">
        <v>884</v>
      </c>
      <c r="E396" s="6">
        <v>2</v>
      </c>
      <c r="F396" s="6">
        <v>20</v>
      </c>
      <c r="G396" s="6" t="s">
        <v>57</v>
      </c>
      <c r="I396" s="8">
        <v>86.603676041666702</v>
      </c>
      <c r="J396" s="8">
        <v>116.411907777778</v>
      </c>
      <c r="K396" s="6" t="s">
        <v>29</v>
      </c>
      <c r="L396" s="6" t="s">
        <v>335</v>
      </c>
      <c r="M396" s="9">
        <v>43846</v>
      </c>
      <c r="O396" s="6">
        <v>16</v>
      </c>
      <c r="P396" s="6" t="s">
        <v>4311</v>
      </c>
      <c r="R396" s="6">
        <v>0</v>
      </c>
      <c r="S396" s="6">
        <v>0</v>
      </c>
      <c r="T396" s="6">
        <v>10</v>
      </c>
      <c r="U396" s="10">
        <f t="shared" si="12"/>
        <v>5</v>
      </c>
      <c r="W396" s="8">
        <v>0.8484078314602379</v>
      </c>
      <c r="X396" s="8">
        <v>6.9226636825084693</v>
      </c>
      <c r="Y396" s="8">
        <f t="shared" si="13"/>
        <v>0.13540103082656607</v>
      </c>
    </row>
    <row r="397" spans="1:25" s="6" customFormat="1" x14ac:dyDescent="0.35">
      <c r="A397" s="6" t="s">
        <v>25</v>
      </c>
      <c r="B397" s="6" t="s">
        <v>885</v>
      </c>
      <c r="D397" s="6" t="s">
        <v>884</v>
      </c>
      <c r="E397" s="6">
        <v>2</v>
      </c>
      <c r="F397" s="6">
        <v>20</v>
      </c>
      <c r="G397" s="6" t="s">
        <v>57</v>
      </c>
      <c r="I397" s="8">
        <v>86.603676041666702</v>
      </c>
      <c r="J397" s="8">
        <v>116.411907777778</v>
      </c>
      <c r="K397" s="6" t="s">
        <v>29</v>
      </c>
      <c r="L397" s="6" t="s">
        <v>335</v>
      </c>
      <c r="M397" s="9">
        <v>43846</v>
      </c>
      <c r="O397" s="6">
        <v>16</v>
      </c>
      <c r="P397" s="6" t="s">
        <v>4311</v>
      </c>
      <c r="R397" s="6">
        <v>10</v>
      </c>
      <c r="S397" s="6">
        <v>10</v>
      </c>
      <c r="T397" s="6">
        <v>20</v>
      </c>
      <c r="U397" s="10">
        <f t="shared" si="12"/>
        <v>15</v>
      </c>
      <c r="W397" s="8">
        <v>1.0945859967112539</v>
      </c>
      <c r="X397" s="8">
        <v>9.1264938152313224</v>
      </c>
      <c r="Y397" s="8">
        <f t="shared" si="13"/>
        <v>0.36980584154129126</v>
      </c>
    </row>
    <row r="398" spans="1:25" s="6" customFormat="1" x14ac:dyDescent="0.35">
      <c r="A398" s="6" t="s">
        <v>25</v>
      </c>
      <c r="B398" s="6" t="s">
        <v>886</v>
      </c>
      <c r="D398" s="6" t="s">
        <v>884</v>
      </c>
      <c r="E398" s="6">
        <v>2</v>
      </c>
      <c r="F398" s="6">
        <v>20</v>
      </c>
      <c r="G398" s="6" t="s">
        <v>57</v>
      </c>
      <c r="I398" s="8">
        <v>86.603676041666702</v>
      </c>
      <c r="J398" s="8">
        <v>116.411907777778</v>
      </c>
      <c r="K398" s="6" t="s">
        <v>29</v>
      </c>
      <c r="L398" s="6" t="s">
        <v>335</v>
      </c>
      <c r="M398" s="9">
        <v>43846</v>
      </c>
      <c r="O398" s="6">
        <v>16</v>
      </c>
      <c r="P398" s="6" t="s">
        <v>4311</v>
      </c>
      <c r="R398" s="6">
        <v>20</v>
      </c>
      <c r="S398" s="6">
        <v>20</v>
      </c>
      <c r="T398" s="6">
        <v>30</v>
      </c>
      <c r="U398" s="10">
        <f t="shared" si="12"/>
        <v>25</v>
      </c>
      <c r="W398" s="8">
        <v>0.53152906819581991</v>
      </c>
      <c r="X398" s="8">
        <v>4.2120920377105477</v>
      </c>
      <c r="Y398" s="8">
        <f t="shared" si="13"/>
        <v>-4.0140507856011531E-2</v>
      </c>
    </row>
    <row r="399" spans="1:25" s="6" customFormat="1" x14ac:dyDescent="0.35">
      <c r="A399" s="6" t="s">
        <v>25</v>
      </c>
      <c r="B399" s="6" t="s">
        <v>887</v>
      </c>
      <c r="D399" s="6" t="s">
        <v>884</v>
      </c>
      <c r="E399" s="6">
        <v>2</v>
      </c>
      <c r="F399" s="6">
        <v>20</v>
      </c>
      <c r="G399" s="6" t="s">
        <v>57</v>
      </c>
      <c r="I399" s="8">
        <v>86.603676041666702</v>
      </c>
      <c r="J399" s="8">
        <v>116.411907777778</v>
      </c>
      <c r="K399" s="6" t="s">
        <v>29</v>
      </c>
      <c r="L399" s="6" t="s">
        <v>335</v>
      </c>
      <c r="M399" s="9">
        <v>43846</v>
      </c>
      <c r="O399" s="6">
        <v>16</v>
      </c>
      <c r="P399" s="6" t="s">
        <v>4311</v>
      </c>
      <c r="R399" s="6">
        <v>30</v>
      </c>
      <c r="S399" s="6">
        <v>30</v>
      </c>
      <c r="T399" s="6">
        <v>40</v>
      </c>
      <c r="U399" s="10">
        <f t="shared" si="12"/>
        <v>35</v>
      </c>
      <c r="W399" s="8">
        <v>-2.6879330595135693</v>
      </c>
      <c r="X399" s="8">
        <v>-21.053302550506594</v>
      </c>
      <c r="Y399" s="8">
        <f t="shared" si="13"/>
        <v>0.45016192560196089</v>
      </c>
    </row>
    <row r="400" spans="1:25" s="6" customFormat="1" x14ac:dyDescent="0.35">
      <c r="A400" s="6" t="s">
        <v>25</v>
      </c>
      <c r="B400" s="6" t="s">
        <v>888</v>
      </c>
      <c r="D400" s="6" t="s">
        <v>884</v>
      </c>
      <c r="E400" s="6">
        <v>2</v>
      </c>
      <c r="F400" s="6">
        <v>20</v>
      </c>
      <c r="G400" s="6" t="s">
        <v>57</v>
      </c>
      <c r="I400" s="8">
        <v>86.603676041666702</v>
      </c>
      <c r="J400" s="8">
        <v>116.411907777778</v>
      </c>
      <c r="K400" s="6" t="s">
        <v>29</v>
      </c>
      <c r="L400" s="6" t="s">
        <v>335</v>
      </c>
      <c r="M400" s="9">
        <v>43846</v>
      </c>
      <c r="O400" s="6">
        <v>16</v>
      </c>
      <c r="P400" s="6" t="s">
        <v>4311</v>
      </c>
      <c r="R400" s="6">
        <v>40</v>
      </c>
      <c r="S400" s="6">
        <v>40</v>
      </c>
      <c r="T400" s="6">
        <v>50</v>
      </c>
      <c r="U400" s="10">
        <f t="shared" si="12"/>
        <v>45</v>
      </c>
      <c r="W400" s="8">
        <v>-4.9099820274353032</v>
      </c>
      <c r="X400" s="8">
        <v>-35.968430923461909</v>
      </c>
      <c r="Y400" s="8">
        <f t="shared" si="13"/>
        <v>3.3114252960205164</v>
      </c>
    </row>
    <row r="401" spans="1:25" s="6" customFormat="1" x14ac:dyDescent="0.35">
      <c r="A401" s="6" t="s">
        <v>25</v>
      </c>
      <c r="B401" s="6" t="s">
        <v>889</v>
      </c>
      <c r="D401" s="6" t="s">
        <v>884</v>
      </c>
      <c r="E401" s="6">
        <v>2</v>
      </c>
      <c r="F401" s="6">
        <v>20</v>
      </c>
      <c r="G401" s="6" t="s">
        <v>57</v>
      </c>
      <c r="I401" s="8">
        <v>86.603676041666702</v>
      </c>
      <c r="J401" s="8">
        <v>116.411907777778</v>
      </c>
      <c r="K401" s="6" t="s">
        <v>29</v>
      </c>
      <c r="L401" s="6" t="s">
        <v>335</v>
      </c>
      <c r="M401" s="9">
        <v>43846</v>
      </c>
      <c r="O401" s="6">
        <v>16</v>
      </c>
      <c r="P401" s="6" t="s">
        <v>4311</v>
      </c>
      <c r="R401" s="6">
        <v>50</v>
      </c>
      <c r="S401" s="6">
        <v>50</v>
      </c>
      <c r="T401" s="6">
        <v>60</v>
      </c>
      <c r="U401" s="10">
        <f t="shared" si="12"/>
        <v>55</v>
      </c>
      <c r="W401" s="8">
        <v>-0.94025196234285824</v>
      </c>
      <c r="X401" s="8">
        <v>-6.7236672649383546</v>
      </c>
      <c r="Y401" s="8">
        <f t="shared" si="13"/>
        <v>0.79834843380451126</v>
      </c>
    </row>
    <row r="402" spans="1:25" s="6" customFormat="1" x14ac:dyDescent="0.35">
      <c r="A402" s="6" t="s">
        <v>25</v>
      </c>
      <c r="B402" s="6" t="s">
        <v>890</v>
      </c>
      <c r="D402" s="6" t="s">
        <v>884</v>
      </c>
      <c r="E402" s="6">
        <v>2</v>
      </c>
      <c r="F402" s="6">
        <v>20</v>
      </c>
      <c r="G402" s="6" t="s">
        <v>57</v>
      </c>
      <c r="I402" s="8">
        <v>86.603676041666702</v>
      </c>
      <c r="J402" s="8">
        <v>116.411907777778</v>
      </c>
      <c r="K402" s="6" t="s">
        <v>29</v>
      </c>
      <c r="L402" s="6" t="s">
        <v>335</v>
      </c>
      <c r="M402" s="9">
        <v>43846</v>
      </c>
      <c r="O402" s="6">
        <v>16</v>
      </c>
      <c r="P402" s="6" t="s">
        <v>4311</v>
      </c>
      <c r="R402" s="6">
        <v>60</v>
      </c>
      <c r="S402" s="6">
        <v>60</v>
      </c>
      <c r="T402" s="6">
        <v>70</v>
      </c>
      <c r="U402" s="10">
        <f t="shared" si="12"/>
        <v>65</v>
      </c>
      <c r="W402" s="8">
        <v>0.68256186929941143</v>
      </c>
      <c r="X402" s="8">
        <v>5.959749931097031</v>
      </c>
      <c r="Y402" s="8">
        <f t="shared" si="13"/>
        <v>0.49925497670173957</v>
      </c>
    </row>
    <row r="403" spans="1:25" s="6" customFormat="1" x14ac:dyDescent="0.35">
      <c r="A403" s="6" t="s">
        <v>25</v>
      </c>
      <c r="B403" s="6" t="s">
        <v>891</v>
      </c>
      <c r="D403" s="6" t="s">
        <v>884</v>
      </c>
      <c r="E403" s="6">
        <v>2</v>
      </c>
      <c r="F403" s="6">
        <v>20</v>
      </c>
      <c r="G403" s="6" t="s">
        <v>57</v>
      </c>
      <c r="I403" s="8">
        <v>86.603676041666702</v>
      </c>
      <c r="J403" s="8">
        <v>116.411907777778</v>
      </c>
      <c r="K403" s="6" t="s">
        <v>29</v>
      </c>
      <c r="L403" s="6" t="s">
        <v>335</v>
      </c>
      <c r="M403" s="9">
        <v>43846</v>
      </c>
      <c r="O403" s="6">
        <v>16</v>
      </c>
      <c r="P403" s="6" t="s">
        <v>4311</v>
      </c>
      <c r="R403" s="6">
        <v>70</v>
      </c>
      <c r="S403" s="6">
        <v>70</v>
      </c>
      <c r="T403" s="6">
        <v>80</v>
      </c>
      <c r="U403" s="10">
        <f t="shared" si="12"/>
        <v>75</v>
      </c>
      <c r="W403" s="8">
        <v>0.28712313210666163</v>
      </c>
      <c r="X403" s="8">
        <v>2.680182968616486</v>
      </c>
      <c r="Y403" s="8">
        <f t="shared" si="13"/>
        <v>0.38319791176319296</v>
      </c>
    </row>
    <row r="404" spans="1:25" s="6" customFormat="1" x14ac:dyDescent="0.35">
      <c r="A404" s="6" t="s">
        <v>25</v>
      </c>
      <c r="B404" s="6" t="s">
        <v>895</v>
      </c>
      <c r="D404" s="6" t="s">
        <v>884</v>
      </c>
      <c r="E404" s="6">
        <v>2</v>
      </c>
      <c r="F404" s="6">
        <v>20</v>
      </c>
      <c r="G404" s="6" t="s">
        <v>57</v>
      </c>
      <c r="I404" s="8">
        <v>86.603676041666702</v>
      </c>
      <c r="J404" s="8">
        <v>116.411907777778</v>
      </c>
      <c r="K404" s="6" t="s">
        <v>29</v>
      </c>
      <c r="L404" s="6" t="s">
        <v>335</v>
      </c>
      <c r="M404" s="9">
        <v>43846</v>
      </c>
      <c r="O404" s="6">
        <v>16</v>
      </c>
      <c r="P404" s="6" t="s">
        <v>4311</v>
      </c>
      <c r="R404" s="6">
        <v>70</v>
      </c>
      <c r="S404" s="6">
        <v>70</v>
      </c>
      <c r="T404" s="6">
        <v>80</v>
      </c>
      <c r="U404" s="10">
        <f t="shared" si="12"/>
        <v>75</v>
      </c>
      <c r="W404" s="8">
        <v>0.34239435356259323</v>
      </c>
      <c r="X404" s="8">
        <v>2.3311194956302645</v>
      </c>
      <c r="Y404" s="8">
        <f t="shared" si="13"/>
        <v>-0.40803533287048133</v>
      </c>
    </row>
    <row r="405" spans="1:25" s="6" customFormat="1" x14ac:dyDescent="0.35">
      <c r="A405" s="6" t="s">
        <v>25</v>
      </c>
      <c r="B405" s="6" t="s">
        <v>892</v>
      </c>
      <c r="D405" s="6" t="s">
        <v>884</v>
      </c>
      <c r="E405" s="6">
        <v>2</v>
      </c>
      <c r="F405" s="6">
        <v>20</v>
      </c>
      <c r="G405" s="6" t="s">
        <v>57</v>
      </c>
      <c r="I405" s="8">
        <v>86.603676041666702</v>
      </c>
      <c r="J405" s="8">
        <v>116.411907777778</v>
      </c>
      <c r="K405" s="6" t="s">
        <v>29</v>
      </c>
      <c r="L405" s="6" t="s">
        <v>335</v>
      </c>
      <c r="M405" s="9">
        <v>43846</v>
      </c>
      <c r="O405" s="6">
        <v>16</v>
      </c>
      <c r="P405" s="6" t="s">
        <v>4311</v>
      </c>
      <c r="R405" s="6">
        <v>80</v>
      </c>
      <c r="S405" s="6">
        <v>80</v>
      </c>
      <c r="T405" s="6">
        <v>90</v>
      </c>
      <c r="U405" s="10">
        <f t="shared" si="12"/>
        <v>85</v>
      </c>
      <c r="W405" s="8">
        <v>8.5808339402824813E-2</v>
      </c>
      <c r="X405" s="8">
        <v>1.647405264735222</v>
      </c>
      <c r="Y405" s="8">
        <f t="shared" si="13"/>
        <v>0.96093854951262347</v>
      </c>
    </row>
    <row r="406" spans="1:25" s="6" customFormat="1" x14ac:dyDescent="0.35">
      <c r="A406" s="6" t="s">
        <v>25</v>
      </c>
      <c r="B406" s="6" t="s">
        <v>893</v>
      </c>
      <c r="D406" s="6" t="s">
        <v>884</v>
      </c>
      <c r="E406" s="6">
        <v>2</v>
      </c>
      <c r="F406" s="6">
        <v>20</v>
      </c>
      <c r="G406" s="6" t="s">
        <v>57</v>
      </c>
      <c r="I406" s="8">
        <v>86.603676041666702</v>
      </c>
      <c r="J406" s="8">
        <v>116.411907777778</v>
      </c>
      <c r="K406" s="6" t="s">
        <v>29</v>
      </c>
      <c r="L406" s="6" t="s">
        <v>335</v>
      </c>
      <c r="M406" s="9">
        <v>43846</v>
      </c>
      <c r="O406" s="6">
        <v>16</v>
      </c>
      <c r="P406" s="6" t="s">
        <v>4311</v>
      </c>
      <c r="R406" s="6">
        <v>90</v>
      </c>
      <c r="S406" s="6">
        <v>90</v>
      </c>
      <c r="T406" s="6">
        <v>100</v>
      </c>
      <c r="U406" s="10">
        <f t="shared" si="12"/>
        <v>95</v>
      </c>
      <c r="W406" s="8">
        <v>-5.9312367296963701E-2</v>
      </c>
      <c r="X406" s="8">
        <v>0.10467067234520804</v>
      </c>
      <c r="Y406" s="8">
        <f t="shared" si="13"/>
        <v>0.57916961072091766</v>
      </c>
    </row>
    <row r="407" spans="1:25" s="6" customFormat="1" x14ac:dyDescent="0.35">
      <c r="A407" s="6" t="s">
        <v>25</v>
      </c>
      <c r="B407" s="6" t="s">
        <v>894</v>
      </c>
      <c r="D407" s="6" t="s">
        <v>884</v>
      </c>
      <c r="E407" s="6">
        <v>2</v>
      </c>
      <c r="F407" s="6">
        <v>20</v>
      </c>
      <c r="G407" s="6" t="s">
        <v>57</v>
      </c>
      <c r="I407" s="8">
        <v>86.603676041666702</v>
      </c>
      <c r="J407" s="8">
        <v>116.411907777778</v>
      </c>
      <c r="K407" s="6" t="s">
        <v>29</v>
      </c>
      <c r="L407" s="6" t="s">
        <v>335</v>
      </c>
      <c r="M407" s="9">
        <v>43846</v>
      </c>
      <c r="O407" s="6">
        <v>16</v>
      </c>
      <c r="P407" s="6" t="s">
        <v>4311</v>
      </c>
      <c r="R407" s="6">
        <v>100</v>
      </c>
      <c r="S407" s="6">
        <v>100</v>
      </c>
      <c r="T407" s="6">
        <v>110</v>
      </c>
      <c r="U407" s="10">
        <f t="shared" si="12"/>
        <v>105</v>
      </c>
      <c r="W407" s="8">
        <v>-0.19186768426597117</v>
      </c>
      <c r="X407" s="8">
        <v>-1.2967359781265262</v>
      </c>
      <c r="Y407" s="8">
        <f t="shared" si="13"/>
        <v>0.23820549600124319</v>
      </c>
    </row>
    <row r="408" spans="1:25" s="6" customFormat="1" x14ac:dyDescent="0.35">
      <c r="A408" s="6" t="s">
        <v>25</v>
      </c>
      <c r="B408" s="7" t="s">
        <v>915</v>
      </c>
      <c r="D408" s="6" t="s">
        <v>916</v>
      </c>
      <c r="E408" s="6">
        <v>2</v>
      </c>
      <c r="F408" s="6">
        <v>21</v>
      </c>
      <c r="G408" s="6" t="s">
        <v>202</v>
      </c>
      <c r="I408" s="8">
        <v>87.451079583333296</v>
      </c>
      <c r="J408" s="8">
        <v>97.375985347222198</v>
      </c>
      <c r="K408" s="6" t="s">
        <v>29</v>
      </c>
      <c r="L408" s="6" t="s">
        <v>335</v>
      </c>
      <c r="M408" s="9">
        <v>43850</v>
      </c>
      <c r="O408" s="6">
        <v>17</v>
      </c>
      <c r="P408" s="6" t="s">
        <v>4314</v>
      </c>
      <c r="R408" s="10"/>
      <c r="S408" s="10">
        <v>0</v>
      </c>
      <c r="T408" s="10">
        <v>10</v>
      </c>
      <c r="U408" s="10">
        <f t="shared" si="12"/>
        <v>5</v>
      </c>
      <c r="V408" s="11"/>
      <c r="W408" s="8">
        <v>-1.6039753601455686</v>
      </c>
      <c r="X408" s="8">
        <v>-13.923559502124787</v>
      </c>
      <c r="Y408" s="8">
        <f t="shared" si="13"/>
        <v>-1.0917566209602381</v>
      </c>
    </row>
    <row r="409" spans="1:25" s="6" customFormat="1" x14ac:dyDescent="0.35">
      <c r="A409" s="6" t="s">
        <v>25</v>
      </c>
      <c r="B409" s="7" t="s">
        <v>913</v>
      </c>
      <c r="D409" s="6" t="s">
        <v>914</v>
      </c>
      <c r="E409" s="6">
        <v>2</v>
      </c>
      <c r="F409" s="6">
        <v>21</v>
      </c>
      <c r="G409" s="6" t="s">
        <v>202</v>
      </c>
      <c r="I409" s="8">
        <v>87.451079583333296</v>
      </c>
      <c r="J409" s="8">
        <v>97.375985347222198</v>
      </c>
      <c r="K409" s="6" t="s">
        <v>29</v>
      </c>
      <c r="L409" s="6" t="s">
        <v>335</v>
      </c>
      <c r="M409" s="9">
        <v>43850</v>
      </c>
      <c r="O409" s="6">
        <v>17</v>
      </c>
      <c r="P409" s="6" t="s">
        <v>4314</v>
      </c>
      <c r="R409" s="10"/>
      <c r="S409" s="10">
        <v>10</v>
      </c>
      <c r="T409" s="10">
        <v>20</v>
      </c>
      <c r="U409" s="10">
        <f t="shared" si="12"/>
        <v>15</v>
      </c>
      <c r="V409" s="11"/>
      <c r="W409" s="8">
        <v>-0.59007612060546877</v>
      </c>
      <c r="X409" s="8">
        <v>-4.8771100661754616</v>
      </c>
      <c r="Y409" s="8">
        <f t="shared" si="13"/>
        <v>-0.15650110133171147</v>
      </c>
    </row>
    <row r="410" spans="1:25" s="6" customFormat="1" x14ac:dyDescent="0.35">
      <c r="A410" s="6" t="s">
        <v>25</v>
      </c>
      <c r="B410" s="7" t="s">
        <v>911</v>
      </c>
      <c r="D410" s="6" t="s">
        <v>912</v>
      </c>
      <c r="E410" s="6">
        <v>2</v>
      </c>
      <c r="F410" s="6">
        <v>21</v>
      </c>
      <c r="G410" s="6" t="s">
        <v>202</v>
      </c>
      <c r="I410" s="8">
        <v>87.451079583333296</v>
      </c>
      <c r="J410" s="8">
        <v>97.375985347222198</v>
      </c>
      <c r="K410" s="6" t="s">
        <v>29</v>
      </c>
      <c r="L410" s="6" t="s">
        <v>335</v>
      </c>
      <c r="M410" s="9">
        <v>43850</v>
      </c>
      <c r="O410" s="6">
        <v>17</v>
      </c>
      <c r="P410" s="6" t="s">
        <v>4314</v>
      </c>
      <c r="R410" s="10"/>
      <c r="S410" s="10">
        <v>20</v>
      </c>
      <c r="T410" s="10">
        <v>30</v>
      </c>
      <c r="U410" s="10">
        <f t="shared" si="12"/>
        <v>25</v>
      </c>
      <c r="V410" s="11"/>
      <c r="W410" s="8">
        <v>0.80716560472011545</v>
      </c>
      <c r="X410" s="8">
        <v>5.8706291084289557</v>
      </c>
      <c r="Y410" s="8">
        <f t="shared" si="13"/>
        <v>-0.5866957293319679</v>
      </c>
    </row>
    <row r="411" spans="1:25" s="6" customFormat="1" x14ac:dyDescent="0.35">
      <c r="A411" s="6" t="s">
        <v>25</v>
      </c>
      <c r="B411" s="7" t="s">
        <v>909</v>
      </c>
      <c r="D411" s="6" t="s">
        <v>910</v>
      </c>
      <c r="E411" s="6">
        <v>2</v>
      </c>
      <c r="F411" s="6">
        <v>21</v>
      </c>
      <c r="G411" s="6" t="s">
        <v>202</v>
      </c>
      <c r="I411" s="8">
        <v>87.451079583333296</v>
      </c>
      <c r="J411" s="8">
        <v>97.375985347222198</v>
      </c>
      <c r="K411" s="6" t="s">
        <v>29</v>
      </c>
      <c r="L411" s="6" t="s">
        <v>335</v>
      </c>
      <c r="M411" s="9">
        <v>43850</v>
      </c>
      <c r="O411" s="6">
        <v>17</v>
      </c>
      <c r="P411" s="6" t="s">
        <v>4314</v>
      </c>
      <c r="R411" s="10"/>
      <c r="S411" s="10">
        <v>30</v>
      </c>
      <c r="T411" s="10">
        <v>40</v>
      </c>
      <c r="U411" s="10">
        <f t="shared" si="12"/>
        <v>35</v>
      </c>
      <c r="V411" s="11"/>
      <c r="W411" s="8">
        <v>0.80942345296144524</v>
      </c>
      <c r="X411" s="8">
        <v>6.5567348937988283</v>
      </c>
      <c r="Y411" s="8">
        <f t="shared" si="13"/>
        <v>8.134727010726639E-2</v>
      </c>
    </row>
    <row r="412" spans="1:25" s="6" customFormat="1" x14ac:dyDescent="0.35">
      <c r="A412" s="6" t="s">
        <v>25</v>
      </c>
      <c r="B412" s="7" t="s">
        <v>907</v>
      </c>
      <c r="D412" s="6" t="s">
        <v>908</v>
      </c>
      <c r="E412" s="6">
        <v>2</v>
      </c>
      <c r="F412" s="6">
        <v>21</v>
      </c>
      <c r="G412" s="6" t="s">
        <v>202</v>
      </c>
      <c r="I412" s="8">
        <v>87.451079583333296</v>
      </c>
      <c r="J412" s="8">
        <v>97.375985347222198</v>
      </c>
      <c r="K412" s="6" t="s">
        <v>29</v>
      </c>
      <c r="L412" s="6" t="s">
        <v>335</v>
      </c>
      <c r="M412" s="9">
        <v>43850</v>
      </c>
      <c r="O412" s="6">
        <v>17</v>
      </c>
      <c r="P412" s="6" t="s">
        <v>4314</v>
      </c>
      <c r="R412" s="10"/>
      <c r="S412" s="10">
        <v>40</v>
      </c>
      <c r="T412" s="10">
        <v>50</v>
      </c>
      <c r="U412" s="10">
        <f t="shared" si="12"/>
        <v>45</v>
      </c>
      <c r="V412" s="11"/>
      <c r="W412" s="8">
        <v>0.71406184434890807</v>
      </c>
      <c r="X412" s="8">
        <v>6.958175258731842</v>
      </c>
      <c r="Y412" s="8">
        <f t="shared" si="13"/>
        <v>1.2456805039405774</v>
      </c>
    </row>
    <row r="413" spans="1:25" s="6" customFormat="1" x14ac:dyDescent="0.35">
      <c r="A413" s="6" t="s">
        <v>25</v>
      </c>
      <c r="B413" s="7" t="s">
        <v>905</v>
      </c>
      <c r="D413" s="6" t="s">
        <v>906</v>
      </c>
      <c r="E413" s="6">
        <v>2</v>
      </c>
      <c r="F413" s="6">
        <v>21</v>
      </c>
      <c r="G413" s="6" t="s">
        <v>202</v>
      </c>
      <c r="I413" s="8">
        <v>87.451079583333296</v>
      </c>
      <c r="J413" s="8">
        <v>97.375985347222198</v>
      </c>
      <c r="K413" s="6" t="s">
        <v>29</v>
      </c>
      <c r="L413" s="6" t="s">
        <v>335</v>
      </c>
      <c r="M413" s="9">
        <v>43850</v>
      </c>
      <c r="O413" s="6">
        <v>17</v>
      </c>
      <c r="P413" s="6" t="s">
        <v>4314</v>
      </c>
      <c r="R413" s="10"/>
      <c r="S413" s="10">
        <v>50</v>
      </c>
      <c r="T413" s="10">
        <v>60</v>
      </c>
      <c r="U413" s="10">
        <f t="shared" si="12"/>
        <v>55</v>
      </c>
      <c r="V413" s="11"/>
      <c r="W413" s="8">
        <v>0.7747818527698519</v>
      </c>
      <c r="X413" s="8">
        <v>5.4539017868042006</v>
      </c>
      <c r="Y413" s="8">
        <f t="shared" si="13"/>
        <v>-0.74435303535461461</v>
      </c>
    </row>
    <row r="414" spans="1:25" s="6" customFormat="1" x14ac:dyDescent="0.35">
      <c r="A414" s="6" t="s">
        <v>25</v>
      </c>
      <c r="B414" s="7" t="s">
        <v>903</v>
      </c>
      <c r="D414" s="6" t="s">
        <v>904</v>
      </c>
      <c r="E414" s="6">
        <v>2</v>
      </c>
      <c r="F414" s="6">
        <v>21</v>
      </c>
      <c r="G414" s="6" t="s">
        <v>202</v>
      </c>
      <c r="I414" s="8">
        <v>87.451079583333296</v>
      </c>
      <c r="J414" s="8">
        <v>97.375985347222198</v>
      </c>
      <c r="K414" s="6" t="s">
        <v>29</v>
      </c>
      <c r="L414" s="6" t="s">
        <v>335</v>
      </c>
      <c r="M414" s="9">
        <v>43850</v>
      </c>
      <c r="O414" s="6">
        <v>17</v>
      </c>
      <c r="P414" s="6" t="s">
        <v>4314</v>
      </c>
      <c r="R414" s="10"/>
      <c r="S414" s="10">
        <v>60</v>
      </c>
      <c r="T414" s="10">
        <v>70</v>
      </c>
      <c r="U414" s="10">
        <f t="shared" si="12"/>
        <v>65</v>
      </c>
      <c r="V414" s="11"/>
      <c r="W414" s="8">
        <v>0.51585550745129594</v>
      </c>
      <c r="X414" s="8">
        <v>4.451314811706542</v>
      </c>
      <c r="Y414" s="8">
        <f t="shared" si="13"/>
        <v>0.32447075209617449</v>
      </c>
    </row>
    <row r="415" spans="1:25" s="6" customFormat="1" x14ac:dyDescent="0.35">
      <c r="A415" s="6" t="s">
        <v>25</v>
      </c>
      <c r="B415" s="7" t="s">
        <v>901</v>
      </c>
      <c r="D415" s="6" t="s">
        <v>902</v>
      </c>
      <c r="E415" s="6">
        <v>2</v>
      </c>
      <c r="F415" s="6">
        <v>21</v>
      </c>
      <c r="G415" s="6" t="s">
        <v>202</v>
      </c>
      <c r="I415" s="8">
        <v>87.451079583333296</v>
      </c>
      <c r="J415" s="8">
        <v>97.375985347222198</v>
      </c>
      <c r="K415" s="6" t="s">
        <v>29</v>
      </c>
      <c r="L415" s="6" t="s">
        <v>335</v>
      </c>
      <c r="M415" s="9">
        <v>43850</v>
      </c>
      <c r="O415" s="6">
        <v>17</v>
      </c>
      <c r="P415" s="6" t="s">
        <v>4314</v>
      </c>
      <c r="R415" s="10"/>
      <c r="S415" s="10">
        <v>70</v>
      </c>
      <c r="T415" s="10">
        <v>80</v>
      </c>
      <c r="U415" s="10">
        <f t="shared" si="12"/>
        <v>75</v>
      </c>
      <c r="V415" s="11"/>
      <c r="W415" s="8">
        <v>6.4236170014552535E-2</v>
      </c>
      <c r="X415" s="8">
        <v>0.27065384626388506</v>
      </c>
      <c r="Y415" s="8">
        <f t="shared" si="13"/>
        <v>-0.24323551385253522</v>
      </c>
    </row>
    <row r="416" spans="1:25" s="6" customFormat="1" x14ac:dyDescent="0.35">
      <c r="A416" s="6" t="s">
        <v>25</v>
      </c>
      <c r="B416" s="7" t="s">
        <v>899</v>
      </c>
      <c r="D416" s="6" t="s">
        <v>900</v>
      </c>
      <c r="E416" s="6">
        <v>2</v>
      </c>
      <c r="F416" s="6">
        <v>21</v>
      </c>
      <c r="G416" s="6" t="s">
        <v>202</v>
      </c>
      <c r="I416" s="8">
        <v>87.451079583333296</v>
      </c>
      <c r="J416" s="8">
        <v>97.375985347222198</v>
      </c>
      <c r="K416" s="6" t="s">
        <v>29</v>
      </c>
      <c r="L416" s="6" t="s">
        <v>335</v>
      </c>
      <c r="M416" s="9">
        <v>43850</v>
      </c>
      <c r="O416" s="6">
        <v>17</v>
      </c>
      <c r="P416" s="6" t="s">
        <v>4314</v>
      </c>
      <c r="R416" s="10"/>
      <c r="S416" s="10">
        <v>82</v>
      </c>
      <c r="T416" s="10">
        <v>93</v>
      </c>
      <c r="U416" s="10">
        <f t="shared" si="12"/>
        <v>87.5</v>
      </c>
      <c r="V416" s="11"/>
      <c r="W416" s="8">
        <v>-9.0124098715186521E-2</v>
      </c>
      <c r="X416" s="8">
        <v>-1.1064696884155276</v>
      </c>
      <c r="Y416" s="8">
        <f t="shared" si="13"/>
        <v>-0.38547689869403545</v>
      </c>
    </row>
    <row r="417" spans="1:25" s="6" customFormat="1" x14ac:dyDescent="0.35">
      <c r="A417" s="6" t="s">
        <v>25</v>
      </c>
      <c r="B417" s="7" t="s">
        <v>917</v>
      </c>
      <c r="D417" s="6" t="s">
        <v>918</v>
      </c>
      <c r="E417" s="6">
        <v>2</v>
      </c>
      <c r="F417" s="6">
        <v>21</v>
      </c>
      <c r="G417" s="6" t="s">
        <v>202</v>
      </c>
      <c r="I417" s="8">
        <v>87.451079583333296</v>
      </c>
      <c r="J417" s="8">
        <v>97.375985347222198</v>
      </c>
      <c r="K417" s="6" t="s">
        <v>29</v>
      </c>
      <c r="L417" s="6" t="s">
        <v>335</v>
      </c>
      <c r="M417" s="9">
        <v>43850</v>
      </c>
      <c r="O417" s="6">
        <v>17</v>
      </c>
      <c r="P417" s="6" t="s">
        <v>4314</v>
      </c>
      <c r="R417" s="10"/>
      <c r="S417" s="10">
        <v>93</v>
      </c>
      <c r="T417" s="10">
        <v>105</v>
      </c>
      <c r="U417" s="10">
        <f t="shared" si="12"/>
        <v>99</v>
      </c>
      <c r="V417" s="11"/>
      <c r="W417" s="8">
        <v>-0.23949311845302548</v>
      </c>
      <c r="X417" s="8">
        <v>-1.6725776789188387</v>
      </c>
      <c r="Y417" s="8">
        <f t="shared" si="13"/>
        <v>0.24336726870536518</v>
      </c>
    </row>
    <row r="418" spans="1:25" s="6" customFormat="1" x14ac:dyDescent="0.35">
      <c r="A418" s="6" t="s">
        <v>25</v>
      </c>
      <c r="B418" s="7"/>
      <c r="D418" s="6" t="s">
        <v>948</v>
      </c>
      <c r="E418" s="6">
        <v>2</v>
      </c>
      <c r="F418" s="6">
        <v>22</v>
      </c>
      <c r="G418" s="6" t="s">
        <v>210</v>
      </c>
      <c r="I418" s="8">
        <v>87.445388611111099</v>
      </c>
      <c r="J418" s="8">
        <v>95.6823715972222</v>
      </c>
      <c r="K418" s="6" t="s">
        <v>29</v>
      </c>
      <c r="L418" s="6" t="s">
        <v>546</v>
      </c>
      <c r="M418" s="9">
        <v>43857</v>
      </c>
      <c r="O418" s="6">
        <v>18</v>
      </c>
      <c r="P418" s="6" t="s">
        <v>4256</v>
      </c>
      <c r="S418" s="6">
        <v>0</v>
      </c>
      <c r="T418" s="6">
        <v>10</v>
      </c>
      <c r="U418" s="10">
        <f t="shared" si="12"/>
        <v>5</v>
      </c>
      <c r="W418" s="8">
        <v>-5.9079416083335881</v>
      </c>
      <c r="X418" s="8">
        <v>-45.687453854370119</v>
      </c>
      <c r="Y418" s="8">
        <f t="shared" si="13"/>
        <v>1.5760790122985853</v>
      </c>
    </row>
    <row r="419" spans="1:25" s="6" customFormat="1" x14ac:dyDescent="0.35">
      <c r="A419" s="6" t="s">
        <v>25</v>
      </c>
      <c r="B419" s="7"/>
      <c r="D419" s="6" t="s">
        <v>949</v>
      </c>
      <c r="E419" s="6">
        <v>2</v>
      </c>
      <c r="F419" s="6">
        <v>22</v>
      </c>
      <c r="G419" s="6" t="s">
        <v>210</v>
      </c>
      <c r="I419" s="8">
        <v>87.445388611111099</v>
      </c>
      <c r="J419" s="8">
        <v>95.6823715972222</v>
      </c>
      <c r="K419" s="6" t="s">
        <v>29</v>
      </c>
      <c r="L419" s="6" t="s">
        <v>546</v>
      </c>
      <c r="M419" s="9">
        <v>43857</v>
      </c>
      <c r="O419" s="6">
        <v>18</v>
      </c>
      <c r="P419" s="6" t="s">
        <v>4256</v>
      </c>
      <c r="S419" s="6">
        <v>10</v>
      </c>
      <c r="T419" s="6">
        <v>20</v>
      </c>
      <c r="U419" s="10">
        <f t="shared" si="12"/>
        <v>15</v>
      </c>
      <c r="W419" s="8">
        <v>-5.8988409738540666</v>
      </c>
      <c r="X419" s="8">
        <v>-44.817357232666019</v>
      </c>
      <c r="Y419" s="8">
        <f t="shared" si="13"/>
        <v>2.3733705581665134</v>
      </c>
    </row>
    <row r="420" spans="1:25" s="6" customFormat="1" x14ac:dyDescent="0.35">
      <c r="A420" s="6" t="s">
        <v>25</v>
      </c>
      <c r="B420" s="7"/>
      <c r="D420" s="6" t="s">
        <v>950</v>
      </c>
      <c r="E420" s="6">
        <v>2</v>
      </c>
      <c r="F420" s="6">
        <v>22</v>
      </c>
      <c r="G420" s="6" t="s">
        <v>210</v>
      </c>
      <c r="I420" s="8">
        <v>87.445388611111099</v>
      </c>
      <c r="J420" s="8">
        <v>95.6823715972222</v>
      </c>
      <c r="K420" s="6" t="s">
        <v>29</v>
      </c>
      <c r="L420" s="6" t="s">
        <v>546</v>
      </c>
      <c r="M420" s="9">
        <v>43857</v>
      </c>
      <c r="O420" s="6">
        <v>18</v>
      </c>
      <c r="P420" s="6" t="s">
        <v>4256</v>
      </c>
      <c r="S420" s="6">
        <v>20</v>
      </c>
      <c r="T420" s="6">
        <v>30</v>
      </c>
      <c r="U420" s="10">
        <f t="shared" si="12"/>
        <v>25</v>
      </c>
      <c r="W420" s="8">
        <v>-5.7838402156829849</v>
      </c>
      <c r="X420" s="8">
        <v>-44.361900952911377</v>
      </c>
      <c r="Y420" s="8">
        <f t="shared" si="13"/>
        <v>1.9088207725525024</v>
      </c>
    </row>
    <row r="421" spans="1:25" s="6" customFormat="1" x14ac:dyDescent="0.35">
      <c r="A421" s="6" t="s">
        <v>25</v>
      </c>
      <c r="B421" s="7"/>
      <c r="D421" s="6" t="s">
        <v>951</v>
      </c>
      <c r="E421" s="6">
        <v>2</v>
      </c>
      <c r="F421" s="6">
        <v>22</v>
      </c>
      <c r="G421" s="6" t="s">
        <v>210</v>
      </c>
      <c r="I421" s="8">
        <v>87.445388611111099</v>
      </c>
      <c r="J421" s="8">
        <v>95.6823715972222</v>
      </c>
      <c r="K421" s="6" t="s">
        <v>29</v>
      </c>
      <c r="L421" s="6" t="s">
        <v>546</v>
      </c>
      <c r="M421" s="9">
        <v>43857</v>
      </c>
      <c r="O421" s="6">
        <v>18</v>
      </c>
      <c r="P421" s="6" t="s">
        <v>4256</v>
      </c>
      <c r="S421" s="6">
        <v>30</v>
      </c>
      <c r="T421" s="6">
        <v>40</v>
      </c>
      <c r="U421" s="10">
        <f t="shared" si="12"/>
        <v>35</v>
      </c>
      <c r="W421" s="8">
        <v>-5.3164651327133186</v>
      </c>
      <c r="X421" s="8">
        <v>-40.499288259124754</v>
      </c>
      <c r="Y421" s="8">
        <f t="shared" si="13"/>
        <v>2.0324328025817948</v>
      </c>
    </row>
    <row r="422" spans="1:25" s="6" customFormat="1" x14ac:dyDescent="0.35">
      <c r="A422" s="6" t="s">
        <v>25</v>
      </c>
      <c r="B422" s="7"/>
      <c r="D422" s="6" t="s">
        <v>952</v>
      </c>
      <c r="E422" s="6">
        <v>2</v>
      </c>
      <c r="F422" s="6">
        <v>22</v>
      </c>
      <c r="G422" s="6" t="s">
        <v>210</v>
      </c>
      <c r="I422" s="8">
        <v>87.445388611111099</v>
      </c>
      <c r="J422" s="8">
        <v>95.6823715972222</v>
      </c>
      <c r="K422" s="6" t="s">
        <v>29</v>
      </c>
      <c r="L422" s="6" t="s">
        <v>546</v>
      </c>
      <c r="M422" s="9">
        <v>43857</v>
      </c>
      <c r="O422" s="6">
        <v>18</v>
      </c>
      <c r="P422" s="6" t="s">
        <v>4256</v>
      </c>
      <c r="S422" s="6">
        <v>40</v>
      </c>
      <c r="T422" s="6">
        <v>50</v>
      </c>
      <c r="U422" s="10">
        <f t="shared" si="12"/>
        <v>45</v>
      </c>
      <c r="W422" s="8">
        <v>-5.2272233753204356</v>
      </c>
      <c r="X422" s="8">
        <v>-39.340265908813478</v>
      </c>
      <c r="Y422" s="8">
        <f t="shared" si="13"/>
        <v>2.4775210937500063</v>
      </c>
    </row>
    <row r="423" spans="1:25" s="6" customFormat="1" x14ac:dyDescent="0.35">
      <c r="A423" s="6" t="s">
        <v>25</v>
      </c>
      <c r="B423" s="7"/>
      <c r="D423" s="6" t="s">
        <v>953</v>
      </c>
      <c r="E423" s="6">
        <v>2</v>
      </c>
      <c r="F423" s="6">
        <v>22</v>
      </c>
      <c r="G423" s="6" t="s">
        <v>210</v>
      </c>
      <c r="I423" s="8">
        <v>87.445388611111099</v>
      </c>
      <c r="J423" s="8">
        <v>95.6823715972222</v>
      </c>
      <c r="K423" s="6" t="s">
        <v>29</v>
      </c>
      <c r="L423" s="6" t="s">
        <v>546</v>
      </c>
      <c r="M423" s="9">
        <v>43857</v>
      </c>
      <c r="O423" s="6">
        <v>18</v>
      </c>
      <c r="P423" s="6" t="s">
        <v>4256</v>
      </c>
      <c r="S423" s="6">
        <v>50</v>
      </c>
      <c r="T423" s="6">
        <v>60</v>
      </c>
      <c r="U423" s="10">
        <f t="shared" si="12"/>
        <v>55</v>
      </c>
      <c r="W423" s="8">
        <v>-4.9503961973190318</v>
      </c>
      <c r="X423" s="8">
        <v>-36.960096528625492</v>
      </c>
      <c r="Y423" s="8">
        <f t="shared" si="13"/>
        <v>2.6430730499267625</v>
      </c>
    </row>
    <row r="424" spans="1:25" s="6" customFormat="1" x14ac:dyDescent="0.35">
      <c r="A424" s="6" t="s">
        <v>25</v>
      </c>
      <c r="B424" s="7"/>
      <c r="D424" s="6" t="s">
        <v>954</v>
      </c>
      <c r="E424" s="6">
        <v>2</v>
      </c>
      <c r="F424" s="6">
        <v>22</v>
      </c>
      <c r="G424" s="6" t="s">
        <v>210</v>
      </c>
      <c r="I424" s="8">
        <v>87.445388611111099</v>
      </c>
      <c r="J424" s="8">
        <v>95.6823715972222</v>
      </c>
      <c r="K424" s="6" t="s">
        <v>29</v>
      </c>
      <c r="L424" s="6" t="s">
        <v>546</v>
      </c>
      <c r="M424" s="9">
        <v>43857</v>
      </c>
      <c r="O424" s="6">
        <v>18</v>
      </c>
      <c r="P424" s="6" t="s">
        <v>4256</v>
      </c>
      <c r="S424" s="6">
        <v>60</v>
      </c>
      <c r="T424" s="6">
        <v>70</v>
      </c>
      <c r="U424" s="10">
        <f t="shared" si="12"/>
        <v>65</v>
      </c>
      <c r="W424" s="8">
        <v>-4.2594579248428346</v>
      </c>
      <c r="X424" s="8">
        <v>-31.991214864349367</v>
      </c>
      <c r="Y424" s="8">
        <f t="shared" si="13"/>
        <v>2.0844485343933101</v>
      </c>
    </row>
    <row r="425" spans="1:25" s="6" customFormat="1" x14ac:dyDescent="0.35">
      <c r="A425" s="6" t="s">
        <v>25</v>
      </c>
      <c r="B425" s="7"/>
      <c r="D425" s="6" t="s">
        <v>955</v>
      </c>
      <c r="E425" s="6">
        <v>2</v>
      </c>
      <c r="F425" s="6">
        <v>22</v>
      </c>
      <c r="G425" s="6" t="s">
        <v>210</v>
      </c>
      <c r="I425" s="8">
        <v>87.445388611111099</v>
      </c>
      <c r="J425" s="8">
        <v>95.6823715972222</v>
      </c>
      <c r="K425" s="6" t="s">
        <v>29</v>
      </c>
      <c r="L425" s="6" t="s">
        <v>546</v>
      </c>
      <c r="M425" s="9">
        <v>43857</v>
      </c>
      <c r="O425" s="6">
        <v>18</v>
      </c>
      <c r="P425" s="6" t="s">
        <v>4256</v>
      </c>
      <c r="S425" s="6">
        <v>70</v>
      </c>
      <c r="T425" s="6">
        <v>80</v>
      </c>
      <c r="U425" s="10">
        <f t="shared" si="12"/>
        <v>75</v>
      </c>
      <c r="W425" s="8">
        <v>-3.0471015291213992</v>
      </c>
      <c r="X425" s="8">
        <v>-23.319338187789917</v>
      </c>
      <c r="Y425" s="8">
        <f t="shared" si="13"/>
        <v>1.0574740451812765</v>
      </c>
    </row>
    <row r="426" spans="1:25" s="6" customFormat="1" x14ac:dyDescent="0.35">
      <c r="A426" s="6" t="s">
        <v>25</v>
      </c>
      <c r="B426" s="7"/>
      <c r="D426" s="6" t="s">
        <v>956</v>
      </c>
      <c r="E426" s="6">
        <v>2</v>
      </c>
      <c r="F426" s="6">
        <v>22</v>
      </c>
      <c r="G426" s="6" t="s">
        <v>210</v>
      </c>
      <c r="I426" s="8">
        <v>87.445388611111099</v>
      </c>
      <c r="J426" s="8">
        <v>95.6823715972222</v>
      </c>
      <c r="K426" s="6" t="s">
        <v>29</v>
      </c>
      <c r="L426" s="6" t="s">
        <v>546</v>
      </c>
      <c r="M426" s="9">
        <v>43857</v>
      </c>
      <c r="O426" s="6">
        <v>18</v>
      </c>
      <c r="P426" s="6" t="s">
        <v>4256</v>
      </c>
      <c r="S426" s="6">
        <v>80</v>
      </c>
      <c r="T426" s="6">
        <v>90</v>
      </c>
      <c r="U426" s="10">
        <f t="shared" si="12"/>
        <v>85</v>
      </c>
      <c r="W426" s="8">
        <v>-2.026615220189095</v>
      </c>
      <c r="X426" s="8">
        <v>-15.001739238357544</v>
      </c>
      <c r="Y426" s="8">
        <f t="shared" si="13"/>
        <v>1.211182523155216</v>
      </c>
    </row>
    <row r="427" spans="1:25" s="6" customFormat="1" x14ac:dyDescent="0.35">
      <c r="A427" s="6" t="s">
        <v>25</v>
      </c>
      <c r="B427" s="7"/>
      <c r="D427" s="6" t="s">
        <v>957</v>
      </c>
      <c r="E427" s="6">
        <v>2</v>
      </c>
      <c r="F427" s="6">
        <v>22</v>
      </c>
      <c r="G427" s="6" t="s">
        <v>210</v>
      </c>
      <c r="I427" s="8">
        <v>87.445388611111099</v>
      </c>
      <c r="J427" s="8">
        <v>95.6823715972222</v>
      </c>
      <c r="K427" s="6" t="s">
        <v>29</v>
      </c>
      <c r="L427" s="6" t="s">
        <v>546</v>
      </c>
      <c r="M427" s="9">
        <v>43857</v>
      </c>
      <c r="O427" s="6">
        <v>18</v>
      </c>
      <c r="P427" s="6" t="s">
        <v>4256</v>
      </c>
      <c r="S427" s="6">
        <v>90</v>
      </c>
      <c r="T427" s="6">
        <v>100</v>
      </c>
      <c r="U427" s="10">
        <f t="shared" si="12"/>
        <v>95</v>
      </c>
      <c r="W427" s="8">
        <v>-1.1014012031555174</v>
      </c>
      <c r="X427" s="8">
        <v>-8.3731892772674552</v>
      </c>
      <c r="Y427" s="8">
        <f t="shared" si="13"/>
        <v>0.43802034797668377</v>
      </c>
    </row>
    <row r="428" spans="1:25" s="6" customFormat="1" x14ac:dyDescent="0.35">
      <c r="A428" s="6" t="s">
        <v>25</v>
      </c>
      <c r="B428" s="7"/>
      <c r="D428" s="6" t="s">
        <v>958</v>
      </c>
      <c r="E428" s="6">
        <v>2</v>
      </c>
      <c r="F428" s="6">
        <v>22</v>
      </c>
      <c r="G428" s="6" t="s">
        <v>210</v>
      </c>
      <c r="I428" s="8">
        <v>87.445388611111099</v>
      </c>
      <c r="J428" s="8">
        <v>95.6823715972222</v>
      </c>
      <c r="K428" s="6" t="s">
        <v>29</v>
      </c>
      <c r="L428" s="6" t="s">
        <v>546</v>
      </c>
      <c r="M428" s="9">
        <v>43857</v>
      </c>
      <c r="O428" s="6">
        <v>18</v>
      </c>
      <c r="P428" s="6" t="s">
        <v>4256</v>
      </c>
      <c r="S428" s="6">
        <v>100</v>
      </c>
      <c r="T428" s="6">
        <v>110</v>
      </c>
      <c r="U428" s="10">
        <f t="shared" si="12"/>
        <v>105</v>
      </c>
      <c r="W428" s="8">
        <v>-0.20141188983991717</v>
      </c>
      <c r="X428" s="8">
        <v>-0.59399325952529869</v>
      </c>
      <c r="Y428" s="8">
        <f t="shared" si="13"/>
        <v>1.0173018591940388</v>
      </c>
    </row>
    <row r="429" spans="1:25" s="6" customFormat="1" x14ac:dyDescent="0.35">
      <c r="A429" s="6" t="s">
        <v>25</v>
      </c>
      <c r="B429" s="7"/>
      <c r="D429" s="6" t="s">
        <v>959</v>
      </c>
      <c r="E429" s="6">
        <v>2</v>
      </c>
      <c r="F429" s="6">
        <v>22</v>
      </c>
      <c r="G429" s="6" t="s">
        <v>210</v>
      </c>
      <c r="I429" s="8">
        <v>87.445388611111099</v>
      </c>
      <c r="J429" s="8">
        <v>95.6823715972222</v>
      </c>
      <c r="K429" s="6" t="s">
        <v>29</v>
      </c>
      <c r="L429" s="6" t="s">
        <v>546</v>
      </c>
      <c r="M429" s="9">
        <v>43857</v>
      </c>
      <c r="O429" s="6">
        <v>18</v>
      </c>
      <c r="P429" s="6" t="s">
        <v>4256</v>
      </c>
      <c r="S429" s="6">
        <v>110</v>
      </c>
      <c r="T429" s="6">
        <v>120</v>
      </c>
      <c r="U429" s="10">
        <f t="shared" si="12"/>
        <v>115</v>
      </c>
      <c r="W429" s="8">
        <v>0.56462647241354003</v>
      </c>
      <c r="X429" s="8">
        <v>5.2151453460693364</v>
      </c>
      <c r="Y429" s="8">
        <f t="shared" si="13"/>
        <v>0.69813356676101623</v>
      </c>
    </row>
    <row r="430" spans="1:25" s="6" customFormat="1" x14ac:dyDescent="0.35">
      <c r="A430" s="6" t="s">
        <v>25</v>
      </c>
      <c r="B430" s="7"/>
      <c r="D430" s="6" t="s">
        <v>960</v>
      </c>
      <c r="E430" s="6">
        <v>2</v>
      </c>
      <c r="F430" s="6">
        <v>22</v>
      </c>
      <c r="G430" s="6" t="s">
        <v>210</v>
      </c>
      <c r="I430" s="8">
        <v>87.445388611111099</v>
      </c>
      <c r="J430" s="8">
        <v>95.6823715972222</v>
      </c>
      <c r="K430" s="6" t="s">
        <v>29</v>
      </c>
      <c r="L430" s="6" t="s">
        <v>546</v>
      </c>
      <c r="M430" s="9">
        <v>43857</v>
      </c>
      <c r="O430" s="6">
        <v>18</v>
      </c>
      <c r="P430" s="6" t="s">
        <v>4256</v>
      </c>
      <c r="S430" s="6">
        <v>120</v>
      </c>
      <c r="T430" s="6">
        <v>130</v>
      </c>
      <c r="U430" s="10">
        <f t="shared" si="12"/>
        <v>125</v>
      </c>
      <c r="W430" s="8">
        <v>0.38266136240959131</v>
      </c>
      <c r="X430" s="8">
        <v>3.774451543235779</v>
      </c>
      <c r="Y430" s="8">
        <f t="shared" si="13"/>
        <v>0.71316064395904855</v>
      </c>
    </row>
    <row r="431" spans="1:25" s="6" customFormat="1" x14ac:dyDescent="0.35">
      <c r="A431" s="6" t="s">
        <v>25</v>
      </c>
      <c r="B431" s="7"/>
      <c r="D431" s="6" t="s">
        <v>961</v>
      </c>
      <c r="E431" s="6">
        <v>2</v>
      </c>
      <c r="F431" s="6">
        <v>22</v>
      </c>
      <c r="G431" s="6" t="s">
        <v>210</v>
      </c>
      <c r="I431" s="8">
        <v>87.445388611111099</v>
      </c>
      <c r="J431" s="8">
        <v>95.6823715972222</v>
      </c>
      <c r="K431" s="6" t="s">
        <v>29</v>
      </c>
      <c r="L431" s="6" t="s">
        <v>546</v>
      </c>
      <c r="M431" s="9">
        <v>43857</v>
      </c>
      <c r="O431" s="6">
        <v>18</v>
      </c>
      <c r="P431" s="6" t="s">
        <v>4256</v>
      </c>
      <c r="S431" s="6">
        <v>131</v>
      </c>
      <c r="T431" s="6">
        <v>142</v>
      </c>
      <c r="U431" s="10">
        <f t="shared" si="12"/>
        <v>136.5</v>
      </c>
      <c r="W431" s="8">
        <v>2.1011216920614396E-2</v>
      </c>
      <c r="X431" s="8">
        <v>0.92910892963409419</v>
      </c>
      <c r="Y431" s="8">
        <f t="shared" si="13"/>
        <v>0.76101919426917908</v>
      </c>
    </row>
    <row r="432" spans="1:25" s="6" customFormat="1" x14ac:dyDescent="0.35">
      <c r="A432" s="6" t="s">
        <v>25</v>
      </c>
      <c r="B432" s="7"/>
      <c r="D432" s="6" t="s">
        <v>962</v>
      </c>
      <c r="E432" s="6">
        <v>2</v>
      </c>
      <c r="F432" s="6">
        <v>22</v>
      </c>
      <c r="G432" s="6" t="s">
        <v>210</v>
      </c>
      <c r="I432" s="8">
        <v>87.445388611111099</v>
      </c>
      <c r="J432" s="8">
        <v>95.6823715972222</v>
      </c>
      <c r="K432" s="6" t="s">
        <v>29</v>
      </c>
      <c r="L432" s="6" t="s">
        <v>546</v>
      </c>
      <c r="M432" s="9">
        <v>43857</v>
      </c>
      <c r="O432" s="6">
        <v>18</v>
      </c>
      <c r="P432" s="6" t="s">
        <v>4256</v>
      </c>
      <c r="S432" s="6">
        <v>142</v>
      </c>
      <c r="T432" s="6">
        <v>153</v>
      </c>
      <c r="U432" s="10">
        <f t="shared" si="12"/>
        <v>147.5</v>
      </c>
      <c r="W432" s="8">
        <v>-0.35123281355500191</v>
      </c>
      <c r="X432" s="8">
        <v>-1.7743184781074519</v>
      </c>
      <c r="Y432" s="8">
        <f t="shared" si="13"/>
        <v>1.0355440303325634</v>
      </c>
    </row>
    <row r="433" spans="1:25" s="6" customFormat="1" x14ac:dyDescent="0.35">
      <c r="A433" s="6" t="s">
        <v>25</v>
      </c>
      <c r="B433" s="7"/>
      <c r="D433" s="6" t="s">
        <v>996</v>
      </c>
      <c r="E433" s="6">
        <v>2</v>
      </c>
      <c r="F433" s="6">
        <v>23</v>
      </c>
      <c r="G433" s="6" t="s">
        <v>202</v>
      </c>
      <c r="I433" s="8">
        <v>87.352736041666702</v>
      </c>
      <c r="J433" s="8">
        <v>94.772103819444396</v>
      </c>
      <c r="K433" s="6" t="s">
        <v>29</v>
      </c>
      <c r="L433" s="6" t="s">
        <v>335</v>
      </c>
      <c r="M433" s="9">
        <v>43864</v>
      </c>
      <c r="O433" s="6">
        <v>19</v>
      </c>
      <c r="P433" s="6" t="s">
        <v>4322</v>
      </c>
      <c r="S433" s="6">
        <v>0</v>
      </c>
      <c r="T433" s="6">
        <v>10</v>
      </c>
      <c r="U433" s="10">
        <f t="shared" si="12"/>
        <v>5</v>
      </c>
      <c r="W433" s="8">
        <v>-1.8963263038635254</v>
      </c>
      <c r="X433" s="8">
        <v>-14.665141983032228</v>
      </c>
      <c r="Y433" s="8">
        <f t="shared" si="13"/>
        <v>0.505468447875975</v>
      </c>
    </row>
    <row r="434" spans="1:25" s="6" customFormat="1" x14ac:dyDescent="0.35">
      <c r="A434" s="6" t="s">
        <v>25</v>
      </c>
      <c r="B434" s="7"/>
      <c r="D434" s="6" t="s">
        <v>997</v>
      </c>
      <c r="E434" s="6">
        <v>2</v>
      </c>
      <c r="F434" s="6">
        <v>23</v>
      </c>
      <c r="G434" s="6" t="s">
        <v>202</v>
      </c>
      <c r="I434" s="8">
        <v>87.352736041666702</v>
      </c>
      <c r="J434" s="8">
        <v>94.772103819444396</v>
      </c>
      <c r="K434" s="6" t="s">
        <v>29</v>
      </c>
      <c r="L434" s="6" t="s">
        <v>335</v>
      </c>
      <c r="M434" s="9">
        <v>43864</v>
      </c>
      <c r="O434" s="6">
        <v>19</v>
      </c>
      <c r="P434" s="6" t="s">
        <v>4322</v>
      </c>
      <c r="S434" s="6">
        <v>10</v>
      </c>
      <c r="T434" s="6">
        <v>20</v>
      </c>
      <c r="U434" s="10">
        <f t="shared" si="12"/>
        <v>15</v>
      </c>
      <c r="W434" s="8">
        <v>-3.6944077819824224</v>
      </c>
      <c r="X434" s="8">
        <v>-28.345072906494138</v>
      </c>
      <c r="Y434" s="8">
        <f t="shared" si="13"/>
        <v>1.2101893493652405</v>
      </c>
    </row>
    <row r="435" spans="1:25" s="6" customFormat="1" x14ac:dyDescent="0.35">
      <c r="A435" s="6" t="s">
        <v>25</v>
      </c>
      <c r="B435" s="7"/>
      <c r="D435" s="6" t="s">
        <v>998</v>
      </c>
      <c r="E435" s="6">
        <v>2</v>
      </c>
      <c r="F435" s="6">
        <v>23</v>
      </c>
      <c r="G435" s="6" t="s">
        <v>202</v>
      </c>
      <c r="I435" s="8">
        <v>87.352736041666702</v>
      </c>
      <c r="J435" s="8">
        <v>94.772103819444396</v>
      </c>
      <c r="K435" s="6" t="s">
        <v>29</v>
      </c>
      <c r="L435" s="6" t="s">
        <v>335</v>
      </c>
      <c r="M435" s="9">
        <v>43864</v>
      </c>
      <c r="O435" s="6">
        <v>19</v>
      </c>
      <c r="P435" s="6" t="s">
        <v>4322</v>
      </c>
      <c r="S435" s="6">
        <v>20</v>
      </c>
      <c r="T435" s="6">
        <v>30</v>
      </c>
      <c r="U435" s="10">
        <f t="shared" si="12"/>
        <v>25</v>
      </c>
      <c r="W435" s="8">
        <v>-2.672214303731919</v>
      </c>
      <c r="X435" s="8">
        <v>-20.924557458877565</v>
      </c>
      <c r="Y435" s="8">
        <f t="shared" si="13"/>
        <v>0.45315697097778695</v>
      </c>
    </row>
    <row r="436" spans="1:25" s="6" customFormat="1" x14ac:dyDescent="0.35">
      <c r="A436" s="6" t="s">
        <v>25</v>
      </c>
      <c r="B436" s="7"/>
      <c r="D436" s="6" t="s">
        <v>999</v>
      </c>
      <c r="E436" s="6">
        <v>2</v>
      </c>
      <c r="F436" s="6">
        <v>23</v>
      </c>
      <c r="G436" s="6" t="s">
        <v>202</v>
      </c>
      <c r="I436" s="8">
        <v>87.352736041666702</v>
      </c>
      <c r="J436" s="8">
        <v>94.772103819444396</v>
      </c>
      <c r="K436" s="6" t="s">
        <v>29</v>
      </c>
      <c r="L436" s="6" t="s">
        <v>335</v>
      </c>
      <c r="M436" s="9">
        <v>43864</v>
      </c>
      <c r="O436" s="6">
        <v>19</v>
      </c>
      <c r="P436" s="6" t="s">
        <v>4322</v>
      </c>
      <c r="S436" s="6">
        <v>30</v>
      </c>
      <c r="T436" s="6">
        <v>40</v>
      </c>
      <c r="U436" s="10">
        <f t="shared" si="12"/>
        <v>35</v>
      </c>
      <c r="W436" s="8">
        <v>0.32925631866455085</v>
      </c>
      <c r="X436" s="8">
        <v>4.8515205612182619</v>
      </c>
      <c r="Y436" s="8">
        <f t="shared" si="13"/>
        <v>2.2174700119018551</v>
      </c>
    </row>
    <row r="437" spans="1:25" s="6" customFormat="1" x14ac:dyDescent="0.35">
      <c r="A437" s="6" t="s">
        <v>25</v>
      </c>
      <c r="B437" s="7"/>
      <c r="D437" s="6" t="s">
        <v>1000</v>
      </c>
      <c r="E437" s="6">
        <v>2</v>
      </c>
      <c r="F437" s="6">
        <v>23</v>
      </c>
      <c r="G437" s="6" t="s">
        <v>202</v>
      </c>
      <c r="I437" s="8">
        <v>87.352736041666702</v>
      </c>
      <c r="J437" s="8">
        <v>94.772103819444396</v>
      </c>
      <c r="K437" s="6" t="s">
        <v>29</v>
      </c>
      <c r="L437" s="6" t="s">
        <v>335</v>
      </c>
      <c r="M437" s="9">
        <v>43864</v>
      </c>
      <c r="O437" s="6">
        <v>19</v>
      </c>
      <c r="P437" s="6" t="s">
        <v>4322</v>
      </c>
      <c r="S437" s="6">
        <v>40</v>
      </c>
      <c r="T437" s="6">
        <v>50</v>
      </c>
      <c r="U437" s="10">
        <f t="shared" si="12"/>
        <v>45</v>
      </c>
      <c r="W437" s="8">
        <v>1.7768456077575368E-2</v>
      </c>
      <c r="X437" s="8">
        <v>0.725945571899414</v>
      </c>
      <c r="Y437" s="8">
        <f t="shared" si="13"/>
        <v>0.58379792327881108</v>
      </c>
    </row>
    <row r="438" spans="1:25" s="6" customFormat="1" x14ac:dyDescent="0.35">
      <c r="A438" s="6" t="s">
        <v>25</v>
      </c>
      <c r="B438" s="7"/>
      <c r="D438" s="6" t="s">
        <v>1001</v>
      </c>
      <c r="E438" s="6">
        <v>2</v>
      </c>
      <c r="F438" s="6">
        <v>23</v>
      </c>
      <c r="G438" s="6" t="s">
        <v>202</v>
      </c>
      <c r="I438" s="8">
        <v>87.352736041666702</v>
      </c>
      <c r="J438" s="8">
        <v>94.772103819444396</v>
      </c>
      <c r="K438" s="6" t="s">
        <v>29</v>
      </c>
      <c r="L438" s="6" t="s">
        <v>335</v>
      </c>
      <c r="M438" s="9">
        <v>43864</v>
      </c>
      <c r="O438" s="6">
        <v>19</v>
      </c>
      <c r="P438" s="6" t="s">
        <v>4322</v>
      </c>
      <c r="S438" s="6">
        <v>50</v>
      </c>
      <c r="T438" s="6">
        <v>60</v>
      </c>
      <c r="U438" s="10">
        <f t="shared" si="12"/>
        <v>55</v>
      </c>
      <c r="W438" s="8">
        <v>-0.23647690012455003</v>
      </c>
      <c r="X438" s="8">
        <v>-0.11459782409667968</v>
      </c>
      <c r="Y438" s="8">
        <f t="shared" si="13"/>
        <v>1.7772173768997206</v>
      </c>
    </row>
    <row r="439" spans="1:25" s="6" customFormat="1" x14ac:dyDescent="0.35">
      <c r="A439" s="6" t="s">
        <v>25</v>
      </c>
      <c r="B439" s="7"/>
      <c r="D439" s="6" t="s">
        <v>1002</v>
      </c>
      <c r="E439" s="6">
        <v>2</v>
      </c>
      <c r="F439" s="6">
        <v>23</v>
      </c>
      <c r="G439" s="6" t="s">
        <v>202</v>
      </c>
      <c r="I439" s="8">
        <v>87.352736041666702</v>
      </c>
      <c r="J439" s="8">
        <v>94.772103819444396</v>
      </c>
      <c r="K439" s="6" t="s">
        <v>29</v>
      </c>
      <c r="L439" s="6" t="s">
        <v>335</v>
      </c>
      <c r="M439" s="9">
        <v>43864</v>
      </c>
      <c r="O439" s="6">
        <v>19</v>
      </c>
      <c r="P439" s="6" t="s">
        <v>4322</v>
      </c>
      <c r="S439" s="6">
        <v>60</v>
      </c>
      <c r="T439" s="6">
        <v>70</v>
      </c>
      <c r="U439" s="10">
        <f t="shared" si="12"/>
        <v>65</v>
      </c>
      <c r="W439" s="8">
        <v>0.12509648380279512</v>
      </c>
      <c r="X439" s="8">
        <v>2.5838806762695312</v>
      </c>
      <c r="Y439" s="8">
        <f t="shared" si="13"/>
        <v>1.5831088058471703</v>
      </c>
    </row>
    <row r="440" spans="1:25" s="6" customFormat="1" x14ac:dyDescent="0.35">
      <c r="A440" s="6" t="s">
        <v>25</v>
      </c>
      <c r="B440" s="7"/>
      <c r="D440" s="6" t="s">
        <v>1003</v>
      </c>
      <c r="E440" s="6">
        <v>2</v>
      </c>
      <c r="F440" s="6">
        <v>23</v>
      </c>
      <c r="G440" s="6" t="s">
        <v>202</v>
      </c>
      <c r="I440" s="8">
        <v>87.352736041666702</v>
      </c>
      <c r="J440" s="8">
        <v>94.772103819444396</v>
      </c>
      <c r="K440" s="6" t="s">
        <v>29</v>
      </c>
      <c r="L440" s="6" t="s">
        <v>335</v>
      </c>
      <c r="M440" s="9">
        <v>43864</v>
      </c>
      <c r="O440" s="6">
        <v>19</v>
      </c>
      <c r="P440" s="6" t="s">
        <v>4322</v>
      </c>
      <c r="S440" s="6">
        <v>70</v>
      </c>
      <c r="T440" s="6">
        <v>80</v>
      </c>
      <c r="U440" s="10">
        <f t="shared" si="12"/>
        <v>75</v>
      </c>
      <c r="W440" s="8">
        <v>0.2651520782470701</v>
      </c>
      <c r="X440" s="8">
        <v>4.3171180648803711</v>
      </c>
      <c r="Y440" s="8">
        <f t="shared" si="13"/>
        <v>2.1959014389038103</v>
      </c>
    </row>
    <row r="441" spans="1:25" s="6" customFormat="1" x14ac:dyDescent="0.35">
      <c r="A441" s="6" t="s">
        <v>25</v>
      </c>
      <c r="B441" s="7"/>
      <c r="D441" s="6" t="s">
        <v>1004</v>
      </c>
      <c r="E441" s="6">
        <v>2</v>
      </c>
      <c r="F441" s="6">
        <v>23</v>
      </c>
      <c r="G441" s="6" t="s">
        <v>202</v>
      </c>
      <c r="I441" s="8">
        <v>87.352736041666702</v>
      </c>
      <c r="J441" s="8">
        <v>94.772103819444396</v>
      </c>
      <c r="K441" s="6" t="s">
        <v>29</v>
      </c>
      <c r="L441" s="6" t="s">
        <v>335</v>
      </c>
      <c r="M441" s="9">
        <v>43864</v>
      </c>
      <c r="O441" s="6">
        <v>19</v>
      </c>
      <c r="P441" s="6" t="s">
        <v>4322</v>
      </c>
      <c r="S441" s="6">
        <v>80</v>
      </c>
      <c r="T441" s="6">
        <v>90</v>
      </c>
      <c r="U441" s="10">
        <f t="shared" si="12"/>
        <v>85</v>
      </c>
      <c r="W441" s="8">
        <v>0.23901687774658173</v>
      </c>
      <c r="X441" s="8">
        <v>3.2011802444458008</v>
      </c>
      <c r="Y441" s="8">
        <f t="shared" si="13"/>
        <v>1.289045222473147</v>
      </c>
    </row>
    <row r="442" spans="1:25" s="6" customFormat="1" x14ac:dyDescent="0.35">
      <c r="A442" s="6" t="s">
        <v>25</v>
      </c>
      <c r="B442" s="7"/>
      <c r="D442" s="6" t="s">
        <v>1005</v>
      </c>
      <c r="E442" s="6">
        <v>2</v>
      </c>
      <c r="F442" s="6">
        <v>23</v>
      </c>
      <c r="G442" s="6" t="s">
        <v>202</v>
      </c>
      <c r="I442" s="8">
        <v>87.352736041666702</v>
      </c>
      <c r="J442" s="8">
        <v>94.772103819444396</v>
      </c>
      <c r="K442" s="6" t="s">
        <v>29</v>
      </c>
      <c r="L442" s="6" t="s">
        <v>335</v>
      </c>
      <c r="M442" s="9">
        <v>43864</v>
      </c>
      <c r="O442" s="6">
        <v>19</v>
      </c>
      <c r="P442" s="6" t="s">
        <v>4322</v>
      </c>
      <c r="S442" s="6">
        <v>90</v>
      </c>
      <c r="T442" s="6">
        <v>100</v>
      </c>
      <c r="U442" s="10">
        <f t="shared" si="12"/>
        <v>95</v>
      </c>
      <c r="W442" s="8">
        <v>-0.20142290408313307</v>
      </c>
      <c r="X442" s="8">
        <v>2.8271606445313357E-2</v>
      </c>
      <c r="Y442" s="8">
        <f t="shared" si="13"/>
        <v>1.639654839110378</v>
      </c>
    </row>
    <row r="443" spans="1:25" s="6" customFormat="1" x14ac:dyDescent="0.35">
      <c r="A443" s="6" t="s">
        <v>25</v>
      </c>
      <c r="B443" s="7"/>
      <c r="D443" s="6" t="s">
        <v>1006</v>
      </c>
      <c r="E443" s="6">
        <v>2</v>
      </c>
      <c r="F443" s="6">
        <v>23</v>
      </c>
      <c r="G443" s="6" t="s">
        <v>202</v>
      </c>
      <c r="I443" s="8">
        <v>87.352736041666702</v>
      </c>
      <c r="J443" s="8">
        <v>94.772103819444396</v>
      </c>
      <c r="K443" s="6" t="s">
        <v>29</v>
      </c>
      <c r="L443" s="6" t="s">
        <v>335</v>
      </c>
      <c r="M443" s="9">
        <v>43864</v>
      </c>
      <c r="O443" s="6">
        <v>19</v>
      </c>
      <c r="P443" s="6" t="s">
        <v>4322</v>
      </c>
      <c r="S443" s="6">
        <v>100</v>
      </c>
      <c r="T443" s="6">
        <v>110</v>
      </c>
      <c r="U443" s="10">
        <f t="shared" si="12"/>
        <v>105</v>
      </c>
      <c r="W443" s="8">
        <v>-0.32342076054275021</v>
      </c>
      <c r="X443" s="8">
        <v>-1.8306960084915158</v>
      </c>
      <c r="Y443" s="8">
        <f t="shared" si="13"/>
        <v>0.75667007585048585</v>
      </c>
    </row>
    <row r="444" spans="1:25" s="6" customFormat="1" x14ac:dyDescent="0.35">
      <c r="A444" s="6" t="s">
        <v>25</v>
      </c>
      <c r="B444" s="7"/>
      <c r="D444" s="6" t="s">
        <v>1007</v>
      </c>
      <c r="E444" s="6">
        <v>2</v>
      </c>
      <c r="F444" s="6">
        <v>23</v>
      </c>
      <c r="G444" s="6" t="s">
        <v>202</v>
      </c>
      <c r="I444" s="8">
        <v>87.352736041666702</v>
      </c>
      <c r="J444" s="8">
        <v>94.772103819444396</v>
      </c>
      <c r="K444" s="6" t="s">
        <v>29</v>
      </c>
      <c r="L444" s="6" t="s">
        <v>335</v>
      </c>
      <c r="M444" s="9">
        <v>43864</v>
      </c>
      <c r="O444" s="6">
        <v>19</v>
      </c>
      <c r="P444" s="6" t="s">
        <v>4322</v>
      </c>
      <c r="S444" s="6">
        <v>110</v>
      </c>
      <c r="T444" s="6">
        <v>123</v>
      </c>
      <c r="U444" s="10">
        <f t="shared" si="12"/>
        <v>116.5</v>
      </c>
      <c r="W444" s="8">
        <v>-0.41478046254873308</v>
      </c>
      <c r="X444" s="8">
        <v>-2.1286814935684193</v>
      </c>
      <c r="Y444" s="8">
        <f t="shared" si="13"/>
        <v>1.1895622068214453</v>
      </c>
    </row>
    <row r="445" spans="1:25" s="6" customFormat="1" x14ac:dyDescent="0.35">
      <c r="A445" s="6" t="s">
        <v>25</v>
      </c>
      <c r="B445" s="7"/>
      <c r="D445" s="6" t="s">
        <v>1025</v>
      </c>
      <c r="E445" s="6">
        <v>2</v>
      </c>
      <c r="F445" s="6">
        <v>23</v>
      </c>
      <c r="G445" s="6" t="s">
        <v>272</v>
      </c>
      <c r="I445" s="8">
        <v>87.641897638888906</v>
      </c>
      <c r="J445" s="8">
        <v>93.798568611111094</v>
      </c>
      <c r="K445" s="6" t="s">
        <v>29</v>
      </c>
      <c r="L445" s="6" t="s">
        <v>546</v>
      </c>
      <c r="M445" s="9">
        <v>43868</v>
      </c>
      <c r="O445" s="6">
        <v>19</v>
      </c>
      <c r="P445" s="6" t="s">
        <v>4277</v>
      </c>
      <c r="S445" s="6">
        <v>0</v>
      </c>
      <c r="T445" s="6">
        <v>10</v>
      </c>
      <c r="U445" s="10">
        <f t="shared" si="12"/>
        <v>5</v>
      </c>
      <c r="W445" s="8">
        <v>-8.2839884165573139</v>
      </c>
      <c r="X445" s="8">
        <v>-62.350342659759519</v>
      </c>
      <c r="Y445" s="8">
        <f t="shared" si="13"/>
        <v>3.9215646726989917</v>
      </c>
    </row>
    <row r="446" spans="1:25" s="6" customFormat="1" x14ac:dyDescent="0.35">
      <c r="A446" s="6" t="s">
        <v>25</v>
      </c>
      <c r="B446" s="7"/>
      <c r="D446" s="6" t="s">
        <v>1026</v>
      </c>
      <c r="E446" s="6">
        <v>2</v>
      </c>
      <c r="F446" s="6">
        <v>23</v>
      </c>
      <c r="G446" s="6" t="s">
        <v>272</v>
      </c>
      <c r="I446" s="8">
        <v>87.641897638888906</v>
      </c>
      <c r="J446" s="8">
        <v>93.798568611111094</v>
      </c>
      <c r="K446" s="6" t="s">
        <v>29</v>
      </c>
      <c r="L446" s="6" t="s">
        <v>546</v>
      </c>
      <c r="M446" s="9">
        <v>43868</v>
      </c>
      <c r="O446" s="6">
        <v>19</v>
      </c>
      <c r="P446" s="6" t="s">
        <v>4277</v>
      </c>
      <c r="S446" s="6">
        <v>80</v>
      </c>
      <c r="T446" s="6">
        <v>90</v>
      </c>
      <c r="U446" s="10">
        <f t="shared" si="12"/>
        <v>85</v>
      </c>
      <c r="W446" s="8">
        <v>-5.2689900830983773E-2</v>
      </c>
      <c r="X446" s="8">
        <v>0.21771564903259294</v>
      </c>
      <c r="Y446" s="8">
        <f t="shared" si="13"/>
        <v>0.63923485568046312</v>
      </c>
    </row>
    <row r="447" spans="1:25" s="6" customFormat="1" x14ac:dyDescent="0.35">
      <c r="A447" s="6" t="s">
        <v>25</v>
      </c>
      <c r="B447" s="7"/>
      <c r="D447" s="6" t="s">
        <v>1027</v>
      </c>
      <c r="E447" s="6">
        <v>2</v>
      </c>
      <c r="F447" s="6">
        <v>23</v>
      </c>
      <c r="G447" s="6" t="s">
        <v>272</v>
      </c>
      <c r="I447" s="8">
        <v>87.641897638888906</v>
      </c>
      <c r="J447" s="8">
        <v>93.798568611111094</v>
      </c>
      <c r="K447" s="6" t="s">
        <v>29</v>
      </c>
      <c r="L447" s="6" t="s">
        <v>546</v>
      </c>
      <c r="M447" s="9">
        <v>43868</v>
      </c>
      <c r="O447" s="6">
        <v>19</v>
      </c>
      <c r="P447" s="6" t="s">
        <v>4277</v>
      </c>
      <c r="S447" s="6">
        <v>90</v>
      </c>
      <c r="T447" s="6">
        <v>101</v>
      </c>
      <c r="U447" s="10">
        <f t="shared" si="12"/>
        <v>95.5</v>
      </c>
      <c r="W447" s="8">
        <v>-0.15245204727411318</v>
      </c>
      <c r="X447" s="8">
        <v>-0.32566341934203996</v>
      </c>
      <c r="Y447" s="8">
        <f t="shared" si="13"/>
        <v>0.89395295885086545</v>
      </c>
    </row>
    <row r="448" spans="1:25" s="6" customFormat="1" x14ac:dyDescent="0.35">
      <c r="A448" s="6" t="s">
        <v>25</v>
      </c>
      <c r="B448" s="7"/>
      <c r="D448" s="6" t="s">
        <v>1028</v>
      </c>
      <c r="E448" s="6">
        <v>2</v>
      </c>
      <c r="F448" s="6">
        <v>23</v>
      </c>
      <c r="G448" s="6" t="s">
        <v>272</v>
      </c>
      <c r="I448" s="8">
        <v>87.641897638888906</v>
      </c>
      <c r="J448" s="8">
        <v>93.798568611111094</v>
      </c>
      <c r="K448" s="6" t="s">
        <v>29</v>
      </c>
      <c r="L448" s="6" t="s">
        <v>546</v>
      </c>
      <c r="M448" s="9">
        <v>43868</v>
      </c>
      <c r="O448" s="6">
        <v>19</v>
      </c>
      <c r="P448" s="6" t="s">
        <v>4277</v>
      </c>
      <c r="S448" s="6">
        <v>101</v>
      </c>
      <c r="T448" s="6">
        <v>112</v>
      </c>
      <c r="U448" s="10">
        <f t="shared" si="12"/>
        <v>106.5</v>
      </c>
      <c r="W448" s="8">
        <v>-0.29087632124185542</v>
      </c>
      <c r="X448" s="8">
        <v>-1.1625821290969842</v>
      </c>
      <c r="Y448" s="8">
        <f t="shared" si="13"/>
        <v>1.1644284408378591</v>
      </c>
    </row>
    <row r="449" spans="1:25" s="6" customFormat="1" x14ac:dyDescent="0.35">
      <c r="A449" s="6" t="s">
        <v>25</v>
      </c>
      <c r="B449" s="7"/>
      <c r="D449" s="6" t="s">
        <v>1029</v>
      </c>
      <c r="E449" s="6">
        <v>2</v>
      </c>
      <c r="F449" s="6">
        <v>23</v>
      </c>
      <c r="G449" s="6" t="s">
        <v>272</v>
      </c>
      <c r="I449" s="8">
        <v>87.641897638888906</v>
      </c>
      <c r="J449" s="8">
        <v>93.798568611111094</v>
      </c>
      <c r="K449" s="6" t="s">
        <v>29</v>
      </c>
      <c r="L449" s="6" t="s">
        <v>546</v>
      </c>
      <c r="M449" s="9">
        <v>43868</v>
      </c>
      <c r="O449" s="6">
        <v>19</v>
      </c>
      <c r="P449" s="6" t="s">
        <v>4277</v>
      </c>
      <c r="S449" s="6">
        <v>112</v>
      </c>
      <c r="T449" s="6">
        <v>125</v>
      </c>
      <c r="U449" s="10">
        <f t="shared" si="12"/>
        <v>118.5</v>
      </c>
      <c r="W449" s="8">
        <v>-0.22160692952632899</v>
      </c>
      <c r="X449" s="8">
        <v>-1.0696690011978138</v>
      </c>
      <c r="Y449" s="8">
        <f t="shared" si="13"/>
        <v>0.70318643501281808</v>
      </c>
    </row>
    <row r="450" spans="1:25" s="6" customFormat="1" x14ac:dyDescent="0.35">
      <c r="A450" s="6" t="s">
        <v>25</v>
      </c>
      <c r="B450" s="7"/>
      <c r="D450" s="6" t="s">
        <v>1032</v>
      </c>
      <c r="E450" s="6">
        <v>2</v>
      </c>
      <c r="F450" s="6">
        <v>24</v>
      </c>
      <c r="G450" s="6" t="s">
        <v>57</v>
      </c>
      <c r="I450" s="8">
        <v>87.882876180555598</v>
      </c>
      <c r="J450" s="8">
        <v>87.424340833333304</v>
      </c>
      <c r="K450" s="6" t="s">
        <v>29</v>
      </c>
      <c r="L450" s="6" t="s">
        <v>335</v>
      </c>
      <c r="M450" s="9">
        <v>43873</v>
      </c>
      <c r="O450" s="6">
        <v>20</v>
      </c>
      <c r="P450" s="6" t="s">
        <v>4313</v>
      </c>
      <c r="S450" s="6">
        <v>0</v>
      </c>
      <c r="T450" s="6">
        <v>10</v>
      </c>
      <c r="U450" s="10">
        <f t="shared" ref="U450:U513" si="14">AVERAGE(S450:T450)</f>
        <v>5</v>
      </c>
      <c r="W450" s="8">
        <v>-5.4637184638023379</v>
      </c>
      <c r="X450" s="8">
        <v>-40.748498699188232</v>
      </c>
      <c r="Y450" s="8">
        <f t="shared" ref="Y450:Y513" si="15">X450-(8*W450)</f>
        <v>2.9612490112304712</v>
      </c>
    </row>
    <row r="451" spans="1:25" s="6" customFormat="1" x14ac:dyDescent="0.35">
      <c r="A451" s="6" t="s">
        <v>25</v>
      </c>
      <c r="B451" s="7"/>
      <c r="D451" s="6" t="s">
        <v>1033</v>
      </c>
      <c r="E451" s="6">
        <v>2</v>
      </c>
      <c r="F451" s="6">
        <v>24</v>
      </c>
      <c r="G451" s="6" t="s">
        <v>57</v>
      </c>
      <c r="I451" s="8">
        <v>87.882876180555598</v>
      </c>
      <c r="J451" s="8">
        <v>87.424340833333304</v>
      </c>
      <c r="K451" s="6" t="s">
        <v>29</v>
      </c>
      <c r="L451" s="6" t="s">
        <v>335</v>
      </c>
      <c r="M451" s="9">
        <v>43873</v>
      </c>
      <c r="O451" s="6">
        <v>20</v>
      </c>
      <c r="P451" s="6" t="s">
        <v>4313</v>
      </c>
      <c r="S451" s="6">
        <v>10</v>
      </c>
      <c r="T451" s="6">
        <v>20</v>
      </c>
      <c r="U451" s="10">
        <f t="shared" si="14"/>
        <v>15</v>
      </c>
      <c r="W451" s="8">
        <v>-5.3723876899719247</v>
      </c>
      <c r="X451" s="8">
        <v>-39.438279579162597</v>
      </c>
      <c r="Y451" s="8">
        <f t="shared" si="15"/>
        <v>3.5408219406128012</v>
      </c>
    </row>
    <row r="452" spans="1:25" s="6" customFormat="1" x14ac:dyDescent="0.35">
      <c r="A452" s="6" t="s">
        <v>25</v>
      </c>
      <c r="B452" s="7"/>
      <c r="D452" s="6" t="s">
        <v>1034</v>
      </c>
      <c r="E452" s="6">
        <v>2</v>
      </c>
      <c r="F452" s="6">
        <v>24</v>
      </c>
      <c r="G452" s="6" t="s">
        <v>57</v>
      </c>
      <c r="I452" s="8">
        <v>87.882876180555598</v>
      </c>
      <c r="J452" s="8">
        <v>87.424340833333304</v>
      </c>
      <c r="K452" s="6" t="s">
        <v>29</v>
      </c>
      <c r="L452" s="6" t="s">
        <v>335</v>
      </c>
      <c r="M452" s="9">
        <v>43873</v>
      </c>
      <c r="O452" s="6">
        <v>20</v>
      </c>
      <c r="P452" s="6" t="s">
        <v>4313</v>
      </c>
      <c r="S452" s="6">
        <v>20</v>
      </c>
      <c r="T452" s="6">
        <v>30</v>
      </c>
      <c r="U452" s="10">
        <f t="shared" si="14"/>
        <v>25</v>
      </c>
      <c r="W452" s="8">
        <v>-4.9581703180313124</v>
      </c>
      <c r="X452" s="8">
        <v>-36.462531391143798</v>
      </c>
      <c r="Y452" s="8">
        <f t="shared" si="15"/>
        <v>3.2028311531067004</v>
      </c>
    </row>
    <row r="453" spans="1:25" s="6" customFormat="1" x14ac:dyDescent="0.35">
      <c r="A453" s="6" t="s">
        <v>25</v>
      </c>
      <c r="B453" s="7"/>
      <c r="D453" s="6" t="s">
        <v>1035</v>
      </c>
      <c r="E453" s="6">
        <v>2</v>
      </c>
      <c r="F453" s="6">
        <v>24</v>
      </c>
      <c r="G453" s="6" t="s">
        <v>57</v>
      </c>
      <c r="I453" s="8">
        <v>87.882876180555598</v>
      </c>
      <c r="J453" s="8">
        <v>87.424340833333304</v>
      </c>
      <c r="K453" s="6" t="s">
        <v>29</v>
      </c>
      <c r="L453" s="6" t="s">
        <v>335</v>
      </c>
      <c r="M453" s="9">
        <v>43873</v>
      </c>
      <c r="O453" s="6">
        <v>20</v>
      </c>
      <c r="P453" s="6" t="s">
        <v>4313</v>
      </c>
      <c r="S453" s="6">
        <v>30</v>
      </c>
      <c r="T453" s="6">
        <v>40</v>
      </c>
      <c r="U453" s="10">
        <f t="shared" si="14"/>
        <v>35</v>
      </c>
      <c r="W453" s="8">
        <v>-2.2879010695457462</v>
      </c>
      <c r="X453" s="8">
        <v>-15.772565730094909</v>
      </c>
      <c r="Y453" s="8">
        <f t="shared" si="15"/>
        <v>2.5306428262710607</v>
      </c>
    </row>
    <row r="454" spans="1:25" s="6" customFormat="1" x14ac:dyDescent="0.35">
      <c r="A454" s="6" t="s">
        <v>25</v>
      </c>
      <c r="B454" s="7"/>
      <c r="D454" s="6" t="s">
        <v>1036</v>
      </c>
      <c r="E454" s="6">
        <v>2</v>
      </c>
      <c r="F454" s="6">
        <v>24</v>
      </c>
      <c r="G454" s="6" t="s">
        <v>57</v>
      </c>
      <c r="I454" s="8">
        <v>87.882876180555598</v>
      </c>
      <c r="J454" s="8">
        <v>87.424340833333304</v>
      </c>
      <c r="K454" s="6" t="s">
        <v>29</v>
      </c>
      <c r="L454" s="6" t="s">
        <v>335</v>
      </c>
      <c r="M454" s="9">
        <v>43873</v>
      </c>
      <c r="O454" s="6">
        <v>20</v>
      </c>
      <c r="P454" s="6" t="s">
        <v>4313</v>
      </c>
      <c r="S454" s="6">
        <v>40</v>
      </c>
      <c r="T454" s="6">
        <v>50</v>
      </c>
      <c r="U454" s="10">
        <f t="shared" si="14"/>
        <v>45</v>
      </c>
      <c r="W454" s="8">
        <v>-8.0059761419892184E-2</v>
      </c>
      <c r="X454" s="8">
        <v>0.9889536995887761</v>
      </c>
      <c r="Y454" s="8">
        <f t="shared" si="15"/>
        <v>1.6294317909479137</v>
      </c>
    </row>
    <row r="455" spans="1:25" s="6" customFormat="1" x14ac:dyDescent="0.35">
      <c r="A455" s="6" t="s">
        <v>25</v>
      </c>
      <c r="B455" s="7"/>
      <c r="D455" s="6" t="s">
        <v>1037</v>
      </c>
      <c r="E455" s="6">
        <v>2</v>
      </c>
      <c r="F455" s="6">
        <v>24</v>
      </c>
      <c r="G455" s="6" t="s">
        <v>57</v>
      </c>
      <c r="I455" s="8">
        <v>87.882876180555598</v>
      </c>
      <c r="J455" s="8">
        <v>87.424340833333304</v>
      </c>
      <c r="K455" s="6" t="s">
        <v>29</v>
      </c>
      <c r="L455" s="6" t="s">
        <v>335</v>
      </c>
      <c r="M455" s="9">
        <v>43873</v>
      </c>
      <c r="O455" s="6">
        <v>20</v>
      </c>
      <c r="P455" s="6" t="s">
        <v>4313</v>
      </c>
      <c r="S455" s="6">
        <v>50</v>
      </c>
      <c r="T455" s="6">
        <v>60</v>
      </c>
      <c r="U455" s="10">
        <f t="shared" si="14"/>
        <v>55</v>
      </c>
      <c r="W455" s="8">
        <v>-1.1282316088914868</v>
      </c>
      <c r="X455" s="8">
        <v>-7.2170530686378473</v>
      </c>
      <c r="Y455" s="8">
        <f t="shared" si="15"/>
        <v>1.8087998024940468</v>
      </c>
    </row>
    <row r="456" spans="1:25" s="6" customFormat="1" x14ac:dyDescent="0.35">
      <c r="A456" s="6" t="s">
        <v>25</v>
      </c>
      <c r="B456" s="7"/>
      <c r="D456" s="6" t="s">
        <v>1038</v>
      </c>
      <c r="E456" s="6">
        <v>2</v>
      </c>
      <c r="F456" s="6">
        <v>24</v>
      </c>
      <c r="G456" s="6" t="s">
        <v>57</v>
      </c>
      <c r="I456" s="8">
        <v>87.882876180555598</v>
      </c>
      <c r="J456" s="8">
        <v>87.424340833333304</v>
      </c>
      <c r="K456" s="6" t="s">
        <v>29</v>
      </c>
      <c r="L456" s="6" t="s">
        <v>335</v>
      </c>
      <c r="M456" s="9">
        <v>43873</v>
      </c>
      <c r="O456" s="6">
        <v>20</v>
      </c>
      <c r="P456" s="6" t="s">
        <v>4313</v>
      </c>
      <c r="S456" s="6">
        <v>60</v>
      </c>
      <c r="T456" s="6">
        <v>70</v>
      </c>
      <c r="U456" s="10">
        <f t="shared" si="14"/>
        <v>65</v>
      </c>
      <c r="W456" s="8">
        <v>-1.8100962054967877</v>
      </c>
      <c r="X456" s="8">
        <v>-12.521655733585357</v>
      </c>
      <c r="Y456" s="8">
        <f t="shared" si="15"/>
        <v>1.959113910388945</v>
      </c>
    </row>
    <row r="457" spans="1:25" s="6" customFormat="1" x14ac:dyDescent="0.35">
      <c r="A457" s="6" t="s">
        <v>25</v>
      </c>
      <c r="B457" s="7"/>
      <c r="D457" s="6" t="s">
        <v>1039</v>
      </c>
      <c r="E457" s="6">
        <v>2</v>
      </c>
      <c r="F457" s="6">
        <v>24</v>
      </c>
      <c r="G457" s="6" t="s">
        <v>57</v>
      </c>
      <c r="I457" s="8">
        <v>87.882876180555598</v>
      </c>
      <c r="J457" s="8">
        <v>87.424340833333304</v>
      </c>
      <c r="K457" s="6" t="s">
        <v>29</v>
      </c>
      <c r="L457" s="6" t="s">
        <v>335</v>
      </c>
      <c r="M457" s="9">
        <v>43873</v>
      </c>
      <c r="O457" s="6">
        <v>20</v>
      </c>
      <c r="P457" s="6" t="s">
        <v>4313</v>
      </c>
      <c r="S457" s="6">
        <v>70</v>
      </c>
      <c r="T457" s="6">
        <v>80</v>
      </c>
      <c r="U457" s="10">
        <f t="shared" si="14"/>
        <v>75</v>
      </c>
      <c r="W457" s="8">
        <v>-2.0624162268877035</v>
      </c>
      <c r="X457" s="8">
        <v>-14.417769087791443</v>
      </c>
      <c r="Y457" s="8">
        <f t="shared" si="15"/>
        <v>2.081560727310185</v>
      </c>
    </row>
    <row r="458" spans="1:25" s="6" customFormat="1" x14ac:dyDescent="0.35">
      <c r="A458" s="6" t="s">
        <v>25</v>
      </c>
      <c r="B458" s="7"/>
      <c r="D458" s="6" t="s">
        <v>1040</v>
      </c>
      <c r="E458" s="6">
        <v>2</v>
      </c>
      <c r="F458" s="6">
        <v>24</v>
      </c>
      <c r="G458" s="6" t="s">
        <v>57</v>
      </c>
      <c r="I458" s="8">
        <v>87.882876180555598</v>
      </c>
      <c r="J458" s="8">
        <v>87.424340833333304</v>
      </c>
      <c r="K458" s="6" t="s">
        <v>29</v>
      </c>
      <c r="L458" s="6" t="s">
        <v>335</v>
      </c>
      <c r="M458" s="9">
        <v>43873</v>
      </c>
      <c r="O458" s="6">
        <v>20</v>
      </c>
      <c r="P458" s="6" t="s">
        <v>4313</v>
      </c>
      <c r="S458" s="6">
        <v>80</v>
      </c>
      <c r="T458" s="6">
        <v>90</v>
      </c>
      <c r="U458" s="10">
        <f t="shared" si="14"/>
        <v>85</v>
      </c>
      <c r="W458" s="8">
        <v>-2.258458653116227</v>
      </c>
      <c r="X458" s="8">
        <v>-16.161119523048402</v>
      </c>
      <c r="Y458" s="8">
        <f t="shared" si="15"/>
        <v>1.9065497018814135</v>
      </c>
    </row>
    <row r="459" spans="1:25" s="6" customFormat="1" x14ac:dyDescent="0.35">
      <c r="A459" s="6" t="s">
        <v>25</v>
      </c>
      <c r="B459" s="7"/>
      <c r="D459" s="6" t="s">
        <v>1041</v>
      </c>
      <c r="E459" s="6">
        <v>2</v>
      </c>
      <c r="F459" s="6">
        <v>24</v>
      </c>
      <c r="G459" s="6" t="s">
        <v>57</v>
      </c>
      <c r="I459" s="8">
        <v>87.882876180555598</v>
      </c>
      <c r="J459" s="8">
        <v>87.424340833333304</v>
      </c>
      <c r="K459" s="6" t="s">
        <v>29</v>
      </c>
      <c r="L459" s="6" t="s">
        <v>335</v>
      </c>
      <c r="M459" s="9">
        <v>43873</v>
      </c>
      <c r="O459" s="6">
        <v>20</v>
      </c>
      <c r="P459" s="6" t="s">
        <v>4313</v>
      </c>
      <c r="S459" s="6">
        <v>90</v>
      </c>
      <c r="T459" s="6">
        <v>100</v>
      </c>
      <c r="U459" s="10">
        <f t="shared" si="14"/>
        <v>95</v>
      </c>
      <c r="W459" s="8">
        <v>-2.7109361499786382</v>
      </c>
      <c r="X459" s="8">
        <v>-19.41132661628723</v>
      </c>
      <c r="Y459" s="8">
        <f t="shared" si="15"/>
        <v>2.2761625835418755</v>
      </c>
    </row>
    <row r="460" spans="1:25" s="6" customFormat="1" x14ac:dyDescent="0.35">
      <c r="A460" s="6" t="s">
        <v>25</v>
      </c>
      <c r="B460" s="7"/>
      <c r="D460" s="6" t="s">
        <v>1042</v>
      </c>
      <c r="E460" s="6">
        <v>2</v>
      </c>
      <c r="F460" s="6">
        <v>24</v>
      </c>
      <c r="G460" s="6" t="s">
        <v>57</v>
      </c>
      <c r="I460" s="8">
        <v>87.882876180555598</v>
      </c>
      <c r="J460" s="8">
        <v>87.424340833333304</v>
      </c>
      <c r="K460" s="6" t="s">
        <v>29</v>
      </c>
      <c r="L460" s="6" t="s">
        <v>335</v>
      </c>
      <c r="M460" s="9">
        <v>43873</v>
      </c>
      <c r="O460" s="6">
        <v>20</v>
      </c>
      <c r="P460" s="6" t="s">
        <v>4313</v>
      </c>
      <c r="S460" s="6">
        <v>100</v>
      </c>
      <c r="T460" s="6">
        <v>110</v>
      </c>
      <c r="U460" s="10">
        <f t="shared" si="14"/>
        <v>105</v>
      </c>
      <c r="W460" s="8">
        <v>-2.4440305334329606</v>
      </c>
      <c r="X460" s="8">
        <v>-18.12322619152069</v>
      </c>
      <c r="Y460" s="8">
        <f t="shared" si="15"/>
        <v>1.4290180759429951</v>
      </c>
    </row>
    <row r="461" spans="1:25" s="6" customFormat="1" x14ac:dyDescent="0.35">
      <c r="A461" s="6" t="s">
        <v>25</v>
      </c>
      <c r="B461" s="7"/>
      <c r="D461" s="6" t="s">
        <v>1043</v>
      </c>
      <c r="E461" s="6">
        <v>2</v>
      </c>
      <c r="F461" s="6">
        <v>24</v>
      </c>
      <c r="G461" s="6" t="s">
        <v>57</v>
      </c>
      <c r="I461" s="8">
        <v>87.882876180555598</v>
      </c>
      <c r="J461" s="8">
        <v>87.424340833333304</v>
      </c>
      <c r="K461" s="6" t="s">
        <v>29</v>
      </c>
      <c r="L461" s="6" t="s">
        <v>335</v>
      </c>
      <c r="M461" s="9">
        <v>43873</v>
      </c>
      <c r="O461" s="6">
        <v>20</v>
      </c>
      <c r="P461" s="6" t="s">
        <v>4313</v>
      </c>
      <c r="S461" s="6">
        <v>110</v>
      </c>
      <c r="T461" s="6">
        <v>120</v>
      </c>
      <c r="U461" s="10">
        <f t="shared" si="14"/>
        <v>115</v>
      </c>
      <c r="W461" s="8">
        <v>-1.9852638870716091</v>
      </c>
      <c r="X461" s="8">
        <v>-13.908218500137329</v>
      </c>
      <c r="Y461" s="8">
        <f t="shared" si="15"/>
        <v>1.9738925964355438</v>
      </c>
    </row>
    <row r="462" spans="1:25" s="6" customFormat="1" x14ac:dyDescent="0.35">
      <c r="A462" s="6" t="s">
        <v>25</v>
      </c>
      <c r="B462" s="7"/>
      <c r="D462" s="6" t="s">
        <v>1044</v>
      </c>
      <c r="E462" s="6">
        <v>2</v>
      </c>
      <c r="F462" s="6">
        <v>24</v>
      </c>
      <c r="G462" s="6" t="s">
        <v>57</v>
      </c>
      <c r="I462" s="8">
        <v>87.882876180555598</v>
      </c>
      <c r="J462" s="8">
        <v>87.424340833333304</v>
      </c>
      <c r="K462" s="6" t="s">
        <v>29</v>
      </c>
      <c r="L462" s="6" t="s">
        <v>335</v>
      </c>
      <c r="M462" s="9">
        <v>43873</v>
      </c>
      <c r="O462" s="6">
        <v>20</v>
      </c>
      <c r="P462" s="6" t="s">
        <v>4313</v>
      </c>
      <c r="S462" s="6">
        <v>120</v>
      </c>
      <c r="T462" s="6">
        <v>130</v>
      </c>
      <c r="U462" s="10">
        <f t="shared" si="14"/>
        <v>125</v>
      </c>
      <c r="W462" s="8">
        <v>-2.3039022780704501</v>
      </c>
      <c r="X462" s="8">
        <v>-17.688337641716004</v>
      </c>
      <c r="Y462" s="8">
        <f t="shared" si="15"/>
        <v>0.74288058284759728</v>
      </c>
    </row>
    <row r="463" spans="1:25" s="6" customFormat="1" x14ac:dyDescent="0.35">
      <c r="A463" s="6" t="s">
        <v>25</v>
      </c>
      <c r="B463" s="7"/>
      <c r="D463" s="6" t="s">
        <v>1045</v>
      </c>
      <c r="E463" s="6">
        <v>2</v>
      </c>
      <c r="F463" s="6">
        <v>24</v>
      </c>
      <c r="G463" s="6" t="s">
        <v>57</v>
      </c>
      <c r="I463" s="8">
        <v>87.882876180555598</v>
      </c>
      <c r="J463" s="8">
        <v>87.424340833333304</v>
      </c>
      <c r="K463" s="6" t="s">
        <v>29</v>
      </c>
      <c r="L463" s="6" t="s">
        <v>335</v>
      </c>
      <c r="M463" s="9">
        <v>43873</v>
      </c>
      <c r="O463" s="6">
        <v>20</v>
      </c>
      <c r="P463" s="6" t="s">
        <v>4313</v>
      </c>
      <c r="S463" s="6">
        <v>130</v>
      </c>
      <c r="T463" s="6">
        <v>140</v>
      </c>
      <c r="U463" s="10">
        <f t="shared" si="14"/>
        <v>135</v>
      </c>
      <c r="W463" s="8">
        <v>-2.1530777877616889</v>
      </c>
      <c r="X463" s="8">
        <v>-16.353836577415464</v>
      </c>
      <c r="Y463" s="8">
        <f t="shared" si="15"/>
        <v>0.87078572467804705</v>
      </c>
    </row>
    <row r="464" spans="1:25" s="6" customFormat="1" x14ac:dyDescent="0.35">
      <c r="A464" s="6" t="s">
        <v>25</v>
      </c>
      <c r="B464" s="7"/>
      <c r="D464" s="6" t="s">
        <v>1046</v>
      </c>
      <c r="E464" s="6">
        <v>2</v>
      </c>
      <c r="F464" s="6">
        <v>24</v>
      </c>
      <c r="G464" s="6" t="s">
        <v>57</v>
      </c>
      <c r="I464" s="8">
        <v>87.882876180555598</v>
      </c>
      <c r="J464" s="8">
        <v>87.424340833333304</v>
      </c>
      <c r="K464" s="6" t="s">
        <v>29</v>
      </c>
      <c r="L464" s="6" t="s">
        <v>335</v>
      </c>
      <c r="M464" s="9">
        <v>43873</v>
      </c>
      <c r="O464" s="6">
        <v>20</v>
      </c>
      <c r="P464" s="6" t="s">
        <v>4313</v>
      </c>
      <c r="S464" s="6">
        <v>140</v>
      </c>
      <c r="T464" s="6">
        <v>150</v>
      </c>
      <c r="U464" s="10">
        <f t="shared" si="14"/>
        <v>145</v>
      </c>
      <c r="W464" s="8">
        <v>-1.4686916290569303</v>
      </c>
      <c r="X464" s="8">
        <v>-11.322493010520935</v>
      </c>
      <c r="Y464" s="8">
        <f t="shared" si="15"/>
        <v>0.42704002193450741</v>
      </c>
    </row>
    <row r="465" spans="1:25" s="6" customFormat="1" x14ac:dyDescent="0.35">
      <c r="A465" s="6" t="s">
        <v>25</v>
      </c>
      <c r="B465" s="7"/>
      <c r="D465" s="6" t="s">
        <v>1047</v>
      </c>
      <c r="E465" s="6">
        <v>2</v>
      </c>
      <c r="F465" s="6">
        <v>24</v>
      </c>
      <c r="G465" s="6" t="s">
        <v>57</v>
      </c>
      <c r="I465" s="8">
        <v>87.882876180555598</v>
      </c>
      <c r="J465" s="8">
        <v>87.424340833333304</v>
      </c>
      <c r="K465" s="6" t="s">
        <v>29</v>
      </c>
      <c r="L465" s="6" t="s">
        <v>335</v>
      </c>
      <c r="M465" s="9">
        <v>43873</v>
      </c>
      <c r="O465" s="6">
        <v>20</v>
      </c>
      <c r="P465" s="6" t="s">
        <v>4313</v>
      </c>
      <c r="S465" s="6">
        <v>150</v>
      </c>
      <c r="T465" s="6">
        <v>160</v>
      </c>
      <c r="U465" s="10">
        <f t="shared" si="14"/>
        <v>155</v>
      </c>
      <c r="W465" s="8">
        <v>-1.2615599197196956</v>
      </c>
      <c r="X465" s="8">
        <v>-9.3571058712005613</v>
      </c>
      <c r="Y465" s="8">
        <f t="shared" si="15"/>
        <v>0.73537348655700363</v>
      </c>
    </row>
    <row r="466" spans="1:25" s="6" customFormat="1" x14ac:dyDescent="0.35">
      <c r="A466" s="6" t="s">
        <v>25</v>
      </c>
      <c r="B466" s="7"/>
      <c r="D466" s="6" t="s">
        <v>1048</v>
      </c>
      <c r="E466" s="6">
        <v>2</v>
      </c>
      <c r="F466" s="6">
        <v>24</v>
      </c>
      <c r="G466" s="6" t="s">
        <v>57</v>
      </c>
      <c r="I466" s="8">
        <v>87.882876180555598</v>
      </c>
      <c r="J466" s="8">
        <v>87.424340833333304</v>
      </c>
      <c r="K466" s="6" t="s">
        <v>29</v>
      </c>
      <c r="L466" s="6" t="s">
        <v>335</v>
      </c>
      <c r="M466" s="9">
        <v>43873</v>
      </c>
      <c r="O466" s="6">
        <v>20</v>
      </c>
      <c r="P466" s="6" t="s">
        <v>4313</v>
      </c>
      <c r="S466" s="6">
        <v>160</v>
      </c>
      <c r="T466" s="6">
        <v>169</v>
      </c>
      <c r="U466" s="10">
        <f t="shared" si="14"/>
        <v>164.5</v>
      </c>
      <c r="W466" s="8">
        <v>-1.0680359788584706</v>
      </c>
      <c r="X466" s="8">
        <v>-7.4261125080585479</v>
      </c>
      <c r="Y466" s="8">
        <f t="shared" si="15"/>
        <v>1.1181753228092166</v>
      </c>
    </row>
    <row r="467" spans="1:25" s="6" customFormat="1" x14ac:dyDescent="0.35">
      <c r="A467" s="6" t="s">
        <v>25</v>
      </c>
      <c r="B467" s="7"/>
      <c r="D467" s="6" t="s">
        <v>1049</v>
      </c>
      <c r="E467" s="6">
        <v>2</v>
      </c>
      <c r="F467" s="6">
        <v>24</v>
      </c>
      <c r="G467" s="6" t="s">
        <v>57</v>
      </c>
      <c r="I467" s="8">
        <v>87.882876180555598</v>
      </c>
      <c r="J467" s="8">
        <v>87.424340833333304</v>
      </c>
      <c r="K467" s="6" t="s">
        <v>29</v>
      </c>
      <c r="L467" s="6" t="s">
        <v>335</v>
      </c>
      <c r="M467" s="9">
        <v>43873</v>
      </c>
      <c r="O467" s="6">
        <v>20</v>
      </c>
      <c r="P467" s="6" t="s">
        <v>4313</v>
      </c>
      <c r="S467" s="6">
        <v>169</v>
      </c>
      <c r="T467" s="6">
        <v>178</v>
      </c>
      <c r="U467" s="10">
        <f t="shared" si="14"/>
        <v>173.5</v>
      </c>
      <c r="W467" s="8">
        <v>-0.66379213084816979</v>
      </c>
      <c r="X467" s="8">
        <v>-4.3495660486817354</v>
      </c>
      <c r="Y467" s="8">
        <f t="shared" si="15"/>
        <v>0.96077099810362299</v>
      </c>
    </row>
    <row r="468" spans="1:25" s="6" customFormat="1" x14ac:dyDescent="0.35">
      <c r="A468" s="6" t="s">
        <v>25</v>
      </c>
      <c r="B468" s="7"/>
      <c r="D468" s="6" t="s">
        <v>1050</v>
      </c>
      <c r="E468" s="6">
        <v>2</v>
      </c>
      <c r="F468" s="6">
        <v>24</v>
      </c>
      <c r="G468" s="6" t="s">
        <v>57</v>
      </c>
      <c r="I468" s="8">
        <v>87.882876180555598</v>
      </c>
      <c r="J468" s="8">
        <v>87.424340833333304</v>
      </c>
      <c r="K468" s="6" t="s">
        <v>29</v>
      </c>
      <c r="L468" s="6" t="s">
        <v>335</v>
      </c>
      <c r="M468" s="9">
        <v>43873</v>
      </c>
      <c r="O468" s="6">
        <v>20</v>
      </c>
      <c r="P468" s="6" t="s">
        <v>4313</v>
      </c>
      <c r="S468" s="6">
        <v>178</v>
      </c>
      <c r="T468" s="6">
        <v>189</v>
      </c>
      <c r="U468" s="10">
        <f t="shared" si="14"/>
        <v>183.5</v>
      </c>
      <c r="W468" s="8">
        <v>-0.33724904990673077</v>
      </c>
      <c r="X468" s="8">
        <v>-1.9741882770061492</v>
      </c>
      <c r="Y468" s="8">
        <f t="shared" si="15"/>
        <v>0.72380412224769697</v>
      </c>
    </row>
    <row r="469" spans="1:25" s="6" customFormat="1" x14ac:dyDescent="0.35">
      <c r="A469" s="6" t="s">
        <v>25</v>
      </c>
      <c r="B469" s="7"/>
      <c r="D469" s="6" t="s">
        <v>1056</v>
      </c>
      <c r="E469" s="6">
        <v>3</v>
      </c>
      <c r="F469" s="6">
        <v>29</v>
      </c>
      <c r="G469" s="6" t="s">
        <v>60</v>
      </c>
      <c r="I469" s="8">
        <v>88.488842986111095</v>
      </c>
      <c r="J469" s="8">
        <v>40.1770405555556</v>
      </c>
      <c r="K469" s="6" t="s">
        <v>29</v>
      </c>
      <c r="L469" s="6" t="s">
        <v>335</v>
      </c>
      <c r="M469" s="9">
        <v>43887</v>
      </c>
      <c r="O469" s="6">
        <v>22</v>
      </c>
      <c r="P469" s="6" t="s">
        <v>4291</v>
      </c>
      <c r="S469" s="6">
        <v>10</v>
      </c>
      <c r="T469" s="6">
        <v>20</v>
      </c>
      <c r="U469" s="10">
        <f t="shared" si="14"/>
        <v>15</v>
      </c>
      <c r="W469" s="8">
        <v>-0.65039526258945468</v>
      </c>
      <c r="X469" s="8">
        <v>-4.4054381372332578</v>
      </c>
      <c r="Y469" s="8">
        <f t="shared" si="15"/>
        <v>0.79772396348237962</v>
      </c>
    </row>
    <row r="470" spans="1:25" s="6" customFormat="1" x14ac:dyDescent="0.35">
      <c r="A470" s="6" t="s">
        <v>25</v>
      </c>
      <c r="B470" s="7"/>
      <c r="D470" s="6" t="s">
        <v>1057</v>
      </c>
      <c r="E470" s="6">
        <v>3</v>
      </c>
      <c r="F470" s="6">
        <v>29</v>
      </c>
      <c r="G470" s="6" t="s">
        <v>60</v>
      </c>
      <c r="I470" s="8">
        <v>88.488842986111095</v>
      </c>
      <c r="J470" s="8">
        <v>40.1770405555556</v>
      </c>
      <c r="K470" s="6" t="s">
        <v>29</v>
      </c>
      <c r="L470" s="6" t="s">
        <v>335</v>
      </c>
      <c r="M470" s="9">
        <v>43887</v>
      </c>
      <c r="O470" s="6">
        <v>22</v>
      </c>
      <c r="P470" s="6" t="s">
        <v>4291</v>
      </c>
      <c r="S470" s="6">
        <v>20</v>
      </c>
      <c r="T470" s="6">
        <v>30</v>
      </c>
      <c r="U470" s="10">
        <f t="shared" si="14"/>
        <v>25</v>
      </c>
      <c r="W470" s="8">
        <v>-0.68773353791713698</v>
      </c>
      <c r="X470" s="8">
        <v>-5.0344459685087202</v>
      </c>
      <c r="Y470" s="8">
        <f t="shared" si="15"/>
        <v>0.4674223348283757</v>
      </c>
    </row>
    <row r="471" spans="1:25" s="6" customFormat="1" x14ac:dyDescent="0.35">
      <c r="A471" s="6" t="s">
        <v>25</v>
      </c>
      <c r="B471" s="7"/>
      <c r="D471" s="6" t="s">
        <v>1058</v>
      </c>
      <c r="E471" s="6">
        <v>3</v>
      </c>
      <c r="F471" s="6">
        <v>29</v>
      </c>
      <c r="G471" s="6" t="s">
        <v>60</v>
      </c>
      <c r="I471" s="8">
        <v>88.488842986111095</v>
      </c>
      <c r="J471" s="8">
        <v>40.1770405555556</v>
      </c>
      <c r="K471" s="6" t="s">
        <v>29</v>
      </c>
      <c r="L471" s="6" t="s">
        <v>335</v>
      </c>
      <c r="M471" s="9">
        <v>43887</v>
      </c>
      <c r="O471" s="6">
        <v>22</v>
      </c>
      <c r="P471" s="6" t="s">
        <v>4291</v>
      </c>
      <c r="S471" s="6">
        <v>30</v>
      </c>
      <c r="T471" s="6">
        <v>40</v>
      </c>
      <c r="U471" s="10">
        <f t="shared" si="14"/>
        <v>35</v>
      </c>
      <c r="W471" s="8">
        <v>-0.67420627433538416</v>
      </c>
      <c r="X471" s="8">
        <v>-4.1791373779773711</v>
      </c>
      <c r="Y471" s="8">
        <f t="shared" si="15"/>
        <v>1.2145128167057022</v>
      </c>
    </row>
    <row r="472" spans="1:25" s="6" customFormat="1" x14ac:dyDescent="0.35">
      <c r="A472" s="6" t="s">
        <v>25</v>
      </c>
      <c r="B472" s="7"/>
      <c r="D472" s="6" t="s">
        <v>1059</v>
      </c>
      <c r="E472" s="6">
        <v>3</v>
      </c>
      <c r="F472" s="6">
        <v>29</v>
      </c>
      <c r="G472" s="6" t="s">
        <v>60</v>
      </c>
      <c r="I472" s="8">
        <v>88.488842986111095</v>
      </c>
      <c r="J472" s="8">
        <v>40.1770405555556</v>
      </c>
      <c r="K472" s="6" t="s">
        <v>29</v>
      </c>
      <c r="L472" s="6" t="s">
        <v>335</v>
      </c>
      <c r="M472" s="9">
        <v>43887</v>
      </c>
      <c r="O472" s="6">
        <v>22</v>
      </c>
      <c r="P472" s="6" t="s">
        <v>4291</v>
      </c>
      <c r="S472" s="6">
        <v>40</v>
      </c>
      <c r="T472" s="6">
        <v>50</v>
      </c>
      <c r="U472" s="10">
        <f t="shared" si="14"/>
        <v>45</v>
      </c>
      <c r="W472" s="8">
        <v>-0.63367843139648439</v>
      </c>
      <c r="X472" s="8">
        <v>-3.2931472916603082</v>
      </c>
      <c r="Y472" s="8">
        <f t="shared" si="15"/>
        <v>1.7762801595115669</v>
      </c>
    </row>
    <row r="473" spans="1:25" s="6" customFormat="1" x14ac:dyDescent="0.35">
      <c r="A473" s="6" t="s">
        <v>25</v>
      </c>
      <c r="B473" s="7"/>
      <c r="D473" s="6" t="s">
        <v>1060</v>
      </c>
      <c r="E473" s="6">
        <v>3</v>
      </c>
      <c r="F473" s="6">
        <v>29</v>
      </c>
      <c r="G473" s="6" t="s">
        <v>60</v>
      </c>
      <c r="I473" s="8">
        <v>88.488842986111095</v>
      </c>
      <c r="J473" s="8">
        <v>40.1770405555556</v>
      </c>
      <c r="K473" s="6" t="s">
        <v>29</v>
      </c>
      <c r="L473" s="6" t="s">
        <v>335</v>
      </c>
      <c r="M473" s="9">
        <v>43887</v>
      </c>
      <c r="O473" s="6">
        <v>22</v>
      </c>
      <c r="P473" s="6" t="s">
        <v>4291</v>
      </c>
      <c r="S473" s="6">
        <v>50</v>
      </c>
      <c r="T473" s="6">
        <v>60</v>
      </c>
      <c r="U473" s="10">
        <f t="shared" si="14"/>
        <v>55</v>
      </c>
      <c r="W473" s="8">
        <v>-0.68108107817173025</v>
      </c>
      <c r="X473" s="8">
        <v>-3.4173203510046006</v>
      </c>
      <c r="Y473" s="8">
        <f t="shared" si="15"/>
        <v>2.0313282743692413</v>
      </c>
    </row>
    <row r="474" spans="1:25" s="6" customFormat="1" x14ac:dyDescent="0.35">
      <c r="A474" s="6" t="s">
        <v>25</v>
      </c>
      <c r="B474" s="7"/>
      <c r="D474" s="6" t="s">
        <v>1061</v>
      </c>
      <c r="E474" s="6">
        <v>3</v>
      </c>
      <c r="F474" s="6">
        <v>29</v>
      </c>
      <c r="G474" s="6" t="s">
        <v>60</v>
      </c>
      <c r="I474" s="8">
        <v>88.488842986111095</v>
      </c>
      <c r="J474" s="8">
        <v>40.1770405555556</v>
      </c>
      <c r="K474" s="6" t="s">
        <v>29</v>
      </c>
      <c r="L474" s="6" t="s">
        <v>335</v>
      </c>
      <c r="M474" s="9">
        <v>43887</v>
      </c>
      <c r="O474" s="6">
        <v>22</v>
      </c>
      <c r="P474" s="6" t="s">
        <v>4291</v>
      </c>
      <c r="S474" s="6">
        <v>60</v>
      </c>
      <c r="T474" s="6">
        <v>70</v>
      </c>
      <c r="U474" s="10">
        <f t="shared" si="14"/>
        <v>65</v>
      </c>
      <c r="W474" s="8">
        <v>-0.57257898491621062</v>
      </c>
      <c r="X474" s="8">
        <v>-3.237758994102478</v>
      </c>
      <c r="Y474" s="8">
        <f t="shared" si="15"/>
        <v>1.3428728852272069</v>
      </c>
    </row>
    <row r="475" spans="1:25" s="6" customFormat="1" x14ac:dyDescent="0.35">
      <c r="A475" s="6" t="s">
        <v>25</v>
      </c>
      <c r="B475" s="7"/>
      <c r="D475" s="6" t="s">
        <v>1062</v>
      </c>
      <c r="E475" s="6">
        <v>3</v>
      </c>
      <c r="F475" s="6">
        <v>29</v>
      </c>
      <c r="G475" s="6" t="s">
        <v>60</v>
      </c>
      <c r="I475" s="8">
        <v>88.488842986111095</v>
      </c>
      <c r="J475" s="8">
        <v>40.1770405555556</v>
      </c>
      <c r="K475" s="6" t="s">
        <v>29</v>
      </c>
      <c r="L475" s="6" t="s">
        <v>335</v>
      </c>
      <c r="M475" s="9">
        <v>43887</v>
      </c>
      <c r="O475" s="6">
        <v>22</v>
      </c>
      <c r="P475" s="6" t="s">
        <v>4291</v>
      </c>
      <c r="S475" s="6">
        <v>70</v>
      </c>
      <c r="T475" s="6">
        <v>80</v>
      </c>
      <c r="U475" s="10">
        <f t="shared" si="14"/>
        <v>75</v>
      </c>
      <c r="W475" s="8">
        <v>2.4022554561496059E-2</v>
      </c>
      <c r="X475" s="8">
        <v>0.92636449575424273</v>
      </c>
      <c r="Y475" s="8">
        <f t="shared" si="15"/>
        <v>0.73418405926227426</v>
      </c>
    </row>
    <row r="476" spans="1:25" s="6" customFormat="1" x14ac:dyDescent="0.35">
      <c r="A476" s="6" t="s">
        <v>25</v>
      </c>
      <c r="B476" s="7"/>
      <c r="D476" s="6" t="s">
        <v>1063</v>
      </c>
      <c r="E476" s="6">
        <v>3</v>
      </c>
      <c r="F476" s="6">
        <v>29</v>
      </c>
      <c r="G476" s="6" t="s">
        <v>60</v>
      </c>
      <c r="I476" s="8">
        <v>88.488842986111095</v>
      </c>
      <c r="J476" s="8">
        <v>40.1770405555556</v>
      </c>
      <c r="K476" s="6" t="s">
        <v>29</v>
      </c>
      <c r="L476" s="6" t="s">
        <v>335</v>
      </c>
      <c r="M476" s="9">
        <v>43887</v>
      </c>
      <c r="O476" s="6">
        <v>22</v>
      </c>
      <c r="P476" s="6" t="s">
        <v>4291</v>
      </c>
      <c r="S476" s="6">
        <v>80</v>
      </c>
      <c r="T476" s="6">
        <v>91</v>
      </c>
      <c r="U476" s="10">
        <f t="shared" si="14"/>
        <v>85.5</v>
      </c>
      <c r="W476" s="8">
        <v>-0.18589999496698439</v>
      </c>
      <c r="X476" s="8">
        <v>-3.6031708717346192E-2</v>
      </c>
      <c r="Y476" s="8">
        <f t="shared" si="15"/>
        <v>1.4511682510185289</v>
      </c>
    </row>
    <row r="477" spans="1:25" s="6" customFormat="1" x14ac:dyDescent="0.35">
      <c r="A477" s="6" t="s">
        <v>25</v>
      </c>
      <c r="B477" s="7"/>
      <c r="D477" s="6" t="s">
        <v>1082</v>
      </c>
      <c r="E477" s="6">
        <v>3</v>
      </c>
      <c r="F477" s="6">
        <v>31</v>
      </c>
      <c r="G477" s="6" t="s">
        <v>179</v>
      </c>
      <c r="I477" s="8">
        <v>87.889566388888895</v>
      </c>
      <c r="J477" s="8">
        <v>24.107920208333301</v>
      </c>
      <c r="K477" s="6" t="s">
        <v>29</v>
      </c>
      <c r="L477" s="6" t="s">
        <v>335</v>
      </c>
      <c r="M477" s="9">
        <v>43899</v>
      </c>
      <c r="O477" s="6">
        <v>24</v>
      </c>
      <c r="P477" s="6" t="s">
        <v>4343</v>
      </c>
      <c r="S477" s="6">
        <v>0</v>
      </c>
      <c r="T477" s="6">
        <v>10</v>
      </c>
      <c r="U477" s="10">
        <f t="shared" si="14"/>
        <v>5</v>
      </c>
      <c r="W477" s="8">
        <v>-2.650490047988892</v>
      </c>
      <c r="X477" s="8">
        <v>-22.38780714035034</v>
      </c>
      <c r="Y477" s="8">
        <f t="shared" si="15"/>
        <v>-1.1838867564392039</v>
      </c>
    </row>
    <row r="478" spans="1:25" s="6" customFormat="1" x14ac:dyDescent="0.35">
      <c r="A478" s="6" t="s">
        <v>25</v>
      </c>
      <c r="B478" s="7"/>
      <c r="D478" s="6" t="s">
        <v>1083</v>
      </c>
      <c r="E478" s="6">
        <v>3</v>
      </c>
      <c r="F478" s="6">
        <v>31</v>
      </c>
      <c r="G478" s="6" t="s">
        <v>179</v>
      </c>
      <c r="I478" s="8">
        <v>87.889566388888895</v>
      </c>
      <c r="J478" s="8">
        <v>24.107920208333301</v>
      </c>
      <c r="K478" s="6" t="s">
        <v>29</v>
      </c>
      <c r="L478" s="6" t="s">
        <v>335</v>
      </c>
      <c r="M478" s="9">
        <v>43899</v>
      </c>
      <c r="O478" s="6">
        <v>24</v>
      </c>
      <c r="P478" s="6" t="s">
        <v>4343</v>
      </c>
      <c r="S478" s="6">
        <v>10</v>
      </c>
      <c r="T478" s="6">
        <v>20</v>
      </c>
      <c r="U478" s="10">
        <f t="shared" si="14"/>
        <v>15</v>
      </c>
      <c r="W478" s="8">
        <v>-2.350683481750488</v>
      </c>
      <c r="X478" s="8">
        <v>-17.73508723258972</v>
      </c>
      <c r="Y478" s="8">
        <f t="shared" si="15"/>
        <v>1.0703806214141842</v>
      </c>
    </row>
    <row r="479" spans="1:25" s="6" customFormat="1" x14ac:dyDescent="0.35">
      <c r="A479" s="6" t="s">
        <v>25</v>
      </c>
      <c r="B479" s="7"/>
      <c r="D479" s="6" t="s">
        <v>1084</v>
      </c>
      <c r="E479" s="6">
        <v>3</v>
      </c>
      <c r="F479" s="6">
        <v>31</v>
      </c>
      <c r="G479" s="6" t="s">
        <v>179</v>
      </c>
      <c r="I479" s="8">
        <v>87.889566388888895</v>
      </c>
      <c r="J479" s="8">
        <v>24.107920208333301</v>
      </c>
      <c r="K479" s="6" t="s">
        <v>29</v>
      </c>
      <c r="L479" s="6" t="s">
        <v>335</v>
      </c>
      <c r="M479" s="9">
        <v>43899</v>
      </c>
      <c r="O479" s="6">
        <v>24</v>
      </c>
      <c r="P479" s="6" t="s">
        <v>4343</v>
      </c>
      <c r="S479" s="6">
        <v>20</v>
      </c>
      <c r="T479" s="6">
        <v>30</v>
      </c>
      <c r="U479" s="10">
        <f t="shared" si="14"/>
        <v>25</v>
      </c>
      <c r="W479" s="8">
        <v>1.0634967728233335</v>
      </c>
      <c r="X479" s="8">
        <v>7.5684173774719232</v>
      </c>
      <c r="Y479" s="8">
        <f t="shared" si="15"/>
        <v>-0.93955680511474515</v>
      </c>
    </row>
    <row r="480" spans="1:25" s="6" customFormat="1" x14ac:dyDescent="0.35">
      <c r="A480" s="6" t="s">
        <v>25</v>
      </c>
      <c r="B480" s="7"/>
      <c r="D480" s="6" t="s">
        <v>1085</v>
      </c>
      <c r="E480" s="6">
        <v>3</v>
      </c>
      <c r="F480" s="6">
        <v>31</v>
      </c>
      <c r="G480" s="6" t="s">
        <v>179</v>
      </c>
      <c r="I480" s="8">
        <v>87.889566388888895</v>
      </c>
      <c r="J480" s="8">
        <v>24.107920208333301</v>
      </c>
      <c r="K480" s="6" t="s">
        <v>29</v>
      </c>
      <c r="L480" s="6" t="s">
        <v>335</v>
      </c>
      <c r="M480" s="9">
        <v>43899</v>
      </c>
      <c r="O480" s="6">
        <v>24</v>
      </c>
      <c r="P480" s="6" t="s">
        <v>4343</v>
      </c>
      <c r="S480" s="6">
        <v>30</v>
      </c>
      <c r="T480" s="6">
        <v>40</v>
      </c>
      <c r="U480" s="10">
        <f t="shared" si="14"/>
        <v>35</v>
      </c>
      <c r="W480" s="8">
        <v>0.93876227622985886</v>
      </c>
      <c r="X480" s="8">
        <v>7.3267961883544919</v>
      </c>
      <c r="Y480" s="8">
        <f t="shared" si="15"/>
        <v>-0.18330202148437902</v>
      </c>
    </row>
    <row r="481" spans="1:25" s="6" customFormat="1" x14ac:dyDescent="0.35">
      <c r="A481" s="6" t="s">
        <v>25</v>
      </c>
      <c r="B481" s="7"/>
      <c r="D481" s="6" t="s">
        <v>1086</v>
      </c>
      <c r="E481" s="6">
        <v>3</v>
      </c>
      <c r="F481" s="6">
        <v>31</v>
      </c>
      <c r="G481" s="6" t="s">
        <v>179</v>
      </c>
      <c r="I481" s="8">
        <v>87.889566388888895</v>
      </c>
      <c r="J481" s="8">
        <v>24.107920208333301</v>
      </c>
      <c r="K481" s="6" t="s">
        <v>29</v>
      </c>
      <c r="L481" s="6" t="s">
        <v>335</v>
      </c>
      <c r="M481" s="9">
        <v>43899</v>
      </c>
      <c r="O481" s="6">
        <v>24</v>
      </c>
      <c r="P481" s="6" t="s">
        <v>4343</v>
      </c>
      <c r="S481" s="6">
        <v>40</v>
      </c>
      <c r="T481" s="6">
        <v>50</v>
      </c>
      <c r="U481" s="10">
        <f t="shared" si="14"/>
        <v>45</v>
      </c>
      <c r="W481" s="8">
        <v>0.75868919569015536</v>
      </c>
      <c r="X481" s="8">
        <v>6.0777644824981687</v>
      </c>
      <c r="Y481" s="8">
        <f t="shared" si="15"/>
        <v>8.250916976925815E-3</v>
      </c>
    </row>
    <row r="482" spans="1:25" s="6" customFormat="1" x14ac:dyDescent="0.35">
      <c r="A482" s="6" t="s">
        <v>25</v>
      </c>
      <c r="B482" s="7"/>
      <c r="D482" s="6" t="s">
        <v>1087</v>
      </c>
      <c r="E482" s="6">
        <v>3</v>
      </c>
      <c r="F482" s="6">
        <v>31</v>
      </c>
      <c r="G482" s="6" t="s">
        <v>179</v>
      </c>
      <c r="I482" s="8">
        <v>87.889566388888895</v>
      </c>
      <c r="J482" s="8">
        <v>24.107920208333301</v>
      </c>
      <c r="K482" s="6" t="s">
        <v>29</v>
      </c>
      <c r="L482" s="6" t="s">
        <v>335</v>
      </c>
      <c r="M482" s="9">
        <v>43899</v>
      </c>
      <c r="O482" s="6">
        <v>24</v>
      </c>
      <c r="P482" s="6" t="s">
        <v>4343</v>
      </c>
      <c r="S482" s="6">
        <v>50</v>
      </c>
      <c r="T482" s="6">
        <v>60</v>
      </c>
      <c r="U482" s="10">
        <f t="shared" si="14"/>
        <v>55</v>
      </c>
      <c r="W482" s="8">
        <v>0.5903148830509185</v>
      </c>
      <c r="X482" s="8">
        <v>5.0329462242126466</v>
      </c>
      <c r="Y482" s="8">
        <f t="shared" si="15"/>
        <v>0.31042715980529856</v>
      </c>
    </row>
    <row r="483" spans="1:25" s="6" customFormat="1" x14ac:dyDescent="0.35">
      <c r="A483" s="6" t="s">
        <v>25</v>
      </c>
      <c r="B483" s="7"/>
      <c r="D483" s="6" t="s">
        <v>1088</v>
      </c>
      <c r="E483" s="6">
        <v>3</v>
      </c>
      <c r="F483" s="6">
        <v>31</v>
      </c>
      <c r="G483" s="6" t="s">
        <v>179</v>
      </c>
      <c r="I483" s="8">
        <v>87.889566388888895</v>
      </c>
      <c r="J483" s="8">
        <v>24.107920208333301</v>
      </c>
      <c r="K483" s="6" t="s">
        <v>29</v>
      </c>
      <c r="L483" s="6" t="s">
        <v>335</v>
      </c>
      <c r="M483" s="9">
        <v>43899</v>
      </c>
      <c r="O483" s="6">
        <v>24</v>
      </c>
      <c r="P483" s="6" t="s">
        <v>4343</v>
      </c>
      <c r="S483" s="6">
        <v>60</v>
      </c>
      <c r="T483" s="6">
        <v>70</v>
      </c>
      <c r="U483" s="10">
        <f t="shared" si="14"/>
        <v>65</v>
      </c>
      <c r="W483" s="8">
        <v>0.38777880984306334</v>
      </c>
      <c r="X483" s="8">
        <v>3.01803915977478</v>
      </c>
      <c r="Y483" s="8">
        <f t="shared" si="15"/>
        <v>-8.4191318969726758E-2</v>
      </c>
    </row>
    <row r="484" spans="1:25" s="6" customFormat="1" x14ac:dyDescent="0.35">
      <c r="A484" s="6" t="s">
        <v>25</v>
      </c>
      <c r="B484" s="7"/>
      <c r="D484" s="6" t="s">
        <v>1089</v>
      </c>
      <c r="E484" s="6">
        <v>3</v>
      </c>
      <c r="F484" s="6">
        <v>31</v>
      </c>
      <c r="G484" s="6" t="s">
        <v>179</v>
      </c>
      <c r="I484" s="8">
        <v>87.889566388888895</v>
      </c>
      <c r="J484" s="8">
        <v>24.107920208333301</v>
      </c>
      <c r="K484" s="6" t="s">
        <v>29</v>
      </c>
      <c r="L484" s="6" t="s">
        <v>335</v>
      </c>
      <c r="M484" s="9">
        <v>43899</v>
      </c>
      <c r="O484" s="6">
        <v>24</v>
      </c>
      <c r="P484" s="6" t="s">
        <v>4343</v>
      </c>
      <c r="S484" s="6">
        <v>70</v>
      </c>
      <c r="T484" s="6">
        <v>80</v>
      </c>
      <c r="U484" s="10">
        <f t="shared" si="14"/>
        <v>75</v>
      </c>
      <c r="W484" s="8">
        <v>6.9874647831919719E-3</v>
      </c>
      <c r="X484" s="8">
        <v>1.261751799583436</v>
      </c>
      <c r="Y484" s="8">
        <f t="shared" si="15"/>
        <v>1.2058520813179001</v>
      </c>
    </row>
    <row r="485" spans="1:25" s="6" customFormat="1" x14ac:dyDescent="0.35">
      <c r="A485" s="6" t="s">
        <v>25</v>
      </c>
      <c r="B485" s="7"/>
      <c r="D485" s="6" t="s">
        <v>1090</v>
      </c>
      <c r="E485" s="6">
        <v>3</v>
      </c>
      <c r="F485" s="6">
        <v>31</v>
      </c>
      <c r="G485" s="6" t="s">
        <v>179</v>
      </c>
      <c r="I485" s="8">
        <v>87.889566388888895</v>
      </c>
      <c r="J485" s="8">
        <v>24.107920208333301</v>
      </c>
      <c r="K485" s="6" t="s">
        <v>29</v>
      </c>
      <c r="L485" s="6" t="s">
        <v>335</v>
      </c>
      <c r="M485" s="9">
        <v>43899</v>
      </c>
      <c r="O485" s="6">
        <v>24</v>
      </c>
      <c r="P485" s="6" t="s">
        <v>4343</v>
      </c>
      <c r="S485" s="6">
        <v>80</v>
      </c>
      <c r="T485" s="6">
        <v>90</v>
      </c>
      <c r="U485" s="10">
        <f t="shared" si="14"/>
        <v>85</v>
      </c>
      <c r="W485" s="8">
        <v>-0.16851114934176184</v>
      </c>
      <c r="X485" s="8">
        <v>-1.2241386938095093</v>
      </c>
      <c r="Y485" s="8">
        <f t="shared" si="15"/>
        <v>0.12395050092458537</v>
      </c>
    </row>
    <row r="486" spans="1:25" s="6" customFormat="1" x14ac:dyDescent="0.35">
      <c r="A486" s="6" t="s">
        <v>25</v>
      </c>
      <c r="B486" s="7"/>
      <c r="D486" s="6" t="s">
        <v>1091</v>
      </c>
      <c r="E486" s="6">
        <v>3</v>
      </c>
      <c r="F486" s="6">
        <v>31</v>
      </c>
      <c r="G486" s="6" t="s">
        <v>179</v>
      </c>
      <c r="I486" s="8">
        <v>87.889566388888895</v>
      </c>
      <c r="J486" s="8">
        <v>24.107920208333301</v>
      </c>
      <c r="K486" s="6" t="s">
        <v>29</v>
      </c>
      <c r="L486" s="6" t="s">
        <v>335</v>
      </c>
      <c r="M486" s="9">
        <v>43899</v>
      </c>
      <c r="O486" s="6">
        <v>24</v>
      </c>
      <c r="P486" s="6" t="s">
        <v>4343</v>
      </c>
      <c r="S486" s="6">
        <v>90</v>
      </c>
      <c r="T486" s="6">
        <v>100</v>
      </c>
      <c r="U486" s="10">
        <f t="shared" si="14"/>
        <v>95</v>
      </c>
      <c r="W486" s="8">
        <v>-0.18290536467969418</v>
      </c>
      <c r="X486" s="8">
        <v>-1.6910398149490355</v>
      </c>
      <c r="Y486" s="8">
        <f t="shared" si="15"/>
        <v>-0.22779689751148213</v>
      </c>
    </row>
    <row r="487" spans="1:25" s="6" customFormat="1" x14ac:dyDescent="0.35">
      <c r="A487" s="6" t="s">
        <v>25</v>
      </c>
      <c r="B487" s="7"/>
      <c r="D487" s="6" t="s">
        <v>1092</v>
      </c>
      <c r="E487" s="6">
        <v>3</v>
      </c>
      <c r="F487" s="6">
        <v>31</v>
      </c>
      <c r="G487" s="6" t="s">
        <v>179</v>
      </c>
      <c r="I487" s="8">
        <v>87.889566388888895</v>
      </c>
      <c r="J487" s="8">
        <v>24.107920208333301</v>
      </c>
      <c r="K487" s="6" t="s">
        <v>29</v>
      </c>
      <c r="L487" s="6" t="s">
        <v>335</v>
      </c>
      <c r="M487" s="9">
        <v>43899</v>
      </c>
      <c r="O487" s="6">
        <v>24</v>
      </c>
      <c r="P487" s="6" t="s">
        <v>4343</v>
      </c>
      <c r="S487" s="6">
        <v>100</v>
      </c>
      <c r="T487" s="6">
        <v>110</v>
      </c>
      <c r="U487" s="10">
        <f t="shared" si="14"/>
        <v>105</v>
      </c>
      <c r="W487" s="8">
        <v>-0.19213146618247021</v>
      </c>
      <c r="X487" s="8">
        <v>-1.2291627168655386</v>
      </c>
      <c r="Y487" s="8">
        <f t="shared" si="15"/>
        <v>0.30788901259422308</v>
      </c>
    </row>
    <row r="488" spans="1:25" s="6" customFormat="1" x14ac:dyDescent="0.35">
      <c r="A488" s="6" t="s">
        <v>25</v>
      </c>
      <c r="B488" s="7"/>
      <c r="D488" s="6" t="s">
        <v>1093</v>
      </c>
      <c r="E488" s="6">
        <v>3</v>
      </c>
      <c r="F488" s="6">
        <v>31</v>
      </c>
      <c r="G488" s="6" t="s">
        <v>179</v>
      </c>
      <c r="I488" s="8">
        <v>87.889566388888895</v>
      </c>
      <c r="J488" s="8">
        <v>24.107920208333301</v>
      </c>
      <c r="K488" s="6" t="s">
        <v>29</v>
      </c>
      <c r="L488" s="6" t="s">
        <v>335</v>
      </c>
      <c r="M488" s="9">
        <v>43899</v>
      </c>
      <c r="O488" s="6">
        <v>24</v>
      </c>
      <c r="P488" s="6" t="s">
        <v>4343</v>
      </c>
      <c r="S488" s="6">
        <v>110</v>
      </c>
      <c r="T488" s="6">
        <v>120</v>
      </c>
      <c r="U488" s="10">
        <f t="shared" si="14"/>
        <v>115</v>
      </c>
      <c r="W488" s="8">
        <v>3.6488798496723381E-2</v>
      </c>
      <c r="X488" s="8">
        <v>0.20135268688201904</v>
      </c>
      <c r="Y488" s="8">
        <f t="shared" si="15"/>
        <v>-9.0557701091768E-2</v>
      </c>
    </row>
    <row r="489" spans="1:25" s="6" customFormat="1" x14ac:dyDescent="0.35">
      <c r="A489" s="6" t="s">
        <v>25</v>
      </c>
      <c r="B489" s="7"/>
      <c r="D489" s="6" t="s">
        <v>1094</v>
      </c>
      <c r="E489" s="6">
        <v>3</v>
      </c>
      <c r="F489" s="6">
        <v>31</v>
      </c>
      <c r="G489" s="6" t="s">
        <v>179</v>
      </c>
      <c r="I489" s="8">
        <v>87.889566388888895</v>
      </c>
      <c r="J489" s="8">
        <v>24.107920208333301</v>
      </c>
      <c r="K489" s="6" t="s">
        <v>29</v>
      </c>
      <c r="L489" s="6" t="s">
        <v>335</v>
      </c>
      <c r="M489" s="9">
        <v>43899</v>
      </c>
      <c r="O489" s="6">
        <v>24</v>
      </c>
      <c r="P489" s="6" t="s">
        <v>4343</v>
      </c>
      <c r="S489" s="6">
        <v>120</v>
      </c>
      <c r="T489" s="6">
        <v>129</v>
      </c>
      <c r="U489" s="10">
        <f t="shared" si="14"/>
        <v>124.5</v>
      </c>
      <c r="W489" s="8">
        <v>0.36857074862480182</v>
      </c>
      <c r="X489" s="8">
        <v>2.5426218986511246</v>
      </c>
      <c r="Y489" s="8">
        <f t="shared" si="15"/>
        <v>-0.40594409034728995</v>
      </c>
    </row>
    <row r="490" spans="1:25" s="6" customFormat="1" x14ac:dyDescent="0.35">
      <c r="A490" s="6" t="s">
        <v>25</v>
      </c>
      <c r="B490" s="7"/>
      <c r="D490" s="6" t="s">
        <v>1097</v>
      </c>
      <c r="E490" s="6">
        <v>3</v>
      </c>
      <c r="F490" s="6">
        <v>31</v>
      </c>
      <c r="G490" s="6" t="s">
        <v>345</v>
      </c>
      <c r="I490" s="8">
        <v>87.660309999999996</v>
      </c>
      <c r="J490" s="8">
        <v>24.286057569444399</v>
      </c>
      <c r="K490" s="6" t="s">
        <v>29</v>
      </c>
      <c r="L490" s="6" t="s">
        <v>335</v>
      </c>
      <c r="M490" s="9">
        <v>43901</v>
      </c>
      <c r="O490" s="6">
        <v>24</v>
      </c>
      <c r="P490" s="6" t="s">
        <v>4345</v>
      </c>
      <c r="S490" s="6">
        <v>0</v>
      </c>
      <c r="T490" s="6">
        <v>10</v>
      </c>
      <c r="U490" s="10">
        <f t="shared" si="14"/>
        <v>5</v>
      </c>
      <c r="W490" s="8">
        <v>0.20864352159500155</v>
      </c>
      <c r="X490" s="8">
        <v>0.55879443454742428</v>
      </c>
      <c r="Y490" s="8">
        <f t="shared" si="15"/>
        <v>-1.1103537382125881</v>
      </c>
    </row>
    <row r="491" spans="1:25" s="6" customFormat="1" x14ac:dyDescent="0.35">
      <c r="A491" s="6" t="s">
        <v>25</v>
      </c>
      <c r="B491" s="7"/>
      <c r="D491" s="6" t="s">
        <v>1098</v>
      </c>
      <c r="E491" s="6">
        <v>3</v>
      </c>
      <c r="F491" s="6">
        <v>31</v>
      </c>
      <c r="G491" s="6" t="s">
        <v>345</v>
      </c>
      <c r="I491" s="8">
        <v>87.660309999999996</v>
      </c>
      <c r="J491" s="8">
        <v>24.286057569444399</v>
      </c>
      <c r="K491" s="6" t="s">
        <v>29</v>
      </c>
      <c r="L491" s="6" t="s">
        <v>335</v>
      </c>
      <c r="M491" s="9">
        <v>43901</v>
      </c>
      <c r="O491" s="6">
        <v>24</v>
      </c>
      <c r="P491" s="6" t="s">
        <v>4345</v>
      </c>
      <c r="S491" s="6">
        <v>10</v>
      </c>
      <c r="T491" s="6">
        <v>20</v>
      </c>
      <c r="U491" s="10">
        <f t="shared" si="14"/>
        <v>15</v>
      </c>
      <c r="W491" s="8">
        <v>1.0891927823305132</v>
      </c>
      <c r="X491" s="8">
        <v>8.5727904262542722</v>
      </c>
      <c r="Y491" s="8">
        <f t="shared" si="15"/>
        <v>-0.14075183238983335</v>
      </c>
    </row>
    <row r="492" spans="1:25" s="6" customFormat="1" x14ac:dyDescent="0.35">
      <c r="A492" s="6" t="s">
        <v>25</v>
      </c>
      <c r="B492" s="7"/>
      <c r="D492" s="6" t="s">
        <v>1099</v>
      </c>
      <c r="E492" s="6">
        <v>3</v>
      </c>
      <c r="F492" s="6">
        <v>31</v>
      </c>
      <c r="G492" s="6" t="s">
        <v>345</v>
      </c>
      <c r="I492" s="8">
        <v>87.660309999999996</v>
      </c>
      <c r="J492" s="8">
        <v>24.286057569444399</v>
      </c>
      <c r="K492" s="6" t="s">
        <v>29</v>
      </c>
      <c r="L492" s="6" t="s">
        <v>335</v>
      </c>
      <c r="M492" s="9">
        <v>43901</v>
      </c>
      <c r="O492" s="6">
        <v>24</v>
      </c>
      <c r="P492" s="6" t="s">
        <v>4345</v>
      </c>
      <c r="S492" s="6">
        <v>10</v>
      </c>
      <c r="T492" s="6">
        <v>20</v>
      </c>
      <c r="U492" s="10">
        <f t="shared" si="14"/>
        <v>15</v>
      </c>
      <c r="W492" s="8">
        <v>7.4468567731976035E-2</v>
      </c>
      <c r="X492" s="8">
        <v>0.96175598430633624</v>
      </c>
      <c r="Y492" s="8">
        <f t="shared" si="15"/>
        <v>0.36600744245052796</v>
      </c>
    </row>
    <row r="493" spans="1:25" s="6" customFormat="1" x14ac:dyDescent="0.35">
      <c r="A493" s="6" t="s">
        <v>25</v>
      </c>
      <c r="B493" s="7"/>
      <c r="D493" s="6" t="s">
        <v>1100</v>
      </c>
      <c r="E493" s="6">
        <v>3</v>
      </c>
      <c r="F493" s="6">
        <v>31</v>
      </c>
      <c r="G493" s="6" t="s">
        <v>345</v>
      </c>
      <c r="I493" s="8">
        <v>87.660309999999996</v>
      </c>
      <c r="J493" s="8">
        <v>24.286057569444399</v>
      </c>
      <c r="K493" s="6" t="s">
        <v>29</v>
      </c>
      <c r="L493" s="6" t="s">
        <v>335</v>
      </c>
      <c r="M493" s="9">
        <v>43901</v>
      </c>
      <c r="O493" s="6">
        <v>24</v>
      </c>
      <c r="P493" s="6" t="s">
        <v>4345</v>
      </c>
      <c r="S493" s="6">
        <v>30</v>
      </c>
      <c r="T493" s="6">
        <v>40</v>
      </c>
      <c r="U493" s="10">
        <f t="shared" si="14"/>
        <v>35</v>
      </c>
      <c r="W493" s="8">
        <v>1.0997318345785143</v>
      </c>
      <c r="X493" s="8">
        <v>8.7355987262725829</v>
      </c>
      <c r="Y493" s="8">
        <f t="shared" si="15"/>
        <v>-6.2255950355531553E-2</v>
      </c>
    </row>
    <row r="494" spans="1:25" s="6" customFormat="1" x14ac:dyDescent="0.35">
      <c r="A494" s="6" t="s">
        <v>25</v>
      </c>
      <c r="B494" s="7"/>
      <c r="D494" s="6" t="s">
        <v>1101</v>
      </c>
      <c r="E494" s="6">
        <v>3</v>
      </c>
      <c r="F494" s="6">
        <v>31</v>
      </c>
      <c r="G494" s="6" t="s">
        <v>345</v>
      </c>
      <c r="I494" s="8">
        <v>87.660309999999996</v>
      </c>
      <c r="J494" s="8">
        <v>24.286057569444399</v>
      </c>
      <c r="K494" s="6" t="s">
        <v>29</v>
      </c>
      <c r="L494" s="6" t="s">
        <v>335</v>
      </c>
      <c r="M494" s="9">
        <v>43901</v>
      </c>
      <c r="O494" s="6">
        <v>24</v>
      </c>
      <c r="P494" s="6" t="s">
        <v>4345</v>
      </c>
      <c r="S494" s="6">
        <v>40</v>
      </c>
      <c r="T494" s="6">
        <v>50</v>
      </c>
      <c r="U494" s="10">
        <f t="shared" si="14"/>
        <v>45</v>
      </c>
      <c r="W494" s="8">
        <v>0.73412617664337121</v>
      </c>
      <c r="X494" s="8">
        <v>6.3765661487579344</v>
      </c>
      <c r="Y494" s="8">
        <f t="shared" si="15"/>
        <v>0.5035567356109647</v>
      </c>
    </row>
    <row r="495" spans="1:25" s="6" customFormat="1" x14ac:dyDescent="0.35">
      <c r="A495" s="6" t="s">
        <v>25</v>
      </c>
      <c r="B495" s="7"/>
      <c r="D495" s="6" t="s">
        <v>1102</v>
      </c>
      <c r="E495" s="6">
        <v>3</v>
      </c>
      <c r="F495" s="6">
        <v>31</v>
      </c>
      <c r="G495" s="6" t="s">
        <v>345</v>
      </c>
      <c r="I495" s="8">
        <v>87.660309999999996</v>
      </c>
      <c r="J495" s="8">
        <v>24.286057569444399</v>
      </c>
      <c r="K495" s="6" t="s">
        <v>29</v>
      </c>
      <c r="L495" s="6" t="s">
        <v>335</v>
      </c>
      <c r="M495" s="9">
        <v>43901</v>
      </c>
      <c r="O495" s="6">
        <v>24</v>
      </c>
      <c r="P495" s="6" t="s">
        <v>4345</v>
      </c>
      <c r="S495" s="6">
        <v>50</v>
      </c>
      <c r="T495" s="6">
        <v>60</v>
      </c>
      <c r="U495" s="10">
        <f t="shared" si="14"/>
        <v>55</v>
      </c>
      <c r="W495" s="8">
        <v>0.86082805000543638</v>
      </c>
      <c r="X495" s="8">
        <v>7.1252879638671871</v>
      </c>
      <c r="Y495" s="8">
        <f t="shared" si="15"/>
        <v>0.23866356382369602</v>
      </c>
    </row>
    <row r="496" spans="1:25" s="6" customFormat="1" x14ac:dyDescent="0.35">
      <c r="A496" s="6" t="s">
        <v>25</v>
      </c>
      <c r="B496" s="7"/>
      <c r="D496" s="6" t="s">
        <v>1103</v>
      </c>
      <c r="E496" s="6">
        <v>3</v>
      </c>
      <c r="F496" s="6">
        <v>31</v>
      </c>
      <c r="G496" s="6" t="s">
        <v>345</v>
      </c>
      <c r="I496" s="8">
        <v>87.660309999999996</v>
      </c>
      <c r="J496" s="8">
        <v>24.286057569444399</v>
      </c>
      <c r="K496" s="6" t="s">
        <v>29</v>
      </c>
      <c r="L496" s="6" t="s">
        <v>335</v>
      </c>
      <c r="M496" s="9">
        <v>43901</v>
      </c>
      <c r="O496" s="6">
        <v>24</v>
      </c>
      <c r="P496" s="6" t="s">
        <v>4345</v>
      </c>
      <c r="S496" s="6">
        <v>60</v>
      </c>
      <c r="T496" s="6">
        <v>70</v>
      </c>
      <c r="U496" s="10">
        <f t="shared" si="14"/>
        <v>65</v>
      </c>
      <c r="W496" s="8">
        <v>0.23349920730590859</v>
      </c>
      <c r="X496" s="8">
        <v>2.2276491756439207</v>
      </c>
      <c r="Y496" s="8">
        <f t="shared" si="15"/>
        <v>0.35965551719665201</v>
      </c>
    </row>
    <row r="497" spans="1:25" s="6" customFormat="1" x14ac:dyDescent="0.35">
      <c r="A497" s="6" t="s">
        <v>25</v>
      </c>
      <c r="B497" s="7"/>
      <c r="D497" s="6" t="s">
        <v>1104</v>
      </c>
      <c r="E497" s="6">
        <v>3</v>
      </c>
      <c r="F497" s="6">
        <v>31</v>
      </c>
      <c r="G497" s="6" t="s">
        <v>345</v>
      </c>
      <c r="I497" s="8">
        <v>87.660309999999996</v>
      </c>
      <c r="J497" s="8">
        <v>24.286057569444399</v>
      </c>
      <c r="K497" s="6" t="s">
        <v>29</v>
      </c>
      <c r="L497" s="6" t="s">
        <v>335</v>
      </c>
      <c r="M497" s="9">
        <v>43901</v>
      </c>
      <c r="O497" s="6">
        <v>24</v>
      </c>
      <c r="P497" s="6" t="s">
        <v>4345</v>
      </c>
      <c r="S497" s="6">
        <v>70</v>
      </c>
      <c r="T497" s="6">
        <v>80</v>
      </c>
      <c r="U497" s="10">
        <f t="shared" si="14"/>
        <v>75</v>
      </c>
      <c r="W497" s="8">
        <v>0.78977252464294412</v>
      </c>
      <c r="X497" s="8">
        <v>6.292278759002687</v>
      </c>
      <c r="Y497" s="8">
        <f t="shared" si="15"/>
        <v>-2.5901438140865984E-2</v>
      </c>
    </row>
    <row r="498" spans="1:25" s="6" customFormat="1" x14ac:dyDescent="0.35">
      <c r="A498" s="6" t="s">
        <v>25</v>
      </c>
      <c r="B498" s="7"/>
      <c r="D498" s="6" t="s">
        <v>1105</v>
      </c>
      <c r="E498" s="6">
        <v>3</v>
      </c>
      <c r="F498" s="6">
        <v>31</v>
      </c>
      <c r="G498" s="6" t="s">
        <v>345</v>
      </c>
      <c r="I498" s="8">
        <v>87.660309999999996</v>
      </c>
      <c r="J498" s="8">
        <v>24.286057569444399</v>
      </c>
      <c r="K498" s="6" t="s">
        <v>29</v>
      </c>
      <c r="L498" s="6" t="s">
        <v>335</v>
      </c>
      <c r="M498" s="9">
        <v>43901</v>
      </c>
      <c r="O498" s="6">
        <v>24</v>
      </c>
      <c r="P498" s="6" t="s">
        <v>4345</v>
      </c>
      <c r="S498" s="6">
        <v>80</v>
      </c>
      <c r="T498" s="6">
        <v>90</v>
      </c>
      <c r="U498" s="10">
        <f t="shared" si="14"/>
        <v>85</v>
      </c>
      <c r="W498" s="8">
        <v>0.12841900651454929</v>
      </c>
      <c r="X498" s="8">
        <v>1.2890728969573984</v>
      </c>
      <c r="Y498" s="8">
        <f t="shared" si="15"/>
        <v>0.261720844841004</v>
      </c>
    </row>
    <row r="499" spans="1:25" s="6" customFormat="1" x14ac:dyDescent="0.35">
      <c r="A499" s="6" t="s">
        <v>25</v>
      </c>
      <c r="B499" s="7"/>
      <c r="D499" s="6" t="s">
        <v>1106</v>
      </c>
      <c r="E499" s="6">
        <v>3</v>
      </c>
      <c r="F499" s="6">
        <v>31</v>
      </c>
      <c r="G499" s="6" t="s">
        <v>345</v>
      </c>
      <c r="I499" s="8">
        <v>87.660309999999996</v>
      </c>
      <c r="J499" s="8">
        <v>24.286057569444399</v>
      </c>
      <c r="K499" s="6" t="s">
        <v>29</v>
      </c>
      <c r="L499" s="6" t="s">
        <v>335</v>
      </c>
      <c r="M499" s="9">
        <v>43901</v>
      </c>
      <c r="O499" s="6">
        <v>24</v>
      </c>
      <c r="P499" s="6" t="s">
        <v>4345</v>
      </c>
      <c r="S499" s="6">
        <v>90</v>
      </c>
      <c r="T499" s="6">
        <v>100</v>
      </c>
      <c r="U499" s="10">
        <f t="shared" si="14"/>
        <v>95</v>
      </c>
      <c r="W499" s="8">
        <v>-2.615671622455093E-2</v>
      </c>
      <c r="X499" s="8">
        <v>0.22220452499389648</v>
      </c>
      <c r="Y499" s="8">
        <f t="shared" si="15"/>
        <v>0.43145825479030392</v>
      </c>
    </row>
    <row r="500" spans="1:25" s="6" customFormat="1" x14ac:dyDescent="0.35">
      <c r="A500" s="6" t="s">
        <v>25</v>
      </c>
      <c r="B500" s="7"/>
      <c r="D500" s="6" t="s">
        <v>1107</v>
      </c>
      <c r="E500" s="6">
        <v>3</v>
      </c>
      <c r="F500" s="6">
        <v>31</v>
      </c>
      <c r="G500" s="6" t="s">
        <v>345</v>
      </c>
      <c r="I500" s="8">
        <v>87.660309999999996</v>
      </c>
      <c r="J500" s="8">
        <v>24.286057569444399</v>
      </c>
      <c r="K500" s="6" t="s">
        <v>29</v>
      </c>
      <c r="L500" s="6" t="s">
        <v>335</v>
      </c>
      <c r="M500" s="9">
        <v>43901</v>
      </c>
      <c r="O500" s="6">
        <v>24</v>
      </c>
      <c r="P500" s="6" t="s">
        <v>4345</v>
      </c>
      <c r="S500" s="6">
        <v>100</v>
      </c>
      <c r="T500" s="6">
        <v>110</v>
      </c>
      <c r="U500" s="10">
        <f t="shared" si="14"/>
        <v>105</v>
      </c>
      <c r="W500" s="8">
        <v>-0.46687172412276268</v>
      </c>
      <c r="X500" s="8">
        <v>-0.92516561269760089</v>
      </c>
      <c r="Y500" s="8">
        <f t="shared" si="15"/>
        <v>2.8098081802845005</v>
      </c>
    </row>
    <row r="501" spans="1:25" s="6" customFormat="1" x14ac:dyDescent="0.35">
      <c r="A501" s="6" t="s">
        <v>25</v>
      </c>
      <c r="B501" s="7"/>
      <c r="D501" s="6" t="s">
        <v>1108</v>
      </c>
      <c r="E501" s="6">
        <v>3</v>
      </c>
      <c r="F501" s="6">
        <v>31</v>
      </c>
      <c r="G501" s="6" t="s">
        <v>345</v>
      </c>
      <c r="I501" s="8">
        <v>87.660309999999996</v>
      </c>
      <c r="J501" s="8">
        <v>24.286057569444399</v>
      </c>
      <c r="K501" s="6" t="s">
        <v>29</v>
      </c>
      <c r="L501" s="6" t="s">
        <v>335</v>
      </c>
      <c r="M501" s="9">
        <v>43901</v>
      </c>
      <c r="O501" s="6">
        <v>24</v>
      </c>
      <c r="P501" s="6" t="s">
        <v>4345</v>
      </c>
      <c r="S501" s="6">
        <v>110</v>
      </c>
      <c r="T501" s="6">
        <v>120</v>
      </c>
      <c r="U501" s="10">
        <f t="shared" si="14"/>
        <v>115</v>
      </c>
      <c r="W501" s="8">
        <v>-0.51880783298015609</v>
      </c>
      <c r="X501" s="8">
        <v>-1.5072049510478971</v>
      </c>
      <c r="Y501" s="8">
        <f t="shared" si="15"/>
        <v>2.6432577127933516</v>
      </c>
    </row>
    <row r="502" spans="1:25" s="6" customFormat="1" x14ac:dyDescent="0.35">
      <c r="A502" s="6" t="s">
        <v>25</v>
      </c>
      <c r="B502" s="7"/>
      <c r="D502" s="6" t="s">
        <v>1109</v>
      </c>
      <c r="E502" s="6">
        <v>3</v>
      </c>
      <c r="F502" s="6">
        <v>31</v>
      </c>
      <c r="G502" s="6" t="s">
        <v>345</v>
      </c>
      <c r="I502" s="8">
        <v>87.660309999999996</v>
      </c>
      <c r="J502" s="8">
        <v>24.286057569444399</v>
      </c>
      <c r="K502" s="6" t="s">
        <v>29</v>
      </c>
      <c r="L502" s="6" t="s">
        <v>335</v>
      </c>
      <c r="M502" s="9">
        <v>43901</v>
      </c>
      <c r="O502" s="6">
        <v>24</v>
      </c>
      <c r="P502" s="6" t="s">
        <v>4345</v>
      </c>
      <c r="S502" s="6">
        <v>120</v>
      </c>
      <c r="T502" s="6">
        <v>130</v>
      </c>
      <c r="U502" s="10">
        <f t="shared" si="14"/>
        <v>125</v>
      </c>
      <c r="W502" s="8">
        <v>-0.30855770452469611</v>
      </c>
      <c r="X502" s="8">
        <v>-1.1270763444900507</v>
      </c>
      <c r="Y502" s="8">
        <f t="shared" si="15"/>
        <v>1.3413852917075182</v>
      </c>
    </row>
    <row r="503" spans="1:25" s="6" customFormat="1" x14ac:dyDescent="0.35">
      <c r="A503" s="6" t="s">
        <v>25</v>
      </c>
      <c r="B503" s="7"/>
      <c r="D503" s="6" t="s">
        <v>1110</v>
      </c>
      <c r="E503" s="6">
        <v>3</v>
      </c>
      <c r="F503" s="6">
        <v>31</v>
      </c>
      <c r="G503" s="6" t="s">
        <v>345</v>
      </c>
      <c r="I503" s="8">
        <v>87.660309999999996</v>
      </c>
      <c r="J503" s="8">
        <v>24.286057569444399</v>
      </c>
      <c r="K503" s="6" t="s">
        <v>29</v>
      </c>
      <c r="L503" s="6" t="s">
        <v>335</v>
      </c>
      <c r="M503" s="9">
        <v>43901</v>
      </c>
      <c r="O503" s="6">
        <v>24</v>
      </c>
      <c r="P503" s="6" t="s">
        <v>4345</v>
      </c>
      <c r="S503" s="6">
        <v>130</v>
      </c>
      <c r="T503" s="6">
        <v>140</v>
      </c>
      <c r="U503" s="10">
        <f t="shared" si="14"/>
        <v>135</v>
      </c>
      <c r="W503" s="8">
        <v>-0.12362726891636845</v>
      </c>
      <c r="X503" s="8">
        <v>1.0824119377136239</v>
      </c>
      <c r="Y503" s="8">
        <f t="shared" si="15"/>
        <v>2.0714300890445716</v>
      </c>
    </row>
    <row r="504" spans="1:25" s="6" customFormat="1" x14ac:dyDescent="0.35">
      <c r="A504" s="6" t="s">
        <v>25</v>
      </c>
      <c r="B504" s="7"/>
      <c r="D504" s="6" t="s">
        <v>1111</v>
      </c>
      <c r="E504" s="6">
        <v>3</v>
      </c>
      <c r="F504" s="6">
        <v>31</v>
      </c>
      <c r="G504" s="6" t="s">
        <v>345</v>
      </c>
      <c r="I504" s="8">
        <v>87.660309999999996</v>
      </c>
      <c r="J504" s="8">
        <v>24.286057569444399</v>
      </c>
      <c r="K504" s="6" t="s">
        <v>29</v>
      </c>
      <c r="L504" s="6" t="s">
        <v>335</v>
      </c>
      <c r="M504" s="9">
        <v>43901</v>
      </c>
      <c r="O504" s="6">
        <v>24</v>
      </c>
      <c r="P504" s="6" t="s">
        <v>4345</v>
      </c>
      <c r="S504" s="6">
        <v>140</v>
      </c>
      <c r="T504" s="6">
        <v>151</v>
      </c>
      <c r="U504" s="10">
        <f t="shared" si="14"/>
        <v>145.5</v>
      </c>
      <c r="W504" s="8">
        <v>0.29681514395475367</v>
      </c>
      <c r="X504" s="8">
        <v>2.998404674530029</v>
      </c>
      <c r="Y504" s="8">
        <f t="shared" si="15"/>
        <v>0.62388352289199966</v>
      </c>
    </row>
    <row r="505" spans="1:25" s="6" customFormat="1" x14ac:dyDescent="0.35">
      <c r="A505" s="6" t="s">
        <v>25</v>
      </c>
      <c r="B505" s="7"/>
      <c r="D505" s="6" t="s">
        <v>1133</v>
      </c>
      <c r="E505" s="6">
        <v>3</v>
      </c>
      <c r="F505" s="6">
        <v>32</v>
      </c>
      <c r="G505" s="6" t="s">
        <v>272</v>
      </c>
      <c r="I505" s="8">
        <v>86.899737916666695</v>
      </c>
      <c r="J505" s="8">
        <v>12.90849375</v>
      </c>
      <c r="K505" s="6" t="s">
        <v>29</v>
      </c>
      <c r="L505" s="6" t="s">
        <v>546</v>
      </c>
      <c r="M505" s="9">
        <v>43906</v>
      </c>
      <c r="O505" s="6">
        <v>25</v>
      </c>
      <c r="P505" s="6" t="s">
        <v>4258</v>
      </c>
      <c r="S505" s="6">
        <v>0</v>
      </c>
      <c r="T505" s="6">
        <v>10</v>
      </c>
      <c r="U505" s="10">
        <f t="shared" si="14"/>
        <v>5</v>
      </c>
      <c r="W505" s="8">
        <v>-6.9670442352294923</v>
      </c>
      <c r="X505" s="8">
        <v>-52.90213577270508</v>
      </c>
      <c r="Y505" s="8">
        <f t="shared" si="15"/>
        <v>2.8342181091308589</v>
      </c>
    </row>
    <row r="506" spans="1:25" s="6" customFormat="1" x14ac:dyDescent="0.35">
      <c r="A506" s="6" t="s">
        <v>25</v>
      </c>
      <c r="B506" s="7"/>
      <c r="D506" s="6" t="s">
        <v>1134</v>
      </c>
      <c r="E506" s="6">
        <v>3</v>
      </c>
      <c r="F506" s="6">
        <v>32</v>
      </c>
      <c r="G506" s="6" t="s">
        <v>272</v>
      </c>
      <c r="I506" s="8">
        <v>86.899737916666695</v>
      </c>
      <c r="J506" s="8">
        <v>12.90849375</v>
      </c>
      <c r="K506" s="6" t="s">
        <v>29</v>
      </c>
      <c r="L506" s="6" t="s">
        <v>546</v>
      </c>
      <c r="M506" s="9">
        <v>43906</v>
      </c>
      <c r="O506" s="6">
        <v>25</v>
      </c>
      <c r="P506" s="6" t="s">
        <v>4258</v>
      </c>
      <c r="S506" s="6">
        <v>10</v>
      </c>
      <c r="T506" s="6">
        <v>20</v>
      </c>
      <c r="U506" s="10">
        <f t="shared" si="14"/>
        <v>15</v>
      </c>
      <c r="W506" s="8">
        <v>-3.8178028335571295</v>
      </c>
      <c r="X506" s="8">
        <v>-28.542946758270261</v>
      </c>
      <c r="Y506" s="8">
        <f t="shared" si="15"/>
        <v>1.9994759101867743</v>
      </c>
    </row>
    <row r="507" spans="1:25" s="6" customFormat="1" x14ac:dyDescent="0.35">
      <c r="A507" s="6" t="s">
        <v>25</v>
      </c>
      <c r="B507" s="7"/>
      <c r="D507" s="6" t="s">
        <v>1135</v>
      </c>
      <c r="E507" s="6">
        <v>3</v>
      </c>
      <c r="F507" s="6">
        <v>32</v>
      </c>
      <c r="G507" s="6" t="s">
        <v>272</v>
      </c>
      <c r="I507" s="8">
        <v>86.899737916666695</v>
      </c>
      <c r="J507" s="8">
        <v>12.90849375</v>
      </c>
      <c r="K507" s="6" t="s">
        <v>29</v>
      </c>
      <c r="L507" s="6" t="s">
        <v>546</v>
      </c>
      <c r="M507" s="9">
        <v>43906</v>
      </c>
      <c r="O507" s="6">
        <v>25</v>
      </c>
      <c r="P507" s="6" t="s">
        <v>4258</v>
      </c>
      <c r="S507" s="6">
        <v>20</v>
      </c>
      <c r="T507" s="6">
        <v>30</v>
      </c>
      <c r="U507" s="10">
        <f t="shared" si="14"/>
        <v>25</v>
      </c>
      <c r="W507" s="8">
        <v>-5.323338012695312</v>
      </c>
      <c r="X507" s="8">
        <v>-39.485479888916018</v>
      </c>
      <c r="Y507" s="8">
        <f t="shared" si="15"/>
        <v>3.1012242126464784</v>
      </c>
    </row>
    <row r="508" spans="1:25" s="6" customFormat="1" x14ac:dyDescent="0.35">
      <c r="A508" s="6" t="s">
        <v>25</v>
      </c>
      <c r="B508" s="7"/>
      <c r="D508" s="6" t="s">
        <v>1136</v>
      </c>
      <c r="E508" s="6">
        <v>3</v>
      </c>
      <c r="F508" s="6">
        <v>32</v>
      </c>
      <c r="G508" s="6" t="s">
        <v>272</v>
      </c>
      <c r="I508" s="8">
        <v>86.899737916666695</v>
      </c>
      <c r="J508" s="8">
        <v>12.90849375</v>
      </c>
      <c r="K508" s="6" t="s">
        <v>29</v>
      </c>
      <c r="L508" s="6" t="s">
        <v>546</v>
      </c>
      <c r="M508" s="9">
        <v>43906</v>
      </c>
      <c r="O508" s="6">
        <v>25</v>
      </c>
      <c r="P508" s="6" t="s">
        <v>4258</v>
      </c>
      <c r="S508" s="6">
        <v>30</v>
      </c>
      <c r="T508" s="6">
        <v>40</v>
      </c>
      <c r="U508" s="10">
        <f t="shared" si="14"/>
        <v>35</v>
      </c>
      <c r="W508" s="8">
        <v>-5.6721097717285156</v>
      </c>
      <c r="X508" s="8">
        <v>-42.324638481140127</v>
      </c>
      <c r="Y508" s="8">
        <f t="shared" si="15"/>
        <v>3.0522396926879978</v>
      </c>
    </row>
    <row r="509" spans="1:25" s="6" customFormat="1" x14ac:dyDescent="0.35">
      <c r="A509" s="6" t="s">
        <v>25</v>
      </c>
      <c r="B509" s="7"/>
      <c r="D509" s="6" t="s">
        <v>1137</v>
      </c>
      <c r="E509" s="6">
        <v>3</v>
      </c>
      <c r="F509" s="6">
        <v>32</v>
      </c>
      <c r="G509" s="6" t="s">
        <v>272</v>
      </c>
      <c r="I509" s="8">
        <v>86.899737916666695</v>
      </c>
      <c r="J509" s="8">
        <v>12.90849375</v>
      </c>
      <c r="K509" s="6" t="s">
        <v>29</v>
      </c>
      <c r="L509" s="6" t="s">
        <v>546</v>
      </c>
      <c r="M509" s="9">
        <v>43906</v>
      </c>
      <c r="O509" s="6">
        <v>25</v>
      </c>
      <c r="P509" s="6" t="s">
        <v>4258</v>
      </c>
      <c r="S509" s="6">
        <v>40</v>
      </c>
      <c r="T509" s="6">
        <v>50</v>
      </c>
      <c r="U509" s="10">
        <f t="shared" si="14"/>
        <v>45</v>
      </c>
      <c r="W509" s="8">
        <v>-5.3407277374267581</v>
      </c>
      <c r="X509" s="8">
        <v>-40.121047019958496</v>
      </c>
      <c r="Y509" s="8">
        <f t="shared" si="15"/>
        <v>2.6047748794555687</v>
      </c>
    </row>
    <row r="510" spans="1:25" s="6" customFormat="1" x14ac:dyDescent="0.35">
      <c r="A510" s="6" t="s">
        <v>25</v>
      </c>
      <c r="B510" s="7"/>
      <c r="D510" s="6" t="s">
        <v>1138</v>
      </c>
      <c r="E510" s="6">
        <v>3</v>
      </c>
      <c r="F510" s="6">
        <v>32</v>
      </c>
      <c r="G510" s="6" t="s">
        <v>272</v>
      </c>
      <c r="I510" s="8">
        <v>86.899737916666695</v>
      </c>
      <c r="J510" s="8">
        <v>12.90849375</v>
      </c>
      <c r="K510" s="6" t="s">
        <v>29</v>
      </c>
      <c r="L510" s="6" t="s">
        <v>546</v>
      </c>
      <c r="M510" s="9">
        <v>43906</v>
      </c>
      <c r="O510" s="6">
        <v>25</v>
      </c>
      <c r="P510" s="6" t="s">
        <v>4258</v>
      </c>
      <c r="S510" s="6">
        <v>50</v>
      </c>
      <c r="T510" s="6">
        <v>60</v>
      </c>
      <c r="U510" s="10">
        <f t="shared" si="14"/>
        <v>55</v>
      </c>
      <c r="W510" s="8">
        <v>-1.0250397270043692</v>
      </c>
      <c r="X510" s="8">
        <v>-7.1063754059076309</v>
      </c>
      <c r="Y510" s="8">
        <f t="shared" si="15"/>
        <v>1.0939424101273225</v>
      </c>
    </row>
    <row r="511" spans="1:25" s="6" customFormat="1" x14ac:dyDescent="0.35">
      <c r="A511" s="6" t="s">
        <v>25</v>
      </c>
      <c r="B511" s="7"/>
      <c r="D511" s="6" t="s">
        <v>1139</v>
      </c>
      <c r="E511" s="6">
        <v>3</v>
      </c>
      <c r="F511" s="6">
        <v>32</v>
      </c>
      <c r="G511" s="6" t="s">
        <v>272</v>
      </c>
      <c r="I511" s="8">
        <v>86.899737916666695</v>
      </c>
      <c r="J511" s="8">
        <v>12.90849375</v>
      </c>
      <c r="K511" s="6" t="s">
        <v>29</v>
      </c>
      <c r="L511" s="6" t="s">
        <v>546</v>
      </c>
      <c r="M511" s="9">
        <v>43906</v>
      </c>
      <c r="O511" s="6">
        <v>25</v>
      </c>
      <c r="P511" s="6" t="s">
        <v>4258</v>
      </c>
      <c r="S511" s="6">
        <v>60</v>
      </c>
      <c r="T511" s="6">
        <v>70</v>
      </c>
      <c r="U511" s="10">
        <f t="shared" si="14"/>
        <v>65</v>
      </c>
      <c r="W511" s="8">
        <v>0.69630065155029297</v>
      </c>
      <c r="X511" s="8">
        <v>6.1190917205810544</v>
      </c>
      <c r="Y511" s="8">
        <f t="shared" si="15"/>
        <v>0.54868650817871067</v>
      </c>
    </row>
    <row r="512" spans="1:25" s="6" customFormat="1" x14ac:dyDescent="0.35">
      <c r="A512" s="6" t="s">
        <v>25</v>
      </c>
      <c r="B512" s="7"/>
      <c r="D512" s="6" t="s">
        <v>1140</v>
      </c>
      <c r="E512" s="6">
        <v>3</v>
      </c>
      <c r="F512" s="6">
        <v>32</v>
      </c>
      <c r="G512" s="6" t="s">
        <v>272</v>
      </c>
      <c r="I512" s="8">
        <v>86.899737916666695</v>
      </c>
      <c r="J512" s="8">
        <v>12.90849375</v>
      </c>
      <c r="K512" s="6" t="s">
        <v>29</v>
      </c>
      <c r="L512" s="6" t="s">
        <v>546</v>
      </c>
      <c r="M512" s="9">
        <v>43906</v>
      </c>
      <c r="O512" s="6">
        <v>25</v>
      </c>
      <c r="P512" s="6" t="s">
        <v>4258</v>
      </c>
      <c r="S512" s="6">
        <v>70</v>
      </c>
      <c r="T512" s="6">
        <v>80</v>
      </c>
      <c r="U512" s="10">
        <f t="shared" si="14"/>
        <v>75</v>
      </c>
      <c r="W512" s="8">
        <v>0.6555852432250977</v>
      </c>
      <c r="X512" s="8">
        <v>5.6912199783325192</v>
      </c>
      <c r="Y512" s="8">
        <f t="shared" si="15"/>
        <v>0.44653803253173763</v>
      </c>
    </row>
    <row r="513" spans="1:25" s="6" customFormat="1" x14ac:dyDescent="0.35">
      <c r="A513" s="6" t="s">
        <v>25</v>
      </c>
      <c r="B513" s="7"/>
      <c r="D513" s="6" t="s">
        <v>1141</v>
      </c>
      <c r="E513" s="6">
        <v>3</v>
      </c>
      <c r="F513" s="6">
        <v>32</v>
      </c>
      <c r="G513" s="6" t="s">
        <v>272</v>
      </c>
      <c r="I513" s="8">
        <v>86.899737916666695</v>
      </c>
      <c r="J513" s="8">
        <v>12.90849375</v>
      </c>
      <c r="K513" s="6" t="s">
        <v>29</v>
      </c>
      <c r="L513" s="6" t="s">
        <v>546</v>
      </c>
      <c r="M513" s="9">
        <v>43906</v>
      </c>
      <c r="O513" s="6">
        <v>25</v>
      </c>
      <c r="P513" s="6" t="s">
        <v>4258</v>
      </c>
      <c r="S513" s="6">
        <v>80</v>
      </c>
      <c r="T513" s="6">
        <v>90</v>
      </c>
      <c r="U513" s="10">
        <f t="shared" si="14"/>
        <v>85</v>
      </c>
      <c r="W513" s="8">
        <v>0.17539463758766694</v>
      </c>
      <c r="X513" s="8">
        <v>2.8426615786552434</v>
      </c>
      <c r="Y513" s="8">
        <f t="shared" si="15"/>
        <v>1.4395044779539079</v>
      </c>
    </row>
    <row r="514" spans="1:25" s="6" customFormat="1" x14ac:dyDescent="0.35">
      <c r="A514" s="6" t="s">
        <v>25</v>
      </c>
      <c r="B514" s="7"/>
      <c r="D514" s="6" t="s">
        <v>1142</v>
      </c>
      <c r="E514" s="6">
        <v>3</v>
      </c>
      <c r="F514" s="6">
        <v>32</v>
      </c>
      <c r="G514" s="6" t="s">
        <v>272</v>
      </c>
      <c r="I514" s="8">
        <v>86.899737916666695</v>
      </c>
      <c r="J514" s="8">
        <v>12.90849375</v>
      </c>
      <c r="K514" s="6" t="s">
        <v>29</v>
      </c>
      <c r="L514" s="6" t="s">
        <v>546</v>
      </c>
      <c r="M514" s="9">
        <v>43906</v>
      </c>
      <c r="O514" s="6">
        <v>25</v>
      </c>
      <c r="P514" s="6" t="s">
        <v>4258</v>
      </c>
      <c r="S514" s="6">
        <v>90</v>
      </c>
      <c r="T514" s="6">
        <v>100</v>
      </c>
      <c r="U514" s="10">
        <f t="shared" ref="U514:U577" si="16">AVERAGE(S514:T514)</f>
        <v>95</v>
      </c>
      <c r="W514" s="8">
        <v>0.10142766168266515</v>
      </c>
      <c r="X514" s="8">
        <v>1.7467783951759337</v>
      </c>
      <c r="Y514" s="8">
        <f t="shared" ref="Y514:Y577" si="17">X514-(8*W514)</f>
        <v>0.9353571017146125</v>
      </c>
    </row>
    <row r="515" spans="1:25" s="6" customFormat="1" x14ac:dyDescent="0.35">
      <c r="A515" s="6" t="s">
        <v>25</v>
      </c>
      <c r="B515" s="7"/>
      <c r="D515" s="6" t="s">
        <v>1143</v>
      </c>
      <c r="E515" s="6">
        <v>3</v>
      </c>
      <c r="F515" s="6">
        <v>32</v>
      </c>
      <c r="G515" s="6" t="s">
        <v>272</v>
      </c>
      <c r="I515" s="8">
        <v>86.899737916666695</v>
      </c>
      <c r="J515" s="8">
        <v>12.90849375</v>
      </c>
      <c r="K515" s="6" t="s">
        <v>29</v>
      </c>
      <c r="L515" s="6" t="s">
        <v>546</v>
      </c>
      <c r="M515" s="9">
        <v>43906</v>
      </c>
      <c r="O515" s="6">
        <v>25</v>
      </c>
      <c r="P515" s="6" t="s">
        <v>4258</v>
      </c>
      <c r="S515" s="6">
        <v>100</v>
      </c>
      <c r="T515" s="6">
        <v>110</v>
      </c>
      <c r="U515" s="10">
        <f t="shared" si="16"/>
        <v>105</v>
      </c>
      <c r="W515" s="8">
        <v>-0.35185461807996044</v>
      </c>
      <c r="X515" s="8">
        <v>-1.1948248004913327</v>
      </c>
      <c r="Y515" s="8">
        <f t="shared" si="17"/>
        <v>1.6200121441483508</v>
      </c>
    </row>
    <row r="516" spans="1:25" s="6" customFormat="1" x14ac:dyDescent="0.35">
      <c r="A516" s="6" t="s">
        <v>25</v>
      </c>
      <c r="B516" s="7"/>
      <c r="D516" s="6" t="s">
        <v>1144</v>
      </c>
      <c r="E516" s="6">
        <v>3</v>
      </c>
      <c r="F516" s="6">
        <v>32</v>
      </c>
      <c r="G516" s="6" t="s">
        <v>272</v>
      </c>
      <c r="I516" s="8">
        <v>86.899737916666695</v>
      </c>
      <c r="J516" s="8">
        <v>12.90849375</v>
      </c>
      <c r="K516" s="6" t="s">
        <v>29</v>
      </c>
      <c r="L516" s="6" t="s">
        <v>546</v>
      </c>
      <c r="M516" s="9">
        <v>43906</v>
      </c>
      <c r="O516" s="6">
        <v>25</v>
      </c>
      <c r="P516" s="6" t="s">
        <v>4258</v>
      </c>
      <c r="S516" s="6">
        <v>110</v>
      </c>
      <c r="T516" s="6">
        <v>120</v>
      </c>
      <c r="U516" s="10">
        <f t="shared" si="16"/>
        <v>115</v>
      </c>
      <c r="W516" s="8">
        <v>-0.29819860434234152</v>
      </c>
      <c r="X516" s="8">
        <v>-1.9293737888336178</v>
      </c>
      <c r="Y516" s="8">
        <f t="shared" si="17"/>
        <v>0.45621504590511441</v>
      </c>
    </row>
    <row r="517" spans="1:25" s="6" customFormat="1" x14ac:dyDescent="0.35">
      <c r="A517" s="6" t="s">
        <v>25</v>
      </c>
      <c r="B517" s="7"/>
      <c r="D517" s="6" t="s">
        <v>1145</v>
      </c>
      <c r="E517" s="6">
        <v>3</v>
      </c>
      <c r="F517" s="6">
        <v>32</v>
      </c>
      <c r="G517" s="6" t="s">
        <v>272</v>
      </c>
      <c r="I517" s="8">
        <v>86.899737916666695</v>
      </c>
      <c r="J517" s="8">
        <v>12.90849375</v>
      </c>
      <c r="K517" s="6" t="s">
        <v>29</v>
      </c>
      <c r="L517" s="6" t="s">
        <v>546</v>
      </c>
      <c r="M517" s="9">
        <v>43906</v>
      </c>
      <c r="O517" s="6">
        <v>25</v>
      </c>
      <c r="P517" s="6" t="s">
        <v>4258</v>
      </c>
      <c r="S517" s="6">
        <v>120</v>
      </c>
      <c r="T517" s="6">
        <v>130</v>
      </c>
      <c r="U517" s="10">
        <f t="shared" si="16"/>
        <v>125</v>
      </c>
      <c r="W517" s="8">
        <v>-0.29500841220915264</v>
      </c>
      <c r="X517" s="8">
        <v>-2.0673928880691519</v>
      </c>
      <c r="Y517" s="8">
        <f t="shared" si="17"/>
        <v>0.29267440960406921</v>
      </c>
    </row>
    <row r="518" spans="1:25" s="6" customFormat="1" x14ac:dyDescent="0.35">
      <c r="A518" s="6" t="s">
        <v>25</v>
      </c>
      <c r="B518" s="7"/>
      <c r="D518" s="6" t="s">
        <v>1146</v>
      </c>
      <c r="E518" s="6">
        <v>3</v>
      </c>
      <c r="F518" s="6">
        <v>32</v>
      </c>
      <c r="G518" s="6" t="s">
        <v>272</v>
      </c>
      <c r="I518" s="8">
        <v>86.899737916666695</v>
      </c>
      <c r="J518" s="8">
        <v>12.90849375</v>
      </c>
      <c r="K518" s="6" t="s">
        <v>29</v>
      </c>
      <c r="L518" s="6" t="s">
        <v>546</v>
      </c>
      <c r="M518" s="9">
        <v>43906</v>
      </c>
      <c r="O518" s="6">
        <v>25</v>
      </c>
      <c r="P518" s="6" t="s">
        <v>4258</v>
      </c>
      <c r="S518" s="6">
        <v>130</v>
      </c>
      <c r="T518" s="6">
        <v>140</v>
      </c>
      <c r="U518" s="10">
        <f t="shared" si="16"/>
        <v>135</v>
      </c>
      <c r="W518" s="8">
        <v>-5.0704918746650417E-2</v>
      </c>
      <c r="X518" s="8">
        <v>0.13569210052490235</v>
      </c>
      <c r="Y518" s="8">
        <f t="shared" si="17"/>
        <v>0.54133145049810572</v>
      </c>
    </row>
    <row r="519" spans="1:25" s="6" customFormat="1" x14ac:dyDescent="0.35">
      <c r="A519" s="6" t="s">
        <v>25</v>
      </c>
      <c r="B519" s="7"/>
      <c r="D519" s="6" t="s">
        <v>1147</v>
      </c>
      <c r="E519" s="6">
        <v>3</v>
      </c>
      <c r="F519" s="6">
        <v>32</v>
      </c>
      <c r="G519" s="6" t="s">
        <v>272</v>
      </c>
      <c r="I519" s="8">
        <v>86.899737916666695</v>
      </c>
      <c r="J519" s="8">
        <v>12.90849375</v>
      </c>
      <c r="K519" s="6" t="s">
        <v>29</v>
      </c>
      <c r="L519" s="6" t="s">
        <v>546</v>
      </c>
      <c r="M519" s="9">
        <v>43906</v>
      </c>
      <c r="O519" s="6">
        <v>25</v>
      </c>
      <c r="P519" s="6" t="s">
        <v>4258</v>
      </c>
      <c r="S519" s="6">
        <v>140</v>
      </c>
      <c r="T519" s="6">
        <v>156</v>
      </c>
      <c r="U519" s="10">
        <f t="shared" si="16"/>
        <v>148</v>
      </c>
      <c r="W519" s="8">
        <v>0.29611659379601485</v>
      </c>
      <c r="X519" s="8">
        <v>2.7463432121276874</v>
      </c>
      <c r="Y519" s="8">
        <f t="shared" si="17"/>
        <v>0.37741046175956861</v>
      </c>
    </row>
    <row r="520" spans="1:25" s="6" customFormat="1" x14ac:dyDescent="0.35">
      <c r="A520" s="6" t="s">
        <v>25</v>
      </c>
      <c r="B520" s="7"/>
      <c r="D520" s="6" t="s">
        <v>1156</v>
      </c>
      <c r="E520" s="6">
        <v>3</v>
      </c>
      <c r="F520" s="6">
        <v>32</v>
      </c>
      <c r="G520" s="6" t="s">
        <v>179</v>
      </c>
      <c r="I520" s="8">
        <v>86.339075833333297</v>
      </c>
      <c r="J520" s="8">
        <v>14.7309175</v>
      </c>
      <c r="K520" s="6" t="s">
        <v>29</v>
      </c>
      <c r="L520" s="6" t="s">
        <v>335</v>
      </c>
      <c r="M520" s="9">
        <v>43910</v>
      </c>
      <c r="O520" s="6">
        <v>25</v>
      </c>
      <c r="P520" s="6" t="s">
        <v>4350</v>
      </c>
      <c r="S520" s="6">
        <v>0</v>
      </c>
      <c r="T520" s="6">
        <v>10</v>
      </c>
      <c r="U520" s="10">
        <f t="shared" si="16"/>
        <v>5</v>
      </c>
      <c r="W520" s="8">
        <v>-1.1990366361856457</v>
      </c>
      <c r="X520" s="8">
        <v>-11.004680786132813</v>
      </c>
      <c r="Y520" s="8">
        <f t="shared" si="17"/>
        <v>-1.412387696647647</v>
      </c>
    </row>
    <row r="521" spans="1:25" s="6" customFormat="1" x14ac:dyDescent="0.35">
      <c r="A521" s="6" t="s">
        <v>25</v>
      </c>
      <c r="B521" s="7"/>
      <c r="D521" s="6" t="s">
        <v>1157</v>
      </c>
      <c r="E521" s="6">
        <v>3</v>
      </c>
      <c r="F521" s="6">
        <v>32</v>
      </c>
      <c r="G521" s="6" t="s">
        <v>179</v>
      </c>
      <c r="I521" s="8">
        <v>86.339075833333297</v>
      </c>
      <c r="J521" s="8">
        <v>14.7309175</v>
      </c>
      <c r="K521" s="6" t="s">
        <v>29</v>
      </c>
      <c r="L521" s="6" t="s">
        <v>335</v>
      </c>
      <c r="M521" s="9">
        <v>43910</v>
      </c>
      <c r="O521" s="6">
        <v>25</v>
      </c>
      <c r="P521" s="6" t="s">
        <v>4350</v>
      </c>
      <c r="S521" s="6">
        <v>10</v>
      </c>
      <c r="T521" s="6">
        <v>20</v>
      </c>
      <c r="U521" s="10">
        <f t="shared" si="16"/>
        <v>15</v>
      </c>
      <c r="W521" s="8">
        <v>-1.7355262325525287</v>
      </c>
      <c r="X521" s="8">
        <v>-12.996820173263549</v>
      </c>
      <c r="Y521" s="8">
        <f t="shared" si="17"/>
        <v>0.88738968715668065</v>
      </c>
    </row>
    <row r="522" spans="1:25" s="6" customFormat="1" x14ac:dyDescent="0.35">
      <c r="A522" s="6" t="s">
        <v>25</v>
      </c>
      <c r="B522" s="7"/>
      <c r="D522" s="6" t="s">
        <v>1158</v>
      </c>
      <c r="E522" s="6">
        <v>3</v>
      </c>
      <c r="F522" s="6">
        <v>32</v>
      </c>
      <c r="G522" s="6" t="s">
        <v>179</v>
      </c>
      <c r="I522" s="8">
        <v>86.339075833333297</v>
      </c>
      <c r="J522" s="8">
        <v>14.7309175</v>
      </c>
      <c r="K522" s="6" t="s">
        <v>29</v>
      </c>
      <c r="L522" s="6" t="s">
        <v>335</v>
      </c>
      <c r="M522" s="9">
        <v>43910</v>
      </c>
      <c r="O522" s="6">
        <v>25</v>
      </c>
      <c r="P522" s="6" t="s">
        <v>4350</v>
      </c>
      <c r="S522" s="6">
        <v>20</v>
      </c>
      <c r="T522" s="6">
        <v>30</v>
      </c>
      <c r="U522" s="10">
        <f t="shared" si="16"/>
        <v>25</v>
      </c>
      <c r="W522" s="8">
        <v>1.2071543639183042</v>
      </c>
      <c r="X522" s="8">
        <v>8.4707979679107659</v>
      </c>
      <c r="Y522" s="8">
        <f t="shared" si="17"/>
        <v>-1.1864369434356679</v>
      </c>
    </row>
    <row r="523" spans="1:25" s="6" customFormat="1" x14ac:dyDescent="0.35">
      <c r="A523" s="6" t="s">
        <v>25</v>
      </c>
      <c r="B523" s="7"/>
      <c r="D523" s="6" t="s">
        <v>1159</v>
      </c>
      <c r="E523" s="6">
        <v>3</v>
      </c>
      <c r="F523" s="6">
        <v>32</v>
      </c>
      <c r="G523" s="6" t="s">
        <v>179</v>
      </c>
      <c r="I523" s="8">
        <v>86.339075833333297</v>
      </c>
      <c r="J523" s="8">
        <v>14.7309175</v>
      </c>
      <c r="K523" s="6" t="s">
        <v>29</v>
      </c>
      <c r="L523" s="6" t="s">
        <v>335</v>
      </c>
      <c r="M523" s="9">
        <v>43910</v>
      </c>
      <c r="O523" s="6">
        <v>25</v>
      </c>
      <c r="P523" s="6" t="s">
        <v>4350</v>
      </c>
      <c r="S523" s="6">
        <v>30</v>
      </c>
      <c r="T523" s="6">
        <v>40</v>
      </c>
      <c r="U523" s="10">
        <f t="shared" si="16"/>
        <v>35</v>
      </c>
      <c r="W523" s="8">
        <v>1.1448928512811665</v>
      </c>
      <c r="X523" s="8">
        <v>8.1813592910766602</v>
      </c>
      <c r="Y523" s="8">
        <f t="shared" si="17"/>
        <v>-0.97778351917267159</v>
      </c>
    </row>
    <row r="524" spans="1:25" s="6" customFormat="1" x14ac:dyDescent="0.35">
      <c r="A524" s="6" t="s">
        <v>25</v>
      </c>
      <c r="B524" s="7"/>
      <c r="D524" s="6" t="s">
        <v>1160</v>
      </c>
      <c r="E524" s="6">
        <v>3</v>
      </c>
      <c r="F524" s="6">
        <v>32</v>
      </c>
      <c r="G524" s="6" t="s">
        <v>179</v>
      </c>
      <c r="I524" s="8">
        <v>86.339075833333297</v>
      </c>
      <c r="J524" s="8">
        <v>14.7309175</v>
      </c>
      <c r="K524" s="6" t="s">
        <v>29</v>
      </c>
      <c r="L524" s="6" t="s">
        <v>335</v>
      </c>
      <c r="M524" s="9">
        <v>43910</v>
      </c>
      <c r="O524" s="6">
        <v>25</v>
      </c>
      <c r="P524" s="6" t="s">
        <v>4350</v>
      </c>
      <c r="S524" s="6">
        <v>40</v>
      </c>
      <c r="T524" s="6">
        <v>50</v>
      </c>
      <c r="U524" s="10">
        <f t="shared" si="16"/>
        <v>45</v>
      </c>
      <c r="W524" s="8">
        <v>0.72382462658882174</v>
      </c>
      <c r="X524" s="8">
        <v>6.2106196193695062</v>
      </c>
      <c r="Y524" s="8">
        <f t="shared" si="17"/>
        <v>0.42002260665893232</v>
      </c>
    </row>
    <row r="525" spans="1:25" s="6" customFormat="1" x14ac:dyDescent="0.35">
      <c r="A525" s="6" t="s">
        <v>25</v>
      </c>
      <c r="B525" s="7"/>
      <c r="D525" s="6" t="s">
        <v>1161</v>
      </c>
      <c r="E525" s="6">
        <v>3</v>
      </c>
      <c r="F525" s="6">
        <v>32</v>
      </c>
      <c r="G525" s="6" t="s">
        <v>179</v>
      </c>
      <c r="I525" s="8">
        <v>86.339075833333297</v>
      </c>
      <c r="J525" s="8">
        <v>14.7309175</v>
      </c>
      <c r="K525" s="6" t="s">
        <v>29</v>
      </c>
      <c r="L525" s="6" t="s">
        <v>335</v>
      </c>
      <c r="M525" s="9">
        <v>43910</v>
      </c>
      <c r="O525" s="6">
        <v>25</v>
      </c>
      <c r="P525" s="6" t="s">
        <v>4350</v>
      </c>
      <c r="S525" s="6">
        <v>50</v>
      </c>
      <c r="T525" s="6">
        <v>60</v>
      </c>
      <c r="U525" s="10">
        <f t="shared" si="16"/>
        <v>55</v>
      </c>
      <c r="W525" s="8">
        <v>0.83004530834555634</v>
      </c>
      <c r="X525" s="8">
        <v>5.9088458089828482</v>
      </c>
      <c r="Y525" s="8">
        <f t="shared" si="17"/>
        <v>-0.73151665778160258</v>
      </c>
    </row>
    <row r="526" spans="1:25" s="6" customFormat="1" x14ac:dyDescent="0.35">
      <c r="A526" s="6" t="s">
        <v>25</v>
      </c>
      <c r="B526" s="7"/>
      <c r="D526" s="6" t="s">
        <v>1162</v>
      </c>
      <c r="E526" s="6">
        <v>3</v>
      </c>
      <c r="F526" s="6">
        <v>32</v>
      </c>
      <c r="G526" s="6" t="s">
        <v>179</v>
      </c>
      <c r="I526" s="8">
        <v>86.339075833333297</v>
      </c>
      <c r="J526" s="8">
        <v>14.7309175</v>
      </c>
      <c r="K526" s="6" t="s">
        <v>29</v>
      </c>
      <c r="L526" s="6" t="s">
        <v>335</v>
      </c>
      <c r="M526" s="9">
        <v>43910</v>
      </c>
      <c r="O526" s="6">
        <v>25</v>
      </c>
      <c r="P526" s="6" t="s">
        <v>4350</v>
      </c>
      <c r="S526" s="6">
        <v>60</v>
      </c>
      <c r="T526" s="6">
        <v>70</v>
      </c>
      <c r="U526" s="10">
        <f t="shared" si="16"/>
        <v>65</v>
      </c>
      <c r="W526" s="8">
        <v>0.64785400735735887</v>
      </c>
      <c r="X526" s="8">
        <v>5.386146012306213</v>
      </c>
      <c r="Y526" s="8">
        <f t="shared" si="17"/>
        <v>0.20331395344734204</v>
      </c>
    </row>
    <row r="527" spans="1:25" s="6" customFormat="1" x14ac:dyDescent="0.35">
      <c r="A527" s="6" t="s">
        <v>25</v>
      </c>
      <c r="B527" s="7"/>
      <c r="D527" s="6" t="s">
        <v>1163</v>
      </c>
      <c r="E527" s="6">
        <v>3</v>
      </c>
      <c r="F527" s="6">
        <v>32</v>
      </c>
      <c r="G527" s="6" t="s">
        <v>179</v>
      </c>
      <c r="I527" s="8">
        <v>86.339075833333297</v>
      </c>
      <c r="J527" s="8">
        <v>14.7309175</v>
      </c>
      <c r="K527" s="6" t="s">
        <v>29</v>
      </c>
      <c r="L527" s="6" t="s">
        <v>335</v>
      </c>
      <c r="M527" s="9">
        <v>43910</v>
      </c>
      <c r="O527" s="6">
        <v>25</v>
      </c>
      <c r="P527" s="6" t="s">
        <v>4350</v>
      </c>
      <c r="S527" s="6">
        <v>70</v>
      </c>
      <c r="T527" s="6">
        <v>80</v>
      </c>
      <c r="U527" s="10">
        <f t="shared" si="16"/>
        <v>75</v>
      </c>
      <c r="W527" s="8">
        <v>0.13323960559964165</v>
      </c>
      <c r="X527" s="8">
        <v>1.2641748571395888</v>
      </c>
      <c r="Y527" s="8">
        <f t="shared" si="17"/>
        <v>0.19825801234245555</v>
      </c>
    </row>
    <row r="528" spans="1:25" s="6" customFormat="1" x14ac:dyDescent="0.35">
      <c r="A528" s="6" t="s">
        <v>25</v>
      </c>
      <c r="B528" s="7"/>
      <c r="D528" s="6" t="s">
        <v>1164</v>
      </c>
      <c r="E528" s="6">
        <v>3</v>
      </c>
      <c r="F528" s="6">
        <v>32</v>
      </c>
      <c r="G528" s="6" t="s">
        <v>179</v>
      </c>
      <c r="I528" s="8">
        <v>86.339075833333297</v>
      </c>
      <c r="J528" s="8">
        <v>14.7309175</v>
      </c>
      <c r="K528" s="6" t="s">
        <v>29</v>
      </c>
      <c r="L528" s="6" t="s">
        <v>335</v>
      </c>
      <c r="M528" s="9">
        <v>43910</v>
      </c>
      <c r="O528" s="6">
        <v>25</v>
      </c>
      <c r="P528" s="6" t="s">
        <v>4350</v>
      </c>
      <c r="S528" s="6">
        <v>80</v>
      </c>
      <c r="T528" s="6">
        <v>90</v>
      </c>
      <c r="U528" s="10">
        <f t="shared" si="16"/>
        <v>85</v>
      </c>
      <c r="W528" s="8">
        <v>-5.1079697566479551E-2</v>
      </c>
      <c r="X528" s="8">
        <v>2.3761900424957239E-2</v>
      </c>
      <c r="Y528" s="8">
        <f t="shared" si="17"/>
        <v>0.43239948095679365</v>
      </c>
    </row>
    <row r="529" spans="1:25" s="6" customFormat="1" x14ac:dyDescent="0.35">
      <c r="A529" s="6" t="s">
        <v>25</v>
      </c>
      <c r="B529" s="7"/>
      <c r="D529" s="6" t="s">
        <v>1165</v>
      </c>
      <c r="E529" s="6">
        <v>3</v>
      </c>
      <c r="F529" s="6">
        <v>32</v>
      </c>
      <c r="G529" s="6" t="s">
        <v>179</v>
      </c>
      <c r="I529" s="8">
        <v>86.339075833333297</v>
      </c>
      <c r="J529" s="8">
        <v>14.7309175</v>
      </c>
      <c r="K529" s="6" t="s">
        <v>29</v>
      </c>
      <c r="L529" s="6" t="s">
        <v>335</v>
      </c>
      <c r="M529" s="9">
        <v>43910</v>
      </c>
      <c r="O529" s="6">
        <v>25</v>
      </c>
      <c r="P529" s="6" t="s">
        <v>4350</v>
      </c>
      <c r="S529" s="6">
        <v>90</v>
      </c>
      <c r="T529" s="6">
        <v>100</v>
      </c>
      <c r="U529" s="10">
        <f t="shared" si="16"/>
        <v>95</v>
      </c>
      <c r="W529" s="8">
        <v>-0.23067807837054155</v>
      </c>
      <c r="X529" s="8">
        <v>-1.6736518390178676</v>
      </c>
      <c r="Y529" s="8">
        <f t="shared" si="17"/>
        <v>0.17177278794646478</v>
      </c>
    </row>
    <row r="530" spans="1:25" s="6" customFormat="1" x14ac:dyDescent="0.35">
      <c r="A530" s="6" t="s">
        <v>25</v>
      </c>
      <c r="B530" s="7"/>
      <c r="D530" s="6" t="s">
        <v>1166</v>
      </c>
      <c r="E530" s="6">
        <v>3</v>
      </c>
      <c r="F530" s="6">
        <v>32</v>
      </c>
      <c r="G530" s="6" t="s">
        <v>179</v>
      </c>
      <c r="I530" s="8">
        <v>86.339075833333297</v>
      </c>
      <c r="J530" s="8">
        <v>14.7309175</v>
      </c>
      <c r="K530" s="6" t="s">
        <v>29</v>
      </c>
      <c r="L530" s="6" t="s">
        <v>335</v>
      </c>
      <c r="M530" s="9">
        <v>43910</v>
      </c>
      <c r="O530" s="6">
        <v>25</v>
      </c>
      <c r="P530" s="6" t="s">
        <v>4350</v>
      </c>
      <c r="S530" s="6">
        <v>100</v>
      </c>
      <c r="T530" s="6">
        <v>110</v>
      </c>
      <c r="U530" s="10">
        <f t="shared" si="16"/>
        <v>105</v>
      </c>
      <c r="W530" s="8">
        <v>-0.40219087224304706</v>
      </c>
      <c r="X530" s="8">
        <v>-2.943660043954849</v>
      </c>
      <c r="Y530" s="8">
        <f t="shared" si="17"/>
        <v>0.27386693398952744</v>
      </c>
    </row>
    <row r="531" spans="1:25" s="6" customFormat="1" x14ac:dyDescent="0.35">
      <c r="A531" s="6" t="s">
        <v>25</v>
      </c>
      <c r="B531" s="7"/>
      <c r="D531" s="6" t="s">
        <v>1167</v>
      </c>
      <c r="E531" s="6">
        <v>3</v>
      </c>
      <c r="F531" s="6">
        <v>32</v>
      </c>
      <c r="G531" s="6" t="s">
        <v>179</v>
      </c>
      <c r="I531" s="8">
        <v>86.339075833333297</v>
      </c>
      <c r="J531" s="8">
        <v>14.7309175</v>
      </c>
      <c r="K531" s="6" t="s">
        <v>29</v>
      </c>
      <c r="L531" s="6" t="s">
        <v>335</v>
      </c>
      <c r="M531" s="9">
        <v>43910</v>
      </c>
      <c r="O531" s="6">
        <v>25</v>
      </c>
      <c r="P531" s="6" t="s">
        <v>4350</v>
      </c>
      <c r="S531" s="6">
        <v>110</v>
      </c>
      <c r="T531" s="6">
        <v>120</v>
      </c>
      <c r="U531" s="10">
        <f t="shared" si="16"/>
        <v>115</v>
      </c>
      <c r="W531" s="8">
        <v>-0.22965508386343708</v>
      </c>
      <c r="X531" s="8">
        <v>-1.8160184276103972</v>
      </c>
      <c r="Y531" s="8">
        <f t="shared" si="17"/>
        <v>2.122224329709943E-2</v>
      </c>
    </row>
    <row r="532" spans="1:25" s="6" customFormat="1" x14ac:dyDescent="0.35">
      <c r="A532" s="6" t="s">
        <v>25</v>
      </c>
      <c r="B532" s="7"/>
      <c r="D532" s="6" t="s">
        <v>1168</v>
      </c>
      <c r="E532" s="6">
        <v>3</v>
      </c>
      <c r="F532" s="6">
        <v>32</v>
      </c>
      <c r="G532" s="6" t="s">
        <v>179</v>
      </c>
      <c r="I532" s="8">
        <v>86.339075833333297</v>
      </c>
      <c r="J532" s="8">
        <v>14.7309175</v>
      </c>
      <c r="K532" s="6" t="s">
        <v>29</v>
      </c>
      <c r="L532" s="6" t="s">
        <v>335</v>
      </c>
      <c r="M532" s="9">
        <v>43910</v>
      </c>
      <c r="O532" s="6">
        <v>25</v>
      </c>
      <c r="P532" s="6" t="s">
        <v>4350</v>
      </c>
      <c r="S532" s="6">
        <v>120</v>
      </c>
      <c r="T532" s="6">
        <v>130</v>
      </c>
      <c r="U532" s="10">
        <f t="shared" si="16"/>
        <v>125</v>
      </c>
      <c r="W532" s="8">
        <v>5.4519687730074255E-2</v>
      </c>
      <c r="X532" s="8">
        <v>0.51826992988586507</v>
      </c>
      <c r="Y532" s="8">
        <f t="shared" si="17"/>
        <v>8.2112428045271024E-2</v>
      </c>
    </row>
    <row r="533" spans="1:25" s="6" customFormat="1" x14ac:dyDescent="0.35">
      <c r="A533" s="6" t="s">
        <v>25</v>
      </c>
      <c r="B533" s="7"/>
      <c r="D533" s="6" t="s">
        <v>1169</v>
      </c>
      <c r="E533" s="6">
        <v>3</v>
      </c>
      <c r="F533" s="6">
        <v>32</v>
      </c>
      <c r="G533" s="6" t="s">
        <v>179</v>
      </c>
      <c r="I533" s="8">
        <v>86.339075833333297</v>
      </c>
      <c r="J533" s="8">
        <v>14.7309175</v>
      </c>
      <c r="K533" s="6" t="s">
        <v>29</v>
      </c>
      <c r="L533" s="6" t="s">
        <v>335</v>
      </c>
      <c r="M533" s="9">
        <v>43910</v>
      </c>
      <c r="O533" s="6">
        <v>25</v>
      </c>
      <c r="P533" s="6" t="s">
        <v>4350</v>
      </c>
      <c r="S533" s="6">
        <v>130</v>
      </c>
      <c r="T533" s="6">
        <v>140</v>
      </c>
      <c r="U533" s="10">
        <f t="shared" si="16"/>
        <v>135</v>
      </c>
      <c r="W533" s="8">
        <v>0.29477364788353438</v>
      </c>
      <c r="X533" s="8">
        <v>1.884349364280701</v>
      </c>
      <c r="Y533" s="8">
        <f t="shared" si="17"/>
        <v>-0.47383981878757409</v>
      </c>
    </row>
    <row r="534" spans="1:25" s="6" customFormat="1" x14ac:dyDescent="0.35">
      <c r="A534" s="6" t="s">
        <v>25</v>
      </c>
      <c r="B534" s="7"/>
      <c r="D534" s="6" t="s">
        <v>1170</v>
      </c>
      <c r="E534" s="6">
        <v>3</v>
      </c>
      <c r="F534" s="6">
        <v>32</v>
      </c>
      <c r="G534" s="6" t="s">
        <v>179</v>
      </c>
      <c r="I534" s="8">
        <v>86.339075833333297</v>
      </c>
      <c r="J534" s="8">
        <v>14.7309175</v>
      </c>
      <c r="K534" s="6" t="s">
        <v>29</v>
      </c>
      <c r="L534" s="6" t="s">
        <v>335</v>
      </c>
      <c r="M534" s="9">
        <v>43910</v>
      </c>
      <c r="O534" s="6">
        <v>25</v>
      </c>
      <c r="P534" s="6" t="s">
        <v>4350</v>
      </c>
      <c r="S534" s="6">
        <v>140</v>
      </c>
      <c r="T534" s="6">
        <v>151</v>
      </c>
      <c r="U534" s="10">
        <f t="shared" si="16"/>
        <v>145.5</v>
      </c>
      <c r="W534" s="8">
        <v>0.40877219026804013</v>
      </c>
      <c r="X534" s="8">
        <v>3.9790455972671506</v>
      </c>
      <c r="Y534" s="8">
        <f t="shared" si="17"/>
        <v>0.70886807512282957</v>
      </c>
    </row>
    <row r="535" spans="1:25" s="6" customFormat="1" x14ac:dyDescent="0.35">
      <c r="A535" s="6" t="s">
        <v>25</v>
      </c>
      <c r="B535" s="7"/>
      <c r="D535" s="6" t="s">
        <v>1175</v>
      </c>
      <c r="E535" s="6">
        <v>3</v>
      </c>
      <c r="F535" s="6">
        <v>32</v>
      </c>
      <c r="G535" s="6" t="s">
        <v>202</v>
      </c>
      <c r="I535" s="8">
        <v>86.257643333333306</v>
      </c>
      <c r="J535" s="8">
        <v>15.261599722222201</v>
      </c>
      <c r="K535" s="6" t="s">
        <v>29</v>
      </c>
      <c r="L535" s="6" t="s">
        <v>335</v>
      </c>
      <c r="M535" s="9">
        <v>43911</v>
      </c>
      <c r="O535" s="6">
        <v>25</v>
      </c>
      <c r="P535" s="6" t="s">
        <v>4351</v>
      </c>
      <c r="S535" s="6">
        <v>0</v>
      </c>
      <c r="T535" s="6">
        <v>5</v>
      </c>
      <c r="U535" s="10">
        <f t="shared" si="16"/>
        <v>2.5</v>
      </c>
      <c r="W535" s="8">
        <v>-5.7094304860687268</v>
      </c>
      <c r="X535" s="8">
        <v>-46.820627160644527</v>
      </c>
      <c r="Y535" s="8">
        <f t="shared" si="17"/>
        <v>-1.1451832720947124</v>
      </c>
    </row>
    <row r="536" spans="1:25" s="6" customFormat="1" x14ac:dyDescent="0.35">
      <c r="A536" s="6" t="s">
        <v>25</v>
      </c>
      <c r="B536" s="7"/>
      <c r="D536" s="6" t="s">
        <v>1176</v>
      </c>
      <c r="E536" s="6">
        <v>3</v>
      </c>
      <c r="F536" s="6">
        <v>32</v>
      </c>
      <c r="G536" s="6" t="s">
        <v>202</v>
      </c>
      <c r="I536" s="8">
        <v>86.257643333333306</v>
      </c>
      <c r="J536" s="8">
        <v>15.261599722222201</v>
      </c>
      <c r="K536" s="6" t="s">
        <v>29</v>
      </c>
      <c r="L536" s="6" t="s">
        <v>335</v>
      </c>
      <c r="M536" s="9">
        <v>43911</v>
      </c>
      <c r="O536" s="6">
        <v>25</v>
      </c>
      <c r="P536" s="6" t="s">
        <v>4351</v>
      </c>
      <c r="S536" s="6">
        <v>5</v>
      </c>
      <c r="T536" s="6">
        <v>10</v>
      </c>
      <c r="U536" s="10">
        <f t="shared" si="16"/>
        <v>7.5</v>
      </c>
      <c r="W536" s="8">
        <v>-3.6289937656974796</v>
      </c>
      <c r="X536" s="8">
        <v>-28.114122972106934</v>
      </c>
      <c r="Y536" s="8">
        <f t="shared" si="17"/>
        <v>0.91782715347290278</v>
      </c>
    </row>
    <row r="537" spans="1:25" s="6" customFormat="1" x14ac:dyDescent="0.35">
      <c r="A537" s="6" t="s">
        <v>25</v>
      </c>
      <c r="B537" s="7"/>
      <c r="D537" s="6" t="s">
        <v>1177</v>
      </c>
      <c r="E537" s="6">
        <v>3</v>
      </c>
      <c r="F537" s="6">
        <v>32</v>
      </c>
      <c r="G537" s="6" t="s">
        <v>202</v>
      </c>
      <c r="I537" s="8">
        <v>86.257643333333306</v>
      </c>
      <c r="J537" s="8">
        <v>15.261599722222201</v>
      </c>
      <c r="K537" s="6" t="s">
        <v>29</v>
      </c>
      <c r="L537" s="6" t="s">
        <v>335</v>
      </c>
      <c r="M537" s="9">
        <v>43911</v>
      </c>
      <c r="O537" s="6">
        <v>25</v>
      </c>
      <c r="P537" s="6" t="s">
        <v>4351</v>
      </c>
      <c r="S537" s="6">
        <v>10</v>
      </c>
      <c r="T537" s="6">
        <v>20</v>
      </c>
      <c r="U537" s="10">
        <f t="shared" si="16"/>
        <v>15</v>
      </c>
      <c r="W537" s="8">
        <v>-3.1004280766105654</v>
      </c>
      <c r="X537" s="8">
        <v>-23.880140153503419</v>
      </c>
      <c r="Y537" s="8">
        <f t="shared" si="17"/>
        <v>0.92328445938110448</v>
      </c>
    </row>
    <row r="538" spans="1:25" s="6" customFormat="1" x14ac:dyDescent="0.35">
      <c r="A538" s="6" t="s">
        <v>25</v>
      </c>
      <c r="B538" s="7"/>
      <c r="D538" s="6" t="s">
        <v>1178</v>
      </c>
      <c r="E538" s="6">
        <v>3</v>
      </c>
      <c r="F538" s="6">
        <v>32</v>
      </c>
      <c r="G538" s="6" t="s">
        <v>202</v>
      </c>
      <c r="I538" s="8">
        <v>86.257643333333306</v>
      </c>
      <c r="J538" s="8">
        <v>15.261599722222201</v>
      </c>
      <c r="K538" s="6" t="s">
        <v>29</v>
      </c>
      <c r="L538" s="6" t="s">
        <v>335</v>
      </c>
      <c r="M538" s="9">
        <v>43911</v>
      </c>
      <c r="O538" s="6">
        <v>25</v>
      </c>
      <c r="P538" s="6" t="s">
        <v>4351</v>
      </c>
      <c r="S538" s="6">
        <v>20</v>
      </c>
      <c r="T538" s="6">
        <v>30</v>
      </c>
      <c r="U538" s="10">
        <f t="shared" si="16"/>
        <v>25</v>
      </c>
      <c r="W538" s="8">
        <v>-0.12551770014375502</v>
      </c>
      <c r="X538" s="8">
        <v>-0.76374363098144515</v>
      </c>
      <c r="Y538" s="8">
        <f t="shared" si="17"/>
        <v>0.24039797016859499</v>
      </c>
    </row>
    <row r="539" spans="1:25" s="6" customFormat="1" x14ac:dyDescent="0.35">
      <c r="A539" s="6" t="s">
        <v>25</v>
      </c>
      <c r="B539" s="7"/>
      <c r="D539" s="6" t="s">
        <v>1179</v>
      </c>
      <c r="E539" s="6">
        <v>3</v>
      </c>
      <c r="F539" s="6">
        <v>32</v>
      </c>
      <c r="G539" s="6" t="s">
        <v>202</v>
      </c>
      <c r="I539" s="8">
        <v>86.257643333333306</v>
      </c>
      <c r="J539" s="8">
        <v>15.261599722222201</v>
      </c>
      <c r="K539" s="6" t="s">
        <v>29</v>
      </c>
      <c r="L539" s="6" t="s">
        <v>335</v>
      </c>
      <c r="M539" s="9">
        <v>43911</v>
      </c>
      <c r="O539" s="6">
        <v>25</v>
      </c>
      <c r="P539" s="6" t="s">
        <v>4351</v>
      </c>
      <c r="S539" s="6">
        <v>30</v>
      </c>
      <c r="T539" s="6">
        <v>40</v>
      </c>
      <c r="U539" s="10">
        <f t="shared" si="16"/>
        <v>35</v>
      </c>
      <c r="W539" s="8">
        <v>0.54360038782596565</v>
      </c>
      <c r="X539" s="8">
        <v>5.1034692329406735</v>
      </c>
      <c r="Y539" s="8">
        <f t="shared" si="17"/>
        <v>0.75466613033294827</v>
      </c>
    </row>
    <row r="540" spans="1:25" s="6" customFormat="1" x14ac:dyDescent="0.35">
      <c r="A540" s="6" t="s">
        <v>25</v>
      </c>
      <c r="B540" s="7"/>
      <c r="D540" s="6" t="s">
        <v>1180</v>
      </c>
      <c r="E540" s="6">
        <v>3</v>
      </c>
      <c r="F540" s="6">
        <v>32</v>
      </c>
      <c r="G540" s="6" t="s">
        <v>202</v>
      </c>
      <c r="I540" s="8">
        <v>86.257643333333306</v>
      </c>
      <c r="J540" s="8">
        <v>15.261599722222201</v>
      </c>
      <c r="K540" s="6" t="s">
        <v>29</v>
      </c>
      <c r="L540" s="6" t="s">
        <v>335</v>
      </c>
      <c r="M540" s="9">
        <v>43911</v>
      </c>
      <c r="O540" s="6">
        <v>25</v>
      </c>
      <c r="P540" s="6" t="s">
        <v>4351</v>
      </c>
      <c r="S540" s="6">
        <v>40</v>
      </c>
      <c r="T540" s="6">
        <v>50</v>
      </c>
      <c r="U540" s="10">
        <f t="shared" si="16"/>
        <v>45</v>
      </c>
      <c r="W540" s="8">
        <v>0.52373118163585675</v>
      </c>
      <c r="X540" s="8">
        <v>4.3535715888977053</v>
      </c>
      <c r="Y540" s="8">
        <f t="shared" si="17"/>
        <v>0.16372213581085138</v>
      </c>
    </row>
    <row r="541" spans="1:25" s="6" customFormat="1" x14ac:dyDescent="0.35">
      <c r="A541" s="6" t="s">
        <v>25</v>
      </c>
      <c r="B541" s="7"/>
      <c r="D541" s="6" t="s">
        <v>1181</v>
      </c>
      <c r="E541" s="6">
        <v>3</v>
      </c>
      <c r="F541" s="6">
        <v>32</v>
      </c>
      <c r="G541" s="6" t="s">
        <v>202</v>
      </c>
      <c r="I541" s="8">
        <v>86.257643333333306</v>
      </c>
      <c r="J541" s="8">
        <v>15.261599722222201</v>
      </c>
      <c r="K541" s="6" t="s">
        <v>29</v>
      </c>
      <c r="L541" s="6" t="s">
        <v>335</v>
      </c>
      <c r="M541" s="9">
        <v>43911</v>
      </c>
      <c r="O541" s="6">
        <v>25</v>
      </c>
      <c r="P541" s="6" t="s">
        <v>4351</v>
      </c>
      <c r="S541" s="6">
        <v>50</v>
      </c>
      <c r="T541" s="6">
        <v>60</v>
      </c>
      <c r="U541" s="10">
        <f t="shared" si="16"/>
        <v>55</v>
      </c>
      <c r="W541" s="8">
        <v>0.66374520386695879</v>
      </c>
      <c r="X541" s="8">
        <v>5.6729800895690916</v>
      </c>
      <c r="Y541" s="8">
        <f t="shared" si="17"/>
        <v>0.3630184586334213</v>
      </c>
    </row>
    <row r="542" spans="1:25" s="6" customFormat="1" x14ac:dyDescent="0.35">
      <c r="A542" s="6" t="s">
        <v>25</v>
      </c>
      <c r="B542" s="7"/>
      <c r="D542" s="6" t="s">
        <v>1182</v>
      </c>
      <c r="E542" s="6">
        <v>3</v>
      </c>
      <c r="F542" s="6">
        <v>32</v>
      </c>
      <c r="G542" s="6" t="s">
        <v>202</v>
      </c>
      <c r="I542" s="8">
        <v>86.257643333333306</v>
      </c>
      <c r="J542" s="8">
        <v>15.261599722222201</v>
      </c>
      <c r="K542" s="6" t="s">
        <v>29</v>
      </c>
      <c r="L542" s="6" t="s">
        <v>335</v>
      </c>
      <c r="M542" s="9">
        <v>43911</v>
      </c>
      <c r="O542" s="6">
        <v>25</v>
      </c>
      <c r="P542" s="6" t="s">
        <v>4351</v>
      </c>
      <c r="S542" s="6">
        <v>60</v>
      </c>
      <c r="T542" s="6">
        <v>70</v>
      </c>
      <c r="U542" s="10">
        <f t="shared" si="16"/>
        <v>65</v>
      </c>
      <c r="W542" s="8">
        <v>0.77928174344301282</v>
      </c>
      <c r="X542" s="8">
        <v>6.1750081443786602</v>
      </c>
      <c r="Y542" s="8">
        <f t="shared" si="17"/>
        <v>-5.9245803165442368E-2</v>
      </c>
    </row>
    <row r="543" spans="1:25" s="6" customFormat="1" x14ac:dyDescent="0.35">
      <c r="A543" s="6" t="s">
        <v>25</v>
      </c>
      <c r="B543" s="7"/>
      <c r="D543" s="6" t="s">
        <v>1183</v>
      </c>
      <c r="E543" s="6">
        <v>3</v>
      </c>
      <c r="F543" s="6">
        <v>32</v>
      </c>
      <c r="G543" s="6" t="s">
        <v>202</v>
      </c>
      <c r="I543" s="8">
        <v>86.257643333333306</v>
      </c>
      <c r="J543" s="8">
        <v>15.261599722222201</v>
      </c>
      <c r="K543" s="6" t="s">
        <v>29</v>
      </c>
      <c r="L543" s="6" t="s">
        <v>335</v>
      </c>
      <c r="M543" s="9">
        <v>43911</v>
      </c>
      <c r="O543" s="6">
        <v>25</v>
      </c>
      <c r="P543" s="6" t="s">
        <v>4351</v>
      </c>
      <c r="S543" s="6">
        <v>70</v>
      </c>
      <c r="T543" s="6">
        <v>80</v>
      </c>
      <c r="U543" s="10">
        <f t="shared" si="16"/>
        <v>75</v>
      </c>
      <c r="W543" s="8">
        <v>0.52617042592763941</v>
      </c>
      <c r="X543" s="8">
        <v>5.1199827289581297</v>
      </c>
      <c r="Y543" s="8">
        <f t="shared" si="17"/>
        <v>0.91061932153701441</v>
      </c>
    </row>
    <row r="544" spans="1:25" s="6" customFormat="1" x14ac:dyDescent="0.35">
      <c r="A544" s="6" t="s">
        <v>25</v>
      </c>
      <c r="B544" s="7"/>
      <c r="D544" s="6" t="s">
        <v>1184</v>
      </c>
      <c r="E544" s="6">
        <v>3</v>
      </c>
      <c r="F544" s="6">
        <v>32</v>
      </c>
      <c r="G544" s="6" t="s">
        <v>202</v>
      </c>
      <c r="I544" s="8">
        <v>86.257643333333306</v>
      </c>
      <c r="J544" s="8">
        <v>15.261599722222201</v>
      </c>
      <c r="K544" s="6" t="s">
        <v>29</v>
      </c>
      <c r="L544" s="6" t="s">
        <v>335</v>
      </c>
      <c r="M544" s="9">
        <v>43911</v>
      </c>
      <c r="O544" s="6">
        <v>25</v>
      </c>
      <c r="P544" s="6" t="s">
        <v>4351</v>
      </c>
      <c r="S544" s="6">
        <v>80</v>
      </c>
      <c r="T544" s="6">
        <v>90</v>
      </c>
      <c r="U544" s="10">
        <f t="shared" si="16"/>
        <v>85</v>
      </c>
      <c r="W544" s="8">
        <v>-8.6330446414276452E-2</v>
      </c>
      <c r="X544" s="8">
        <v>-0.13328415870666419</v>
      </c>
      <c r="Y544" s="8">
        <f t="shared" si="17"/>
        <v>0.5573594126075474</v>
      </c>
    </row>
    <row r="545" spans="1:25" s="6" customFormat="1" x14ac:dyDescent="0.35">
      <c r="A545" s="6" t="s">
        <v>25</v>
      </c>
      <c r="B545" s="7"/>
      <c r="D545" s="6" t="s">
        <v>1185</v>
      </c>
      <c r="E545" s="6">
        <v>3</v>
      </c>
      <c r="F545" s="6">
        <v>32</v>
      </c>
      <c r="G545" s="6" t="s">
        <v>202</v>
      </c>
      <c r="I545" s="8">
        <v>86.257643333333306</v>
      </c>
      <c r="J545" s="8">
        <v>15.261599722222201</v>
      </c>
      <c r="K545" s="6" t="s">
        <v>29</v>
      </c>
      <c r="L545" s="6" t="s">
        <v>335</v>
      </c>
      <c r="M545" s="9">
        <v>43911</v>
      </c>
      <c r="O545" s="6">
        <v>25</v>
      </c>
      <c r="P545" s="6" t="s">
        <v>4351</v>
      </c>
      <c r="S545" s="6">
        <v>90</v>
      </c>
      <c r="T545" s="6">
        <v>100</v>
      </c>
      <c r="U545" s="10">
        <f t="shared" si="16"/>
        <v>95</v>
      </c>
      <c r="W545" s="8">
        <v>-0.15328411951437557</v>
      </c>
      <c r="X545" s="8">
        <v>-0.86852093219756987</v>
      </c>
      <c r="Y545" s="8">
        <f t="shared" si="17"/>
        <v>0.35775202391743466</v>
      </c>
    </row>
    <row r="546" spans="1:25" s="6" customFormat="1" x14ac:dyDescent="0.35">
      <c r="A546" s="6" t="s">
        <v>25</v>
      </c>
      <c r="B546" s="7"/>
      <c r="D546" s="6" t="s">
        <v>1186</v>
      </c>
      <c r="E546" s="6">
        <v>3</v>
      </c>
      <c r="F546" s="6">
        <v>32</v>
      </c>
      <c r="G546" s="6" t="s">
        <v>202</v>
      </c>
      <c r="I546" s="8">
        <v>86.257643333333306</v>
      </c>
      <c r="J546" s="8">
        <v>15.261599722222201</v>
      </c>
      <c r="K546" s="6" t="s">
        <v>29</v>
      </c>
      <c r="L546" s="6" t="s">
        <v>335</v>
      </c>
      <c r="M546" s="9">
        <v>43911</v>
      </c>
      <c r="O546" s="6">
        <v>25</v>
      </c>
      <c r="P546" s="6" t="s">
        <v>4351</v>
      </c>
      <c r="S546" s="6">
        <v>100</v>
      </c>
      <c r="T546" s="6">
        <v>110</v>
      </c>
      <c r="U546" s="10">
        <f t="shared" si="16"/>
        <v>105</v>
      </c>
      <c r="W546" s="8">
        <v>-0.35104514029025996</v>
      </c>
      <c r="X546" s="8">
        <v>-2.1179036998748777</v>
      </c>
      <c r="Y546" s="8">
        <f t="shared" si="17"/>
        <v>0.69045742244720198</v>
      </c>
    </row>
    <row r="547" spans="1:25" s="6" customFormat="1" x14ac:dyDescent="0.35">
      <c r="A547" s="6" t="s">
        <v>25</v>
      </c>
      <c r="B547" s="7"/>
      <c r="D547" s="6" t="s">
        <v>1187</v>
      </c>
      <c r="E547" s="6">
        <v>3</v>
      </c>
      <c r="F547" s="6">
        <v>32</v>
      </c>
      <c r="G547" s="6" t="s">
        <v>202</v>
      </c>
      <c r="I547" s="8">
        <v>86.257643333333306</v>
      </c>
      <c r="J547" s="8">
        <v>15.261599722222201</v>
      </c>
      <c r="K547" s="6" t="s">
        <v>29</v>
      </c>
      <c r="L547" s="6" t="s">
        <v>335</v>
      </c>
      <c r="M547" s="9">
        <v>43911</v>
      </c>
      <c r="O547" s="6">
        <v>25</v>
      </c>
      <c r="P547" s="6" t="s">
        <v>4351</v>
      </c>
      <c r="S547" s="6">
        <v>110</v>
      </c>
      <c r="T547" s="6">
        <v>120</v>
      </c>
      <c r="U547" s="10">
        <f t="shared" si="16"/>
        <v>115</v>
      </c>
      <c r="W547" s="8">
        <v>-0.49075935974121149</v>
      </c>
      <c r="X547" s="8">
        <v>-1.8934394431114192</v>
      </c>
      <c r="Y547" s="8">
        <f t="shared" si="17"/>
        <v>2.0326354348182729</v>
      </c>
    </row>
    <row r="548" spans="1:25" s="6" customFormat="1" x14ac:dyDescent="0.35">
      <c r="A548" s="6" t="s">
        <v>25</v>
      </c>
      <c r="B548" s="7"/>
      <c r="D548" s="6" t="s">
        <v>1188</v>
      </c>
      <c r="E548" s="6">
        <v>3</v>
      </c>
      <c r="F548" s="6">
        <v>32</v>
      </c>
      <c r="G548" s="6" t="s">
        <v>202</v>
      </c>
      <c r="I548" s="8">
        <v>86.257643333333306</v>
      </c>
      <c r="J548" s="8">
        <v>15.261599722222201</v>
      </c>
      <c r="K548" s="6" t="s">
        <v>29</v>
      </c>
      <c r="L548" s="6" t="s">
        <v>335</v>
      </c>
      <c r="M548" s="9">
        <v>43911</v>
      </c>
      <c r="O548" s="6">
        <v>25</v>
      </c>
      <c r="P548" s="6" t="s">
        <v>4351</v>
      </c>
      <c r="S548" s="6">
        <v>120</v>
      </c>
      <c r="T548" s="6">
        <v>130</v>
      </c>
      <c r="U548" s="10">
        <f t="shared" si="16"/>
        <v>125</v>
      </c>
      <c r="W548" s="8">
        <v>-0.30902020106613626</v>
      </c>
      <c r="X548" s="8">
        <v>-2.2912951683998104</v>
      </c>
      <c r="Y548" s="8">
        <f t="shared" si="17"/>
        <v>0.18086644012927966</v>
      </c>
    </row>
    <row r="549" spans="1:25" s="6" customFormat="1" x14ac:dyDescent="0.35">
      <c r="A549" s="6" t="s">
        <v>25</v>
      </c>
      <c r="B549" s="7"/>
      <c r="D549" s="6" t="s">
        <v>1189</v>
      </c>
      <c r="E549" s="6">
        <v>3</v>
      </c>
      <c r="F549" s="6">
        <v>32</v>
      </c>
      <c r="G549" s="6" t="s">
        <v>202</v>
      </c>
      <c r="I549" s="8">
        <v>86.257643333333306</v>
      </c>
      <c r="J549" s="8">
        <v>15.261599722222201</v>
      </c>
      <c r="K549" s="6" t="s">
        <v>29</v>
      </c>
      <c r="L549" s="6" t="s">
        <v>335</v>
      </c>
      <c r="M549" s="9">
        <v>43911</v>
      </c>
      <c r="O549" s="6">
        <v>25</v>
      </c>
      <c r="P549" s="6" t="s">
        <v>4351</v>
      </c>
      <c r="S549" s="6">
        <v>130</v>
      </c>
      <c r="T549" s="6">
        <v>140</v>
      </c>
      <c r="U549" s="10">
        <f t="shared" si="16"/>
        <v>135</v>
      </c>
      <c r="W549" s="8">
        <v>-0.28983929967284205</v>
      </c>
      <c r="X549" s="8">
        <v>-2.669947025775909</v>
      </c>
      <c r="Y549" s="8">
        <f t="shared" si="17"/>
        <v>-0.3512326283931726</v>
      </c>
    </row>
    <row r="550" spans="1:25" s="6" customFormat="1" x14ac:dyDescent="0.35">
      <c r="A550" s="6" t="s">
        <v>25</v>
      </c>
      <c r="B550" s="7"/>
      <c r="D550" s="6" t="s">
        <v>1190</v>
      </c>
      <c r="E550" s="6">
        <v>3</v>
      </c>
      <c r="F550" s="6">
        <v>32</v>
      </c>
      <c r="G550" s="6" t="s">
        <v>202</v>
      </c>
      <c r="I550" s="8">
        <v>86.257643333333306</v>
      </c>
      <c r="J550" s="8">
        <v>15.261599722222201</v>
      </c>
      <c r="K550" s="6" t="s">
        <v>29</v>
      </c>
      <c r="L550" s="6" t="s">
        <v>335</v>
      </c>
      <c r="M550" s="9">
        <v>43911</v>
      </c>
      <c r="O550" s="6">
        <v>25</v>
      </c>
      <c r="P550" s="6" t="s">
        <v>4351</v>
      </c>
      <c r="S550" s="6">
        <v>140</v>
      </c>
      <c r="T550" s="6">
        <v>150</v>
      </c>
      <c r="U550" s="10">
        <f t="shared" si="16"/>
        <v>145</v>
      </c>
      <c r="W550" s="8">
        <v>-9.3278015160095373E-2</v>
      </c>
      <c r="X550" s="8">
        <v>-0.62470502853393461</v>
      </c>
      <c r="Y550" s="8">
        <f t="shared" si="17"/>
        <v>0.12151909274682837</v>
      </c>
    </row>
    <row r="551" spans="1:25" s="6" customFormat="1" x14ac:dyDescent="0.35">
      <c r="A551" s="6" t="s">
        <v>25</v>
      </c>
      <c r="B551" s="7"/>
      <c r="D551" s="6" t="s">
        <v>1191</v>
      </c>
      <c r="E551" s="6">
        <v>3</v>
      </c>
      <c r="F551" s="6">
        <v>32</v>
      </c>
      <c r="G551" s="6" t="s">
        <v>202</v>
      </c>
      <c r="I551" s="8">
        <v>86.257643333333306</v>
      </c>
      <c r="J551" s="8">
        <v>15.261599722222201</v>
      </c>
      <c r="K551" s="6" t="s">
        <v>29</v>
      </c>
      <c r="L551" s="6" t="s">
        <v>335</v>
      </c>
      <c r="M551" s="9">
        <v>43911</v>
      </c>
      <c r="O551" s="6">
        <v>25</v>
      </c>
      <c r="P551" s="6" t="s">
        <v>4351</v>
      </c>
      <c r="S551" s="6">
        <v>150</v>
      </c>
      <c r="T551" s="6">
        <v>160</v>
      </c>
      <c r="U551" s="10">
        <f t="shared" si="16"/>
        <v>155</v>
      </c>
      <c r="W551" s="8">
        <v>-0.11784142300263099</v>
      </c>
      <c r="X551" s="8">
        <v>-0.51507568359375</v>
      </c>
      <c r="Y551" s="8">
        <f t="shared" si="17"/>
        <v>0.42765570042729795</v>
      </c>
    </row>
    <row r="552" spans="1:25" s="6" customFormat="1" x14ac:dyDescent="0.35">
      <c r="A552" s="6" t="s">
        <v>25</v>
      </c>
      <c r="B552" s="7"/>
      <c r="D552" s="6" t="s">
        <v>1192</v>
      </c>
      <c r="E552" s="6">
        <v>3</v>
      </c>
      <c r="F552" s="6">
        <v>32</v>
      </c>
      <c r="G552" s="6" t="s">
        <v>202</v>
      </c>
      <c r="I552" s="8">
        <v>86.257643333333306</v>
      </c>
      <c r="J552" s="8">
        <v>15.261599722222201</v>
      </c>
      <c r="K552" s="6" t="s">
        <v>29</v>
      </c>
      <c r="L552" s="6" t="s">
        <v>335</v>
      </c>
      <c r="M552" s="9">
        <v>43911</v>
      </c>
      <c r="O552" s="6">
        <v>25</v>
      </c>
      <c r="P552" s="6" t="s">
        <v>4351</v>
      </c>
      <c r="S552" s="6">
        <v>160</v>
      </c>
      <c r="T552" s="6">
        <v>170</v>
      </c>
      <c r="U552" s="10">
        <f t="shared" si="16"/>
        <v>165</v>
      </c>
      <c r="W552" s="8">
        <v>0.17469037461876835</v>
      </c>
      <c r="X552" s="8">
        <v>1.4876390361785887</v>
      </c>
      <c r="Y552" s="8">
        <f t="shared" si="17"/>
        <v>9.0116039228441913E-2</v>
      </c>
    </row>
    <row r="553" spans="1:25" s="6" customFormat="1" x14ac:dyDescent="0.35">
      <c r="A553" s="6" t="s">
        <v>25</v>
      </c>
      <c r="B553" s="7"/>
      <c r="D553" s="6" t="s">
        <v>1193</v>
      </c>
      <c r="E553" s="6">
        <v>3</v>
      </c>
      <c r="F553" s="6">
        <v>32</v>
      </c>
      <c r="G553" s="6" t="s">
        <v>202</v>
      </c>
      <c r="I553" s="8">
        <v>86.257643333333306</v>
      </c>
      <c r="J553" s="8">
        <v>15.261599722222201</v>
      </c>
      <c r="K553" s="6" t="s">
        <v>29</v>
      </c>
      <c r="L553" s="6" t="s">
        <v>335</v>
      </c>
      <c r="M553" s="9">
        <v>43911</v>
      </c>
      <c r="O553" s="6">
        <v>25</v>
      </c>
      <c r="P553" s="6" t="s">
        <v>4351</v>
      </c>
      <c r="S553" s="6">
        <v>170</v>
      </c>
      <c r="T553" s="6">
        <v>179</v>
      </c>
      <c r="U553" s="10">
        <f t="shared" si="16"/>
        <v>174.5</v>
      </c>
      <c r="W553" s="8">
        <v>-0.24891786401867827</v>
      </c>
      <c r="X553" s="8">
        <v>-1.4746275472640986</v>
      </c>
      <c r="Y553" s="8">
        <f t="shared" si="17"/>
        <v>0.51671536488532754</v>
      </c>
    </row>
    <row r="554" spans="1:25" s="6" customFormat="1" x14ac:dyDescent="0.35">
      <c r="A554" s="6" t="s">
        <v>25</v>
      </c>
      <c r="B554" s="7"/>
      <c r="D554" s="6" t="s">
        <v>1194</v>
      </c>
      <c r="E554" s="6">
        <v>3</v>
      </c>
      <c r="F554" s="6">
        <v>32</v>
      </c>
      <c r="G554" s="6" t="s">
        <v>202</v>
      </c>
      <c r="I554" s="8">
        <v>86.257643333333306</v>
      </c>
      <c r="J554" s="8">
        <v>15.261599722222201</v>
      </c>
      <c r="K554" s="6" t="s">
        <v>29</v>
      </c>
      <c r="L554" s="6" t="s">
        <v>335</v>
      </c>
      <c r="M554" s="9">
        <v>43911</v>
      </c>
      <c r="O554" s="6">
        <v>25</v>
      </c>
      <c r="P554" s="6" t="s">
        <v>4351</v>
      </c>
      <c r="S554" s="6">
        <v>190.5</v>
      </c>
      <c r="T554" s="6">
        <v>220.5</v>
      </c>
      <c r="U554" s="10">
        <f t="shared" si="16"/>
        <v>205.5</v>
      </c>
      <c r="W554" s="8">
        <v>-1.2063368366408351</v>
      </c>
      <c r="X554" s="8">
        <v>-7.4867801785945893</v>
      </c>
      <c r="Y554" s="8">
        <f t="shared" si="17"/>
        <v>2.1639145145320917</v>
      </c>
    </row>
    <row r="555" spans="1:25" s="6" customFormat="1" x14ac:dyDescent="0.35">
      <c r="A555" s="6" t="s">
        <v>25</v>
      </c>
      <c r="B555" s="7"/>
      <c r="D555" s="6" t="s">
        <v>1200</v>
      </c>
      <c r="E555" s="6">
        <v>3</v>
      </c>
      <c r="F555" s="6">
        <v>33</v>
      </c>
      <c r="G555" s="6" t="s">
        <v>210</v>
      </c>
      <c r="I555" s="8">
        <v>86.189197986111097</v>
      </c>
      <c r="J555" s="8">
        <v>15.473053055555599</v>
      </c>
      <c r="K555" s="6" t="s">
        <v>29</v>
      </c>
      <c r="L555" s="6" t="s">
        <v>546</v>
      </c>
      <c r="M555" s="9">
        <v>43914</v>
      </c>
      <c r="O555" s="6">
        <v>26</v>
      </c>
      <c r="P555" s="6" t="s">
        <v>4352</v>
      </c>
      <c r="S555" s="6">
        <v>0</v>
      </c>
      <c r="T555" s="6">
        <v>10</v>
      </c>
      <c r="U555" s="10">
        <f t="shared" si="16"/>
        <v>5</v>
      </c>
      <c r="W555" s="8">
        <v>-5.689063742256165</v>
      </c>
      <c r="X555" s="8">
        <v>-45.440210540771481</v>
      </c>
      <c r="Y555" s="8">
        <f t="shared" si="17"/>
        <v>7.2299397277838295E-2</v>
      </c>
    </row>
    <row r="556" spans="1:25" s="6" customFormat="1" x14ac:dyDescent="0.35">
      <c r="A556" s="6" t="s">
        <v>25</v>
      </c>
      <c r="B556" s="7"/>
      <c r="D556" s="6" t="s">
        <v>1201</v>
      </c>
      <c r="E556" s="6">
        <v>3</v>
      </c>
      <c r="F556" s="6">
        <v>33</v>
      </c>
      <c r="G556" s="6" t="s">
        <v>210</v>
      </c>
      <c r="I556" s="8">
        <v>86.189197986111097</v>
      </c>
      <c r="J556" s="8">
        <v>15.473053055555599</v>
      </c>
      <c r="K556" s="6" t="s">
        <v>29</v>
      </c>
      <c r="L556" s="6" t="s">
        <v>546</v>
      </c>
      <c r="M556" s="9">
        <v>43914</v>
      </c>
      <c r="O556" s="6">
        <v>26</v>
      </c>
      <c r="P556" s="6" t="s">
        <v>4352</v>
      </c>
      <c r="S556" s="6">
        <v>10</v>
      </c>
      <c r="T556" s="6">
        <v>20</v>
      </c>
      <c r="U556" s="10">
        <f t="shared" si="16"/>
        <v>15</v>
      </c>
      <c r="W556" s="8">
        <v>-5.9231715651512156</v>
      </c>
      <c r="X556" s="8">
        <v>-46.018434082031249</v>
      </c>
      <c r="Y556" s="8">
        <f t="shared" si="17"/>
        <v>1.366938439178476</v>
      </c>
    </row>
    <row r="557" spans="1:25" s="6" customFormat="1" x14ac:dyDescent="0.35">
      <c r="A557" s="6" t="s">
        <v>25</v>
      </c>
      <c r="B557" s="7"/>
      <c r="D557" s="6" t="s">
        <v>1202</v>
      </c>
      <c r="E557" s="6">
        <v>3</v>
      </c>
      <c r="F557" s="6">
        <v>33</v>
      </c>
      <c r="G557" s="6" t="s">
        <v>210</v>
      </c>
      <c r="I557" s="8">
        <v>86.189197986111097</v>
      </c>
      <c r="J557" s="8">
        <v>15.473053055555599</v>
      </c>
      <c r="K557" s="6" t="s">
        <v>29</v>
      </c>
      <c r="L557" s="6" t="s">
        <v>546</v>
      </c>
      <c r="M557" s="9">
        <v>43914</v>
      </c>
      <c r="O557" s="6">
        <v>26</v>
      </c>
      <c r="P557" s="6" t="s">
        <v>4352</v>
      </c>
      <c r="S557" s="6">
        <v>20</v>
      </c>
      <c r="T557" s="6">
        <v>30</v>
      </c>
      <c r="U557" s="10">
        <f t="shared" si="16"/>
        <v>25</v>
      </c>
      <c r="W557" s="8">
        <v>-5.9410283142089853</v>
      </c>
      <c r="X557" s="8">
        <v>-46.381501483917233</v>
      </c>
      <c r="Y557" s="8">
        <f t="shared" si="17"/>
        <v>1.1467250297546485</v>
      </c>
    </row>
    <row r="558" spans="1:25" s="6" customFormat="1" x14ac:dyDescent="0.35">
      <c r="A558" s="6" t="s">
        <v>25</v>
      </c>
      <c r="B558" s="7"/>
      <c r="D558" s="6" t="s">
        <v>1203</v>
      </c>
      <c r="E558" s="6">
        <v>3</v>
      </c>
      <c r="F558" s="6">
        <v>33</v>
      </c>
      <c r="G558" s="6" t="s">
        <v>210</v>
      </c>
      <c r="I558" s="8">
        <v>86.189197986111097</v>
      </c>
      <c r="J558" s="8">
        <v>15.473053055555599</v>
      </c>
      <c r="K558" s="6" t="s">
        <v>29</v>
      </c>
      <c r="L558" s="6" t="s">
        <v>546</v>
      </c>
      <c r="M558" s="9">
        <v>43914</v>
      </c>
      <c r="O558" s="6">
        <v>26</v>
      </c>
      <c r="P558" s="6" t="s">
        <v>4352</v>
      </c>
      <c r="S558" s="6">
        <v>30</v>
      </c>
      <c r="T558" s="6">
        <v>40</v>
      </c>
      <c r="U558" s="10">
        <f t="shared" si="16"/>
        <v>35</v>
      </c>
      <c r="W558" s="8">
        <v>-5.6719386440277102</v>
      </c>
      <c r="X558" s="8">
        <v>-43.9382264175415</v>
      </c>
      <c r="Y558" s="8">
        <f t="shared" si="17"/>
        <v>1.4372827346801813</v>
      </c>
    </row>
    <row r="559" spans="1:25" s="6" customFormat="1" x14ac:dyDescent="0.35">
      <c r="A559" s="6" t="s">
        <v>25</v>
      </c>
      <c r="B559" s="7"/>
      <c r="D559" s="6" t="s">
        <v>1204</v>
      </c>
      <c r="E559" s="6">
        <v>3</v>
      </c>
      <c r="F559" s="6">
        <v>33</v>
      </c>
      <c r="G559" s="6" t="s">
        <v>210</v>
      </c>
      <c r="I559" s="8">
        <v>86.189197986111097</v>
      </c>
      <c r="J559" s="8">
        <v>15.473053055555599</v>
      </c>
      <c r="K559" s="6" t="s">
        <v>29</v>
      </c>
      <c r="L559" s="6" t="s">
        <v>546</v>
      </c>
      <c r="M559" s="9">
        <v>43914</v>
      </c>
      <c r="O559" s="6">
        <v>26</v>
      </c>
      <c r="P559" s="6" t="s">
        <v>4352</v>
      </c>
      <c r="S559" s="6">
        <v>40</v>
      </c>
      <c r="T559" s="6">
        <v>50</v>
      </c>
      <c r="U559" s="10">
        <f t="shared" si="16"/>
        <v>45</v>
      </c>
      <c r="W559" s="8">
        <v>-5.1397513290405277</v>
      </c>
      <c r="X559" s="8">
        <v>-39.636335914611813</v>
      </c>
      <c r="Y559" s="8">
        <f t="shared" si="17"/>
        <v>1.4816747177124086</v>
      </c>
    </row>
    <row r="560" spans="1:25" s="6" customFormat="1" x14ac:dyDescent="0.35">
      <c r="A560" s="6" t="s">
        <v>25</v>
      </c>
      <c r="B560" s="7"/>
      <c r="D560" s="6" t="s">
        <v>1205</v>
      </c>
      <c r="E560" s="6">
        <v>3</v>
      </c>
      <c r="F560" s="6">
        <v>33</v>
      </c>
      <c r="G560" s="6" t="s">
        <v>210</v>
      </c>
      <c r="I560" s="8">
        <v>86.189197986111097</v>
      </c>
      <c r="J560" s="8">
        <v>15.473053055555599</v>
      </c>
      <c r="K560" s="6" t="s">
        <v>29</v>
      </c>
      <c r="L560" s="6" t="s">
        <v>546</v>
      </c>
      <c r="M560" s="9">
        <v>43914</v>
      </c>
      <c r="O560" s="6">
        <v>26</v>
      </c>
      <c r="P560" s="6" t="s">
        <v>4352</v>
      </c>
      <c r="S560" s="6">
        <v>50</v>
      </c>
      <c r="T560" s="6">
        <v>60</v>
      </c>
      <c r="U560" s="10">
        <f t="shared" si="16"/>
        <v>55</v>
      </c>
      <c r="W560" s="8">
        <v>-4.621206283187866</v>
      </c>
      <c r="X560" s="8">
        <v>-34.32253936767578</v>
      </c>
      <c r="Y560" s="8">
        <f t="shared" si="17"/>
        <v>2.6471108978271474</v>
      </c>
    </row>
    <row r="561" spans="1:25" s="6" customFormat="1" x14ac:dyDescent="0.35">
      <c r="A561" s="6" t="s">
        <v>25</v>
      </c>
      <c r="B561" s="7"/>
      <c r="D561" s="6" t="s">
        <v>1206</v>
      </c>
      <c r="E561" s="6">
        <v>3</v>
      </c>
      <c r="F561" s="6">
        <v>33</v>
      </c>
      <c r="G561" s="6" t="s">
        <v>210</v>
      </c>
      <c r="I561" s="8">
        <v>86.189197986111097</v>
      </c>
      <c r="J561" s="8">
        <v>15.473053055555599</v>
      </c>
      <c r="K561" s="6" t="s">
        <v>29</v>
      </c>
      <c r="L561" s="6" t="s">
        <v>546</v>
      </c>
      <c r="M561" s="9">
        <v>43914</v>
      </c>
      <c r="O561" s="6">
        <v>26</v>
      </c>
      <c r="P561" s="6" t="s">
        <v>4352</v>
      </c>
      <c r="S561" s="6">
        <v>60</v>
      </c>
      <c r="T561" s="6">
        <v>70</v>
      </c>
      <c r="U561" s="10">
        <f t="shared" si="16"/>
        <v>65</v>
      </c>
      <c r="W561" s="8">
        <v>-4.0577096372604373</v>
      </c>
      <c r="X561" s="8">
        <v>-31.396446308135985</v>
      </c>
      <c r="Y561" s="8">
        <f t="shared" si="17"/>
        <v>1.0652307899475133</v>
      </c>
    </row>
    <row r="562" spans="1:25" s="6" customFormat="1" x14ac:dyDescent="0.35">
      <c r="A562" s="6" t="s">
        <v>25</v>
      </c>
      <c r="B562" s="7"/>
      <c r="D562" s="6" t="s">
        <v>1207</v>
      </c>
      <c r="E562" s="6">
        <v>3</v>
      </c>
      <c r="F562" s="6">
        <v>33</v>
      </c>
      <c r="G562" s="6" t="s">
        <v>210</v>
      </c>
      <c r="I562" s="8">
        <v>86.189197986111097</v>
      </c>
      <c r="J562" s="8">
        <v>15.473053055555599</v>
      </c>
      <c r="K562" s="6" t="s">
        <v>29</v>
      </c>
      <c r="L562" s="6" t="s">
        <v>546</v>
      </c>
      <c r="M562" s="9">
        <v>43914</v>
      </c>
      <c r="O562" s="6">
        <v>26</v>
      </c>
      <c r="P562" s="6" t="s">
        <v>4352</v>
      </c>
      <c r="S562" s="6">
        <v>70</v>
      </c>
      <c r="T562" s="6">
        <v>80</v>
      </c>
      <c r="U562" s="10">
        <f t="shared" si="16"/>
        <v>75</v>
      </c>
      <c r="W562" s="8">
        <v>-3.6711267798900606</v>
      </c>
      <c r="X562" s="8">
        <v>-28.193772178649901</v>
      </c>
      <c r="Y562" s="8">
        <f t="shared" si="17"/>
        <v>1.175242060470584</v>
      </c>
    </row>
    <row r="563" spans="1:25" s="6" customFormat="1" x14ac:dyDescent="0.35">
      <c r="A563" s="6" t="s">
        <v>25</v>
      </c>
      <c r="B563" s="7"/>
      <c r="D563" s="6" t="s">
        <v>1208</v>
      </c>
      <c r="E563" s="6">
        <v>3</v>
      </c>
      <c r="F563" s="6">
        <v>33</v>
      </c>
      <c r="G563" s="6" t="s">
        <v>210</v>
      </c>
      <c r="I563" s="8">
        <v>86.189197986111097</v>
      </c>
      <c r="J563" s="8">
        <v>15.473053055555599</v>
      </c>
      <c r="K563" s="6" t="s">
        <v>29</v>
      </c>
      <c r="L563" s="6" t="s">
        <v>546</v>
      </c>
      <c r="M563" s="9">
        <v>43914</v>
      </c>
      <c r="O563" s="6">
        <v>26</v>
      </c>
      <c r="P563" s="6" t="s">
        <v>4352</v>
      </c>
      <c r="S563" s="6">
        <v>80</v>
      </c>
      <c r="T563" s="6">
        <v>88</v>
      </c>
      <c r="U563" s="10">
        <f t="shared" si="16"/>
        <v>84</v>
      </c>
      <c r="W563" s="8">
        <v>-3.7826010812282562</v>
      </c>
      <c r="X563" s="8">
        <v>-29.566475919723509</v>
      </c>
      <c r="Y563" s="8">
        <f t="shared" si="17"/>
        <v>0.69433273010254126</v>
      </c>
    </row>
    <row r="564" spans="1:25" s="6" customFormat="1" x14ac:dyDescent="0.35">
      <c r="A564" s="6" t="s">
        <v>25</v>
      </c>
      <c r="B564" s="7"/>
      <c r="D564" s="6" t="s">
        <v>1209</v>
      </c>
      <c r="E564" s="6">
        <v>3</v>
      </c>
      <c r="F564" s="6">
        <v>33</v>
      </c>
      <c r="G564" s="6" t="s">
        <v>210</v>
      </c>
      <c r="I564" s="8">
        <v>86.189197986111097</v>
      </c>
      <c r="J564" s="8">
        <v>15.473053055555599</v>
      </c>
      <c r="K564" s="6" t="s">
        <v>29</v>
      </c>
      <c r="L564" s="6" t="s">
        <v>546</v>
      </c>
      <c r="M564" s="9">
        <v>43914</v>
      </c>
      <c r="O564" s="6">
        <v>26</v>
      </c>
      <c r="P564" s="6" t="s">
        <v>4352</v>
      </c>
      <c r="S564" s="6">
        <v>88</v>
      </c>
      <c r="T564" s="6">
        <v>96</v>
      </c>
      <c r="U564" s="10">
        <f t="shared" si="16"/>
        <v>92</v>
      </c>
      <c r="W564" s="8">
        <v>-3.7321273952484129</v>
      </c>
      <c r="X564" s="8">
        <v>-29.267555980682371</v>
      </c>
      <c r="Y564" s="8">
        <f t="shared" si="17"/>
        <v>0.58946318130493225</v>
      </c>
    </row>
    <row r="565" spans="1:25" s="6" customFormat="1" x14ac:dyDescent="0.35">
      <c r="A565" s="6" t="s">
        <v>25</v>
      </c>
      <c r="B565" s="7"/>
      <c r="D565" s="6" t="s">
        <v>1210</v>
      </c>
      <c r="E565" s="6">
        <v>3</v>
      </c>
      <c r="F565" s="6">
        <v>33</v>
      </c>
      <c r="G565" s="6" t="s">
        <v>210</v>
      </c>
      <c r="I565" s="8">
        <v>86.189197986111097</v>
      </c>
      <c r="J565" s="8">
        <v>15.473053055555599</v>
      </c>
      <c r="K565" s="6" t="s">
        <v>29</v>
      </c>
      <c r="L565" s="6" t="s">
        <v>546</v>
      </c>
      <c r="M565" s="9">
        <v>43914</v>
      </c>
      <c r="O565" s="6">
        <v>26</v>
      </c>
      <c r="P565" s="6" t="s">
        <v>4352</v>
      </c>
      <c r="S565" s="6">
        <v>96</v>
      </c>
      <c r="T565" s="6">
        <v>106</v>
      </c>
      <c r="U565" s="10">
        <f t="shared" si="16"/>
        <v>101</v>
      </c>
      <c r="W565" s="8">
        <v>-3.0237881308555603</v>
      </c>
      <c r="X565" s="8">
        <v>-23.225139646530153</v>
      </c>
      <c r="Y565" s="8">
        <f t="shared" si="17"/>
        <v>0.96516540031432996</v>
      </c>
    </row>
    <row r="566" spans="1:25" s="6" customFormat="1" x14ac:dyDescent="0.35">
      <c r="A566" s="6" t="s">
        <v>25</v>
      </c>
      <c r="B566" s="7"/>
      <c r="D566" s="6" t="s">
        <v>1211</v>
      </c>
      <c r="E566" s="6">
        <v>3</v>
      </c>
      <c r="F566" s="6">
        <v>33</v>
      </c>
      <c r="G566" s="6" t="s">
        <v>210</v>
      </c>
      <c r="I566" s="8">
        <v>86.189197986111097</v>
      </c>
      <c r="J566" s="8">
        <v>15.473053055555599</v>
      </c>
      <c r="K566" s="6" t="s">
        <v>29</v>
      </c>
      <c r="L566" s="6" t="s">
        <v>546</v>
      </c>
      <c r="M566" s="9">
        <v>43914</v>
      </c>
      <c r="O566" s="6">
        <v>26</v>
      </c>
      <c r="P566" s="6" t="s">
        <v>4352</v>
      </c>
      <c r="S566" s="6">
        <v>106</v>
      </c>
      <c r="T566" s="6">
        <v>116</v>
      </c>
      <c r="U566" s="10">
        <f t="shared" si="16"/>
        <v>111</v>
      </c>
      <c r="W566" s="8">
        <v>-1.9395460669517515</v>
      </c>
      <c r="X566" s="8">
        <v>-13.911396883964539</v>
      </c>
      <c r="Y566" s="8">
        <f t="shared" si="17"/>
        <v>1.604971651649473</v>
      </c>
    </row>
    <row r="567" spans="1:25" s="6" customFormat="1" x14ac:dyDescent="0.35">
      <c r="A567" s="6" t="s">
        <v>25</v>
      </c>
      <c r="B567" s="7"/>
      <c r="D567" s="6" t="s">
        <v>1212</v>
      </c>
      <c r="E567" s="6">
        <v>3</v>
      </c>
      <c r="F567" s="6">
        <v>33</v>
      </c>
      <c r="G567" s="6" t="s">
        <v>210</v>
      </c>
      <c r="I567" s="8">
        <v>86.189197986111097</v>
      </c>
      <c r="J567" s="8">
        <v>15.473053055555599</v>
      </c>
      <c r="K567" s="6" t="s">
        <v>29</v>
      </c>
      <c r="L567" s="6" t="s">
        <v>546</v>
      </c>
      <c r="M567" s="9">
        <v>43914</v>
      </c>
      <c r="O567" s="6">
        <v>26</v>
      </c>
      <c r="P567" s="6" t="s">
        <v>4352</v>
      </c>
      <c r="S567" s="6">
        <v>116</v>
      </c>
      <c r="T567" s="6">
        <v>126</v>
      </c>
      <c r="U567" s="10">
        <f t="shared" si="16"/>
        <v>121</v>
      </c>
      <c r="W567" s="8">
        <v>-0.79963520396947896</v>
      </c>
      <c r="X567" s="8">
        <v>-6.2879630098454653</v>
      </c>
      <c r="Y567" s="8">
        <f t="shared" si="17"/>
        <v>0.10911862191036636</v>
      </c>
    </row>
    <row r="568" spans="1:25" s="6" customFormat="1" x14ac:dyDescent="0.35">
      <c r="A568" s="6" t="s">
        <v>25</v>
      </c>
      <c r="B568" s="7"/>
      <c r="D568" s="6" t="s">
        <v>1213</v>
      </c>
      <c r="E568" s="6">
        <v>3</v>
      </c>
      <c r="F568" s="6">
        <v>33</v>
      </c>
      <c r="G568" s="6" t="s">
        <v>210</v>
      </c>
      <c r="I568" s="8">
        <v>86.189197986111097</v>
      </c>
      <c r="J568" s="8">
        <v>15.473053055555599</v>
      </c>
      <c r="K568" s="6" t="s">
        <v>29</v>
      </c>
      <c r="L568" s="6" t="s">
        <v>546</v>
      </c>
      <c r="M568" s="9">
        <v>43914</v>
      </c>
      <c r="O568" s="6">
        <v>26</v>
      </c>
      <c r="P568" s="6" t="s">
        <v>4352</v>
      </c>
      <c r="S568" s="6">
        <v>126</v>
      </c>
      <c r="T568" s="6">
        <v>136</v>
      </c>
      <c r="U568" s="10">
        <f t="shared" si="16"/>
        <v>131</v>
      </c>
      <c r="W568" s="8">
        <v>1.0936264247179031</v>
      </c>
      <c r="X568" s="8">
        <v>8.009632387161254</v>
      </c>
      <c r="Y568" s="8">
        <f t="shared" si="17"/>
        <v>-0.73937901058197042</v>
      </c>
    </row>
    <row r="569" spans="1:25" s="6" customFormat="1" x14ac:dyDescent="0.35">
      <c r="A569" s="6" t="s">
        <v>25</v>
      </c>
      <c r="B569" s="7"/>
      <c r="D569" s="6" t="s">
        <v>1214</v>
      </c>
      <c r="E569" s="6">
        <v>3</v>
      </c>
      <c r="F569" s="6">
        <v>33</v>
      </c>
      <c r="G569" s="6" t="s">
        <v>210</v>
      </c>
      <c r="I569" s="8">
        <v>86.189197986111097</v>
      </c>
      <c r="J569" s="8">
        <v>15.473053055555599</v>
      </c>
      <c r="K569" s="6" t="s">
        <v>29</v>
      </c>
      <c r="L569" s="6" t="s">
        <v>546</v>
      </c>
      <c r="M569" s="9">
        <v>43914</v>
      </c>
      <c r="O569" s="6">
        <v>26</v>
      </c>
      <c r="P569" s="6" t="s">
        <v>4352</v>
      </c>
      <c r="S569" s="6">
        <v>136</v>
      </c>
      <c r="T569" s="6">
        <v>146</v>
      </c>
      <c r="U569" s="10">
        <f t="shared" si="16"/>
        <v>141</v>
      </c>
      <c r="W569" s="8">
        <v>0.63277025209665283</v>
      </c>
      <c r="X569" s="8">
        <v>4.8602906799316408</v>
      </c>
      <c r="Y569" s="8">
        <f t="shared" si="17"/>
        <v>-0.20187133684158187</v>
      </c>
    </row>
    <row r="570" spans="1:25" s="6" customFormat="1" x14ac:dyDescent="0.35">
      <c r="A570" s="6" t="s">
        <v>25</v>
      </c>
      <c r="B570" s="7"/>
      <c r="D570" s="6" t="s">
        <v>1215</v>
      </c>
      <c r="E570" s="6">
        <v>3</v>
      </c>
      <c r="F570" s="6">
        <v>33</v>
      </c>
      <c r="G570" s="6" t="s">
        <v>210</v>
      </c>
      <c r="I570" s="8">
        <v>86.189197986111097</v>
      </c>
      <c r="J570" s="8">
        <v>15.473053055555599</v>
      </c>
      <c r="K570" s="6" t="s">
        <v>29</v>
      </c>
      <c r="L570" s="6" t="s">
        <v>546</v>
      </c>
      <c r="M570" s="9">
        <v>43914</v>
      </c>
      <c r="O570" s="6">
        <v>26</v>
      </c>
      <c r="P570" s="6" t="s">
        <v>4352</v>
      </c>
      <c r="S570" s="6">
        <v>146</v>
      </c>
      <c r="T570" s="6">
        <v>156</v>
      </c>
      <c r="U570" s="10">
        <f t="shared" si="16"/>
        <v>151</v>
      </c>
      <c r="W570" s="8">
        <v>0.28056497045159373</v>
      </c>
      <c r="X570" s="8">
        <v>1.1266525354385375</v>
      </c>
      <c r="Y570" s="8">
        <f t="shared" si="17"/>
        <v>-1.1178672281742124</v>
      </c>
    </row>
    <row r="571" spans="1:25" s="6" customFormat="1" x14ac:dyDescent="0.35">
      <c r="A571" s="6" t="s">
        <v>25</v>
      </c>
      <c r="B571" s="7"/>
      <c r="D571" s="6" t="s">
        <v>1216</v>
      </c>
      <c r="E571" s="6">
        <v>3</v>
      </c>
      <c r="F571" s="6">
        <v>33</v>
      </c>
      <c r="G571" s="6" t="s">
        <v>210</v>
      </c>
      <c r="I571" s="8">
        <v>86.189197986111097</v>
      </c>
      <c r="J571" s="8">
        <v>15.473053055555599</v>
      </c>
      <c r="K571" s="6" t="s">
        <v>29</v>
      </c>
      <c r="L571" s="6" t="s">
        <v>546</v>
      </c>
      <c r="M571" s="9">
        <v>43914</v>
      </c>
      <c r="O571" s="6">
        <v>26</v>
      </c>
      <c r="P571" s="6" t="s">
        <v>4352</v>
      </c>
      <c r="S571" s="6">
        <v>166</v>
      </c>
      <c r="T571" s="6">
        <v>176</v>
      </c>
      <c r="U571" s="10">
        <f t="shared" si="16"/>
        <v>171</v>
      </c>
      <c r="W571" s="8">
        <v>-0.18900069650709622</v>
      </c>
      <c r="X571" s="8">
        <v>-1.9395887918472281</v>
      </c>
      <c r="Y571" s="8">
        <f t="shared" si="17"/>
        <v>-0.42758321979045832</v>
      </c>
    </row>
    <row r="572" spans="1:25" s="6" customFormat="1" x14ac:dyDescent="0.35">
      <c r="A572" s="6" t="s">
        <v>25</v>
      </c>
      <c r="B572" s="7"/>
      <c r="D572" s="6" t="s">
        <v>1217</v>
      </c>
      <c r="E572" s="6">
        <v>3</v>
      </c>
      <c r="F572" s="6">
        <v>33</v>
      </c>
      <c r="G572" s="6" t="s">
        <v>210</v>
      </c>
      <c r="I572" s="8">
        <v>86.189197986111097</v>
      </c>
      <c r="J572" s="8">
        <v>15.473053055555599</v>
      </c>
      <c r="K572" s="6" t="s">
        <v>29</v>
      </c>
      <c r="L572" s="6" t="s">
        <v>546</v>
      </c>
      <c r="M572" s="9">
        <v>43914</v>
      </c>
      <c r="O572" s="6">
        <v>26</v>
      </c>
      <c r="P572" s="6" t="s">
        <v>4352</v>
      </c>
      <c r="S572" s="6">
        <v>176</v>
      </c>
      <c r="T572" s="6">
        <v>186</v>
      </c>
      <c r="U572" s="10">
        <f t="shared" si="16"/>
        <v>181</v>
      </c>
      <c r="W572" s="8">
        <v>-4.3860317488014618E-2</v>
      </c>
      <c r="X572" s="8">
        <v>-0.79560110664367678</v>
      </c>
      <c r="Y572" s="8">
        <f t="shared" si="17"/>
        <v>-0.44471856673955984</v>
      </c>
    </row>
    <row r="573" spans="1:25" s="6" customFormat="1" x14ac:dyDescent="0.35">
      <c r="A573" s="6" t="s">
        <v>25</v>
      </c>
      <c r="B573" s="7"/>
      <c r="D573" s="6" t="s">
        <v>1218</v>
      </c>
      <c r="E573" s="6">
        <v>3</v>
      </c>
      <c r="F573" s="6">
        <v>33</v>
      </c>
      <c r="G573" s="6" t="s">
        <v>210</v>
      </c>
      <c r="I573" s="8">
        <v>86.189197986111097</v>
      </c>
      <c r="J573" s="8">
        <v>15.473053055555599</v>
      </c>
      <c r="K573" s="6" t="s">
        <v>29</v>
      </c>
      <c r="L573" s="6" t="s">
        <v>546</v>
      </c>
      <c r="M573" s="9">
        <v>43914</v>
      </c>
      <c r="O573" s="6">
        <v>26</v>
      </c>
      <c r="P573" s="6" t="s">
        <v>4352</v>
      </c>
      <c r="S573" s="6">
        <v>186</v>
      </c>
      <c r="T573" s="6">
        <v>196</v>
      </c>
      <c r="U573" s="10">
        <f t="shared" si="16"/>
        <v>191</v>
      </c>
      <c r="W573" s="8">
        <v>0.26017106525897971</v>
      </c>
      <c r="X573" s="8">
        <v>0.80485367488861081</v>
      </c>
      <c r="Y573" s="8">
        <f t="shared" si="17"/>
        <v>-1.2765148471832268</v>
      </c>
    </row>
    <row r="574" spans="1:25" s="6" customFormat="1" x14ac:dyDescent="0.35">
      <c r="A574" s="6" t="s">
        <v>25</v>
      </c>
      <c r="B574" s="7"/>
      <c r="D574" s="6" t="s">
        <v>1219</v>
      </c>
      <c r="E574" s="6">
        <v>3</v>
      </c>
      <c r="F574" s="6">
        <v>33</v>
      </c>
      <c r="G574" s="6" t="s">
        <v>210</v>
      </c>
      <c r="I574" s="8">
        <v>86.189197986111097</v>
      </c>
      <c r="J574" s="8">
        <v>15.473053055555599</v>
      </c>
      <c r="K574" s="6" t="s">
        <v>29</v>
      </c>
      <c r="L574" s="6" t="s">
        <v>546</v>
      </c>
      <c r="M574" s="9">
        <v>43914</v>
      </c>
      <c r="O574" s="6">
        <v>26</v>
      </c>
      <c r="P574" s="6" t="s">
        <v>4352</v>
      </c>
      <c r="S574" s="6">
        <v>196</v>
      </c>
      <c r="T574" s="6">
        <v>206</v>
      </c>
      <c r="U574" s="10">
        <f t="shared" si="16"/>
        <v>201</v>
      </c>
      <c r="W574" s="8">
        <v>0.42557109909057589</v>
      </c>
      <c r="X574" s="8">
        <v>2.1146598014831559</v>
      </c>
      <c r="Y574" s="8">
        <f t="shared" si="17"/>
        <v>-1.2899089912414512</v>
      </c>
    </row>
    <row r="575" spans="1:25" s="6" customFormat="1" x14ac:dyDescent="0.35">
      <c r="A575" s="6" t="s">
        <v>25</v>
      </c>
      <c r="B575" s="6" t="s">
        <v>1239</v>
      </c>
      <c r="D575" s="6" t="s">
        <v>1240</v>
      </c>
      <c r="E575" s="6">
        <v>3</v>
      </c>
      <c r="F575" s="6">
        <v>34</v>
      </c>
      <c r="G575" s="6" t="s">
        <v>202</v>
      </c>
      <c r="I575" s="8">
        <v>84.533711805555598</v>
      </c>
      <c r="J575" s="8">
        <v>14.277858402777801</v>
      </c>
      <c r="K575" s="6" t="s">
        <v>29</v>
      </c>
      <c r="L575" s="6" t="s">
        <v>335</v>
      </c>
      <c r="M575" s="9">
        <v>43927</v>
      </c>
      <c r="O575" s="6">
        <v>28</v>
      </c>
      <c r="P575" s="6" t="s">
        <v>4359</v>
      </c>
      <c r="R575" s="6">
        <v>0</v>
      </c>
      <c r="S575" s="6">
        <v>0</v>
      </c>
      <c r="T575" s="6">
        <v>5</v>
      </c>
      <c r="U575" s="10">
        <f t="shared" si="16"/>
        <v>2.5</v>
      </c>
      <c r="W575" s="8">
        <v>-2.078482134914398</v>
      </c>
      <c r="X575" s="8">
        <v>-19.223417736053463</v>
      </c>
      <c r="Y575" s="8">
        <f t="shared" si="17"/>
        <v>-2.5955606567382787</v>
      </c>
    </row>
    <row r="576" spans="1:25" s="6" customFormat="1" x14ac:dyDescent="0.35">
      <c r="A576" s="6" t="s">
        <v>25</v>
      </c>
      <c r="B576" s="6" t="s">
        <v>1241</v>
      </c>
      <c r="D576" s="6" t="s">
        <v>1240</v>
      </c>
      <c r="E576" s="6">
        <v>3</v>
      </c>
      <c r="F576" s="6">
        <v>34</v>
      </c>
      <c r="G576" s="6" t="s">
        <v>202</v>
      </c>
      <c r="I576" s="8">
        <v>84.533711805555598</v>
      </c>
      <c r="J576" s="8">
        <v>14.277858402777801</v>
      </c>
      <c r="K576" s="6" t="s">
        <v>29</v>
      </c>
      <c r="L576" s="6" t="s">
        <v>335</v>
      </c>
      <c r="M576" s="9">
        <v>43927</v>
      </c>
      <c r="O576" s="6">
        <v>28</v>
      </c>
      <c r="P576" s="6" t="s">
        <v>4359</v>
      </c>
      <c r="R576" s="6">
        <v>5</v>
      </c>
      <c r="S576" s="6">
        <v>5</v>
      </c>
      <c r="T576" s="6">
        <v>10</v>
      </c>
      <c r="U576" s="10">
        <f t="shared" si="16"/>
        <v>7.5</v>
      </c>
      <c r="W576" s="8">
        <v>-1.8808735317945482</v>
      </c>
      <c r="X576" s="8">
        <v>-14.646994300842284</v>
      </c>
      <c r="Y576" s="8">
        <f t="shared" si="17"/>
        <v>0.39999395351410172</v>
      </c>
    </row>
    <row r="577" spans="1:25" s="6" customFormat="1" x14ac:dyDescent="0.35">
      <c r="A577" s="6" t="s">
        <v>25</v>
      </c>
      <c r="B577" s="6" t="s">
        <v>1242</v>
      </c>
      <c r="D577" s="6" t="s">
        <v>1240</v>
      </c>
      <c r="E577" s="6">
        <v>3</v>
      </c>
      <c r="F577" s="6">
        <v>34</v>
      </c>
      <c r="G577" s="6" t="s">
        <v>202</v>
      </c>
      <c r="I577" s="8">
        <v>84.533711805555598</v>
      </c>
      <c r="J577" s="8">
        <v>14.277858402777801</v>
      </c>
      <c r="K577" s="6" t="s">
        <v>29</v>
      </c>
      <c r="L577" s="6" t="s">
        <v>335</v>
      </c>
      <c r="M577" s="9">
        <v>43927</v>
      </c>
      <c r="O577" s="6">
        <v>28</v>
      </c>
      <c r="P577" s="6" t="s">
        <v>4359</v>
      </c>
      <c r="R577" s="6">
        <v>10</v>
      </c>
      <c r="S577" s="6">
        <v>10</v>
      </c>
      <c r="T577" s="6">
        <v>20</v>
      </c>
      <c r="U577" s="10">
        <f t="shared" si="16"/>
        <v>15</v>
      </c>
      <c r="W577" s="8">
        <v>-3.2364069028854372</v>
      </c>
      <c r="X577" s="8">
        <v>-24.635982738494871</v>
      </c>
      <c r="Y577" s="8">
        <f t="shared" si="17"/>
        <v>1.2552724845886267</v>
      </c>
    </row>
    <row r="578" spans="1:25" s="6" customFormat="1" x14ac:dyDescent="0.35">
      <c r="A578" s="6" t="s">
        <v>25</v>
      </c>
      <c r="B578" s="6" t="s">
        <v>1243</v>
      </c>
      <c r="D578" s="6" t="s">
        <v>1240</v>
      </c>
      <c r="E578" s="6">
        <v>3</v>
      </c>
      <c r="F578" s="6">
        <v>34</v>
      </c>
      <c r="G578" s="6" t="s">
        <v>202</v>
      </c>
      <c r="I578" s="8">
        <v>84.533711805555598</v>
      </c>
      <c r="J578" s="8">
        <v>14.277858402777801</v>
      </c>
      <c r="K578" s="6" t="s">
        <v>29</v>
      </c>
      <c r="L578" s="6" t="s">
        <v>335</v>
      </c>
      <c r="M578" s="9">
        <v>43927</v>
      </c>
      <c r="O578" s="6">
        <v>28</v>
      </c>
      <c r="P578" s="6" t="s">
        <v>4359</v>
      </c>
      <c r="R578" s="6">
        <v>20</v>
      </c>
      <c r="S578" s="6">
        <v>20</v>
      </c>
      <c r="T578" s="6">
        <v>30</v>
      </c>
      <c r="U578" s="10">
        <f t="shared" ref="U578:U641" si="18">AVERAGE(S578:T578)</f>
        <v>25</v>
      </c>
      <c r="W578" s="8">
        <v>2.647956901937689E-2</v>
      </c>
      <c r="X578" s="8">
        <v>0.95479580163955713</v>
      </c>
      <c r="Y578" s="8">
        <f t="shared" ref="Y578:Y641" si="19">X578-(8*W578)</f>
        <v>0.74295924948454206</v>
      </c>
    </row>
    <row r="579" spans="1:25" s="6" customFormat="1" x14ac:dyDescent="0.35">
      <c r="A579" s="6" t="s">
        <v>25</v>
      </c>
      <c r="B579" s="6" t="s">
        <v>1244</v>
      </c>
      <c r="D579" s="6" t="s">
        <v>1240</v>
      </c>
      <c r="E579" s="6">
        <v>3</v>
      </c>
      <c r="F579" s="6">
        <v>34</v>
      </c>
      <c r="G579" s="6" t="s">
        <v>202</v>
      </c>
      <c r="I579" s="8">
        <v>84.533711805555598</v>
      </c>
      <c r="J579" s="8">
        <v>14.277858402777801</v>
      </c>
      <c r="K579" s="6" t="s">
        <v>29</v>
      </c>
      <c r="L579" s="6" t="s">
        <v>335</v>
      </c>
      <c r="M579" s="9">
        <v>43927</v>
      </c>
      <c r="O579" s="6">
        <v>28</v>
      </c>
      <c r="P579" s="6" t="s">
        <v>4359</v>
      </c>
      <c r="R579" s="6">
        <v>30</v>
      </c>
      <c r="S579" s="6">
        <v>30</v>
      </c>
      <c r="T579" s="6">
        <v>40</v>
      </c>
      <c r="U579" s="10">
        <f t="shared" si="18"/>
        <v>35</v>
      </c>
      <c r="W579" s="8">
        <v>0.31401469733715009</v>
      </c>
      <c r="X579" s="8">
        <v>2.719219946861267</v>
      </c>
      <c r="Y579" s="8">
        <f t="shared" si="19"/>
        <v>0.20710236816406624</v>
      </c>
    </row>
    <row r="580" spans="1:25" s="6" customFormat="1" x14ac:dyDescent="0.35">
      <c r="A580" s="6" t="s">
        <v>25</v>
      </c>
      <c r="B580" s="6" t="s">
        <v>1245</v>
      </c>
      <c r="D580" s="6" t="s">
        <v>1240</v>
      </c>
      <c r="E580" s="6">
        <v>3</v>
      </c>
      <c r="F580" s="6">
        <v>34</v>
      </c>
      <c r="G580" s="6" t="s">
        <v>202</v>
      </c>
      <c r="I580" s="8">
        <v>84.533711805555598</v>
      </c>
      <c r="J580" s="8">
        <v>14.277858402777801</v>
      </c>
      <c r="K580" s="6" t="s">
        <v>29</v>
      </c>
      <c r="L580" s="6" t="s">
        <v>335</v>
      </c>
      <c r="M580" s="9">
        <v>43927</v>
      </c>
      <c r="O580" s="6">
        <v>28</v>
      </c>
      <c r="P580" s="6" t="s">
        <v>4359</v>
      </c>
      <c r="R580" s="6">
        <v>40</v>
      </c>
      <c r="S580" s="6">
        <v>40</v>
      </c>
      <c r="T580" s="6">
        <v>50</v>
      </c>
      <c r="U580" s="10">
        <f t="shared" si="18"/>
        <v>45</v>
      </c>
      <c r="W580" s="8">
        <v>0.4267754772245882</v>
      </c>
      <c r="X580" s="8">
        <v>3.6277334976196296</v>
      </c>
      <c r="Y580" s="8">
        <f t="shared" si="19"/>
        <v>0.21352967982292403</v>
      </c>
    </row>
    <row r="581" spans="1:25" s="6" customFormat="1" x14ac:dyDescent="0.35">
      <c r="A581" s="6" t="s">
        <v>25</v>
      </c>
      <c r="B581" s="6" t="s">
        <v>1246</v>
      </c>
      <c r="D581" s="6" t="s">
        <v>1240</v>
      </c>
      <c r="E581" s="6">
        <v>3</v>
      </c>
      <c r="F581" s="6">
        <v>34</v>
      </c>
      <c r="G581" s="6" t="s">
        <v>202</v>
      </c>
      <c r="I581" s="8">
        <v>84.533711805555598</v>
      </c>
      <c r="J581" s="8">
        <v>14.277858402777801</v>
      </c>
      <c r="K581" s="6" t="s">
        <v>29</v>
      </c>
      <c r="L581" s="6" t="s">
        <v>335</v>
      </c>
      <c r="M581" s="9">
        <v>43927</v>
      </c>
      <c r="O581" s="6">
        <v>28</v>
      </c>
      <c r="P581" s="6" t="s">
        <v>4359</v>
      </c>
      <c r="R581" s="6">
        <v>50</v>
      </c>
      <c r="S581" s="6">
        <v>50</v>
      </c>
      <c r="T581" s="6">
        <v>60</v>
      </c>
      <c r="U581" s="10">
        <f t="shared" si="18"/>
        <v>55</v>
      </c>
      <c r="W581" s="8">
        <v>0.74938205596208574</v>
      </c>
      <c r="X581" s="8">
        <v>6.1088734626770016</v>
      </c>
      <c r="Y581" s="8">
        <f t="shared" si="19"/>
        <v>0.11381701498031571</v>
      </c>
    </row>
    <row r="582" spans="1:25" s="6" customFormat="1" x14ac:dyDescent="0.35">
      <c r="A582" s="6" t="s">
        <v>25</v>
      </c>
      <c r="B582" s="6" t="s">
        <v>1247</v>
      </c>
      <c r="D582" s="6" t="s">
        <v>1240</v>
      </c>
      <c r="E582" s="6">
        <v>3</v>
      </c>
      <c r="F582" s="6">
        <v>34</v>
      </c>
      <c r="G582" s="6" t="s">
        <v>202</v>
      </c>
      <c r="I582" s="8">
        <v>84.533711805555598</v>
      </c>
      <c r="J582" s="8">
        <v>14.277858402777801</v>
      </c>
      <c r="K582" s="6" t="s">
        <v>29</v>
      </c>
      <c r="L582" s="6" t="s">
        <v>335</v>
      </c>
      <c r="M582" s="9">
        <v>43927</v>
      </c>
      <c r="O582" s="6">
        <v>28</v>
      </c>
      <c r="P582" s="6" t="s">
        <v>4359</v>
      </c>
      <c r="R582" s="6">
        <v>60</v>
      </c>
      <c r="S582" s="6">
        <v>60</v>
      </c>
      <c r="T582" s="6">
        <v>70</v>
      </c>
      <c r="U582" s="10">
        <f t="shared" si="18"/>
        <v>65</v>
      </c>
      <c r="W582" s="8">
        <v>0.84054979785680728</v>
      </c>
      <c r="X582" s="8">
        <v>6.9819238185882577</v>
      </c>
      <c r="Y582" s="8">
        <f t="shared" si="19"/>
        <v>0.25752543573379949</v>
      </c>
    </row>
    <row r="583" spans="1:25" s="6" customFormat="1" x14ac:dyDescent="0.35">
      <c r="A583" s="6" t="s">
        <v>25</v>
      </c>
      <c r="B583" s="6" t="s">
        <v>1248</v>
      </c>
      <c r="D583" s="6" t="s">
        <v>1240</v>
      </c>
      <c r="E583" s="6">
        <v>3</v>
      </c>
      <c r="F583" s="6">
        <v>34</v>
      </c>
      <c r="G583" s="6" t="s">
        <v>202</v>
      </c>
      <c r="I583" s="8">
        <v>84.533711805555598</v>
      </c>
      <c r="J583" s="8">
        <v>14.277858402777801</v>
      </c>
      <c r="K583" s="6" t="s">
        <v>29</v>
      </c>
      <c r="L583" s="6" t="s">
        <v>335</v>
      </c>
      <c r="M583" s="9">
        <v>43927</v>
      </c>
      <c r="O583" s="6">
        <v>28</v>
      </c>
      <c r="P583" s="6" t="s">
        <v>4359</v>
      </c>
      <c r="R583" s="6">
        <v>70</v>
      </c>
      <c r="S583" s="6">
        <v>70</v>
      </c>
      <c r="T583" s="6">
        <v>80</v>
      </c>
      <c r="U583" s="10">
        <f t="shared" si="18"/>
        <v>75</v>
      </c>
      <c r="W583" s="8">
        <v>0.75333284583091764</v>
      </c>
      <c r="X583" s="8">
        <v>6.5501335620880123</v>
      </c>
      <c r="Y583" s="8">
        <f t="shared" si="19"/>
        <v>0.52347079544067121</v>
      </c>
    </row>
    <row r="584" spans="1:25" s="6" customFormat="1" x14ac:dyDescent="0.35">
      <c r="A584" s="6" t="s">
        <v>25</v>
      </c>
      <c r="B584" s="6" t="s">
        <v>1249</v>
      </c>
      <c r="D584" s="6" t="s">
        <v>1240</v>
      </c>
      <c r="E584" s="6">
        <v>3</v>
      </c>
      <c r="F584" s="6">
        <v>34</v>
      </c>
      <c r="G584" s="6" t="s">
        <v>202</v>
      </c>
      <c r="I584" s="8">
        <v>84.533711805555598</v>
      </c>
      <c r="J584" s="8">
        <v>14.277858402777801</v>
      </c>
      <c r="K584" s="6" t="s">
        <v>29</v>
      </c>
      <c r="L584" s="6" t="s">
        <v>335</v>
      </c>
      <c r="M584" s="9">
        <v>43927</v>
      </c>
      <c r="O584" s="6">
        <v>28</v>
      </c>
      <c r="P584" s="6" t="s">
        <v>4359</v>
      </c>
      <c r="R584" s="6">
        <v>80</v>
      </c>
      <c r="S584" s="6">
        <v>80</v>
      </c>
      <c r="T584" s="6">
        <v>90</v>
      </c>
      <c r="U584" s="10">
        <f t="shared" si="18"/>
        <v>85</v>
      </c>
      <c r="W584" s="8">
        <v>0.36195197402834861</v>
      </c>
      <c r="X584" s="8">
        <v>3.5549897766113281</v>
      </c>
      <c r="Y584" s="8">
        <f t="shared" si="19"/>
        <v>0.6593739843845392</v>
      </c>
    </row>
    <row r="585" spans="1:25" s="6" customFormat="1" x14ac:dyDescent="0.35">
      <c r="A585" s="6" t="s">
        <v>25</v>
      </c>
      <c r="B585" s="6" t="s">
        <v>1250</v>
      </c>
      <c r="D585" s="6" t="s">
        <v>1240</v>
      </c>
      <c r="E585" s="6">
        <v>3</v>
      </c>
      <c r="F585" s="6">
        <v>34</v>
      </c>
      <c r="G585" s="6" t="s">
        <v>202</v>
      </c>
      <c r="I585" s="8">
        <v>84.533711805555598</v>
      </c>
      <c r="J585" s="8">
        <v>14.277858402777801</v>
      </c>
      <c r="K585" s="6" t="s">
        <v>29</v>
      </c>
      <c r="L585" s="6" t="s">
        <v>335</v>
      </c>
      <c r="M585" s="9">
        <v>43927</v>
      </c>
      <c r="O585" s="6">
        <v>28</v>
      </c>
      <c r="P585" s="6" t="s">
        <v>4359</v>
      </c>
      <c r="R585" s="6">
        <v>90</v>
      </c>
      <c r="S585" s="6">
        <v>90</v>
      </c>
      <c r="T585" s="6">
        <v>100</v>
      </c>
      <c r="U585" s="10">
        <f t="shared" si="18"/>
        <v>95</v>
      </c>
      <c r="W585" s="8">
        <v>0.11317237704396212</v>
      </c>
      <c r="X585" s="8">
        <v>1.5427320384979248</v>
      </c>
      <c r="Y585" s="8">
        <f t="shared" si="19"/>
        <v>0.63735302214622791</v>
      </c>
    </row>
    <row r="586" spans="1:25" s="6" customFormat="1" x14ac:dyDescent="0.35">
      <c r="A586" s="6" t="s">
        <v>25</v>
      </c>
      <c r="B586" s="6" t="s">
        <v>1251</v>
      </c>
      <c r="D586" s="6" t="s">
        <v>1240</v>
      </c>
      <c r="E586" s="6">
        <v>3</v>
      </c>
      <c r="F586" s="6">
        <v>34</v>
      </c>
      <c r="G586" s="6" t="s">
        <v>202</v>
      </c>
      <c r="I586" s="8">
        <v>84.533711805555598</v>
      </c>
      <c r="J586" s="8">
        <v>14.277858402777801</v>
      </c>
      <c r="K586" s="6" t="s">
        <v>29</v>
      </c>
      <c r="L586" s="6" t="s">
        <v>335</v>
      </c>
      <c r="M586" s="9">
        <v>43927</v>
      </c>
      <c r="O586" s="6">
        <v>28</v>
      </c>
      <c r="P586" s="6" t="s">
        <v>4359</v>
      </c>
      <c r="R586" s="6">
        <v>100</v>
      </c>
      <c r="S586" s="6">
        <v>100</v>
      </c>
      <c r="T586" s="6">
        <v>110</v>
      </c>
      <c r="U586" s="10">
        <f t="shared" si="18"/>
        <v>105</v>
      </c>
      <c r="W586" s="8">
        <v>-3.9374892449379348E-2</v>
      </c>
      <c r="X586" s="8">
        <v>0.12861275672912587</v>
      </c>
      <c r="Y586" s="8">
        <f t="shared" si="19"/>
        <v>0.44361189632416065</v>
      </c>
    </row>
    <row r="587" spans="1:25" s="6" customFormat="1" x14ac:dyDescent="0.35">
      <c r="A587" s="6" t="s">
        <v>25</v>
      </c>
      <c r="B587" s="6" t="s">
        <v>1252</v>
      </c>
      <c r="D587" s="6" t="s">
        <v>1240</v>
      </c>
      <c r="E587" s="6">
        <v>3</v>
      </c>
      <c r="F587" s="6">
        <v>34</v>
      </c>
      <c r="G587" s="6" t="s">
        <v>202</v>
      </c>
      <c r="I587" s="8">
        <v>84.533711805555598</v>
      </c>
      <c r="J587" s="8">
        <v>14.277858402777801</v>
      </c>
      <c r="K587" s="6" t="s">
        <v>29</v>
      </c>
      <c r="L587" s="6" t="s">
        <v>335</v>
      </c>
      <c r="M587" s="9">
        <v>43927</v>
      </c>
      <c r="O587" s="6">
        <v>28</v>
      </c>
      <c r="P587" s="6" t="s">
        <v>4359</v>
      </c>
      <c r="R587" s="6">
        <v>110</v>
      </c>
      <c r="S587" s="6">
        <v>110</v>
      </c>
      <c r="T587" s="6">
        <v>120</v>
      </c>
      <c r="U587" s="10">
        <f t="shared" si="18"/>
        <v>115</v>
      </c>
      <c r="W587" s="8">
        <v>-0.10006457871794699</v>
      </c>
      <c r="X587" s="8">
        <v>-0.93801556944847153</v>
      </c>
      <c r="Y587" s="8">
        <f t="shared" si="19"/>
        <v>-0.13749893970489557</v>
      </c>
    </row>
    <row r="588" spans="1:25" s="6" customFormat="1" x14ac:dyDescent="0.35">
      <c r="A588" s="6" t="s">
        <v>25</v>
      </c>
      <c r="B588" s="6" t="s">
        <v>1253</v>
      </c>
      <c r="D588" s="6" t="s">
        <v>1240</v>
      </c>
      <c r="E588" s="6">
        <v>3</v>
      </c>
      <c r="F588" s="6">
        <v>34</v>
      </c>
      <c r="G588" s="6" t="s">
        <v>202</v>
      </c>
      <c r="I588" s="8">
        <v>84.533711805555598</v>
      </c>
      <c r="J588" s="8">
        <v>14.277858402777801</v>
      </c>
      <c r="K588" s="6" t="s">
        <v>29</v>
      </c>
      <c r="L588" s="6" t="s">
        <v>335</v>
      </c>
      <c r="M588" s="9">
        <v>43927</v>
      </c>
      <c r="O588" s="6">
        <v>28</v>
      </c>
      <c r="P588" s="6" t="s">
        <v>4359</v>
      </c>
      <c r="R588" s="6">
        <v>120</v>
      </c>
      <c r="S588" s="6">
        <v>120</v>
      </c>
      <c r="T588" s="6">
        <v>130</v>
      </c>
      <c r="U588" s="10">
        <f t="shared" si="18"/>
        <v>125</v>
      </c>
      <c r="W588" s="8">
        <v>-0.12746951048672239</v>
      </c>
      <c r="X588" s="8">
        <v>-0.84778154377639303</v>
      </c>
      <c r="Y588" s="8">
        <f t="shared" si="19"/>
        <v>0.17197454011738611</v>
      </c>
    </row>
    <row r="589" spans="1:25" s="6" customFormat="1" x14ac:dyDescent="0.35">
      <c r="A589" s="6" t="s">
        <v>25</v>
      </c>
      <c r="B589" s="6" t="s">
        <v>1254</v>
      </c>
      <c r="D589" s="6" t="s">
        <v>1240</v>
      </c>
      <c r="E589" s="6">
        <v>3</v>
      </c>
      <c r="F589" s="6">
        <v>34</v>
      </c>
      <c r="G589" s="6" t="s">
        <v>202</v>
      </c>
      <c r="I589" s="8">
        <v>84.533711805555598</v>
      </c>
      <c r="J589" s="8">
        <v>14.277858402777801</v>
      </c>
      <c r="K589" s="6" t="s">
        <v>29</v>
      </c>
      <c r="L589" s="6" t="s">
        <v>335</v>
      </c>
      <c r="M589" s="9">
        <v>43927</v>
      </c>
      <c r="O589" s="6">
        <v>28</v>
      </c>
      <c r="P589" s="6" t="s">
        <v>4359</v>
      </c>
      <c r="R589" s="6">
        <v>130</v>
      </c>
      <c r="S589" s="6">
        <v>130</v>
      </c>
      <c r="T589" s="6">
        <v>140</v>
      </c>
      <c r="U589" s="10">
        <f t="shared" si="18"/>
        <v>135</v>
      </c>
      <c r="W589" s="8">
        <v>0.1615549732461567</v>
      </c>
      <c r="X589" s="8">
        <v>1.3553138236999511</v>
      </c>
      <c r="Y589" s="8">
        <f t="shared" si="19"/>
        <v>6.2874037730697552E-2</v>
      </c>
    </row>
    <row r="590" spans="1:25" s="6" customFormat="1" x14ac:dyDescent="0.35">
      <c r="A590" s="6" t="s">
        <v>25</v>
      </c>
      <c r="B590" s="6" t="s">
        <v>1255</v>
      </c>
      <c r="D590" s="6" t="s">
        <v>1240</v>
      </c>
      <c r="E590" s="6">
        <v>3</v>
      </c>
      <c r="F590" s="6">
        <v>34</v>
      </c>
      <c r="G590" s="6" t="s">
        <v>202</v>
      </c>
      <c r="I590" s="8">
        <v>84.533711805555598</v>
      </c>
      <c r="J590" s="8">
        <v>14.277858402777801</v>
      </c>
      <c r="K590" s="6" t="s">
        <v>29</v>
      </c>
      <c r="L590" s="6" t="s">
        <v>335</v>
      </c>
      <c r="M590" s="9">
        <v>43927</v>
      </c>
      <c r="O590" s="6">
        <v>28</v>
      </c>
      <c r="P590" s="6" t="s">
        <v>4359</v>
      </c>
      <c r="R590" s="6">
        <v>140</v>
      </c>
      <c r="S590" s="6">
        <v>140</v>
      </c>
      <c r="T590" s="6">
        <v>150</v>
      </c>
      <c r="U590" s="10">
        <f t="shared" si="18"/>
        <v>145</v>
      </c>
      <c r="W590" s="8">
        <v>0.4264890546739098</v>
      </c>
      <c r="X590" s="8">
        <v>3.934829404830932</v>
      </c>
      <c r="Y590" s="8">
        <f t="shared" si="19"/>
        <v>0.52291696743965366</v>
      </c>
    </row>
    <row r="591" spans="1:25" s="6" customFormat="1" x14ac:dyDescent="0.35">
      <c r="A591" s="6" t="s">
        <v>25</v>
      </c>
      <c r="B591" s="6" t="s">
        <v>1256</v>
      </c>
      <c r="D591" s="6" t="s">
        <v>1240</v>
      </c>
      <c r="E591" s="6">
        <v>3</v>
      </c>
      <c r="F591" s="6">
        <v>34</v>
      </c>
      <c r="G591" s="6" t="s">
        <v>202</v>
      </c>
      <c r="I591" s="8">
        <v>84.533711805555598</v>
      </c>
      <c r="J591" s="8">
        <v>14.277858402777801</v>
      </c>
      <c r="K591" s="6" t="s">
        <v>29</v>
      </c>
      <c r="L591" s="6" t="s">
        <v>335</v>
      </c>
      <c r="M591" s="9">
        <v>43927</v>
      </c>
      <c r="O591" s="6">
        <v>28</v>
      </c>
      <c r="P591" s="6" t="s">
        <v>4359</v>
      </c>
      <c r="R591" s="6">
        <v>150</v>
      </c>
      <c r="S591" s="6">
        <v>150</v>
      </c>
      <c r="T591" s="6">
        <v>160</v>
      </c>
      <c r="U591" s="10">
        <f t="shared" si="18"/>
        <v>155</v>
      </c>
      <c r="W591" s="8">
        <v>0.69872890641689267</v>
      </c>
      <c r="X591" s="8">
        <v>5.7196599750518802</v>
      </c>
      <c r="Y591" s="8">
        <f t="shared" si="19"/>
        <v>0.12982872371673881</v>
      </c>
    </row>
    <row r="592" spans="1:25" s="6" customFormat="1" x14ac:dyDescent="0.35">
      <c r="A592" s="6" t="s">
        <v>25</v>
      </c>
      <c r="B592" s="6" t="s">
        <v>1257</v>
      </c>
      <c r="D592" s="6" t="s">
        <v>1240</v>
      </c>
      <c r="E592" s="6">
        <v>3</v>
      </c>
      <c r="F592" s="6">
        <v>34</v>
      </c>
      <c r="G592" s="6" t="s">
        <v>202</v>
      </c>
      <c r="I592" s="8">
        <v>84.533711805555598</v>
      </c>
      <c r="J592" s="8">
        <v>14.277858402777801</v>
      </c>
      <c r="K592" s="6" t="s">
        <v>29</v>
      </c>
      <c r="L592" s="6" t="s">
        <v>335</v>
      </c>
      <c r="M592" s="9">
        <v>43927</v>
      </c>
      <c r="O592" s="6">
        <v>28</v>
      </c>
      <c r="P592" s="6" t="s">
        <v>4359</v>
      </c>
      <c r="R592" s="6">
        <v>160</v>
      </c>
      <c r="S592" s="6">
        <v>160</v>
      </c>
      <c r="T592" s="6">
        <v>163</v>
      </c>
      <c r="U592" s="10">
        <f t="shared" si="18"/>
        <v>161.5</v>
      </c>
      <c r="W592" s="8">
        <v>1.1466270573377606</v>
      </c>
      <c r="X592" s="8">
        <v>9.479408176422119</v>
      </c>
      <c r="Y592" s="8">
        <f t="shared" si="19"/>
        <v>0.30639171772003415</v>
      </c>
    </row>
    <row r="593" spans="1:25" s="6" customFormat="1" x14ac:dyDescent="0.35">
      <c r="A593" s="6" t="s">
        <v>25</v>
      </c>
      <c r="B593" s="6" t="s">
        <v>1290</v>
      </c>
      <c r="D593" s="6" t="s">
        <v>1291</v>
      </c>
      <c r="E593" s="6">
        <v>3</v>
      </c>
      <c r="F593" s="6">
        <v>35</v>
      </c>
      <c r="G593" s="6" t="s">
        <v>345</v>
      </c>
      <c r="I593" s="8">
        <v>84.322834374999999</v>
      </c>
      <c r="J593" s="8">
        <v>14.725811041666701</v>
      </c>
      <c r="K593" s="6" t="s">
        <v>29</v>
      </c>
      <c r="L593" s="6" t="s">
        <v>335</v>
      </c>
      <c r="M593" s="9">
        <v>43931</v>
      </c>
      <c r="O593" s="6">
        <v>28</v>
      </c>
      <c r="P593" s="6" t="s">
        <v>4362</v>
      </c>
      <c r="R593" s="6">
        <v>0</v>
      </c>
      <c r="S593" s="6">
        <v>0</v>
      </c>
      <c r="T593" s="6">
        <v>10</v>
      </c>
      <c r="U593" s="10">
        <f t="shared" si="18"/>
        <v>5</v>
      </c>
      <c r="W593" s="8">
        <v>-0.4035621675312519</v>
      </c>
      <c r="X593" s="8">
        <v>-4.6784298655986785</v>
      </c>
      <c r="Y593" s="8">
        <f t="shared" si="19"/>
        <v>-1.4499325253486632</v>
      </c>
    </row>
    <row r="594" spans="1:25" s="6" customFormat="1" x14ac:dyDescent="0.35">
      <c r="A594" s="6" t="s">
        <v>25</v>
      </c>
      <c r="B594" s="6" t="s">
        <v>1292</v>
      </c>
      <c r="D594" s="6" t="s">
        <v>1291</v>
      </c>
      <c r="E594" s="6">
        <v>3</v>
      </c>
      <c r="F594" s="6">
        <v>35</v>
      </c>
      <c r="G594" s="6" t="s">
        <v>345</v>
      </c>
      <c r="I594" s="8">
        <v>84.322834374999999</v>
      </c>
      <c r="J594" s="8">
        <v>14.725811041666701</v>
      </c>
      <c r="K594" s="6" t="s">
        <v>29</v>
      </c>
      <c r="L594" s="6" t="s">
        <v>335</v>
      </c>
      <c r="M594" s="9">
        <v>43931</v>
      </c>
      <c r="O594" s="6">
        <v>28</v>
      </c>
      <c r="P594" s="6" t="s">
        <v>4362</v>
      </c>
      <c r="R594" s="6">
        <v>10</v>
      </c>
      <c r="S594" s="6">
        <v>10</v>
      </c>
      <c r="T594" s="6">
        <v>20</v>
      </c>
      <c r="U594" s="10">
        <f t="shared" si="18"/>
        <v>15</v>
      </c>
      <c r="W594" s="8">
        <v>-0.29743518011867998</v>
      </c>
      <c r="X594" s="8">
        <v>-2.4941946256160734</v>
      </c>
      <c r="Y594" s="8">
        <f t="shared" si="19"/>
        <v>-0.11471318466663361</v>
      </c>
    </row>
    <row r="595" spans="1:25" s="6" customFormat="1" x14ac:dyDescent="0.35">
      <c r="A595" s="6" t="s">
        <v>25</v>
      </c>
      <c r="B595" s="6" t="s">
        <v>1293</v>
      </c>
      <c r="D595" s="6" t="s">
        <v>1291</v>
      </c>
      <c r="E595" s="6">
        <v>3</v>
      </c>
      <c r="F595" s="6">
        <v>35</v>
      </c>
      <c r="G595" s="6" t="s">
        <v>345</v>
      </c>
      <c r="I595" s="8">
        <v>84.322834374999999</v>
      </c>
      <c r="J595" s="8">
        <v>14.725811041666701</v>
      </c>
      <c r="K595" s="6" t="s">
        <v>29</v>
      </c>
      <c r="L595" s="6" t="s">
        <v>335</v>
      </c>
      <c r="M595" s="9">
        <v>43931</v>
      </c>
      <c r="O595" s="6">
        <v>28</v>
      </c>
      <c r="P595" s="6" t="s">
        <v>4362</v>
      </c>
      <c r="R595" s="6">
        <v>20</v>
      </c>
      <c r="S595" s="6">
        <v>20</v>
      </c>
      <c r="T595" s="6">
        <v>30</v>
      </c>
      <c r="U595" s="10">
        <f t="shared" si="18"/>
        <v>25</v>
      </c>
      <c r="W595" s="8">
        <v>0.67485944037437418</v>
      </c>
      <c r="X595" s="8">
        <v>5.2254140815734864</v>
      </c>
      <c r="Y595" s="8">
        <f t="shared" si="19"/>
        <v>-0.17346144142150699</v>
      </c>
    </row>
    <row r="596" spans="1:25" s="6" customFormat="1" x14ac:dyDescent="0.35">
      <c r="A596" s="6" t="s">
        <v>25</v>
      </c>
      <c r="B596" s="6" t="s">
        <v>1294</v>
      </c>
      <c r="D596" s="6" t="s">
        <v>1291</v>
      </c>
      <c r="E596" s="6">
        <v>3</v>
      </c>
      <c r="F596" s="6">
        <v>35</v>
      </c>
      <c r="G596" s="6" t="s">
        <v>345</v>
      </c>
      <c r="I596" s="8">
        <v>84.322834374999999</v>
      </c>
      <c r="J596" s="8">
        <v>14.725811041666701</v>
      </c>
      <c r="K596" s="6" t="s">
        <v>29</v>
      </c>
      <c r="L596" s="6" t="s">
        <v>335</v>
      </c>
      <c r="M596" s="9">
        <v>43931</v>
      </c>
      <c r="O596" s="6">
        <v>28</v>
      </c>
      <c r="P596" s="6" t="s">
        <v>4362</v>
      </c>
      <c r="R596" s="6">
        <v>30</v>
      </c>
      <c r="S596" s="6">
        <v>30</v>
      </c>
      <c r="T596" s="6">
        <v>40</v>
      </c>
      <c r="U596" s="10">
        <f t="shared" si="18"/>
        <v>35</v>
      </c>
      <c r="W596" s="8">
        <v>1.1045938758850096</v>
      </c>
      <c r="X596" s="8">
        <v>7.6948680744171138</v>
      </c>
      <c r="Y596" s="8">
        <f t="shared" si="19"/>
        <v>-1.1418829326629627</v>
      </c>
    </row>
    <row r="597" spans="1:25" s="6" customFormat="1" x14ac:dyDescent="0.35">
      <c r="A597" s="6" t="s">
        <v>25</v>
      </c>
      <c r="B597" s="6" t="s">
        <v>1295</v>
      </c>
      <c r="D597" s="6" t="s">
        <v>1291</v>
      </c>
      <c r="E597" s="6">
        <v>3</v>
      </c>
      <c r="F597" s="6">
        <v>35</v>
      </c>
      <c r="G597" s="6" t="s">
        <v>345</v>
      </c>
      <c r="I597" s="8">
        <v>84.322834374999999</v>
      </c>
      <c r="J597" s="8">
        <v>14.725811041666701</v>
      </c>
      <c r="K597" s="6" t="s">
        <v>29</v>
      </c>
      <c r="L597" s="6" t="s">
        <v>335</v>
      </c>
      <c r="M597" s="9">
        <v>43931</v>
      </c>
      <c r="O597" s="6">
        <v>28</v>
      </c>
      <c r="P597" s="6" t="s">
        <v>4362</v>
      </c>
      <c r="R597" s="6">
        <v>40</v>
      </c>
      <c r="S597" s="6">
        <v>40</v>
      </c>
      <c r="T597" s="6">
        <v>50</v>
      </c>
      <c r="U597" s="10">
        <f t="shared" si="18"/>
        <v>45</v>
      </c>
      <c r="W597" s="8">
        <v>0.85008371460437759</v>
      </c>
      <c r="X597" s="8">
        <v>6.3279973993301395</v>
      </c>
      <c r="Y597" s="8">
        <f t="shared" si="19"/>
        <v>-0.47267231750488126</v>
      </c>
    </row>
    <row r="598" spans="1:25" s="6" customFormat="1" x14ac:dyDescent="0.35">
      <c r="A598" s="6" t="s">
        <v>25</v>
      </c>
      <c r="B598" s="6" t="s">
        <v>1296</v>
      </c>
      <c r="D598" s="6" t="s">
        <v>1291</v>
      </c>
      <c r="E598" s="6">
        <v>3</v>
      </c>
      <c r="F598" s="6">
        <v>35</v>
      </c>
      <c r="G598" s="6" t="s">
        <v>345</v>
      </c>
      <c r="I598" s="8">
        <v>84.322834374999999</v>
      </c>
      <c r="J598" s="8">
        <v>14.725811041666701</v>
      </c>
      <c r="K598" s="6" t="s">
        <v>29</v>
      </c>
      <c r="L598" s="6" t="s">
        <v>335</v>
      </c>
      <c r="M598" s="9">
        <v>43931</v>
      </c>
      <c r="O598" s="6">
        <v>28</v>
      </c>
      <c r="P598" s="6" t="s">
        <v>4362</v>
      </c>
      <c r="R598" s="6">
        <v>50</v>
      </c>
      <c r="S598" s="6">
        <v>50</v>
      </c>
      <c r="T598" s="6">
        <v>60</v>
      </c>
      <c r="U598" s="10">
        <f t="shared" si="18"/>
        <v>55</v>
      </c>
      <c r="W598" s="8">
        <v>0.77770562756061601</v>
      </c>
      <c r="X598" s="8">
        <v>6.0129114980697631</v>
      </c>
      <c r="Y598" s="8">
        <f t="shared" si="19"/>
        <v>-0.20873352241516496</v>
      </c>
    </row>
    <row r="599" spans="1:25" s="6" customFormat="1" x14ac:dyDescent="0.35">
      <c r="A599" s="6" t="s">
        <v>25</v>
      </c>
      <c r="B599" s="6" t="s">
        <v>1297</v>
      </c>
      <c r="D599" s="6" t="s">
        <v>1291</v>
      </c>
      <c r="E599" s="6">
        <v>3</v>
      </c>
      <c r="F599" s="6">
        <v>35</v>
      </c>
      <c r="G599" s="6" t="s">
        <v>345</v>
      </c>
      <c r="I599" s="8">
        <v>84.322834374999999</v>
      </c>
      <c r="J599" s="8">
        <v>14.725811041666701</v>
      </c>
      <c r="K599" s="6" t="s">
        <v>29</v>
      </c>
      <c r="L599" s="6" t="s">
        <v>335</v>
      </c>
      <c r="M599" s="9">
        <v>43931</v>
      </c>
      <c r="O599" s="6">
        <v>28</v>
      </c>
      <c r="P599" s="6" t="s">
        <v>4362</v>
      </c>
      <c r="R599" s="6">
        <v>60</v>
      </c>
      <c r="S599" s="6">
        <v>60</v>
      </c>
      <c r="T599" s="6">
        <v>70</v>
      </c>
      <c r="U599" s="10">
        <f t="shared" si="18"/>
        <v>65</v>
      </c>
      <c r="W599" s="8">
        <v>0.62020063269138304</v>
      </c>
      <c r="X599" s="8">
        <v>5.0760448207855235</v>
      </c>
      <c r="Y599" s="8">
        <f t="shared" si="19"/>
        <v>0.11443975925445926</v>
      </c>
    </row>
    <row r="600" spans="1:25" s="6" customFormat="1" x14ac:dyDescent="0.35">
      <c r="A600" s="6" t="s">
        <v>25</v>
      </c>
      <c r="B600" s="6" t="s">
        <v>1298</v>
      </c>
      <c r="D600" s="6" t="s">
        <v>1291</v>
      </c>
      <c r="E600" s="6">
        <v>3</v>
      </c>
      <c r="F600" s="6">
        <v>35</v>
      </c>
      <c r="G600" s="6" t="s">
        <v>345</v>
      </c>
      <c r="I600" s="8">
        <v>84.322834374999999</v>
      </c>
      <c r="J600" s="8">
        <v>14.725811041666701</v>
      </c>
      <c r="K600" s="6" t="s">
        <v>29</v>
      </c>
      <c r="L600" s="6" t="s">
        <v>335</v>
      </c>
      <c r="M600" s="9">
        <v>43931</v>
      </c>
      <c r="O600" s="6">
        <v>28</v>
      </c>
      <c r="P600" s="6" t="s">
        <v>4362</v>
      </c>
      <c r="R600" s="6">
        <v>70</v>
      </c>
      <c r="S600" s="6">
        <v>70</v>
      </c>
      <c r="T600" s="6">
        <v>80</v>
      </c>
      <c r="U600" s="10">
        <f t="shared" si="18"/>
        <v>75</v>
      </c>
      <c r="W600" s="8">
        <v>0.17147112178802537</v>
      </c>
      <c r="X600" s="8">
        <v>1.0719911384582519</v>
      </c>
      <c r="Y600" s="8">
        <f t="shared" si="19"/>
        <v>-0.29977783584595108</v>
      </c>
    </row>
    <row r="601" spans="1:25" s="6" customFormat="1" x14ac:dyDescent="0.35">
      <c r="A601" s="6" t="s">
        <v>25</v>
      </c>
      <c r="B601" s="6" t="s">
        <v>1299</v>
      </c>
      <c r="D601" s="6" t="s">
        <v>1291</v>
      </c>
      <c r="E601" s="6">
        <v>3</v>
      </c>
      <c r="F601" s="6">
        <v>35</v>
      </c>
      <c r="G601" s="6" t="s">
        <v>345</v>
      </c>
      <c r="I601" s="8">
        <v>84.322834374999999</v>
      </c>
      <c r="J601" s="8">
        <v>14.725811041666701</v>
      </c>
      <c r="K601" s="6" t="s">
        <v>29</v>
      </c>
      <c r="L601" s="6" t="s">
        <v>335</v>
      </c>
      <c r="M601" s="9">
        <v>43931</v>
      </c>
      <c r="O601" s="6">
        <v>28</v>
      </c>
      <c r="P601" s="6" t="s">
        <v>4362</v>
      </c>
      <c r="R601" s="6">
        <v>80</v>
      </c>
      <c r="S601" s="6">
        <v>80</v>
      </c>
      <c r="T601" s="6">
        <v>90</v>
      </c>
      <c r="U601" s="10">
        <f t="shared" si="18"/>
        <v>85</v>
      </c>
      <c r="W601" s="8">
        <v>9.919571906327973E-3</v>
      </c>
      <c r="X601" s="8">
        <v>-1.9272493124007747E-2</v>
      </c>
      <c r="Y601" s="8">
        <f t="shared" si="19"/>
        <v>-9.8629068374631534E-2</v>
      </c>
    </row>
    <row r="602" spans="1:25" s="6" customFormat="1" x14ac:dyDescent="0.35">
      <c r="A602" s="6" t="s">
        <v>25</v>
      </c>
      <c r="B602" s="6" t="s">
        <v>1300</v>
      </c>
      <c r="D602" s="6" t="s">
        <v>1291</v>
      </c>
      <c r="E602" s="6">
        <v>3</v>
      </c>
      <c r="F602" s="6">
        <v>35</v>
      </c>
      <c r="G602" s="6" t="s">
        <v>345</v>
      </c>
      <c r="I602" s="8">
        <v>84.322834374999999</v>
      </c>
      <c r="J602" s="8">
        <v>14.725811041666701</v>
      </c>
      <c r="K602" s="6" t="s">
        <v>29</v>
      </c>
      <c r="L602" s="6" t="s">
        <v>335</v>
      </c>
      <c r="M602" s="9">
        <v>43931</v>
      </c>
      <c r="O602" s="6">
        <v>28</v>
      </c>
      <c r="P602" s="6" t="s">
        <v>4362</v>
      </c>
      <c r="R602" s="6">
        <v>90</v>
      </c>
      <c r="S602" s="6">
        <v>90</v>
      </c>
      <c r="T602" s="6">
        <v>100</v>
      </c>
      <c r="U602" s="10">
        <f t="shared" si="18"/>
        <v>95</v>
      </c>
      <c r="W602" s="8">
        <v>-0.22100803714990583</v>
      </c>
      <c r="X602" s="8">
        <v>-2.2767839605808255</v>
      </c>
      <c r="Y602" s="8">
        <f t="shared" si="19"/>
        <v>-0.50871966338157892</v>
      </c>
    </row>
    <row r="603" spans="1:25" s="6" customFormat="1" x14ac:dyDescent="0.35">
      <c r="A603" s="6" t="s">
        <v>25</v>
      </c>
      <c r="B603" s="6" t="s">
        <v>1301</v>
      </c>
      <c r="D603" s="6" t="s">
        <v>1291</v>
      </c>
      <c r="E603" s="6">
        <v>3</v>
      </c>
      <c r="F603" s="6">
        <v>35</v>
      </c>
      <c r="G603" s="6" t="s">
        <v>345</v>
      </c>
      <c r="I603" s="8">
        <v>84.322834374999999</v>
      </c>
      <c r="J603" s="8">
        <v>14.725811041666701</v>
      </c>
      <c r="K603" s="6" t="s">
        <v>29</v>
      </c>
      <c r="L603" s="6" t="s">
        <v>335</v>
      </c>
      <c r="M603" s="9">
        <v>43931</v>
      </c>
      <c r="O603" s="6">
        <v>28</v>
      </c>
      <c r="P603" s="6" t="s">
        <v>4362</v>
      </c>
      <c r="R603" s="6">
        <v>100</v>
      </c>
      <c r="S603" s="6">
        <v>100</v>
      </c>
      <c r="T603" s="6">
        <v>110</v>
      </c>
      <c r="U603" s="10">
        <f t="shared" si="18"/>
        <v>105</v>
      </c>
      <c r="W603" s="8">
        <v>-0.19674165022373205</v>
      </c>
      <c r="X603" s="8">
        <v>-1.5199945356994868</v>
      </c>
      <c r="Y603" s="8">
        <f t="shared" si="19"/>
        <v>5.3938666090369569E-2</v>
      </c>
    </row>
    <row r="604" spans="1:25" s="6" customFormat="1" x14ac:dyDescent="0.35">
      <c r="A604" s="6" t="s">
        <v>25</v>
      </c>
      <c r="B604" s="6" t="s">
        <v>1302</v>
      </c>
      <c r="D604" s="6" t="s">
        <v>1291</v>
      </c>
      <c r="E604" s="6">
        <v>3</v>
      </c>
      <c r="F604" s="6">
        <v>35</v>
      </c>
      <c r="G604" s="6" t="s">
        <v>345</v>
      </c>
      <c r="I604" s="8">
        <v>84.322834374999999</v>
      </c>
      <c r="J604" s="8">
        <v>14.725811041666701</v>
      </c>
      <c r="K604" s="6" t="s">
        <v>29</v>
      </c>
      <c r="L604" s="6" t="s">
        <v>335</v>
      </c>
      <c r="M604" s="9">
        <v>43931</v>
      </c>
      <c r="O604" s="6">
        <v>28</v>
      </c>
      <c r="P604" s="6" t="s">
        <v>4362</v>
      </c>
      <c r="R604" s="6">
        <v>110</v>
      </c>
      <c r="S604" s="6">
        <v>110</v>
      </c>
      <c r="T604" s="6">
        <v>120</v>
      </c>
      <c r="U604" s="10">
        <f t="shared" si="18"/>
        <v>115</v>
      </c>
      <c r="W604" s="8">
        <v>-0.18709924530982983</v>
      </c>
      <c r="X604" s="8">
        <v>-1.490554967187345</v>
      </c>
      <c r="Y604" s="8">
        <f t="shared" si="19"/>
        <v>6.2389952912935698E-3</v>
      </c>
    </row>
    <row r="605" spans="1:25" s="6" customFormat="1" x14ac:dyDescent="0.35">
      <c r="A605" s="6" t="s">
        <v>25</v>
      </c>
      <c r="B605" s="6" t="s">
        <v>1303</v>
      </c>
      <c r="D605" s="6" t="s">
        <v>1291</v>
      </c>
      <c r="E605" s="6">
        <v>3</v>
      </c>
      <c r="F605" s="6">
        <v>35</v>
      </c>
      <c r="G605" s="6" t="s">
        <v>345</v>
      </c>
      <c r="I605" s="8">
        <v>84.322834374999999</v>
      </c>
      <c r="J605" s="8">
        <v>14.725811041666701</v>
      </c>
      <c r="K605" s="6" t="s">
        <v>29</v>
      </c>
      <c r="L605" s="6" t="s">
        <v>335</v>
      </c>
      <c r="M605" s="9">
        <v>43931</v>
      </c>
      <c r="O605" s="6">
        <v>28</v>
      </c>
      <c r="P605" s="6" t="s">
        <v>4362</v>
      </c>
      <c r="R605" s="6">
        <v>120</v>
      </c>
      <c r="S605" s="6">
        <v>120</v>
      </c>
      <c r="T605" s="6">
        <v>130</v>
      </c>
      <c r="U605" s="10">
        <f t="shared" si="18"/>
        <v>125</v>
      </c>
      <c r="W605" s="8">
        <v>3.6321276409551372E-2</v>
      </c>
      <c r="X605" s="8">
        <v>0.51639738798141477</v>
      </c>
      <c r="Y605" s="8">
        <f t="shared" si="19"/>
        <v>0.2258271767050038</v>
      </c>
    </row>
    <row r="606" spans="1:25" s="6" customFormat="1" x14ac:dyDescent="0.35">
      <c r="A606" s="6" t="s">
        <v>25</v>
      </c>
      <c r="B606" s="6" t="s">
        <v>1304</v>
      </c>
      <c r="D606" s="6" t="s">
        <v>1291</v>
      </c>
      <c r="E606" s="6">
        <v>3</v>
      </c>
      <c r="F606" s="6">
        <v>35</v>
      </c>
      <c r="G606" s="6" t="s">
        <v>345</v>
      </c>
      <c r="I606" s="8">
        <v>84.322834374999999</v>
      </c>
      <c r="J606" s="8">
        <v>14.725811041666701</v>
      </c>
      <c r="K606" s="6" t="s">
        <v>29</v>
      </c>
      <c r="L606" s="6" t="s">
        <v>335</v>
      </c>
      <c r="M606" s="9">
        <v>43931</v>
      </c>
      <c r="O606" s="6">
        <v>28</v>
      </c>
      <c r="P606" s="6" t="s">
        <v>4362</v>
      </c>
      <c r="R606" s="6">
        <v>130</v>
      </c>
      <c r="S606" s="6">
        <v>130</v>
      </c>
      <c r="T606" s="6">
        <v>140</v>
      </c>
      <c r="U606" s="10">
        <f t="shared" si="18"/>
        <v>135</v>
      </c>
      <c r="W606" s="8">
        <v>0.38615735191106837</v>
      </c>
      <c r="X606" s="8">
        <v>2.9610918636322028</v>
      </c>
      <c r="Y606" s="8">
        <f t="shared" si="19"/>
        <v>-0.12816695165634417</v>
      </c>
    </row>
    <row r="607" spans="1:25" s="6" customFormat="1" x14ac:dyDescent="0.35">
      <c r="A607" s="6" t="s">
        <v>25</v>
      </c>
      <c r="B607" s="6" t="s">
        <v>1305</v>
      </c>
      <c r="D607" s="6" t="s">
        <v>1291</v>
      </c>
      <c r="E607" s="6">
        <v>3</v>
      </c>
      <c r="F607" s="6">
        <v>35</v>
      </c>
      <c r="G607" s="6" t="s">
        <v>345</v>
      </c>
      <c r="I607" s="8">
        <v>84.322834374999999</v>
      </c>
      <c r="J607" s="8">
        <v>14.725811041666701</v>
      </c>
      <c r="K607" s="6" t="s">
        <v>29</v>
      </c>
      <c r="L607" s="6" t="s">
        <v>335</v>
      </c>
      <c r="M607" s="9">
        <v>43931</v>
      </c>
      <c r="O607" s="6">
        <v>28</v>
      </c>
      <c r="P607" s="6" t="s">
        <v>4362</v>
      </c>
      <c r="R607" s="6">
        <v>140</v>
      </c>
      <c r="S607" s="6">
        <v>140</v>
      </c>
      <c r="T607" s="6">
        <v>150</v>
      </c>
      <c r="U607" s="10">
        <f t="shared" si="18"/>
        <v>145</v>
      </c>
      <c r="W607" s="8">
        <v>0.50790722984075587</v>
      </c>
      <c r="X607" s="8">
        <v>4.0992637577056872</v>
      </c>
      <c r="Y607" s="8">
        <f t="shared" si="19"/>
        <v>3.6005918979640228E-2</v>
      </c>
    </row>
    <row r="608" spans="1:25" s="6" customFormat="1" x14ac:dyDescent="0.35">
      <c r="A608" s="6" t="s">
        <v>25</v>
      </c>
      <c r="B608" s="6" t="s">
        <v>1306</v>
      </c>
      <c r="D608" s="6" t="s">
        <v>1291</v>
      </c>
      <c r="E608" s="6">
        <v>3</v>
      </c>
      <c r="F608" s="6">
        <v>35</v>
      </c>
      <c r="G608" s="6" t="s">
        <v>345</v>
      </c>
      <c r="I608" s="8">
        <v>84.322834374999999</v>
      </c>
      <c r="J608" s="8">
        <v>14.725811041666701</v>
      </c>
      <c r="K608" s="6" t="s">
        <v>29</v>
      </c>
      <c r="L608" s="6" t="s">
        <v>335</v>
      </c>
      <c r="M608" s="9">
        <v>43931</v>
      </c>
      <c r="O608" s="6">
        <v>28</v>
      </c>
      <c r="P608" s="6" t="s">
        <v>4362</v>
      </c>
      <c r="R608" s="6">
        <v>150</v>
      </c>
      <c r="S608" s="6">
        <v>150</v>
      </c>
      <c r="T608" s="6">
        <v>162</v>
      </c>
      <c r="U608" s="10">
        <f t="shared" si="18"/>
        <v>156</v>
      </c>
      <c r="W608" s="8">
        <v>1.0836366036415097</v>
      </c>
      <c r="X608" s="8">
        <v>8.5688925018310549</v>
      </c>
      <c r="Y608" s="8">
        <f t="shared" si="19"/>
        <v>-0.1002003273010228</v>
      </c>
    </row>
    <row r="609" spans="1:25" s="6" customFormat="1" x14ac:dyDescent="0.35">
      <c r="A609" s="6" t="s">
        <v>25</v>
      </c>
      <c r="B609" s="7" t="s">
        <v>1322</v>
      </c>
      <c r="D609" s="6" t="s">
        <v>1323</v>
      </c>
      <c r="E609" s="6">
        <v>3</v>
      </c>
      <c r="F609" s="6">
        <v>36</v>
      </c>
      <c r="G609" s="6" t="s">
        <v>210</v>
      </c>
      <c r="I609" s="8">
        <v>84.295218194444402</v>
      </c>
      <c r="J609" s="8">
        <v>14.935208263888899</v>
      </c>
      <c r="K609" s="6" t="s">
        <v>29</v>
      </c>
      <c r="L609" s="6" t="s">
        <v>546</v>
      </c>
      <c r="M609" s="9">
        <v>43934</v>
      </c>
      <c r="O609" s="6">
        <v>29</v>
      </c>
      <c r="P609" s="6" t="s">
        <v>4354</v>
      </c>
      <c r="R609" s="10"/>
      <c r="S609" s="10">
        <v>0</v>
      </c>
      <c r="T609" s="10">
        <v>10</v>
      </c>
      <c r="U609" s="10">
        <f t="shared" si="18"/>
        <v>5</v>
      </c>
      <c r="V609" s="11"/>
      <c r="W609" s="8">
        <v>-4.2763963514328003</v>
      </c>
      <c r="X609" s="8">
        <v>-33.716824806213381</v>
      </c>
      <c r="Y609" s="8">
        <f t="shared" si="19"/>
        <v>0.49434600524902095</v>
      </c>
    </row>
    <row r="610" spans="1:25" s="6" customFormat="1" x14ac:dyDescent="0.35">
      <c r="A610" s="6" t="s">
        <v>25</v>
      </c>
      <c r="B610" s="7" t="s">
        <v>1324</v>
      </c>
      <c r="D610" s="6" t="s">
        <v>1325</v>
      </c>
      <c r="E610" s="6">
        <v>3</v>
      </c>
      <c r="F610" s="6">
        <v>36</v>
      </c>
      <c r="G610" s="6" t="s">
        <v>210</v>
      </c>
      <c r="I610" s="8">
        <v>84.295218194444402</v>
      </c>
      <c r="J610" s="8">
        <v>14.935208263888899</v>
      </c>
      <c r="K610" s="6" t="s">
        <v>29</v>
      </c>
      <c r="L610" s="6" t="s">
        <v>546</v>
      </c>
      <c r="M610" s="9">
        <v>43934</v>
      </c>
      <c r="O610" s="6">
        <v>29</v>
      </c>
      <c r="P610" s="6" t="s">
        <v>4354</v>
      </c>
      <c r="R610" s="10"/>
      <c r="S610" s="10">
        <v>10</v>
      </c>
      <c r="T610" s="10">
        <v>20</v>
      </c>
      <c r="U610" s="10">
        <f t="shared" si="18"/>
        <v>15</v>
      </c>
      <c r="V610" s="11"/>
      <c r="W610" s="8">
        <v>-4.1445221477508545</v>
      </c>
      <c r="X610" s="8">
        <v>-31.885477119445799</v>
      </c>
      <c r="Y610" s="8">
        <f t="shared" si="19"/>
        <v>1.270700062561037</v>
      </c>
    </row>
    <row r="611" spans="1:25" s="6" customFormat="1" x14ac:dyDescent="0.35">
      <c r="A611" s="6" t="s">
        <v>25</v>
      </c>
      <c r="B611" s="7" t="s">
        <v>1326</v>
      </c>
      <c r="D611" s="6" t="s">
        <v>1327</v>
      </c>
      <c r="E611" s="6">
        <v>3</v>
      </c>
      <c r="F611" s="6">
        <v>36</v>
      </c>
      <c r="G611" s="6" t="s">
        <v>210</v>
      </c>
      <c r="I611" s="8">
        <v>84.295218194444402</v>
      </c>
      <c r="J611" s="8">
        <v>14.935208263888899</v>
      </c>
      <c r="K611" s="6" t="s">
        <v>29</v>
      </c>
      <c r="L611" s="6" t="s">
        <v>546</v>
      </c>
      <c r="M611" s="9">
        <v>43934</v>
      </c>
      <c r="O611" s="6">
        <v>29</v>
      </c>
      <c r="P611" s="6" t="s">
        <v>4354</v>
      </c>
      <c r="R611" s="10"/>
      <c r="S611" s="10">
        <v>20</v>
      </c>
      <c r="T611" s="10">
        <v>30</v>
      </c>
      <c r="U611" s="10">
        <f t="shared" si="18"/>
        <v>25</v>
      </c>
      <c r="V611" s="11"/>
      <c r="W611" s="8">
        <v>-5.0370535903930671</v>
      </c>
      <c r="X611" s="8">
        <v>-37.586180847167967</v>
      </c>
      <c r="Y611" s="8">
        <f t="shared" si="19"/>
        <v>2.7102478759765702</v>
      </c>
    </row>
    <row r="612" spans="1:25" s="6" customFormat="1" x14ac:dyDescent="0.35">
      <c r="A612" s="6" t="s">
        <v>25</v>
      </c>
      <c r="B612" s="7" t="s">
        <v>1328</v>
      </c>
      <c r="D612" s="6" t="s">
        <v>1329</v>
      </c>
      <c r="E612" s="6">
        <v>3</v>
      </c>
      <c r="F612" s="6">
        <v>36</v>
      </c>
      <c r="G612" s="6" t="s">
        <v>210</v>
      </c>
      <c r="I612" s="8">
        <v>84.295218194444402</v>
      </c>
      <c r="J612" s="8">
        <v>14.935208263888899</v>
      </c>
      <c r="K612" s="6" t="s">
        <v>29</v>
      </c>
      <c r="L612" s="6" t="s">
        <v>546</v>
      </c>
      <c r="M612" s="9">
        <v>43934</v>
      </c>
      <c r="O612" s="6">
        <v>29</v>
      </c>
      <c r="P612" s="6" t="s">
        <v>4354</v>
      </c>
      <c r="R612" s="10"/>
      <c r="S612" s="10">
        <v>30</v>
      </c>
      <c r="T612" s="10">
        <v>40</v>
      </c>
      <c r="U612" s="10">
        <f t="shared" si="18"/>
        <v>35</v>
      </c>
      <c r="V612" s="11"/>
      <c r="W612" s="8">
        <v>-4.6164875632286071</v>
      </c>
      <c r="X612" s="8">
        <v>-34.694053588867185</v>
      </c>
      <c r="Y612" s="8">
        <f t="shared" si="19"/>
        <v>2.2378469169616722</v>
      </c>
    </row>
    <row r="613" spans="1:25" s="6" customFormat="1" x14ac:dyDescent="0.35">
      <c r="A613" s="6" t="s">
        <v>25</v>
      </c>
      <c r="B613" s="7" t="s">
        <v>1330</v>
      </c>
      <c r="D613" s="6" t="s">
        <v>1331</v>
      </c>
      <c r="E613" s="6">
        <v>3</v>
      </c>
      <c r="F613" s="6">
        <v>36</v>
      </c>
      <c r="G613" s="6" t="s">
        <v>210</v>
      </c>
      <c r="I613" s="8">
        <v>84.295218194444402</v>
      </c>
      <c r="J613" s="8">
        <v>14.935208263888899</v>
      </c>
      <c r="K613" s="6" t="s">
        <v>29</v>
      </c>
      <c r="L613" s="6" t="s">
        <v>546</v>
      </c>
      <c r="M613" s="9">
        <v>43934</v>
      </c>
      <c r="O613" s="6">
        <v>29</v>
      </c>
      <c r="P613" s="6" t="s">
        <v>4354</v>
      </c>
      <c r="R613" s="10"/>
      <c r="S613" s="10">
        <v>40</v>
      </c>
      <c r="T613" s="10">
        <v>50</v>
      </c>
      <c r="U613" s="10">
        <f t="shared" si="18"/>
        <v>45</v>
      </c>
      <c r="V613" s="11"/>
      <c r="W613" s="8">
        <v>-3.3869139808177953</v>
      </c>
      <c r="X613" s="8">
        <v>-26.340765579223632</v>
      </c>
      <c r="Y613" s="8">
        <f t="shared" si="19"/>
        <v>0.7545462673187302</v>
      </c>
    </row>
    <row r="614" spans="1:25" s="6" customFormat="1" x14ac:dyDescent="0.35">
      <c r="A614" s="6" t="s">
        <v>25</v>
      </c>
      <c r="B614" s="7" t="s">
        <v>1332</v>
      </c>
      <c r="D614" s="6" t="s">
        <v>1333</v>
      </c>
      <c r="E614" s="6">
        <v>3</v>
      </c>
      <c r="F614" s="6">
        <v>36</v>
      </c>
      <c r="G614" s="6" t="s">
        <v>210</v>
      </c>
      <c r="I614" s="8">
        <v>84.295218194444402</v>
      </c>
      <c r="J614" s="8">
        <v>14.935208263888899</v>
      </c>
      <c r="K614" s="6" t="s">
        <v>29</v>
      </c>
      <c r="L614" s="6" t="s">
        <v>546</v>
      </c>
      <c r="M614" s="9">
        <v>43934</v>
      </c>
      <c r="O614" s="6">
        <v>29</v>
      </c>
      <c r="P614" s="6" t="s">
        <v>4354</v>
      </c>
      <c r="R614" s="10"/>
      <c r="S614" s="10">
        <v>50</v>
      </c>
      <c r="T614" s="10">
        <v>60</v>
      </c>
      <c r="U614" s="10">
        <f t="shared" si="18"/>
        <v>55</v>
      </c>
      <c r="V614" s="11"/>
      <c r="W614" s="8">
        <v>-3.6952553405761721</v>
      </c>
      <c r="X614" s="8">
        <v>-27.422758989334103</v>
      </c>
      <c r="Y614" s="8">
        <f t="shared" si="19"/>
        <v>2.1392837352752743</v>
      </c>
    </row>
    <row r="615" spans="1:25" s="6" customFormat="1" x14ac:dyDescent="0.35">
      <c r="A615" s="6" t="s">
        <v>25</v>
      </c>
      <c r="B615" s="7" t="s">
        <v>1334</v>
      </c>
      <c r="D615" s="6" t="s">
        <v>1335</v>
      </c>
      <c r="E615" s="6">
        <v>3</v>
      </c>
      <c r="F615" s="6">
        <v>36</v>
      </c>
      <c r="G615" s="6" t="s">
        <v>210</v>
      </c>
      <c r="I615" s="8">
        <v>84.295218194444402</v>
      </c>
      <c r="J615" s="8">
        <v>14.935208263888899</v>
      </c>
      <c r="K615" s="6" t="s">
        <v>29</v>
      </c>
      <c r="L615" s="6" t="s">
        <v>546</v>
      </c>
      <c r="M615" s="9">
        <v>43934</v>
      </c>
      <c r="O615" s="6">
        <v>29</v>
      </c>
      <c r="P615" s="6" t="s">
        <v>4354</v>
      </c>
      <c r="R615" s="10"/>
      <c r="S615" s="10">
        <v>60</v>
      </c>
      <c r="T615" s="10">
        <v>70</v>
      </c>
      <c r="U615" s="10">
        <f t="shared" si="18"/>
        <v>65</v>
      </c>
      <c r="V615" s="11"/>
      <c r="W615" s="8">
        <v>-4.1384878840446477</v>
      </c>
      <c r="X615" s="8">
        <v>-30.743727836608887</v>
      </c>
      <c r="Y615" s="8">
        <f t="shared" si="19"/>
        <v>2.364175235748295</v>
      </c>
    </row>
    <row r="616" spans="1:25" s="6" customFormat="1" x14ac:dyDescent="0.35">
      <c r="A616" s="6" t="s">
        <v>25</v>
      </c>
      <c r="B616" s="7" t="s">
        <v>1336</v>
      </c>
      <c r="D616" s="6" t="s">
        <v>1337</v>
      </c>
      <c r="E616" s="6">
        <v>3</v>
      </c>
      <c r="F616" s="6">
        <v>36</v>
      </c>
      <c r="G616" s="6" t="s">
        <v>210</v>
      </c>
      <c r="I616" s="8">
        <v>84.295218194444402</v>
      </c>
      <c r="J616" s="8">
        <v>14.935208263888899</v>
      </c>
      <c r="K616" s="6" t="s">
        <v>29</v>
      </c>
      <c r="L616" s="6" t="s">
        <v>546</v>
      </c>
      <c r="M616" s="9">
        <v>43934</v>
      </c>
      <c r="O616" s="6">
        <v>29</v>
      </c>
      <c r="P616" s="6" t="s">
        <v>4354</v>
      </c>
      <c r="R616" s="10"/>
      <c r="S616" s="10">
        <v>70</v>
      </c>
      <c r="T616" s="10">
        <v>80</v>
      </c>
      <c r="U616" s="10">
        <f t="shared" si="18"/>
        <v>75</v>
      </c>
      <c r="V616" s="11"/>
      <c r="W616" s="8">
        <v>0.50816744050383544</v>
      </c>
      <c r="X616" s="8">
        <v>5.1537030529975896</v>
      </c>
      <c r="Y616" s="8">
        <f t="shared" si="19"/>
        <v>1.088363528966906</v>
      </c>
    </row>
    <row r="617" spans="1:25" s="6" customFormat="1" x14ac:dyDescent="0.35">
      <c r="A617" s="6" t="s">
        <v>25</v>
      </c>
      <c r="B617" s="7" t="s">
        <v>1338</v>
      </c>
      <c r="D617" s="6" t="s">
        <v>1339</v>
      </c>
      <c r="E617" s="6">
        <v>3</v>
      </c>
      <c r="F617" s="6">
        <v>36</v>
      </c>
      <c r="G617" s="6" t="s">
        <v>210</v>
      </c>
      <c r="I617" s="8">
        <v>84.295218194444402</v>
      </c>
      <c r="J617" s="8">
        <v>14.935208263888899</v>
      </c>
      <c r="K617" s="6" t="s">
        <v>29</v>
      </c>
      <c r="L617" s="6" t="s">
        <v>546</v>
      </c>
      <c r="M617" s="9">
        <v>43934</v>
      </c>
      <c r="O617" s="6">
        <v>29</v>
      </c>
      <c r="P617" s="6" t="s">
        <v>4354</v>
      </c>
      <c r="R617" s="10"/>
      <c r="S617" s="10">
        <v>80</v>
      </c>
      <c r="T617" s="10">
        <v>90</v>
      </c>
      <c r="U617" s="10">
        <f t="shared" si="18"/>
        <v>85</v>
      </c>
      <c r="V617" s="11"/>
      <c r="W617" s="8">
        <v>0.73401901981830608</v>
      </c>
      <c r="X617" s="8">
        <v>6.5288597065210343</v>
      </c>
      <c r="Y617" s="8">
        <f t="shared" si="19"/>
        <v>0.65670754797458564</v>
      </c>
    </row>
    <row r="618" spans="1:25" s="6" customFormat="1" x14ac:dyDescent="0.35">
      <c r="A618" s="6" t="s">
        <v>25</v>
      </c>
      <c r="B618" s="7" t="s">
        <v>1340</v>
      </c>
      <c r="D618" s="6" t="s">
        <v>1341</v>
      </c>
      <c r="E618" s="6">
        <v>3</v>
      </c>
      <c r="F618" s="6">
        <v>36</v>
      </c>
      <c r="G618" s="6" t="s">
        <v>210</v>
      </c>
      <c r="I618" s="8">
        <v>84.295218194444402</v>
      </c>
      <c r="J618" s="8">
        <v>14.935208263888899</v>
      </c>
      <c r="K618" s="6" t="s">
        <v>29</v>
      </c>
      <c r="L618" s="6" t="s">
        <v>546</v>
      </c>
      <c r="M618" s="9">
        <v>43934</v>
      </c>
      <c r="O618" s="6">
        <v>29</v>
      </c>
      <c r="P618" s="6" t="s">
        <v>4354</v>
      </c>
      <c r="R618" s="10"/>
      <c r="S618" s="10">
        <v>90</v>
      </c>
      <c r="T618" s="10">
        <v>100</v>
      </c>
      <c r="U618" s="10">
        <f t="shared" si="18"/>
        <v>95</v>
      </c>
      <c r="V618" s="11"/>
      <c r="W618" s="8">
        <v>0.21858462583869698</v>
      </c>
      <c r="X618" s="8">
        <v>2.3131898593902593</v>
      </c>
      <c r="Y618" s="8">
        <f t="shared" si="19"/>
        <v>0.56451285268068352</v>
      </c>
    </row>
    <row r="619" spans="1:25" s="6" customFormat="1" x14ac:dyDescent="0.35">
      <c r="A619" s="6" t="s">
        <v>25</v>
      </c>
      <c r="B619" s="7" t="s">
        <v>1342</v>
      </c>
      <c r="D619" s="6" t="s">
        <v>1343</v>
      </c>
      <c r="E619" s="6">
        <v>3</v>
      </c>
      <c r="F619" s="6">
        <v>36</v>
      </c>
      <c r="G619" s="6" t="s">
        <v>210</v>
      </c>
      <c r="I619" s="8">
        <v>84.295218194444402</v>
      </c>
      <c r="J619" s="8">
        <v>14.935208263888899</v>
      </c>
      <c r="K619" s="6" t="s">
        <v>29</v>
      </c>
      <c r="L619" s="6" t="s">
        <v>546</v>
      </c>
      <c r="M619" s="9">
        <v>43934</v>
      </c>
      <c r="O619" s="6">
        <v>29</v>
      </c>
      <c r="P619" s="6" t="s">
        <v>4354</v>
      </c>
      <c r="R619" s="10"/>
      <c r="S619" s="10">
        <v>100</v>
      </c>
      <c r="T619" s="10">
        <v>110</v>
      </c>
      <c r="U619" s="10">
        <f t="shared" si="18"/>
        <v>105</v>
      </c>
      <c r="V619" s="11"/>
      <c r="W619" s="8">
        <v>1.7834105678275435E-2</v>
      </c>
      <c r="X619" s="8">
        <v>1.123782846927643</v>
      </c>
      <c r="Y619" s="8">
        <f t="shared" si="19"/>
        <v>0.98111000150143945</v>
      </c>
    </row>
    <row r="620" spans="1:25" s="6" customFormat="1" x14ac:dyDescent="0.35">
      <c r="A620" s="6" t="s">
        <v>25</v>
      </c>
      <c r="B620" s="7" t="s">
        <v>1344</v>
      </c>
      <c r="D620" s="6" t="s">
        <v>1345</v>
      </c>
      <c r="E620" s="6">
        <v>3</v>
      </c>
      <c r="F620" s="6">
        <v>36</v>
      </c>
      <c r="G620" s="6" t="s">
        <v>210</v>
      </c>
      <c r="I620" s="8">
        <v>84.295218194444402</v>
      </c>
      <c r="J620" s="8">
        <v>14.935208263888899</v>
      </c>
      <c r="K620" s="6" t="s">
        <v>29</v>
      </c>
      <c r="L620" s="6" t="s">
        <v>546</v>
      </c>
      <c r="M620" s="9">
        <v>43934</v>
      </c>
      <c r="O620" s="6">
        <v>29</v>
      </c>
      <c r="P620" s="6" t="s">
        <v>4354</v>
      </c>
      <c r="R620" s="10"/>
      <c r="S620" s="10">
        <v>110</v>
      </c>
      <c r="T620" s="10">
        <v>120</v>
      </c>
      <c r="U620" s="10">
        <f t="shared" si="18"/>
        <v>115</v>
      </c>
      <c r="V620" s="11"/>
      <c r="W620" s="8">
        <v>-0.17549057253599182</v>
      </c>
      <c r="X620" s="8">
        <v>-1.0481873083114628</v>
      </c>
      <c r="Y620" s="8">
        <f t="shared" si="19"/>
        <v>0.35573727197647176</v>
      </c>
    </row>
    <row r="621" spans="1:25" s="6" customFormat="1" x14ac:dyDescent="0.35">
      <c r="A621" s="6" t="s">
        <v>25</v>
      </c>
      <c r="B621" s="7" t="s">
        <v>1346</v>
      </c>
      <c r="D621" s="6" t="s">
        <v>1347</v>
      </c>
      <c r="E621" s="6">
        <v>3</v>
      </c>
      <c r="F621" s="6">
        <v>36</v>
      </c>
      <c r="G621" s="6" t="s">
        <v>210</v>
      </c>
      <c r="I621" s="8">
        <v>84.295218194444402</v>
      </c>
      <c r="J621" s="8">
        <v>14.935208263888899</v>
      </c>
      <c r="K621" s="6" t="s">
        <v>29</v>
      </c>
      <c r="L621" s="6" t="s">
        <v>546</v>
      </c>
      <c r="M621" s="9">
        <v>43934</v>
      </c>
      <c r="O621" s="6">
        <v>29</v>
      </c>
      <c r="P621" s="6" t="s">
        <v>4354</v>
      </c>
      <c r="R621" s="10"/>
      <c r="S621" s="10">
        <v>120</v>
      </c>
      <c r="T621" s="10">
        <v>130</v>
      </c>
      <c r="U621" s="10">
        <f t="shared" si="18"/>
        <v>125</v>
      </c>
      <c r="V621" s="11"/>
      <c r="W621" s="8">
        <v>-0.21797950216531747</v>
      </c>
      <c r="X621" s="8">
        <v>-1.4359396389722825</v>
      </c>
      <c r="Y621" s="8">
        <f t="shared" si="19"/>
        <v>0.30789637835025729</v>
      </c>
    </row>
    <row r="622" spans="1:25" s="6" customFormat="1" x14ac:dyDescent="0.35">
      <c r="A622" s="6" t="s">
        <v>25</v>
      </c>
      <c r="B622" s="7" t="s">
        <v>1348</v>
      </c>
      <c r="D622" s="6" t="s">
        <v>1349</v>
      </c>
      <c r="E622" s="6">
        <v>3</v>
      </c>
      <c r="F622" s="6">
        <v>36</v>
      </c>
      <c r="G622" s="6" t="s">
        <v>210</v>
      </c>
      <c r="I622" s="8">
        <v>84.295218194444402</v>
      </c>
      <c r="J622" s="8">
        <v>14.935208263888899</v>
      </c>
      <c r="K622" s="6" t="s">
        <v>29</v>
      </c>
      <c r="L622" s="6" t="s">
        <v>546</v>
      </c>
      <c r="M622" s="9">
        <v>43934</v>
      </c>
      <c r="O622" s="6">
        <v>29</v>
      </c>
      <c r="P622" s="6" t="s">
        <v>4354</v>
      </c>
      <c r="R622" s="10"/>
      <c r="S622" s="10">
        <v>130</v>
      </c>
      <c r="T622" s="10">
        <v>140</v>
      </c>
      <c r="U622" s="10">
        <f t="shared" si="18"/>
        <v>135</v>
      </c>
      <c r="V622" s="11"/>
      <c r="W622" s="8">
        <v>-8.0169706159830045E-2</v>
      </c>
      <c r="X622" s="8">
        <v>-0.48048511153459583</v>
      </c>
      <c r="Y622" s="8">
        <f t="shared" si="19"/>
        <v>0.16087253774404453</v>
      </c>
    </row>
    <row r="623" spans="1:25" s="6" customFormat="1" x14ac:dyDescent="0.35">
      <c r="A623" s="6" t="s">
        <v>25</v>
      </c>
      <c r="B623" s="7" t="s">
        <v>1350</v>
      </c>
      <c r="D623" s="6" t="s">
        <v>1351</v>
      </c>
      <c r="E623" s="6">
        <v>3</v>
      </c>
      <c r="F623" s="6">
        <v>36</v>
      </c>
      <c r="G623" s="6" t="s">
        <v>210</v>
      </c>
      <c r="I623" s="8">
        <v>84.295218194444402</v>
      </c>
      <c r="J623" s="8">
        <v>14.935208263888899</v>
      </c>
      <c r="K623" s="6" t="s">
        <v>29</v>
      </c>
      <c r="L623" s="6" t="s">
        <v>546</v>
      </c>
      <c r="M623" s="9">
        <v>43934</v>
      </c>
      <c r="O623" s="6">
        <v>29</v>
      </c>
      <c r="P623" s="6" t="s">
        <v>4354</v>
      </c>
      <c r="R623" s="10"/>
      <c r="S623" s="10">
        <v>140</v>
      </c>
      <c r="T623" s="10">
        <v>150</v>
      </c>
      <c r="U623" s="10">
        <f t="shared" si="18"/>
        <v>145</v>
      </c>
      <c r="V623" s="11"/>
      <c r="W623" s="8">
        <v>0.32083228794336316</v>
      </c>
      <c r="X623" s="8">
        <v>2.8422784616947179</v>
      </c>
      <c r="Y623" s="8">
        <f t="shared" si="19"/>
        <v>0.2756201581478126</v>
      </c>
    </row>
    <row r="624" spans="1:25" s="6" customFormat="1" x14ac:dyDescent="0.35">
      <c r="A624" s="6" t="s">
        <v>25</v>
      </c>
      <c r="B624" s="7" t="s">
        <v>1352</v>
      </c>
      <c r="D624" s="6" t="s">
        <v>1353</v>
      </c>
      <c r="E624" s="6">
        <v>3</v>
      </c>
      <c r="F624" s="6">
        <v>36</v>
      </c>
      <c r="G624" s="6" t="s">
        <v>210</v>
      </c>
      <c r="I624" s="8">
        <v>84.295218194444402</v>
      </c>
      <c r="J624" s="8">
        <v>14.935208263888899</v>
      </c>
      <c r="K624" s="6" t="s">
        <v>29</v>
      </c>
      <c r="L624" s="6" t="s">
        <v>546</v>
      </c>
      <c r="M624" s="9">
        <v>43934</v>
      </c>
      <c r="O624" s="6">
        <v>29</v>
      </c>
      <c r="P624" s="6" t="s">
        <v>4354</v>
      </c>
      <c r="R624" s="10"/>
      <c r="S624" s="10">
        <v>150</v>
      </c>
      <c r="T624" s="10">
        <v>160</v>
      </c>
      <c r="U624" s="10">
        <f t="shared" si="18"/>
        <v>155</v>
      </c>
      <c r="V624" s="11"/>
      <c r="W624" s="8">
        <v>0.527800434103608</v>
      </c>
      <c r="X624" s="8">
        <v>4.7945862483978274</v>
      </c>
      <c r="Y624" s="8">
        <f t="shared" si="19"/>
        <v>0.57218277556896346</v>
      </c>
    </row>
    <row r="625" spans="1:25" s="6" customFormat="1" x14ac:dyDescent="0.35">
      <c r="A625" s="6" t="s">
        <v>25</v>
      </c>
      <c r="B625" s="7" t="s">
        <v>1354</v>
      </c>
      <c r="D625" s="6" t="s">
        <v>1355</v>
      </c>
      <c r="E625" s="6">
        <v>3</v>
      </c>
      <c r="F625" s="6">
        <v>36</v>
      </c>
      <c r="G625" s="6" t="s">
        <v>210</v>
      </c>
      <c r="I625" s="8">
        <v>84.295218194444402</v>
      </c>
      <c r="J625" s="8">
        <v>14.935208263888899</v>
      </c>
      <c r="K625" s="6" t="s">
        <v>29</v>
      </c>
      <c r="L625" s="6" t="s">
        <v>546</v>
      </c>
      <c r="M625" s="9">
        <v>43934</v>
      </c>
      <c r="O625" s="6">
        <v>29</v>
      </c>
      <c r="P625" s="6" t="s">
        <v>4354</v>
      </c>
      <c r="R625" s="10"/>
      <c r="S625" s="10">
        <v>160</v>
      </c>
      <c r="T625" s="10">
        <v>170</v>
      </c>
      <c r="U625" s="10">
        <f t="shared" si="18"/>
        <v>165</v>
      </c>
      <c r="V625" s="11"/>
      <c r="W625" s="8">
        <v>1.1324170448541639</v>
      </c>
      <c r="X625" s="8">
        <v>9.0989003705978391</v>
      </c>
      <c r="Y625" s="8">
        <f t="shared" si="19"/>
        <v>3.9564011764527507E-2</v>
      </c>
    </row>
    <row r="626" spans="1:25" s="6" customFormat="1" x14ac:dyDescent="0.35">
      <c r="A626" s="6" t="s">
        <v>25</v>
      </c>
      <c r="B626" s="7" t="s">
        <v>1356</v>
      </c>
      <c r="D626" s="6" t="s">
        <v>1357</v>
      </c>
      <c r="E626" s="6">
        <v>3</v>
      </c>
      <c r="F626" s="6">
        <v>36</v>
      </c>
      <c r="G626" s="6" t="s">
        <v>202</v>
      </c>
      <c r="I626" s="8">
        <v>84.331482986111098</v>
      </c>
      <c r="J626" s="8">
        <v>14.642671805555601</v>
      </c>
      <c r="K626" s="6" t="s">
        <v>29</v>
      </c>
      <c r="L626" s="6" t="s">
        <v>335</v>
      </c>
      <c r="M626" s="9">
        <v>43935</v>
      </c>
      <c r="O626" s="6">
        <v>29</v>
      </c>
      <c r="P626" s="6" t="s">
        <v>4332</v>
      </c>
      <c r="R626" s="10"/>
      <c r="S626" s="10">
        <v>10</v>
      </c>
      <c r="T626" s="10">
        <v>20</v>
      </c>
      <c r="U626" s="10">
        <f t="shared" si="18"/>
        <v>15</v>
      </c>
      <c r="V626" s="11"/>
      <c r="W626" s="8">
        <v>-2.341810216927529</v>
      </c>
      <c r="X626" s="8">
        <v>-17.849983564376831</v>
      </c>
      <c r="Y626" s="8">
        <f t="shared" si="19"/>
        <v>0.88449817104340056</v>
      </c>
    </row>
    <row r="627" spans="1:25" s="6" customFormat="1" x14ac:dyDescent="0.35">
      <c r="A627" s="6" t="s">
        <v>25</v>
      </c>
      <c r="B627" s="7" t="s">
        <v>1358</v>
      </c>
      <c r="D627" s="6" t="s">
        <v>1359</v>
      </c>
      <c r="E627" s="6">
        <v>3</v>
      </c>
      <c r="F627" s="6">
        <v>36</v>
      </c>
      <c r="G627" s="6" t="s">
        <v>202</v>
      </c>
      <c r="I627" s="8">
        <v>84.331482986111098</v>
      </c>
      <c r="J627" s="8">
        <v>14.642671805555601</v>
      </c>
      <c r="K627" s="6" t="s">
        <v>29</v>
      </c>
      <c r="L627" s="6" t="s">
        <v>335</v>
      </c>
      <c r="M627" s="9">
        <v>43935</v>
      </c>
      <c r="O627" s="6">
        <v>29</v>
      </c>
      <c r="P627" s="6" t="s">
        <v>4332</v>
      </c>
      <c r="R627" s="10"/>
      <c r="S627" s="10">
        <v>20</v>
      </c>
      <c r="T627" s="10">
        <v>30</v>
      </c>
      <c r="U627" s="10">
        <f t="shared" si="18"/>
        <v>25</v>
      </c>
      <c r="V627" s="11"/>
      <c r="W627" s="8">
        <v>3.3020355909503828E-2</v>
      </c>
      <c r="X627" s="8">
        <v>4.1364653706550437E-2</v>
      </c>
      <c r="Y627" s="8">
        <f t="shared" si="19"/>
        <v>-0.22279819356948019</v>
      </c>
    </row>
    <row r="628" spans="1:25" s="6" customFormat="1" x14ac:dyDescent="0.35">
      <c r="A628" s="6" t="s">
        <v>25</v>
      </c>
      <c r="B628" s="7" t="s">
        <v>1360</v>
      </c>
      <c r="D628" s="6" t="s">
        <v>1361</v>
      </c>
      <c r="E628" s="6">
        <v>3</v>
      </c>
      <c r="F628" s="6">
        <v>36</v>
      </c>
      <c r="G628" s="6" t="s">
        <v>202</v>
      </c>
      <c r="I628" s="8">
        <v>84.331482986111098</v>
      </c>
      <c r="J628" s="8">
        <v>14.642671805555601</v>
      </c>
      <c r="K628" s="6" t="s">
        <v>29</v>
      </c>
      <c r="L628" s="6" t="s">
        <v>335</v>
      </c>
      <c r="M628" s="9">
        <v>43935</v>
      </c>
      <c r="O628" s="6">
        <v>29</v>
      </c>
      <c r="P628" s="6" t="s">
        <v>4332</v>
      </c>
      <c r="R628" s="10"/>
      <c r="S628" s="10">
        <v>30</v>
      </c>
      <c r="T628" s="10">
        <v>40</v>
      </c>
      <c r="U628" s="10">
        <f t="shared" si="18"/>
        <v>35</v>
      </c>
      <c r="V628" s="11"/>
      <c r="W628" s="8">
        <v>0.78621887267231949</v>
      </c>
      <c r="X628" s="8">
        <v>6.130465404510498</v>
      </c>
      <c r="Y628" s="8">
        <f t="shared" si="19"/>
        <v>-0.15928557686805789</v>
      </c>
    </row>
    <row r="629" spans="1:25" s="6" customFormat="1" x14ac:dyDescent="0.35">
      <c r="A629" s="6" t="s">
        <v>25</v>
      </c>
      <c r="B629" s="7" t="s">
        <v>1362</v>
      </c>
      <c r="D629" s="6" t="s">
        <v>1363</v>
      </c>
      <c r="E629" s="6">
        <v>3</v>
      </c>
      <c r="F629" s="6">
        <v>36</v>
      </c>
      <c r="G629" s="6" t="s">
        <v>202</v>
      </c>
      <c r="I629" s="8">
        <v>84.331482986111098</v>
      </c>
      <c r="J629" s="8">
        <v>14.642671805555601</v>
      </c>
      <c r="K629" s="6" t="s">
        <v>29</v>
      </c>
      <c r="L629" s="6" t="s">
        <v>335</v>
      </c>
      <c r="M629" s="9">
        <v>43935</v>
      </c>
      <c r="O629" s="6">
        <v>29</v>
      </c>
      <c r="P629" s="6" t="s">
        <v>4332</v>
      </c>
      <c r="R629" s="10"/>
      <c r="S629" s="10">
        <v>40</v>
      </c>
      <c r="T629" s="10">
        <v>50</v>
      </c>
      <c r="U629" s="10">
        <f t="shared" si="18"/>
        <v>45</v>
      </c>
      <c r="V629" s="11"/>
      <c r="W629" s="8">
        <v>0.81558715505599955</v>
      </c>
      <c r="X629" s="8">
        <v>6.522841104745865</v>
      </c>
      <c r="Y629" s="8">
        <f t="shared" si="19"/>
        <v>-1.8561357021313896E-3</v>
      </c>
    </row>
    <row r="630" spans="1:25" s="6" customFormat="1" x14ac:dyDescent="0.35">
      <c r="A630" s="6" t="s">
        <v>25</v>
      </c>
      <c r="B630" s="7" t="s">
        <v>1364</v>
      </c>
      <c r="D630" s="6" t="s">
        <v>1365</v>
      </c>
      <c r="E630" s="6">
        <v>3</v>
      </c>
      <c r="F630" s="6">
        <v>36</v>
      </c>
      <c r="G630" s="6" t="s">
        <v>202</v>
      </c>
      <c r="I630" s="8">
        <v>84.331482986111098</v>
      </c>
      <c r="J630" s="8">
        <v>14.642671805555601</v>
      </c>
      <c r="K630" s="6" t="s">
        <v>29</v>
      </c>
      <c r="L630" s="6" t="s">
        <v>335</v>
      </c>
      <c r="M630" s="9">
        <v>43935</v>
      </c>
      <c r="O630" s="6">
        <v>29</v>
      </c>
      <c r="P630" s="6" t="s">
        <v>4332</v>
      </c>
      <c r="R630" s="10"/>
      <c r="S630" s="10">
        <v>50</v>
      </c>
      <c r="T630" s="10">
        <v>60</v>
      </c>
      <c r="U630" s="10">
        <f t="shared" si="18"/>
        <v>55</v>
      </c>
      <c r="V630" s="11"/>
      <c r="W630" s="8">
        <v>0.73683906955719014</v>
      </c>
      <c r="X630" s="8">
        <v>6.1391176104545595</v>
      </c>
      <c r="Y630" s="8">
        <f t="shared" si="19"/>
        <v>0.24440505399703838</v>
      </c>
    </row>
    <row r="631" spans="1:25" s="6" customFormat="1" x14ac:dyDescent="0.35">
      <c r="A631" s="6" t="s">
        <v>25</v>
      </c>
      <c r="B631" s="7" t="s">
        <v>1366</v>
      </c>
      <c r="D631" s="6" t="s">
        <v>1367</v>
      </c>
      <c r="E631" s="6">
        <v>3</v>
      </c>
      <c r="F631" s="6">
        <v>36</v>
      </c>
      <c r="G631" s="6" t="s">
        <v>202</v>
      </c>
      <c r="I631" s="8">
        <v>84.331482986111098</v>
      </c>
      <c r="J631" s="8">
        <v>14.642671805555601</v>
      </c>
      <c r="K631" s="6" t="s">
        <v>29</v>
      </c>
      <c r="L631" s="6" t="s">
        <v>335</v>
      </c>
      <c r="M631" s="9">
        <v>43935</v>
      </c>
      <c r="O631" s="6">
        <v>29</v>
      </c>
      <c r="P631" s="6" t="s">
        <v>4332</v>
      </c>
      <c r="R631" s="10"/>
      <c r="S631" s="10">
        <v>60</v>
      </c>
      <c r="T631" s="10">
        <v>70</v>
      </c>
      <c r="U631" s="10">
        <f t="shared" si="18"/>
        <v>65</v>
      </c>
      <c r="V631" s="11"/>
      <c r="W631" s="8">
        <v>0.54212162024974853</v>
      </c>
      <c r="X631" s="8">
        <v>4.7199385565519334</v>
      </c>
      <c r="Y631" s="8">
        <f t="shared" si="19"/>
        <v>0.38296559455394519</v>
      </c>
    </row>
    <row r="632" spans="1:25" s="6" customFormat="1" x14ac:dyDescent="0.35">
      <c r="A632" s="6" t="s">
        <v>25</v>
      </c>
      <c r="B632" s="7" t="s">
        <v>1368</v>
      </c>
      <c r="D632" s="6" t="s">
        <v>1369</v>
      </c>
      <c r="E632" s="6">
        <v>3</v>
      </c>
      <c r="F632" s="6">
        <v>36</v>
      </c>
      <c r="G632" s="6" t="s">
        <v>202</v>
      </c>
      <c r="I632" s="8">
        <v>84.331482986111098</v>
      </c>
      <c r="J632" s="8">
        <v>14.642671805555601</v>
      </c>
      <c r="K632" s="6" t="s">
        <v>29</v>
      </c>
      <c r="L632" s="6" t="s">
        <v>335</v>
      </c>
      <c r="M632" s="9">
        <v>43935</v>
      </c>
      <c r="O632" s="6">
        <v>29</v>
      </c>
      <c r="P632" s="6" t="s">
        <v>4332</v>
      </c>
      <c r="R632" s="10"/>
      <c r="S632" s="10">
        <v>70</v>
      </c>
      <c r="T632" s="10">
        <v>80</v>
      </c>
      <c r="U632" s="10">
        <f t="shared" si="18"/>
        <v>75</v>
      </c>
      <c r="V632" s="11"/>
      <c r="W632" s="8">
        <v>0.14092343051433601</v>
      </c>
      <c r="X632" s="8">
        <v>1.8603077005743982</v>
      </c>
      <c r="Y632" s="8">
        <f t="shared" si="19"/>
        <v>0.73292025645971015</v>
      </c>
    </row>
    <row r="633" spans="1:25" s="6" customFormat="1" x14ac:dyDescent="0.35">
      <c r="A633" s="6" t="s">
        <v>25</v>
      </c>
      <c r="B633" s="7" t="s">
        <v>1370</v>
      </c>
      <c r="D633" s="6" t="s">
        <v>1371</v>
      </c>
      <c r="E633" s="6">
        <v>3</v>
      </c>
      <c r="F633" s="6">
        <v>36</v>
      </c>
      <c r="G633" s="6" t="s">
        <v>202</v>
      </c>
      <c r="I633" s="8">
        <v>84.331482986111098</v>
      </c>
      <c r="J633" s="8">
        <v>14.642671805555601</v>
      </c>
      <c r="K633" s="6" t="s">
        <v>29</v>
      </c>
      <c r="L633" s="6" t="s">
        <v>335</v>
      </c>
      <c r="M633" s="9">
        <v>43935</v>
      </c>
      <c r="O633" s="6">
        <v>29</v>
      </c>
      <c r="P633" s="6" t="s">
        <v>4332</v>
      </c>
      <c r="R633" s="10"/>
      <c r="S633" s="10">
        <v>80</v>
      </c>
      <c r="T633" s="10">
        <v>90</v>
      </c>
      <c r="U633" s="10">
        <f t="shared" si="18"/>
        <v>85</v>
      </c>
      <c r="V633" s="11"/>
      <c r="W633" s="8">
        <v>-2.4737493686974435E-2</v>
      </c>
      <c r="X633" s="8">
        <v>0.18225342646613751</v>
      </c>
      <c r="Y633" s="8">
        <f t="shared" si="19"/>
        <v>0.38015337596193299</v>
      </c>
    </row>
    <row r="634" spans="1:25" s="6" customFormat="1" x14ac:dyDescent="0.35">
      <c r="A634" s="6" t="s">
        <v>25</v>
      </c>
      <c r="B634" s="7" t="s">
        <v>1372</v>
      </c>
      <c r="D634" s="6" t="s">
        <v>1373</v>
      </c>
      <c r="E634" s="6">
        <v>3</v>
      </c>
      <c r="F634" s="6">
        <v>36</v>
      </c>
      <c r="G634" s="6" t="s">
        <v>202</v>
      </c>
      <c r="I634" s="8">
        <v>84.331482986111098</v>
      </c>
      <c r="J634" s="8">
        <v>14.642671805555601</v>
      </c>
      <c r="K634" s="6" t="s">
        <v>29</v>
      </c>
      <c r="L634" s="6" t="s">
        <v>335</v>
      </c>
      <c r="M634" s="9">
        <v>43935</v>
      </c>
      <c r="O634" s="6">
        <v>29</v>
      </c>
      <c r="P634" s="6" t="s">
        <v>4332</v>
      </c>
      <c r="R634" s="10"/>
      <c r="S634" s="10">
        <v>90</v>
      </c>
      <c r="T634" s="10">
        <v>100</v>
      </c>
      <c r="U634" s="10">
        <f t="shared" si="18"/>
        <v>95</v>
      </c>
      <c r="V634" s="11"/>
      <c r="W634" s="8">
        <v>-9.42104747450353E-2</v>
      </c>
      <c r="X634" s="8">
        <v>-0.23579187019169312</v>
      </c>
      <c r="Y634" s="8">
        <f t="shared" si="19"/>
        <v>0.51789192776858928</v>
      </c>
    </row>
    <row r="635" spans="1:25" s="6" customFormat="1" x14ac:dyDescent="0.35">
      <c r="A635" s="6" t="s">
        <v>25</v>
      </c>
      <c r="B635" s="7" t="s">
        <v>1374</v>
      </c>
      <c r="D635" s="6" t="s">
        <v>1375</v>
      </c>
      <c r="E635" s="6">
        <v>3</v>
      </c>
      <c r="F635" s="6">
        <v>36</v>
      </c>
      <c r="G635" s="6" t="s">
        <v>202</v>
      </c>
      <c r="I635" s="8">
        <v>84.331482986111098</v>
      </c>
      <c r="J635" s="8">
        <v>14.642671805555601</v>
      </c>
      <c r="K635" s="6" t="s">
        <v>29</v>
      </c>
      <c r="L635" s="6" t="s">
        <v>335</v>
      </c>
      <c r="M635" s="9">
        <v>43935</v>
      </c>
      <c r="O635" s="6">
        <v>29</v>
      </c>
      <c r="P635" s="6" t="s">
        <v>4332</v>
      </c>
      <c r="R635" s="10"/>
      <c r="S635" s="10">
        <v>110</v>
      </c>
      <c r="T635" s="10">
        <v>120</v>
      </c>
      <c r="U635" s="10">
        <f t="shared" si="18"/>
        <v>115</v>
      </c>
      <c r="V635" s="11"/>
      <c r="W635" s="8">
        <v>-0.15586319233536738</v>
      </c>
      <c r="X635" s="8">
        <v>-1.2360639267563824</v>
      </c>
      <c r="Y635" s="8">
        <f t="shared" si="19"/>
        <v>1.0841611926556638E-2</v>
      </c>
    </row>
    <row r="636" spans="1:25" s="6" customFormat="1" x14ac:dyDescent="0.35">
      <c r="A636" s="6" t="s">
        <v>25</v>
      </c>
      <c r="B636" s="7" t="s">
        <v>1376</v>
      </c>
      <c r="D636" s="6" t="s">
        <v>1377</v>
      </c>
      <c r="E636" s="6">
        <v>3</v>
      </c>
      <c r="F636" s="6">
        <v>36</v>
      </c>
      <c r="G636" s="6" t="s">
        <v>202</v>
      </c>
      <c r="I636" s="8">
        <v>84.331482986111098</v>
      </c>
      <c r="J636" s="8">
        <v>14.642671805555601</v>
      </c>
      <c r="K636" s="6" t="s">
        <v>29</v>
      </c>
      <c r="L636" s="6" t="s">
        <v>335</v>
      </c>
      <c r="M636" s="9">
        <v>43935</v>
      </c>
      <c r="O636" s="6">
        <v>29</v>
      </c>
      <c r="P636" s="6" t="s">
        <v>4332</v>
      </c>
      <c r="R636" s="10"/>
      <c r="S636" s="10">
        <v>120</v>
      </c>
      <c r="T636" s="10">
        <v>130</v>
      </c>
      <c r="U636" s="10">
        <f t="shared" si="18"/>
        <v>125</v>
      </c>
      <c r="V636" s="11"/>
      <c r="W636" s="8">
        <v>-0.32959211532592742</v>
      </c>
      <c r="X636" s="8">
        <v>-1.8460146293044088</v>
      </c>
      <c r="Y636" s="8">
        <f t="shared" si="19"/>
        <v>0.79072229330301047</v>
      </c>
    </row>
    <row r="637" spans="1:25" s="6" customFormat="1" x14ac:dyDescent="0.35">
      <c r="A637" s="6" t="s">
        <v>25</v>
      </c>
      <c r="B637" s="7" t="s">
        <v>1378</v>
      </c>
      <c r="D637" s="6" t="s">
        <v>1379</v>
      </c>
      <c r="E637" s="6">
        <v>3</v>
      </c>
      <c r="F637" s="6">
        <v>36</v>
      </c>
      <c r="G637" s="6" t="s">
        <v>202</v>
      </c>
      <c r="I637" s="8">
        <v>84.331482986111098</v>
      </c>
      <c r="J637" s="8">
        <v>14.642671805555601</v>
      </c>
      <c r="K637" s="6" t="s">
        <v>29</v>
      </c>
      <c r="L637" s="6" t="s">
        <v>335</v>
      </c>
      <c r="M637" s="9">
        <v>43935</v>
      </c>
      <c r="O637" s="6">
        <v>29</v>
      </c>
      <c r="P637" s="6" t="s">
        <v>4332</v>
      </c>
      <c r="R637" s="10"/>
      <c r="S637" s="10">
        <v>130</v>
      </c>
      <c r="T637" s="10">
        <v>140</v>
      </c>
      <c r="U637" s="10">
        <f t="shared" si="18"/>
        <v>135</v>
      </c>
      <c r="V637" s="11"/>
      <c r="W637" s="8">
        <v>0.30936142809867856</v>
      </c>
      <c r="X637" s="8">
        <v>3.3362662703990935</v>
      </c>
      <c r="Y637" s="8">
        <f t="shared" si="19"/>
        <v>0.86137484560966504</v>
      </c>
    </row>
    <row r="638" spans="1:25" s="6" customFormat="1" x14ac:dyDescent="0.35">
      <c r="A638" s="6" t="s">
        <v>25</v>
      </c>
      <c r="B638" s="7" t="s">
        <v>1380</v>
      </c>
      <c r="D638" s="6" t="s">
        <v>1381</v>
      </c>
      <c r="E638" s="6">
        <v>3</v>
      </c>
      <c r="F638" s="6">
        <v>36</v>
      </c>
      <c r="G638" s="6" t="s">
        <v>202</v>
      </c>
      <c r="I638" s="8">
        <v>84.331482986111098</v>
      </c>
      <c r="J638" s="8">
        <v>14.642671805555601</v>
      </c>
      <c r="K638" s="6" t="s">
        <v>29</v>
      </c>
      <c r="L638" s="6" t="s">
        <v>335</v>
      </c>
      <c r="M638" s="9">
        <v>43935</v>
      </c>
      <c r="O638" s="6">
        <v>29</v>
      </c>
      <c r="P638" s="6" t="s">
        <v>4332</v>
      </c>
      <c r="R638" s="10"/>
      <c r="S638" s="10">
        <v>140</v>
      </c>
      <c r="T638" s="10">
        <v>150</v>
      </c>
      <c r="U638" s="10">
        <f t="shared" si="18"/>
        <v>145</v>
      </c>
      <c r="V638" s="11"/>
      <c r="W638" s="8">
        <v>0.29989036567688004</v>
      </c>
      <c r="X638" s="8">
        <v>2.5609793573617932</v>
      </c>
      <c r="Y638" s="8">
        <f t="shared" si="19"/>
        <v>0.16185643194675281</v>
      </c>
    </row>
    <row r="639" spans="1:25" s="6" customFormat="1" x14ac:dyDescent="0.35">
      <c r="A639" s="6" t="s">
        <v>25</v>
      </c>
      <c r="B639" s="7" t="s">
        <v>1382</v>
      </c>
      <c r="D639" s="6" t="s">
        <v>1383</v>
      </c>
      <c r="E639" s="6">
        <v>3</v>
      </c>
      <c r="F639" s="6">
        <v>36</v>
      </c>
      <c r="G639" s="6" t="s">
        <v>202</v>
      </c>
      <c r="I639" s="8">
        <v>84.331482986111098</v>
      </c>
      <c r="J639" s="8">
        <v>14.642671805555601</v>
      </c>
      <c r="K639" s="6" t="s">
        <v>29</v>
      </c>
      <c r="L639" s="6" t="s">
        <v>335</v>
      </c>
      <c r="M639" s="9">
        <v>43935</v>
      </c>
      <c r="O639" s="6">
        <v>29</v>
      </c>
      <c r="P639" s="6" t="s">
        <v>4332</v>
      </c>
      <c r="R639" s="10"/>
      <c r="S639" s="10">
        <v>150</v>
      </c>
      <c r="T639" s="10">
        <v>160</v>
      </c>
      <c r="U639" s="10">
        <f t="shared" si="18"/>
        <v>155</v>
      </c>
      <c r="V639" s="11"/>
      <c r="W639" s="8">
        <v>0.40298590071678198</v>
      </c>
      <c r="X639" s="8">
        <v>3.936308566331864</v>
      </c>
      <c r="Y639" s="8">
        <f t="shared" si="19"/>
        <v>0.71242136059760819</v>
      </c>
    </row>
    <row r="640" spans="1:25" s="6" customFormat="1" x14ac:dyDescent="0.35">
      <c r="A640" s="6" t="s">
        <v>25</v>
      </c>
      <c r="B640" s="7" t="s">
        <v>1384</v>
      </c>
      <c r="D640" s="6" t="s">
        <v>1385</v>
      </c>
      <c r="E640" s="6">
        <v>3</v>
      </c>
      <c r="F640" s="6">
        <v>36</v>
      </c>
      <c r="G640" s="6" t="s">
        <v>202</v>
      </c>
      <c r="I640" s="8">
        <v>84.331482986111098</v>
      </c>
      <c r="J640" s="8">
        <v>14.642671805555601</v>
      </c>
      <c r="K640" s="6" t="s">
        <v>29</v>
      </c>
      <c r="L640" s="6" t="s">
        <v>335</v>
      </c>
      <c r="M640" s="9">
        <v>43935</v>
      </c>
      <c r="O640" s="6">
        <v>29</v>
      </c>
      <c r="P640" s="6" t="s">
        <v>4332</v>
      </c>
      <c r="R640" s="10"/>
      <c r="S640" s="10">
        <v>160</v>
      </c>
      <c r="T640" s="10">
        <v>170</v>
      </c>
      <c r="U640" s="10">
        <f t="shared" si="18"/>
        <v>165</v>
      </c>
      <c r="V640" s="11"/>
      <c r="W640" s="8">
        <v>0.4211810345220563</v>
      </c>
      <c r="X640" s="8">
        <v>3.8141481308937077</v>
      </c>
      <c r="Y640" s="8">
        <f t="shared" si="19"/>
        <v>0.44469985471725737</v>
      </c>
    </row>
    <row r="641" spans="1:25" s="6" customFormat="1" x14ac:dyDescent="0.35">
      <c r="A641" s="6" t="s">
        <v>25</v>
      </c>
      <c r="B641" s="7" t="s">
        <v>1386</v>
      </c>
      <c r="D641" s="6" t="s">
        <v>1387</v>
      </c>
      <c r="E641" s="6">
        <v>3</v>
      </c>
      <c r="F641" s="6">
        <v>36</v>
      </c>
      <c r="G641" s="6" t="s">
        <v>202</v>
      </c>
      <c r="I641" s="8">
        <v>84.331482986111098</v>
      </c>
      <c r="J641" s="8">
        <v>14.642671805555601</v>
      </c>
      <c r="K641" s="6" t="s">
        <v>29</v>
      </c>
      <c r="L641" s="6" t="s">
        <v>335</v>
      </c>
      <c r="M641" s="9">
        <v>43935</v>
      </c>
      <c r="O641" s="6">
        <v>29</v>
      </c>
      <c r="P641" s="6" t="s">
        <v>4332</v>
      </c>
      <c r="R641" s="10"/>
      <c r="S641" s="10">
        <v>170</v>
      </c>
      <c r="T641" s="10">
        <v>180</v>
      </c>
      <c r="U641" s="10">
        <f t="shared" si="18"/>
        <v>175</v>
      </c>
      <c r="V641" s="11"/>
      <c r="W641" s="8">
        <v>1.0285423775482176</v>
      </c>
      <c r="X641" s="8">
        <v>8.3350098199844371</v>
      </c>
      <c r="Y641" s="8">
        <f t="shared" si="19"/>
        <v>0.10667079959869596</v>
      </c>
    </row>
    <row r="642" spans="1:25" s="6" customFormat="1" x14ac:dyDescent="0.35">
      <c r="A642" s="6" t="s">
        <v>25</v>
      </c>
      <c r="B642" s="7" t="s">
        <v>1388</v>
      </c>
      <c r="D642" s="6" t="s">
        <v>1389</v>
      </c>
      <c r="E642" s="6">
        <v>3</v>
      </c>
      <c r="F642" s="6">
        <v>36</v>
      </c>
      <c r="G642" s="6" t="s">
        <v>202</v>
      </c>
      <c r="I642" s="8">
        <v>84.331482986111098</v>
      </c>
      <c r="J642" s="8">
        <v>14.642671805555601</v>
      </c>
      <c r="K642" s="6" t="s">
        <v>29</v>
      </c>
      <c r="L642" s="6" t="s">
        <v>335</v>
      </c>
      <c r="M642" s="9">
        <v>43935</v>
      </c>
      <c r="O642" s="6">
        <v>29</v>
      </c>
      <c r="P642" s="6" t="s">
        <v>4332</v>
      </c>
      <c r="R642" s="10"/>
      <c r="S642" s="10">
        <v>180</v>
      </c>
      <c r="T642" s="10">
        <v>192</v>
      </c>
      <c r="U642" s="10">
        <f t="shared" ref="U642:U705" si="20">AVERAGE(S642:T642)</f>
        <v>186</v>
      </c>
      <c r="V642" s="11"/>
      <c r="W642" s="8">
        <v>1.0502992807197571</v>
      </c>
      <c r="X642" s="8">
        <v>7.6478023300170896</v>
      </c>
      <c r="Y642" s="8">
        <f t="shared" ref="Y642:Y705" si="21">X642-(8*W642)</f>
        <v>-0.75459191574096707</v>
      </c>
    </row>
    <row r="643" spans="1:25" s="6" customFormat="1" x14ac:dyDescent="0.35">
      <c r="A643" s="6" t="s">
        <v>25</v>
      </c>
      <c r="B643" s="7" t="s">
        <v>1390</v>
      </c>
      <c r="D643" s="6" t="s">
        <v>1391</v>
      </c>
      <c r="E643" s="6">
        <v>3</v>
      </c>
      <c r="F643" s="6">
        <v>36</v>
      </c>
      <c r="G643" s="6" t="s">
        <v>202</v>
      </c>
      <c r="I643" s="8">
        <v>84.331482986111098</v>
      </c>
      <c r="J643" s="8">
        <v>14.642671805555601</v>
      </c>
      <c r="K643" s="6" t="s">
        <v>29</v>
      </c>
      <c r="L643" s="6" t="s">
        <v>335</v>
      </c>
      <c r="M643" s="9">
        <v>43935</v>
      </c>
      <c r="O643" s="6">
        <v>29</v>
      </c>
      <c r="P643" s="6" t="s">
        <v>4332</v>
      </c>
      <c r="R643" s="10"/>
      <c r="S643" s="10">
        <v>192</v>
      </c>
      <c r="T643" s="10">
        <v>211</v>
      </c>
      <c r="U643" s="10">
        <f t="shared" si="20"/>
        <v>201.5</v>
      </c>
      <c r="V643" s="11"/>
      <c r="W643" s="8">
        <v>0.2911390357780454</v>
      </c>
      <c r="X643" s="8">
        <v>2.9170343849658966</v>
      </c>
      <c r="Y643" s="8">
        <f t="shared" si="21"/>
        <v>0.58792209874153345</v>
      </c>
    </row>
    <row r="644" spans="1:25" s="6" customFormat="1" x14ac:dyDescent="0.35">
      <c r="A644" s="6" t="s">
        <v>25</v>
      </c>
      <c r="B644" s="7" t="s">
        <v>1394</v>
      </c>
      <c r="D644" s="6" t="s">
        <v>1395</v>
      </c>
      <c r="E644" s="6">
        <v>3</v>
      </c>
      <c r="F644" s="6">
        <v>36</v>
      </c>
      <c r="G644" s="6" t="s">
        <v>202</v>
      </c>
      <c r="I644" s="8">
        <v>84.322932986111098</v>
      </c>
      <c r="J644" s="8">
        <v>13.874112986111101</v>
      </c>
      <c r="K644" s="6" t="s">
        <v>29</v>
      </c>
      <c r="L644" s="6" t="s">
        <v>335</v>
      </c>
      <c r="M644" s="9">
        <v>43936</v>
      </c>
      <c r="O644" s="6">
        <v>29</v>
      </c>
      <c r="P644" s="6" t="s">
        <v>4363</v>
      </c>
      <c r="R644" s="10"/>
      <c r="S644" s="10">
        <v>0</v>
      </c>
      <c r="T644" s="10">
        <v>10</v>
      </c>
      <c r="U644" s="10">
        <f t="shared" si="20"/>
        <v>5</v>
      </c>
      <c r="V644" s="11"/>
      <c r="W644" s="8">
        <v>-4.4142491370201116</v>
      </c>
      <c r="X644" s="8">
        <v>-34.839426834106447</v>
      </c>
      <c r="Y644" s="8">
        <f t="shared" si="21"/>
        <v>0.47456626205444508</v>
      </c>
    </row>
    <row r="645" spans="1:25" s="6" customFormat="1" x14ac:dyDescent="0.35">
      <c r="A645" s="6" t="s">
        <v>25</v>
      </c>
      <c r="B645" s="6" t="s">
        <v>1402</v>
      </c>
      <c r="D645" s="6" t="s">
        <v>1403</v>
      </c>
      <c r="E645" s="6">
        <v>3</v>
      </c>
      <c r="F645" s="6">
        <v>37</v>
      </c>
      <c r="G645" s="6" t="s">
        <v>272</v>
      </c>
      <c r="I645" s="8">
        <v>84.126440069444399</v>
      </c>
      <c r="J645" s="8">
        <v>15.9185540277778</v>
      </c>
      <c r="K645" s="6" t="s">
        <v>29</v>
      </c>
      <c r="L645" s="6" t="s">
        <v>546</v>
      </c>
      <c r="M645" s="9">
        <v>43943</v>
      </c>
      <c r="O645" s="6">
        <v>30</v>
      </c>
      <c r="P645" s="6" t="s">
        <v>4365</v>
      </c>
      <c r="R645" s="6">
        <v>0</v>
      </c>
      <c r="S645" s="6">
        <v>0</v>
      </c>
      <c r="T645" s="6">
        <v>10</v>
      </c>
      <c r="U645" s="10">
        <f t="shared" si="20"/>
        <v>5</v>
      </c>
      <c r="W645" s="8">
        <v>-3.6553133301258089</v>
      </c>
      <c r="X645" s="8">
        <v>-28.323920055389404</v>
      </c>
      <c r="Y645" s="8">
        <f t="shared" si="21"/>
        <v>0.91858658561706719</v>
      </c>
    </row>
    <row r="646" spans="1:25" s="6" customFormat="1" x14ac:dyDescent="0.35">
      <c r="A646" s="6" t="s">
        <v>25</v>
      </c>
      <c r="B646" s="6" t="s">
        <v>1404</v>
      </c>
      <c r="D646" s="6" t="s">
        <v>1403</v>
      </c>
      <c r="E646" s="6">
        <v>3</v>
      </c>
      <c r="F646" s="6">
        <v>37</v>
      </c>
      <c r="G646" s="6" t="s">
        <v>272</v>
      </c>
      <c r="I646" s="8">
        <v>84.126440069444399</v>
      </c>
      <c r="J646" s="8">
        <v>15.9185540277778</v>
      </c>
      <c r="K646" s="6" t="s">
        <v>29</v>
      </c>
      <c r="L646" s="6" t="s">
        <v>546</v>
      </c>
      <c r="M646" s="9">
        <v>43943</v>
      </c>
      <c r="O646" s="6">
        <v>30</v>
      </c>
      <c r="P646" s="6" t="s">
        <v>4365</v>
      </c>
      <c r="R646" s="6">
        <v>10</v>
      </c>
      <c r="S646" s="6">
        <v>10</v>
      </c>
      <c r="T646" s="6">
        <v>20</v>
      </c>
      <c r="U646" s="10">
        <f t="shared" si="20"/>
        <v>15</v>
      </c>
      <c r="W646" s="8">
        <v>-3.1780684186935426</v>
      </c>
      <c r="X646" s="8">
        <v>-25.335348266601567</v>
      </c>
      <c r="Y646" s="8">
        <f t="shared" si="21"/>
        <v>8.91990829467737E-2</v>
      </c>
    </row>
    <row r="647" spans="1:25" s="6" customFormat="1" x14ac:dyDescent="0.35">
      <c r="A647" s="6" t="s">
        <v>25</v>
      </c>
      <c r="B647" s="6" t="s">
        <v>1405</v>
      </c>
      <c r="D647" s="6" t="s">
        <v>1403</v>
      </c>
      <c r="E647" s="6">
        <v>3</v>
      </c>
      <c r="F647" s="6">
        <v>37</v>
      </c>
      <c r="G647" s="6" t="s">
        <v>272</v>
      </c>
      <c r="I647" s="8">
        <v>84.126440069444399</v>
      </c>
      <c r="J647" s="8">
        <v>15.9185540277778</v>
      </c>
      <c r="K647" s="6" t="s">
        <v>29</v>
      </c>
      <c r="L647" s="6" t="s">
        <v>546</v>
      </c>
      <c r="M647" s="9">
        <v>43943</v>
      </c>
      <c r="O647" s="6">
        <v>30</v>
      </c>
      <c r="P647" s="6" t="s">
        <v>4365</v>
      </c>
      <c r="R647" s="6">
        <v>20</v>
      </c>
      <c r="S647" s="6">
        <v>20</v>
      </c>
      <c r="T647" s="6">
        <v>30</v>
      </c>
      <c r="U647" s="10">
        <f t="shared" si="20"/>
        <v>25</v>
      </c>
      <c r="W647" s="8">
        <v>-3.0341171776771545</v>
      </c>
      <c r="X647" s="8">
        <v>-23.123018138885499</v>
      </c>
      <c r="Y647" s="8">
        <f t="shared" si="21"/>
        <v>1.1499192825317373</v>
      </c>
    </row>
    <row r="648" spans="1:25" s="6" customFormat="1" x14ac:dyDescent="0.35">
      <c r="A648" s="6" t="s">
        <v>25</v>
      </c>
      <c r="B648" s="6" t="s">
        <v>1406</v>
      </c>
      <c r="D648" s="6" t="s">
        <v>1403</v>
      </c>
      <c r="E648" s="6">
        <v>3</v>
      </c>
      <c r="F648" s="6">
        <v>37</v>
      </c>
      <c r="G648" s="6" t="s">
        <v>272</v>
      </c>
      <c r="I648" s="8">
        <v>84.126440069444399</v>
      </c>
      <c r="J648" s="8">
        <v>15.9185540277778</v>
      </c>
      <c r="K648" s="6" t="s">
        <v>29</v>
      </c>
      <c r="L648" s="6" t="s">
        <v>546</v>
      </c>
      <c r="M648" s="9">
        <v>43943</v>
      </c>
      <c r="O648" s="6">
        <v>30</v>
      </c>
      <c r="P648" s="6" t="s">
        <v>4365</v>
      </c>
      <c r="R648" s="6">
        <v>30</v>
      </c>
      <c r="S648" s="6">
        <v>30</v>
      </c>
      <c r="T648" s="6">
        <v>40</v>
      </c>
      <c r="U648" s="10">
        <f t="shared" si="20"/>
        <v>35</v>
      </c>
      <c r="W648" s="8">
        <v>-2.8998798963546752</v>
      </c>
      <c r="X648" s="8">
        <v>-22.365469181060792</v>
      </c>
      <c r="Y648" s="8">
        <f t="shared" si="21"/>
        <v>0.83356998977660979</v>
      </c>
    </row>
    <row r="649" spans="1:25" s="6" customFormat="1" x14ac:dyDescent="0.35">
      <c r="A649" s="6" t="s">
        <v>25</v>
      </c>
      <c r="B649" s="6" t="s">
        <v>1407</v>
      </c>
      <c r="D649" s="6" t="s">
        <v>1403</v>
      </c>
      <c r="E649" s="6">
        <v>3</v>
      </c>
      <c r="F649" s="6">
        <v>37</v>
      </c>
      <c r="G649" s="6" t="s">
        <v>272</v>
      </c>
      <c r="I649" s="8">
        <v>84.126440069444399</v>
      </c>
      <c r="J649" s="8">
        <v>15.9185540277778</v>
      </c>
      <c r="K649" s="6" t="s">
        <v>29</v>
      </c>
      <c r="L649" s="6" t="s">
        <v>546</v>
      </c>
      <c r="M649" s="9">
        <v>43943</v>
      </c>
      <c r="O649" s="6">
        <v>30</v>
      </c>
      <c r="P649" s="6" t="s">
        <v>4365</v>
      </c>
      <c r="R649" s="6">
        <v>40</v>
      </c>
      <c r="S649" s="6">
        <v>40</v>
      </c>
      <c r="T649" s="6">
        <v>50</v>
      </c>
      <c r="U649" s="10">
        <f t="shared" si="20"/>
        <v>45</v>
      </c>
      <c r="W649" s="8">
        <v>-2.5559519710063938</v>
      </c>
      <c r="X649" s="8">
        <v>-19.641545238494874</v>
      </c>
      <c r="Y649" s="8">
        <f t="shared" si="21"/>
        <v>0.80607052955627623</v>
      </c>
    </row>
    <row r="650" spans="1:25" s="6" customFormat="1" x14ac:dyDescent="0.35">
      <c r="A650" s="6" t="s">
        <v>25</v>
      </c>
      <c r="B650" s="6" t="s">
        <v>1408</v>
      </c>
      <c r="D650" s="6" t="s">
        <v>1403</v>
      </c>
      <c r="E650" s="6">
        <v>3</v>
      </c>
      <c r="F650" s="6">
        <v>37</v>
      </c>
      <c r="G650" s="6" t="s">
        <v>272</v>
      </c>
      <c r="I650" s="8">
        <v>84.126440069444399</v>
      </c>
      <c r="J650" s="8">
        <v>15.9185540277778</v>
      </c>
      <c r="K650" s="6" t="s">
        <v>29</v>
      </c>
      <c r="L650" s="6" t="s">
        <v>546</v>
      </c>
      <c r="M650" s="9">
        <v>43943</v>
      </c>
      <c r="O650" s="6">
        <v>30</v>
      </c>
      <c r="P650" s="6" t="s">
        <v>4365</v>
      </c>
      <c r="R650" s="6">
        <v>50</v>
      </c>
      <c r="S650" s="6">
        <v>50</v>
      </c>
      <c r="T650" s="6">
        <v>60</v>
      </c>
      <c r="U650" s="10">
        <f t="shared" si="20"/>
        <v>55</v>
      </c>
      <c r="W650" s="8">
        <v>-0.7430697203993798</v>
      </c>
      <c r="X650" s="8">
        <v>-5.6324425439834593</v>
      </c>
      <c r="Y650" s="8">
        <f t="shared" si="21"/>
        <v>0.31211521921157903</v>
      </c>
    </row>
    <row r="651" spans="1:25" s="6" customFormat="1" x14ac:dyDescent="0.35">
      <c r="A651" s="6" t="s">
        <v>25</v>
      </c>
      <c r="B651" s="6" t="s">
        <v>1409</v>
      </c>
      <c r="D651" s="6" t="s">
        <v>1403</v>
      </c>
      <c r="E651" s="6">
        <v>3</v>
      </c>
      <c r="F651" s="6">
        <v>37</v>
      </c>
      <c r="G651" s="6" t="s">
        <v>272</v>
      </c>
      <c r="I651" s="8">
        <v>84.126440069444399</v>
      </c>
      <c r="J651" s="8">
        <v>15.9185540277778</v>
      </c>
      <c r="K651" s="6" t="s">
        <v>29</v>
      </c>
      <c r="L651" s="6" t="s">
        <v>546</v>
      </c>
      <c r="M651" s="9">
        <v>43943</v>
      </c>
      <c r="O651" s="6">
        <v>30</v>
      </c>
      <c r="P651" s="6" t="s">
        <v>4365</v>
      </c>
      <c r="R651" s="6">
        <v>60</v>
      </c>
      <c r="S651" s="6">
        <v>60</v>
      </c>
      <c r="T651" s="6">
        <v>70</v>
      </c>
      <c r="U651" s="10">
        <f t="shared" si="20"/>
        <v>65</v>
      </c>
      <c r="W651" s="8">
        <v>0.60255763088464709</v>
      </c>
      <c r="X651" s="8">
        <v>4.3884707698822041</v>
      </c>
      <c r="Y651" s="8">
        <f t="shared" si="21"/>
        <v>-0.43199027719497263</v>
      </c>
    </row>
    <row r="652" spans="1:25" s="6" customFormat="1" x14ac:dyDescent="0.35">
      <c r="A652" s="6" t="s">
        <v>25</v>
      </c>
      <c r="B652" s="6" t="s">
        <v>1410</v>
      </c>
      <c r="D652" s="6" t="s">
        <v>1403</v>
      </c>
      <c r="E652" s="6">
        <v>3</v>
      </c>
      <c r="F652" s="6">
        <v>37</v>
      </c>
      <c r="G652" s="6" t="s">
        <v>272</v>
      </c>
      <c r="I652" s="8">
        <v>84.126440069444399</v>
      </c>
      <c r="J652" s="8">
        <v>15.9185540277778</v>
      </c>
      <c r="K652" s="6" t="s">
        <v>29</v>
      </c>
      <c r="L652" s="6" t="s">
        <v>546</v>
      </c>
      <c r="M652" s="9">
        <v>43943</v>
      </c>
      <c r="O652" s="6">
        <v>30</v>
      </c>
      <c r="P652" s="6" t="s">
        <v>4365</v>
      </c>
      <c r="R652" s="6">
        <v>70</v>
      </c>
      <c r="S652" s="6">
        <v>70</v>
      </c>
      <c r="T652" s="6">
        <v>80</v>
      </c>
      <c r="U652" s="10">
        <f t="shared" si="20"/>
        <v>75</v>
      </c>
      <c r="W652" s="8">
        <v>0.72027081595659304</v>
      </c>
      <c r="X652" s="8">
        <v>5.8322329845428476</v>
      </c>
      <c r="Y652" s="8">
        <f t="shared" si="21"/>
        <v>7.0066456890103268E-2</v>
      </c>
    </row>
    <row r="653" spans="1:25" s="6" customFormat="1" x14ac:dyDescent="0.35">
      <c r="A653" s="6" t="s">
        <v>25</v>
      </c>
      <c r="B653" s="6" t="s">
        <v>1411</v>
      </c>
      <c r="D653" s="6" t="s">
        <v>1403</v>
      </c>
      <c r="E653" s="6">
        <v>3</v>
      </c>
      <c r="F653" s="6">
        <v>37</v>
      </c>
      <c r="G653" s="6" t="s">
        <v>272</v>
      </c>
      <c r="I653" s="8">
        <v>84.126440069444399</v>
      </c>
      <c r="J653" s="8">
        <v>15.9185540277778</v>
      </c>
      <c r="K653" s="6" t="s">
        <v>29</v>
      </c>
      <c r="L653" s="6" t="s">
        <v>546</v>
      </c>
      <c r="M653" s="9">
        <v>43943</v>
      </c>
      <c r="O653" s="6">
        <v>30</v>
      </c>
      <c r="P653" s="6" t="s">
        <v>4365</v>
      </c>
      <c r="R653" s="6">
        <v>80</v>
      </c>
      <c r="S653" s="6">
        <v>80</v>
      </c>
      <c r="T653" s="6">
        <v>90</v>
      </c>
      <c r="U653" s="10">
        <f t="shared" si="20"/>
        <v>85</v>
      </c>
      <c r="W653" s="8">
        <v>0.3787942794442179</v>
      </c>
      <c r="X653" s="8">
        <v>3.526013229370117</v>
      </c>
      <c r="Y653" s="8">
        <f t="shared" si="21"/>
        <v>0.49565899381637379</v>
      </c>
    </row>
    <row r="654" spans="1:25" s="6" customFormat="1" x14ac:dyDescent="0.35">
      <c r="A654" s="6" t="s">
        <v>25</v>
      </c>
      <c r="B654" s="6" t="s">
        <v>1412</v>
      </c>
      <c r="D654" s="6" t="s">
        <v>1403</v>
      </c>
      <c r="E654" s="6">
        <v>3</v>
      </c>
      <c r="F654" s="6">
        <v>37</v>
      </c>
      <c r="G654" s="6" t="s">
        <v>272</v>
      </c>
      <c r="I654" s="8">
        <v>84.126440069444399</v>
      </c>
      <c r="J654" s="8">
        <v>15.9185540277778</v>
      </c>
      <c r="K654" s="6" t="s">
        <v>29</v>
      </c>
      <c r="L654" s="6" t="s">
        <v>546</v>
      </c>
      <c r="M654" s="9">
        <v>43943</v>
      </c>
      <c r="O654" s="6">
        <v>30</v>
      </c>
      <c r="P654" s="6" t="s">
        <v>4365</v>
      </c>
      <c r="R654" s="6">
        <v>90</v>
      </c>
      <c r="S654" s="6">
        <v>90</v>
      </c>
      <c r="T654" s="6">
        <v>100</v>
      </c>
      <c r="U654" s="10">
        <f t="shared" si="20"/>
        <v>95</v>
      </c>
      <c r="W654" s="8">
        <v>3.8988540352880421E-2</v>
      </c>
      <c r="X654" s="8">
        <v>0.75028291988372819</v>
      </c>
      <c r="Y654" s="8">
        <f t="shared" si="21"/>
        <v>0.43837459706068482</v>
      </c>
    </row>
    <row r="655" spans="1:25" s="6" customFormat="1" x14ac:dyDescent="0.35">
      <c r="A655" s="6" t="s">
        <v>25</v>
      </c>
      <c r="B655" s="6" t="s">
        <v>1413</v>
      </c>
      <c r="D655" s="6" t="s">
        <v>1403</v>
      </c>
      <c r="E655" s="6">
        <v>3</v>
      </c>
      <c r="F655" s="6">
        <v>37</v>
      </c>
      <c r="G655" s="6" t="s">
        <v>272</v>
      </c>
      <c r="I655" s="8">
        <v>84.126440069444399</v>
      </c>
      <c r="J655" s="8">
        <v>15.9185540277778</v>
      </c>
      <c r="K655" s="6" t="s">
        <v>29</v>
      </c>
      <c r="L655" s="6" t="s">
        <v>546</v>
      </c>
      <c r="M655" s="9">
        <v>43943</v>
      </c>
      <c r="O655" s="6">
        <v>30</v>
      </c>
      <c r="P655" s="6" t="s">
        <v>4365</v>
      </c>
      <c r="R655" s="6">
        <v>100</v>
      </c>
      <c r="S655" s="6">
        <v>100</v>
      </c>
      <c r="T655" s="6">
        <v>110</v>
      </c>
      <c r="U655" s="10">
        <f t="shared" si="20"/>
        <v>105</v>
      </c>
      <c r="W655" s="8">
        <v>-0.10925254902839676</v>
      </c>
      <c r="X655" s="8">
        <v>-0.99538868603110287</v>
      </c>
      <c r="Y655" s="8">
        <f t="shared" si="21"/>
        <v>-0.12136829380392877</v>
      </c>
    </row>
    <row r="656" spans="1:25" s="6" customFormat="1" x14ac:dyDescent="0.35">
      <c r="A656" s="6" t="s">
        <v>25</v>
      </c>
      <c r="B656" s="6" t="s">
        <v>1414</v>
      </c>
      <c r="D656" s="6" t="s">
        <v>1403</v>
      </c>
      <c r="E656" s="6">
        <v>3</v>
      </c>
      <c r="F656" s="6">
        <v>37</v>
      </c>
      <c r="G656" s="6" t="s">
        <v>272</v>
      </c>
      <c r="I656" s="8">
        <v>84.126440069444399</v>
      </c>
      <c r="J656" s="8">
        <v>15.9185540277778</v>
      </c>
      <c r="K656" s="6" t="s">
        <v>29</v>
      </c>
      <c r="L656" s="6" t="s">
        <v>546</v>
      </c>
      <c r="M656" s="9">
        <v>43943</v>
      </c>
      <c r="O656" s="6">
        <v>30</v>
      </c>
      <c r="P656" s="6" t="s">
        <v>4365</v>
      </c>
      <c r="R656" s="6">
        <v>110</v>
      </c>
      <c r="S656" s="6">
        <v>110</v>
      </c>
      <c r="T656" s="6">
        <v>120</v>
      </c>
      <c r="U656" s="10">
        <f t="shared" si="20"/>
        <v>115</v>
      </c>
      <c r="W656" s="8">
        <v>-0.12042603262364888</v>
      </c>
      <c r="X656" s="8">
        <v>0.11791342306137038</v>
      </c>
      <c r="Y656" s="8">
        <f t="shared" si="21"/>
        <v>1.0813216840505615</v>
      </c>
    </row>
    <row r="657" spans="1:25" s="6" customFormat="1" x14ac:dyDescent="0.35">
      <c r="A657" s="6" t="s">
        <v>25</v>
      </c>
      <c r="B657" s="6" t="s">
        <v>1415</v>
      </c>
      <c r="D657" s="6" t="s">
        <v>1403</v>
      </c>
      <c r="E657" s="6">
        <v>3</v>
      </c>
      <c r="F657" s="6">
        <v>37</v>
      </c>
      <c r="G657" s="6" t="s">
        <v>272</v>
      </c>
      <c r="I657" s="8">
        <v>84.126440069444399</v>
      </c>
      <c r="J657" s="8">
        <v>15.9185540277778</v>
      </c>
      <c r="K657" s="6" t="s">
        <v>29</v>
      </c>
      <c r="L657" s="6" t="s">
        <v>546</v>
      </c>
      <c r="M657" s="9">
        <v>43943</v>
      </c>
      <c r="O657" s="6">
        <v>30</v>
      </c>
      <c r="P657" s="6" t="s">
        <v>4365</v>
      </c>
      <c r="R657" s="6">
        <v>120</v>
      </c>
      <c r="S657" s="6">
        <v>120</v>
      </c>
      <c r="T657" s="6">
        <v>130</v>
      </c>
      <c r="U657" s="10">
        <f t="shared" si="20"/>
        <v>125</v>
      </c>
      <c r="W657" s="8">
        <v>8.2677910858393169E-2</v>
      </c>
      <c r="X657" s="8">
        <v>1.031610270023346</v>
      </c>
      <c r="Y657" s="8">
        <f t="shared" si="21"/>
        <v>0.37018698315620069</v>
      </c>
    </row>
    <row r="658" spans="1:25" s="6" customFormat="1" x14ac:dyDescent="0.35">
      <c r="A658" s="6" t="s">
        <v>25</v>
      </c>
      <c r="B658" s="6" t="s">
        <v>1416</v>
      </c>
      <c r="D658" s="6" t="s">
        <v>1403</v>
      </c>
      <c r="E658" s="6">
        <v>3</v>
      </c>
      <c r="F658" s="6">
        <v>37</v>
      </c>
      <c r="G658" s="6" t="s">
        <v>272</v>
      </c>
      <c r="I658" s="8">
        <v>84.126440069444399</v>
      </c>
      <c r="J658" s="8">
        <v>15.9185540277778</v>
      </c>
      <c r="K658" s="6" t="s">
        <v>29</v>
      </c>
      <c r="L658" s="6" t="s">
        <v>546</v>
      </c>
      <c r="M658" s="9">
        <v>43943</v>
      </c>
      <c r="O658" s="6">
        <v>30</v>
      </c>
      <c r="P658" s="6" t="s">
        <v>4365</v>
      </c>
      <c r="R658" s="6">
        <v>130</v>
      </c>
      <c r="S658" s="6">
        <v>130</v>
      </c>
      <c r="T658" s="6">
        <v>140</v>
      </c>
      <c r="U658" s="10">
        <f t="shared" si="20"/>
        <v>135</v>
      </c>
      <c r="W658" s="8">
        <v>0.23351658404767509</v>
      </c>
      <c r="X658" s="8">
        <v>2.0442931442260743</v>
      </c>
      <c r="Y658" s="8">
        <f t="shared" si="21"/>
        <v>0.17616047184467365</v>
      </c>
    </row>
    <row r="659" spans="1:25" s="6" customFormat="1" x14ac:dyDescent="0.35">
      <c r="A659" s="6" t="s">
        <v>25</v>
      </c>
      <c r="B659" s="6" t="s">
        <v>1417</v>
      </c>
      <c r="D659" s="6" t="s">
        <v>1403</v>
      </c>
      <c r="E659" s="6">
        <v>3</v>
      </c>
      <c r="F659" s="6">
        <v>37</v>
      </c>
      <c r="G659" s="6" t="s">
        <v>272</v>
      </c>
      <c r="I659" s="8">
        <v>84.126440069444399</v>
      </c>
      <c r="J659" s="8">
        <v>15.9185540277778</v>
      </c>
      <c r="K659" s="6" t="s">
        <v>29</v>
      </c>
      <c r="L659" s="6" t="s">
        <v>546</v>
      </c>
      <c r="M659" s="9">
        <v>43943</v>
      </c>
      <c r="O659" s="6">
        <v>30</v>
      </c>
      <c r="P659" s="6" t="s">
        <v>4365</v>
      </c>
      <c r="R659" s="6">
        <v>140</v>
      </c>
      <c r="S659" s="6">
        <v>140</v>
      </c>
      <c r="T659" s="6">
        <v>150</v>
      </c>
      <c r="U659" s="10">
        <f t="shared" si="20"/>
        <v>145</v>
      </c>
      <c r="W659" s="8">
        <v>0.65708859153985966</v>
      </c>
      <c r="X659" s="8">
        <v>5.8620622997283922</v>
      </c>
      <c r="Y659" s="8">
        <f t="shared" si="21"/>
        <v>0.60535356740951496</v>
      </c>
    </row>
    <row r="660" spans="1:25" s="6" customFormat="1" x14ac:dyDescent="0.35">
      <c r="A660" s="6" t="s">
        <v>25</v>
      </c>
      <c r="B660" s="6" t="s">
        <v>1418</v>
      </c>
      <c r="D660" s="6" t="s">
        <v>1403</v>
      </c>
      <c r="E660" s="6">
        <v>3</v>
      </c>
      <c r="F660" s="6">
        <v>37</v>
      </c>
      <c r="G660" s="6" t="s">
        <v>272</v>
      </c>
      <c r="I660" s="8">
        <v>84.126440069444399</v>
      </c>
      <c r="J660" s="8">
        <v>15.9185540277778</v>
      </c>
      <c r="K660" s="6" t="s">
        <v>29</v>
      </c>
      <c r="L660" s="6" t="s">
        <v>546</v>
      </c>
      <c r="M660" s="9">
        <v>43943</v>
      </c>
      <c r="O660" s="6">
        <v>30</v>
      </c>
      <c r="P660" s="6" t="s">
        <v>4365</v>
      </c>
      <c r="R660" s="6">
        <v>150</v>
      </c>
      <c r="S660" s="6">
        <v>150</v>
      </c>
      <c r="T660" s="6">
        <v>160</v>
      </c>
      <c r="U660" s="10">
        <f t="shared" si="20"/>
        <v>155</v>
      </c>
      <c r="W660" s="8">
        <v>1.024164707446098</v>
      </c>
      <c r="X660" s="8">
        <v>8.585543792724609</v>
      </c>
      <c r="Y660" s="8">
        <f t="shared" si="21"/>
        <v>0.392226133155825</v>
      </c>
    </row>
    <row r="661" spans="1:25" s="6" customFormat="1" x14ac:dyDescent="0.35">
      <c r="A661" s="6" t="s">
        <v>25</v>
      </c>
      <c r="B661" s="6" t="s">
        <v>1419</v>
      </c>
      <c r="D661" s="6" t="s">
        <v>1403</v>
      </c>
      <c r="E661" s="6">
        <v>3</v>
      </c>
      <c r="F661" s="6">
        <v>37</v>
      </c>
      <c r="G661" s="6" t="s">
        <v>272</v>
      </c>
      <c r="I661" s="8">
        <v>84.126440069444399</v>
      </c>
      <c r="J661" s="8">
        <v>15.9185540277778</v>
      </c>
      <c r="K661" s="6" t="s">
        <v>29</v>
      </c>
      <c r="L661" s="6" t="s">
        <v>546</v>
      </c>
      <c r="M661" s="9">
        <v>43943</v>
      </c>
      <c r="O661" s="6">
        <v>30</v>
      </c>
      <c r="P661" s="6" t="s">
        <v>4365</v>
      </c>
      <c r="R661" s="6">
        <v>160</v>
      </c>
      <c r="S661" s="6">
        <v>160</v>
      </c>
      <c r="T661" s="6">
        <v>170</v>
      </c>
      <c r="U661" s="10">
        <f t="shared" si="20"/>
        <v>165</v>
      </c>
      <c r="W661" s="8">
        <v>0.76743116560578351</v>
      </c>
      <c r="X661" s="8">
        <v>6.6932211720943453</v>
      </c>
      <c r="Y661" s="8">
        <f t="shared" si="21"/>
        <v>0.55377184724807726</v>
      </c>
    </row>
    <row r="662" spans="1:25" s="6" customFormat="1" x14ac:dyDescent="0.35">
      <c r="A662" s="6" t="s">
        <v>25</v>
      </c>
      <c r="B662" s="6" t="s">
        <v>1420</v>
      </c>
      <c r="D662" s="6" t="s">
        <v>1403</v>
      </c>
      <c r="E662" s="6">
        <v>3</v>
      </c>
      <c r="F662" s="6">
        <v>37</v>
      </c>
      <c r="G662" s="6" t="s">
        <v>272</v>
      </c>
      <c r="I662" s="8">
        <v>84.126440069444399</v>
      </c>
      <c r="J662" s="8">
        <v>15.9185540277778</v>
      </c>
      <c r="K662" s="6" t="s">
        <v>29</v>
      </c>
      <c r="L662" s="6" t="s">
        <v>546</v>
      </c>
      <c r="M662" s="9">
        <v>43943</v>
      </c>
      <c r="O662" s="6">
        <v>30</v>
      </c>
      <c r="P662" s="6" t="s">
        <v>4365</v>
      </c>
      <c r="R662" s="6">
        <v>170</v>
      </c>
      <c r="S662" s="6">
        <v>170</v>
      </c>
      <c r="T662" s="6">
        <v>187</v>
      </c>
      <c r="U662" s="10">
        <f t="shared" si="20"/>
        <v>178.5</v>
      </c>
      <c r="W662" s="8">
        <v>1.2632686300277709</v>
      </c>
      <c r="X662" s="8">
        <v>9.7279291987419114</v>
      </c>
      <c r="Y662" s="8">
        <f t="shared" si="21"/>
        <v>-0.37821984148025578</v>
      </c>
    </row>
    <row r="663" spans="1:25" s="6" customFormat="1" x14ac:dyDescent="0.35">
      <c r="A663" s="6" t="s">
        <v>25</v>
      </c>
      <c r="B663" s="7" t="s">
        <v>1480</v>
      </c>
      <c r="D663" s="6" t="s">
        <v>1481</v>
      </c>
      <c r="E663" s="6">
        <v>3</v>
      </c>
      <c r="F663" s="6">
        <v>37</v>
      </c>
      <c r="G663" s="6" t="s">
        <v>28</v>
      </c>
      <c r="I663" s="8">
        <v>83.999093333333306</v>
      </c>
      <c r="J663" s="8">
        <v>15.6102103472222</v>
      </c>
      <c r="K663" s="6" t="s">
        <v>29</v>
      </c>
      <c r="L663" s="6" t="s">
        <v>335</v>
      </c>
      <c r="M663" s="9">
        <v>43946</v>
      </c>
      <c r="O663" s="6">
        <v>30</v>
      </c>
      <c r="P663" s="6" t="s">
        <v>4265</v>
      </c>
      <c r="R663" s="10"/>
      <c r="S663" s="10">
        <v>0</v>
      </c>
      <c r="T663" s="10">
        <v>5</v>
      </c>
      <c r="U663" s="10">
        <f t="shared" si="20"/>
        <v>2.5</v>
      </c>
      <c r="V663" s="11"/>
      <c r="W663" s="8">
        <v>-8.6111202239990234</v>
      </c>
      <c r="X663" s="8">
        <v>-67.636764335632321</v>
      </c>
      <c r="Y663" s="8">
        <f t="shared" si="21"/>
        <v>1.2521974563598661</v>
      </c>
    </row>
    <row r="664" spans="1:25" s="6" customFormat="1" x14ac:dyDescent="0.35">
      <c r="A664" s="6" t="s">
        <v>25</v>
      </c>
      <c r="B664" s="7" t="s">
        <v>1438</v>
      </c>
      <c r="D664" s="6" t="s">
        <v>1439</v>
      </c>
      <c r="E664" s="6">
        <v>3</v>
      </c>
      <c r="F664" s="6">
        <v>37</v>
      </c>
      <c r="G664" s="6" t="s">
        <v>28</v>
      </c>
      <c r="I664" s="8">
        <v>83.999093333333306</v>
      </c>
      <c r="J664" s="8">
        <v>15.6102103472222</v>
      </c>
      <c r="K664" s="6" t="s">
        <v>29</v>
      </c>
      <c r="L664" s="6" t="s">
        <v>335</v>
      </c>
      <c r="M664" s="9">
        <v>43946</v>
      </c>
      <c r="O664" s="6">
        <v>30</v>
      </c>
      <c r="P664" s="6" t="s">
        <v>4265</v>
      </c>
      <c r="R664" s="10"/>
      <c r="S664" s="10">
        <v>0</v>
      </c>
      <c r="T664" s="10">
        <v>10</v>
      </c>
      <c r="U664" s="10">
        <f t="shared" si="20"/>
        <v>5</v>
      </c>
      <c r="V664" s="11"/>
      <c r="W664" s="8">
        <v>-2.9945336899757389</v>
      </c>
      <c r="X664" s="8">
        <v>-22.009508826828004</v>
      </c>
      <c r="Y664" s="8">
        <f t="shared" si="21"/>
        <v>1.9467606929779073</v>
      </c>
    </row>
    <row r="665" spans="1:25" s="6" customFormat="1" x14ac:dyDescent="0.35">
      <c r="A665" s="6" t="s">
        <v>25</v>
      </c>
      <c r="B665" s="7" t="s">
        <v>1482</v>
      </c>
      <c r="D665" s="6" t="s">
        <v>1483</v>
      </c>
      <c r="E665" s="6">
        <v>3</v>
      </c>
      <c r="F665" s="6">
        <v>37</v>
      </c>
      <c r="G665" s="6" t="s">
        <v>28</v>
      </c>
      <c r="I665" s="8">
        <v>83.999093333333306</v>
      </c>
      <c r="J665" s="8">
        <v>15.6102103472222</v>
      </c>
      <c r="K665" s="6" t="s">
        <v>29</v>
      </c>
      <c r="L665" s="6" t="s">
        <v>335</v>
      </c>
      <c r="M665" s="9">
        <v>43946</v>
      </c>
      <c r="O665" s="6">
        <v>30</v>
      </c>
      <c r="P665" s="6" t="s">
        <v>4265</v>
      </c>
      <c r="R665" s="10"/>
      <c r="S665" s="10">
        <v>5</v>
      </c>
      <c r="T665" s="10">
        <v>10</v>
      </c>
      <c r="U665" s="10">
        <f t="shared" si="20"/>
        <v>7.5</v>
      </c>
      <c r="V665" s="11"/>
      <c r="W665" s="8">
        <v>-3.2278001308441162</v>
      </c>
      <c r="X665" s="8">
        <v>-24.891163015365599</v>
      </c>
      <c r="Y665" s="8">
        <f t="shared" si="21"/>
        <v>0.93123803138733052</v>
      </c>
    </row>
    <row r="666" spans="1:25" s="6" customFormat="1" x14ac:dyDescent="0.35">
      <c r="A666" s="6" t="s">
        <v>25</v>
      </c>
      <c r="B666" s="7" t="s">
        <v>1440</v>
      </c>
      <c r="D666" s="6" t="s">
        <v>1441</v>
      </c>
      <c r="E666" s="6">
        <v>3</v>
      </c>
      <c r="F666" s="6">
        <v>37</v>
      </c>
      <c r="G666" s="6" t="s">
        <v>28</v>
      </c>
      <c r="I666" s="8">
        <v>83.999093333333306</v>
      </c>
      <c r="J666" s="8">
        <v>15.6102103472222</v>
      </c>
      <c r="K666" s="6" t="s">
        <v>29</v>
      </c>
      <c r="L666" s="6" t="s">
        <v>335</v>
      </c>
      <c r="M666" s="9">
        <v>43946</v>
      </c>
      <c r="O666" s="6">
        <v>30</v>
      </c>
      <c r="P666" s="6" t="s">
        <v>4265</v>
      </c>
      <c r="R666" s="10"/>
      <c r="S666" s="10">
        <v>10</v>
      </c>
      <c r="T666" s="10">
        <v>20</v>
      </c>
      <c r="U666" s="10">
        <f t="shared" si="20"/>
        <v>15</v>
      </c>
      <c r="V666" s="11"/>
      <c r="W666" s="8">
        <v>-2.8354619577407845</v>
      </c>
      <c r="X666" s="8">
        <v>-21.847771382904053</v>
      </c>
      <c r="Y666" s="8">
        <f t="shared" si="21"/>
        <v>0.83592427902222255</v>
      </c>
    </row>
    <row r="667" spans="1:25" s="6" customFormat="1" x14ac:dyDescent="0.35">
      <c r="A667" s="6" t="s">
        <v>25</v>
      </c>
      <c r="B667" s="7" t="s">
        <v>1484</v>
      </c>
      <c r="D667" s="6" t="s">
        <v>1485</v>
      </c>
      <c r="E667" s="6">
        <v>3</v>
      </c>
      <c r="F667" s="6">
        <v>37</v>
      </c>
      <c r="G667" s="6" t="s">
        <v>28</v>
      </c>
      <c r="I667" s="8">
        <v>83.999093333333306</v>
      </c>
      <c r="J667" s="8">
        <v>15.6102103472222</v>
      </c>
      <c r="K667" s="6" t="s">
        <v>29</v>
      </c>
      <c r="L667" s="6" t="s">
        <v>335</v>
      </c>
      <c r="M667" s="9">
        <v>43946</v>
      </c>
      <c r="O667" s="6">
        <v>30</v>
      </c>
      <c r="P667" s="6" t="s">
        <v>4265</v>
      </c>
      <c r="R667" s="10"/>
      <c r="S667" s="10">
        <v>10</v>
      </c>
      <c r="T667" s="10">
        <v>20</v>
      </c>
      <c r="U667" s="10">
        <f t="shared" si="20"/>
        <v>15</v>
      </c>
      <c r="V667" s="11"/>
      <c r="W667" s="8">
        <v>-2.6782417297363281</v>
      </c>
      <c r="X667" s="8">
        <v>-20.21283745765686</v>
      </c>
      <c r="Y667" s="8">
        <f t="shared" si="21"/>
        <v>1.2130963802337646</v>
      </c>
    </row>
    <row r="668" spans="1:25" s="6" customFormat="1" x14ac:dyDescent="0.35">
      <c r="A668" s="6" t="s">
        <v>25</v>
      </c>
      <c r="B668" s="7" t="s">
        <v>1442</v>
      </c>
      <c r="D668" s="6" t="s">
        <v>1443</v>
      </c>
      <c r="E668" s="6">
        <v>3</v>
      </c>
      <c r="F668" s="6">
        <v>37</v>
      </c>
      <c r="G668" s="6" t="s">
        <v>28</v>
      </c>
      <c r="I668" s="8">
        <v>83.999093333333306</v>
      </c>
      <c r="J668" s="8">
        <v>15.6102103472222</v>
      </c>
      <c r="K668" s="6" t="s">
        <v>29</v>
      </c>
      <c r="L668" s="6" t="s">
        <v>335</v>
      </c>
      <c r="M668" s="9">
        <v>43946</v>
      </c>
      <c r="O668" s="6">
        <v>30</v>
      </c>
      <c r="P668" s="6" t="s">
        <v>4265</v>
      </c>
      <c r="R668" s="10"/>
      <c r="S668" s="10">
        <v>20</v>
      </c>
      <c r="T668" s="10">
        <v>30</v>
      </c>
      <c r="U668" s="10">
        <f t="shared" si="20"/>
        <v>25</v>
      </c>
      <c r="V668" s="11"/>
      <c r="W668" s="8">
        <v>-2.3150022876739498</v>
      </c>
      <c r="X668" s="8">
        <v>-17.812543920135496</v>
      </c>
      <c r="Y668" s="8">
        <f t="shared" si="21"/>
        <v>0.70747438125610174</v>
      </c>
    </row>
    <row r="669" spans="1:25" s="6" customFormat="1" x14ac:dyDescent="0.35">
      <c r="A669" s="6" t="s">
        <v>25</v>
      </c>
      <c r="B669" s="7" t="s">
        <v>1486</v>
      </c>
      <c r="D669" s="6" t="s">
        <v>1487</v>
      </c>
      <c r="E669" s="6">
        <v>3</v>
      </c>
      <c r="F669" s="6">
        <v>37</v>
      </c>
      <c r="G669" s="6" t="s">
        <v>28</v>
      </c>
      <c r="I669" s="8">
        <v>83.999093333333306</v>
      </c>
      <c r="J669" s="8">
        <v>15.6102103472222</v>
      </c>
      <c r="K669" s="6" t="s">
        <v>29</v>
      </c>
      <c r="L669" s="6" t="s">
        <v>335</v>
      </c>
      <c r="M669" s="9">
        <v>43946</v>
      </c>
      <c r="O669" s="6">
        <v>30</v>
      </c>
      <c r="P669" s="6" t="s">
        <v>4265</v>
      </c>
      <c r="R669" s="10"/>
      <c r="S669" s="10">
        <v>20</v>
      </c>
      <c r="T669" s="10">
        <v>30</v>
      </c>
      <c r="U669" s="10">
        <f t="shared" si="20"/>
        <v>25</v>
      </c>
      <c r="V669" s="11"/>
      <c r="W669" s="8">
        <v>-1.9667680263519289</v>
      </c>
      <c r="X669" s="8">
        <v>-15.457634282112121</v>
      </c>
      <c r="Y669" s="8">
        <f t="shared" si="21"/>
        <v>0.27650992870331059</v>
      </c>
    </row>
    <row r="670" spans="1:25" s="6" customFormat="1" x14ac:dyDescent="0.35">
      <c r="A670" s="6" t="s">
        <v>25</v>
      </c>
      <c r="B670" s="7" t="s">
        <v>1444</v>
      </c>
      <c r="D670" s="6" t="s">
        <v>1445</v>
      </c>
      <c r="E670" s="6">
        <v>3</v>
      </c>
      <c r="F670" s="6">
        <v>37</v>
      </c>
      <c r="G670" s="6" t="s">
        <v>28</v>
      </c>
      <c r="I670" s="8">
        <v>83.999093333333306</v>
      </c>
      <c r="J670" s="8">
        <v>15.6102103472222</v>
      </c>
      <c r="K670" s="6" t="s">
        <v>29</v>
      </c>
      <c r="L670" s="6" t="s">
        <v>335</v>
      </c>
      <c r="M670" s="9">
        <v>43946</v>
      </c>
      <c r="O670" s="6">
        <v>30</v>
      </c>
      <c r="P670" s="6" t="s">
        <v>4265</v>
      </c>
      <c r="R670" s="10"/>
      <c r="S670" s="10">
        <v>30</v>
      </c>
      <c r="T670" s="10">
        <v>40</v>
      </c>
      <c r="U670" s="10">
        <f t="shared" si="20"/>
        <v>35</v>
      </c>
      <c r="V670" s="11"/>
      <c r="W670" s="8">
        <v>-1.2403848398208615</v>
      </c>
      <c r="X670" s="8">
        <v>-9.8206311126708972</v>
      </c>
      <c r="Y670" s="8">
        <f t="shared" si="21"/>
        <v>0.10244760589599444</v>
      </c>
    </row>
    <row r="671" spans="1:25" s="6" customFormat="1" x14ac:dyDescent="0.35">
      <c r="A671" s="6" t="s">
        <v>25</v>
      </c>
      <c r="B671" s="7" t="s">
        <v>1488</v>
      </c>
      <c r="D671" s="6" t="s">
        <v>1489</v>
      </c>
      <c r="E671" s="6">
        <v>3</v>
      </c>
      <c r="F671" s="6">
        <v>37</v>
      </c>
      <c r="G671" s="6" t="s">
        <v>28</v>
      </c>
      <c r="I671" s="8">
        <v>83.999093333333306</v>
      </c>
      <c r="J671" s="8">
        <v>15.6102103472222</v>
      </c>
      <c r="K671" s="6" t="s">
        <v>29</v>
      </c>
      <c r="L671" s="6" t="s">
        <v>335</v>
      </c>
      <c r="M671" s="9">
        <v>43946</v>
      </c>
      <c r="O671" s="6">
        <v>30</v>
      </c>
      <c r="P671" s="6" t="s">
        <v>4265</v>
      </c>
      <c r="R671" s="10"/>
      <c r="S671" s="10">
        <v>30</v>
      </c>
      <c r="T671" s="10">
        <v>40</v>
      </c>
      <c r="U671" s="10">
        <f t="shared" si="20"/>
        <v>35</v>
      </c>
      <c r="V671" s="11"/>
      <c r="W671" s="8">
        <v>0.79888027906417902</v>
      </c>
      <c r="X671" s="8">
        <v>7.3933312654495236</v>
      </c>
      <c r="Y671" s="8">
        <f t="shared" si="21"/>
        <v>1.0022890329360914</v>
      </c>
    </row>
    <row r="672" spans="1:25" s="6" customFormat="1" x14ac:dyDescent="0.35">
      <c r="A672" s="6" t="s">
        <v>25</v>
      </c>
      <c r="B672" s="7" t="s">
        <v>1446</v>
      </c>
      <c r="D672" s="6" t="s">
        <v>1447</v>
      </c>
      <c r="E672" s="6">
        <v>3</v>
      </c>
      <c r="F672" s="6">
        <v>37</v>
      </c>
      <c r="G672" s="6" t="s">
        <v>28</v>
      </c>
      <c r="I672" s="8">
        <v>83.999093333333306</v>
      </c>
      <c r="J672" s="8">
        <v>15.6102103472222</v>
      </c>
      <c r="K672" s="6" t="s">
        <v>29</v>
      </c>
      <c r="L672" s="6" t="s">
        <v>335</v>
      </c>
      <c r="M672" s="9">
        <v>43946</v>
      </c>
      <c r="O672" s="6">
        <v>30</v>
      </c>
      <c r="P672" s="6" t="s">
        <v>4265</v>
      </c>
      <c r="R672" s="10"/>
      <c r="S672" s="10">
        <v>40</v>
      </c>
      <c r="T672" s="10">
        <v>50</v>
      </c>
      <c r="U672" s="10">
        <f t="shared" si="20"/>
        <v>45</v>
      </c>
      <c r="V672" s="11"/>
      <c r="W672" s="8">
        <v>-1.4352826860427859</v>
      </c>
      <c r="X672" s="8">
        <v>-10.770022605514525</v>
      </c>
      <c r="Y672" s="8">
        <f t="shared" si="21"/>
        <v>0.71223888282776215</v>
      </c>
    </row>
    <row r="673" spans="1:25" s="6" customFormat="1" x14ac:dyDescent="0.35">
      <c r="A673" s="6" t="s">
        <v>25</v>
      </c>
      <c r="B673" s="7" t="s">
        <v>1490</v>
      </c>
      <c r="D673" s="6" t="s">
        <v>1491</v>
      </c>
      <c r="E673" s="6">
        <v>3</v>
      </c>
      <c r="F673" s="6">
        <v>37</v>
      </c>
      <c r="G673" s="6" t="s">
        <v>28</v>
      </c>
      <c r="I673" s="8">
        <v>83.999093333333306</v>
      </c>
      <c r="J673" s="8">
        <v>15.6102103472222</v>
      </c>
      <c r="K673" s="6" t="s">
        <v>29</v>
      </c>
      <c r="L673" s="6" t="s">
        <v>335</v>
      </c>
      <c r="M673" s="9">
        <v>43946</v>
      </c>
      <c r="O673" s="6">
        <v>30</v>
      </c>
      <c r="P673" s="6" t="s">
        <v>4265</v>
      </c>
      <c r="R673" s="10"/>
      <c r="S673" s="10">
        <v>40</v>
      </c>
      <c r="T673" s="10">
        <v>50</v>
      </c>
      <c r="U673" s="10">
        <f t="shared" si="20"/>
        <v>45</v>
      </c>
      <c r="V673" s="11"/>
      <c r="W673" s="8">
        <v>0.9598474669933319</v>
      </c>
      <c r="X673" s="8">
        <v>8.3936338806152335</v>
      </c>
      <c r="Y673" s="8">
        <f t="shared" si="21"/>
        <v>0.71485414466857833</v>
      </c>
    </row>
    <row r="674" spans="1:25" s="6" customFormat="1" x14ac:dyDescent="0.35">
      <c r="A674" s="6" t="s">
        <v>25</v>
      </c>
      <c r="B674" s="7" t="s">
        <v>1448</v>
      </c>
      <c r="D674" s="6" t="s">
        <v>1449</v>
      </c>
      <c r="E674" s="6">
        <v>3</v>
      </c>
      <c r="F674" s="6">
        <v>37</v>
      </c>
      <c r="G674" s="6" t="s">
        <v>28</v>
      </c>
      <c r="I674" s="8">
        <v>83.999093333333306</v>
      </c>
      <c r="J674" s="8">
        <v>15.6102103472222</v>
      </c>
      <c r="K674" s="6" t="s">
        <v>29</v>
      </c>
      <c r="L674" s="6" t="s">
        <v>335</v>
      </c>
      <c r="M674" s="9">
        <v>43946</v>
      </c>
      <c r="O674" s="6">
        <v>30</v>
      </c>
      <c r="P674" s="6" t="s">
        <v>4265</v>
      </c>
      <c r="R674" s="10"/>
      <c r="S674" s="10">
        <v>50</v>
      </c>
      <c r="T674" s="10">
        <v>60</v>
      </c>
      <c r="U674" s="10">
        <f t="shared" si="20"/>
        <v>55</v>
      </c>
      <c r="V674" s="11"/>
      <c r="W674" s="8">
        <v>-2.5146574180603039</v>
      </c>
      <c r="X674" s="8">
        <v>-19.637429601287842</v>
      </c>
      <c r="Y674" s="8">
        <f t="shared" si="21"/>
        <v>0.47982974319458904</v>
      </c>
    </row>
    <row r="675" spans="1:25" s="6" customFormat="1" x14ac:dyDescent="0.35">
      <c r="A675" s="6" t="s">
        <v>25</v>
      </c>
      <c r="B675" s="7" t="s">
        <v>1492</v>
      </c>
      <c r="D675" s="6" t="s">
        <v>1493</v>
      </c>
      <c r="E675" s="6">
        <v>3</v>
      </c>
      <c r="F675" s="6">
        <v>37</v>
      </c>
      <c r="G675" s="6" t="s">
        <v>28</v>
      </c>
      <c r="I675" s="8">
        <v>83.999093333333306</v>
      </c>
      <c r="J675" s="8">
        <v>15.6102103472222</v>
      </c>
      <c r="K675" s="6" t="s">
        <v>29</v>
      </c>
      <c r="L675" s="6" t="s">
        <v>335</v>
      </c>
      <c r="M675" s="9">
        <v>43946</v>
      </c>
      <c r="O675" s="6">
        <v>30</v>
      </c>
      <c r="P675" s="6" t="s">
        <v>4265</v>
      </c>
      <c r="R675" s="10"/>
      <c r="S675" s="10">
        <v>50</v>
      </c>
      <c r="T675" s="10">
        <v>60</v>
      </c>
      <c r="U675" s="10">
        <f t="shared" si="20"/>
        <v>55</v>
      </c>
      <c r="V675" s="11"/>
      <c r="W675" s="8">
        <v>1.0195213820219038</v>
      </c>
      <c r="X675" s="8">
        <v>8.5932837181091308</v>
      </c>
      <c r="Y675" s="8">
        <f t="shared" si="21"/>
        <v>0.43711266193390053</v>
      </c>
    </row>
    <row r="676" spans="1:25" s="6" customFormat="1" x14ac:dyDescent="0.35">
      <c r="A676" s="6" t="s">
        <v>25</v>
      </c>
      <c r="B676" s="7" t="s">
        <v>1450</v>
      </c>
      <c r="D676" s="6" t="s">
        <v>1451</v>
      </c>
      <c r="E676" s="6">
        <v>3</v>
      </c>
      <c r="F676" s="6">
        <v>37</v>
      </c>
      <c r="G676" s="6" t="s">
        <v>28</v>
      </c>
      <c r="I676" s="8">
        <v>83.999093333333306</v>
      </c>
      <c r="J676" s="8">
        <v>15.6102103472222</v>
      </c>
      <c r="K676" s="6" t="s">
        <v>29</v>
      </c>
      <c r="L676" s="6" t="s">
        <v>335</v>
      </c>
      <c r="M676" s="9">
        <v>43946</v>
      </c>
      <c r="O676" s="6">
        <v>30</v>
      </c>
      <c r="P676" s="6" t="s">
        <v>4265</v>
      </c>
      <c r="R676" s="10"/>
      <c r="S676" s="10">
        <v>60</v>
      </c>
      <c r="T676" s="10">
        <v>70</v>
      </c>
      <c r="U676" s="10">
        <f t="shared" si="20"/>
        <v>65</v>
      </c>
      <c r="V676" s="11"/>
      <c r="W676" s="8">
        <v>-2.076697634506226</v>
      </c>
      <c r="X676" s="8">
        <v>-16.234745530700682</v>
      </c>
      <c r="Y676" s="8">
        <f t="shared" si="21"/>
        <v>0.37883554534912633</v>
      </c>
    </row>
    <row r="677" spans="1:25" s="6" customFormat="1" x14ac:dyDescent="0.35">
      <c r="A677" s="6" t="s">
        <v>25</v>
      </c>
      <c r="B677" s="7" t="s">
        <v>1494</v>
      </c>
      <c r="D677" s="6" t="s">
        <v>1495</v>
      </c>
      <c r="E677" s="6">
        <v>3</v>
      </c>
      <c r="F677" s="6">
        <v>37</v>
      </c>
      <c r="G677" s="6" t="s">
        <v>28</v>
      </c>
      <c r="I677" s="8">
        <v>83.999093333333306</v>
      </c>
      <c r="J677" s="8">
        <v>15.6102103472222</v>
      </c>
      <c r="K677" s="6" t="s">
        <v>29</v>
      </c>
      <c r="L677" s="6" t="s">
        <v>335</v>
      </c>
      <c r="M677" s="9">
        <v>43946</v>
      </c>
      <c r="O677" s="6">
        <v>30</v>
      </c>
      <c r="P677" s="6" t="s">
        <v>4265</v>
      </c>
      <c r="R677" s="10"/>
      <c r="S677" s="10">
        <v>60</v>
      </c>
      <c r="T677" s="10">
        <v>70</v>
      </c>
      <c r="U677" s="10">
        <f t="shared" si="20"/>
        <v>65</v>
      </c>
      <c r="V677" s="11"/>
      <c r="W677" s="8">
        <v>0.65030012287497507</v>
      </c>
      <c r="X677" s="8">
        <v>5.5641522407531738</v>
      </c>
      <c r="Y677" s="8">
        <f t="shared" si="21"/>
        <v>0.36175125775337325</v>
      </c>
    </row>
    <row r="678" spans="1:25" s="6" customFormat="1" x14ac:dyDescent="0.35">
      <c r="A678" s="6" t="s">
        <v>25</v>
      </c>
      <c r="B678" s="7" t="s">
        <v>1452</v>
      </c>
      <c r="D678" s="6" t="s">
        <v>1453</v>
      </c>
      <c r="E678" s="6">
        <v>3</v>
      </c>
      <c r="F678" s="6">
        <v>37</v>
      </c>
      <c r="G678" s="6" t="s">
        <v>28</v>
      </c>
      <c r="I678" s="8">
        <v>83.999093333333306</v>
      </c>
      <c r="J678" s="8">
        <v>15.6102103472222</v>
      </c>
      <c r="K678" s="6" t="s">
        <v>29</v>
      </c>
      <c r="L678" s="6" t="s">
        <v>335</v>
      </c>
      <c r="M678" s="9">
        <v>43946</v>
      </c>
      <c r="O678" s="6">
        <v>30</v>
      </c>
      <c r="P678" s="6" t="s">
        <v>4265</v>
      </c>
      <c r="R678" s="10"/>
      <c r="S678" s="10">
        <v>70</v>
      </c>
      <c r="T678" s="10">
        <v>80</v>
      </c>
      <c r="U678" s="10">
        <f t="shared" si="20"/>
        <v>75</v>
      </c>
      <c r="V678" s="11"/>
      <c r="W678" s="8">
        <v>-1.3940562605857849</v>
      </c>
      <c r="X678" s="8">
        <v>-10.39059558725357</v>
      </c>
      <c r="Y678" s="8">
        <f t="shared" si="21"/>
        <v>0.76185449743270972</v>
      </c>
    </row>
    <row r="679" spans="1:25" s="6" customFormat="1" x14ac:dyDescent="0.35">
      <c r="A679" s="6" t="s">
        <v>25</v>
      </c>
      <c r="B679" s="7" t="s">
        <v>1496</v>
      </c>
      <c r="D679" s="6" t="s">
        <v>1497</v>
      </c>
      <c r="E679" s="6">
        <v>3</v>
      </c>
      <c r="F679" s="6">
        <v>37</v>
      </c>
      <c r="G679" s="6" t="s">
        <v>28</v>
      </c>
      <c r="I679" s="8">
        <v>83.999093333333306</v>
      </c>
      <c r="J679" s="8">
        <v>15.6102103472222</v>
      </c>
      <c r="K679" s="6" t="s">
        <v>29</v>
      </c>
      <c r="L679" s="6" t="s">
        <v>335</v>
      </c>
      <c r="M679" s="9">
        <v>43946</v>
      </c>
      <c r="O679" s="6">
        <v>30</v>
      </c>
      <c r="P679" s="6" t="s">
        <v>4265</v>
      </c>
      <c r="R679" s="10"/>
      <c r="S679" s="10">
        <v>70</v>
      </c>
      <c r="T679" s="10">
        <v>80</v>
      </c>
      <c r="U679" s="10">
        <f t="shared" si="20"/>
        <v>75</v>
      </c>
      <c r="V679" s="11"/>
      <c r="W679" s="8">
        <v>0.1991666360825301</v>
      </c>
      <c r="X679" s="8">
        <v>1.1265232429504393</v>
      </c>
      <c r="Y679" s="8">
        <f t="shared" si="21"/>
        <v>-0.46680984570980155</v>
      </c>
    </row>
    <row r="680" spans="1:25" s="6" customFormat="1" x14ac:dyDescent="0.35">
      <c r="A680" s="6" t="s">
        <v>25</v>
      </c>
      <c r="B680" s="7" t="s">
        <v>1454</v>
      </c>
      <c r="D680" s="6" t="s">
        <v>1455</v>
      </c>
      <c r="E680" s="6">
        <v>3</v>
      </c>
      <c r="F680" s="6">
        <v>37</v>
      </c>
      <c r="G680" s="6" t="s">
        <v>28</v>
      </c>
      <c r="I680" s="8">
        <v>83.999093333333306</v>
      </c>
      <c r="J680" s="8">
        <v>15.6102103472222</v>
      </c>
      <c r="K680" s="6" t="s">
        <v>29</v>
      </c>
      <c r="L680" s="6" t="s">
        <v>335</v>
      </c>
      <c r="M680" s="9">
        <v>43946</v>
      </c>
      <c r="O680" s="6">
        <v>30</v>
      </c>
      <c r="P680" s="6" t="s">
        <v>4265</v>
      </c>
      <c r="R680" s="10"/>
      <c r="S680" s="10">
        <v>80</v>
      </c>
      <c r="T680" s="10">
        <v>90</v>
      </c>
      <c r="U680" s="10">
        <f t="shared" si="20"/>
        <v>85</v>
      </c>
      <c r="V680" s="11"/>
      <c r="W680" s="8">
        <v>-1.5132215619087219</v>
      </c>
      <c r="X680" s="8">
        <v>-11.676964215278625</v>
      </c>
      <c r="Y680" s="8">
        <f t="shared" si="21"/>
        <v>0.42880827999115034</v>
      </c>
    </row>
    <row r="681" spans="1:25" s="6" customFormat="1" x14ac:dyDescent="0.35">
      <c r="A681" s="6" t="s">
        <v>25</v>
      </c>
      <c r="B681" s="7" t="s">
        <v>1498</v>
      </c>
      <c r="D681" s="6" t="s">
        <v>1499</v>
      </c>
      <c r="E681" s="6">
        <v>3</v>
      </c>
      <c r="F681" s="6">
        <v>37</v>
      </c>
      <c r="G681" s="6" t="s">
        <v>28</v>
      </c>
      <c r="I681" s="8">
        <v>83.999093333333306</v>
      </c>
      <c r="J681" s="8">
        <v>15.6102103472222</v>
      </c>
      <c r="K681" s="6" t="s">
        <v>29</v>
      </c>
      <c r="L681" s="6" t="s">
        <v>335</v>
      </c>
      <c r="M681" s="9">
        <v>43946</v>
      </c>
      <c r="O681" s="6">
        <v>30</v>
      </c>
      <c r="P681" s="6" t="s">
        <v>4265</v>
      </c>
      <c r="R681" s="10"/>
      <c r="S681" s="10">
        <v>80</v>
      </c>
      <c r="T681" s="10">
        <v>90</v>
      </c>
      <c r="U681" s="10">
        <f t="shared" si="20"/>
        <v>85</v>
      </c>
      <c r="V681" s="11"/>
      <c r="W681" s="8">
        <v>-1.6449254572390578E-3</v>
      </c>
      <c r="X681" s="8">
        <v>-6.9191761493682613E-2</v>
      </c>
      <c r="Y681" s="8">
        <f t="shared" si="21"/>
        <v>-5.6032357835770152E-2</v>
      </c>
    </row>
    <row r="682" spans="1:25" s="6" customFormat="1" x14ac:dyDescent="0.35">
      <c r="A682" s="6" t="s">
        <v>25</v>
      </c>
      <c r="B682" s="7" t="s">
        <v>1456</v>
      </c>
      <c r="D682" s="6" t="s">
        <v>1457</v>
      </c>
      <c r="E682" s="6">
        <v>3</v>
      </c>
      <c r="F682" s="6">
        <v>37</v>
      </c>
      <c r="G682" s="6" t="s">
        <v>28</v>
      </c>
      <c r="I682" s="8">
        <v>83.999093333333306</v>
      </c>
      <c r="J682" s="8">
        <v>15.6102103472222</v>
      </c>
      <c r="K682" s="6" t="s">
        <v>29</v>
      </c>
      <c r="L682" s="6" t="s">
        <v>335</v>
      </c>
      <c r="M682" s="9">
        <v>43946</v>
      </c>
      <c r="O682" s="6">
        <v>30</v>
      </c>
      <c r="P682" s="6" t="s">
        <v>4265</v>
      </c>
      <c r="R682" s="10"/>
      <c r="S682" s="10">
        <v>90</v>
      </c>
      <c r="T682" s="10">
        <v>100</v>
      </c>
      <c r="U682" s="10">
        <f t="shared" si="20"/>
        <v>95</v>
      </c>
      <c r="V682" s="11"/>
      <c r="W682" s="8">
        <v>-1.6686695814132695</v>
      </c>
      <c r="X682" s="8">
        <v>-12.759867585659027</v>
      </c>
      <c r="Y682" s="8">
        <f t="shared" si="21"/>
        <v>0.589489065647129</v>
      </c>
    </row>
    <row r="683" spans="1:25" s="6" customFormat="1" x14ac:dyDescent="0.35">
      <c r="A683" s="6" t="s">
        <v>25</v>
      </c>
      <c r="B683" s="7" t="s">
        <v>1500</v>
      </c>
      <c r="D683" s="6" t="s">
        <v>1501</v>
      </c>
      <c r="E683" s="6">
        <v>3</v>
      </c>
      <c r="F683" s="6">
        <v>37</v>
      </c>
      <c r="G683" s="6" t="s">
        <v>28</v>
      </c>
      <c r="I683" s="8">
        <v>83.999093333333306</v>
      </c>
      <c r="J683" s="8">
        <v>15.6102103472222</v>
      </c>
      <c r="K683" s="6" t="s">
        <v>29</v>
      </c>
      <c r="L683" s="6" t="s">
        <v>335</v>
      </c>
      <c r="M683" s="9">
        <v>43946</v>
      </c>
      <c r="O683" s="6">
        <v>30</v>
      </c>
      <c r="P683" s="6" t="s">
        <v>4265</v>
      </c>
      <c r="R683" s="10"/>
      <c r="S683" s="10">
        <v>90</v>
      </c>
      <c r="T683" s="10">
        <v>100</v>
      </c>
      <c r="U683" s="10">
        <f t="shared" si="20"/>
        <v>95</v>
      </c>
      <c r="V683" s="11"/>
      <c r="W683" s="8">
        <v>-0.2069132423520092</v>
      </c>
      <c r="X683" s="8">
        <v>-1.092966424942017</v>
      </c>
      <c r="Y683" s="8">
        <f t="shared" si="21"/>
        <v>0.56233951387405656</v>
      </c>
    </row>
    <row r="684" spans="1:25" s="6" customFormat="1" x14ac:dyDescent="0.35">
      <c r="A684" s="6" t="s">
        <v>25</v>
      </c>
      <c r="B684" s="7" t="s">
        <v>1458</v>
      </c>
      <c r="D684" s="6" t="s">
        <v>1459</v>
      </c>
      <c r="E684" s="6">
        <v>3</v>
      </c>
      <c r="F684" s="6">
        <v>37</v>
      </c>
      <c r="G684" s="6" t="s">
        <v>28</v>
      </c>
      <c r="I684" s="8">
        <v>83.999093333333306</v>
      </c>
      <c r="J684" s="8">
        <v>15.6102103472222</v>
      </c>
      <c r="K684" s="6" t="s">
        <v>29</v>
      </c>
      <c r="L684" s="6" t="s">
        <v>335</v>
      </c>
      <c r="M684" s="9">
        <v>43946</v>
      </c>
      <c r="O684" s="6">
        <v>30</v>
      </c>
      <c r="P684" s="6" t="s">
        <v>4265</v>
      </c>
      <c r="R684" s="10"/>
      <c r="S684" s="10">
        <v>100</v>
      </c>
      <c r="T684" s="10">
        <v>110</v>
      </c>
      <c r="U684" s="10">
        <f t="shared" si="20"/>
        <v>105</v>
      </c>
      <c r="V684" s="11"/>
      <c r="W684" s="8">
        <v>-2.957030296325684</v>
      </c>
      <c r="X684" s="8">
        <v>-22.481003158569337</v>
      </c>
      <c r="Y684" s="8">
        <f t="shared" si="21"/>
        <v>1.1752392120361357</v>
      </c>
    </row>
    <row r="685" spans="1:25" s="6" customFormat="1" x14ac:dyDescent="0.35">
      <c r="A685" s="6" t="s">
        <v>25</v>
      </c>
      <c r="B685" s="7" t="s">
        <v>1502</v>
      </c>
      <c r="D685" s="6" t="s">
        <v>1503</v>
      </c>
      <c r="E685" s="6">
        <v>3</v>
      </c>
      <c r="F685" s="6">
        <v>37</v>
      </c>
      <c r="G685" s="6" t="s">
        <v>28</v>
      </c>
      <c r="I685" s="8">
        <v>83.999093333333306</v>
      </c>
      <c r="J685" s="8">
        <v>15.6102103472222</v>
      </c>
      <c r="K685" s="6" t="s">
        <v>29</v>
      </c>
      <c r="L685" s="6" t="s">
        <v>335</v>
      </c>
      <c r="M685" s="9">
        <v>43946</v>
      </c>
      <c r="O685" s="6">
        <v>30</v>
      </c>
      <c r="P685" s="6" t="s">
        <v>4265</v>
      </c>
      <c r="R685" s="10"/>
      <c r="S685" s="10">
        <v>100</v>
      </c>
      <c r="T685" s="10">
        <v>110</v>
      </c>
      <c r="U685" s="10">
        <f t="shared" si="20"/>
        <v>105</v>
      </c>
      <c r="V685" s="11"/>
      <c r="W685" s="8">
        <v>-0.13538132309913598</v>
      </c>
      <c r="X685" s="8">
        <v>4.8783130994439067E-2</v>
      </c>
      <c r="Y685" s="8">
        <f t="shared" si="21"/>
        <v>1.1318337157875269</v>
      </c>
    </row>
    <row r="686" spans="1:25" s="6" customFormat="1" x14ac:dyDescent="0.35">
      <c r="A686" s="6" t="s">
        <v>25</v>
      </c>
      <c r="B686" s="7" t="s">
        <v>1460</v>
      </c>
      <c r="D686" s="6" t="s">
        <v>1461</v>
      </c>
      <c r="E686" s="6">
        <v>3</v>
      </c>
      <c r="F686" s="6">
        <v>37</v>
      </c>
      <c r="G686" s="6" t="s">
        <v>28</v>
      </c>
      <c r="I686" s="8">
        <v>83.999093333333306</v>
      </c>
      <c r="J686" s="8">
        <v>15.6102103472222</v>
      </c>
      <c r="K686" s="6" t="s">
        <v>29</v>
      </c>
      <c r="L686" s="6" t="s">
        <v>335</v>
      </c>
      <c r="M686" s="9">
        <v>43946</v>
      </c>
      <c r="O686" s="6">
        <v>30</v>
      </c>
      <c r="P686" s="6" t="s">
        <v>4265</v>
      </c>
      <c r="R686" s="10"/>
      <c r="S686" s="10">
        <v>110</v>
      </c>
      <c r="T686" s="10">
        <v>120</v>
      </c>
      <c r="U686" s="10">
        <f t="shared" si="20"/>
        <v>115</v>
      </c>
      <c r="V686" s="11"/>
      <c r="W686" s="8">
        <v>-3.3626241683959961</v>
      </c>
      <c r="X686" s="8">
        <v>-25.581553714752197</v>
      </c>
      <c r="Y686" s="8">
        <f t="shared" si="21"/>
        <v>1.3194396324157722</v>
      </c>
    </row>
    <row r="687" spans="1:25" s="6" customFormat="1" x14ac:dyDescent="0.35">
      <c r="A687" s="6" t="s">
        <v>25</v>
      </c>
      <c r="B687" s="7" t="s">
        <v>1504</v>
      </c>
      <c r="D687" s="6" t="s">
        <v>1505</v>
      </c>
      <c r="E687" s="6">
        <v>3</v>
      </c>
      <c r="F687" s="6">
        <v>37</v>
      </c>
      <c r="G687" s="6" t="s">
        <v>28</v>
      </c>
      <c r="I687" s="8">
        <v>83.999093333333306</v>
      </c>
      <c r="J687" s="8">
        <v>15.6102103472222</v>
      </c>
      <c r="K687" s="6" t="s">
        <v>29</v>
      </c>
      <c r="L687" s="6" t="s">
        <v>335</v>
      </c>
      <c r="M687" s="9">
        <v>43946</v>
      </c>
      <c r="O687" s="6">
        <v>30</v>
      </c>
      <c r="P687" s="6" t="s">
        <v>4265</v>
      </c>
      <c r="R687" s="10"/>
      <c r="S687" s="10">
        <v>110</v>
      </c>
      <c r="T687" s="10">
        <v>120</v>
      </c>
      <c r="U687" s="10">
        <f t="shared" si="20"/>
        <v>115</v>
      </c>
      <c r="V687" s="11"/>
      <c r="W687" s="8">
        <v>-3.7630164545774801E-2</v>
      </c>
      <c r="X687" s="8">
        <v>4.2719374895093436E-3</v>
      </c>
      <c r="Y687" s="8">
        <f t="shared" si="21"/>
        <v>0.30531325385570773</v>
      </c>
    </row>
    <row r="688" spans="1:25" s="6" customFormat="1" x14ac:dyDescent="0.35">
      <c r="A688" s="6" t="s">
        <v>25</v>
      </c>
      <c r="B688" s="7" t="s">
        <v>1462</v>
      </c>
      <c r="D688" s="6" t="s">
        <v>1463</v>
      </c>
      <c r="E688" s="6">
        <v>3</v>
      </c>
      <c r="F688" s="6">
        <v>37</v>
      </c>
      <c r="G688" s="6" t="s">
        <v>28</v>
      </c>
      <c r="I688" s="8">
        <v>83.999093333333306</v>
      </c>
      <c r="J688" s="8">
        <v>15.6102103472222</v>
      </c>
      <c r="K688" s="6" t="s">
        <v>29</v>
      </c>
      <c r="L688" s="6" t="s">
        <v>335</v>
      </c>
      <c r="M688" s="9">
        <v>43946</v>
      </c>
      <c r="O688" s="6">
        <v>30</v>
      </c>
      <c r="P688" s="6" t="s">
        <v>4265</v>
      </c>
      <c r="R688" s="10"/>
      <c r="S688" s="10">
        <v>120</v>
      </c>
      <c r="T688" s="10">
        <v>130</v>
      </c>
      <c r="U688" s="10">
        <f t="shared" si="20"/>
        <v>125</v>
      </c>
      <c r="V688" s="11"/>
      <c r="W688" s="8">
        <v>-2.5512533187866211</v>
      </c>
      <c r="X688" s="8">
        <v>-19.447901247024536</v>
      </c>
      <c r="Y688" s="8">
        <f t="shared" si="21"/>
        <v>0.96212530326843293</v>
      </c>
    </row>
    <row r="689" spans="1:25" s="6" customFormat="1" x14ac:dyDescent="0.35">
      <c r="A689" s="6" t="s">
        <v>25</v>
      </c>
      <c r="B689" s="7" t="s">
        <v>1506</v>
      </c>
      <c r="D689" s="6" t="s">
        <v>1507</v>
      </c>
      <c r="E689" s="6">
        <v>3</v>
      </c>
      <c r="F689" s="6">
        <v>37</v>
      </c>
      <c r="G689" s="6" t="s">
        <v>28</v>
      </c>
      <c r="I689" s="8">
        <v>83.999093333333306</v>
      </c>
      <c r="J689" s="8">
        <v>15.6102103472222</v>
      </c>
      <c r="K689" s="6" t="s">
        <v>29</v>
      </c>
      <c r="L689" s="6" t="s">
        <v>335</v>
      </c>
      <c r="M689" s="9">
        <v>43946</v>
      </c>
      <c r="O689" s="6">
        <v>30</v>
      </c>
      <c r="P689" s="6" t="s">
        <v>4265</v>
      </c>
      <c r="R689" s="10"/>
      <c r="S689" s="10">
        <v>120</v>
      </c>
      <c r="T689" s="10">
        <v>130</v>
      </c>
      <c r="U689" s="10">
        <f t="shared" si="20"/>
        <v>125</v>
      </c>
      <c r="V689" s="11"/>
      <c r="W689" s="8">
        <v>0.3163547935724258</v>
      </c>
      <c r="X689" s="8">
        <v>2.4209882099628448</v>
      </c>
      <c r="Y689" s="8">
        <f t="shared" si="21"/>
        <v>-0.10985013861656157</v>
      </c>
    </row>
    <row r="690" spans="1:25" s="6" customFormat="1" x14ac:dyDescent="0.35">
      <c r="A690" s="6" t="s">
        <v>25</v>
      </c>
      <c r="B690" s="7" t="s">
        <v>1464</v>
      </c>
      <c r="D690" s="6" t="s">
        <v>1465</v>
      </c>
      <c r="E690" s="6">
        <v>3</v>
      </c>
      <c r="F690" s="6">
        <v>37</v>
      </c>
      <c r="G690" s="6" t="s">
        <v>28</v>
      </c>
      <c r="I690" s="8">
        <v>83.999093333333306</v>
      </c>
      <c r="J690" s="8">
        <v>15.6102103472222</v>
      </c>
      <c r="K690" s="6" t="s">
        <v>29</v>
      </c>
      <c r="L690" s="6" t="s">
        <v>335</v>
      </c>
      <c r="M690" s="9">
        <v>43946</v>
      </c>
      <c r="O690" s="6">
        <v>30</v>
      </c>
      <c r="P690" s="6" t="s">
        <v>4265</v>
      </c>
      <c r="R690" s="10"/>
      <c r="S690" s="10">
        <v>130</v>
      </c>
      <c r="T690" s="10">
        <v>140</v>
      </c>
      <c r="U690" s="10">
        <f t="shared" si="20"/>
        <v>135</v>
      </c>
      <c r="V690" s="11"/>
      <c r="W690" s="8">
        <v>-2.4479882717132568</v>
      </c>
      <c r="X690" s="8">
        <v>-18.530100267410276</v>
      </c>
      <c r="Y690" s="8">
        <f t="shared" si="21"/>
        <v>1.0538059062957785</v>
      </c>
    </row>
    <row r="691" spans="1:25" s="6" customFormat="1" x14ac:dyDescent="0.35">
      <c r="A691" s="6" t="s">
        <v>25</v>
      </c>
      <c r="B691" s="7" t="s">
        <v>1508</v>
      </c>
      <c r="D691" s="6" t="s">
        <v>1509</v>
      </c>
      <c r="E691" s="6">
        <v>3</v>
      </c>
      <c r="F691" s="6">
        <v>37</v>
      </c>
      <c r="G691" s="6" t="s">
        <v>28</v>
      </c>
      <c r="I691" s="8">
        <v>83.999093333333306</v>
      </c>
      <c r="J691" s="8">
        <v>15.6102103472222</v>
      </c>
      <c r="K691" s="6" t="s">
        <v>29</v>
      </c>
      <c r="L691" s="6" t="s">
        <v>335</v>
      </c>
      <c r="M691" s="9">
        <v>43946</v>
      </c>
      <c r="O691" s="6">
        <v>30</v>
      </c>
      <c r="P691" s="6" t="s">
        <v>4265</v>
      </c>
      <c r="R691" s="10"/>
      <c r="S691" s="10">
        <v>130</v>
      </c>
      <c r="T691" s="10">
        <v>140</v>
      </c>
      <c r="U691" s="10">
        <f t="shared" si="20"/>
        <v>135</v>
      </c>
      <c r="V691" s="11"/>
      <c r="W691" s="8">
        <v>0.58103231599330929</v>
      </c>
      <c r="X691" s="8">
        <v>4.4593173389434817</v>
      </c>
      <c r="Y691" s="8">
        <f t="shared" si="21"/>
        <v>-0.18894118900299262</v>
      </c>
    </row>
    <row r="692" spans="1:25" s="6" customFormat="1" x14ac:dyDescent="0.35">
      <c r="A692" s="6" t="s">
        <v>25</v>
      </c>
      <c r="B692" s="7" t="s">
        <v>1466</v>
      </c>
      <c r="D692" s="6" t="s">
        <v>1467</v>
      </c>
      <c r="E692" s="6">
        <v>3</v>
      </c>
      <c r="F692" s="6">
        <v>37</v>
      </c>
      <c r="G692" s="6" t="s">
        <v>28</v>
      </c>
      <c r="I692" s="8">
        <v>83.999093333333306</v>
      </c>
      <c r="J692" s="8">
        <v>15.6102103472222</v>
      </c>
      <c r="K692" s="6" t="s">
        <v>29</v>
      </c>
      <c r="L692" s="6" t="s">
        <v>335</v>
      </c>
      <c r="M692" s="9">
        <v>43946</v>
      </c>
      <c r="O692" s="6">
        <v>30</v>
      </c>
      <c r="P692" s="6" t="s">
        <v>4265</v>
      </c>
      <c r="R692" s="10"/>
      <c r="S692" s="10">
        <v>140</v>
      </c>
      <c r="T692" s="10">
        <v>150</v>
      </c>
      <c r="U692" s="10">
        <f t="shared" si="20"/>
        <v>145</v>
      </c>
      <c r="V692" s="11"/>
      <c r="W692" s="8">
        <v>-1.3956776857376101</v>
      </c>
      <c r="X692" s="8">
        <v>-10.71567677116394</v>
      </c>
      <c r="Y692" s="8">
        <f t="shared" si="21"/>
        <v>0.44974471473694067</v>
      </c>
    </row>
    <row r="693" spans="1:25" s="6" customFormat="1" x14ac:dyDescent="0.35">
      <c r="A693" s="6" t="s">
        <v>25</v>
      </c>
      <c r="B693" s="7" t="s">
        <v>1510</v>
      </c>
      <c r="D693" s="6" t="s">
        <v>1511</v>
      </c>
      <c r="E693" s="6">
        <v>3</v>
      </c>
      <c r="F693" s="6">
        <v>37</v>
      </c>
      <c r="G693" s="6" t="s">
        <v>28</v>
      </c>
      <c r="I693" s="8">
        <v>83.999093333333306</v>
      </c>
      <c r="J693" s="8">
        <v>15.6102103472222</v>
      </c>
      <c r="K693" s="6" t="s">
        <v>29</v>
      </c>
      <c r="L693" s="6" t="s">
        <v>335</v>
      </c>
      <c r="M693" s="9">
        <v>43946</v>
      </c>
      <c r="O693" s="6">
        <v>30</v>
      </c>
      <c r="P693" s="6" t="s">
        <v>4265</v>
      </c>
      <c r="R693" s="10"/>
      <c r="S693" s="10">
        <v>140</v>
      </c>
      <c r="T693" s="10">
        <v>156</v>
      </c>
      <c r="U693" s="10">
        <f t="shared" si="20"/>
        <v>148</v>
      </c>
      <c r="V693" s="11"/>
      <c r="W693" s="8">
        <v>1.3856888459563255</v>
      </c>
      <c r="X693" s="8">
        <v>11.498216110229492</v>
      </c>
      <c r="Y693" s="8">
        <f t="shared" si="21"/>
        <v>0.41270534257888869</v>
      </c>
    </row>
    <row r="694" spans="1:25" s="6" customFormat="1" x14ac:dyDescent="0.35">
      <c r="A694" s="6" t="s">
        <v>25</v>
      </c>
      <c r="B694" s="7" t="s">
        <v>1468</v>
      </c>
      <c r="D694" s="6" t="s">
        <v>1469</v>
      </c>
      <c r="E694" s="6">
        <v>3</v>
      </c>
      <c r="F694" s="6">
        <v>37</v>
      </c>
      <c r="G694" s="6" t="s">
        <v>28</v>
      </c>
      <c r="I694" s="8">
        <v>83.999093333333306</v>
      </c>
      <c r="J694" s="8">
        <v>15.6102103472222</v>
      </c>
      <c r="K694" s="6" t="s">
        <v>29</v>
      </c>
      <c r="L694" s="6" t="s">
        <v>335</v>
      </c>
      <c r="M694" s="9">
        <v>43946</v>
      </c>
      <c r="O694" s="6">
        <v>30</v>
      </c>
      <c r="P694" s="6" t="s">
        <v>4265</v>
      </c>
      <c r="R694" s="10"/>
      <c r="S694" s="10">
        <v>150</v>
      </c>
      <c r="T694" s="10">
        <v>160</v>
      </c>
      <c r="U694" s="10">
        <f t="shared" si="20"/>
        <v>155</v>
      </c>
      <c r="V694" s="11"/>
      <c r="W694" s="8">
        <v>-4.1300438344479003E-2</v>
      </c>
      <c r="X694" s="8">
        <v>0.59754814827442193</v>
      </c>
      <c r="Y694" s="8">
        <f t="shared" si="21"/>
        <v>0.92795165503025401</v>
      </c>
    </row>
    <row r="695" spans="1:25" s="6" customFormat="1" x14ac:dyDescent="0.35">
      <c r="A695" s="6" t="s">
        <v>25</v>
      </c>
      <c r="B695" s="7" t="s">
        <v>1470</v>
      </c>
      <c r="D695" s="6" t="s">
        <v>1471</v>
      </c>
      <c r="E695" s="6">
        <v>3</v>
      </c>
      <c r="F695" s="6">
        <v>37</v>
      </c>
      <c r="G695" s="6" t="s">
        <v>28</v>
      </c>
      <c r="I695" s="8">
        <v>83.999093333333306</v>
      </c>
      <c r="J695" s="8">
        <v>15.6102103472222</v>
      </c>
      <c r="K695" s="6" t="s">
        <v>29</v>
      </c>
      <c r="L695" s="6" t="s">
        <v>335</v>
      </c>
      <c r="M695" s="9">
        <v>43946</v>
      </c>
      <c r="O695" s="6">
        <v>30</v>
      </c>
      <c r="P695" s="6" t="s">
        <v>4265</v>
      </c>
      <c r="R695" s="10"/>
      <c r="S695" s="10">
        <v>160</v>
      </c>
      <c r="T695" s="10">
        <v>170</v>
      </c>
      <c r="U695" s="10">
        <f t="shared" si="20"/>
        <v>165</v>
      </c>
      <c r="V695" s="11"/>
      <c r="W695" s="8">
        <v>2.6928305625915999E-2</v>
      </c>
      <c r="X695" s="8">
        <v>1.1637408062219621</v>
      </c>
      <c r="Y695" s="8">
        <f t="shared" si="21"/>
        <v>0.94831436121463408</v>
      </c>
    </row>
    <row r="696" spans="1:25" s="6" customFormat="1" x14ac:dyDescent="0.35">
      <c r="A696" s="6" t="s">
        <v>25</v>
      </c>
      <c r="B696" s="7" t="s">
        <v>1472</v>
      </c>
      <c r="D696" s="6" t="s">
        <v>1473</v>
      </c>
      <c r="E696" s="6">
        <v>3</v>
      </c>
      <c r="F696" s="6">
        <v>37</v>
      </c>
      <c r="G696" s="6" t="s">
        <v>28</v>
      </c>
      <c r="I696" s="8">
        <v>83.999093333333306</v>
      </c>
      <c r="J696" s="8">
        <v>15.6102103472222</v>
      </c>
      <c r="K696" s="6" t="s">
        <v>29</v>
      </c>
      <c r="L696" s="6" t="s">
        <v>335</v>
      </c>
      <c r="M696" s="9">
        <v>43946</v>
      </c>
      <c r="O696" s="6">
        <v>30</v>
      </c>
      <c r="P696" s="6" t="s">
        <v>4265</v>
      </c>
      <c r="R696" s="10"/>
      <c r="S696" s="10">
        <v>170</v>
      </c>
      <c r="T696" s="10">
        <v>180</v>
      </c>
      <c r="U696" s="10">
        <f t="shared" si="20"/>
        <v>175</v>
      </c>
      <c r="V696" s="11"/>
      <c r="W696" s="8">
        <v>0.20203226804733301</v>
      </c>
      <c r="X696" s="8">
        <v>2.355664878129959</v>
      </c>
      <c r="Y696" s="8">
        <f t="shared" si="21"/>
        <v>0.73940673375129484</v>
      </c>
    </row>
    <row r="697" spans="1:25" s="6" customFormat="1" x14ac:dyDescent="0.35">
      <c r="A697" s="6" t="s">
        <v>25</v>
      </c>
      <c r="B697" s="7" t="s">
        <v>1474</v>
      </c>
      <c r="D697" s="6" t="s">
        <v>1475</v>
      </c>
      <c r="E697" s="6">
        <v>3</v>
      </c>
      <c r="F697" s="6">
        <v>37</v>
      </c>
      <c r="G697" s="6" t="s">
        <v>28</v>
      </c>
      <c r="I697" s="8">
        <v>83.999093333333306</v>
      </c>
      <c r="J697" s="8">
        <v>15.6102103472222</v>
      </c>
      <c r="K697" s="6" t="s">
        <v>29</v>
      </c>
      <c r="L697" s="6" t="s">
        <v>335</v>
      </c>
      <c r="M697" s="9">
        <v>43946</v>
      </c>
      <c r="O697" s="6">
        <v>30</v>
      </c>
      <c r="P697" s="6" t="s">
        <v>4265</v>
      </c>
      <c r="R697" s="10"/>
      <c r="S697" s="10">
        <v>180</v>
      </c>
      <c r="T697" s="10">
        <v>193</v>
      </c>
      <c r="U697" s="10">
        <f t="shared" si="20"/>
        <v>186.5</v>
      </c>
      <c r="V697" s="11"/>
      <c r="W697" s="8">
        <v>-0.31285810470581099</v>
      </c>
      <c r="X697" s="8">
        <v>-2.0449121832847599</v>
      </c>
      <c r="Y697" s="8">
        <f t="shared" si="21"/>
        <v>0.45795265436172805</v>
      </c>
    </row>
    <row r="698" spans="1:25" s="6" customFormat="1" x14ac:dyDescent="0.35">
      <c r="A698" s="6" t="s">
        <v>25</v>
      </c>
      <c r="B698" s="7" t="s">
        <v>1476</v>
      </c>
      <c r="D698" s="6" t="s">
        <v>1477</v>
      </c>
      <c r="E698" s="6">
        <v>3</v>
      </c>
      <c r="F698" s="6">
        <v>37</v>
      </c>
      <c r="G698" s="6" t="s">
        <v>28</v>
      </c>
      <c r="I698" s="8">
        <v>83.999093333333306</v>
      </c>
      <c r="J698" s="8">
        <v>15.6102103472222</v>
      </c>
      <c r="K698" s="6" t="s">
        <v>29</v>
      </c>
      <c r="L698" s="6" t="s">
        <v>335</v>
      </c>
      <c r="M698" s="9">
        <v>43946</v>
      </c>
      <c r="O698" s="6">
        <v>30</v>
      </c>
      <c r="P698" s="6" t="s">
        <v>4265</v>
      </c>
      <c r="R698" s="10"/>
      <c r="S698" s="10">
        <v>190</v>
      </c>
      <c r="T698" s="10">
        <v>200</v>
      </c>
      <c r="U698" s="10">
        <f t="shared" si="20"/>
        <v>195</v>
      </c>
      <c r="V698" s="11"/>
      <c r="W698" s="8">
        <v>0.58217525482177701</v>
      </c>
      <c r="X698" s="8">
        <v>4.3550744175910951</v>
      </c>
      <c r="Y698" s="8">
        <f t="shared" si="21"/>
        <v>-0.30232762098312094</v>
      </c>
    </row>
    <row r="699" spans="1:25" s="6" customFormat="1" x14ac:dyDescent="0.35">
      <c r="A699" s="6" t="s">
        <v>25</v>
      </c>
      <c r="B699" s="7" t="s">
        <v>1478</v>
      </c>
      <c r="D699" s="6" t="s">
        <v>1479</v>
      </c>
      <c r="E699" s="6">
        <v>3</v>
      </c>
      <c r="F699" s="6">
        <v>37</v>
      </c>
      <c r="G699" s="6" t="s">
        <v>28</v>
      </c>
      <c r="I699" s="8">
        <v>83.999093333333306</v>
      </c>
      <c r="J699" s="8">
        <v>15.6102103472222</v>
      </c>
      <c r="K699" s="6" t="s">
        <v>29</v>
      </c>
      <c r="L699" s="6" t="s">
        <v>335</v>
      </c>
      <c r="M699" s="9">
        <v>43946</v>
      </c>
      <c r="O699" s="6">
        <v>30</v>
      </c>
      <c r="P699" s="6" t="s">
        <v>4265</v>
      </c>
      <c r="R699" s="10"/>
      <c r="S699" s="10">
        <v>200</v>
      </c>
      <c r="T699" s="10">
        <v>212</v>
      </c>
      <c r="U699" s="10">
        <f t="shared" si="20"/>
        <v>206</v>
      </c>
      <c r="V699" s="11"/>
      <c r="W699" s="8">
        <v>1.394900918006897</v>
      </c>
      <c r="X699" s="8">
        <v>11.03687138557434</v>
      </c>
      <c r="Y699" s="8">
        <f t="shared" si="21"/>
        <v>-0.12233595848083567</v>
      </c>
    </row>
    <row r="700" spans="1:25" s="6" customFormat="1" x14ac:dyDescent="0.35">
      <c r="A700" s="6" t="s">
        <v>25</v>
      </c>
      <c r="B700" s="7"/>
      <c r="D700" s="6" t="s">
        <v>1542</v>
      </c>
      <c r="E700" s="6">
        <v>3</v>
      </c>
      <c r="F700" s="6">
        <v>38</v>
      </c>
      <c r="G700" s="6" t="s">
        <v>202</v>
      </c>
      <c r="I700" s="8">
        <v>83.938997847222197</v>
      </c>
      <c r="J700" s="8">
        <v>15.6730686111111</v>
      </c>
      <c r="K700" s="6" t="s">
        <v>29</v>
      </c>
      <c r="L700" s="6" t="s">
        <v>335</v>
      </c>
      <c r="M700" s="9">
        <v>43948</v>
      </c>
      <c r="O700" s="6">
        <v>31</v>
      </c>
      <c r="P700" s="6" t="s">
        <v>4251</v>
      </c>
      <c r="S700" s="6">
        <v>0</v>
      </c>
      <c r="T700" s="6">
        <v>5</v>
      </c>
      <c r="U700" s="10">
        <f t="shared" si="20"/>
        <v>2.5</v>
      </c>
      <c r="W700" s="8">
        <v>-1.4380177685737614</v>
      </c>
      <c r="X700" s="8">
        <v>-15.60770375289917</v>
      </c>
      <c r="Y700" s="8">
        <f t="shared" si="21"/>
        <v>-4.1035616043090783</v>
      </c>
    </row>
    <row r="701" spans="1:25" s="6" customFormat="1" x14ac:dyDescent="0.35">
      <c r="A701" s="6" t="s">
        <v>25</v>
      </c>
      <c r="B701" s="7"/>
      <c r="D701" s="6" t="s">
        <v>1543</v>
      </c>
      <c r="E701" s="6">
        <v>3</v>
      </c>
      <c r="F701" s="6">
        <v>38</v>
      </c>
      <c r="G701" s="6" t="s">
        <v>202</v>
      </c>
      <c r="I701" s="8">
        <v>83.938997847222197</v>
      </c>
      <c r="J701" s="8">
        <v>15.6730686111111</v>
      </c>
      <c r="K701" s="6" t="s">
        <v>29</v>
      </c>
      <c r="L701" s="6" t="s">
        <v>335</v>
      </c>
      <c r="M701" s="9">
        <v>43948</v>
      </c>
      <c r="O701" s="6">
        <v>31</v>
      </c>
      <c r="P701" s="6" t="s">
        <v>4251</v>
      </c>
      <c r="S701" s="6">
        <v>5</v>
      </c>
      <c r="T701" s="6">
        <v>10</v>
      </c>
      <c r="U701" s="10">
        <f t="shared" si="20"/>
        <v>7.5</v>
      </c>
      <c r="W701" s="8">
        <v>-0.78195188595056597</v>
      </c>
      <c r="X701" s="8">
        <v>-6.3416571916580198</v>
      </c>
      <c r="Y701" s="8">
        <f t="shared" si="21"/>
        <v>-8.6042104053491997E-2</v>
      </c>
    </row>
    <row r="702" spans="1:25" s="6" customFormat="1" x14ac:dyDescent="0.35">
      <c r="A702" s="6" t="s">
        <v>25</v>
      </c>
      <c r="B702" s="7"/>
      <c r="D702" s="6" t="s">
        <v>1544</v>
      </c>
      <c r="E702" s="6">
        <v>3</v>
      </c>
      <c r="F702" s="6">
        <v>38</v>
      </c>
      <c r="G702" s="6" t="s">
        <v>202</v>
      </c>
      <c r="I702" s="8">
        <v>83.938997847222197</v>
      </c>
      <c r="J702" s="8">
        <v>15.6730686111111</v>
      </c>
      <c r="K702" s="6" t="s">
        <v>29</v>
      </c>
      <c r="L702" s="6" t="s">
        <v>335</v>
      </c>
      <c r="M702" s="9">
        <v>43948</v>
      </c>
      <c r="O702" s="6">
        <v>31</v>
      </c>
      <c r="P702" s="6" t="s">
        <v>4251</v>
      </c>
      <c r="S702" s="6">
        <v>10</v>
      </c>
      <c r="T702" s="6">
        <v>20</v>
      </c>
      <c r="U702" s="10">
        <f t="shared" si="20"/>
        <v>15</v>
      </c>
      <c r="W702" s="8">
        <v>-0.4816280802011495</v>
      </c>
      <c r="X702" s="8">
        <v>-3.8946660369873038</v>
      </c>
      <c r="Y702" s="8">
        <f t="shared" si="21"/>
        <v>-4.1641395378107848E-2</v>
      </c>
    </row>
    <row r="703" spans="1:25" s="6" customFormat="1" x14ac:dyDescent="0.35">
      <c r="A703" s="6" t="s">
        <v>25</v>
      </c>
      <c r="B703" s="7"/>
      <c r="D703" s="6" t="s">
        <v>1545</v>
      </c>
      <c r="E703" s="6">
        <v>3</v>
      </c>
      <c r="F703" s="6">
        <v>38</v>
      </c>
      <c r="G703" s="6" t="s">
        <v>202</v>
      </c>
      <c r="I703" s="8">
        <v>83.938997847222197</v>
      </c>
      <c r="J703" s="8">
        <v>15.6730686111111</v>
      </c>
      <c r="K703" s="6" t="s">
        <v>29</v>
      </c>
      <c r="L703" s="6" t="s">
        <v>335</v>
      </c>
      <c r="M703" s="9">
        <v>43948</v>
      </c>
      <c r="O703" s="6">
        <v>31</v>
      </c>
      <c r="P703" s="6" t="s">
        <v>4251</v>
      </c>
      <c r="S703" s="6">
        <v>20</v>
      </c>
      <c r="T703" s="6">
        <v>30</v>
      </c>
      <c r="U703" s="10">
        <f t="shared" si="20"/>
        <v>25</v>
      </c>
      <c r="W703" s="8">
        <v>1.2442277447462078</v>
      </c>
      <c r="X703" s="8">
        <v>9.1061574760437018</v>
      </c>
      <c r="Y703" s="8">
        <f t="shared" si="21"/>
        <v>-0.84766448192596044</v>
      </c>
    </row>
    <row r="704" spans="1:25" s="6" customFormat="1" x14ac:dyDescent="0.35">
      <c r="A704" s="6" t="s">
        <v>25</v>
      </c>
      <c r="B704" s="7"/>
      <c r="D704" s="6" t="s">
        <v>1546</v>
      </c>
      <c r="E704" s="6">
        <v>3</v>
      </c>
      <c r="F704" s="6">
        <v>38</v>
      </c>
      <c r="G704" s="6" t="s">
        <v>202</v>
      </c>
      <c r="I704" s="8">
        <v>83.938997847222197</v>
      </c>
      <c r="J704" s="8">
        <v>15.6730686111111</v>
      </c>
      <c r="K704" s="6" t="s">
        <v>29</v>
      </c>
      <c r="L704" s="6" t="s">
        <v>335</v>
      </c>
      <c r="M704" s="9">
        <v>43948</v>
      </c>
      <c r="O704" s="6">
        <v>31</v>
      </c>
      <c r="P704" s="6" t="s">
        <v>4251</v>
      </c>
      <c r="S704" s="6">
        <v>30</v>
      </c>
      <c r="T704" s="6">
        <v>40</v>
      </c>
      <c r="U704" s="10">
        <f t="shared" si="20"/>
        <v>35</v>
      </c>
      <c r="W704" s="8">
        <v>0.8671700321316721</v>
      </c>
      <c r="X704" s="8">
        <v>6.3752699638366694</v>
      </c>
      <c r="Y704" s="8">
        <f t="shared" si="21"/>
        <v>-0.56209029321670734</v>
      </c>
    </row>
    <row r="705" spans="1:25" s="6" customFormat="1" x14ac:dyDescent="0.35">
      <c r="A705" s="6" t="s">
        <v>25</v>
      </c>
      <c r="B705" s="7"/>
      <c r="D705" s="6" t="s">
        <v>1547</v>
      </c>
      <c r="E705" s="6">
        <v>3</v>
      </c>
      <c r="F705" s="6">
        <v>38</v>
      </c>
      <c r="G705" s="6" t="s">
        <v>202</v>
      </c>
      <c r="I705" s="8">
        <v>83.938997847222197</v>
      </c>
      <c r="J705" s="8">
        <v>15.6730686111111</v>
      </c>
      <c r="K705" s="6" t="s">
        <v>29</v>
      </c>
      <c r="L705" s="6" t="s">
        <v>335</v>
      </c>
      <c r="M705" s="9">
        <v>43948</v>
      </c>
      <c r="O705" s="6">
        <v>31</v>
      </c>
      <c r="P705" s="6" t="s">
        <v>4251</v>
      </c>
      <c r="S705" s="6">
        <v>40</v>
      </c>
      <c r="T705" s="6">
        <v>50</v>
      </c>
      <c r="U705" s="10">
        <f t="shared" si="20"/>
        <v>45</v>
      </c>
      <c r="W705" s="8">
        <v>0.74601290534734754</v>
      </c>
      <c r="X705" s="8">
        <v>6.2706510406494136</v>
      </c>
      <c r="Y705" s="8">
        <f t="shared" si="21"/>
        <v>0.30254779787063324</v>
      </c>
    </row>
    <row r="706" spans="1:25" s="6" customFormat="1" x14ac:dyDescent="0.35">
      <c r="A706" s="6" t="s">
        <v>25</v>
      </c>
      <c r="B706" s="7"/>
      <c r="D706" s="6" t="s">
        <v>1548</v>
      </c>
      <c r="E706" s="6">
        <v>3</v>
      </c>
      <c r="F706" s="6">
        <v>38</v>
      </c>
      <c r="G706" s="6" t="s">
        <v>202</v>
      </c>
      <c r="I706" s="8">
        <v>83.938997847222197</v>
      </c>
      <c r="J706" s="8">
        <v>15.6730686111111</v>
      </c>
      <c r="K706" s="6" t="s">
        <v>29</v>
      </c>
      <c r="L706" s="6" t="s">
        <v>335</v>
      </c>
      <c r="M706" s="9">
        <v>43948</v>
      </c>
      <c r="O706" s="6">
        <v>31</v>
      </c>
      <c r="P706" s="6" t="s">
        <v>4251</v>
      </c>
      <c r="S706" s="6">
        <v>50</v>
      </c>
      <c r="T706" s="6">
        <v>60</v>
      </c>
      <c r="U706" s="10">
        <f t="shared" ref="U706:U769" si="22">AVERAGE(S706:T706)</f>
        <v>55</v>
      </c>
      <c r="W706" s="8">
        <v>0.82523263900280053</v>
      </c>
      <c r="X706" s="8">
        <v>6.4724888740539548</v>
      </c>
      <c r="Y706" s="8">
        <f t="shared" ref="Y706:Y769" si="23">X706-(8*W706)</f>
        <v>-0.12937223796844943</v>
      </c>
    </row>
    <row r="707" spans="1:25" s="6" customFormat="1" x14ac:dyDescent="0.35">
      <c r="A707" s="6" t="s">
        <v>25</v>
      </c>
      <c r="B707" s="7"/>
      <c r="D707" s="6" t="s">
        <v>1549</v>
      </c>
      <c r="E707" s="6">
        <v>3</v>
      </c>
      <c r="F707" s="6">
        <v>38</v>
      </c>
      <c r="G707" s="6" t="s">
        <v>202</v>
      </c>
      <c r="I707" s="8">
        <v>83.938997847222197</v>
      </c>
      <c r="J707" s="8">
        <v>15.6730686111111</v>
      </c>
      <c r="K707" s="6" t="s">
        <v>29</v>
      </c>
      <c r="L707" s="6" t="s">
        <v>335</v>
      </c>
      <c r="M707" s="9">
        <v>43948</v>
      </c>
      <c r="O707" s="6">
        <v>31</v>
      </c>
      <c r="P707" s="6" t="s">
        <v>4251</v>
      </c>
      <c r="S707" s="6">
        <v>60</v>
      </c>
      <c r="T707" s="6">
        <v>70</v>
      </c>
      <c r="U707" s="10">
        <f t="shared" si="22"/>
        <v>65</v>
      </c>
      <c r="W707" s="8">
        <v>0.19680341074168717</v>
      </c>
      <c r="X707" s="8">
        <v>2.1436509223937996</v>
      </c>
      <c r="Y707" s="8">
        <f t="shared" si="23"/>
        <v>0.56922363646030227</v>
      </c>
    </row>
    <row r="708" spans="1:25" s="6" customFormat="1" x14ac:dyDescent="0.35">
      <c r="A708" s="6" t="s">
        <v>25</v>
      </c>
      <c r="B708" s="7"/>
      <c r="D708" s="6" t="s">
        <v>1550</v>
      </c>
      <c r="E708" s="6">
        <v>3</v>
      </c>
      <c r="F708" s="6">
        <v>38</v>
      </c>
      <c r="G708" s="6" t="s">
        <v>202</v>
      </c>
      <c r="I708" s="8">
        <v>83.938997847222197</v>
      </c>
      <c r="J708" s="8">
        <v>15.6730686111111</v>
      </c>
      <c r="K708" s="6" t="s">
        <v>29</v>
      </c>
      <c r="L708" s="6" t="s">
        <v>335</v>
      </c>
      <c r="M708" s="9">
        <v>43948</v>
      </c>
      <c r="O708" s="6">
        <v>31</v>
      </c>
      <c r="P708" s="6" t="s">
        <v>4251</v>
      </c>
      <c r="S708" s="6">
        <v>70</v>
      </c>
      <c r="T708" s="6">
        <v>80</v>
      </c>
      <c r="U708" s="10">
        <f t="shared" si="22"/>
        <v>75</v>
      </c>
      <c r="W708" s="8">
        <v>2.3164126659930097E-2</v>
      </c>
      <c r="X708" s="8">
        <v>0.88542995223999088</v>
      </c>
      <c r="Y708" s="8">
        <f t="shared" si="23"/>
        <v>0.70011693896055016</v>
      </c>
    </row>
    <row r="709" spans="1:25" s="6" customFormat="1" x14ac:dyDescent="0.35">
      <c r="A709" s="6" t="s">
        <v>25</v>
      </c>
      <c r="B709" s="7"/>
      <c r="D709" s="6" t="s">
        <v>1551</v>
      </c>
      <c r="E709" s="6">
        <v>3</v>
      </c>
      <c r="F709" s="6">
        <v>38</v>
      </c>
      <c r="G709" s="6" t="s">
        <v>202</v>
      </c>
      <c r="I709" s="8">
        <v>83.938997847222197</v>
      </c>
      <c r="J709" s="8">
        <v>15.6730686111111</v>
      </c>
      <c r="K709" s="6" t="s">
        <v>29</v>
      </c>
      <c r="L709" s="6" t="s">
        <v>335</v>
      </c>
      <c r="M709" s="9">
        <v>43948</v>
      </c>
      <c r="O709" s="6">
        <v>31</v>
      </c>
      <c r="P709" s="6" t="s">
        <v>4251</v>
      </c>
      <c r="S709" s="6">
        <v>80</v>
      </c>
      <c r="T709" s="6">
        <v>90</v>
      </c>
      <c r="U709" s="10">
        <f t="shared" si="22"/>
        <v>85</v>
      </c>
      <c r="W709" s="8">
        <v>-6.5779671179875432E-2</v>
      </c>
      <c r="X709" s="8">
        <v>-0.56081326904296802</v>
      </c>
      <c r="Y709" s="8">
        <f t="shared" si="23"/>
        <v>-3.4575899603964566E-2</v>
      </c>
    </row>
    <row r="710" spans="1:25" s="6" customFormat="1" x14ac:dyDescent="0.35">
      <c r="A710" s="6" t="s">
        <v>25</v>
      </c>
      <c r="B710" s="7"/>
      <c r="D710" s="6" t="s">
        <v>1552</v>
      </c>
      <c r="E710" s="6">
        <v>3</v>
      </c>
      <c r="F710" s="6">
        <v>38</v>
      </c>
      <c r="G710" s="6" t="s">
        <v>202</v>
      </c>
      <c r="I710" s="8">
        <v>83.938997847222197</v>
      </c>
      <c r="J710" s="8">
        <v>15.6730686111111</v>
      </c>
      <c r="K710" s="6" t="s">
        <v>29</v>
      </c>
      <c r="L710" s="6" t="s">
        <v>335</v>
      </c>
      <c r="M710" s="9">
        <v>43948</v>
      </c>
      <c r="O710" s="6">
        <v>31</v>
      </c>
      <c r="P710" s="6" t="s">
        <v>4251</v>
      </c>
      <c r="S710" s="6">
        <v>90</v>
      </c>
      <c r="T710" s="6">
        <v>100</v>
      </c>
      <c r="U710" s="10">
        <f t="shared" si="22"/>
        <v>95</v>
      </c>
      <c r="W710" s="8">
        <v>-9.7276423946768498E-2</v>
      </c>
      <c r="X710" s="8">
        <v>-0.9770266880035402</v>
      </c>
      <c r="Y710" s="8">
        <f t="shared" si="23"/>
        <v>-0.19881529642939222</v>
      </c>
    </row>
    <row r="711" spans="1:25" s="6" customFormat="1" x14ac:dyDescent="0.35">
      <c r="A711" s="6" t="s">
        <v>25</v>
      </c>
      <c r="B711" s="7"/>
      <c r="D711" s="6" t="s">
        <v>1553</v>
      </c>
      <c r="E711" s="6">
        <v>3</v>
      </c>
      <c r="F711" s="6">
        <v>38</v>
      </c>
      <c r="G711" s="6" t="s">
        <v>202</v>
      </c>
      <c r="I711" s="8">
        <v>83.938997847222197</v>
      </c>
      <c r="J711" s="8">
        <v>15.6730686111111</v>
      </c>
      <c r="K711" s="6" t="s">
        <v>29</v>
      </c>
      <c r="L711" s="6" t="s">
        <v>335</v>
      </c>
      <c r="M711" s="9">
        <v>43948</v>
      </c>
      <c r="O711" s="6">
        <v>31</v>
      </c>
      <c r="P711" s="6" t="s">
        <v>4251</v>
      </c>
      <c r="S711" s="6">
        <v>100</v>
      </c>
      <c r="T711" s="6">
        <v>110</v>
      </c>
      <c r="U711" s="10">
        <f t="shared" si="22"/>
        <v>105</v>
      </c>
      <c r="W711" s="8">
        <v>-0.10086561660915665</v>
      </c>
      <c r="X711" s="8">
        <v>-1.308409706497192</v>
      </c>
      <c r="Y711" s="8">
        <f t="shared" si="23"/>
        <v>-0.50148477362393884</v>
      </c>
    </row>
    <row r="712" spans="1:25" s="6" customFormat="1" x14ac:dyDescent="0.35">
      <c r="A712" s="6" t="s">
        <v>25</v>
      </c>
      <c r="B712" s="7"/>
      <c r="D712" s="6" t="s">
        <v>1554</v>
      </c>
      <c r="E712" s="6">
        <v>3</v>
      </c>
      <c r="F712" s="6">
        <v>38</v>
      </c>
      <c r="G712" s="6" t="s">
        <v>202</v>
      </c>
      <c r="I712" s="8">
        <v>83.938997847222197</v>
      </c>
      <c r="J712" s="8">
        <v>15.6730686111111</v>
      </c>
      <c r="K712" s="6" t="s">
        <v>29</v>
      </c>
      <c r="L712" s="6" t="s">
        <v>335</v>
      </c>
      <c r="M712" s="9">
        <v>43948</v>
      </c>
      <c r="O712" s="6">
        <v>31</v>
      </c>
      <c r="P712" s="6" t="s">
        <v>4251</v>
      </c>
      <c r="S712" s="6">
        <v>110</v>
      </c>
      <c r="T712" s="6">
        <v>120</v>
      </c>
      <c r="U712" s="10">
        <f t="shared" si="22"/>
        <v>115</v>
      </c>
      <c r="W712" s="8">
        <v>1.1051761157065952E-2</v>
      </c>
      <c r="X712" s="8">
        <v>-0.42195758285522478</v>
      </c>
      <c r="Y712" s="8">
        <f t="shared" si="23"/>
        <v>-0.51037167211175238</v>
      </c>
    </row>
    <row r="713" spans="1:25" s="6" customFormat="1" x14ac:dyDescent="0.35">
      <c r="A713" s="6" t="s">
        <v>25</v>
      </c>
      <c r="B713" s="7"/>
      <c r="D713" s="6" t="s">
        <v>1555</v>
      </c>
      <c r="E713" s="6">
        <v>3</v>
      </c>
      <c r="F713" s="6">
        <v>38</v>
      </c>
      <c r="G713" s="6" t="s">
        <v>202</v>
      </c>
      <c r="I713" s="8">
        <v>83.938997847222197</v>
      </c>
      <c r="J713" s="8">
        <v>15.6730686111111</v>
      </c>
      <c r="K713" s="6" t="s">
        <v>29</v>
      </c>
      <c r="L713" s="6" t="s">
        <v>335</v>
      </c>
      <c r="M713" s="9">
        <v>43948</v>
      </c>
      <c r="O713" s="6">
        <v>31</v>
      </c>
      <c r="P713" s="6" t="s">
        <v>4251</v>
      </c>
      <c r="S713" s="6">
        <v>120</v>
      </c>
      <c r="T713" s="6">
        <v>130</v>
      </c>
      <c r="U713" s="10">
        <f t="shared" si="22"/>
        <v>125</v>
      </c>
      <c r="W713" s="8">
        <v>0.32714975141286851</v>
      </c>
      <c r="X713" s="8">
        <v>2.3178626895904539</v>
      </c>
      <c r="Y713" s="8">
        <f t="shared" si="23"/>
        <v>-0.29933532171249411</v>
      </c>
    </row>
    <row r="714" spans="1:25" s="6" customFormat="1" x14ac:dyDescent="0.35">
      <c r="A714" s="6" t="s">
        <v>25</v>
      </c>
      <c r="B714" s="7"/>
      <c r="D714" s="6" t="s">
        <v>1556</v>
      </c>
      <c r="E714" s="6">
        <v>3</v>
      </c>
      <c r="F714" s="6">
        <v>38</v>
      </c>
      <c r="G714" s="6" t="s">
        <v>202</v>
      </c>
      <c r="I714" s="8">
        <v>83.938997847222197</v>
      </c>
      <c r="J714" s="8">
        <v>15.6730686111111</v>
      </c>
      <c r="K714" s="6" t="s">
        <v>29</v>
      </c>
      <c r="L714" s="6" t="s">
        <v>335</v>
      </c>
      <c r="M714" s="9">
        <v>43948</v>
      </c>
      <c r="O714" s="6">
        <v>31</v>
      </c>
      <c r="P714" s="6" t="s">
        <v>4251</v>
      </c>
      <c r="S714" s="6">
        <v>130</v>
      </c>
      <c r="T714" s="6">
        <v>140</v>
      </c>
      <c r="U714" s="10">
        <f t="shared" si="22"/>
        <v>135</v>
      </c>
      <c r="W714" s="8">
        <v>0.54904773752689329</v>
      </c>
      <c r="X714" s="8">
        <v>3.4586581626892086</v>
      </c>
      <c r="Y714" s="8">
        <f t="shared" si="23"/>
        <v>-0.93372373752593774</v>
      </c>
    </row>
    <row r="715" spans="1:25" s="6" customFormat="1" x14ac:dyDescent="0.35">
      <c r="A715" s="6" t="s">
        <v>25</v>
      </c>
      <c r="B715" s="7"/>
      <c r="D715" s="6" t="s">
        <v>1557</v>
      </c>
      <c r="E715" s="6">
        <v>3</v>
      </c>
      <c r="F715" s="6">
        <v>38</v>
      </c>
      <c r="G715" s="6" t="s">
        <v>202</v>
      </c>
      <c r="I715" s="8">
        <v>83.938997847222197</v>
      </c>
      <c r="J715" s="8">
        <v>15.6730686111111</v>
      </c>
      <c r="K715" s="6" t="s">
        <v>29</v>
      </c>
      <c r="L715" s="6" t="s">
        <v>335</v>
      </c>
      <c r="M715" s="9">
        <v>43948</v>
      </c>
      <c r="O715" s="6">
        <v>31</v>
      </c>
      <c r="P715" s="6" t="s">
        <v>4251</v>
      </c>
      <c r="S715" s="6">
        <v>140</v>
      </c>
      <c r="T715" s="6">
        <v>150</v>
      </c>
      <c r="U715" s="10">
        <f t="shared" si="22"/>
        <v>145</v>
      </c>
      <c r="W715" s="8">
        <v>0.7935923120498658</v>
      </c>
      <c r="X715" s="8">
        <v>7.2024998359680179</v>
      </c>
      <c r="Y715" s="8">
        <f t="shared" si="23"/>
        <v>0.8537613395690915</v>
      </c>
    </row>
    <row r="716" spans="1:25" s="6" customFormat="1" x14ac:dyDescent="0.35">
      <c r="A716" s="6" t="s">
        <v>25</v>
      </c>
      <c r="B716" s="7"/>
      <c r="D716" s="6" t="s">
        <v>1558</v>
      </c>
      <c r="E716" s="6">
        <v>3</v>
      </c>
      <c r="F716" s="6">
        <v>38</v>
      </c>
      <c r="G716" s="6" t="s">
        <v>202</v>
      </c>
      <c r="I716" s="8">
        <v>83.938997847222197</v>
      </c>
      <c r="J716" s="8">
        <v>15.6730686111111</v>
      </c>
      <c r="K716" s="6" t="s">
        <v>29</v>
      </c>
      <c r="L716" s="6" t="s">
        <v>335</v>
      </c>
      <c r="M716" s="9">
        <v>43948</v>
      </c>
      <c r="O716" s="6">
        <v>31</v>
      </c>
      <c r="P716" s="6" t="s">
        <v>4251</v>
      </c>
      <c r="S716" s="6">
        <v>150</v>
      </c>
      <c r="T716" s="6">
        <v>161</v>
      </c>
      <c r="U716" s="10">
        <f t="shared" si="22"/>
        <v>155.5</v>
      </c>
      <c r="W716" s="8">
        <v>0.95363176757097223</v>
      </c>
      <c r="X716" s="8">
        <v>11.437162087440491</v>
      </c>
      <c r="Y716" s="8">
        <f t="shared" si="23"/>
        <v>3.8081079468727133</v>
      </c>
    </row>
    <row r="717" spans="1:25" s="6" customFormat="1" x14ac:dyDescent="0.35">
      <c r="A717" s="6" t="s">
        <v>25</v>
      </c>
      <c r="B717" s="6" t="s">
        <v>1525</v>
      </c>
      <c r="D717" s="6" t="s">
        <v>3333</v>
      </c>
      <c r="E717" s="6">
        <v>3</v>
      </c>
      <c r="F717" s="6">
        <v>38</v>
      </c>
      <c r="G717" s="6" t="s">
        <v>210</v>
      </c>
      <c r="I717" s="8">
        <v>83.938997847222197</v>
      </c>
      <c r="J717" s="8">
        <v>15.6730686111111</v>
      </c>
      <c r="K717" s="6" t="s">
        <v>29</v>
      </c>
      <c r="L717" s="6" t="s">
        <v>546</v>
      </c>
      <c r="M717" s="9">
        <v>43948</v>
      </c>
      <c r="O717" s="6">
        <v>31</v>
      </c>
      <c r="P717" s="6" t="s">
        <v>4251</v>
      </c>
      <c r="R717" s="6">
        <v>0</v>
      </c>
      <c r="S717" s="6">
        <v>0</v>
      </c>
      <c r="T717" s="6">
        <v>10</v>
      </c>
      <c r="U717" s="10">
        <f t="shared" si="22"/>
        <v>5</v>
      </c>
      <c r="W717" s="8">
        <v>-4.1035965213775638</v>
      </c>
      <c r="X717" s="8">
        <v>-31.622806674957275</v>
      </c>
      <c r="Y717" s="8">
        <f t="shared" si="23"/>
        <v>1.2059654960632358</v>
      </c>
    </row>
    <row r="718" spans="1:25" s="6" customFormat="1" x14ac:dyDescent="0.35">
      <c r="A718" s="6" t="s">
        <v>25</v>
      </c>
      <c r="B718" s="6" t="s">
        <v>1526</v>
      </c>
      <c r="D718" s="6" t="s">
        <v>3333</v>
      </c>
      <c r="E718" s="6">
        <v>3</v>
      </c>
      <c r="F718" s="6">
        <v>38</v>
      </c>
      <c r="G718" s="6" t="s">
        <v>210</v>
      </c>
      <c r="I718" s="8">
        <v>83.938997847222197</v>
      </c>
      <c r="J718" s="8">
        <v>15.6730686111111</v>
      </c>
      <c r="K718" s="6" t="s">
        <v>29</v>
      </c>
      <c r="L718" s="6" t="s">
        <v>546</v>
      </c>
      <c r="M718" s="9">
        <v>43948</v>
      </c>
      <c r="O718" s="6">
        <v>31</v>
      </c>
      <c r="P718" s="6" t="s">
        <v>4251</v>
      </c>
      <c r="R718" s="6">
        <v>10</v>
      </c>
      <c r="S718" s="6">
        <v>10</v>
      </c>
      <c r="T718" s="6">
        <v>20</v>
      </c>
      <c r="U718" s="10">
        <f t="shared" si="22"/>
        <v>15</v>
      </c>
      <c r="W718" s="8">
        <v>-3.8485951766967776</v>
      </c>
      <c r="X718" s="8">
        <v>-29.859514636993406</v>
      </c>
      <c r="Y718" s="8">
        <f t="shared" si="23"/>
        <v>0.92924677658081478</v>
      </c>
    </row>
    <row r="719" spans="1:25" s="6" customFormat="1" x14ac:dyDescent="0.35">
      <c r="A719" s="6" t="s">
        <v>25</v>
      </c>
      <c r="B719" s="6" t="s">
        <v>1527</v>
      </c>
      <c r="D719" s="6" t="s">
        <v>3333</v>
      </c>
      <c r="E719" s="6">
        <v>3</v>
      </c>
      <c r="F719" s="6">
        <v>38</v>
      </c>
      <c r="G719" s="6" t="s">
        <v>210</v>
      </c>
      <c r="I719" s="8">
        <v>83.938997847222197</v>
      </c>
      <c r="J719" s="8">
        <v>15.6730686111111</v>
      </c>
      <c r="K719" s="6" t="s">
        <v>29</v>
      </c>
      <c r="L719" s="6" t="s">
        <v>546</v>
      </c>
      <c r="M719" s="9">
        <v>43948</v>
      </c>
      <c r="O719" s="6">
        <v>31</v>
      </c>
      <c r="P719" s="6" t="s">
        <v>4251</v>
      </c>
      <c r="R719" s="6">
        <v>20</v>
      </c>
      <c r="S719" s="6">
        <v>20</v>
      </c>
      <c r="T719" s="6">
        <v>30</v>
      </c>
      <c r="U719" s="10">
        <f t="shared" si="22"/>
        <v>25</v>
      </c>
      <c r="W719" s="8">
        <v>-4.2762709937095646</v>
      </c>
      <c r="X719" s="8">
        <v>-33.06537826156616</v>
      </c>
      <c r="Y719" s="8">
        <f t="shared" si="23"/>
        <v>1.1447896881103574</v>
      </c>
    </row>
    <row r="720" spans="1:25" s="6" customFormat="1" x14ac:dyDescent="0.35">
      <c r="A720" s="6" t="s">
        <v>25</v>
      </c>
      <c r="B720" s="6" t="s">
        <v>1528</v>
      </c>
      <c r="D720" s="6" t="s">
        <v>3333</v>
      </c>
      <c r="E720" s="6">
        <v>3</v>
      </c>
      <c r="F720" s="6">
        <v>38</v>
      </c>
      <c r="G720" s="6" t="s">
        <v>210</v>
      </c>
      <c r="I720" s="8">
        <v>83.938997847222197</v>
      </c>
      <c r="J720" s="8">
        <v>15.6730686111111</v>
      </c>
      <c r="K720" s="6" t="s">
        <v>29</v>
      </c>
      <c r="L720" s="6" t="s">
        <v>546</v>
      </c>
      <c r="M720" s="9">
        <v>43948</v>
      </c>
      <c r="O720" s="6">
        <v>31</v>
      </c>
      <c r="P720" s="6" t="s">
        <v>4251</v>
      </c>
      <c r="R720" s="6">
        <v>30</v>
      </c>
      <c r="S720" s="6">
        <v>30</v>
      </c>
      <c r="T720" s="6">
        <v>40</v>
      </c>
      <c r="U720" s="10">
        <f t="shared" si="22"/>
        <v>35</v>
      </c>
      <c r="W720" s="8">
        <v>-4.1607681069374083</v>
      </c>
      <c r="X720" s="8">
        <v>-31.689251758575438</v>
      </c>
      <c r="Y720" s="8">
        <f t="shared" si="23"/>
        <v>1.5968930969238286</v>
      </c>
    </row>
    <row r="721" spans="1:25" s="6" customFormat="1" x14ac:dyDescent="0.35">
      <c r="A721" s="6" t="s">
        <v>25</v>
      </c>
      <c r="B721" s="6" t="s">
        <v>1529</v>
      </c>
      <c r="D721" s="6" t="s">
        <v>3333</v>
      </c>
      <c r="E721" s="6">
        <v>3</v>
      </c>
      <c r="F721" s="6">
        <v>38</v>
      </c>
      <c r="G721" s="6" t="s">
        <v>210</v>
      </c>
      <c r="I721" s="8">
        <v>83.938997847222197</v>
      </c>
      <c r="J721" s="8">
        <v>15.6730686111111</v>
      </c>
      <c r="K721" s="6" t="s">
        <v>29</v>
      </c>
      <c r="L721" s="6" t="s">
        <v>546</v>
      </c>
      <c r="M721" s="9">
        <v>43948</v>
      </c>
      <c r="O721" s="6">
        <v>31</v>
      </c>
      <c r="P721" s="6" t="s">
        <v>4251</v>
      </c>
      <c r="R721" s="6">
        <v>40</v>
      </c>
      <c r="S721" s="6">
        <v>40</v>
      </c>
      <c r="T721" s="6">
        <v>50</v>
      </c>
      <c r="U721" s="10">
        <f t="shared" si="22"/>
        <v>45</v>
      </c>
      <c r="W721" s="8">
        <v>-3.5340790936946873</v>
      </c>
      <c r="X721" s="8">
        <v>-27.246485042572022</v>
      </c>
      <c r="Y721" s="8">
        <f t="shared" si="23"/>
        <v>1.0261477069854763</v>
      </c>
    </row>
    <row r="722" spans="1:25" s="6" customFormat="1" x14ac:dyDescent="0.35">
      <c r="A722" s="6" t="s">
        <v>25</v>
      </c>
      <c r="B722" s="6" t="s">
        <v>1530</v>
      </c>
      <c r="D722" s="6" t="s">
        <v>3333</v>
      </c>
      <c r="E722" s="6">
        <v>3</v>
      </c>
      <c r="F722" s="6">
        <v>38</v>
      </c>
      <c r="G722" s="6" t="s">
        <v>210</v>
      </c>
      <c r="I722" s="8">
        <v>83.938997847222197</v>
      </c>
      <c r="J722" s="8">
        <v>15.6730686111111</v>
      </c>
      <c r="K722" s="6" t="s">
        <v>29</v>
      </c>
      <c r="L722" s="6" t="s">
        <v>546</v>
      </c>
      <c r="M722" s="9">
        <v>43948</v>
      </c>
      <c r="O722" s="6">
        <v>31</v>
      </c>
      <c r="P722" s="6" t="s">
        <v>4251</v>
      </c>
      <c r="R722" s="6">
        <v>50</v>
      </c>
      <c r="S722" s="6">
        <v>50</v>
      </c>
      <c r="T722" s="6">
        <v>60</v>
      </c>
      <c r="U722" s="10">
        <f t="shared" si="22"/>
        <v>55</v>
      </c>
      <c r="W722" s="8">
        <v>-3.6477017555236815</v>
      </c>
      <c r="X722" s="8">
        <v>-28.69203434562683</v>
      </c>
      <c r="Y722" s="8">
        <f t="shared" si="23"/>
        <v>0.48957969856262196</v>
      </c>
    </row>
    <row r="723" spans="1:25" s="6" customFormat="1" x14ac:dyDescent="0.35">
      <c r="A723" s="6" t="s">
        <v>25</v>
      </c>
      <c r="B723" s="6" t="s">
        <v>1531</v>
      </c>
      <c r="D723" s="6" t="s">
        <v>3333</v>
      </c>
      <c r="E723" s="6">
        <v>3</v>
      </c>
      <c r="F723" s="6">
        <v>38</v>
      </c>
      <c r="G723" s="6" t="s">
        <v>210</v>
      </c>
      <c r="I723" s="8">
        <v>83.938997847222197</v>
      </c>
      <c r="J723" s="8">
        <v>15.6730686111111</v>
      </c>
      <c r="K723" s="6" t="s">
        <v>29</v>
      </c>
      <c r="L723" s="6" t="s">
        <v>546</v>
      </c>
      <c r="M723" s="9">
        <v>43948</v>
      </c>
      <c r="O723" s="6">
        <v>31</v>
      </c>
      <c r="P723" s="6" t="s">
        <v>4251</v>
      </c>
      <c r="R723" s="6">
        <v>60</v>
      </c>
      <c r="S723" s="6">
        <v>60</v>
      </c>
      <c r="T723" s="6">
        <v>70</v>
      </c>
      <c r="U723" s="10">
        <f t="shared" si="22"/>
        <v>65</v>
      </c>
      <c r="W723" s="8">
        <v>-4.245602265357971</v>
      </c>
      <c r="X723" s="8">
        <v>-32.445603481292721</v>
      </c>
      <c r="Y723" s="8">
        <f t="shared" si="23"/>
        <v>1.5192146415710468</v>
      </c>
    </row>
    <row r="724" spans="1:25" s="6" customFormat="1" x14ac:dyDescent="0.35">
      <c r="A724" s="6" t="s">
        <v>25</v>
      </c>
      <c r="B724" s="6" t="s">
        <v>1532</v>
      </c>
      <c r="D724" s="6" t="s">
        <v>3333</v>
      </c>
      <c r="E724" s="6">
        <v>3</v>
      </c>
      <c r="F724" s="6">
        <v>38</v>
      </c>
      <c r="G724" s="6" t="s">
        <v>210</v>
      </c>
      <c r="I724" s="8">
        <v>83.938997847222197</v>
      </c>
      <c r="J724" s="8">
        <v>15.6730686111111</v>
      </c>
      <c r="K724" s="6" t="s">
        <v>29</v>
      </c>
      <c r="L724" s="6" t="s">
        <v>546</v>
      </c>
      <c r="M724" s="9">
        <v>43948</v>
      </c>
      <c r="O724" s="6">
        <v>31</v>
      </c>
      <c r="P724" s="6" t="s">
        <v>4251</v>
      </c>
      <c r="R724" s="6">
        <v>70</v>
      </c>
      <c r="S724" s="6">
        <v>70</v>
      </c>
      <c r="T724" s="6">
        <v>80</v>
      </c>
      <c r="U724" s="10">
        <f t="shared" si="22"/>
        <v>75</v>
      </c>
      <c r="W724" s="8">
        <v>-1.0711844511329831E-2</v>
      </c>
      <c r="X724" s="8">
        <v>-0.46262239578366326</v>
      </c>
      <c r="Y724" s="8">
        <f t="shared" si="23"/>
        <v>-0.37692763969302462</v>
      </c>
    </row>
    <row r="725" spans="1:25" s="6" customFormat="1" x14ac:dyDescent="0.35">
      <c r="A725" s="6" t="s">
        <v>25</v>
      </c>
      <c r="B725" s="6" t="s">
        <v>1533</v>
      </c>
      <c r="D725" s="6" t="s">
        <v>3333</v>
      </c>
      <c r="E725" s="6">
        <v>3</v>
      </c>
      <c r="F725" s="6">
        <v>38</v>
      </c>
      <c r="G725" s="6" t="s">
        <v>210</v>
      </c>
      <c r="I725" s="8">
        <v>83.938997847222197</v>
      </c>
      <c r="J725" s="8">
        <v>15.6730686111111</v>
      </c>
      <c r="K725" s="6" t="s">
        <v>29</v>
      </c>
      <c r="L725" s="6" t="s">
        <v>546</v>
      </c>
      <c r="M725" s="9">
        <v>43948</v>
      </c>
      <c r="O725" s="6">
        <v>31</v>
      </c>
      <c r="P725" s="6" t="s">
        <v>4251</v>
      </c>
      <c r="R725" s="6">
        <v>80</v>
      </c>
      <c r="S725" s="6">
        <v>80</v>
      </c>
      <c r="T725" s="6">
        <v>90</v>
      </c>
      <c r="U725" s="10">
        <f t="shared" si="22"/>
        <v>85</v>
      </c>
      <c r="W725" s="8">
        <v>0.84141718322038694</v>
      </c>
      <c r="X725" s="8">
        <v>6.4424164404869089</v>
      </c>
      <c r="Y725" s="8">
        <f t="shared" si="23"/>
        <v>-0.28892102527618668</v>
      </c>
    </row>
    <row r="726" spans="1:25" s="6" customFormat="1" x14ac:dyDescent="0.35">
      <c r="A726" s="6" t="s">
        <v>25</v>
      </c>
      <c r="B726" s="6" t="s">
        <v>1534</v>
      </c>
      <c r="D726" s="6" t="s">
        <v>3333</v>
      </c>
      <c r="E726" s="6">
        <v>3</v>
      </c>
      <c r="F726" s="6">
        <v>38</v>
      </c>
      <c r="G726" s="6" t="s">
        <v>210</v>
      </c>
      <c r="I726" s="8">
        <v>83.938997847222197</v>
      </c>
      <c r="J726" s="8">
        <v>15.6730686111111</v>
      </c>
      <c r="K726" s="6" t="s">
        <v>29</v>
      </c>
      <c r="L726" s="6" t="s">
        <v>546</v>
      </c>
      <c r="M726" s="9">
        <v>43948</v>
      </c>
      <c r="O726" s="6">
        <v>31</v>
      </c>
      <c r="P726" s="6" t="s">
        <v>4251</v>
      </c>
      <c r="R726" s="6">
        <v>90</v>
      </c>
      <c r="S726" s="6">
        <v>90</v>
      </c>
      <c r="T726" s="6">
        <v>100</v>
      </c>
      <c r="U726" s="10">
        <f t="shared" si="22"/>
        <v>95</v>
      </c>
      <c r="W726" s="8">
        <v>0.39634359472990022</v>
      </c>
      <c r="X726" s="8">
        <v>3.3473005893230439</v>
      </c>
      <c r="Y726" s="8">
        <f t="shared" si="23"/>
        <v>0.17655183148384213</v>
      </c>
    </row>
    <row r="727" spans="1:25" s="6" customFormat="1" x14ac:dyDescent="0.35">
      <c r="A727" s="6" t="s">
        <v>25</v>
      </c>
      <c r="B727" s="6" t="s">
        <v>1535</v>
      </c>
      <c r="D727" s="6" t="s">
        <v>3333</v>
      </c>
      <c r="E727" s="6">
        <v>3</v>
      </c>
      <c r="F727" s="6">
        <v>38</v>
      </c>
      <c r="G727" s="6" t="s">
        <v>210</v>
      </c>
      <c r="I727" s="8">
        <v>83.938997847222197</v>
      </c>
      <c r="J727" s="8">
        <v>15.6730686111111</v>
      </c>
      <c r="K727" s="6" t="s">
        <v>29</v>
      </c>
      <c r="L727" s="6" t="s">
        <v>546</v>
      </c>
      <c r="M727" s="9">
        <v>43948</v>
      </c>
      <c r="O727" s="6">
        <v>31</v>
      </c>
      <c r="P727" s="6" t="s">
        <v>4251</v>
      </c>
      <c r="R727" s="6">
        <v>100</v>
      </c>
      <c r="S727" s="6">
        <v>100</v>
      </c>
      <c r="T727" s="6">
        <v>110</v>
      </c>
      <c r="U727" s="10">
        <f t="shared" si="22"/>
        <v>105</v>
      </c>
      <c r="W727" s="8">
        <v>0.13304304239898906</v>
      </c>
      <c r="X727" s="8">
        <v>1.0714992113113402</v>
      </c>
      <c r="Y727" s="8">
        <f t="shared" si="23"/>
        <v>7.1548721194276688E-3</v>
      </c>
    </row>
    <row r="728" spans="1:25" s="6" customFormat="1" x14ac:dyDescent="0.35">
      <c r="A728" s="6" t="s">
        <v>25</v>
      </c>
      <c r="B728" s="6" t="s">
        <v>1536</v>
      </c>
      <c r="D728" s="6" t="s">
        <v>3333</v>
      </c>
      <c r="E728" s="6">
        <v>3</v>
      </c>
      <c r="F728" s="6">
        <v>38</v>
      </c>
      <c r="G728" s="6" t="s">
        <v>210</v>
      </c>
      <c r="I728" s="8">
        <v>83.938997847222197</v>
      </c>
      <c r="J728" s="8">
        <v>15.6730686111111</v>
      </c>
      <c r="K728" s="6" t="s">
        <v>29</v>
      </c>
      <c r="L728" s="6" t="s">
        <v>546</v>
      </c>
      <c r="M728" s="9">
        <v>43948</v>
      </c>
      <c r="O728" s="6">
        <v>31</v>
      </c>
      <c r="P728" s="6" t="s">
        <v>4251</v>
      </c>
      <c r="R728" s="6">
        <v>110</v>
      </c>
      <c r="S728" s="6">
        <v>110</v>
      </c>
      <c r="T728" s="6">
        <v>120</v>
      </c>
      <c r="U728" s="10">
        <f t="shared" si="22"/>
        <v>115</v>
      </c>
      <c r="W728" s="8">
        <v>-1.0925250581502917</v>
      </c>
      <c r="X728" s="8">
        <v>-3.9875868005752562</v>
      </c>
      <c r="Y728" s="8">
        <f t="shared" si="23"/>
        <v>4.7526136646270771</v>
      </c>
    </row>
    <row r="729" spans="1:25" s="6" customFormat="1" x14ac:dyDescent="0.35">
      <c r="A729" s="6" t="s">
        <v>25</v>
      </c>
      <c r="B729" s="6" t="s">
        <v>1537</v>
      </c>
      <c r="D729" s="6" t="s">
        <v>3333</v>
      </c>
      <c r="E729" s="6">
        <v>3</v>
      </c>
      <c r="F729" s="6">
        <v>38</v>
      </c>
      <c r="G729" s="6" t="s">
        <v>210</v>
      </c>
      <c r="I729" s="8">
        <v>83.938997847222197</v>
      </c>
      <c r="J729" s="8">
        <v>15.6730686111111</v>
      </c>
      <c r="K729" s="6" t="s">
        <v>29</v>
      </c>
      <c r="L729" s="6" t="s">
        <v>546</v>
      </c>
      <c r="M729" s="9">
        <v>43948</v>
      </c>
      <c r="O729" s="6">
        <v>31</v>
      </c>
      <c r="P729" s="6" t="s">
        <v>4251</v>
      </c>
      <c r="R729" s="6">
        <v>120</v>
      </c>
      <c r="S729" s="6">
        <v>120</v>
      </c>
      <c r="T729" s="6">
        <v>130</v>
      </c>
      <c r="U729" s="10">
        <f t="shared" si="22"/>
        <v>125</v>
      </c>
      <c r="W729" s="8">
        <v>-0.10030991984903814</v>
      </c>
      <c r="X729" s="8">
        <v>-0.660599427640438</v>
      </c>
      <c r="Y729" s="8">
        <f t="shared" si="23"/>
        <v>0.14187993115186714</v>
      </c>
    </row>
    <row r="730" spans="1:25" s="6" customFormat="1" x14ac:dyDescent="0.35">
      <c r="A730" s="6" t="s">
        <v>25</v>
      </c>
      <c r="B730" s="6" t="s">
        <v>1538</v>
      </c>
      <c r="D730" s="6" t="s">
        <v>3333</v>
      </c>
      <c r="E730" s="6">
        <v>3</v>
      </c>
      <c r="F730" s="6">
        <v>38</v>
      </c>
      <c r="G730" s="6" t="s">
        <v>210</v>
      </c>
      <c r="I730" s="8">
        <v>83.938997847222197</v>
      </c>
      <c r="J730" s="8">
        <v>15.6730686111111</v>
      </c>
      <c r="K730" s="6" t="s">
        <v>29</v>
      </c>
      <c r="L730" s="6" t="s">
        <v>546</v>
      </c>
      <c r="M730" s="9">
        <v>43948</v>
      </c>
      <c r="O730" s="6">
        <v>31</v>
      </c>
      <c r="P730" s="6" t="s">
        <v>4251</v>
      </c>
      <c r="R730" s="6">
        <v>130</v>
      </c>
      <c r="S730" s="6">
        <v>130</v>
      </c>
      <c r="T730" s="6">
        <v>140</v>
      </c>
      <c r="U730" s="10">
        <f t="shared" si="22"/>
        <v>135</v>
      </c>
      <c r="W730" s="8">
        <v>4.8405736664193372E-2</v>
      </c>
      <c r="X730" s="8">
        <v>1.0287228220701212</v>
      </c>
      <c r="Y730" s="8">
        <f t="shared" si="23"/>
        <v>0.64147692875657425</v>
      </c>
    </row>
    <row r="731" spans="1:25" s="6" customFormat="1" x14ac:dyDescent="0.35">
      <c r="A731" s="6" t="s">
        <v>25</v>
      </c>
      <c r="B731" s="6" t="s">
        <v>1539</v>
      </c>
      <c r="D731" s="6" t="s">
        <v>3333</v>
      </c>
      <c r="E731" s="6">
        <v>3</v>
      </c>
      <c r="F731" s="6">
        <v>38</v>
      </c>
      <c r="G731" s="6" t="s">
        <v>210</v>
      </c>
      <c r="I731" s="8">
        <v>83.938997847222197</v>
      </c>
      <c r="J731" s="8">
        <v>15.6730686111111</v>
      </c>
      <c r="K731" s="6" t="s">
        <v>29</v>
      </c>
      <c r="L731" s="6" t="s">
        <v>546</v>
      </c>
      <c r="M731" s="9">
        <v>43948</v>
      </c>
      <c r="O731" s="6">
        <v>31</v>
      </c>
      <c r="P731" s="6" t="s">
        <v>4251</v>
      </c>
      <c r="R731" s="6">
        <v>140</v>
      </c>
      <c r="S731" s="6">
        <v>140</v>
      </c>
      <c r="T731" s="6">
        <v>150</v>
      </c>
      <c r="U731" s="10">
        <f t="shared" si="22"/>
        <v>145</v>
      </c>
      <c r="W731" s="8">
        <v>0.38597728827595723</v>
      </c>
      <c r="X731" s="8">
        <v>3.6678391444683083</v>
      </c>
      <c r="Y731" s="8">
        <f t="shared" si="23"/>
        <v>0.58002083826065043</v>
      </c>
    </row>
    <row r="732" spans="1:25" s="6" customFormat="1" x14ac:dyDescent="0.35">
      <c r="A732" s="6" t="s">
        <v>25</v>
      </c>
      <c r="B732" s="6" t="s">
        <v>1540</v>
      </c>
      <c r="D732" s="6" t="s">
        <v>3333</v>
      </c>
      <c r="E732" s="6">
        <v>3</v>
      </c>
      <c r="F732" s="6">
        <v>38</v>
      </c>
      <c r="G732" s="6" t="s">
        <v>210</v>
      </c>
      <c r="I732" s="8">
        <v>83.938997847222197</v>
      </c>
      <c r="J732" s="8">
        <v>15.6730686111111</v>
      </c>
      <c r="K732" s="6" t="s">
        <v>29</v>
      </c>
      <c r="L732" s="6" t="s">
        <v>546</v>
      </c>
      <c r="M732" s="9">
        <v>43948</v>
      </c>
      <c r="O732" s="6">
        <v>31</v>
      </c>
      <c r="P732" s="6" t="s">
        <v>4251</v>
      </c>
      <c r="R732" s="6">
        <v>150</v>
      </c>
      <c r="S732" s="6">
        <v>150</v>
      </c>
      <c r="T732" s="6">
        <v>161</v>
      </c>
      <c r="U732" s="10">
        <f t="shared" si="22"/>
        <v>155.5</v>
      </c>
      <c r="W732" s="8">
        <v>0.72419832462072353</v>
      </c>
      <c r="X732" s="8">
        <v>5.7803764438629148</v>
      </c>
      <c r="Y732" s="8">
        <f t="shared" si="23"/>
        <v>-1.3210153102873434E-2</v>
      </c>
    </row>
    <row r="733" spans="1:25" s="6" customFormat="1" x14ac:dyDescent="0.35">
      <c r="A733" s="6" t="s">
        <v>25</v>
      </c>
      <c r="B733" s="6" t="s">
        <v>1541</v>
      </c>
      <c r="D733" s="6" t="s">
        <v>3333</v>
      </c>
      <c r="E733" s="6">
        <v>3</v>
      </c>
      <c r="F733" s="6">
        <v>38</v>
      </c>
      <c r="G733" s="6" t="s">
        <v>210</v>
      </c>
      <c r="I733" s="8">
        <v>83.938997847222197</v>
      </c>
      <c r="J733" s="8">
        <v>15.6730686111111</v>
      </c>
      <c r="K733" s="6" t="s">
        <v>29</v>
      </c>
      <c r="L733" s="6" t="s">
        <v>546</v>
      </c>
      <c r="M733" s="9">
        <v>43948</v>
      </c>
      <c r="O733" s="6">
        <v>31</v>
      </c>
      <c r="P733" s="6" t="s">
        <v>4251</v>
      </c>
      <c r="R733" s="6">
        <v>161</v>
      </c>
      <c r="S733" s="6">
        <v>161</v>
      </c>
      <c r="T733" s="6">
        <v>172</v>
      </c>
      <c r="U733" s="10">
        <f t="shared" si="22"/>
        <v>166.5</v>
      </c>
      <c r="W733" s="8">
        <v>1.4340920838117597</v>
      </c>
      <c r="X733" s="8">
        <v>12.200183382034302</v>
      </c>
      <c r="Y733" s="8">
        <f t="shared" si="23"/>
        <v>0.72744671154022456</v>
      </c>
    </row>
    <row r="734" spans="1:25" s="6" customFormat="1" x14ac:dyDescent="0.35">
      <c r="A734" s="6" t="s">
        <v>25</v>
      </c>
      <c r="B734" s="6" t="s">
        <v>1561</v>
      </c>
      <c r="D734" s="6" t="s">
        <v>1562</v>
      </c>
      <c r="E734" s="6">
        <v>3</v>
      </c>
      <c r="F734" s="6">
        <v>38</v>
      </c>
      <c r="G734" s="6" t="s">
        <v>1563</v>
      </c>
      <c r="I734" s="8">
        <v>83.933978541666704</v>
      </c>
      <c r="J734" s="8">
        <v>17.471342499999999</v>
      </c>
      <c r="K734" s="6" t="s">
        <v>29</v>
      </c>
      <c r="L734" s="6" t="s">
        <v>546</v>
      </c>
      <c r="M734" s="9">
        <v>43951</v>
      </c>
      <c r="O734" s="6">
        <v>31</v>
      </c>
      <c r="P734" s="6" t="s">
        <v>4373</v>
      </c>
      <c r="R734" s="6">
        <v>0</v>
      </c>
      <c r="S734" s="6">
        <v>0</v>
      </c>
      <c r="T734" s="6">
        <v>10</v>
      </c>
      <c r="U734" s="10">
        <f t="shared" si="22"/>
        <v>5</v>
      </c>
      <c r="W734" s="8">
        <v>-6.0429377850055701</v>
      </c>
      <c r="X734" s="8">
        <v>-48.765893754959109</v>
      </c>
      <c r="Y734" s="8">
        <f t="shared" si="23"/>
        <v>-0.42239147491454787</v>
      </c>
    </row>
    <row r="735" spans="1:25" s="6" customFormat="1" x14ac:dyDescent="0.35">
      <c r="A735" s="6" t="s">
        <v>25</v>
      </c>
      <c r="B735" s="6" t="s">
        <v>1564</v>
      </c>
      <c r="D735" s="6" t="s">
        <v>1562</v>
      </c>
      <c r="E735" s="6">
        <v>3</v>
      </c>
      <c r="F735" s="6">
        <v>38</v>
      </c>
      <c r="G735" s="6" t="s">
        <v>1563</v>
      </c>
      <c r="I735" s="8">
        <v>83.933978541666704</v>
      </c>
      <c r="J735" s="8">
        <v>17.471342499999999</v>
      </c>
      <c r="K735" s="6" t="s">
        <v>29</v>
      </c>
      <c r="L735" s="6" t="s">
        <v>546</v>
      </c>
      <c r="M735" s="9">
        <v>43951</v>
      </c>
      <c r="O735" s="6">
        <v>31</v>
      </c>
      <c r="P735" s="6" t="s">
        <v>4373</v>
      </c>
      <c r="R735" s="6">
        <v>10</v>
      </c>
      <c r="S735" s="6">
        <v>10</v>
      </c>
      <c r="T735" s="6">
        <v>20</v>
      </c>
      <c r="U735" s="10">
        <f t="shared" si="22"/>
        <v>15</v>
      </c>
      <c r="W735" s="8">
        <v>-6.5738337899208075</v>
      </c>
      <c r="X735" s="8">
        <v>-51.295428323745725</v>
      </c>
      <c r="Y735" s="8">
        <f t="shared" si="23"/>
        <v>1.2952419956207351</v>
      </c>
    </row>
    <row r="736" spans="1:25" s="6" customFormat="1" x14ac:dyDescent="0.35">
      <c r="A736" s="6" t="s">
        <v>25</v>
      </c>
      <c r="B736" s="6" t="s">
        <v>1565</v>
      </c>
      <c r="D736" s="6" t="s">
        <v>1562</v>
      </c>
      <c r="E736" s="6">
        <v>3</v>
      </c>
      <c r="F736" s="6">
        <v>38</v>
      </c>
      <c r="G736" s="6" t="s">
        <v>1563</v>
      </c>
      <c r="I736" s="8">
        <v>83.933978541666704</v>
      </c>
      <c r="J736" s="8">
        <v>17.471342499999999</v>
      </c>
      <c r="K736" s="6" t="s">
        <v>29</v>
      </c>
      <c r="L736" s="6" t="s">
        <v>546</v>
      </c>
      <c r="M736" s="9">
        <v>43951</v>
      </c>
      <c r="O736" s="6">
        <v>31</v>
      </c>
      <c r="P736" s="6" t="s">
        <v>4373</v>
      </c>
      <c r="R736" s="6">
        <v>20</v>
      </c>
      <c r="S736" s="6">
        <v>20</v>
      </c>
      <c r="T736" s="6">
        <v>30</v>
      </c>
      <c r="U736" s="10">
        <f t="shared" si="22"/>
        <v>25</v>
      </c>
      <c r="W736" s="8">
        <v>-5.0390615986347189</v>
      </c>
      <c r="X736" s="8">
        <v>-38.58904036903381</v>
      </c>
      <c r="Y736" s="8">
        <f t="shared" si="23"/>
        <v>1.7234524200439409</v>
      </c>
    </row>
    <row r="737" spans="1:25" s="6" customFormat="1" x14ac:dyDescent="0.35">
      <c r="A737" s="6" t="s">
        <v>25</v>
      </c>
      <c r="B737" s="6" t="s">
        <v>1566</v>
      </c>
      <c r="D737" s="6" t="s">
        <v>1562</v>
      </c>
      <c r="E737" s="6">
        <v>3</v>
      </c>
      <c r="F737" s="6">
        <v>38</v>
      </c>
      <c r="G737" s="6" t="s">
        <v>1563</v>
      </c>
      <c r="I737" s="8">
        <v>83.933978541666704</v>
      </c>
      <c r="J737" s="8">
        <v>17.471342499999999</v>
      </c>
      <c r="K737" s="6" t="s">
        <v>29</v>
      </c>
      <c r="L737" s="6" t="s">
        <v>546</v>
      </c>
      <c r="M737" s="9">
        <v>43951</v>
      </c>
      <c r="O737" s="6">
        <v>31</v>
      </c>
      <c r="P737" s="6" t="s">
        <v>4373</v>
      </c>
      <c r="R737" s="6">
        <v>30</v>
      </c>
      <c r="S737" s="6">
        <v>30</v>
      </c>
      <c r="T737" s="6">
        <v>40</v>
      </c>
      <c r="U737" s="10">
        <f t="shared" si="22"/>
        <v>35</v>
      </c>
      <c r="W737" s="8">
        <v>-3.7144119847059254</v>
      </c>
      <c r="X737" s="8">
        <v>-28.598429109573363</v>
      </c>
      <c r="Y737" s="8">
        <f t="shared" si="23"/>
        <v>1.1168667680740398</v>
      </c>
    </row>
    <row r="738" spans="1:25" s="6" customFormat="1" x14ac:dyDescent="0.35">
      <c r="A738" s="6" t="s">
        <v>25</v>
      </c>
      <c r="B738" s="6" t="s">
        <v>1567</v>
      </c>
      <c r="D738" s="6" t="s">
        <v>1562</v>
      </c>
      <c r="E738" s="6">
        <v>3</v>
      </c>
      <c r="F738" s="6">
        <v>38</v>
      </c>
      <c r="G738" s="6" t="s">
        <v>1563</v>
      </c>
      <c r="I738" s="8">
        <v>83.933978541666704</v>
      </c>
      <c r="J738" s="8">
        <v>17.471342499999999</v>
      </c>
      <c r="K738" s="6" t="s">
        <v>29</v>
      </c>
      <c r="L738" s="6" t="s">
        <v>546</v>
      </c>
      <c r="M738" s="9">
        <v>43951</v>
      </c>
      <c r="O738" s="6">
        <v>31</v>
      </c>
      <c r="P738" s="6" t="s">
        <v>4373</v>
      </c>
      <c r="R738" s="6">
        <v>40</v>
      </c>
      <c r="S738" s="6">
        <v>40</v>
      </c>
      <c r="T738" s="6">
        <v>50</v>
      </c>
      <c r="U738" s="10">
        <f t="shared" si="22"/>
        <v>45</v>
      </c>
      <c r="W738" s="8">
        <v>-3.4284687034130101</v>
      </c>
      <c r="X738" s="8">
        <v>-26.345447143554686</v>
      </c>
      <c r="Y738" s="8">
        <f t="shared" si="23"/>
        <v>1.0823024837493946</v>
      </c>
    </row>
    <row r="739" spans="1:25" s="6" customFormat="1" x14ac:dyDescent="0.35">
      <c r="A739" s="6" t="s">
        <v>25</v>
      </c>
      <c r="B739" s="6" t="s">
        <v>1568</v>
      </c>
      <c r="D739" s="6" t="s">
        <v>1562</v>
      </c>
      <c r="E739" s="6">
        <v>3</v>
      </c>
      <c r="F739" s="6">
        <v>38</v>
      </c>
      <c r="G739" s="6" t="s">
        <v>1563</v>
      </c>
      <c r="I739" s="8">
        <v>83.933978541666704</v>
      </c>
      <c r="J739" s="8">
        <v>17.471342499999999</v>
      </c>
      <c r="K739" s="6" t="s">
        <v>29</v>
      </c>
      <c r="L739" s="6" t="s">
        <v>546</v>
      </c>
      <c r="M739" s="9">
        <v>43951</v>
      </c>
      <c r="O739" s="6">
        <v>31</v>
      </c>
      <c r="P739" s="6" t="s">
        <v>4373</v>
      </c>
      <c r="R739" s="6">
        <v>50</v>
      </c>
      <c r="S739" s="6">
        <v>50</v>
      </c>
      <c r="T739" s="6">
        <v>60</v>
      </c>
      <c r="U739" s="10">
        <f t="shared" si="22"/>
        <v>55</v>
      </c>
      <c r="W739" s="8">
        <v>3.8401500574685277E-2</v>
      </c>
      <c r="X739" s="8">
        <v>0.21752678333222833</v>
      </c>
      <c r="Y739" s="8">
        <f t="shared" si="23"/>
        <v>-8.9685221265253884E-2</v>
      </c>
    </row>
    <row r="740" spans="1:25" s="6" customFormat="1" x14ac:dyDescent="0.35">
      <c r="A740" s="6" t="s">
        <v>25</v>
      </c>
      <c r="B740" s="6" t="s">
        <v>1569</v>
      </c>
      <c r="D740" s="6" t="s">
        <v>1562</v>
      </c>
      <c r="E740" s="6">
        <v>3</v>
      </c>
      <c r="F740" s="6">
        <v>38</v>
      </c>
      <c r="G740" s="6" t="s">
        <v>1563</v>
      </c>
      <c r="I740" s="8">
        <v>83.933978541666704</v>
      </c>
      <c r="J740" s="8">
        <v>17.471342499999999</v>
      </c>
      <c r="K740" s="6" t="s">
        <v>29</v>
      </c>
      <c r="L740" s="6" t="s">
        <v>546</v>
      </c>
      <c r="M740" s="9">
        <v>43951</v>
      </c>
      <c r="O740" s="6">
        <v>31</v>
      </c>
      <c r="P740" s="6" t="s">
        <v>4373</v>
      </c>
      <c r="R740" s="6">
        <v>60</v>
      </c>
      <c r="S740" s="6">
        <v>60</v>
      </c>
      <c r="T740" s="6">
        <v>70</v>
      </c>
      <c r="U740" s="10">
        <f t="shared" si="22"/>
        <v>65</v>
      </c>
      <c r="W740" s="8">
        <v>-0.49624577855467794</v>
      </c>
      <c r="X740" s="8">
        <v>-3.6171543111801148</v>
      </c>
      <c r="Y740" s="8">
        <f t="shared" si="23"/>
        <v>0.35281191725730876</v>
      </c>
    </row>
    <row r="741" spans="1:25" s="6" customFormat="1" x14ac:dyDescent="0.35">
      <c r="A741" s="6" t="s">
        <v>25</v>
      </c>
      <c r="B741" s="6" t="s">
        <v>1570</v>
      </c>
      <c r="D741" s="6" t="s">
        <v>1562</v>
      </c>
      <c r="E741" s="6">
        <v>3</v>
      </c>
      <c r="F741" s="6">
        <v>38</v>
      </c>
      <c r="G741" s="6" t="s">
        <v>1563</v>
      </c>
      <c r="I741" s="8">
        <v>83.933978541666704</v>
      </c>
      <c r="J741" s="8">
        <v>17.471342499999999</v>
      </c>
      <c r="K741" s="6" t="s">
        <v>29</v>
      </c>
      <c r="L741" s="6" t="s">
        <v>546</v>
      </c>
      <c r="M741" s="9">
        <v>43951</v>
      </c>
      <c r="O741" s="6">
        <v>31</v>
      </c>
      <c r="P741" s="6" t="s">
        <v>4373</v>
      </c>
      <c r="R741" s="6">
        <v>70</v>
      </c>
      <c r="S741" s="6">
        <v>70</v>
      </c>
      <c r="T741" s="6">
        <v>80</v>
      </c>
      <c r="U741" s="10">
        <f t="shared" si="22"/>
        <v>75</v>
      </c>
      <c r="W741" s="8">
        <v>-0.89462917423248256</v>
      </c>
      <c r="X741" s="8">
        <v>-5.9666251418590557</v>
      </c>
      <c r="Y741" s="8">
        <f t="shared" si="23"/>
        <v>1.1904082520008048</v>
      </c>
    </row>
    <row r="742" spans="1:25" s="6" customFormat="1" x14ac:dyDescent="0.35">
      <c r="A742" s="6" t="s">
        <v>25</v>
      </c>
      <c r="B742" s="6" t="s">
        <v>1571</v>
      </c>
      <c r="D742" s="6" t="s">
        <v>1562</v>
      </c>
      <c r="E742" s="6">
        <v>3</v>
      </c>
      <c r="F742" s="6">
        <v>38</v>
      </c>
      <c r="G742" s="6" t="s">
        <v>1563</v>
      </c>
      <c r="I742" s="8">
        <v>83.933978541666704</v>
      </c>
      <c r="J742" s="8">
        <v>17.471342499999999</v>
      </c>
      <c r="K742" s="6" t="s">
        <v>29</v>
      </c>
      <c r="L742" s="6" t="s">
        <v>546</v>
      </c>
      <c r="M742" s="9">
        <v>43951</v>
      </c>
      <c r="O742" s="6">
        <v>31</v>
      </c>
      <c r="P742" s="6" t="s">
        <v>4373</v>
      </c>
      <c r="R742" s="6">
        <v>80</v>
      </c>
      <c r="S742" s="6">
        <v>80</v>
      </c>
      <c r="T742" s="6">
        <v>90</v>
      </c>
      <c r="U742" s="10">
        <f t="shared" si="22"/>
        <v>85</v>
      </c>
      <c r="W742" s="8">
        <v>-1.3863636408448217</v>
      </c>
      <c r="X742" s="8">
        <v>-10.768032530784605</v>
      </c>
      <c r="Y742" s="8">
        <f t="shared" si="23"/>
        <v>0.32287659597396789</v>
      </c>
    </row>
    <row r="743" spans="1:25" s="6" customFormat="1" x14ac:dyDescent="0.35">
      <c r="A743" s="6" t="s">
        <v>25</v>
      </c>
      <c r="B743" s="6" t="s">
        <v>1572</v>
      </c>
      <c r="D743" s="6" t="s">
        <v>1562</v>
      </c>
      <c r="E743" s="6">
        <v>3</v>
      </c>
      <c r="F743" s="6">
        <v>38</v>
      </c>
      <c r="G743" s="6" t="s">
        <v>1563</v>
      </c>
      <c r="I743" s="8">
        <v>83.933978541666704</v>
      </c>
      <c r="J743" s="8">
        <v>17.471342499999999</v>
      </c>
      <c r="K743" s="6" t="s">
        <v>29</v>
      </c>
      <c r="L743" s="6" t="s">
        <v>546</v>
      </c>
      <c r="M743" s="9">
        <v>43951</v>
      </c>
      <c r="O743" s="6">
        <v>31</v>
      </c>
      <c r="P743" s="6" t="s">
        <v>4373</v>
      </c>
      <c r="R743" s="6">
        <v>90</v>
      </c>
      <c r="S743" s="6">
        <v>90</v>
      </c>
      <c r="T743" s="6">
        <v>100</v>
      </c>
      <c r="U743" s="10">
        <f t="shared" si="22"/>
        <v>95</v>
      </c>
      <c r="W743" s="8">
        <v>-1.6658117322325703</v>
      </c>
      <c r="X743" s="8">
        <v>-13.371871840000153</v>
      </c>
      <c r="Y743" s="8">
        <f t="shared" si="23"/>
        <v>-4.5377982139591211E-2</v>
      </c>
    </row>
    <row r="744" spans="1:25" s="6" customFormat="1" x14ac:dyDescent="0.35">
      <c r="A744" s="6" t="s">
        <v>25</v>
      </c>
      <c r="B744" s="6" t="s">
        <v>1573</v>
      </c>
      <c r="D744" s="6" t="s">
        <v>1562</v>
      </c>
      <c r="E744" s="6">
        <v>3</v>
      </c>
      <c r="F744" s="6">
        <v>38</v>
      </c>
      <c r="G744" s="6" t="s">
        <v>1563</v>
      </c>
      <c r="I744" s="8">
        <v>83.933978541666704</v>
      </c>
      <c r="J744" s="8">
        <v>17.471342499999999</v>
      </c>
      <c r="K744" s="6" t="s">
        <v>29</v>
      </c>
      <c r="L744" s="6" t="s">
        <v>546</v>
      </c>
      <c r="M744" s="9">
        <v>43951</v>
      </c>
      <c r="O744" s="6">
        <v>31</v>
      </c>
      <c r="P744" s="6" t="s">
        <v>4373</v>
      </c>
      <c r="R744" s="6">
        <v>100</v>
      </c>
      <c r="S744" s="6">
        <v>100</v>
      </c>
      <c r="T744" s="6">
        <v>111</v>
      </c>
      <c r="U744" s="10">
        <f t="shared" si="22"/>
        <v>105.5</v>
      </c>
      <c r="W744" s="8">
        <v>-1.7751289467215536</v>
      </c>
      <c r="X744" s="8">
        <v>-13.734113301753997</v>
      </c>
      <c r="Y744" s="8">
        <f t="shared" si="23"/>
        <v>0.46691827201843239</v>
      </c>
    </row>
    <row r="745" spans="1:25" s="6" customFormat="1" x14ac:dyDescent="0.35">
      <c r="A745" s="6" t="s">
        <v>25</v>
      </c>
      <c r="B745" s="6" t="s">
        <v>1574</v>
      </c>
      <c r="D745" s="6" t="s">
        <v>1562</v>
      </c>
      <c r="E745" s="6">
        <v>3</v>
      </c>
      <c r="F745" s="6">
        <v>38</v>
      </c>
      <c r="G745" s="6" t="s">
        <v>1563</v>
      </c>
      <c r="I745" s="8">
        <v>83.933978541666704</v>
      </c>
      <c r="J745" s="8">
        <v>17.471342499999999</v>
      </c>
      <c r="K745" s="6" t="s">
        <v>29</v>
      </c>
      <c r="L745" s="6" t="s">
        <v>546</v>
      </c>
      <c r="M745" s="9">
        <v>43951</v>
      </c>
      <c r="O745" s="6">
        <v>31</v>
      </c>
      <c r="P745" s="6" t="s">
        <v>4373</v>
      </c>
      <c r="R745" s="6">
        <v>111</v>
      </c>
      <c r="S745" s="6">
        <v>111</v>
      </c>
      <c r="T745" s="6">
        <v>121</v>
      </c>
      <c r="U745" s="10">
        <f t="shared" si="22"/>
        <v>116</v>
      </c>
      <c r="W745" s="8">
        <v>-1.0942649794936181</v>
      </c>
      <c r="X745" s="8">
        <v>-8.2793221889019026</v>
      </c>
      <c r="Y745" s="8">
        <f t="shared" si="23"/>
        <v>0.4747976470470423</v>
      </c>
    </row>
    <row r="746" spans="1:25" s="6" customFormat="1" x14ac:dyDescent="0.35">
      <c r="A746" s="6" t="s">
        <v>25</v>
      </c>
      <c r="B746" s="6" t="s">
        <v>1575</v>
      </c>
      <c r="D746" s="6" t="s">
        <v>1562</v>
      </c>
      <c r="E746" s="6">
        <v>3</v>
      </c>
      <c r="F746" s="6">
        <v>38</v>
      </c>
      <c r="G746" s="6" t="s">
        <v>1563</v>
      </c>
      <c r="I746" s="8">
        <v>83.933978541666704</v>
      </c>
      <c r="J746" s="8">
        <v>17.471342499999999</v>
      </c>
      <c r="K746" s="6" t="s">
        <v>29</v>
      </c>
      <c r="L746" s="6" t="s">
        <v>546</v>
      </c>
      <c r="M746" s="9">
        <v>43951</v>
      </c>
      <c r="O746" s="6">
        <v>31</v>
      </c>
      <c r="P746" s="6" t="s">
        <v>4373</v>
      </c>
      <c r="R746" s="6">
        <v>121</v>
      </c>
      <c r="S746" s="6">
        <v>121</v>
      </c>
      <c r="T746" s="6">
        <v>131</v>
      </c>
      <c r="U746" s="10">
        <f t="shared" si="22"/>
        <v>126</v>
      </c>
      <c r="W746" s="8">
        <v>-0.28130208852887145</v>
      </c>
      <c r="X746" s="8">
        <v>-2.0180684978961949</v>
      </c>
      <c r="Y746" s="8">
        <f t="shared" si="23"/>
        <v>0.23234821033477671</v>
      </c>
    </row>
    <row r="747" spans="1:25" s="6" customFormat="1" x14ac:dyDescent="0.35">
      <c r="A747" s="6" t="s">
        <v>25</v>
      </c>
      <c r="B747" s="6" t="s">
        <v>1576</v>
      </c>
      <c r="D747" s="6" t="s">
        <v>1562</v>
      </c>
      <c r="E747" s="6">
        <v>3</v>
      </c>
      <c r="F747" s="6">
        <v>38</v>
      </c>
      <c r="G747" s="6" t="s">
        <v>1563</v>
      </c>
      <c r="I747" s="8">
        <v>83.933978541666704</v>
      </c>
      <c r="J747" s="8">
        <v>17.471342499999999</v>
      </c>
      <c r="K747" s="6" t="s">
        <v>29</v>
      </c>
      <c r="L747" s="6" t="s">
        <v>546</v>
      </c>
      <c r="M747" s="9">
        <v>43951</v>
      </c>
      <c r="O747" s="6">
        <v>31</v>
      </c>
      <c r="P747" s="6" t="s">
        <v>4373</v>
      </c>
      <c r="R747" s="6">
        <v>131</v>
      </c>
      <c r="S747" s="6">
        <v>131</v>
      </c>
      <c r="T747" s="6">
        <v>141</v>
      </c>
      <c r="U747" s="10">
        <f t="shared" si="22"/>
        <v>136</v>
      </c>
      <c r="W747" s="8">
        <v>-0.24593264961242653</v>
      </c>
      <c r="X747" s="8">
        <v>-1.6769638592004774</v>
      </c>
      <c r="Y747" s="8">
        <f t="shared" si="23"/>
        <v>0.29049733769893482</v>
      </c>
    </row>
    <row r="748" spans="1:25" s="6" customFormat="1" x14ac:dyDescent="0.35">
      <c r="A748" s="6" t="s">
        <v>25</v>
      </c>
      <c r="B748" s="6" t="s">
        <v>1577</v>
      </c>
      <c r="D748" s="6" t="s">
        <v>1562</v>
      </c>
      <c r="E748" s="6">
        <v>3</v>
      </c>
      <c r="F748" s="6">
        <v>38</v>
      </c>
      <c r="G748" s="6" t="s">
        <v>1563</v>
      </c>
      <c r="I748" s="8">
        <v>83.933978541666704</v>
      </c>
      <c r="J748" s="8">
        <v>17.471342499999999</v>
      </c>
      <c r="K748" s="6" t="s">
        <v>29</v>
      </c>
      <c r="L748" s="6" t="s">
        <v>546</v>
      </c>
      <c r="M748" s="9">
        <v>43951</v>
      </c>
      <c r="O748" s="6">
        <v>31</v>
      </c>
      <c r="P748" s="6" t="s">
        <v>4373</v>
      </c>
      <c r="R748" s="6">
        <v>141</v>
      </c>
      <c r="S748" s="6">
        <v>141</v>
      </c>
      <c r="T748" s="6">
        <v>151</v>
      </c>
      <c r="U748" s="10">
        <f t="shared" si="22"/>
        <v>146</v>
      </c>
      <c r="W748" s="8">
        <v>0.16139148085415372</v>
      </c>
      <c r="X748" s="8">
        <v>1.4663522281944754</v>
      </c>
      <c r="Y748" s="8">
        <f t="shared" si="23"/>
        <v>0.17522038136124563</v>
      </c>
    </row>
    <row r="749" spans="1:25" s="6" customFormat="1" x14ac:dyDescent="0.35">
      <c r="A749" s="6" t="s">
        <v>25</v>
      </c>
      <c r="B749" s="6" t="s">
        <v>1578</v>
      </c>
      <c r="D749" s="6" t="s">
        <v>1562</v>
      </c>
      <c r="E749" s="6">
        <v>3</v>
      </c>
      <c r="F749" s="6">
        <v>38</v>
      </c>
      <c r="G749" s="6" t="s">
        <v>1563</v>
      </c>
      <c r="I749" s="8">
        <v>83.933978541666704</v>
      </c>
      <c r="J749" s="8">
        <v>17.471342499999999</v>
      </c>
      <c r="K749" s="6" t="s">
        <v>29</v>
      </c>
      <c r="L749" s="6" t="s">
        <v>546</v>
      </c>
      <c r="M749" s="9">
        <v>43951</v>
      </c>
      <c r="O749" s="6">
        <v>31</v>
      </c>
      <c r="P749" s="6" t="s">
        <v>4373</v>
      </c>
      <c r="R749" s="6">
        <v>151</v>
      </c>
      <c r="S749" s="6">
        <v>151</v>
      </c>
      <c r="T749" s="6">
        <v>161</v>
      </c>
      <c r="U749" s="10">
        <f t="shared" si="22"/>
        <v>156</v>
      </c>
      <c r="W749" s="8">
        <v>-5.2906594356894904E-2</v>
      </c>
      <c r="X749" s="8">
        <v>-0.77357858031988169</v>
      </c>
      <c r="Y749" s="8">
        <f t="shared" si="23"/>
        <v>-0.35032582546472246</v>
      </c>
    </row>
    <row r="750" spans="1:25" s="6" customFormat="1" x14ac:dyDescent="0.35">
      <c r="A750" s="6" t="s">
        <v>25</v>
      </c>
      <c r="B750" s="6" t="s">
        <v>1579</v>
      </c>
      <c r="D750" s="6" t="s">
        <v>1562</v>
      </c>
      <c r="E750" s="6">
        <v>3</v>
      </c>
      <c r="F750" s="6">
        <v>38</v>
      </c>
      <c r="G750" s="6" t="s">
        <v>1563</v>
      </c>
      <c r="I750" s="8">
        <v>83.933978541666704</v>
      </c>
      <c r="J750" s="8">
        <v>17.471342499999999</v>
      </c>
      <c r="K750" s="6" t="s">
        <v>29</v>
      </c>
      <c r="L750" s="6" t="s">
        <v>546</v>
      </c>
      <c r="M750" s="9">
        <v>43951</v>
      </c>
      <c r="O750" s="6">
        <v>31</v>
      </c>
      <c r="P750" s="6" t="s">
        <v>4373</v>
      </c>
      <c r="R750" s="6">
        <v>161</v>
      </c>
      <c r="S750" s="6">
        <v>161</v>
      </c>
      <c r="T750" s="6">
        <v>171</v>
      </c>
      <c r="U750" s="10">
        <f t="shared" si="22"/>
        <v>166</v>
      </c>
      <c r="W750" s="8">
        <v>-0.20335263968110112</v>
      </c>
      <c r="X750" s="8">
        <v>-1.1926891236305237</v>
      </c>
      <c r="Y750" s="8">
        <f t="shared" si="23"/>
        <v>0.43413199381828527</v>
      </c>
    </row>
    <row r="751" spans="1:25" s="6" customFormat="1" x14ac:dyDescent="0.35">
      <c r="A751" s="6" t="s">
        <v>25</v>
      </c>
      <c r="B751" s="6" t="s">
        <v>1580</v>
      </c>
      <c r="D751" s="6" t="s">
        <v>1562</v>
      </c>
      <c r="E751" s="6">
        <v>3</v>
      </c>
      <c r="F751" s="6">
        <v>38</v>
      </c>
      <c r="G751" s="6" t="s">
        <v>1563</v>
      </c>
      <c r="I751" s="8">
        <v>83.933978541666704</v>
      </c>
      <c r="J751" s="8">
        <v>17.471342499999999</v>
      </c>
      <c r="K751" s="6" t="s">
        <v>29</v>
      </c>
      <c r="L751" s="6" t="s">
        <v>546</v>
      </c>
      <c r="M751" s="9">
        <v>43951</v>
      </c>
      <c r="O751" s="6">
        <v>31</v>
      </c>
      <c r="P751" s="6" t="s">
        <v>4373</v>
      </c>
      <c r="R751" s="6">
        <v>171</v>
      </c>
      <c r="S751" s="6">
        <v>171</v>
      </c>
      <c r="T751" s="6">
        <v>181</v>
      </c>
      <c r="U751" s="10">
        <f t="shared" si="22"/>
        <v>176</v>
      </c>
      <c r="W751" s="8">
        <v>-0.13956105876565</v>
      </c>
      <c r="X751" s="8">
        <v>-0.87538101983070349</v>
      </c>
      <c r="Y751" s="8">
        <f t="shared" si="23"/>
        <v>0.24110745029449654</v>
      </c>
    </row>
    <row r="752" spans="1:25" s="6" customFormat="1" x14ac:dyDescent="0.35">
      <c r="A752" s="6" t="s">
        <v>25</v>
      </c>
      <c r="B752" s="6" t="s">
        <v>1581</v>
      </c>
      <c r="D752" s="6" t="s">
        <v>1562</v>
      </c>
      <c r="E752" s="6">
        <v>3</v>
      </c>
      <c r="F752" s="6">
        <v>38</v>
      </c>
      <c r="G752" s="6" t="s">
        <v>1563</v>
      </c>
      <c r="I752" s="8">
        <v>83.933978541666704</v>
      </c>
      <c r="J752" s="8">
        <v>17.471342499999999</v>
      </c>
      <c r="K752" s="6" t="s">
        <v>29</v>
      </c>
      <c r="L752" s="6" t="s">
        <v>546</v>
      </c>
      <c r="M752" s="9">
        <v>43951</v>
      </c>
      <c r="O752" s="6">
        <v>31</v>
      </c>
      <c r="P752" s="6" t="s">
        <v>4373</v>
      </c>
      <c r="R752" s="6">
        <v>181</v>
      </c>
      <c r="S752" s="6">
        <v>181</v>
      </c>
      <c r="T752" s="6">
        <v>191</v>
      </c>
      <c r="U752" s="10">
        <f t="shared" si="22"/>
        <v>186</v>
      </c>
      <c r="W752" s="8">
        <v>0.28823290141820912</v>
      </c>
      <c r="X752" s="8">
        <v>2.5154360799789433</v>
      </c>
      <c r="Y752" s="8">
        <f t="shared" si="23"/>
        <v>0.20957286863327029</v>
      </c>
    </row>
    <row r="753" spans="1:25" s="6" customFormat="1" x14ac:dyDescent="0.35">
      <c r="A753" s="6" t="s">
        <v>25</v>
      </c>
      <c r="B753" s="6" t="s">
        <v>1582</v>
      </c>
      <c r="D753" s="6" t="s">
        <v>1562</v>
      </c>
      <c r="E753" s="6">
        <v>3</v>
      </c>
      <c r="F753" s="6">
        <v>38</v>
      </c>
      <c r="G753" s="6" t="s">
        <v>1563</v>
      </c>
      <c r="I753" s="8">
        <v>83.933978541666704</v>
      </c>
      <c r="J753" s="8">
        <v>17.471342499999999</v>
      </c>
      <c r="K753" s="6" t="s">
        <v>29</v>
      </c>
      <c r="L753" s="6" t="s">
        <v>546</v>
      </c>
      <c r="M753" s="9">
        <v>43951</v>
      </c>
      <c r="O753" s="6">
        <v>31</v>
      </c>
      <c r="P753" s="6" t="s">
        <v>4373</v>
      </c>
      <c r="R753" s="6">
        <v>191</v>
      </c>
      <c r="S753" s="6">
        <v>191</v>
      </c>
      <c r="T753" s="6">
        <v>203</v>
      </c>
      <c r="U753" s="10">
        <f t="shared" si="22"/>
        <v>197</v>
      </c>
      <c r="W753" s="8">
        <v>0.57587760534286536</v>
      </c>
      <c r="X753" s="8">
        <v>4.9153060812950153</v>
      </c>
      <c r="Y753" s="8">
        <f t="shared" si="23"/>
        <v>0.30828523855209244</v>
      </c>
    </row>
    <row r="754" spans="1:25" s="6" customFormat="1" x14ac:dyDescent="0.35">
      <c r="A754" s="6" t="s">
        <v>25</v>
      </c>
      <c r="B754" s="6" t="s">
        <v>1583</v>
      </c>
      <c r="D754" s="6" t="s">
        <v>1562</v>
      </c>
      <c r="E754" s="6">
        <v>3</v>
      </c>
      <c r="F754" s="6">
        <v>38</v>
      </c>
      <c r="G754" s="6" t="s">
        <v>1563</v>
      </c>
      <c r="I754" s="8">
        <v>83.933978541666704</v>
      </c>
      <c r="J754" s="8">
        <v>17.471342499999999</v>
      </c>
      <c r="K754" s="6" t="s">
        <v>29</v>
      </c>
      <c r="L754" s="6" t="s">
        <v>546</v>
      </c>
      <c r="M754" s="9">
        <v>43951</v>
      </c>
      <c r="O754" s="6">
        <v>31</v>
      </c>
      <c r="P754" s="6" t="s">
        <v>4373</v>
      </c>
      <c r="R754" s="6">
        <v>203</v>
      </c>
      <c r="S754" s="6">
        <v>203</v>
      </c>
      <c r="T754" s="6">
        <v>215</v>
      </c>
      <c r="U754" s="10">
        <f t="shared" si="22"/>
        <v>209</v>
      </c>
      <c r="W754" s="8">
        <v>1.1684033017396929</v>
      </c>
      <c r="X754" s="8">
        <v>9.5417736034393315</v>
      </c>
      <c r="Y754" s="8">
        <f t="shared" si="23"/>
        <v>0.19454718952178851</v>
      </c>
    </row>
    <row r="755" spans="1:25" s="6" customFormat="1" x14ac:dyDescent="0.35">
      <c r="A755" s="6" t="s">
        <v>25</v>
      </c>
      <c r="B755" s="6" t="s">
        <v>1618</v>
      </c>
      <c r="D755" s="6" t="s">
        <v>1619</v>
      </c>
      <c r="E755" s="6">
        <v>3</v>
      </c>
      <c r="F755" s="6">
        <v>39</v>
      </c>
      <c r="G755" s="6" t="s">
        <v>202</v>
      </c>
      <c r="I755" s="8">
        <v>83.907985999999994</v>
      </c>
      <c r="J755" s="8">
        <v>18.352126999999999</v>
      </c>
      <c r="K755" s="6" t="s">
        <v>29</v>
      </c>
      <c r="L755" s="6" t="s">
        <v>335</v>
      </c>
      <c r="M755" s="9">
        <v>43955</v>
      </c>
      <c r="O755" s="6">
        <v>32</v>
      </c>
      <c r="P755" s="6" t="s">
        <v>4374</v>
      </c>
      <c r="R755" s="6">
        <v>0</v>
      </c>
      <c r="S755" s="6">
        <v>0</v>
      </c>
      <c r="T755" s="6">
        <v>5</v>
      </c>
      <c r="U755" s="10">
        <f t="shared" si="22"/>
        <v>2.5</v>
      </c>
      <c r="W755" s="8">
        <v>-1.9045971343517305</v>
      </c>
      <c r="X755" s="8">
        <v>-19.17640312194824</v>
      </c>
      <c r="Y755" s="8">
        <f t="shared" si="23"/>
        <v>-3.9396260471343965</v>
      </c>
    </row>
    <row r="756" spans="1:25" s="6" customFormat="1" x14ac:dyDescent="0.35">
      <c r="A756" s="6" t="s">
        <v>25</v>
      </c>
      <c r="B756" s="6" t="s">
        <v>1620</v>
      </c>
      <c r="D756" s="6" t="s">
        <v>1619</v>
      </c>
      <c r="E756" s="6">
        <v>3</v>
      </c>
      <c r="F756" s="6">
        <v>39</v>
      </c>
      <c r="G756" s="6" t="s">
        <v>202</v>
      </c>
      <c r="I756" s="8">
        <v>83.907985999999994</v>
      </c>
      <c r="J756" s="8">
        <v>18.352126999999999</v>
      </c>
      <c r="K756" s="6" t="s">
        <v>29</v>
      </c>
      <c r="L756" s="6" t="s">
        <v>335</v>
      </c>
      <c r="M756" s="9">
        <v>43955</v>
      </c>
      <c r="O756" s="6">
        <v>32</v>
      </c>
      <c r="P756" s="6" t="s">
        <v>4374</v>
      </c>
      <c r="R756" s="6">
        <v>5</v>
      </c>
      <c r="S756" s="6">
        <v>5</v>
      </c>
      <c r="T756" s="6">
        <v>10</v>
      </c>
      <c r="U756" s="10">
        <f t="shared" si="22"/>
        <v>7.5</v>
      </c>
      <c r="W756" s="8">
        <v>-0.72398934817314164</v>
      </c>
      <c r="X756" s="8">
        <v>-5.4612915134429949</v>
      </c>
      <c r="Y756" s="8">
        <f t="shared" si="23"/>
        <v>0.33062327194213825</v>
      </c>
    </row>
    <row r="757" spans="1:25" s="6" customFormat="1" x14ac:dyDescent="0.35">
      <c r="A757" s="6" t="s">
        <v>25</v>
      </c>
      <c r="B757" s="6" t="s">
        <v>1621</v>
      </c>
      <c r="D757" s="6" t="s">
        <v>1619</v>
      </c>
      <c r="E757" s="6">
        <v>3</v>
      </c>
      <c r="F757" s="6">
        <v>39</v>
      </c>
      <c r="G757" s="6" t="s">
        <v>202</v>
      </c>
      <c r="I757" s="8">
        <v>83.907985999999994</v>
      </c>
      <c r="J757" s="8">
        <v>18.352126999999999</v>
      </c>
      <c r="K757" s="6" t="s">
        <v>29</v>
      </c>
      <c r="L757" s="6" t="s">
        <v>335</v>
      </c>
      <c r="M757" s="9">
        <v>43955</v>
      </c>
      <c r="O757" s="6">
        <v>32</v>
      </c>
      <c r="P757" s="6" t="s">
        <v>4374</v>
      </c>
      <c r="R757" s="6">
        <v>10</v>
      </c>
      <c r="S757" s="6">
        <v>10</v>
      </c>
      <c r="T757" s="6">
        <v>20</v>
      </c>
      <c r="U757" s="10">
        <f t="shared" si="22"/>
        <v>15</v>
      </c>
      <c r="W757" s="8">
        <v>3.7845882466994607E-2</v>
      </c>
      <c r="X757" s="8">
        <v>8.1843987442552918E-2</v>
      </c>
      <c r="Y757" s="8">
        <f t="shared" si="23"/>
        <v>-0.22092307229340394</v>
      </c>
    </row>
    <row r="758" spans="1:25" s="6" customFormat="1" x14ac:dyDescent="0.35">
      <c r="A758" s="6" t="s">
        <v>25</v>
      </c>
      <c r="B758" s="6" t="s">
        <v>1622</v>
      </c>
      <c r="D758" s="6" t="s">
        <v>1619</v>
      </c>
      <c r="E758" s="6">
        <v>3</v>
      </c>
      <c r="F758" s="6">
        <v>39</v>
      </c>
      <c r="G758" s="6" t="s">
        <v>202</v>
      </c>
      <c r="I758" s="8">
        <v>83.907985999999994</v>
      </c>
      <c r="J758" s="8">
        <v>18.352126999999999</v>
      </c>
      <c r="K758" s="6" t="s">
        <v>29</v>
      </c>
      <c r="L758" s="6" t="s">
        <v>335</v>
      </c>
      <c r="M758" s="9">
        <v>43955</v>
      </c>
      <c r="O758" s="6">
        <v>32</v>
      </c>
      <c r="P758" s="6" t="s">
        <v>4374</v>
      </c>
      <c r="R758" s="6">
        <v>20</v>
      </c>
      <c r="S758" s="6">
        <v>20</v>
      </c>
      <c r="T758" s="6">
        <v>30</v>
      </c>
      <c r="U758" s="10">
        <f t="shared" si="22"/>
        <v>25</v>
      </c>
      <c r="W758" s="8">
        <v>0.19711091512441592</v>
      </c>
      <c r="X758" s="8">
        <v>1.2330885803699492</v>
      </c>
      <c r="Y758" s="8">
        <f t="shared" si="23"/>
        <v>-0.34379874062537819</v>
      </c>
    </row>
    <row r="759" spans="1:25" s="6" customFormat="1" x14ac:dyDescent="0.35">
      <c r="A759" s="6" t="s">
        <v>25</v>
      </c>
      <c r="B759" s="6" t="s">
        <v>1623</v>
      </c>
      <c r="D759" s="6" t="s">
        <v>1619</v>
      </c>
      <c r="E759" s="6">
        <v>3</v>
      </c>
      <c r="F759" s="6">
        <v>39</v>
      </c>
      <c r="G759" s="6" t="s">
        <v>202</v>
      </c>
      <c r="I759" s="8">
        <v>83.907985999999994</v>
      </c>
      <c r="J759" s="8">
        <v>18.352126999999999</v>
      </c>
      <c r="K759" s="6" t="s">
        <v>29</v>
      </c>
      <c r="L759" s="6" t="s">
        <v>335</v>
      </c>
      <c r="M759" s="9">
        <v>43955</v>
      </c>
      <c r="O759" s="6">
        <v>32</v>
      </c>
      <c r="P759" s="6" t="s">
        <v>4374</v>
      </c>
      <c r="R759" s="6">
        <v>30</v>
      </c>
      <c r="S759" s="6">
        <v>30</v>
      </c>
      <c r="T759" s="6">
        <v>40</v>
      </c>
      <c r="U759" s="10">
        <f t="shared" si="22"/>
        <v>35</v>
      </c>
      <c r="W759" s="8">
        <v>1.1280352159738545</v>
      </c>
      <c r="X759" s="8">
        <v>9.5442794752120967</v>
      </c>
      <c r="Y759" s="8">
        <f t="shared" si="23"/>
        <v>0.51999774742126093</v>
      </c>
    </row>
    <row r="760" spans="1:25" s="6" customFormat="1" x14ac:dyDescent="0.35">
      <c r="A760" s="6" t="s">
        <v>25</v>
      </c>
      <c r="B760" s="6" t="s">
        <v>1624</v>
      </c>
      <c r="D760" s="6" t="s">
        <v>1619</v>
      </c>
      <c r="E760" s="6">
        <v>3</v>
      </c>
      <c r="F760" s="6">
        <v>39</v>
      </c>
      <c r="G760" s="6" t="s">
        <v>202</v>
      </c>
      <c r="I760" s="8">
        <v>83.907985999999994</v>
      </c>
      <c r="J760" s="8">
        <v>18.352126999999999</v>
      </c>
      <c r="K760" s="6" t="s">
        <v>29</v>
      </c>
      <c r="L760" s="6" t="s">
        <v>335</v>
      </c>
      <c r="M760" s="9">
        <v>43955</v>
      </c>
      <c r="O760" s="6">
        <v>32</v>
      </c>
      <c r="P760" s="6" t="s">
        <v>4374</v>
      </c>
      <c r="R760" s="6">
        <v>40</v>
      </c>
      <c r="S760" s="6">
        <v>40</v>
      </c>
      <c r="T760" s="6">
        <v>50</v>
      </c>
      <c r="U760" s="10">
        <f t="shared" si="22"/>
        <v>45</v>
      </c>
      <c r="W760" s="8">
        <v>0.82056302779912971</v>
      </c>
      <c r="X760" s="8">
        <v>6.3237653613090519</v>
      </c>
      <c r="Y760" s="8">
        <f t="shared" si="23"/>
        <v>-0.24073886108398579</v>
      </c>
    </row>
    <row r="761" spans="1:25" s="6" customFormat="1" x14ac:dyDescent="0.35">
      <c r="A761" s="6" t="s">
        <v>25</v>
      </c>
      <c r="B761" s="6" t="s">
        <v>1625</v>
      </c>
      <c r="D761" s="6" t="s">
        <v>1619</v>
      </c>
      <c r="E761" s="6">
        <v>3</v>
      </c>
      <c r="F761" s="6">
        <v>39</v>
      </c>
      <c r="G761" s="6" t="s">
        <v>202</v>
      </c>
      <c r="I761" s="8">
        <v>83.907985999999994</v>
      </c>
      <c r="J761" s="8">
        <v>18.352126999999999</v>
      </c>
      <c r="K761" s="6" t="s">
        <v>29</v>
      </c>
      <c r="L761" s="6" t="s">
        <v>335</v>
      </c>
      <c r="M761" s="9">
        <v>43955</v>
      </c>
      <c r="O761" s="6">
        <v>32</v>
      </c>
      <c r="P761" s="6" t="s">
        <v>4374</v>
      </c>
      <c r="R761" s="6">
        <v>50</v>
      </c>
      <c r="S761" s="6">
        <v>50</v>
      </c>
      <c r="T761" s="6">
        <v>60</v>
      </c>
      <c r="U761" s="10">
        <f t="shared" si="22"/>
        <v>55</v>
      </c>
      <c r="W761" s="8">
        <v>0.83967928701639183</v>
      </c>
      <c r="X761" s="8">
        <v>6.7378712439537045</v>
      </c>
      <c r="Y761" s="8">
        <f t="shared" si="23"/>
        <v>2.0436947822569884E-2</v>
      </c>
    </row>
    <row r="762" spans="1:25" s="6" customFormat="1" x14ac:dyDescent="0.35">
      <c r="A762" s="6" t="s">
        <v>25</v>
      </c>
      <c r="B762" s="6" t="s">
        <v>1626</v>
      </c>
      <c r="D762" s="6" t="s">
        <v>1619</v>
      </c>
      <c r="E762" s="6">
        <v>3</v>
      </c>
      <c r="F762" s="6">
        <v>39</v>
      </c>
      <c r="G762" s="6" t="s">
        <v>202</v>
      </c>
      <c r="I762" s="8">
        <v>83.907985999999994</v>
      </c>
      <c r="J762" s="8">
        <v>18.352126999999999</v>
      </c>
      <c r="K762" s="6" t="s">
        <v>29</v>
      </c>
      <c r="L762" s="6" t="s">
        <v>335</v>
      </c>
      <c r="M762" s="9">
        <v>43955</v>
      </c>
      <c r="O762" s="6">
        <v>32</v>
      </c>
      <c r="P762" s="6" t="s">
        <v>4374</v>
      </c>
      <c r="R762" s="6">
        <v>60</v>
      </c>
      <c r="S762" s="6">
        <v>60</v>
      </c>
      <c r="T762" s="6">
        <v>70</v>
      </c>
      <c r="U762" s="10">
        <f t="shared" si="22"/>
        <v>65</v>
      </c>
      <c r="W762" s="8">
        <v>0.53602601373195669</v>
      </c>
      <c r="X762" s="8">
        <v>4.5841264009475706</v>
      </c>
      <c r="Y762" s="8">
        <f t="shared" si="23"/>
        <v>0.29591829109191714</v>
      </c>
    </row>
    <row r="763" spans="1:25" s="6" customFormat="1" x14ac:dyDescent="0.35">
      <c r="A763" s="6" t="s">
        <v>25</v>
      </c>
      <c r="B763" s="6" t="s">
        <v>1627</v>
      </c>
      <c r="D763" s="6" t="s">
        <v>1619</v>
      </c>
      <c r="E763" s="6">
        <v>3</v>
      </c>
      <c r="F763" s="6">
        <v>39</v>
      </c>
      <c r="G763" s="6" t="s">
        <v>202</v>
      </c>
      <c r="I763" s="8">
        <v>83.907985999999994</v>
      </c>
      <c r="J763" s="8">
        <v>18.352126999999999</v>
      </c>
      <c r="K763" s="6" t="s">
        <v>29</v>
      </c>
      <c r="L763" s="6" t="s">
        <v>335</v>
      </c>
      <c r="M763" s="9">
        <v>43955</v>
      </c>
      <c r="O763" s="6">
        <v>32</v>
      </c>
      <c r="P763" s="6" t="s">
        <v>4374</v>
      </c>
      <c r="R763" s="6">
        <v>70</v>
      </c>
      <c r="S763" s="6">
        <v>70</v>
      </c>
      <c r="T763" s="6">
        <v>80</v>
      </c>
      <c r="U763" s="10">
        <f t="shared" si="22"/>
        <v>75</v>
      </c>
      <c r="W763" s="8">
        <v>0.1279898035423461</v>
      </c>
      <c r="X763" s="8">
        <v>1.2108330503821372</v>
      </c>
      <c r="Y763" s="8">
        <f t="shared" si="23"/>
        <v>0.18691462204336839</v>
      </c>
    </row>
    <row r="764" spans="1:25" s="6" customFormat="1" x14ac:dyDescent="0.35">
      <c r="A764" s="6" t="s">
        <v>25</v>
      </c>
      <c r="B764" s="6" t="s">
        <v>1628</v>
      </c>
      <c r="D764" s="6" t="s">
        <v>1619</v>
      </c>
      <c r="E764" s="6">
        <v>3</v>
      </c>
      <c r="F764" s="6">
        <v>39</v>
      </c>
      <c r="G764" s="6" t="s">
        <v>202</v>
      </c>
      <c r="I764" s="8">
        <v>83.907985999999994</v>
      </c>
      <c r="J764" s="8">
        <v>18.352126999999999</v>
      </c>
      <c r="K764" s="6" t="s">
        <v>29</v>
      </c>
      <c r="L764" s="6" t="s">
        <v>335</v>
      </c>
      <c r="M764" s="9">
        <v>43955</v>
      </c>
      <c r="O764" s="6">
        <v>32</v>
      </c>
      <c r="P764" s="6" t="s">
        <v>4374</v>
      </c>
      <c r="R764" s="6">
        <v>80</v>
      </c>
      <c r="S764" s="6">
        <v>80</v>
      </c>
      <c r="T764" s="6">
        <v>90</v>
      </c>
      <c r="U764" s="10">
        <f t="shared" si="22"/>
        <v>85</v>
      </c>
      <c r="W764" s="8">
        <v>-1.7423339401408711E-2</v>
      </c>
      <c r="X764" s="8">
        <v>-3.7536944366246563E-2</v>
      </c>
      <c r="Y764" s="8">
        <f t="shared" si="23"/>
        <v>0.10184977084502313</v>
      </c>
    </row>
    <row r="765" spans="1:25" s="6" customFormat="1" x14ac:dyDescent="0.35">
      <c r="A765" s="6" t="s">
        <v>25</v>
      </c>
      <c r="B765" s="6" t="s">
        <v>1629</v>
      </c>
      <c r="D765" s="6" t="s">
        <v>1619</v>
      </c>
      <c r="E765" s="6">
        <v>3</v>
      </c>
      <c r="F765" s="6">
        <v>39</v>
      </c>
      <c r="G765" s="6" t="s">
        <v>202</v>
      </c>
      <c r="I765" s="8">
        <v>83.907985999999994</v>
      </c>
      <c r="J765" s="8">
        <v>18.352126999999999</v>
      </c>
      <c r="K765" s="6" t="s">
        <v>29</v>
      </c>
      <c r="L765" s="6" t="s">
        <v>335</v>
      </c>
      <c r="M765" s="9">
        <v>43955</v>
      </c>
      <c r="O765" s="6">
        <v>32</v>
      </c>
      <c r="P765" s="6" t="s">
        <v>4374</v>
      </c>
      <c r="R765" s="6">
        <v>90</v>
      </c>
      <c r="S765" s="6">
        <v>90</v>
      </c>
      <c r="T765" s="6">
        <v>100</v>
      </c>
      <c r="U765" s="10">
        <f t="shared" si="22"/>
        <v>95</v>
      </c>
      <c r="W765" s="8">
        <v>-0.26663257787287248</v>
      </c>
      <c r="X765" s="8">
        <v>-1.5511846114277841</v>
      </c>
      <c r="Y765" s="8">
        <f t="shared" si="23"/>
        <v>0.58187601155519575</v>
      </c>
    </row>
    <row r="766" spans="1:25" s="6" customFormat="1" x14ac:dyDescent="0.35">
      <c r="A766" s="6" t="s">
        <v>25</v>
      </c>
      <c r="B766" s="6" t="s">
        <v>1630</v>
      </c>
      <c r="D766" s="6" t="s">
        <v>1619</v>
      </c>
      <c r="E766" s="6">
        <v>3</v>
      </c>
      <c r="F766" s="6">
        <v>39</v>
      </c>
      <c r="G766" s="6" t="s">
        <v>202</v>
      </c>
      <c r="I766" s="8">
        <v>83.907985999999994</v>
      </c>
      <c r="J766" s="8">
        <v>18.352126999999999</v>
      </c>
      <c r="K766" s="6" t="s">
        <v>29</v>
      </c>
      <c r="L766" s="6" t="s">
        <v>335</v>
      </c>
      <c r="M766" s="9">
        <v>43955</v>
      </c>
      <c r="O766" s="6">
        <v>32</v>
      </c>
      <c r="P766" s="6" t="s">
        <v>4374</v>
      </c>
      <c r="R766" s="6">
        <v>100</v>
      </c>
      <c r="S766" s="6">
        <v>100</v>
      </c>
      <c r="T766" s="6">
        <v>110</v>
      </c>
      <c r="U766" s="10">
        <f t="shared" si="22"/>
        <v>105</v>
      </c>
      <c r="W766" s="8">
        <v>-0.18190627457916725</v>
      </c>
      <c r="X766" s="8">
        <v>-1.0442152819633488</v>
      </c>
      <c r="Y766" s="8">
        <f t="shared" si="23"/>
        <v>0.4110349146699892</v>
      </c>
    </row>
    <row r="767" spans="1:25" s="6" customFormat="1" x14ac:dyDescent="0.35">
      <c r="A767" s="6" t="s">
        <v>25</v>
      </c>
      <c r="B767" s="6" t="s">
        <v>1631</v>
      </c>
      <c r="D767" s="6" t="s">
        <v>1619</v>
      </c>
      <c r="E767" s="6">
        <v>3</v>
      </c>
      <c r="F767" s="6">
        <v>39</v>
      </c>
      <c r="G767" s="6" t="s">
        <v>202</v>
      </c>
      <c r="I767" s="8">
        <v>83.907985999999994</v>
      </c>
      <c r="J767" s="8">
        <v>18.352126999999999</v>
      </c>
      <c r="K767" s="6" t="s">
        <v>29</v>
      </c>
      <c r="L767" s="6" t="s">
        <v>335</v>
      </c>
      <c r="M767" s="9">
        <v>43955</v>
      </c>
      <c r="O767" s="6">
        <v>32</v>
      </c>
      <c r="P767" s="6" t="s">
        <v>4374</v>
      </c>
      <c r="R767" s="6">
        <v>110</v>
      </c>
      <c r="S767" s="6">
        <v>110</v>
      </c>
      <c r="T767" s="6">
        <v>120</v>
      </c>
      <c r="U767" s="10">
        <f t="shared" si="22"/>
        <v>115</v>
      </c>
      <c r="W767" s="8">
        <v>-8.4888477943539403E-2</v>
      </c>
      <c r="X767" s="8">
        <v>-0.54361139059066732</v>
      </c>
      <c r="Y767" s="8">
        <f t="shared" si="23"/>
        <v>0.13549643295764791</v>
      </c>
    </row>
    <row r="768" spans="1:25" s="6" customFormat="1" x14ac:dyDescent="0.35">
      <c r="A768" s="6" t="s">
        <v>25</v>
      </c>
      <c r="B768" s="6" t="s">
        <v>1632</v>
      </c>
      <c r="D768" s="6" t="s">
        <v>1619</v>
      </c>
      <c r="E768" s="6">
        <v>3</v>
      </c>
      <c r="F768" s="6">
        <v>39</v>
      </c>
      <c r="G768" s="6" t="s">
        <v>202</v>
      </c>
      <c r="I768" s="8">
        <v>83.907985999999994</v>
      </c>
      <c r="J768" s="8">
        <v>18.352126999999999</v>
      </c>
      <c r="K768" s="6" t="s">
        <v>29</v>
      </c>
      <c r="L768" s="6" t="s">
        <v>335</v>
      </c>
      <c r="M768" s="9">
        <v>43955</v>
      </c>
      <c r="O768" s="6">
        <v>32</v>
      </c>
      <c r="P768" s="6" t="s">
        <v>4374</v>
      </c>
      <c r="R768" s="6">
        <v>120</v>
      </c>
      <c r="S768" s="6">
        <v>120</v>
      </c>
      <c r="T768" s="6">
        <v>130</v>
      </c>
      <c r="U768" s="10">
        <f t="shared" si="22"/>
        <v>125</v>
      </c>
      <c r="W768" s="8">
        <v>0.32177618252515744</v>
      </c>
      <c r="X768" s="8">
        <v>2.0237136344909663</v>
      </c>
      <c r="Y768" s="8">
        <f t="shared" si="23"/>
        <v>-0.55049582571029321</v>
      </c>
    </row>
    <row r="769" spans="1:25" s="6" customFormat="1" x14ac:dyDescent="0.35">
      <c r="A769" s="6" t="s">
        <v>25</v>
      </c>
      <c r="B769" s="6" t="s">
        <v>1633</v>
      </c>
      <c r="D769" s="6" t="s">
        <v>1619</v>
      </c>
      <c r="E769" s="6">
        <v>3</v>
      </c>
      <c r="F769" s="6">
        <v>39</v>
      </c>
      <c r="G769" s="6" t="s">
        <v>202</v>
      </c>
      <c r="I769" s="8">
        <v>83.907985999999994</v>
      </c>
      <c r="J769" s="8">
        <v>18.352126999999999</v>
      </c>
      <c r="K769" s="6" t="s">
        <v>29</v>
      </c>
      <c r="L769" s="6" t="s">
        <v>335</v>
      </c>
      <c r="M769" s="9">
        <v>43955</v>
      </c>
      <c r="O769" s="6">
        <v>32</v>
      </c>
      <c r="P769" s="6" t="s">
        <v>4374</v>
      </c>
      <c r="R769" s="6">
        <v>130</v>
      </c>
      <c r="S769" s="6">
        <v>130</v>
      </c>
      <c r="T769" s="6">
        <v>140</v>
      </c>
      <c r="U769" s="10">
        <f t="shared" si="22"/>
        <v>135</v>
      </c>
      <c r="W769" s="8">
        <v>0.4825319237041476</v>
      </c>
      <c r="X769" s="8">
        <v>3.7670308670997619</v>
      </c>
      <c r="Y769" s="8">
        <f t="shared" si="23"/>
        <v>-9.3224522533418952E-2</v>
      </c>
    </row>
    <row r="770" spans="1:25" s="6" customFormat="1" x14ac:dyDescent="0.35">
      <c r="A770" s="6" t="s">
        <v>25</v>
      </c>
      <c r="B770" s="6" t="s">
        <v>1634</v>
      </c>
      <c r="D770" s="6" t="s">
        <v>1619</v>
      </c>
      <c r="E770" s="6">
        <v>3</v>
      </c>
      <c r="F770" s="6">
        <v>39</v>
      </c>
      <c r="G770" s="6" t="s">
        <v>202</v>
      </c>
      <c r="I770" s="8">
        <v>83.907985999999994</v>
      </c>
      <c r="J770" s="8">
        <v>18.352126999999999</v>
      </c>
      <c r="K770" s="6" t="s">
        <v>29</v>
      </c>
      <c r="L770" s="6" t="s">
        <v>335</v>
      </c>
      <c r="M770" s="9">
        <v>43955</v>
      </c>
      <c r="O770" s="6">
        <v>32</v>
      </c>
      <c r="P770" s="6" t="s">
        <v>4374</v>
      </c>
      <c r="R770" s="6">
        <v>140</v>
      </c>
      <c r="S770" s="6">
        <v>140</v>
      </c>
      <c r="T770" s="6">
        <v>150</v>
      </c>
      <c r="U770" s="10">
        <f t="shared" ref="U770:U833" si="24">AVERAGE(S770:T770)</f>
        <v>145</v>
      </c>
      <c r="W770" s="8">
        <v>0.85731770365714977</v>
      </c>
      <c r="X770" s="8">
        <v>6.4096787767410284</v>
      </c>
      <c r="Y770" s="8">
        <f t="shared" ref="Y770:Y833" si="25">X770-(8*W770)</f>
        <v>-0.44886285251616975</v>
      </c>
    </row>
    <row r="771" spans="1:25" s="6" customFormat="1" x14ac:dyDescent="0.35">
      <c r="A771" s="6" t="s">
        <v>25</v>
      </c>
      <c r="B771" s="6" t="s">
        <v>1635</v>
      </c>
      <c r="D771" s="6" t="s">
        <v>1619</v>
      </c>
      <c r="E771" s="6">
        <v>3</v>
      </c>
      <c r="F771" s="6">
        <v>39</v>
      </c>
      <c r="G771" s="6" t="s">
        <v>202</v>
      </c>
      <c r="I771" s="8">
        <v>83.907985999999994</v>
      </c>
      <c r="J771" s="8">
        <v>18.352126999999999</v>
      </c>
      <c r="K771" s="6" t="s">
        <v>29</v>
      </c>
      <c r="L771" s="6" t="s">
        <v>335</v>
      </c>
      <c r="M771" s="9">
        <v>43955</v>
      </c>
      <c r="O771" s="6">
        <v>32</v>
      </c>
      <c r="P771" s="6" t="s">
        <v>4374</v>
      </c>
      <c r="R771" s="6">
        <v>150</v>
      </c>
      <c r="S771" s="6">
        <v>150</v>
      </c>
      <c r="T771" s="6">
        <v>160</v>
      </c>
      <c r="U771" s="10">
        <f t="shared" si="24"/>
        <v>155</v>
      </c>
      <c r="W771" s="8">
        <v>1.6040045362043387</v>
      </c>
      <c r="X771" s="8">
        <v>12.223596939086914</v>
      </c>
      <c r="Y771" s="8">
        <f t="shared" si="25"/>
        <v>-0.60843935054779585</v>
      </c>
    </row>
    <row r="772" spans="1:25" s="6" customFormat="1" x14ac:dyDescent="0.35">
      <c r="A772" s="6" t="s">
        <v>25</v>
      </c>
      <c r="B772" s="6" t="s">
        <v>1593</v>
      </c>
      <c r="D772" s="6" t="s">
        <v>3334</v>
      </c>
      <c r="E772" s="6">
        <v>3</v>
      </c>
      <c r="F772" s="6">
        <v>39</v>
      </c>
      <c r="G772" s="6" t="s">
        <v>210</v>
      </c>
      <c r="I772" s="8">
        <v>83.907985999999994</v>
      </c>
      <c r="J772" s="8">
        <v>18.352126999999999</v>
      </c>
      <c r="K772" s="6" t="s">
        <v>29</v>
      </c>
      <c r="L772" s="6" t="s">
        <v>546</v>
      </c>
      <c r="M772" s="9">
        <v>43955</v>
      </c>
      <c r="O772" s="6">
        <v>32</v>
      </c>
      <c r="P772" s="6" t="s">
        <v>4374</v>
      </c>
      <c r="R772" s="6">
        <v>0</v>
      </c>
      <c r="S772" s="6">
        <v>0</v>
      </c>
      <c r="T772" s="6">
        <v>10</v>
      </c>
      <c r="U772" s="10">
        <f t="shared" si="24"/>
        <v>5</v>
      </c>
      <c r="W772" s="8">
        <v>-5.2405024646759033</v>
      </c>
      <c r="X772" s="8">
        <v>-42.925711441040036</v>
      </c>
      <c r="Y772" s="8">
        <f t="shared" si="25"/>
        <v>-1.0016917236328098</v>
      </c>
    </row>
    <row r="773" spans="1:25" s="6" customFormat="1" x14ac:dyDescent="0.35">
      <c r="A773" s="6" t="s">
        <v>25</v>
      </c>
      <c r="B773" s="6" t="s">
        <v>1594</v>
      </c>
      <c r="D773" s="6" t="s">
        <v>3334</v>
      </c>
      <c r="E773" s="6">
        <v>3</v>
      </c>
      <c r="F773" s="6">
        <v>39</v>
      </c>
      <c r="G773" s="6" t="s">
        <v>210</v>
      </c>
      <c r="I773" s="8">
        <v>83.907985999999994</v>
      </c>
      <c r="J773" s="8">
        <v>18.352126999999999</v>
      </c>
      <c r="K773" s="6" t="s">
        <v>29</v>
      </c>
      <c r="L773" s="6" t="s">
        <v>546</v>
      </c>
      <c r="M773" s="9">
        <v>43955</v>
      </c>
      <c r="O773" s="6">
        <v>32</v>
      </c>
      <c r="P773" s="6" t="s">
        <v>4374</v>
      </c>
      <c r="R773" s="6">
        <v>10</v>
      </c>
      <c r="S773" s="6">
        <v>10</v>
      </c>
      <c r="T773" s="6">
        <v>20</v>
      </c>
      <c r="U773" s="10">
        <f t="shared" si="24"/>
        <v>15</v>
      </c>
      <c r="W773" s="8">
        <v>-5.9858206649780277</v>
      </c>
      <c r="X773" s="8">
        <v>-47.174068664550781</v>
      </c>
      <c r="Y773" s="8">
        <f t="shared" si="25"/>
        <v>0.71249665527344064</v>
      </c>
    </row>
    <row r="774" spans="1:25" s="6" customFormat="1" x14ac:dyDescent="0.35">
      <c r="A774" s="6" t="s">
        <v>25</v>
      </c>
      <c r="B774" s="6" t="s">
        <v>1595</v>
      </c>
      <c r="D774" s="6" t="s">
        <v>3334</v>
      </c>
      <c r="E774" s="6">
        <v>3</v>
      </c>
      <c r="F774" s="6">
        <v>39</v>
      </c>
      <c r="G774" s="6" t="s">
        <v>210</v>
      </c>
      <c r="I774" s="8">
        <v>83.907985999999994</v>
      </c>
      <c r="J774" s="8">
        <v>18.352126999999999</v>
      </c>
      <c r="K774" s="6" t="s">
        <v>29</v>
      </c>
      <c r="L774" s="6" t="s">
        <v>546</v>
      </c>
      <c r="M774" s="9">
        <v>43955</v>
      </c>
      <c r="O774" s="6">
        <v>32</v>
      </c>
      <c r="P774" s="6" t="s">
        <v>4374</v>
      </c>
      <c r="R774" s="6">
        <v>20</v>
      </c>
      <c r="S774" s="6">
        <v>20</v>
      </c>
      <c r="T774" s="6">
        <v>30</v>
      </c>
      <c r="U774" s="10">
        <f t="shared" si="24"/>
        <v>25</v>
      </c>
      <c r="W774" s="8">
        <v>-6.2912580963134781</v>
      </c>
      <c r="X774" s="8">
        <v>-49.069723442077638</v>
      </c>
      <c r="Y774" s="8">
        <f t="shared" si="25"/>
        <v>1.2603413284301865</v>
      </c>
    </row>
    <row r="775" spans="1:25" s="6" customFormat="1" x14ac:dyDescent="0.35">
      <c r="A775" s="6" t="s">
        <v>25</v>
      </c>
      <c r="B775" s="6" t="s">
        <v>1596</v>
      </c>
      <c r="D775" s="6" t="s">
        <v>3334</v>
      </c>
      <c r="E775" s="6">
        <v>3</v>
      </c>
      <c r="F775" s="6">
        <v>39</v>
      </c>
      <c r="G775" s="6" t="s">
        <v>210</v>
      </c>
      <c r="I775" s="8">
        <v>83.907985999999994</v>
      </c>
      <c r="J775" s="8">
        <v>18.352126999999999</v>
      </c>
      <c r="K775" s="6" t="s">
        <v>29</v>
      </c>
      <c r="L775" s="6" t="s">
        <v>546</v>
      </c>
      <c r="M775" s="9">
        <v>43955</v>
      </c>
      <c r="O775" s="6">
        <v>32</v>
      </c>
      <c r="P775" s="6" t="s">
        <v>4374</v>
      </c>
      <c r="R775" s="6">
        <v>30</v>
      </c>
      <c r="S775" s="6">
        <v>30</v>
      </c>
      <c r="T775" s="6">
        <v>40</v>
      </c>
      <c r="U775" s="10">
        <f t="shared" si="24"/>
        <v>35</v>
      </c>
      <c r="W775" s="8">
        <v>-6.4305654235839862</v>
      </c>
      <c r="X775" s="8">
        <v>-49.545155246734616</v>
      </c>
      <c r="Y775" s="8">
        <f t="shared" si="25"/>
        <v>1.8993681419372734</v>
      </c>
    </row>
    <row r="776" spans="1:25" s="6" customFormat="1" x14ac:dyDescent="0.35">
      <c r="A776" s="6" t="s">
        <v>25</v>
      </c>
      <c r="B776" s="6" t="s">
        <v>1597</v>
      </c>
      <c r="D776" s="6" t="s">
        <v>3334</v>
      </c>
      <c r="E776" s="6">
        <v>3</v>
      </c>
      <c r="F776" s="6">
        <v>39</v>
      </c>
      <c r="G776" s="6" t="s">
        <v>210</v>
      </c>
      <c r="I776" s="8">
        <v>83.907985999999994</v>
      </c>
      <c r="J776" s="8">
        <v>18.352126999999999</v>
      </c>
      <c r="K776" s="6" t="s">
        <v>29</v>
      </c>
      <c r="L776" s="6" t="s">
        <v>546</v>
      </c>
      <c r="M776" s="9">
        <v>43955</v>
      </c>
      <c r="O776" s="6">
        <v>32</v>
      </c>
      <c r="P776" s="6" t="s">
        <v>4374</v>
      </c>
      <c r="R776" s="6">
        <v>40</v>
      </c>
      <c r="S776" s="6">
        <v>40</v>
      </c>
      <c r="T776" s="6">
        <v>50</v>
      </c>
      <c r="U776" s="10">
        <f t="shared" si="24"/>
        <v>45</v>
      </c>
      <c r="W776" s="8">
        <v>-4.9921729293823249</v>
      </c>
      <c r="X776" s="8">
        <v>-38.599180561065673</v>
      </c>
      <c r="Y776" s="8">
        <f t="shared" si="25"/>
        <v>1.3382028739929268</v>
      </c>
    </row>
    <row r="777" spans="1:25" s="6" customFormat="1" x14ac:dyDescent="0.35">
      <c r="A777" s="6" t="s">
        <v>25</v>
      </c>
      <c r="B777" s="6" t="s">
        <v>1598</v>
      </c>
      <c r="D777" s="6" t="s">
        <v>3334</v>
      </c>
      <c r="E777" s="6">
        <v>3</v>
      </c>
      <c r="F777" s="6">
        <v>39</v>
      </c>
      <c r="G777" s="6" t="s">
        <v>210</v>
      </c>
      <c r="I777" s="8">
        <v>83.907985999999994</v>
      </c>
      <c r="J777" s="8">
        <v>18.352126999999999</v>
      </c>
      <c r="K777" s="6" t="s">
        <v>29</v>
      </c>
      <c r="L777" s="6" t="s">
        <v>546</v>
      </c>
      <c r="M777" s="9">
        <v>43955</v>
      </c>
      <c r="O777" s="6">
        <v>32</v>
      </c>
      <c r="P777" s="6" t="s">
        <v>4374</v>
      </c>
      <c r="R777" s="6">
        <v>50</v>
      </c>
      <c r="S777" s="6">
        <v>50</v>
      </c>
      <c r="T777" s="6">
        <v>60</v>
      </c>
      <c r="U777" s="10">
        <f t="shared" si="24"/>
        <v>55</v>
      </c>
      <c r="W777" s="8">
        <v>-3.8280000091552737</v>
      </c>
      <c r="X777" s="8">
        <v>-29.245139631271361</v>
      </c>
      <c r="Y777" s="8">
        <f t="shared" si="25"/>
        <v>1.3788604419708292</v>
      </c>
    </row>
    <row r="778" spans="1:25" s="6" customFormat="1" x14ac:dyDescent="0.35">
      <c r="A778" s="6" t="s">
        <v>25</v>
      </c>
      <c r="B778" s="6" t="s">
        <v>1599</v>
      </c>
      <c r="D778" s="6" t="s">
        <v>3334</v>
      </c>
      <c r="E778" s="6">
        <v>3</v>
      </c>
      <c r="F778" s="6">
        <v>39</v>
      </c>
      <c r="G778" s="6" t="s">
        <v>210</v>
      </c>
      <c r="I778" s="8">
        <v>83.907985999999994</v>
      </c>
      <c r="J778" s="8">
        <v>18.352126999999999</v>
      </c>
      <c r="K778" s="6" t="s">
        <v>29</v>
      </c>
      <c r="L778" s="6" t="s">
        <v>546</v>
      </c>
      <c r="M778" s="9">
        <v>43955</v>
      </c>
      <c r="O778" s="6">
        <v>32</v>
      </c>
      <c r="P778" s="6" t="s">
        <v>4374</v>
      </c>
      <c r="R778" s="6">
        <v>60</v>
      </c>
      <c r="S778" s="6">
        <v>60</v>
      </c>
      <c r="T778" s="6">
        <v>70</v>
      </c>
      <c r="U778" s="10">
        <f t="shared" si="24"/>
        <v>65</v>
      </c>
      <c r="W778" s="8">
        <v>-3.6980154052734373</v>
      </c>
      <c r="X778" s="8">
        <v>-28.286905811309815</v>
      </c>
      <c r="Y778" s="8">
        <f t="shared" si="25"/>
        <v>1.2972174308776836</v>
      </c>
    </row>
    <row r="779" spans="1:25" s="6" customFormat="1" x14ac:dyDescent="0.35">
      <c r="A779" s="6" t="s">
        <v>25</v>
      </c>
      <c r="B779" s="6" t="s">
        <v>1600</v>
      </c>
      <c r="D779" s="6" t="s">
        <v>3334</v>
      </c>
      <c r="E779" s="6">
        <v>3</v>
      </c>
      <c r="F779" s="6">
        <v>39</v>
      </c>
      <c r="G779" s="6" t="s">
        <v>210</v>
      </c>
      <c r="I779" s="8">
        <v>83.907985999999994</v>
      </c>
      <c r="J779" s="8">
        <v>18.352126999999999</v>
      </c>
      <c r="K779" s="6" t="s">
        <v>29</v>
      </c>
      <c r="L779" s="6" t="s">
        <v>546</v>
      </c>
      <c r="M779" s="9">
        <v>43955</v>
      </c>
      <c r="O779" s="6">
        <v>32</v>
      </c>
      <c r="P779" s="6" t="s">
        <v>4374</v>
      </c>
      <c r="R779" s="6">
        <v>70</v>
      </c>
      <c r="S779" s="6">
        <v>70</v>
      </c>
      <c r="T779" s="6">
        <v>80</v>
      </c>
      <c r="U779" s="10">
        <f t="shared" si="24"/>
        <v>75</v>
      </c>
      <c r="W779" s="8">
        <v>-3.7309650512695316</v>
      </c>
      <c r="X779" s="8">
        <v>-29.040103246688844</v>
      </c>
      <c r="Y779" s="8">
        <f t="shared" si="25"/>
        <v>0.80761716346740897</v>
      </c>
    </row>
    <row r="780" spans="1:25" s="6" customFormat="1" x14ac:dyDescent="0.35">
      <c r="A780" s="6" t="s">
        <v>25</v>
      </c>
      <c r="B780" s="6" t="s">
        <v>1601</v>
      </c>
      <c r="D780" s="6" t="s">
        <v>3334</v>
      </c>
      <c r="E780" s="6">
        <v>3</v>
      </c>
      <c r="F780" s="6">
        <v>39</v>
      </c>
      <c r="G780" s="6" t="s">
        <v>210</v>
      </c>
      <c r="I780" s="8">
        <v>83.907985999999994</v>
      </c>
      <c r="J780" s="8">
        <v>18.352126999999999</v>
      </c>
      <c r="K780" s="6" t="s">
        <v>29</v>
      </c>
      <c r="L780" s="6" t="s">
        <v>546</v>
      </c>
      <c r="M780" s="9">
        <v>43955</v>
      </c>
      <c r="O780" s="6">
        <v>32</v>
      </c>
      <c r="P780" s="6" t="s">
        <v>4374</v>
      </c>
      <c r="R780" s="6">
        <v>80</v>
      </c>
      <c r="S780" s="6">
        <v>80</v>
      </c>
      <c r="T780" s="6">
        <v>90</v>
      </c>
      <c r="U780" s="10">
        <f t="shared" si="24"/>
        <v>85</v>
      </c>
      <c r="W780" s="8">
        <v>-3.6734536148071295</v>
      </c>
      <c r="X780" s="8">
        <v>-28.423352741241455</v>
      </c>
      <c r="Y780" s="8">
        <f t="shared" si="25"/>
        <v>0.96427617721558079</v>
      </c>
    </row>
    <row r="781" spans="1:25" s="6" customFormat="1" x14ac:dyDescent="0.35">
      <c r="A781" s="6" t="s">
        <v>25</v>
      </c>
      <c r="B781" s="6" t="s">
        <v>1602</v>
      </c>
      <c r="D781" s="6" t="s">
        <v>3334</v>
      </c>
      <c r="E781" s="6">
        <v>3</v>
      </c>
      <c r="F781" s="6">
        <v>39</v>
      </c>
      <c r="G781" s="6" t="s">
        <v>210</v>
      </c>
      <c r="I781" s="8">
        <v>83.907985999999994</v>
      </c>
      <c r="J781" s="8">
        <v>18.352126999999999</v>
      </c>
      <c r="K781" s="6" t="s">
        <v>29</v>
      </c>
      <c r="L781" s="6" t="s">
        <v>546</v>
      </c>
      <c r="M781" s="9">
        <v>43955</v>
      </c>
      <c r="O781" s="6">
        <v>32</v>
      </c>
      <c r="P781" s="6" t="s">
        <v>4374</v>
      </c>
      <c r="R781" s="6">
        <v>90</v>
      </c>
      <c r="S781" s="6">
        <v>90</v>
      </c>
      <c r="T781" s="6">
        <v>100</v>
      </c>
      <c r="U781" s="10">
        <f t="shared" si="24"/>
        <v>95</v>
      </c>
      <c r="W781" s="8">
        <v>-3.980082822418213</v>
      </c>
      <c r="X781" s="8">
        <v>-30.593686511993408</v>
      </c>
      <c r="Y781" s="8">
        <f t="shared" si="25"/>
        <v>1.2469760673522963</v>
      </c>
    </row>
    <row r="782" spans="1:25" s="6" customFormat="1" x14ac:dyDescent="0.35">
      <c r="A782" s="6" t="s">
        <v>25</v>
      </c>
      <c r="B782" s="6" t="s">
        <v>1603</v>
      </c>
      <c r="D782" s="6" t="s">
        <v>3334</v>
      </c>
      <c r="E782" s="6">
        <v>3</v>
      </c>
      <c r="F782" s="6">
        <v>39</v>
      </c>
      <c r="G782" s="6" t="s">
        <v>210</v>
      </c>
      <c r="I782" s="8">
        <v>83.907985999999994</v>
      </c>
      <c r="J782" s="8">
        <v>18.352126999999999</v>
      </c>
      <c r="K782" s="6" t="s">
        <v>29</v>
      </c>
      <c r="L782" s="6" t="s">
        <v>546</v>
      </c>
      <c r="M782" s="9">
        <v>43955</v>
      </c>
      <c r="O782" s="6">
        <v>32</v>
      </c>
      <c r="P782" s="6" t="s">
        <v>4374</v>
      </c>
      <c r="R782" s="6">
        <v>100</v>
      </c>
      <c r="S782" s="6">
        <v>100</v>
      </c>
      <c r="T782" s="6">
        <v>110</v>
      </c>
      <c r="U782" s="10">
        <f t="shared" si="24"/>
        <v>105</v>
      </c>
      <c r="W782" s="8">
        <v>-3.9741181732177737</v>
      </c>
      <c r="X782" s="8">
        <v>-30.815024375915527</v>
      </c>
      <c r="Y782" s="8">
        <f t="shared" si="25"/>
        <v>0.97792100982666241</v>
      </c>
    </row>
    <row r="783" spans="1:25" s="6" customFormat="1" x14ac:dyDescent="0.35">
      <c r="A783" s="6" t="s">
        <v>25</v>
      </c>
      <c r="B783" s="6" t="s">
        <v>1604</v>
      </c>
      <c r="D783" s="6" t="s">
        <v>3334</v>
      </c>
      <c r="E783" s="6">
        <v>3</v>
      </c>
      <c r="F783" s="6">
        <v>39</v>
      </c>
      <c r="G783" s="6" t="s">
        <v>210</v>
      </c>
      <c r="I783" s="8">
        <v>83.907985999999994</v>
      </c>
      <c r="J783" s="8">
        <v>18.352126999999999</v>
      </c>
      <c r="K783" s="6" t="s">
        <v>29</v>
      </c>
      <c r="L783" s="6" t="s">
        <v>546</v>
      </c>
      <c r="M783" s="9">
        <v>43955</v>
      </c>
      <c r="O783" s="6">
        <v>32</v>
      </c>
      <c r="P783" s="6" t="s">
        <v>4374</v>
      </c>
      <c r="R783" s="6">
        <v>110</v>
      </c>
      <c r="S783" s="6">
        <v>110</v>
      </c>
      <c r="T783" s="6">
        <v>120</v>
      </c>
      <c r="U783" s="10">
        <f t="shared" si="24"/>
        <v>115</v>
      </c>
      <c r="W783" s="8">
        <v>-3.4253836647033693</v>
      </c>
      <c r="X783" s="8">
        <v>-26.264373987197875</v>
      </c>
      <c r="Y783" s="8">
        <f t="shared" si="25"/>
        <v>1.1386953304290799</v>
      </c>
    </row>
    <row r="784" spans="1:25" s="6" customFormat="1" x14ac:dyDescent="0.35">
      <c r="A784" s="6" t="s">
        <v>25</v>
      </c>
      <c r="B784" s="6" t="s">
        <v>1605</v>
      </c>
      <c r="D784" s="6" t="s">
        <v>3334</v>
      </c>
      <c r="E784" s="6">
        <v>3</v>
      </c>
      <c r="F784" s="6">
        <v>39</v>
      </c>
      <c r="G784" s="6" t="s">
        <v>210</v>
      </c>
      <c r="I784" s="8">
        <v>83.907985999999994</v>
      </c>
      <c r="J784" s="8">
        <v>18.352126999999999</v>
      </c>
      <c r="K784" s="6" t="s">
        <v>29</v>
      </c>
      <c r="L784" s="6" t="s">
        <v>546</v>
      </c>
      <c r="M784" s="9">
        <v>43955</v>
      </c>
      <c r="O784" s="6">
        <v>32</v>
      </c>
      <c r="P784" s="6" t="s">
        <v>4374</v>
      </c>
      <c r="R784" s="6">
        <v>120</v>
      </c>
      <c r="S784" s="6">
        <v>120</v>
      </c>
      <c r="T784" s="6">
        <v>130</v>
      </c>
      <c r="U784" s="10">
        <f t="shared" si="24"/>
        <v>125</v>
      </c>
      <c r="W784" s="8">
        <v>-3.4633030105590823</v>
      </c>
      <c r="X784" s="8">
        <v>-26.572802457809448</v>
      </c>
      <c r="Y784" s="8">
        <f t="shared" si="25"/>
        <v>1.13362162666321</v>
      </c>
    </row>
    <row r="785" spans="1:26" s="6" customFormat="1" x14ac:dyDescent="0.35">
      <c r="A785" s="6" t="s">
        <v>25</v>
      </c>
      <c r="B785" s="6" t="s">
        <v>1606</v>
      </c>
      <c r="D785" s="6" t="s">
        <v>3334</v>
      </c>
      <c r="E785" s="6">
        <v>3</v>
      </c>
      <c r="F785" s="6">
        <v>39</v>
      </c>
      <c r="G785" s="6" t="s">
        <v>210</v>
      </c>
      <c r="I785" s="8">
        <v>83.907985999999994</v>
      </c>
      <c r="J785" s="8">
        <v>18.352126999999999</v>
      </c>
      <c r="K785" s="6" t="s">
        <v>29</v>
      </c>
      <c r="L785" s="6" t="s">
        <v>546</v>
      </c>
      <c r="M785" s="9">
        <v>43955</v>
      </c>
      <c r="O785" s="6">
        <v>32</v>
      </c>
      <c r="P785" s="6" t="s">
        <v>4374</v>
      </c>
      <c r="R785" s="6">
        <v>130</v>
      </c>
      <c r="S785" s="6">
        <v>130</v>
      </c>
      <c r="T785" s="6">
        <v>140</v>
      </c>
      <c r="U785" s="10">
        <f t="shared" si="24"/>
        <v>135</v>
      </c>
      <c r="W785" s="8">
        <v>-3.3119897412300108</v>
      </c>
      <c r="X785" s="8">
        <v>-25.8860205078125</v>
      </c>
      <c r="Y785" s="8">
        <f t="shared" si="25"/>
        <v>0.60989742202758634</v>
      </c>
    </row>
    <row r="786" spans="1:26" s="6" customFormat="1" x14ac:dyDescent="0.35">
      <c r="A786" s="6" t="s">
        <v>25</v>
      </c>
      <c r="B786" s="6" t="s">
        <v>1607</v>
      </c>
      <c r="D786" s="6" t="s">
        <v>3334</v>
      </c>
      <c r="E786" s="6">
        <v>3</v>
      </c>
      <c r="F786" s="6">
        <v>39</v>
      </c>
      <c r="G786" s="6" t="s">
        <v>210</v>
      </c>
      <c r="I786" s="8">
        <v>83.907985999999994</v>
      </c>
      <c r="J786" s="8">
        <v>18.352126999999999</v>
      </c>
      <c r="K786" s="6" t="s">
        <v>29</v>
      </c>
      <c r="L786" s="6" t="s">
        <v>546</v>
      </c>
      <c r="M786" s="9">
        <v>43955</v>
      </c>
      <c r="O786" s="6">
        <v>32</v>
      </c>
      <c r="P786" s="6" t="s">
        <v>4374</v>
      </c>
      <c r="R786" s="6">
        <v>140</v>
      </c>
      <c r="S786" s="6">
        <v>140</v>
      </c>
      <c r="T786" s="6">
        <v>150</v>
      </c>
      <c r="U786" s="10">
        <f t="shared" si="24"/>
        <v>145</v>
      </c>
      <c r="W786" s="8">
        <v>-3.1990173827648158</v>
      </c>
      <c r="X786" s="8">
        <v>-24.738910140991212</v>
      </c>
      <c r="Y786" s="8">
        <f t="shared" si="25"/>
        <v>0.85322892112731452</v>
      </c>
    </row>
    <row r="787" spans="1:26" s="6" customFormat="1" x14ac:dyDescent="0.35">
      <c r="A787" s="6" t="s">
        <v>25</v>
      </c>
      <c r="B787" s="6" t="s">
        <v>1608</v>
      </c>
      <c r="D787" s="6" t="s">
        <v>3334</v>
      </c>
      <c r="E787" s="6">
        <v>3</v>
      </c>
      <c r="F787" s="6">
        <v>39</v>
      </c>
      <c r="G787" s="6" t="s">
        <v>210</v>
      </c>
      <c r="I787" s="8">
        <v>83.907985999999994</v>
      </c>
      <c r="J787" s="8">
        <v>18.352126999999999</v>
      </c>
      <c r="K787" s="6" t="s">
        <v>29</v>
      </c>
      <c r="L787" s="6" t="s">
        <v>546</v>
      </c>
      <c r="M787" s="9">
        <v>43955</v>
      </c>
      <c r="O787" s="6">
        <v>32</v>
      </c>
      <c r="P787" s="6" t="s">
        <v>4374</v>
      </c>
      <c r="R787" s="6">
        <v>150</v>
      </c>
      <c r="S787" s="6">
        <v>150</v>
      </c>
      <c r="T787" s="6">
        <v>160</v>
      </c>
      <c r="U787" s="10">
        <f t="shared" si="24"/>
        <v>155</v>
      </c>
      <c r="W787" s="8">
        <v>-3.7807063137531283</v>
      </c>
      <c r="X787" s="8">
        <v>-29.241790771484379</v>
      </c>
      <c r="Y787" s="8">
        <f t="shared" si="25"/>
        <v>1.0038597385406476</v>
      </c>
    </row>
    <row r="788" spans="1:26" s="6" customFormat="1" x14ac:dyDescent="0.35">
      <c r="A788" s="6" t="s">
        <v>25</v>
      </c>
      <c r="B788" s="6" t="s">
        <v>1609</v>
      </c>
      <c r="D788" s="6" t="s">
        <v>3334</v>
      </c>
      <c r="E788" s="6">
        <v>3</v>
      </c>
      <c r="F788" s="6">
        <v>39</v>
      </c>
      <c r="G788" s="6" t="s">
        <v>210</v>
      </c>
      <c r="I788" s="8">
        <v>83.907985999999994</v>
      </c>
      <c r="J788" s="8">
        <v>18.352126999999999</v>
      </c>
      <c r="K788" s="6" t="s">
        <v>29</v>
      </c>
      <c r="L788" s="6" t="s">
        <v>546</v>
      </c>
      <c r="M788" s="9">
        <v>43955</v>
      </c>
      <c r="O788" s="6">
        <v>32</v>
      </c>
      <c r="P788" s="6" t="s">
        <v>4374</v>
      </c>
      <c r="R788" s="6">
        <v>160</v>
      </c>
      <c r="S788" s="6">
        <v>160</v>
      </c>
      <c r="T788" s="6">
        <v>170</v>
      </c>
      <c r="U788" s="10">
        <f t="shared" si="24"/>
        <v>165</v>
      </c>
      <c r="W788" s="8">
        <v>-3.707600378894806</v>
      </c>
      <c r="X788" s="8">
        <v>-28.751237487792967</v>
      </c>
      <c r="Y788" s="8">
        <f t="shared" si="25"/>
        <v>0.90956554336548123</v>
      </c>
    </row>
    <row r="789" spans="1:26" s="6" customFormat="1" x14ac:dyDescent="0.35">
      <c r="A789" s="6" t="s">
        <v>25</v>
      </c>
      <c r="B789" s="6" t="s">
        <v>1610</v>
      </c>
      <c r="D789" s="6" t="s">
        <v>3334</v>
      </c>
      <c r="E789" s="6">
        <v>3</v>
      </c>
      <c r="F789" s="6">
        <v>39</v>
      </c>
      <c r="G789" s="6" t="s">
        <v>210</v>
      </c>
      <c r="I789" s="8">
        <v>83.907985999999994</v>
      </c>
      <c r="J789" s="8">
        <v>18.352126999999999</v>
      </c>
      <c r="K789" s="6" t="s">
        <v>29</v>
      </c>
      <c r="L789" s="6" t="s">
        <v>546</v>
      </c>
      <c r="M789" s="9">
        <v>43955</v>
      </c>
      <c r="O789" s="6">
        <v>32</v>
      </c>
      <c r="P789" s="6" t="s">
        <v>4374</v>
      </c>
      <c r="R789" s="6">
        <v>170</v>
      </c>
      <c r="S789" s="6">
        <v>170</v>
      </c>
      <c r="T789" s="6">
        <v>180</v>
      </c>
      <c r="U789" s="10">
        <f t="shared" si="24"/>
        <v>175</v>
      </c>
      <c r="W789" s="8">
        <v>-2.7899547623634335</v>
      </c>
      <c r="X789" s="8">
        <v>-21.09764549255371</v>
      </c>
      <c r="Y789" s="8">
        <f t="shared" si="25"/>
        <v>1.2219926063537585</v>
      </c>
    </row>
    <row r="790" spans="1:26" s="6" customFormat="1" x14ac:dyDescent="0.35">
      <c r="A790" s="6" t="s">
        <v>25</v>
      </c>
      <c r="B790" s="6" t="s">
        <v>1611</v>
      </c>
      <c r="D790" s="6" t="s">
        <v>3334</v>
      </c>
      <c r="E790" s="6">
        <v>3</v>
      </c>
      <c r="F790" s="6">
        <v>39</v>
      </c>
      <c r="G790" s="6" t="s">
        <v>210</v>
      </c>
      <c r="I790" s="8">
        <v>83.907985999999994</v>
      </c>
      <c r="J790" s="8">
        <v>18.352126999999999</v>
      </c>
      <c r="K790" s="6" t="s">
        <v>29</v>
      </c>
      <c r="L790" s="6" t="s">
        <v>546</v>
      </c>
      <c r="M790" s="9">
        <v>43955</v>
      </c>
      <c r="O790" s="6">
        <v>32</v>
      </c>
      <c r="P790" s="6" t="s">
        <v>4374</v>
      </c>
      <c r="R790" s="6">
        <v>180</v>
      </c>
      <c r="S790" s="6">
        <v>180</v>
      </c>
      <c r="T790" s="6">
        <v>190</v>
      </c>
      <c r="U790" s="10">
        <f t="shared" si="24"/>
        <v>185</v>
      </c>
      <c r="W790" s="8">
        <v>-1.2547572063446044</v>
      </c>
      <c r="X790" s="8">
        <v>-9.4619642257690426</v>
      </c>
      <c r="Y790" s="8">
        <f t="shared" si="25"/>
        <v>0.5760934249877927</v>
      </c>
    </row>
    <row r="791" spans="1:26" s="6" customFormat="1" x14ac:dyDescent="0.35">
      <c r="A791" s="6" t="s">
        <v>25</v>
      </c>
      <c r="B791" s="6" t="s">
        <v>1612</v>
      </c>
      <c r="D791" s="6" t="s">
        <v>3334</v>
      </c>
      <c r="E791" s="6">
        <v>3</v>
      </c>
      <c r="F791" s="6">
        <v>39</v>
      </c>
      <c r="G791" s="6" t="s">
        <v>210</v>
      </c>
      <c r="I791" s="8">
        <v>83.907985999999994</v>
      </c>
      <c r="J791" s="8">
        <v>18.352126999999999</v>
      </c>
      <c r="K791" s="6" t="s">
        <v>29</v>
      </c>
      <c r="L791" s="6" t="s">
        <v>546</v>
      </c>
      <c r="M791" s="9">
        <v>43955</v>
      </c>
      <c r="O791" s="6">
        <v>32</v>
      </c>
      <c r="P791" s="6" t="s">
        <v>4374</v>
      </c>
      <c r="R791" s="6">
        <v>190</v>
      </c>
      <c r="S791" s="6">
        <v>190</v>
      </c>
      <c r="T791" s="6">
        <v>200</v>
      </c>
      <c r="U791" s="10">
        <f t="shared" si="24"/>
        <v>195</v>
      </c>
      <c r="W791" s="8">
        <v>-0.67297081371545786</v>
      </c>
      <c r="X791" s="8">
        <v>-5.4092607212066648</v>
      </c>
      <c r="Y791" s="8">
        <f t="shared" si="25"/>
        <v>-2.5494211483001905E-2</v>
      </c>
    </row>
    <row r="792" spans="1:26" s="6" customFormat="1" x14ac:dyDescent="0.35">
      <c r="A792" s="6" t="s">
        <v>25</v>
      </c>
      <c r="B792" s="6" t="s">
        <v>1613</v>
      </c>
      <c r="D792" s="6" t="s">
        <v>3334</v>
      </c>
      <c r="E792" s="6">
        <v>3</v>
      </c>
      <c r="F792" s="6">
        <v>39</v>
      </c>
      <c r="G792" s="6" t="s">
        <v>210</v>
      </c>
      <c r="I792" s="8">
        <v>83.907985999999994</v>
      </c>
      <c r="J792" s="8">
        <v>18.352126999999999</v>
      </c>
      <c r="K792" s="6" t="s">
        <v>29</v>
      </c>
      <c r="L792" s="6" t="s">
        <v>546</v>
      </c>
      <c r="M792" s="9">
        <v>43955</v>
      </c>
      <c r="O792" s="6">
        <v>32</v>
      </c>
      <c r="P792" s="6" t="s">
        <v>4374</v>
      </c>
      <c r="R792" s="6">
        <v>200</v>
      </c>
      <c r="S792" s="6">
        <v>200</v>
      </c>
      <c r="T792" s="6">
        <v>210</v>
      </c>
      <c r="U792" s="10">
        <f t="shared" si="24"/>
        <v>205</v>
      </c>
      <c r="W792" s="8">
        <v>8.9392231799660105E-3</v>
      </c>
      <c r="X792" s="8">
        <v>0.38378118455410037</v>
      </c>
      <c r="Y792" s="8">
        <f t="shared" si="25"/>
        <v>0.31226739911437229</v>
      </c>
    </row>
    <row r="793" spans="1:26" s="6" customFormat="1" x14ac:dyDescent="0.35">
      <c r="A793" s="6" t="s">
        <v>25</v>
      </c>
      <c r="B793" s="6" t="s">
        <v>1614</v>
      </c>
      <c r="D793" s="6" t="s">
        <v>3334</v>
      </c>
      <c r="E793" s="6">
        <v>3</v>
      </c>
      <c r="F793" s="6">
        <v>39</v>
      </c>
      <c r="G793" s="6" t="s">
        <v>210</v>
      </c>
      <c r="I793" s="8">
        <v>83.907985999999994</v>
      </c>
      <c r="J793" s="8">
        <v>18.352126999999999</v>
      </c>
      <c r="K793" s="6" t="s">
        <v>29</v>
      </c>
      <c r="L793" s="6" t="s">
        <v>546</v>
      </c>
      <c r="M793" s="9">
        <v>43955</v>
      </c>
      <c r="O793" s="6">
        <v>32</v>
      </c>
      <c r="P793" s="6" t="s">
        <v>4374</v>
      </c>
      <c r="R793" s="6">
        <v>210</v>
      </c>
      <c r="S793" s="6">
        <v>210</v>
      </c>
      <c r="T793" s="6">
        <v>220</v>
      </c>
      <c r="U793" s="10">
        <f t="shared" si="24"/>
        <v>215</v>
      </c>
      <c r="W793" s="8">
        <v>0.13128040759116391</v>
      </c>
      <c r="X793" s="8">
        <v>1.3774546575546269</v>
      </c>
      <c r="Y793" s="8">
        <f t="shared" si="25"/>
        <v>0.32721139682531564</v>
      </c>
    </row>
    <row r="794" spans="1:26" s="6" customFormat="1" x14ac:dyDescent="0.35">
      <c r="A794" s="6" t="s">
        <v>25</v>
      </c>
      <c r="B794" s="6" t="s">
        <v>1615</v>
      </c>
      <c r="D794" s="6" t="s">
        <v>3334</v>
      </c>
      <c r="E794" s="6">
        <v>3</v>
      </c>
      <c r="F794" s="6">
        <v>39</v>
      </c>
      <c r="G794" s="6" t="s">
        <v>210</v>
      </c>
      <c r="I794" s="8">
        <v>83.907985999999994</v>
      </c>
      <c r="J794" s="8">
        <v>18.352126999999999</v>
      </c>
      <c r="K794" s="6" t="s">
        <v>29</v>
      </c>
      <c r="L794" s="6" t="s">
        <v>546</v>
      </c>
      <c r="M794" s="9">
        <v>43955</v>
      </c>
      <c r="O794" s="6">
        <v>32</v>
      </c>
      <c r="P794" s="6" t="s">
        <v>4374</v>
      </c>
      <c r="R794" s="6">
        <v>230</v>
      </c>
      <c r="S794" s="6">
        <v>220</v>
      </c>
      <c r="T794" s="6">
        <v>230</v>
      </c>
      <c r="U794" s="10">
        <f t="shared" si="24"/>
        <v>225</v>
      </c>
      <c r="W794" s="8">
        <v>0.44270571509599643</v>
      </c>
      <c r="X794" s="8">
        <v>3.3352518033981324</v>
      </c>
      <c r="Y794" s="8">
        <f t="shared" si="25"/>
        <v>-0.20639391736983903</v>
      </c>
    </row>
    <row r="795" spans="1:26" s="6" customFormat="1" x14ac:dyDescent="0.35">
      <c r="A795" s="6" t="s">
        <v>25</v>
      </c>
      <c r="B795" s="6" t="s">
        <v>1616</v>
      </c>
      <c r="D795" s="6" t="s">
        <v>3334</v>
      </c>
      <c r="E795" s="6">
        <v>3</v>
      </c>
      <c r="F795" s="6">
        <v>39</v>
      </c>
      <c r="G795" s="6" t="s">
        <v>210</v>
      </c>
      <c r="I795" s="8">
        <v>83.907985999999994</v>
      </c>
      <c r="J795" s="8">
        <v>18.352126999999999</v>
      </c>
      <c r="K795" s="6" t="s">
        <v>29</v>
      </c>
      <c r="L795" s="6" t="s">
        <v>546</v>
      </c>
      <c r="M795" s="9">
        <v>43955</v>
      </c>
      <c r="O795" s="6">
        <v>32</v>
      </c>
      <c r="P795" s="6" t="s">
        <v>4374</v>
      </c>
      <c r="S795" s="6">
        <v>230</v>
      </c>
      <c r="T795" s="6">
        <v>242</v>
      </c>
      <c r="U795" s="10">
        <f t="shared" si="24"/>
        <v>236</v>
      </c>
      <c r="W795" s="8">
        <v>1.0657190407276154</v>
      </c>
      <c r="X795" s="8">
        <v>8.4892485046386721</v>
      </c>
      <c r="Y795" s="8">
        <f t="shared" si="25"/>
        <v>-3.6503821182250817E-2</v>
      </c>
    </row>
    <row r="796" spans="1:26" s="6" customFormat="1" x14ac:dyDescent="0.35">
      <c r="A796" s="6" t="s">
        <v>25</v>
      </c>
      <c r="B796" s="6" t="s">
        <v>1617</v>
      </c>
      <c r="D796" s="6" t="s">
        <v>3334</v>
      </c>
      <c r="E796" s="6">
        <v>3</v>
      </c>
      <c r="F796" s="6">
        <v>39</v>
      </c>
      <c r="G796" s="6" t="s">
        <v>210</v>
      </c>
      <c r="I796" s="8">
        <v>83.907985999999994</v>
      </c>
      <c r="J796" s="8">
        <v>18.352126999999999</v>
      </c>
      <c r="K796" s="6" t="s">
        <v>29</v>
      </c>
      <c r="L796" s="6" t="s">
        <v>546</v>
      </c>
      <c r="M796" s="9">
        <v>43955</v>
      </c>
      <c r="O796" s="6">
        <v>32</v>
      </c>
      <c r="P796" s="6" t="s">
        <v>4374</v>
      </c>
      <c r="R796" s="6">
        <v>242</v>
      </c>
      <c r="S796" s="6">
        <v>242</v>
      </c>
      <c r="T796" s="6">
        <v>259</v>
      </c>
      <c r="U796" s="10">
        <f t="shared" si="24"/>
        <v>250.5</v>
      </c>
      <c r="W796" s="8">
        <v>1.4448763323783869</v>
      </c>
      <c r="X796" s="8">
        <v>11.576089248657226</v>
      </c>
      <c r="Y796" s="8">
        <f t="shared" si="25"/>
        <v>1.7078589630131091E-2</v>
      </c>
    </row>
    <row r="797" spans="1:26" s="6" customFormat="1" x14ac:dyDescent="0.35">
      <c r="A797" s="6" t="s">
        <v>25</v>
      </c>
      <c r="B797" s="7" t="s">
        <v>1681</v>
      </c>
      <c r="D797" s="6" t="s">
        <v>1682</v>
      </c>
      <c r="E797" s="6">
        <v>4</v>
      </c>
      <c r="F797" s="6">
        <v>44</v>
      </c>
      <c r="G797" s="6" t="s">
        <v>335</v>
      </c>
      <c r="I797" s="8">
        <v>81.975306180555606</v>
      </c>
      <c r="J797" s="8">
        <v>9.2425022222222193</v>
      </c>
      <c r="K797" s="6" t="s">
        <v>29</v>
      </c>
      <c r="L797" s="6" t="s">
        <v>335</v>
      </c>
      <c r="M797" s="9">
        <v>44004</v>
      </c>
      <c r="O797" s="6">
        <v>39</v>
      </c>
      <c r="P797" s="6" t="s">
        <v>4405</v>
      </c>
      <c r="R797" s="10" t="s">
        <v>1683</v>
      </c>
      <c r="S797" s="10">
        <v>0</v>
      </c>
      <c r="T797" s="10">
        <v>5</v>
      </c>
      <c r="U797" s="10">
        <f t="shared" si="24"/>
        <v>2.5</v>
      </c>
      <c r="V797" s="11"/>
      <c r="W797" s="8">
        <v>-17.450118047714234</v>
      </c>
      <c r="X797" s="8">
        <v>-132.19019616699219</v>
      </c>
      <c r="Y797" s="8">
        <f t="shared" si="25"/>
        <v>7.4107482147216786</v>
      </c>
    </row>
    <row r="798" spans="1:26" s="6" customFormat="1" x14ac:dyDescent="0.35">
      <c r="A798" s="6" t="s">
        <v>25</v>
      </c>
      <c r="B798" s="6" t="s">
        <v>1758</v>
      </c>
      <c r="D798" s="6" t="s">
        <v>1759</v>
      </c>
      <c r="E798" s="6">
        <v>4</v>
      </c>
      <c r="F798" s="6">
        <v>44</v>
      </c>
      <c r="I798" s="8">
        <v>81.975306180555606</v>
      </c>
      <c r="J798" s="8">
        <v>9.2425022222222193</v>
      </c>
      <c r="K798" s="6" t="s">
        <v>29</v>
      </c>
      <c r="L798" s="29" t="s">
        <v>335</v>
      </c>
      <c r="M798" s="9">
        <v>44004</v>
      </c>
      <c r="O798" s="6">
        <v>39</v>
      </c>
      <c r="P798" s="6" t="s">
        <v>4405</v>
      </c>
      <c r="S798" s="6">
        <v>0</v>
      </c>
      <c r="T798" s="6">
        <v>10</v>
      </c>
      <c r="U798" s="10">
        <f t="shared" si="24"/>
        <v>5</v>
      </c>
      <c r="V798" s="15">
        <v>0.9</v>
      </c>
      <c r="W798" s="8">
        <v>-8.5684833435058589</v>
      </c>
      <c r="X798" s="8">
        <v>-66.712718936920169</v>
      </c>
      <c r="Y798" s="8">
        <f t="shared" si="25"/>
        <v>1.8351478111267028</v>
      </c>
      <c r="Z798" s="6" t="s">
        <v>1760</v>
      </c>
    </row>
    <row r="799" spans="1:26" s="6" customFormat="1" x14ac:dyDescent="0.35">
      <c r="A799" s="6" t="s">
        <v>25</v>
      </c>
      <c r="B799" s="7" t="s">
        <v>1717</v>
      </c>
      <c r="D799" s="6" t="s">
        <v>1718</v>
      </c>
      <c r="E799" s="6">
        <v>4</v>
      </c>
      <c r="F799" s="6">
        <v>44</v>
      </c>
      <c r="G799" s="6" t="s">
        <v>335</v>
      </c>
      <c r="I799" s="8">
        <v>81.975306180555606</v>
      </c>
      <c r="J799" s="8">
        <v>9.2425022222222193</v>
      </c>
      <c r="K799" s="6" t="s">
        <v>29</v>
      </c>
      <c r="L799" s="6" t="s">
        <v>335</v>
      </c>
      <c r="M799" s="9">
        <v>44004</v>
      </c>
      <c r="O799" s="6">
        <v>39</v>
      </c>
      <c r="P799" s="6" t="s">
        <v>4405</v>
      </c>
      <c r="R799" s="10" t="s">
        <v>1719</v>
      </c>
      <c r="S799" s="10">
        <v>5</v>
      </c>
      <c r="T799" s="10">
        <v>10</v>
      </c>
      <c r="U799" s="10">
        <f t="shared" si="24"/>
        <v>7.5</v>
      </c>
      <c r="V799" s="11"/>
      <c r="W799" s="8">
        <v>-12.752406325569154</v>
      </c>
      <c r="X799" s="8">
        <v>-100.19981449890136</v>
      </c>
      <c r="Y799" s="8">
        <f t="shared" si="25"/>
        <v>1.8194361056518744</v>
      </c>
    </row>
    <row r="800" spans="1:26" s="6" customFormat="1" x14ac:dyDescent="0.35">
      <c r="A800" s="6" t="s">
        <v>25</v>
      </c>
      <c r="B800" s="7" t="s">
        <v>1699</v>
      </c>
      <c r="D800" s="6" t="s">
        <v>1700</v>
      </c>
      <c r="E800" s="6">
        <v>4</v>
      </c>
      <c r="F800" s="6">
        <v>44</v>
      </c>
      <c r="G800" s="6" t="s">
        <v>335</v>
      </c>
      <c r="I800" s="8">
        <v>81.975306180555606</v>
      </c>
      <c r="J800" s="8">
        <v>9.2425022222222193</v>
      </c>
      <c r="K800" s="6" t="s">
        <v>29</v>
      </c>
      <c r="L800" s="6" t="s">
        <v>335</v>
      </c>
      <c r="M800" s="9">
        <v>44004</v>
      </c>
      <c r="O800" s="6">
        <v>39</v>
      </c>
      <c r="P800" s="6" t="s">
        <v>4405</v>
      </c>
      <c r="R800" s="10" t="s">
        <v>1701</v>
      </c>
      <c r="S800" s="10">
        <v>10</v>
      </c>
      <c r="T800" s="10">
        <v>15</v>
      </c>
      <c r="U800" s="10">
        <f t="shared" si="24"/>
        <v>12.5</v>
      </c>
      <c r="V800" s="11"/>
      <c r="W800" s="8">
        <v>-4.2253500046634676</v>
      </c>
      <c r="X800" s="8">
        <v>-32.977875343322751</v>
      </c>
      <c r="Y800" s="8">
        <f t="shared" si="25"/>
        <v>0.82492469398498969</v>
      </c>
    </row>
    <row r="801" spans="1:26" s="6" customFormat="1" x14ac:dyDescent="0.35">
      <c r="A801" s="6" t="s">
        <v>25</v>
      </c>
      <c r="B801" s="6" t="s">
        <v>1761</v>
      </c>
      <c r="D801" s="6" t="s">
        <v>1762</v>
      </c>
      <c r="E801" s="6">
        <v>4</v>
      </c>
      <c r="F801" s="6">
        <v>44</v>
      </c>
      <c r="I801" s="8">
        <v>81.975306180555606</v>
      </c>
      <c r="J801" s="8">
        <v>9.2425022222222193</v>
      </c>
      <c r="K801" s="6" t="s">
        <v>29</v>
      </c>
      <c r="L801" s="29" t="s">
        <v>335</v>
      </c>
      <c r="M801" s="9">
        <v>44004</v>
      </c>
      <c r="O801" s="6">
        <v>39</v>
      </c>
      <c r="P801" s="6" t="s">
        <v>4405</v>
      </c>
      <c r="S801" s="6">
        <v>10</v>
      </c>
      <c r="T801" s="6">
        <v>20</v>
      </c>
      <c r="U801" s="10">
        <f t="shared" si="24"/>
        <v>15</v>
      </c>
      <c r="V801" s="15">
        <v>1.3</v>
      </c>
      <c r="W801" s="8">
        <v>-3.4256785446166993</v>
      </c>
      <c r="X801" s="8">
        <v>-26.944594676971434</v>
      </c>
      <c r="Y801" s="8">
        <f t="shared" si="25"/>
        <v>0.4608336799621604</v>
      </c>
      <c r="Z801" s="6" t="s">
        <v>1760</v>
      </c>
    </row>
    <row r="802" spans="1:26" s="6" customFormat="1" x14ac:dyDescent="0.35">
      <c r="A802" s="6" t="s">
        <v>25</v>
      </c>
      <c r="B802" s="7" t="s">
        <v>1690</v>
      </c>
      <c r="D802" s="6" t="s">
        <v>1691</v>
      </c>
      <c r="E802" s="6">
        <v>4</v>
      </c>
      <c r="F802" s="6">
        <v>44</v>
      </c>
      <c r="G802" s="6" t="s">
        <v>335</v>
      </c>
      <c r="I802" s="8">
        <v>81.975306180555606</v>
      </c>
      <c r="J802" s="8">
        <v>9.2425022222222193</v>
      </c>
      <c r="K802" s="6" t="s">
        <v>29</v>
      </c>
      <c r="L802" s="6" t="s">
        <v>335</v>
      </c>
      <c r="M802" s="9">
        <v>44004</v>
      </c>
      <c r="O802" s="6">
        <v>39</v>
      </c>
      <c r="P802" s="6" t="s">
        <v>4405</v>
      </c>
      <c r="R802" s="10" t="s">
        <v>1692</v>
      </c>
      <c r="S802" s="10">
        <v>15</v>
      </c>
      <c r="T802" s="10">
        <v>20</v>
      </c>
      <c r="U802" s="10">
        <f t="shared" si="24"/>
        <v>17.5</v>
      </c>
      <c r="V802" s="11"/>
      <c r="W802" s="8">
        <v>-1.1199455971845982</v>
      </c>
      <c r="X802" s="8">
        <v>-8.9774748077392577</v>
      </c>
      <c r="Y802" s="8">
        <f t="shared" si="25"/>
        <v>-1.7910030262472176E-2</v>
      </c>
    </row>
    <row r="803" spans="1:26" s="6" customFormat="1" x14ac:dyDescent="0.35">
      <c r="A803" s="6" t="s">
        <v>25</v>
      </c>
      <c r="B803" s="7" t="s">
        <v>1693</v>
      </c>
      <c r="D803" s="6" t="s">
        <v>1694</v>
      </c>
      <c r="E803" s="6">
        <v>4</v>
      </c>
      <c r="F803" s="6">
        <v>44</v>
      </c>
      <c r="G803" s="6" t="s">
        <v>335</v>
      </c>
      <c r="I803" s="8">
        <v>81.975306180555606</v>
      </c>
      <c r="J803" s="8">
        <v>9.2425022222222193</v>
      </c>
      <c r="K803" s="6" t="s">
        <v>29</v>
      </c>
      <c r="L803" s="6" t="s">
        <v>335</v>
      </c>
      <c r="M803" s="9">
        <v>44004</v>
      </c>
      <c r="O803" s="6">
        <v>39</v>
      </c>
      <c r="P803" s="6" t="s">
        <v>4405</v>
      </c>
      <c r="R803" s="10" t="s">
        <v>1695</v>
      </c>
      <c r="S803" s="10">
        <v>20</v>
      </c>
      <c r="T803" s="10">
        <v>25</v>
      </c>
      <c r="U803" s="10">
        <f t="shared" si="24"/>
        <v>22.5</v>
      </c>
      <c r="V803" s="11"/>
      <c r="W803" s="8">
        <v>0.18905619133472429</v>
      </c>
      <c r="X803" s="8">
        <v>-0.41625156855583234</v>
      </c>
      <c r="Y803" s="8">
        <f t="shared" si="25"/>
        <v>-1.9287010992336266</v>
      </c>
    </row>
    <row r="804" spans="1:26" s="6" customFormat="1" x14ac:dyDescent="0.35">
      <c r="A804" s="6" t="s">
        <v>25</v>
      </c>
      <c r="B804" s="6" t="s">
        <v>1763</v>
      </c>
      <c r="D804" s="6" t="s">
        <v>1764</v>
      </c>
      <c r="E804" s="6">
        <v>4</v>
      </c>
      <c r="F804" s="6">
        <v>44</v>
      </c>
      <c r="I804" s="8">
        <v>81.975306180555606</v>
      </c>
      <c r="J804" s="8">
        <v>9.2425022222222193</v>
      </c>
      <c r="K804" s="6" t="s">
        <v>29</v>
      </c>
      <c r="L804" s="29" t="s">
        <v>335</v>
      </c>
      <c r="M804" s="9">
        <v>44004</v>
      </c>
      <c r="O804" s="6">
        <v>39</v>
      </c>
      <c r="P804" s="6" t="s">
        <v>4405</v>
      </c>
      <c r="S804" s="6">
        <v>20</v>
      </c>
      <c r="T804" s="6">
        <v>30</v>
      </c>
      <c r="U804" s="10">
        <f t="shared" si="24"/>
        <v>25</v>
      </c>
      <c r="V804" s="15">
        <v>2.4</v>
      </c>
      <c r="W804" s="8">
        <v>0.74762641983032241</v>
      </c>
      <c r="X804" s="8">
        <v>6.7876962833404537</v>
      </c>
      <c r="Y804" s="8">
        <f t="shared" si="25"/>
        <v>0.80668492469787445</v>
      </c>
      <c r="Z804" s="6" t="s">
        <v>1760</v>
      </c>
    </row>
    <row r="805" spans="1:26" s="6" customFormat="1" x14ac:dyDescent="0.35">
      <c r="A805" s="6" t="s">
        <v>25</v>
      </c>
      <c r="B805" s="7" t="s">
        <v>1651</v>
      </c>
      <c r="D805" s="6" t="s">
        <v>1652</v>
      </c>
      <c r="E805" s="6">
        <v>4</v>
      </c>
      <c r="F805" s="6">
        <v>44</v>
      </c>
      <c r="G805" s="6" t="s">
        <v>335</v>
      </c>
      <c r="I805" s="8">
        <v>81.975306180555606</v>
      </c>
      <c r="J805" s="8">
        <v>9.2425022222222193</v>
      </c>
      <c r="K805" s="6" t="s">
        <v>29</v>
      </c>
      <c r="L805" s="6" t="s">
        <v>335</v>
      </c>
      <c r="M805" s="9">
        <v>44004</v>
      </c>
      <c r="O805" s="6">
        <v>39</v>
      </c>
      <c r="P805" s="6" t="s">
        <v>4405</v>
      </c>
      <c r="R805" s="10" t="s">
        <v>1653</v>
      </c>
      <c r="S805" s="10">
        <v>25</v>
      </c>
      <c r="T805" s="10">
        <v>30</v>
      </c>
      <c r="U805" s="10">
        <f t="shared" si="24"/>
        <v>27.5</v>
      </c>
      <c r="V805" s="11"/>
      <c r="W805" s="8">
        <v>0.74295046494007133</v>
      </c>
      <c r="X805" s="8">
        <v>6.2375131783008575</v>
      </c>
      <c r="Y805" s="8">
        <f t="shared" si="25"/>
        <v>0.29390945878028685</v>
      </c>
    </row>
    <row r="806" spans="1:26" s="6" customFormat="1" x14ac:dyDescent="0.35">
      <c r="A806" s="6" t="s">
        <v>25</v>
      </c>
      <c r="B806" s="7" t="s">
        <v>1720</v>
      </c>
      <c r="D806" s="6" t="s">
        <v>1721</v>
      </c>
      <c r="E806" s="6">
        <v>4</v>
      </c>
      <c r="F806" s="6">
        <v>44</v>
      </c>
      <c r="G806" s="6" t="s">
        <v>335</v>
      </c>
      <c r="I806" s="8">
        <v>81.975306180555606</v>
      </c>
      <c r="J806" s="8">
        <v>9.2425022222222193</v>
      </c>
      <c r="K806" s="6" t="s">
        <v>29</v>
      </c>
      <c r="L806" s="6" t="s">
        <v>335</v>
      </c>
      <c r="M806" s="9">
        <v>44004</v>
      </c>
      <c r="O806" s="6">
        <v>39</v>
      </c>
      <c r="P806" s="6" t="s">
        <v>4405</v>
      </c>
      <c r="R806" s="10" t="s">
        <v>1722</v>
      </c>
      <c r="S806" s="10">
        <v>30</v>
      </c>
      <c r="T806" s="10">
        <v>35</v>
      </c>
      <c r="U806" s="10">
        <f t="shared" si="24"/>
        <v>32.5</v>
      </c>
      <c r="V806" s="11"/>
      <c r="W806" s="8">
        <v>0.86220333231449131</v>
      </c>
      <c r="X806" s="8">
        <v>6.6711386352181439</v>
      </c>
      <c r="Y806" s="8">
        <f t="shared" si="25"/>
        <v>-0.22648802329778661</v>
      </c>
    </row>
    <row r="807" spans="1:26" s="6" customFormat="1" x14ac:dyDescent="0.35">
      <c r="A807" s="6" t="s">
        <v>25</v>
      </c>
      <c r="B807" s="6" t="s">
        <v>1765</v>
      </c>
      <c r="D807" s="6" t="s">
        <v>1766</v>
      </c>
      <c r="E807" s="6">
        <v>4</v>
      </c>
      <c r="F807" s="6">
        <v>44</v>
      </c>
      <c r="I807" s="8">
        <v>81.975306180555606</v>
      </c>
      <c r="J807" s="8">
        <v>9.2425022222222193</v>
      </c>
      <c r="K807" s="6" t="s">
        <v>29</v>
      </c>
      <c r="L807" s="29" t="s">
        <v>335</v>
      </c>
      <c r="M807" s="9">
        <v>44004</v>
      </c>
      <c r="O807" s="6">
        <v>39</v>
      </c>
      <c r="P807" s="6" t="s">
        <v>4405</v>
      </c>
      <c r="S807" s="6">
        <v>30</v>
      </c>
      <c r="T807" s="6">
        <v>40</v>
      </c>
      <c r="U807" s="10">
        <f t="shared" si="24"/>
        <v>35</v>
      </c>
      <c r="V807" s="15">
        <v>2.6</v>
      </c>
      <c r="W807" s="8">
        <v>0.72302737884521462</v>
      </c>
      <c r="X807" s="8">
        <v>5.2175451707839962</v>
      </c>
      <c r="Y807" s="8">
        <f t="shared" si="25"/>
        <v>-0.5666738599777208</v>
      </c>
      <c r="Z807" s="6" t="s">
        <v>1760</v>
      </c>
    </row>
    <row r="808" spans="1:26" s="6" customFormat="1" x14ac:dyDescent="0.35">
      <c r="A808" s="6" t="s">
        <v>25</v>
      </c>
      <c r="B808" s="7" t="s">
        <v>1706</v>
      </c>
      <c r="D808" s="6" t="s">
        <v>1707</v>
      </c>
      <c r="E808" s="6">
        <v>4</v>
      </c>
      <c r="F808" s="6">
        <v>44</v>
      </c>
      <c r="G808" s="6" t="s">
        <v>335</v>
      </c>
      <c r="I808" s="8">
        <v>81.975306180555606</v>
      </c>
      <c r="J808" s="8">
        <v>9.2425022222222193</v>
      </c>
      <c r="K808" s="6" t="s">
        <v>29</v>
      </c>
      <c r="L808" s="6" t="s">
        <v>335</v>
      </c>
      <c r="M808" s="9">
        <v>44004</v>
      </c>
      <c r="O808" s="6">
        <v>39</v>
      </c>
      <c r="P808" s="6" t="s">
        <v>4405</v>
      </c>
      <c r="R808" s="10" t="s">
        <v>1708</v>
      </c>
      <c r="S808" s="10">
        <v>35</v>
      </c>
      <c r="T808" s="10">
        <v>40</v>
      </c>
      <c r="U808" s="10">
        <f t="shared" si="24"/>
        <v>37.5</v>
      </c>
      <c r="V808" s="11"/>
      <c r="W808" s="8">
        <v>0.81247080458164211</v>
      </c>
      <c r="X808" s="8">
        <v>5.5619379974678154</v>
      </c>
      <c r="Y808" s="8">
        <f t="shared" si="25"/>
        <v>-0.93782843918532155</v>
      </c>
    </row>
    <row r="809" spans="1:26" s="6" customFormat="1" x14ac:dyDescent="0.35">
      <c r="A809" s="6" t="s">
        <v>25</v>
      </c>
      <c r="B809" s="7" t="s">
        <v>1709</v>
      </c>
      <c r="D809" s="6" t="s">
        <v>1710</v>
      </c>
      <c r="E809" s="6">
        <v>4</v>
      </c>
      <c r="F809" s="6">
        <v>44</v>
      </c>
      <c r="G809" s="6" t="s">
        <v>335</v>
      </c>
      <c r="I809" s="8">
        <v>81.975306180555606</v>
      </c>
      <c r="J809" s="8">
        <v>9.2425022222222193</v>
      </c>
      <c r="K809" s="6" t="s">
        <v>29</v>
      </c>
      <c r="L809" s="6" t="s">
        <v>335</v>
      </c>
      <c r="M809" s="9">
        <v>44004</v>
      </c>
      <c r="O809" s="6">
        <v>39</v>
      </c>
      <c r="P809" s="6" t="s">
        <v>4405</v>
      </c>
      <c r="R809" s="10" t="s">
        <v>1711</v>
      </c>
      <c r="S809" s="10">
        <v>40</v>
      </c>
      <c r="T809" s="10">
        <v>45</v>
      </c>
      <c r="U809" s="10">
        <f t="shared" si="24"/>
        <v>42.5</v>
      </c>
      <c r="V809" s="11"/>
      <c r="W809" s="8">
        <v>0.71045686448574075</v>
      </c>
      <c r="X809" s="8">
        <v>4.2585168730020522</v>
      </c>
      <c r="Y809" s="8">
        <f t="shared" si="25"/>
        <v>-1.4251380428838738</v>
      </c>
    </row>
    <row r="810" spans="1:26" s="6" customFormat="1" x14ac:dyDescent="0.35">
      <c r="A810" s="6" t="s">
        <v>25</v>
      </c>
      <c r="B810" s="6" t="s">
        <v>1767</v>
      </c>
      <c r="D810" s="6" t="s">
        <v>1768</v>
      </c>
      <c r="E810" s="6">
        <v>4</v>
      </c>
      <c r="F810" s="6">
        <v>44</v>
      </c>
      <c r="I810" s="8">
        <v>81.975306180555606</v>
      </c>
      <c r="J810" s="8">
        <v>9.2425022222222193</v>
      </c>
      <c r="K810" s="6" t="s">
        <v>29</v>
      </c>
      <c r="L810" s="29" t="s">
        <v>335</v>
      </c>
      <c r="M810" s="9">
        <v>44004</v>
      </c>
      <c r="O810" s="6">
        <v>39</v>
      </c>
      <c r="P810" s="6" t="s">
        <v>4405</v>
      </c>
      <c r="S810" s="6">
        <v>40</v>
      </c>
      <c r="T810" s="6">
        <v>50</v>
      </c>
      <c r="U810" s="10">
        <f t="shared" si="24"/>
        <v>45</v>
      </c>
      <c r="V810" s="15">
        <v>3</v>
      </c>
      <c r="W810" s="8">
        <v>0.76530779914855995</v>
      </c>
      <c r="X810" s="8">
        <v>5.3916757965087898</v>
      </c>
      <c r="Y810" s="8">
        <f t="shared" si="25"/>
        <v>-0.73078659667968981</v>
      </c>
      <c r="Z810" s="6" t="s">
        <v>1760</v>
      </c>
    </row>
    <row r="811" spans="1:26" s="6" customFormat="1" x14ac:dyDescent="0.35">
      <c r="A811" s="6" t="s">
        <v>25</v>
      </c>
      <c r="B811" s="7" t="s">
        <v>1752</v>
      </c>
      <c r="D811" s="6" t="s">
        <v>1753</v>
      </c>
      <c r="E811" s="6">
        <v>4</v>
      </c>
      <c r="F811" s="6">
        <v>44</v>
      </c>
      <c r="G811" s="6" t="s">
        <v>335</v>
      </c>
      <c r="I811" s="8">
        <v>81.975306180555606</v>
      </c>
      <c r="J811" s="8">
        <v>9.2425022222222193</v>
      </c>
      <c r="K811" s="6" t="s">
        <v>29</v>
      </c>
      <c r="L811" s="6" t="s">
        <v>335</v>
      </c>
      <c r="M811" s="9">
        <v>44004</v>
      </c>
      <c r="O811" s="6">
        <v>39</v>
      </c>
      <c r="P811" s="6" t="s">
        <v>4405</v>
      </c>
      <c r="R811" s="10" t="s">
        <v>1754</v>
      </c>
      <c r="S811" s="10">
        <v>45</v>
      </c>
      <c r="T811" s="10">
        <v>50</v>
      </c>
      <c r="U811" s="10">
        <f t="shared" si="24"/>
        <v>47.5</v>
      </c>
      <c r="V811" s="11"/>
      <c r="W811" s="8">
        <v>0.77682738568186782</v>
      </c>
      <c r="X811" s="8">
        <v>6.8655481081008922</v>
      </c>
      <c r="Y811" s="8">
        <f t="shared" si="25"/>
        <v>0.65092902264594965</v>
      </c>
    </row>
    <row r="812" spans="1:26" s="6" customFormat="1" ht="14.25" customHeight="1" x14ac:dyDescent="0.35">
      <c r="A812" s="6" t="s">
        <v>25</v>
      </c>
      <c r="B812" s="7" t="s">
        <v>1726</v>
      </c>
      <c r="D812" s="6" t="s">
        <v>1727</v>
      </c>
      <c r="E812" s="6">
        <v>4</v>
      </c>
      <c r="F812" s="6">
        <v>44</v>
      </c>
      <c r="G812" s="6" t="s">
        <v>335</v>
      </c>
      <c r="I812" s="8">
        <v>81.975306180555606</v>
      </c>
      <c r="J812" s="8">
        <v>9.2425022222222193</v>
      </c>
      <c r="K812" s="6" t="s">
        <v>29</v>
      </c>
      <c r="L812" s="6" t="s">
        <v>335</v>
      </c>
      <c r="M812" s="9">
        <v>44004</v>
      </c>
      <c r="O812" s="6">
        <v>39</v>
      </c>
      <c r="P812" s="6" t="s">
        <v>4405</v>
      </c>
      <c r="R812" s="10" t="s">
        <v>1728</v>
      </c>
      <c r="S812" s="10">
        <v>50</v>
      </c>
      <c r="T812" s="10">
        <v>55</v>
      </c>
      <c r="U812" s="10">
        <f t="shared" si="24"/>
        <v>52.5</v>
      </c>
      <c r="V812" s="11"/>
      <c r="W812" s="8">
        <v>0.65778426648139943</v>
      </c>
      <c r="X812" s="8">
        <v>4.56160459703207</v>
      </c>
      <c r="Y812" s="8">
        <f t="shared" si="25"/>
        <v>-0.70066953481912542</v>
      </c>
    </row>
    <row r="813" spans="1:26" s="6" customFormat="1" x14ac:dyDescent="0.35">
      <c r="A813" s="6" t="s">
        <v>25</v>
      </c>
      <c r="B813" s="6" t="s">
        <v>1769</v>
      </c>
      <c r="D813" s="6" t="s">
        <v>1770</v>
      </c>
      <c r="E813" s="6">
        <v>4</v>
      </c>
      <c r="F813" s="6">
        <v>44</v>
      </c>
      <c r="I813" s="8">
        <v>81.975306180555606</v>
      </c>
      <c r="J813" s="8">
        <v>9.2425022222222193</v>
      </c>
      <c r="K813" s="6" t="s">
        <v>29</v>
      </c>
      <c r="L813" s="29" t="s">
        <v>335</v>
      </c>
      <c r="M813" s="9">
        <v>44004</v>
      </c>
      <c r="O813" s="6">
        <v>39</v>
      </c>
      <c r="P813" s="6" t="s">
        <v>4405</v>
      </c>
      <c r="S813" s="6">
        <v>50</v>
      </c>
      <c r="T813" s="6">
        <v>60</v>
      </c>
      <c r="U813" s="10">
        <f t="shared" si="24"/>
        <v>55</v>
      </c>
      <c r="V813" s="15">
        <v>2.2000000000000002</v>
      </c>
      <c r="W813" s="8">
        <v>0.80409568290710498</v>
      </c>
      <c r="X813" s="8">
        <v>6.8793241138458248</v>
      </c>
      <c r="Y813" s="8">
        <f t="shared" si="25"/>
        <v>0.44655865058898492</v>
      </c>
      <c r="Z813" s="6" t="s">
        <v>1760</v>
      </c>
    </row>
    <row r="814" spans="1:26" s="6" customFormat="1" x14ac:dyDescent="0.35">
      <c r="A814" s="6" t="s">
        <v>25</v>
      </c>
      <c r="B814" s="7" t="s">
        <v>1729</v>
      </c>
      <c r="D814" s="6" t="s">
        <v>1730</v>
      </c>
      <c r="E814" s="6">
        <v>4</v>
      </c>
      <c r="F814" s="6">
        <v>44</v>
      </c>
      <c r="G814" s="6" t="s">
        <v>335</v>
      </c>
      <c r="I814" s="8">
        <v>81.975306180555606</v>
      </c>
      <c r="J814" s="8">
        <v>9.2425022222222193</v>
      </c>
      <c r="K814" s="6" t="s">
        <v>29</v>
      </c>
      <c r="L814" s="6" t="s">
        <v>335</v>
      </c>
      <c r="M814" s="9">
        <v>44004</v>
      </c>
      <c r="O814" s="6">
        <v>39</v>
      </c>
      <c r="P814" s="6" t="s">
        <v>4405</v>
      </c>
      <c r="R814" s="10" t="s">
        <v>1731</v>
      </c>
      <c r="S814" s="10">
        <v>55</v>
      </c>
      <c r="T814" s="10">
        <v>60</v>
      </c>
      <c r="U814" s="10">
        <f t="shared" si="24"/>
        <v>57.5</v>
      </c>
      <c r="V814" s="11"/>
      <c r="W814" s="8">
        <v>0.56419146727323521</v>
      </c>
      <c r="X814" s="8">
        <v>5.6717325739860538</v>
      </c>
      <c r="Y814" s="8">
        <f t="shared" si="25"/>
        <v>1.1582008358001721</v>
      </c>
    </row>
    <row r="815" spans="1:26" s="6" customFormat="1" x14ac:dyDescent="0.35">
      <c r="A815" s="6" t="s">
        <v>25</v>
      </c>
      <c r="B815" s="7" t="s">
        <v>1657</v>
      </c>
      <c r="D815" s="6" t="s">
        <v>1658</v>
      </c>
      <c r="E815" s="6">
        <v>4</v>
      </c>
      <c r="F815" s="6">
        <v>44</v>
      </c>
      <c r="G815" s="6" t="s">
        <v>335</v>
      </c>
      <c r="I815" s="8">
        <v>81.975306180555606</v>
      </c>
      <c r="J815" s="8">
        <v>9.2425022222222193</v>
      </c>
      <c r="K815" s="6" t="s">
        <v>29</v>
      </c>
      <c r="L815" s="6" t="s">
        <v>335</v>
      </c>
      <c r="M815" s="9">
        <v>44004</v>
      </c>
      <c r="O815" s="6">
        <v>39</v>
      </c>
      <c r="P815" s="6" t="s">
        <v>4405</v>
      </c>
      <c r="R815" s="10" t="s">
        <v>1659</v>
      </c>
      <c r="S815" s="10">
        <v>60</v>
      </c>
      <c r="T815" s="10">
        <v>65</v>
      </c>
      <c r="U815" s="10">
        <f t="shared" si="24"/>
        <v>62.5</v>
      </c>
      <c r="V815" s="11"/>
      <c r="W815" s="8">
        <v>0.24749375014603164</v>
      </c>
      <c r="X815" s="8">
        <v>3.00355314482078</v>
      </c>
      <c r="Y815" s="8">
        <f t="shared" si="25"/>
        <v>1.0236031436525268</v>
      </c>
    </row>
    <row r="816" spans="1:26" s="6" customFormat="1" x14ac:dyDescent="0.35">
      <c r="A816" s="6" t="s">
        <v>25</v>
      </c>
      <c r="B816" s="6" t="s">
        <v>1771</v>
      </c>
      <c r="D816" s="6" t="s">
        <v>1772</v>
      </c>
      <c r="E816" s="6">
        <v>4</v>
      </c>
      <c r="F816" s="6">
        <v>44</v>
      </c>
      <c r="I816" s="8">
        <v>81.975306180555606</v>
      </c>
      <c r="J816" s="8">
        <v>9.2425022222222193</v>
      </c>
      <c r="K816" s="6" t="s">
        <v>29</v>
      </c>
      <c r="L816" s="29" t="s">
        <v>335</v>
      </c>
      <c r="M816" s="9">
        <v>44004</v>
      </c>
      <c r="O816" s="6">
        <v>39</v>
      </c>
      <c r="P816" s="6" t="s">
        <v>4405</v>
      </c>
      <c r="S816" s="6">
        <v>60</v>
      </c>
      <c r="T816" s="6">
        <v>70</v>
      </c>
      <c r="U816" s="10">
        <f t="shared" si="24"/>
        <v>65</v>
      </c>
      <c r="V816" s="15">
        <v>2.2000000000000002</v>
      </c>
      <c r="W816" s="8">
        <v>0.73114222412109409</v>
      </c>
      <c r="X816" s="8">
        <v>6.7904059581756595</v>
      </c>
      <c r="Y816" s="8">
        <f t="shared" si="25"/>
        <v>0.94126816520690682</v>
      </c>
      <c r="Z816" s="6" t="s">
        <v>1760</v>
      </c>
    </row>
    <row r="817" spans="1:26" s="6" customFormat="1" x14ac:dyDescent="0.35">
      <c r="A817" s="6" t="s">
        <v>25</v>
      </c>
      <c r="B817" s="7" t="s">
        <v>1712</v>
      </c>
      <c r="D817" s="6" t="s">
        <v>1713</v>
      </c>
      <c r="E817" s="6">
        <v>4</v>
      </c>
      <c r="F817" s="6">
        <v>44</v>
      </c>
      <c r="G817" s="6" t="s">
        <v>335</v>
      </c>
      <c r="I817" s="8">
        <v>81.975306180555606</v>
      </c>
      <c r="J817" s="8">
        <v>9.2425022222222193</v>
      </c>
      <c r="K817" s="6" t="s">
        <v>29</v>
      </c>
      <c r="L817" s="6" t="s">
        <v>335</v>
      </c>
      <c r="M817" s="9">
        <v>44004</v>
      </c>
      <c r="O817" s="6">
        <v>39</v>
      </c>
      <c r="P817" s="6" t="s">
        <v>4405</v>
      </c>
      <c r="R817" s="10"/>
      <c r="S817" s="10">
        <v>65</v>
      </c>
      <c r="T817" s="10">
        <v>70</v>
      </c>
      <c r="U817" s="10">
        <f t="shared" si="24"/>
        <v>67.5</v>
      </c>
      <c r="V817" s="11"/>
      <c r="W817" s="8">
        <v>0.32640166402816795</v>
      </c>
      <c r="X817" s="8">
        <v>4.2609401771426203</v>
      </c>
      <c r="Y817" s="8">
        <f t="shared" si="25"/>
        <v>1.6497268649172767</v>
      </c>
    </row>
    <row r="818" spans="1:26" s="6" customFormat="1" x14ac:dyDescent="0.35">
      <c r="A818" s="6" t="s">
        <v>25</v>
      </c>
      <c r="B818" s="7" t="s">
        <v>1755</v>
      </c>
      <c r="D818" s="6" t="s">
        <v>1756</v>
      </c>
      <c r="E818" s="6">
        <v>4</v>
      </c>
      <c r="F818" s="6">
        <v>44</v>
      </c>
      <c r="G818" s="6" t="s">
        <v>335</v>
      </c>
      <c r="I818" s="8">
        <v>81.975306180555606</v>
      </c>
      <c r="J818" s="8">
        <v>9.2425022222222193</v>
      </c>
      <c r="K818" s="6" t="s">
        <v>29</v>
      </c>
      <c r="L818" s="6" t="s">
        <v>335</v>
      </c>
      <c r="M818" s="9">
        <v>44004</v>
      </c>
      <c r="O818" s="6">
        <v>39</v>
      </c>
      <c r="P818" s="6" t="s">
        <v>4405</v>
      </c>
      <c r="R818" s="10" t="s">
        <v>1757</v>
      </c>
      <c r="S818" s="10">
        <v>65</v>
      </c>
      <c r="T818" s="10">
        <v>70</v>
      </c>
      <c r="U818" s="10">
        <f t="shared" si="24"/>
        <v>67.5</v>
      </c>
      <c r="V818" s="11"/>
      <c r="W818" s="8">
        <v>0.36569000950753672</v>
      </c>
      <c r="X818" s="8">
        <v>4.1969031088352198</v>
      </c>
      <c r="Y818" s="8">
        <f t="shared" si="25"/>
        <v>1.271383032774926</v>
      </c>
    </row>
    <row r="819" spans="1:26" s="6" customFormat="1" x14ac:dyDescent="0.35">
      <c r="A819" s="6" t="s">
        <v>25</v>
      </c>
      <c r="B819" s="7" t="s">
        <v>1654</v>
      </c>
      <c r="D819" s="6" t="s">
        <v>1655</v>
      </c>
      <c r="E819" s="6">
        <v>4</v>
      </c>
      <c r="F819" s="6">
        <v>44</v>
      </c>
      <c r="G819" s="6" t="s">
        <v>335</v>
      </c>
      <c r="I819" s="8">
        <v>81.975306180555606</v>
      </c>
      <c r="J819" s="8">
        <v>9.2425022222222193</v>
      </c>
      <c r="K819" s="6" t="s">
        <v>29</v>
      </c>
      <c r="L819" s="6" t="s">
        <v>335</v>
      </c>
      <c r="M819" s="9">
        <v>44004</v>
      </c>
      <c r="O819" s="6">
        <v>39</v>
      </c>
      <c r="P819" s="6" t="s">
        <v>4405</v>
      </c>
      <c r="R819" s="10" t="s">
        <v>1656</v>
      </c>
      <c r="S819" s="10">
        <v>70</v>
      </c>
      <c r="T819" s="10">
        <v>75</v>
      </c>
      <c r="U819" s="10">
        <f t="shared" si="24"/>
        <v>72.5</v>
      </c>
      <c r="V819" s="11"/>
      <c r="W819" s="8">
        <v>-8.562178269028678E-2</v>
      </c>
      <c r="X819" s="8">
        <v>1.0926283812522881</v>
      </c>
      <c r="Y819" s="8">
        <f t="shared" si="25"/>
        <v>1.7776026427745824</v>
      </c>
    </row>
    <row r="820" spans="1:26" s="6" customFormat="1" x14ac:dyDescent="0.35">
      <c r="A820" s="6" t="s">
        <v>25</v>
      </c>
      <c r="B820" s="7" t="s">
        <v>1704</v>
      </c>
      <c r="D820" s="6" t="s">
        <v>1705</v>
      </c>
      <c r="E820" s="6">
        <v>4</v>
      </c>
      <c r="F820" s="6">
        <v>44</v>
      </c>
      <c r="G820" s="6" t="s">
        <v>335</v>
      </c>
      <c r="I820" s="8">
        <v>81.975306180555606</v>
      </c>
      <c r="J820" s="8">
        <v>9.2425022222222193</v>
      </c>
      <c r="K820" s="6" t="s">
        <v>29</v>
      </c>
      <c r="L820" s="6" t="s">
        <v>335</v>
      </c>
      <c r="M820" s="9">
        <v>44004</v>
      </c>
      <c r="O820" s="6">
        <v>39</v>
      </c>
      <c r="P820" s="6" t="s">
        <v>4405</v>
      </c>
      <c r="R820" s="10"/>
      <c r="S820" s="10">
        <v>70</v>
      </c>
      <c r="T820" s="10">
        <v>75</v>
      </c>
      <c r="U820" s="10">
        <f t="shared" si="24"/>
        <v>72.5</v>
      </c>
      <c r="V820" s="11"/>
      <c r="W820" s="8">
        <v>0.24056912059545499</v>
      </c>
      <c r="X820" s="8">
        <v>1.3450067229270934</v>
      </c>
      <c r="Y820" s="8">
        <f t="shared" si="25"/>
        <v>-0.57954624183654646</v>
      </c>
    </row>
    <row r="821" spans="1:26" s="6" customFormat="1" x14ac:dyDescent="0.35">
      <c r="A821" s="6" t="s">
        <v>25</v>
      </c>
      <c r="B821" s="6" t="s">
        <v>1773</v>
      </c>
      <c r="D821" s="6" t="s">
        <v>1774</v>
      </c>
      <c r="E821" s="6">
        <v>4</v>
      </c>
      <c r="F821" s="6">
        <v>44</v>
      </c>
      <c r="I821" s="8">
        <v>81.975306180555606</v>
      </c>
      <c r="J821" s="8">
        <v>9.2425022222222193</v>
      </c>
      <c r="K821" s="6" t="s">
        <v>29</v>
      </c>
      <c r="L821" s="29" t="s">
        <v>335</v>
      </c>
      <c r="M821" s="9">
        <v>44004</v>
      </c>
      <c r="O821" s="6">
        <v>39</v>
      </c>
      <c r="P821" s="6" t="s">
        <v>4405</v>
      </c>
      <c r="S821" s="6">
        <v>70</v>
      </c>
      <c r="T821" s="6">
        <v>80</v>
      </c>
      <c r="U821" s="10">
        <f t="shared" si="24"/>
        <v>75</v>
      </c>
      <c r="V821" s="15">
        <v>2.7</v>
      </c>
      <c r="W821" s="8">
        <v>0.88616380290985108</v>
      </c>
      <c r="X821" s="8">
        <v>4.7309393005371092</v>
      </c>
      <c r="Y821" s="8">
        <f t="shared" si="25"/>
        <v>-2.3583711227416995</v>
      </c>
      <c r="Z821" s="6" t="s">
        <v>1760</v>
      </c>
    </row>
    <row r="822" spans="1:26" s="6" customFormat="1" x14ac:dyDescent="0.35">
      <c r="A822" s="6" t="s">
        <v>25</v>
      </c>
      <c r="B822" s="7" t="s">
        <v>1702</v>
      </c>
      <c r="D822" s="6" t="s">
        <v>1703</v>
      </c>
      <c r="E822" s="6">
        <v>4</v>
      </c>
      <c r="F822" s="6">
        <v>44</v>
      </c>
      <c r="G822" s="6" t="s">
        <v>335</v>
      </c>
      <c r="I822" s="8">
        <v>81.975306180555606</v>
      </c>
      <c r="J822" s="8">
        <v>9.2425022222222193</v>
      </c>
      <c r="K822" s="6" t="s">
        <v>29</v>
      </c>
      <c r="L822" s="6" t="s">
        <v>335</v>
      </c>
      <c r="M822" s="9">
        <v>44004</v>
      </c>
      <c r="O822" s="6">
        <v>39</v>
      </c>
      <c r="P822" s="6" t="s">
        <v>4405</v>
      </c>
      <c r="R822" s="10"/>
      <c r="S822" s="10">
        <v>75</v>
      </c>
      <c r="T822" s="10">
        <v>80</v>
      </c>
      <c r="U822" s="10">
        <f t="shared" si="24"/>
        <v>77.5</v>
      </c>
      <c r="V822" s="11"/>
      <c r="W822" s="8">
        <v>2.0413501272201776E-2</v>
      </c>
      <c r="X822" s="8">
        <v>-0.24120450305938848</v>
      </c>
      <c r="Y822" s="8">
        <f t="shared" si="25"/>
        <v>-0.40451251323700266</v>
      </c>
    </row>
    <row r="823" spans="1:26" s="6" customFormat="1" x14ac:dyDescent="0.35">
      <c r="A823" s="6" t="s">
        <v>25</v>
      </c>
      <c r="B823" s="7" t="s">
        <v>1723</v>
      </c>
      <c r="D823" s="6" t="s">
        <v>1724</v>
      </c>
      <c r="E823" s="6">
        <v>4</v>
      </c>
      <c r="F823" s="6">
        <v>44</v>
      </c>
      <c r="G823" s="6" t="s">
        <v>335</v>
      </c>
      <c r="I823" s="8">
        <v>81.975306180555606</v>
      </c>
      <c r="J823" s="8">
        <v>9.2425022222222193</v>
      </c>
      <c r="K823" s="6" t="s">
        <v>29</v>
      </c>
      <c r="L823" s="6" t="s">
        <v>335</v>
      </c>
      <c r="M823" s="9">
        <v>44004</v>
      </c>
      <c r="O823" s="6">
        <v>39</v>
      </c>
      <c r="P823" s="6" t="s">
        <v>4405</v>
      </c>
      <c r="R823" s="10" t="s">
        <v>1725</v>
      </c>
      <c r="S823" s="10">
        <v>75</v>
      </c>
      <c r="T823" s="10">
        <v>80</v>
      </c>
      <c r="U823" s="10">
        <f t="shared" si="24"/>
        <v>77.5</v>
      </c>
      <c r="V823" s="11"/>
      <c r="W823" s="8">
        <v>9.2205164442062532E-2</v>
      </c>
      <c r="X823" s="8">
        <v>0.24602518987655597</v>
      </c>
      <c r="Y823" s="8">
        <f t="shared" si="25"/>
        <v>-0.49161612565994428</v>
      </c>
    </row>
    <row r="824" spans="1:26" s="6" customFormat="1" x14ac:dyDescent="0.35">
      <c r="A824" s="6" t="s">
        <v>25</v>
      </c>
      <c r="B824" s="7" t="s">
        <v>1675</v>
      </c>
      <c r="D824" s="6" t="s">
        <v>1676</v>
      </c>
      <c r="E824" s="6">
        <v>4</v>
      </c>
      <c r="F824" s="6">
        <v>44</v>
      </c>
      <c r="G824" s="6" t="s">
        <v>335</v>
      </c>
      <c r="I824" s="8">
        <v>81.975306180555606</v>
      </c>
      <c r="J824" s="8">
        <v>9.2425022222222193</v>
      </c>
      <c r="K824" s="6" t="s">
        <v>29</v>
      </c>
      <c r="L824" s="6" t="s">
        <v>335</v>
      </c>
      <c r="M824" s="9">
        <v>44004</v>
      </c>
      <c r="O824" s="6">
        <v>39</v>
      </c>
      <c r="P824" s="6" t="s">
        <v>4405</v>
      </c>
      <c r="R824" s="10" t="s">
        <v>1677</v>
      </c>
      <c r="S824" s="10">
        <v>80</v>
      </c>
      <c r="T824" s="10">
        <v>85</v>
      </c>
      <c r="U824" s="10">
        <f t="shared" si="24"/>
        <v>82.5</v>
      </c>
      <c r="V824" s="11"/>
      <c r="W824" s="8">
        <v>-0.1014428209885959</v>
      </c>
      <c r="X824" s="8">
        <v>0.71669842505454995</v>
      </c>
      <c r="Y824" s="8">
        <f t="shared" si="25"/>
        <v>1.5282409929633172</v>
      </c>
    </row>
    <row r="825" spans="1:26" s="6" customFormat="1" x14ac:dyDescent="0.35">
      <c r="A825" s="6" t="s">
        <v>25</v>
      </c>
      <c r="B825" s="7" t="s">
        <v>1732</v>
      </c>
      <c r="D825" s="6" t="s">
        <v>1733</v>
      </c>
      <c r="E825" s="6">
        <v>4</v>
      </c>
      <c r="F825" s="6">
        <v>44</v>
      </c>
      <c r="G825" s="6" t="s">
        <v>335</v>
      </c>
      <c r="I825" s="8">
        <v>81.975306180555606</v>
      </c>
      <c r="J825" s="8">
        <v>9.2425022222222193</v>
      </c>
      <c r="K825" s="6" t="s">
        <v>29</v>
      </c>
      <c r="L825" s="6" t="s">
        <v>335</v>
      </c>
      <c r="M825" s="9">
        <v>44004</v>
      </c>
      <c r="O825" s="6">
        <v>39</v>
      </c>
      <c r="P825" s="6" t="s">
        <v>4405</v>
      </c>
      <c r="R825" s="10"/>
      <c r="S825" s="10">
        <v>80</v>
      </c>
      <c r="T825" s="10">
        <v>85</v>
      </c>
      <c r="U825" s="10">
        <f t="shared" si="24"/>
        <v>82.5</v>
      </c>
      <c r="V825" s="11"/>
      <c r="W825" s="8">
        <v>-4.6898802448809424E-2</v>
      </c>
      <c r="X825" s="8">
        <v>0.42750841546058671</v>
      </c>
      <c r="Y825" s="8">
        <f t="shared" si="25"/>
        <v>0.8026988350510621</v>
      </c>
    </row>
    <row r="826" spans="1:26" s="6" customFormat="1" x14ac:dyDescent="0.35">
      <c r="A826" s="6" t="s">
        <v>25</v>
      </c>
      <c r="B826" s="6" t="s">
        <v>1775</v>
      </c>
      <c r="D826" s="6" t="s">
        <v>1776</v>
      </c>
      <c r="E826" s="6">
        <v>4</v>
      </c>
      <c r="F826" s="6">
        <v>44</v>
      </c>
      <c r="I826" s="8">
        <v>81.975306180555606</v>
      </c>
      <c r="J826" s="8">
        <v>9.2425022222222193</v>
      </c>
      <c r="K826" s="6" t="s">
        <v>29</v>
      </c>
      <c r="L826" s="29" t="s">
        <v>335</v>
      </c>
      <c r="M826" s="9">
        <v>44004</v>
      </c>
      <c r="O826" s="6">
        <v>39</v>
      </c>
      <c r="P826" s="6" t="s">
        <v>4405</v>
      </c>
      <c r="S826" s="6">
        <v>80</v>
      </c>
      <c r="T826" s="6">
        <v>90</v>
      </c>
      <c r="U826" s="10">
        <f t="shared" si="24"/>
        <v>85</v>
      </c>
      <c r="V826" s="15">
        <v>2.4</v>
      </c>
      <c r="W826" s="8">
        <v>0.37509677867889357</v>
      </c>
      <c r="X826" s="8">
        <v>2.8474844398498536</v>
      </c>
      <c r="Y826" s="8">
        <f t="shared" si="25"/>
        <v>-0.15328978958129502</v>
      </c>
      <c r="Z826" s="6" t="s">
        <v>1760</v>
      </c>
    </row>
    <row r="827" spans="1:26" s="6" customFormat="1" x14ac:dyDescent="0.35">
      <c r="A827" s="6" t="s">
        <v>25</v>
      </c>
      <c r="B827" s="7" t="s">
        <v>1714</v>
      </c>
      <c r="D827" s="6" t="s">
        <v>1715</v>
      </c>
      <c r="E827" s="6">
        <v>4</v>
      </c>
      <c r="F827" s="6">
        <v>44</v>
      </c>
      <c r="G827" s="6" t="s">
        <v>335</v>
      </c>
      <c r="I827" s="8">
        <v>81.975306180555606</v>
      </c>
      <c r="J827" s="8">
        <v>9.2425022222222193</v>
      </c>
      <c r="K827" s="6" t="s">
        <v>29</v>
      </c>
      <c r="L827" s="6" t="s">
        <v>335</v>
      </c>
      <c r="M827" s="9">
        <v>44004</v>
      </c>
      <c r="O827" s="6">
        <v>39</v>
      </c>
      <c r="P827" s="6" t="s">
        <v>4405</v>
      </c>
      <c r="R827" s="10" t="s">
        <v>1716</v>
      </c>
      <c r="S827" s="10">
        <v>85</v>
      </c>
      <c r="T827" s="10">
        <v>90</v>
      </c>
      <c r="U827" s="10">
        <f t="shared" si="24"/>
        <v>87.5</v>
      </c>
      <c r="V827" s="11"/>
      <c r="W827" s="8">
        <v>-0.1220574519464374</v>
      </c>
      <c r="X827" s="8">
        <v>-1.2721333158016208</v>
      </c>
      <c r="Y827" s="8">
        <f t="shared" si="25"/>
        <v>-0.29567370023012163</v>
      </c>
    </row>
    <row r="828" spans="1:26" s="6" customFormat="1" x14ac:dyDescent="0.35">
      <c r="A828" s="6" t="s">
        <v>25</v>
      </c>
      <c r="B828" s="7" t="s">
        <v>1684</v>
      </c>
      <c r="D828" s="6" t="s">
        <v>1685</v>
      </c>
      <c r="E828" s="6">
        <v>4</v>
      </c>
      <c r="F828" s="6">
        <v>44</v>
      </c>
      <c r="G828" s="6" t="s">
        <v>335</v>
      </c>
      <c r="I828" s="8">
        <v>81.975306180555606</v>
      </c>
      <c r="J828" s="8">
        <v>9.2425022222222193</v>
      </c>
      <c r="K828" s="6" t="s">
        <v>29</v>
      </c>
      <c r="L828" s="6" t="s">
        <v>335</v>
      </c>
      <c r="M828" s="9">
        <v>44004</v>
      </c>
      <c r="O828" s="6">
        <v>39</v>
      </c>
      <c r="P828" s="6" t="s">
        <v>4405</v>
      </c>
      <c r="R828" s="10" t="s">
        <v>1686</v>
      </c>
      <c r="S828" s="10">
        <v>90</v>
      </c>
      <c r="T828" s="10">
        <v>95</v>
      </c>
      <c r="U828" s="10">
        <f t="shared" si="24"/>
        <v>92.5</v>
      </c>
      <c r="V828" s="11"/>
      <c r="W828" s="8">
        <v>-0.35667059135437007</v>
      </c>
      <c r="X828" s="8">
        <v>-1.9460414443016059</v>
      </c>
      <c r="Y828" s="8">
        <f t="shared" si="25"/>
        <v>0.9073232865333547</v>
      </c>
    </row>
    <row r="829" spans="1:26" s="6" customFormat="1" x14ac:dyDescent="0.35">
      <c r="A829" s="6" t="s">
        <v>25</v>
      </c>
      <c r="B829" s="6" t="s">
        <v>1777</v>
      </c>
      <c r="D829" s="6" t="s">
        <v>1778</v>
      </c>
      <c r="E829" s="6">
        <v>4</v>
      </c>
      <c r="F829" s="6">
        <v>44</v>
      </c>
      <c r="I829" s="8">
        <v>81.975306180555606</v>
      </c>
      <c r="J829" s="8">
        <v>9.2425022222222193</v>
      </c>
      <c r="K829" s="6" t="s">
        <v>29</v>
      </c>
      <c r="L829" s="29" t="s">
        <v>335</v>
      </c>
      <c r="M829" s="9">
        <v>44004</v>
      </c>
      <c r="O829" s="6">
        <v>39</v>
      </c>
      <c r="P829" s="6" t="s">
        <v>4405</v>
      </c>
      <c r="S829" s="6">
        <v>90</v>
      </c>
      <c r="T829" s="6">
        <v>100</v>
      </c>
      <c r="U829" s="10">
        <f t="shared" si="24"/>
        <v>95</v>
      </c>
      <c r="V829" s="15">
        <v>2.8</v>
      </c>
      <c r="W829" s="8">
        <v>5.0586683678627051E-2</v>
      </c>
      <c r="X829" s="8">
        <v>1.2812546138763432</v>
      </c>
      <c r="Y829" s="8">
        <f t="shared" si="25"/>
        <v>0.8765611444473268</v>
      </c>
      <c r="Z829" s="6" t="s">
        <v>1760</v>
      </c>
    </row>
    <row r="830" spans="1:26" s="6" customFormat="1" x14ac:dyDescent="0.35">
      <c r="A830" s="6" t="s">
        <v>25</v>
      </c>
      <c r="B830" s="7" t="s">
        <v>1687</v>
      </c>
      <c r="D830" s="6" t="s">
        <v>1688</v>
      </c>
      <c r="E830" s="6">
        <v>4</v>
      </c>
      <c r="F830" s="6">
        <v>44</v>
      </c>
      <c r="G830" s="6" t="s">
        <v>335</v>
      </c>
      <c r="I830" s="8">
        <v>81.975306180555606</v>
      </c>
      <c r="J830" s="8">
        <v>9.2425022222222193</v>
      </c>
      <c r="K830" s="6" t="s">
        <v>29</v>
      </c>
      <c r="L830" s="6" t="s">
        <v>335</v>
      </c>
      <c r="M830" s="9">
        <v>44004</v>
      </c>
      <c r="O830" s="6">
        <v>39</v>
      </c>
      <c r="P830" s="6" t="s">
        <v>4405</v>
      </c>
      <c r="R830" s="10" t="s">
        <v>1689</v>
      </c>
      <c r="S830" s="10">
        <v>95</v>
      </c>
      <c r="T830" s="10">
        <v>100</v>
      </c>
      <c r="U830" s="10">
        <f t="shared" si="24"/>
        <v>97.5</v>
      </c>
      <c r="V830" s="11"/>
      <c r="W830" s="8">
        <v>-0.35807895951509472</v>
      </c>
      <c r="X830" s="8">
        <v>-0.84686506772041359</v>
      </c>
      <c r="Y830" s="8">
        <f t="shared" si="25"/>
        <v>2.0177666084003443</v>
      </c>
    </row>
    <row r="831" spans="1:26" s="6" customFormat="1" x14ac:dyDescent="0.35">
      <c r="A831" s="6" t="s">
        <v>25</v>
      </c>
      <c r="B831" s="7" t="s">
        <v>1663</v>
      </c>
      <c r="D831" s="6" t="s">
        <v>1664</v>
      </c>
      <c r="E831" s="6">
        <v>4</v>
      </c>
      <c r="F831" s="6">
        <v>44</v>
      </c>
      <c r="G831" s="6" t="s">
        <v>335</v>
      </c>
      <c r="I831" s="8">
        <v>81.975306180555606</v>
      </c>
      <c r="J831" s="8">
        <v>9.2425022222222193</v>
      </c>
      <c r="K831" s="6" t="s">
        <v>29</v>
      </c>
      <c r="L831" s="6" t="s">
        <v>335</v>
      </c>
      <c r="M831" s="9">
        <v>44004</v>
      </c>
      <c r="O831" s="6">
        <v>39</v>
      </c>
      <c r="P831" s="6" t="s">
        <v>4405</v>
      </c>
      <c r="R831" s="10" t="s">
        <v>1665</v>
      </c>
      <c r="S831" s="10">
        <v>100</v>
      </c>
      <c r="T831" s="10">
        <v>105</v>
      </c>
      <c r="U831" s="10">
        <f t="shared" si="24"/>
        <v>102.5</v>
      </c>
      <c r="V831" s="11"/>
      <c r="W831" s="8">
        <v>-0.4013799905478953</v>
      </c>
      <c r="X831" s="8">
        <v>-1.3477356877326969</v>
      </c>
      <c r="Y831" s="8">
        <f t="shared" si="25"/>
        <v>1.8633042366504655</v>
      </c>
    </row>
    <row r="832" spans="1:26" s="6" customFormat="1" x14ac:dyDescent="0.35">
      <c r="A832" s="6" t="s">
        <v>25</v>
      </c>
      <c r="B832" s="6" t="s">
        <v>1779</v>
      </c>
      <c r="D832" s="6" t="s">
        <v>1780</v>
      </c>
      <c r="E832" s="6">
        <v>4</v>
      </c>
      <c r="F832" s="6">
        <v>44</v>
      </c>
      <c r="I832" s="8">
        <v>81.975306180555606</v>
      </c>
      <c r="J832" s="8">
        <v>9.2425022222222193</v>
      </c>
      <c r="K832" s="6" t="s">
        <v>29</v>
      </c>
      <c r="L832" s="29" t="s">
        <v>335</v>
      </c>
      <c r="M832" s="9">
        <v>44004</v>
      </c>
      <c r="O832" s="6">
        <v>39</v>
      </c>
      <c r="P832" s="6" t="s">
        <v>4405</v>
      </c>
      <c r="S832" s="6">
        <v>100</v>
      </c>
      <c r="T832" s="6">
        <v>110</v>
      </c>
      <c r="U832" s="10">
        <f t="shared" si="24"/>
        <v>105</v>
      </c>
      <c r="V832" s="15">
        <v>3.9</v>
      </c>
      <c r="W832" s="8">
        <v>-9.7454142722487827E-2</v>
      </c>
      <c r="X832" s="8">
        <v>-1.5053944368362431</v>
      </c>
      <c r="Y832" s="8">
        <f t="shared" si="25"/>
        <v>-0.72576129505634046</v>
      </c>
      <c r="Z832" s="6" t="s">
        <v>1760</v>
      </c>
    </row>
    <row r="833" spans="1:26" s="6" customFormat="1" x14ac:dyDescent="0.35">
      <c r="A833" s="6" t="s">
        <v>25</v>
      </c>
      <c r="B833" s="7" t="s">
        <v>1678</v>
      </c>
      <c r="D833" s="6" t="s">
        <v>1679</v>
      </c>
      <c r="E833" s="6">
        <v>4</v>
      </c>
      <c r="F833" s="6">
        <v>44</v>
      </c>
      <c r="G833" s="6" t="s">
        <v>335</v>
      </c>
      <c r="I833" s="8">
        <v>81.975306180555606</v>
      </c>
      <c r="J833" s="8">
        <v>9.2425022222222193</v>
      </c>
      <c r="K833" s="6" t="s">
        <v>29</v>
      </c>
      <c r="L833" s="6" t="s">
        <v>335</v>
      </c>
      <c r="M833" s="9">
        <v>44004</v>
      </c>
      <c r="O833" s="6">
        <v>39</v>
      </c>
      <c r="P833" s="6" t="s">
        <v>4405</v>
      </c>
      <c r="R833" s="10" t="s">
        <v>1680</v>
      </c>
      <c r="S833" s="10">
        <v>105</v>
      </c>
      <c r="T833" s="10">
        <v>110</v>
      </c>
      <c r="U833" s="10">
        <f t="shared" si="24"/>
        <v>107.5</v>
      </c>
      <c r="V833" s="11"/>
      <c r="W833" s="8">
        <v>-0.3877804985344413</v>
      </c>
      <c r="X833" s="8">
        <v>-2.7701891412734985</v>
      </c>
      <c r="Y833" s="8">
        <f t="shared" si="25"/>
        <v>0.33205484700203192</v>
      </c>
    </row>
    <row r="834" spans="1:26" s="6" customFormat="1" x14ac:dyDescent="0.35">
      <c r="A834" s="6" t="s">
        <v>25</v>
      </c>
      <c r="B834" s="7" t="s">
        <v>1669</v>
      </c>
      <c r="D834" s="6" t="s">
        <v>1670</v>
      </c>
      <c r="E834" s="6">
        <v>4</v>
      </c>
      <c r="F834" s="6">
        <v>44</v>
      </c>
      <c r="G834" s="6" t="s">
        <v>335</v>
      </c>
      <c r="I834" s="8">
        <v>81.975306180555606</v>
      </c>
      <c r="J834" s="8">
        <v>9.2425022222222193</v>
      </c>
      <c r="K834" s="6" t="s">
        <v>29</v>
      </c>
      <c r="L834" s="6" t="s">
        <v>335</v>
      </c>
      <c r="M834" s="9">
        <v>44004</v>
      </c>
      <c r="O834" s="6">
        <v>39</v>
      </c>
      <c r="P834" s="6" t="s">
        <v>4405</v>
      </c>
      <c r="R834" s="10" t="s">
        <v>1671</v>
      </c>
      <c r="S834" s="10">
        <v>110</v>
      </c>
      <c r="T834" s="10">
        <v>115</v>
      </c>
      <c r="U834" s="10">
        <f t="shared" ref="U834:U897" si="26">AVERAGE(S834:T834)</f>
        <v>112.5</v>
      </c>
      <c r="V834" s="11"/>
      <c r="W834" s="8">
        <v>-0.30593381298184369</v>
      </c>
      <c r="X834" s="8">
        <v>-1.7836619315147404</v>
      </c>
      <c r="Y834" s="8">
        <f t="shared" ref="Y834:Y897" si="27">X834-(8*W834)</f>
        <v>0.66380857234000912</v>
      </c>
    </row>
    <row r="835" spans="1:26" s="6" customFormat="1" x14ac:dyDescent="0.35">
      <c r="A835" s="6" t="s">
        <v>25</v>
      </c>
      <c r="B835" s="6" t="s">
        <v>1781</v>
      </c>
      <c r="D835" s="6" t="s">
        <v>1782</v>
      </c>
      <c r="E835" s="6">
        <v>4</v>
      </c>
      <c r="F835" s="6">
        <v>44</v>
      </c>
      <c r="I835" s="8">
        <v>81.975306180555606</v>
      </c>
      <c r="J835" s="8">
        <v>9.2425022222222193</v>
      </c>
      <c r="K835" s="6" t="s">
        <v>29</v>
      </c>
      <c r="L835" s="29" t="s">
        <v>335</v>
      </c>
      <c r="M835" s="9">
        <v>44004</v>
      </c>
      <c r="O835" s="6">
        <v>39</v>
      </c>
      <c r="P835" s="6" t="s">
        <v>4405</v>
      </c>
      <c r="S835" s="6">
        <v>110</v>
      </c>
      <c r="T835" s="6">
        <v>120</v>
      </c>
      <c r="U835" s="10">
        <f t="shared" si="26"/>
        <v>115</v>
      </c>
      <c r="V835" s="15">
        <v>3.3</v>
      </c>
      <c r="W835" s="8">
        <v>-4.3966979305743933E-2</v>
      </c>
      <c r="X835" s="8">
        <v>-0.69379423942565932</v>
      </c>
      <c r="Y835" s="8">
        <f t="shared" si="27"/>
        <v>-0.34205840497970785</v>
      </c>
      <c r="Z835" s="6" t="s">
        <v>1760</v>
      </c>
    </row>
    <row r="836" spans="1:26" s="6" customFormat="1" x14ac:dyDescent="0.35">
      <c r="A836" s="6" t="s">
        <v>25</v>
      </c>
      <c r="B836" s="7" t="s">
        <v>1660</v>
      </c>
      <c r="D836" s="6" t="s">
        <v>1661</v>
      </c>
      <c r="E836" s="6">
        <v>4</v>
      </c>
      <c r="F836" s="6">
        <v>44</v>
      </c>
      <c r="G836" s="6" t="s">
        <v>335</v>
      </c>
      <c r="I836" s="8">
        <v>81.975306180555606</v>
      </c>
      <c r="J836" s="8">
        <v>9.2425022222222193</v>
      </c>
      <c r="K836" s="6" t="s">
        <v>29</v>
      </c>
      <c r="L836" s="6" t="s">
        <v>335</v>
      </c>
      <c r="M836" s="9">
        <v>44004</v>
      </c>
      <c r="O836" s="6">
        <v>39</v>
      </c>
      <c r="P836" s="6" t="s">
        <v>4405</v>
      </c>
      <c r="R836" s="10" t="s">
        <v>1662</v>
      </c>
      <c r="S836" s="10">
        <v>115</v>
      </c>
      <c r="T836" s="10">
        <v>120</v>
      </c>
      <c r="U836" s="10">
        <f t="shared" si="26"/>
        <v>117.5</v>
      </c>
      <c r="V836" s="11"/>
      <c r="W836" s="8">
        <v>-0.41209485527873047</v>
      </c>
      <c r="X836" s="8">
        <v>-1.6410474338531489</v>
      </c>
      <c r="Y836" s="8">
        <f t="shared" si="27"/>
        <v>1.6557114083766948</v>
      </c>
    </row>
    <row r="837" spans="1:26" s="6" customFormat="1" x14ac:dyDescent="0.35">
      <c r="A837" s="6" t="s">
        <v>25</v>
      </c>
      <c r="B837" s="7" t="s">
        <v>1666</v>
      </c>
      <c r="D837" s="6" t="s">
        <v>1667</v>
      </c>
      <c r="E837" s="6">
        <v>4</v>
      </c>
      <c r="F837" s="6">
        <v>44</v>
      </c>
      <c r="G837" s="6" t="s">
        <v>335</v>
      </c>
      <c r="I837" s="8">
        <v>81.975306180555606</v>
      </c>
      <c r="J837" s="8">
        <v>9.2425022222222193</v>
      </c>
      <c r="K837" s="6" t="s">
        <v>29</v>
      </c>
      <c r="L837" s="6" t="s">
        <v>335</v>
      </c>
      <c r="M837" s="9">
        <v>44004</v>
      </c>
      <c r="O837" s="6">
        <v>39</v>
      </c>
      <c r="P837" s="6" t="s">
        <v>4405</v>
      </c>
      <c r="R837" s="10" t="s">
        <v>1668</v>
      </c>
      <c r="S837" s="10">
        <v>120</v>
      </c>
      <c r="T837" s="10">
        <v>125</v>
      </c>
      <c r="U837" s="10">
        <f t="shared" si="26"/>
        <v>122.5</v>
      </c>
      <c r="V837" s="11"/>
      <c r="W837" s="8">
        <v>-0.12863619895875422</v>
      </c>
      <c r="X837" s="8">
        <v>-7.7475492477417418E-2</v>
      </c>
      <c r="Y837" s="8">
        <f t="shared" si="27"/>
        <v>0.9516140991926163</v>
      </c>
    </row>
    <row r="838" spans="1:26" s="6" customFormat="1" x14ac:dyDescent="0.35">
      <c r="A838" s="6" t="s">
        <v>25</v>
      </c>
      <c r="B838" s="6" t="s">
        <v>1783</v>
      </c>
      <c r="D838" s="6" t="s">
        <v>1784</v>
      </c>
      <c r="E838" s="6">
        <v>4</v>
      </c>
      <c r="F838" s="6">
        <v>44</v>
      </c>
      <c r="I838" s="8">
        <v>81.975306180555606</v>
      </c>
      <c r="J838" s="8">
        <v>9.2425022222222193</v>
      </c>
      <c r="K838" s="6" t="s">
        <v>29</v>
      </c>
      <c r="L838" s="29" t="s">
        <v>335</v>
      </c>
      <c r="M838" s="9">
        <v>44004</v>
      </c>
      <c r="O838" s="6">
        <v>39</v>
      </c>
      <c r="P838" s="6" t="s">
        <v>4405</v>
      </c>
      <c r="S838" s="6">
        <v>120</v>
      </c>
      <c r="T838" s="6">
        <v>130</v>
      </c>
      <c r="U838" s="10">
        <f t="shared" si="26"/>
        <v>125</v>
      </c>
      <c r="V838" s="15">
        <v>3.1</v>
      </c>
      <c r="W838" s="8">
        <v>0.26400347266420743</v>
      </c>
      <c r="X838" s="8">
        <v>1.6131278369426725</v>
      </c>
      <c r="Y838" s="8">
        <f t="shared" si="27"/>
        <v>-0.49889994437098695</v>
      </c>
      <c r="Z838" s="6" t="s">
        <v>1760</v>
      </c>
    </row>
    <row r="839" spans="1:26" s="6" customFormat="1" x14ac:dyDescent="0.35">
      <c r="A839" s="6" t="s">
        <v>25</v>
      </c>
      <c r="B839" s="7" t="s">
        <v>1672</v>
      </c>
      <c r="D839" s="6" t="s">
        <v>1673</v>
      </c>
      <c r="E839" s="6">
        <v>4</v>
      </c>
      <c r="F839" s="6">
        <v>44</v>
      </c>
      <c r="G839" s="6" t="s">
        <v>335</v>
      </c>
      <c r="I839" s="8">
        <v>81.975306180555606</v>
      </c>
      <c r="J839" s="8">
        <v>9.2425022222222193</v>
      </c>
      <c r="K839" s="6" t="s">
        <v>29</v>
      </c>
      <c r="L839" s="6" t="s">
        <v>335</v>
      </c>
      <c r="M839" s="9">
        <v>44004</v>
      </c>
      <c r="O839" s="6">
        <v>39</v>
      </c>
      <c r="P839" s="6" t="s">
        <v>4405</v>
      </c>
      <c r="R839" s="10" t="s">
        <v>1674</v>
      </c>
      <c r="S839" s="10">
        <v>125</v>
      </c>
      <c r="T839" s="10">
        <v>130</v>
      </c>
      <c r="U839" s="10">
        <f t="shared" si="26"/>
        <v>127.5</v>
      </c>
      <c r="V839" s="11"/>
      <c r="W839" s="8">
        <v>3.9688641924411155E-2</v>
      </c>
      <c r="X839" s="8">
        <v>0.6986050937175744</v>
      </c>
      <c r="Y839" s="8">
        <f t="shared" si="27"/>
        <v>0.38109595832228516</v>
      </c>
    </row>
    <row r="840" spans="1:26" s="6" customFormat="1" x14ac:dyDescent="0.35">
      <c r="A840" s="6" t="s">
        <v>25</v>
      </c>
      <c r="B840" s="7" t="s">
        <v>1696</v>
      </c>
      <c r="D840" s="6" t="s">
        <v>1697</v>
      </c>
      <c r="E840" s="6">
        <v>4</v>
      </c>
      <c r="F840" s="6">
        <v>44</v>
      </c>
      <c r="G840" s="6" t="s">
        <v>335</v>
      </c>
      <c r="I840" s="8">
        <v>81.975306180555606</v>
      </c>
      <c r="J840" s="8">
        <v>9.2425022222222193</v>
      </c>
      <c r="K840" s="6" t="s">
        <v>29</v>
      </c>
      <c r="L840" s="6" t="s">
        <v>335</v>
      </c>
      <c r="M840" s="9">
        <v>44004</v>
      </c>
      <c r="O840" s="6">
        <v>39</v>
      </c>
      <c r="P840" s="6" t="s">
        <v>4405</v>
      </c>
      <c r="R840" s="10" t="s">
        <v>1698</v>
      </c>
      <c r="S840" s="10">
        <v>130</v>
      </c>
      <c r="T840" s="10">
        <v>135</v>
      </c>
      <c r="U840" s="10">
        <f t="shared" si="26"/>
        <v>132.5</v>
      </c>
      <c r="V840" s="11"/>
      <c r="W840" s="8">
        <v>0.23363291364351901</v>
      </c>
      <c r="X840" s="8">
        <v>2.1256443608999249</v>
      </c>
      <c r="Y840" s="8">
        <f t="shared" si="27"/>
        <v>0.25658105175177282</v>
      </c>
    </row>
    <row r="841" spans="1:26" s="6" customFormat="1" x14ac:dyDescent="0.35">
      <c r="A841" s="6" t="s">
        <v>25</v>
      </c>
      <c r="B841" s="6" t="s">
        <v>1785</v>
      </c>
      <c r="D841" s="6" t="s">
        <v>1786</v>
      </c>
      <c r="E841" s="6">
        <v>4</v>
      </c>
      <c r="F841" s="6">
        <v>44</v>
      </c>
      <c r="I841" s="8">
        <v>81.975306180555606</v>
      </c>
      <c r="J841" s="8">
        <v>9.2425022222222193</v>
      </c>
      <c r="K841" s="6" t="s">
        <v>29</v>
      </c>
      <c r="L841" s="29" t="s">
        <v>335</v>
      </c>
      <c r="M841" s="9">
        <v>44004</v>
      </c>
      <c r="O841" s="6">
        <v>39</v>
      </c>
      <c r="P841" s="6" t="s">
        <v>4405</v>
      </c>
      <c r="S841" s="6">
        <v>130</v>
      </c>
      <c r="T841" s="6">
        <v>140</v>
      </c>
      <c r="U841" s="10">
        <f t="shared" si="26"/>
        <v>135</v>
      </c>
      <c r="V841" s="15">
        <v>3.3</v>
      </c>
      <c r="W841" s="8">
        <v>0.4923219003200533</v>
      </c>
      <c r="X841" s="8">
        <v>3.2219527987241738</v>
      </c>
      <c r="Y841" s="8">
        <f t="shared" si="27"/>
        <v>-0.71662240383625253</v>
      </c>
      <c r="Z841" s="6" t="s">
        <v>1760</v>
      </c>
    </row>
    <row r="842" spans="1:26" s="6" customFormat="1" x14ac:dyDescent="0.35">
      <c r="A842" s="6" t="s">
        <v>25</v>
      </c>
      <c r="B842" s="7" t="s">
        <v>1749</v>
      </c>
      <c r="D842" s="6" t="s">
        <v>1750</v>
      </c>
      <c r="E842" s="6">
        <v>4</v>
      </c>
      <c r="F842" s="6">
        <v>44</v>
      </c>
      <c r="G842" s="6" t="s">
        <v>335</v>
      </c>
      <c r="I842" s="8">
        <v>81.975306180555606</v>
      </c>
      <c r="J842" s="8">
        <v>9.2425022222222193</v>
      </c>
      <c r="K842" s="6" t="s">
        <v>29</v>
      </c>
      <c r="L842" s="6" t="s">
        <v>335</v>
      </c>
      <c r="M842" s="9">
        <v>44004</v>
      </c>
      <c r="O842" s="6">
        <v>39</v>
      </c>
      <c r="P842" s="6" t="s">
        <v>4405</v>
      </c>
      <c r="R842" s="10" t="s">
        <v>1751</v>
      </c>
      <c r="S842" s="10">
        <v>135</v>
      </c>
      <c r="T842" s="10">
        <v>140</v>
      </c>
      <c r="U842" s="10">
        <f t="shared" si="26"/>
        <v>137.5</v>
      </c>
      <c r="V842" s="11"/>
      <c r="W842" s="8">
        <v>0.41205237572193143</v>
      </c>
      <c r="X842" s="8">
        <v>1.6711515996456145</v>
      </c>
      <c r="Y842" s="8">
        <f t="shared" si="27"/>
        <v>-1.6252674061298369</v>
      </c>
    </row>
    <row r="843" spans="1:26" s="6" customFormat="1" x14ac:dyDescent="0.35">
      <c r="A843" s="6" t="s">
        <v>25</v>
      </c>
      <c r="B843" s="7" t="s">
        <v>1743</v>
      </c>
      <c r="D843" s="6" t="s">
        <v>1744</v>
      </c>
      <c r="E843" s="6">
        <v>4</v>
      </c>
      <c r="F843" s="6">
        <v>44</v>
      </c>
      <c r="G843" s="6" t="s">
        <v>335</v>
      </c>
      <c r="I843" s="8">
        <v>81.975306180555606</v>
      </c>
      <c r="J843" s="8">
        <v>9.2425022222222193</v>
      </c>
      <c r="K843" s="6" t="s">
        <v>29</v>
      </c>
      <c r="L843" s="6" t="s">
        <v>335</v>
      </c>
      <c r="M843" s="9">
        <v>44004</v>
      </c>
      <c r="O843" s="6">
        <v>39</v>
      </c>
      <c r="P843" s="6" t="s">
        <v>4405</v>
      </c>
      <c r="R843" s="10" t="s">
        <v>1745</v>
      </c>
      <c r="S843" s="10">
        <v>140</v>
      </c>
      <c r="T843" s="10">
        <v>145</v>
      </c>
      <c r="U843" s="10">
        <f t="shared" si="26"/>
        <v>142.5</v>
      </c>
      <c r="V843" s="11"/>
      <c r="W843" s="8">
        <v>0.43331301369071029</v>
      </c>
      <c r="X843" s="8">
        <v>3.3897416017651558</v>
      </c>
      <c r="Y843" s="8">
        <f t="shared" si="27"/>
        <v>-7.676250776052651E-2</v>
      </c>
    </row>
    <row r="844" spans="1:26" s="6" customFormat="1" x14ac:dyDescent="0.35">
      <c r="A844" s="6" t="s">
        <v>25</v>
      </c>
      <c r="B844" s="6" t="s">
        <v>1787</v>
      </c>
      <c r="D844" s="6" t="s">
        <v>1788</v>
      </c>
      <c r="E844" s="6">
        <v>4</v>
      </c>
      <c r="F844" s="6">
        <v>44</v>
      </c>
      <c r="I844" s="8">
        <v>81.975306180555606</v>
      </c>
      <c r="J844" s="8">
        <v>9.2425022222222193</v>
      </c>
      <c r="K844" s="6" t="s">
        <v>29</v>
      </c>
      <c r="L844" s="29" t="s">
        <v>335</v>
      </c>
      <c r="M844" s="9">
        <v>44004</v>
      </c>
      <c r="O844" s="6">
        <v>39</v>
      </c>
      <c r="P844" s="6" t="s">
        <v>4405</v>
      </c>
      <c r="S844" s="6">
        <v>140</v>
      </c>
      <c r="T844" s="6">
        <v>150</v>
      </c>
      <c r="U844" s="10">
        <f t="shared" si="26"/>
        <v>145</v>
      </c>
      <c r="V844" s="15">
        <v>3.6</v>
      </c>
      <c r="W844" s="8">
        <v>0.85418737397789946</v>
      </c>
      <c r="X844" s="8">
        <v>6.637516628742218</v>
      </c>
      <c r="Y844" s="8">
        <f t="shared" si="27"/>
        <v>-0.19598236308097761</v>
      </c>
      <c r="Z844" s="6" t="s">
        <v>1760</v>
      </c>
    </row>
    <row r="845" spans="1:26" s="6" customFormat="1" x14ac:dyDescent="0.35">
      <c r="A845" s="6" t="s">
        <v>25</v>
      </c>
      <c r="B845" s="7" t="s">
        <v>1737</v>
      </c>
      <c r="D845" s="6" t="s">
        <v>1738</v>
      </c>
      <c r="E845" s="6">
        <v>4</v>
      </c>
      <c r="F845" s="6">
        <v>44</v>
      </c>
      <c r="G845" s="6" t="s">
        <v>335</v>
      </c>
      <c r="I845" s="8">
        <v>81.975306180555606</v>
      </c>
      <c r="J845" s="8">
        <v>9.2425022222222193</v>
      </c>
      <c r="K845" s="6" t="s">
        <v>29</v>
      </c>
      <c r="L845" s="6" t="s">
        <v>335</v>
      </c>
      <c r="M845" s="9">
        <v>44004</v>
      </c>
      <c r="O845" s="6">
        <v>39</v>
      </c>
      <c r="P845" s="6" t="s">
        <v>4405</v>
      </c>
      <c r="R845" s="10" t="s">
        <v>1739</v>
      </c>
      <c r="S845" s="10">
        <v>145</v>
      </c>
      <c r="T845" s="10">
        <v>150</v>
      </c>
      <c r="U845" s="10">
        <f t="shared" si="26"/>
        <v>147.5</v>
      </c>
      <c r="V845" s="11"/>
      <c r="W845" s="8">
        <v>0.64898031311035176</v>
      </c>
      <c r="X845" s="8">
        <v>3.0824279322624211</v>
      </c>
      <c r="Y845" s="8">
        <f t="shared" si="27"/>
        <v>-2.109414572620393</v>
      </c>
    </row>
    <row r="846" spans="1:26" s="6" customFormat="1" x14ac:dyDescent="0.35">
      <c r="A846" s="6" t="s">
        <v>25</v>
      </c>
      <c r="B846" s="7" t="s">
        <v>1746</v>
      </c>
      <c r="D846" s="6" t="s">
        <v>1747</v>
      </c>
      <c r="E846" s="6">
        <v>4</v>
      </c>
      <c r="F846" s="6">
        <v>44</v>
      </c>
      <c r="G846" s="6" t="s">
        <v>335</v>
      </c>
      <c r="I846" s="8">
        <v>81.975306180555606</v>
      </c>
      <c r="J846" s="8">
        <v>9.2425022222222193</v>
      </c>
      <c r="K846" s="6" t="s">
        <v>29</v>
      </c>
      <c r="L846" s="6" t="s">
        <v>335</v>
      </c>
      <c r="M846" s="9">
        <v>44004</v>
      </c>
      <c r="O846" s="6">
        <v>39</v>
      </c>
      <c r="P846" s="6" t="s">
        <v>4405</v>
      </c>
      <c r="R846" s="10" t="s">
        <v>1748</v>
      </c>
      <c r="S846" s="10">
        <v>150</v>
      </c>
      <c r="T846" s="10">
        <v>156</v>
      </c>
      <c r="U846" s="10">
        <f t="shared" si="26"/>
        <v>153</v>
      </c>
      <c r="V846" s="11"/>
      <c r="W846" s="8">
        <v>1.1203876783132554</v>
      </c>
      <c r="X846" s="8">
        <v>7.5911342620849602</v>
      </c>
      <c r="Y846" s="8">
        <f t="shared" si="27"/>
        <v>-1.3719671644210827</v>
      </c>
    </row>
    <row r="847" spans="1:26" s="6" customFormat="1" x14ac:dyDescent="0.35">
      <c r="A847" s="6" t="s">
        <v>25</v>
      </c>
      <c r="B847" s="6" t="s">
        <v>1789</v>
      </c>
      <c r="D847" s="6" t="s">
        <v>1790</v>
      </c>
      <c r="E847" s="6">
        <v>4</v>
      </c>
      <c r="F847" s="6">
        <v>44</v>
      </c>
      <c r="I847" s="8">
        <v>81.975306180555606</v>
      </c>
      <c r="J847" s="8">
        <v>9.2425022222222193</v>
      </c>
      <c r="K847" s="6" t="s">
        <v>29</v>
      </c>
      <c r="L847" s="29" t="s">
        <v>335</v>
      </c>
      <c r="M847" s="9">
        <v>44004</v>
      </c>
      <c r="O847" s="6">
        <v>39</v>
      </c>
      <c r="P847" s="6" t="s">
        <v>4405</v>
      </c>
      <c r="S847" s="6">
        <v>150</v>
      </c>
      <c r="T847" s="6">
        <v>160</v>
      </c>
      <c r="U847" s="10">
        <f t="shared" si="26"/>
        <v>155</v>
      </c>
      <c r="V847" s="15">
        <v>4.3</v>
      </c>
      <c r="W847" s="8">
        <v>1.3436548459649087</v>
      </c>
      <c r="X847" s="8">
        <v>8.3211275891065597</v>
      </c>
      <c r="Y847" s="8">
        <f t="shared" si="27"/>
        <v>-2.4281111786127099</v>
      </c>
      <c r="Z847" s="6" t="s">
        <v>1760</v>
      </c>
    </row>
    <row r="848" spans="1:26" s="6" customFormat="1" x14ac:dyDescent="0.35">
      <c r="A848" s="6" t="s">
        <v>25</v>
      </c>
      <c r="B848" s="7" t="s">
        <v>1740</v>
      </c>
      <c r="D848" s="6" t="s">
        <v>1741</v>
      </c>
      <c r="E848" s="6">
        <v>4</v>
      </c>
      <c r="F848" s="6">
        <v>44</v>
      </c>
      <c r="G848" s="6" t="s">
        <v>335</v>
      </c>
      <c r="I848" s="8">
        <v>81.975306180555606</v>
      </c>
      <c r="J848" s="8">
        <v>9.2425022222222193</v>
      </c>
      <c r="K848" s="6" t="s">
        <v>29</v>
      </c>
      <c r="L848" s="6" t="s">
        <v>335</v>
      </c>
      <c r="M848" s="9">
        <v>44004</v>
      </c>
      <c r="O848" s="6">
        <v>39</v>
      </c>
      <c r="P848" s="6" t="s">
        <v>4405</v>
      </c>
      <c r="R848" s="10" t="s">
        <v>1742</v>
      </c>
      <c r="S848" s="10">
        <v>158</v>
      </c>
      <c r="T848" s="10">
        <v>163</v>
      </c>
      <c r="U848" s="10">
        <f t="shared" si="26"/>
        <v>160.5</v>
      </c>
      <c r="V848" s="11"/>
      <c r="W848" s="8">
        <v>1.2024200768351556</v>
      </c>
      <c r="X848" s="8">
        <v>9.3045168294906606</v>
      </c>
      <c r="Y848" s="8">
        <f t="shared" si="27"/>
        <v>-0.31484378519058431</v>
      </c>
    </row>
    <row r="849" spans="1:25" s="6" customFormat="1" x14ac:dyDescent="0.35">
      <c r="A849" s="6" t="s">
        <v>25</v>
      </c>
      <c r="B849" s="7" t="s">
        <v>1734</v>
      </c>
      <c r="D849" s="6" t="s">
        <v>1735</v>
      </c>
      <c r="E849" s="6">
        <v>4</v>
      </c>
      <c r="F849" s="6">
        <v>44</v>
      </c>
      <c r="G849" s="6" t="s">
        <v>335</v>
      </c>
      <c r="I849" s="8">
        <v>81.975306180555606</v>
      </c>
      <c r="J849" s="8">
        <v>9.2425022222222193</v>
      </c>
      <c r="K849" s="6" t="s">
        <v>29</v>
      </c>
      <c r="L849" s="6" t="s">
        <v>335</v>
      </c>
      <c r="M849" s="9">
        <v>44004</v>
      </c>
      <c r="O849" s="6">
        <v>39</v>
      </c>
      <c r="P849" s="6" t="s">
        <v>4405</v>
      </c>
      <c r="R849" s="10" t="s">
        <v>1736</v>
      </c>
      <c r="S849" s="10">
        <v>163</v>
      </c>
      <c r="T849" s="10">
        <v>168</v>
      </c>
      <c r="U849" s="10">
        <f t="shared" si="26"/>
        <v>165.5</v>
      </c>
      <c r="V849" s="11"/>
      <c r="W849" s="8">
        <v>-0.14962770866304617</v>
      </c>
      <c r="X849" s="8">
        <v>-0.37092982292175314</v>
      </c>
      <c r="Y849" s="8">
        <f t="shared" si="27"/>
        <v>0.82609184638261624</v>
      </c>
    </row>
    <row r="850" spans="1:25" s="6" customFormat="1" x14ac:dyDescent="0.35">
      <c r="A850" s="6" t="s">
        <v>25</v>
      </c>
      <c r="B850" s="7" t="s">
        <v>1823</v>
      </c>
      <c r="D850" s="6" t="s">
        <v>1824</v>
      </c>
      <c r="E850" s="6">
        <v>4</v>
      </c>
      <c r="F850" s="6">
        <v>45</v>
      </c>
      <c r="G850" s="6" t="s">
        <v>546</v>
      </c>
      <c r="I850" s="8">
        <v>81.7891400694444</v>
      </c>
      <c r="J850" s="8">
        <v>8.92411722222222</v>
      </c>
      <c r="K850" s="6" t="s">
        <v>29</v>
      </c>
      <c r="L850" s="6" t="s">
        <v>546</v>
      </c>
      <c r="M850" s="9">
        <v>44012</v>
      </c>
      <c r="O850" s="6">
        <v>40</v>
      </c>
      <c r="P850" s="6" t="s">
        <v>4406</v>
      </c>
      <c r="R850" s="10" t="s">
        <v>1683</v>
      </c>
      <c r="S850" s="10">
        <v>0</v>
      </c>
      <c r="T850" s="10">
        <v>5</v>
      </c>
      <c r="U850" s="10">
        <f t="shared" si="26"/>
        <v>2.5</v>
      </c>
      <c r="V850" s="11"/>
      <c r="W850" s="8">
        <v>-10.690566375923156</v>
      </c>
      <c r="X850" s="8">
        <v>-82.438265472412098</v>
      </c>
      <c r="Y850" s="8">
        <f t="shared" si="27"/>
        <v>3.0862655349731511</v>
      </c>
    </row>
    <row r="851" spans="1:25" s="6" customFormat="1" x14ac:dyDescent="0.35">
      <c r="A851" s="6" t="s">
        <v>25</v>
      </c>
      <c r="B851" s="7" t="s">
        <v>1815</v>
      </c>
      <c r="D851" s="6" t="s">
        <v>1816</v>
      </c>
      <c r="E851" s="6">
        <v>4</v>
      </c>
      <c r="F851" s="6">
        <v>45</v>
      </c>
      <c r="G851" s="6" t="s">
        <v>546</v>
      </c>
      <c r="I851" s="8">
        <v>81.7891400694444</v>
      </c>
      <c r="J851" s="8">
        <v>8.92411722222222</v>
      </c>
      <c r="K851" s="6" t="s">
        <v>29</v>
      </c>
      <c r="L851" s="6" t="s">
        <v>546</v>
      </c>
      <c r="M851" s="9">
        <v>44012</v>
      </c>
      <c r="O851" s="6">
        <v>40</v>
      </c>
      <c r="P851" s="6" t="s">
        <v>4406</v>
      </c>
      <c r="R851" s="10" t="s">
        <v>1817</v>
      </c>
      <c r="S851" s="10">
        <v>9</v>
      </c>
      <c r="T851" s="10">
        <v>14</v>
      </c>
      <c r="U851" s="10">
        <f t="shared" si="26"/>
        <v>11.5</v>
      </c>
      <c r="V851" s="11"/>
      <c r="W851" s="8">
        <v>-9.2262857467651358</v>
      </c>
      <c r="X851" s="8">
        <v>-71.211079170227052</v>
      </c>
      <c r="Y851" s="8">
        <f t="shared" si="27"/>
        <v>2.5992068038940346</v>
      </c>
    </row>
    <row r="852" spans="1:25" s="6" customFormat="1" x14ac:dyDescent="0.35">
      <c r="A852" s="6" t="s">
        <v>25</v>
      </c>
      <c r="B852" s="7" t="s">
        <v>1803</v>
      </c>
      <c r="D852" s="6" t="s">
        <v>1804</v>
      </c>
      <c r="E852" s="6">
        <v>4</v>
      </c>
      <c r="F852" s="6">
        <v>45</v>
      </c>
      <c r="G852" s="6" t="s">
        <v>546</v>
      </c>
      <c r="I852" s="8">
        <v>81.7891400694444</v>
      </c>
      <c r="J852" s="8">
        <v>8.92411722222222</v>
      </c>
      <c r="K852" s="6" t="s">
        <v>29</v>
      </c>
      <c r="L852" s="6" t="s">
        <v>546</v>
      </c>
      <c r="M852" s="9">
        <v>44012</v>
      </c>
      <c r="O852" s="6">
        <v>40</v>
      </c>
      <c r="P852" s="6" t="s">
        <v>4406</v>
      </c>
      <c r="R852" s="10" t="s">
        <v>1805</v>
      </c>
      <c r="S852" s="10">
        <v>14</v>
      </c>
      <c r="T852" s="10">
        <v>19</v>
      </c>
      <c r="U852" s="10">
        <f t="shared" si="26"/>
        <v>16.5</v>
      </c>
      <c r="V852" s="11"/>
      <c r="W852" s="8">
        <v>-9.1936010767936693</v>
      </c>
      <c r="X852" s="8">
        <v>-70.437038269042972</v>
      </c>
      <c r="Y852" s="8">
        <f t="shared" si="27"/>
        <v>3.1117703453063825</v>
      </c>
    </row>
    <row r="853" spans="1:25" s="6" customFormat="1" x14ac:dyDescent="0.35">
      <c r="A853" s="6" t="s">
        <v>25</v>
      </c>
      <c r="B853" s="7" t="s">
        <v>1825</v>
      </c>
      <c r="D853" s="6" t="s">
        <v>1826</v>
      </c>
      <c r="E853" s="6">
        <v>4</v>
      </c>
      <c r="F853" s="6">
        <v>45</v>
      </c>
      <c r="G853" s="6" t="s">
        <v>546</v>
      </c>
      <c r="I853" s="8">
        <v>81.7891400694444</v>
      </c>
      <c r="J853" s="8">
        <v>8.92411722222222</v>
      </c>
      <c r="K853" s="6" t="s">
        <v>29</v>
      </c>
      <c r="L853" s="6" t="s">
        <v>546</v>
      </c>
      <c r="M853" s="9">
        <v>44012</v>
      </c>
      <c r="O853" s="6">
        <v>40</v>
      </c>
      <c r="P853" s="6" t="s">
        <v>4406</v>
      </c>
      <c r="R853" s="10" t="s">
        <v>1827</v>
      </c>
      <c r="S853" s="10">
        <v>19</v>
      </c>
      <c r="T853" s="10">
        <v>24</v>
      </c>
      <c r="U853" s="10">
        <f t="shared" si="26"/>
        <v>21.5</v>
      </c>
      <c r="V853" s="11"/>
      <c r="W853" s="8">
        <v>-8.8625796539306645</v>
      </c>
      <c r="X853" s="8">
        <v>-68.175235031127926</v>
      </c>
      <c r="Y853" s="8">
        <f t="shared" si="27"/>
        <v>2.7254022003173901</v>
      </c>
    </row>
    <row r="854" spans="1:25" s="6" customFormat="1" x14ac:dyDescent="0.35">
      <c r="A854" s="6" t="s">
        <v>25</v>
      </c>
      <c r="B854" s="7" t="s">
        <v>1809</v>
      </c>
      <c r="D854" s="6" t="s">
        <v>1810</v>
      </c>
      <c r="E854" s="6">
        <v>4</v>
      </c>
      <c r="F854" s="6">
        <v>45</v>
      </c>
      <c r="G854" s="6" t="s">
        <v>546</v>
      </c>
      <c r="I854" s="8">
        <v>81.7891400694444</v>
      </c>
      <c r="J854" s="8">
        <v>8.92411722222222</v>
      </c>
      <c r="K854" s="6" t="s">
        <v>29</v>
      </c>
      <c r="L854" s="6" t="s">
        <v>546</v>
      </c>
      <c r="M854" s="9">
        <v>44012</v>
      </c>
      <c r="O854" s="6">
        <v>40</v>
      </c>
      <c r="P854" s="6" t="s">
        <v>4406</v>
      </c>
      <c r="R854" s="10" t="s">
        <v>1811</v>
      </c>
      <c r="S854" s="10">
        <v>24</v>
      </c>
      <c r="T854" s="10">
        <v>29</v>
      </c>
      <c r="U854" s="10">
        <f t="shared" si="26"/>
        <v>26.5</v>
      </c>
      <c r="V854" s="11"/>
      <c r="W854" s="8">
        <v>-7.1032555605888366</v>
      </c>
      <c r="X854" s="8">
        <v>-55.882552864074704</v>
      </c>
      <c r="Y854" s="8">
        <f t="shared" si="27"/>
        <v>0.94349162063598868</v>
      </c>
    </row>
    <row r="855" spans="1:25" s="6" customFormat="1" x14ac:dyDescent="0.35">
      <c r="A855" s="6" t="s">
        <v>25</v>
      </c>
      <c r="B855" s="7" t="s">
        <v>1828</v>
      </c>
      <c r="D855" s="6" t="s">
        <v>1829</v>
      </c>
      <c r="E855" s="6">
        <v>4</v>
      </c>
      <c r="F855" s="6">
        <v>45</v>
      </c>
      <c r="G855" s="6" t="s">
        <v>546</v>
      </c>
      <c r="I855" s="8">
        <v>81.7891400694444</v>
      </c>
      <c r="J855" s="8">
        <v>8.92411722222222</v>
      </c>
      <c r="K855" s="6" t="s">
        <v>29</v>
      </c>
      <c r="L855" s="6" t="s">
        <v>546</v>
      </c>
      <c r="M855" s="9">
        <v>44012</v>
      </c>
      <c r="O855" s="6">
        <v>40</v>
      </c>
      <c r="P855" s="6" t="s">
        <v>4406</v>
      </c>
      <c r="R855" s="10" t="s">
        <v>1830</v>
      </c>
      <c r="S855" s="10">
        <v>29</v>
      </c>
      <c r="T855" s="10">
        <v>34</v>
      </c>
      <c r="U855" s="10">
        <f t="shared" si="26"/>
        <v>31.5</v>
      </c>
      <c r="V855" s="11"/>
      <c r="W855" s="8">
        <v>-5.3081027371406551</v>
      </c>
      <c r="X855" s="8">
        <v>-41.380745624542236</v>
      </c>
      <c r="Y855" s="8">
        <f t="shared" si="27"/>
        <v>1.0840762725830047</v>
      </c>
    </row>
    <row r="856" spans="1:25" s="6" customFormat="1" x14ac:dyDescent="0.35">
      <c r="A856" s="6" t="s">
        <v>25</v>
      </c>
      <c r="B856" s="7" t="s">
        <v>1818</v>
      </c>
      <c r="D856" s="6" t="s">
        <v>1819</v>
      </c>
      <c r="E856" s="6">
        <v>4</v>
      </c>
      <c r="F856" s="6">
        <v>45</v>
      </c>
      <c r="G856" s="6" t="s">
        <v>546</v>
      </c>
      <c r="I856" s="8">
        <v>81.7891400694444</v>
      </c>
      <c r="J856" s="8">
        <v>8.92411722222222</v>
      </c>
      <c r="K856" s="6" t="s">
        <v>29</v>
      </c>
      <c r="L856" s="6" t="s">
        <v>546</v>
      </c>
      <c r="M856" s="9">
        <v>44012</v>
      </c>
      <c r="O856" s="6">
        <v>40</v>
      </c>
      <c r="P856" s="6" t="s">
        <v>4406</v>
      </c>
      <c r="R856" s="10" t="s">
        <v>1820</v>
      </c>
      <c r="S856" s="10">
        <v>34</v>
      </c>
      <c r="T856" s="10">
        <v>39</v>
      </c>
      <c r="U856" s="10">
        <f t="shared" si="26"/>
        <v>36.5</v>
      </c>
      <c r="V856" s="11"/>
      <c r="W856" s="8">
        <v>-4.9588408519744878</v>
      </c>
      <c r="X856" s="8">
        <v>-40.551637691497803</v>
      </c>
      <c r="Y856" s="8">
        <f t="shared" si="27"/>
        <v>-0.88091087570190041</v>
      </c>
    </row>
    <row r="857" spans="1:25" s="6" customFormat="1" x14ac:dyDescent="0.35">
      <c r="A857" s="6" t="s">
        <v>25</v>
      </c>
      <c r="B857" s="7" t="s">
        <v>1806</v>
      </c>
      <c r="D857" s="6" t="s">
        <v>1807</v>
      </c>
      <c r="E857" s="6">
        <v>4</v>
      </c>
      <c r="F857" s="6">
        <v>45</v>
      </c>
      <c r="G857" s="6" t="s">
        <v>546</v>
      </c>
      <c r="I857" s="8">
        <v>81.7891400694444</v>
      </c>
      <c r="J857" s="8">
        <v>8.92411722222222</v>
      </c>
      <c r="K857" s="6" t="s">
        <v>29</v>
      </c>
      <c r="L857" s="6" t="s">
        <v>546</v>
      </c>
      <c r="M857" s="9">
        <v>44012</v>
      </c>
      <c r="O857" s="6">
        <v>40</v>
      </c>
      <c r="P857" s="6" t="s">
        <v>4406</v>
      </c>
      <c r="R857" s="10" t="s">
        <v>1808</v>
      </c>
      <c r="S857" s="10">
        <v>39</v>
      </c>
      <c r="T857" s="10">
        <v>44</v>
      </c>
      <c r="U857" s="10">
        <f t="shared" si="26"/>
        <v>41.5</v>
      </c>
      <c r="V857" s="11"/>
      <c r="W857" s="8">
        <v>-4.9636914677619934</v>
      </c>
      <c r="X857" s="8">
        <v>-39.426866437911983</v>
      </c>
      <c r="Y857" s="8">
        <f t="shared" si="27"/>
        <v>0.28266530418396485</v>
      </c>
    </row>
    <row r="858" spans="1:25" s="6" customFormat="1" x14ac:dyDescent="0.35">
      <c r="A858" s="6" t="s">
        <v>25</v>
      </c>
      <c r="B858" s="7" t="s">
        <v>1812</v>
      </c>
      <c r="D858" s="6" t="s">
        <v>1813</v>
      </c>
      <c r="E858" s="6">
        <v>4</v>
      </c>
      <c r="F858" s="6">
        <v>45</v>
      </c>
      <c r="G858" s="6" t="s">
        <v>546</v>
      </c>
      <c r="I858" s="8">
        <v>81.7891400694444</v>
      </c>
      <c r="J858" s="8">
        <v>8.92411722222222</v>
      </c>
      <c r="K858" s="6" t="s">
        <v>29</v>
      </c>
      <c r="L858" s="6" t="s">
        <v>546</v>
      </c>
      <c r="M858" s="9">
        <v>44012</v>
      </c>
      <c r="O858" s="6">
        <v>40</v>
      </c>
      <c r="P858" s="6" t="s">
        <v>4406</v>
      </c>
      <c r="R858" s="10" t="s">
        <v>1814</v>
      </c>
      <c r="S858" s="10">
        <v>44</v>
      </c>
      <c r="T858" s="10">
        <v>49</v>
      </c>
      <c r="U858" s="10">
        <f t="shared" si="26"/>
        <v>46.5</v>
      </c>
      <c r="V858" s="11"/>
      <c r="W858" s="8">
        <v>-5.0198392698287968</v>
      </c>
      <c r="X858" s="8">
        <v>-40.047309589385989</v>
      </c>
      <c r="Y858" s="8">
        <f t="shared" si="27"/>
        <v>0.11140456924438524</v>
      </c>
    </row>
    <row r="859" spans="1:25" s="6" customFormat="1" x14ac:dyDescent="0.35">
      <c r="A859" s="6" t="s">
        <v>25</v>
      </c>
      <c r="B859" s="7" t="s">
        <v>1831</v>
      </c>
      <c r="D859" s="6" t="s">
        <v>1832</v>
      </c>
      <c r="E859" s="6">
        <v>4</v>
      </c>
      <c r="F859" s="6">
        <v>45</v>
      </c>
      <c r="G859" s="6" t="s">
        <v>546</v>
      </c>
      <c r="I859" s="8">
        <v>81.7891400694444</v>
      </c>
      <c r="J859" s="8">
        <v>8.92411722222222</v>
      </c>
      <c r="K859" s="6" t="s">
        <v>29</v>
      </c>
      <c r="L859" s="6" t="s">
        <v>546</v>
      </c>
      <c r="M859" s="9">
        <v>44012</v>
      </c>
      <c r="O859" s="6">
        <v>40</v>
      </c>
      <c r="P859" s="6" t="s">
        <v>4406</v>
      </c>
      <c r="R859" s="10" t="s">
        <v>1833</v>
      </c>
      <c r="S859" s="10">
        <v>54</v>
      </c>
      <c r="T859" s="10">
        <v>59</v>
      </c>
      <c r="U859" s="10">
        <f t="shared" si="26"/>
        <v>56.5</v>
      </c>
      <c r="V859" s="11"/>
      <c r="W859" s="8">
        <v>-5.2336333457946784</v>
      </c>
      <c r="X859" s="8">
        <v>-40.276393802642815</v>
      </c>
      <c r="Y859" s="8">
        <f t="shared" si="27"/>
        <v>1.5926729637146124</v>
      </c>
    </row>
    <row r="860" spans="1:25" s="6" customFormat="1" x14ac:dyDescent="0.35">
      <c r="A860" s="6" t="s">
        <v>25</v>
      </c>
      <c r="B860" s="7" t="s">
        <v>1843</v>
      </c>
      <c r="D860" s="6" t="s">
        <v>1844</v>
      </c>
      <c r="E860" s="6">
        <v>4</v>
      </c>
      <c r="F860" s="6">
        <v>45</v>
      </c>
      <c r="G860" s="6" t="s">
        <v>546</v>
      </c>
      <c r="I860" s="8">
        <v>81.7891400694444</v>
      </c>
      <c r="J860" s="8">
        <v>8.92411722222222</v>
      </c>
      <c r="K860" s="6" t="s">
        <v>29</v>
      </c>
      <c r="L860" s="6" t="s">
        <v>546</v>
      </c>
      <c r="M860" s="9">
        <v>44012</v>
      </c>
      <c r="O860" s="6">
        <v>40</v>
      </c>
      <c r="P860" s="6" t="s">
        <v>4406</v>
      </c>
      <c r="R860" s="10" t="s">
        <v>1845</v>
      </c>
      <c r="S860" s="10">
        <v>59</v>
      </c>
      <c r="T860" s="10">
        <v>64</v>
      </c>
      <c r="U860" s="10">
        <f t="shared" si="26"/>
        <v>61.5</v>
      </c>
      <c r="V860" s="11"/>
      <c r="W860" s="8">
        <v>-5.1682314540863041</v>
      </c>
      <c r="X860" s="8">
        <v>-41.049667053222656</v>
      </c>
      <c r="Y860" s="8">
        <f t="shared" si="27"/>
        <v>0.2961845794677771</v>
      </c>
    </row>
    <row r="861" spans="1:25" s="6" customFormat="1" x14ac:dyDescent="0.35">
      <c r="A861" s="6" t="s">
        <v>25</v>
      </c>
      <c r="B861" s="7" t="s">
        <v>1794</v>
      </c>
      <c r="D861" s="6" t="s">
        <v>1795</v>
      </c>
      <c r="E861" s="6">
        <v>4</v>
      </c>
      <c r="F861" s="6">
        <v>45</v>
      </c>
      <c r="G861" s="6" t="s">
        <v>546</v>
      </c>
      <c r="I861" s="8">
        <v>81.7891400694444</v>
      </c>
      <c r="J861" s="8">
        <v>8.92411722222222</v>
      </c>
      <c r="K861" s="6" t="s">
        <v>29</v>
      </c>
      <c r="L861" s="6" t="s">
        <v>546</v>
      </c>
      <c r="M861" s="9">
        <v>44012</v>
      </c>
      <c r="O861" s="6">
        <v>40</v>
      </c>
      <c r="P861" s="6" t="s">
        <v>4406</v>
      </c>
      <c r="R861" s="10" t="s">
        <v>1796</v>
      </c>
      <c r="S861" s="10">
        <v>64</v>
      </c>
      <c r="T861" s="10">
        <v>69</v>
      </c>
      <c r="U861" s="10">
        <f t="shared" si="26"/>
        <v>66.5</v>
      </c>
      <c r="V861" s="11"/>
      <c r="W861" s="8">
        <v>-5.3402275595188149</v>
      </c>
      <c r="X861" s="8">
        <v>-41.078607913970941</v>
      </c>
      <c r="Y861" s="8">
        <f t="shared" si="27"/>
        <v>1.6432125621795777</v>
      </c>
    </row>
    <row r="862" spans="1:25" s="6" customFormat="1" x14ac:dyDescent="0.35">
      <c r="A862" s="6" t="s">
        <v>25</v>
      </c>
      <c r="B862" s="7" t="s">
        <v>1800</v>
      </c>
      <c r="D862" s="6" t="s">
        <v>1801</v>
      </c>
      <c r="E862" s="6">
        <v>4</v>
      </c>
      <c r="F862" s="6">
        <v>45</v>
      </c>
      <c r="G862" s="6" t="s">
        <v>546</v>
      </c>
      <c r="I862" s="8">
        <v>81.7891400694444</v>
      </c>
      <c r="J862" s="8">
        <v>8.92411722222222</v>
      </c>
      <c r="K862" s="6" t="s">
        <v>29</v>
      </c>
      <c r="L862" s="6" t="s">
        <v>546</v>
      </c>
      <c r="M862" s="9">
        <v>44012</v>
      </c>
      <c r="O862" s="6">
        <v>40</v>
      </c>
      <c r="P862" s="6" t="s">
        <v>4406</v>
      </c>
      <c r="R862" s="10" t="s">
        <v>1802</v>
      </c>
      <c r="S862" s="10">
        <v>69</v>
      </c>
      <c r="T862" s="10">
        <v>74</v>
      </c>
      <c r="U862" s="10">
        <f t="shared" si="26"/>
        <v>71.5</v>
      </c>
      <c r="V862" s="11"/>
      <c r="W862" s="8">
        <v>-5.4024456746101386</v>
      </c>
      <c r="X862" s="8">
        <v>-43.28871069335937</v>
      </c>
      <c r="Y862" s="8">
        <f t="shared" si="27"/>
        <v>-6.9145296478261287E-2</v>
      </c>
    </row>
    <row r="863" spans="1:25" s="6" customFormat="1" x14ac:dyDescent="0.35">
      <c r="A863" s="6" t="s">
        <v>25</v>
      </c>
      <c r="B863" s="7" t="s">
        <v>1797</v>
      </c>
      <c r="D863" s="6" t="s">
        <v>1798</v>
      </c>
      <c r="E863" s="6">
        <v>4</v>
      </c>
      <c r="F863" s="6">
        <v>45</v>
      </c>
      <c r="G863" s="6" t="s">
        <v>546</v>
      </c>
      <c r="I863" s="8">
        <v>81.7891400694444</v>
      </c>
      <c r="J863" s="8">
        <v>8.92411722222222</v>
      </c>
      <c r="K863" s="6" t="s">
        <v>29</v>
      </c>
      <c r="L863" s="6" t="s">
        <v>546</v>
      </c>
      <c r="M863" s="9">
        <v>44012</v>
      </c>
      <c r="O863" s="6">
        <v>40</v>
      </c>
      <c r="P863" s="6" t="s">
        <v>4406</v>
      </c>
      <c r="R863" s="10" t="s">
        <v>1799</v>
      </c>
      <c r="S863" s="10">
        <v>74</v>
      </c>
      <c r="T863" s="10">
        <v>79</v>
      </c>
      <c r="U863" s="10">
        <f t="shared" si="26"/>
        <v>76.5</v>
      </c>
      <c r="V863" s="11"/>
      <c r="W863" s="8">
        <v>-5.6491936902523054</v>
      </c>
      <c r="X863" s="8">
        <v>-43.666880031585691</v>
      </c>
      <c r="Y863" s="8">
        <f t="shared" si="27"/>
        <v>1.5266694904327522</v>
      </c>
    </row>
    <row r="864" spans="1:25" s="6" customFormat="1" x14ac:dyDescent="0.35">
      <c r="A864" s="6" t="s">
        <v>25</v>
      </c>
      <c r="B864" s="7" t="s">
        <v>1791</v>
      </c>
      <c r="D864" s="6" t="s">
        <v>1792</v>
      </c>
      <c r="E864" s="6">
        <v>4</v>
      </c>
      <c r="F864" s="6">
        <v>45</v>
      </c>
      <c r="G864" s="6" t="s">
        <v>546</v>
      </c>
      <c r="I864" s="8">
        <v>81.7891400694444</v>
      </c>
      <c r="J864" s="8">
        <v>8.92411722222222</v>
      </c>
      <c r="K864" s="6" t="s">
        <v>29</v>
      </c>
      <c r="L864" s="6" t="s">
        <v>546</v>
      </c>
      <c r="M864" s="9">
        <v>44012</v>
      </c>
      <c r="O864" s="6">
        <v>40</v>
      </c>
      <c r="P864" s="6" t="s">
        <v>4406</v>
      </c>
      <c r="R864" s="10" t="s">
        <v>1793</v>
      </c>
      <c r="S864" s="10">
        <v>79</v>
      </c>
      <c r="T864" s="10">
        <v>84</v>
      </c>
      <c r="U864" s="10">
        <f t="shared" si="26"/>
        <v>81.5</v>
      </c>
      <c r="V864" s="11"/>
      <c r="W864" s="8">
        <v>-5.7743524709701539</v>
      </c>
      <c r="X864" s="8">
        <v>-44.285920627593988</v>
      </c>
      <c r="Y864" s="8">
        <f t="shared" si="27"/>
        <v>1.908899140167243</v>
      </c>
    </row>
    <row r="865" spans="1:25" s="6" customFormat="1" x14ac:dyDescent="0.35">
      <c r="A865" s="6" t="s">
        <v>25</v>
      </c>
      <c r="B865" s="7" t="s">
        <v>1840</v>
      </c>
      <c r="D865" s="6" t="s">
        <v>1841</v>
      </c>
      <c r="E865" s="6">
        <v>4</v>
      </c>
      <c r="F865" s="6">
        <v>45</v>
      </c>
      <c r="G865" s="6" t="s">
        <v>546</v>
      </c>
      <c r="I865" s="8">
        <v>81.7891400694444</v>
      </c>
      <c r="J865" s="8">
        <v>8.92411722222222</v>
      </c>
      <c r="K865" s="6" t="s">
        <v>29</v>
      </c>
      <c r="L865" s="6" t="s">
        <v>546</v>
      </c>
      <c r="M865" s="9">
        <v>44012</v>
      </c>
      <c r="O865" s="6">
        <v>40</v>
      </c>
      <c r="P865" s="6" t="s">
        <v>4406</v>
      </c>
      <c r="R865" s="10" t="s">
        <v>1842</v>
      </c>
      <c r="S865" s="10">
        <v>84</v>
      </c>
      <c r="T865" s="10">
        <v>89</v>
      </c>
      <c r="U865" s="10">
        <f t="shared" si="26"/>
        <v>86.5</v>
      </c>
      <c r="V865" s="11"/>
      <c r="W865" s="8">
        <v>-6.0007020597457892</v>
      </c>
      <c r="X865" s="8">
        <v>-46.804502614339192</v>
      </c>
      <c r="Y865" s="8">
        <f t="shared" si="27"/>
        <v>1.2011138636271212</v>
      </c>
    </row>
    <row r="866" spans="1:25" s="6" customFormat="1" x14ac:dyDescent="0.35">
      <c r="A866" s="6" t="s">
        <v>25</v>
      </c>
      <c r="B866" s="7" t="s">
        <v>1846</v>
      </c>
      <c r="D866" s="6" t="s">
        <v>1847</v>
      </c>
      <c r="E866" s="6">
        <v>4</v>
      </c>
      <c r="F866" s="6">
        <v>45</v>
      </c>
      <c r="G866" s="6" t="s">
        <v>546</v>
      </c>
      <c r="I866" s="8">
        <v>81.7891400694444</v>
      </c>
      <c r="J866" s="8">
        <v>8.92411722222222</v>
      </c>
      <c r="K866" s="6" t="s">
        <v>29</v>
      </c>
      <c r="L866" s="6" t="s">
        <v>546</v>
      </c>
      <c r="M866" s="9">
        <v>44012</v>
      </c>
      <c r="O866" s="6">
        <v>40</v>
      </c>
      <c r="P866" s="6" t="s">
        <v>4406</v>
      </c>
      <c r="R866" s="10" t="s">
        <v>1848</v>
      </c>
      <c r="S866" s="10">
        <v>89</v>
      </c>
      <c r="T866" s="10">
        <v>94</v>
      </c>
      <c r="U866" s="10">
        <f t="shared" si="26"/>
        <v>91.5</v>
      </c>
      <c r="V866" s="11"/>
      <c r="W866" s="8">
        <v>-6.2861457640647895</v>
      </c>
      <c r="X866" s="8">
        <v>-48.957598312377932</v>
      </c>
      <c r="Y866" s="8">
        <f t="shared" si="27"/>
        <v>1.3315678001403839</v>
      </c>
    </row>
    <row r="867" spans="1:25" s="6" customFormat="1" x14ac:dyDescent="0.35">
      <c r="A867" s="6" t="s">
        <v>25</v>
      </c>
      <c r="B867" s="7" t="s">
        <v>1834</v>
      </c>
      <c r="D867" s="6" t="s">
        <v>1835</v>
      </c>
      <c r="E867" s="6">
        <v>4</v>
      </c>
      <c r="F867" s="6">
        <v>45</v>
      </c>
      <c r="G867" s="6" t="s">
        <v>546</v>
      </c>
      <c r="I867" s="8">
        <v>81.7891400694444</v>
      </c>
      <c r="J867" s="8">
        <v>8.92411722222222</v>
      </c>
      <c r="K867" s="6" t="s">
        <v>29</v>
      </c>
      <c r="L867" s="6" t="s">
        <v>546</v>
      </c>
      <c r="M867" s="9">
        <v>44012</v>
      </c>
      <c r="O867" s="6">
        <v>40</v>
      </c>
      <c r="P867" s="6" t="s">
        <v>4406</v>
      </c>
      <c r="R867" s="10" t="s">
        <v>1836</v>
      </c>
      <c r="S867" s="10">
        <v>94</v>
      </c>
      <c r="T867" s="10">
        <v>99</v>
      </c>
      <c r="U867" s="10">
        <f t="shared" si="26"/>
        <v>96.5</v>
      </c>
      <c r="V867" s="11"/>
      <c r="W867" s="8">
        <v>-6.5165878812789924</v>
      </c>
      <c r="X867" s="8">
        <v>-50.285937885284426</v>
      </c>
      <c r="Y867" s="8">
        <f t="shared" si="27"/>
        <v>1.846765164947513</v>
      </c>
    </row>
    <row r="868" spans="1:25" s="6" customFormat="1" x14ac:dyDescent="0.35">
      <c r="A868" s="6" t="s">
        <v>25</v>
      </c>
      <c r="B868" s="7" t="s">
        <v>1875</v>
      </c>
      <c r="D868" s="6" t="s">
        <v>1876</v>
      </c>
      <c r="E868" s="6">
        <v>4</v>
      </c>
      <c r="F868" s="6">
        <v>45</v>
      </c>
      <c r="G868" s="6" t="s">
        <v>546</v>
      </c>
      <c r="I868" s="8">
        <v>81.7891400694444</v>
      </c>
      <c r="J868" s="8">
        <v>8.92411722222222</v>
      </c>
      <c r="K868" s="6" t="s">
        <v>29</v>
      </c>
      <c r="L868" s="6" t="s">
        <v>546</v>
      </c>
      <c r="M868" s="9">
        <v>44012</v>
      </c>
      <c r="O868" s="6">
        <v>40</v>
      </c>
      <c r="P868" s="6" t="s">
        <v>4406</v>
      </c>
      <c r="R868" s="10" t="s">
        <v>1877</v>
      </c>
      <c r="S868" s="10">
        <v>99</v>
      </c>
      <c r="T868" s="10">
        <v>104</v>
      </c>
      <c r="U868" s="10">
        <f t="shared" si="26"/>
        <v>101.5</v>
      </c>
      <c r="V868" s="11"/>
      <c r="W868" s="8">
        <v>-6.6188150463104254</v>
      </c>
      <c r="X868" s="8">
        <v>-50.081868888854977</v>
      </c>
      <c r="Y868" s="8">
        <f t="shared" si="27"/>
        <v>2.8686514816284259</v>
      </c>
    </row>
    <row r="869" spans="1:25" s="6" customFormat="1" x14ac:dyDescent="0.35">
      <c r="A869" s="6" t="s">
        <v>25</v>
      </c>
      <c r="B869" s="7" t="s">
        <v>1861</v>
      </c>
      <c r="D869" s="6" t="s">
        <v>1862</v>
      </c>
      <c r="E869" s="6">
        <v>4</v>
      </c>
      <c r="F869" s="6">
        <v>45</v>
      </c>
      <c r="G869" s="6" t="s">
        <v>546</v>
      </c>
      <c r="I869" s="8">
        <v>81.7891400694444</v>
      </c>
      <c r="J869" s="8">
        <v>8.92411722222222</v>
      </c>
      <c r="K869" s="6" t="s">
        <v>29</v>
      </c>
      <c r="L869" s="6" t="s">
        <v>546</v>
      </c>
      <c r="M869" s="9">
        <v>44012</v>
      </c>
      <c r="O869" s="6">
        <v>40</v>
      </c>
      <c r="P869" s="6" t="s">
        <v>4406</v>
      </c>
      <c r="R869" s="10" t="s">
        <v>1863</v>
      </c>
      <c r="S869" s="10">
        <v>104</v>
      </c>
      <c r="T869" s="10">
        <v>109</v>
      </c>
      <c r="U869" s="10">
        <f t="shared" si="26"/>
        <v>106.5</v>
      </c>
      <c r="V869" s="11"/>
      <c r="W869" s="8">
        <v>-6.8570916261672972</v>
      </c>
      <c r="X869" s="8">
        <v>-51.939747528076168</v>
      </c>
      <c r="Y869" s="8">
        <f t="shared" si="27"/>
        <v>2.9169854812622091</v>
      </c>
    </row>
    <row r="870" spans="1:25" s="6" customFormat="1" x14ac:dyDescent="0.35">
      <c r="A870" s="6" t="s">
        <v>25</v>
      </c>
      <c r="B870" s="7" t="s">
        <v>1864</v>
      </c>
      <c r="D870" s="6" t="s">
        <v>1865</v>
      </c>
      <c r="E870" s="6">
        <v>4</v>
      </c>
      <c r="F870" s="6">
        <v>45</v>
      </c>
      <c r="G870" s="6" t="s">
        <v>546</v>
      </c>
      <c r="I870" s="8">
        <v>81.7891400694444</v>
      </c>
      <c r="J870" s="8">
        <v>8.92411722222222</v>
      </c>
      <c r="K870" s="6" t="s">
        <v>29</v>
      </c>
      <c r="L870" s="6" t="s">
        <v>546</v>
      </c>
      <c r="M870" s="9">
        <v>44012</v>
      </c>
      <c r="O870" s="6">
        <v>40</v>
      </c>
      <c r="P870" s="6" t="s">
        <v>4406</v>
      </c>
      <c r="R870" s="10" t="s">
        <v>1866</v>
      </c>
      <c r="S870" s="10">
        <v>109</v>
      </c>
      <c r="T870" s="10">
        <v>114</v>
      </c>
      <c r="U870" s="10">
        <f t="shared" si="26"/>
        <v>111.5</v>
      </c>
      <c r="V870" s="11"/>
      <c r="W870" s="8">
        <v>-7.1215427069664017</v>
      </c>
      <c r="X870" s="8">
        <v>-52.906793365478514</v>
      </c>
      <c r="Y870" s="8">
        <f t="shared" si="27"/>
        <v>4.0655482902526998</v>
      </c>
    </row>
    <row r="871" spans="1:25" s="6" customFormat="1" x14ac:dyDescent="0.35">
      <c r="A871" s="6" t="s">
        <v>25</v>
      </c>
      <c r="B871" s="7" t="s">
        <v>1867</v>
      </c>
      <c r="D871" s="6" t="s">
        <v>1868</v>
      </c>
      <c r="E871" s="6">
        <v>4</v>
      </c>
      <c r="F871" s="6">
        <v>45</v>
      </c>
      <c r="G871" s="6" t="s">
        <v>546</v>
      </c>
      <c r="I871" s="8">
        <v>81.7891400694444</v>
      </c>
      <c r="J871" s="8">
        <v>8.92411722222222</v>
      </c>
      <c r="K871" s="6" t="s">
        <v>29</v>
      </c>
      <c r="L871" s="6" t="s">
        <v>546</v>
      </c>
      <c r="M871" s="9">
        <v>44012</v>
      </c>
      <c r="O871" s="6">
        <v>40</v>
      </c>
      <c r="P871" s="6" t="s">
        <v>4406</v>
      </c>
      <c r="R871" s="10" t="s">
        <v>1869</v>
      </c>
      <c r="S871" s="10">
        <v>114</v>
      </c>
      <c r="T871" s="10">
        <v>119</v>
      </c>
      <c r="U871" s="10">
        <f t="shared" si="26"/>
        <v>116.5</v>
      </c>
      <c r="V871" s="11"/>
      <c r="W871" s="8">
        <v>-7.5919201478958129</v>
      </c>
      <c r="X871" s="8">
        <v>-56.941454154968262</v>
      </c>
      <c r="Y871" s="8">
        <f t="shared" si="27"/>
        <v>3.793907028198241</v>
      </c>
    </row>
    <row r="872" spans="1:25" s="6" customFormat="1" x14ac:dyDescent="0.35">
      <c r="A872" s="6" t="s">
        <v>25</v>
      </c>
      <c r="B872" s="7" t="s">
        <v>1837</v>
      </c>
      <c r="D872" s="6" t="s">
        <v>1838</v>
      </c>
      <c r="E872" s="6">
        <v>4</v>
      </c>
      <c r="F872" s="6">
        <v>45</v>
      </c>
      <c r="G872" s="6" t="s">
        <v>546</v>
      </c>
      <c r="I872" s="8">
        <v>81.7891400694444</v>
      </c>
      <c r="J872" s="8">
        <v>8.92411722222222</v>
      </c>
      <c r="K872" s="6" t="s">
        <v>29</v>
      </c>
      <c r="L872" s="6" t="s">
        <v>546</v>
      </c>
      <c r="M872" s="9">
        <v>44012</v>
      </c>
      <c r="O872" s="6">
        <v>40</v>
      </c>
      <c r="P872" s="6" t="s">
        <v>4406</v>
      </c>
      <c r="R872" s="10" t="s">
        <v>1839</v>
      </c>
      <c r="S872" s="10">
        <v>119</v>
      </c>
      <c r="T872" s="10">
        <v>124</v>
      </c>
      <c r="U872" s="10">
        <f t="shared" si="26"/>
        <v>121.5</v>
      </c>
      <c r="V872" s="11"/>
      <c r="W872" s="8">
        <v>-8.1837502977371237</v>
      </c>
      <c r="X872" s="8">
        <v>-60.614413299560539</v>
      </c>
      <c r="Y872" s="8">
        <f t="shared" si="27"/>
        <v>4.8555890823364507</v>
      </c>
    </row>
    <row r="873" spans="1:25" s="6" customFormat="1" x14ac:dyDescent="0.35">
      <c r="A873" s="6" t="s">
        <v>25</v>
      </c>
      <c r="B873" s="7" t="s">
        <v>1873</v>
      </c>
      <c r="D873" s="6" t="s">
        <v>1874</v>
      </c>
      <c r="E873" s="6">
        <v>4</v>
      </c>
      <c r="F873" s="6">
        <v>45</v>
      </c>
      <c r="G873" s="6" t="s">
        <v>546</v>
      </c>
      <c r="I873" s="8">
        <v>81.7891400694444</v>
      </c>
      <c r="J873" s="8">
        <v>8.92411722222222</v>
      </c>
      <c r="K873" s="6" t="s">
        <v>29</v>
      </c>
      <c r="L873" s="6" t="s">
        <v>546</v>
      </c>
      <c r="M873" s="9">
        <v>44012</v>
      </c>
      <c r="O873" s="6">
        <v>40</v>
      </c>
      <c r="P873" s="6" t="s">
        <v>4406</v>
      </c>
      <c r="R873" s="10"/>
      <c r="S873" s="10">
        <v>124</v>
      </c>
      <c r="T873" s="10">
        <v>129</v>
      </c>
      <c r="U873" s="10">
        <f t="shared" si="26"/>
        <v>126.5</v>
      </c>
      <c r="V873" s="11"/>
      <c r="W873" s="8">
        <v>-7.4191860032081616</v>
      </c>
      <c r="X873" s="8">
        <v>-55.493095558166502</v>
      </c>
      <c r="Y873" s="8">
        <f t="shared" si="27"/>
        <v>3.8603924674987908</v>
      </c>
    </row>
    <row r="874" spans="1:25" s="6" customFormat="1" x14ac:dyDescent="0.35">
      <c r="A874" s="6" t="s">
        <v>25</v>
      </c>
      <c r="B874" s="7" t="s">
        <v>1870</v>
      </c>
      <c r="D874" s="6" t="s">
        <v>1871</v>
      </c>
      <c r="E874" s="6">
        <v>4</v>
      </c>
      <c r="F874" s="6">
        <v>45</v>
      </c>
      <c r="G874" s="6" t="s">
        <v>546</v>
      </c>
      <c r="I874" s="8">
        <v>81.7891400694444</v>
      </c>
      <c r="J874" s="8">
        <v>8.92411722222222</v>
      </c>
      <c r="K874" s="6" t="s">
        <v>29</v>
      </c>
      <c r="L874" s="6" t="s">
        <v>546</v>
      </c>
      <c r="M874" s="9">
        <v>44012</v>
      </c>
      <c r="O874" s="6">
        <v>40</v>
      </c>
      <c r="P874" s="6" t="s">
        <v>4406</v>
      </c>
      <c r="R874" s="10" t="s">
        <v>1872</v>
      </c>
      <c r="S874" s="10">
        <v>129</v>
      </c>
      <c r="T874" s="10">
        <v>134</v>
      </c>
      <c r="U874" s="10">
        <f t="shared" si="26"/>
        <v>131.5</v>
      </c>
      <c r="V874" s="11"/>
      <c r="W874" s="8">
        <v>-7.1367210879325871</v>
      </c>
      <c r="X874" s="8">
        <v>-54.925575347900391</v>
      </c>
      <c r="Y874" s="8">
        <f t="shared" si="27"/>
        <v>2.1681933555603052</v>
      </c>
    </row>
    <row r="875" spans="1:25" s="6" customFormat="1" x14ac:dyDescent="0.35">
      <c r="A875" s="6" t="s">
        <v>25</v>
      </c>
      <c r="B875" s="7" t="s">
        <v>1878</v>
      </c>
      <c r="D875" s="6" t="s">
        <v>1879</v>
      </c>
      <c r="E875" s="6">
        <v>4</v>
      </c>
      <c r="F875" s="6">
        <v>45</v>
      </c>
      <c r="G875" s="6" t="s">
        <v>546</v>
      </c>
      <c r="I875" s="8">
        <v>81.7891400694444</v>
      </c>
      <c r="J875" s="8">
        <v>8.92411722222222</v>
      </c>
      <c r="K875" s="6" t="s">
        <v>29</v>
      </c>
      <c r="L875" s="6" t="s">
        <v>546</v>
      </c>
      <c r="M875" s="9">
        <v>44012</v>
      </c>
      <c r="O875" s="6">
        <v>40</v>
      </c>
      <c r="P875" s="6" t="s">
        <v>4406</v>
      </c>
      <c r="R875" s="10" t="s">
        <v>1880</v>
      </c>
      <c r="S875" s="10">
        <v>134</v>
      </c>
      <c r="T875" s="10">
        <v>139</v>
      </c>
      <c r="U875" s="10">
        <f t="shared" si="26"/>
        <v>136.5</v>
      </c>
      <c r="V875" s="11"/>
      <c r="W875" s="8">
        <v>-6.9047866752624518</v>
      </c>
      <c r="X875" s="8">
        <v>-52.73763751220703</v>
      </c>
      <c r="Y875" s="8">
        <f t="shared" si="27"/>
        <v>2.5006558898925846</v>
      </c>
    </row>
    <row r="876" spans="1:25" s="6" customFormat="1" x14ac:dyDescent="0.35">
      <c r="A876" s="6" t="s">
        <v>25</v>
      </c>
      <c r="B876" s="7" t="s">
        <v>1858</v>
      </c>
      <c r="D876" s="6" t="s">
        <v>1859</v>
      </c>
      <c r="E876" s="6">
        <v>4</v>
      </c>
      <c r="F876" s="6">
        <v>45</v>
      </c>
      <c r="G876" s="6" t="s">
        <v>546</v>
      </c>
      <c r="I876" s="8">
        <v>81.7891400694444</v>
      </c>
      <c r="J876" s="8">
        <v>8.92411722222222</v>
      </c>
      <c r="K876" s="6" t="s">
        <v>29</v>
      </c>
      <c r="L876" s="6" t="s">
        <v>546</v>
      </c>
      <c r="M876" s="9">
        <v>44012</v>
      </c>
      <c r="O876" s="6">
        <v>40</v>
      </c>
      <c r="P876" s="6" t="s">
        <v>4406</v>
      </c>
      <c r="R876" s="10" t="s">
        <v>1860</v>
      </c>
      <c r="S876" s="10">
        <v>139</v>
      </c>
      <c r="T876" s="10">
        <v>144</v>
      </c>
      <c r="U876" s="10">
        <f t="shared" si="26"/>
        <v>141.5</v>
      </c>
      <c r="V876" s="11"/>
      <c r="W876" s="8">
        <v>-6.3124732336997997</v>
      </c>
      <c r="X876" s="8">
        <v>-47.932121856689456</v>
      </c>
      <c r="Y876" s="8">
        <f t="shared" si="27"/>
        <v>2.5676640129089421</v>
      </c>
    </row>
    <row r="877" spans="1:25" s="6" customFormat="1" x14ac:dyDescent="0.35">
      <c r="A877" s="6" t="s">
        <v>25</v>
      </c>
      <c r="B877" s="7" t="s">
        <v>1855</v>
      </c>
      <c r="D877" s="6" t="s">
        <v>1856</v>
      </c>
      <c r="E877" s="6">
        <v>4</v>
      </c>
      <c r="F877" s="6">
        <v>45</v>
      </c>
      <c r="G877" s="6" t="s">
        <v>546</v>
      </c>
      <c r="I877" s="8">
        <v>81.7891400694444</v>
      </c>
      <c r="J877" s="8">
        <v>8.92411722222222</v>
      </c>
      <c r="K877" s="6" t="s">
        <v>29</v>
      </c>
      <c r="L877" s="6" t="s">
        <v>546</v>
      </c>
      <c r="M877" s="9">
        <v>44012</v>
      </c>
      <c r="O877" s="6">
        <v>40</v>
      </c>
      <c r="P877" s="6" t="s">
        <v>4406</v>
      </c>
      <c r="R877" s="10" t="s">
        <v>1857</v>
      </c>
      <c r="S877" s="10">
        <v>144</v>
      </c>
      <c r="T877" s="10">
        <v>149</v>
      </c>
      <c r="U877" s="10">
        <f t="shared" si="26"/>
        <v>146.5</v>
      </c>
      <c r="V877" s="11"/>
      <c r="W877" s="8">
        <v>-6.4296519069671634</v>
      </c>
      <c r="X877" s="8">
        <v>-49.417112907409667</v>
      </c>
      <c r="Y877" s="8">
        <f t="shared" si="27"/>
        <v>2.0201023483276401</v>
      </c>
    </row>
    <row r="878" spans="1:25" s="6" customFormat="1" x14ac:dyDescent="0.35">
      <c r="A878" s="6" t="s">
        <v>25</v>
      </c>
      <c r="B878" s="7" t="s">
        <v>1893</v>
      </c>
      <c r="D878" s="6" t="s">
        <v>1894</v>
      </c>
      <c r="E878" s="6">
        <v>4</v>
      </c>
      <c r="F878" s="6">
        <v>45</v>
      </c>
      <c r="G878" s="6" t="s">
        <v>546</v>
      </c>
      <c r="I878" s="8">
        <v>81.7891400694444</v>
      </c>
      <c r="J878" s="8">
        <v>8.92411722222222</v>
      </c>
      <c r="K878" s="6" t="s">
        <v>29</v>
      </c>
      <c r="L878" s="6" t="s">
        <v>546</v>
      </c>
      <c r="M878" s="9">
        <v>44012</v>
      </c>
      <c r="O878" s="6">
        <v>40</v>
      </c>
      <c r="P878" s="6" t="s">
        <v>4406</v>
      </c>
      <c r="R878" s="10" t="s">
        <v>1895</v>
      </c>
      <c r="S878" s="10">
        <v>149</v>
      </c>
      <c r="T878" s="10">
        <v>154</v>
      </c>
      <c r="U878" s="10">
        <f t="shared" si="26"/>
        <v>151.5</v>
      </c>
      <c r="V878" s="11"/>
      <c r="W878" s="8">
        <v>-6.8259279718399046</v>
      </c>
      <c r="X878" s="8">
        <v>-52.548798980712888</v>
      </c>
      <c r="Y878" s="8">
        <f t="shared" si="27"/>
        <v>2.0586247940063487</v>
      </c>
    </row>
    <row r="879" spans="1:25" s="6" customFormat="1" x14ac:dyDescent="0.35">
      <c r="A879" s="6" t="s">
        <v>25</v>
      </c>
      <c r="B879" s="7" t="s">
        <v>1890</v>
      </c>
      <c r="D879" s="6" t="s">
        <v>1891</v>
      </c>
      <c r="E879" s="6">
        <v>4</v>
      </c>
      <c r="F879" s="6">
        <v>45</v>
      </c>
      <c r="G879" s="6" t="s">
        <v>546</v>
      </c>
      <c r="I879" s="8">
        <v>81.7891400694444</v>
      </c>
      <c r="J879" s="8">
        <v>8.92411722222222</v>
      </c>
      <c r="K879" s="6" t="s">
        <v>29</v>
      </c>
      <c r="L879" s="6" t="s">
        <v>546</v>
      </c>
      <c r="M879" s="9">
        <v>44012</v>
      </c>
      <c r="O879" s="6">
        <v>40</v>
      </c>
      <c r="P879" s="6" t="s">
        <v>4406</v>
      </c>
      <c r="R879" s="10" t="s">
        <v>1892</v>
      </c>
      <c r="S879" s="10">
        <v>154</v>
      </c>
      <c r="T879" s="10">
        <v>159</v>
      </c>
      <c r="U879" s="10">
        <f t="shared" si="26"/>
        <v>156.5</v>
      </c>
      <c r="V879" s="11"/>
      <c r="W879" s="8">
        <v>-6.1847785577774044</v>
      </c>
      <c r="X879" s="8">
        <v>-47.25902183532714</v>
      </c>
      <c r="Y879" s="8">
        <f t="shared" si="27"/>
        <v>2.2192066268920954</v>
      </c>
    </row>
    <row r="880" spans="1:25" s="6" customFormat="1" x14ac:dyDescent="0.35">
      <c r="A880" s="6" t="s">
        <v>25</v>
      </c>
      <c r="B880" s="7" t="s">
        <v>1884</v>
      </c>
      <c r="D880" s="6" t="s">
        <v>1885</v>
      </c>
      <c r="E880" s="6">
        <v>4</v>
      </c>
      <c r="F880" s="6">
        <v>45</v>
      </c>
      <c r="G880" s="6" t="s">
        <v>546</v>
      </c>
      <c r="I880" s="8">
        <v>81.7891400694444</v>
      </c>
      <c r="J880" s="8">
        <v>8.92411722222222</v>
      </c>
      <c r="K880" s="6" t="s">
        <v>29</v>
      </c>
      <c r="L880" s="6" t="s">
        <v>546</v>
      </c>
      <c r="M880" s="9">
        <v>44012</v>
      </c>
      <c r="O880" s="6">
        <v>40</v>
      </c>
      <c r="P880" s="6" t="s">
        <v>4406</v>
      </c>
      <c r="R880" s="10" t="s">
        <v>1886</v>
      </c>
      <c r="S880" s="10">
        <v>159</v>
      </c>
      <c r="T880" s="10">
        <v>164</v>
      </c>
      <c r="U880" s="10">
        <f t="shared" si="26"/>
        <v>161.5</v>
      </c>
      <c r="V880" s="11"/>
      <c r="W880" s="8">
        <v>-1.2030357990264893</v>
      </c>
      <c r="X880" s="8">
        <v>-8.7253384876251214</v>
      </c>
      <c r="Y880" s="8">
        <f t="shared" si="27"/>
        <v>0.89894790458679275</v>
      </c>
    </row>
    <row r="881" spans="1:26" s="6" customFormat="1" x14ac:dyDescent="0.35">
      <c r="A881" s="6" t="s">
        <v>25</v>
      </c>
      <c r="B881" s="7" t="s">
        <v>1887</v>
      </c>
      <c r="D881" s="6" t="s">
        <v>1888</v>
      </c>
      <c r="E881" s="6">
        <v>4</v>
      </c>
      <c r="F881" s="6">
        <v>45</v>
      </c>
      <c r="G881" s="6" t="s">
        <v>546</v>
      </c>
      <c r="I881" s="8">
        <v>81.7891400694444</v>
      </c>
      <c r="J881" s="8">
        <v>8.92411722222222</v>
      </c>
      <c r="K881" s="6" t="s">
        <v>29</v>
      </c>
      <c r="L881" s="6" t="s">
        <v>546</v>
      </c>
      <c r="M881" s="9">
        <v>44012</v>
      </c>
      <c r="O881" s="6">
        <v>40</v>
      </c>
      <c r="P881" s="6" t="s">
        <v>4406</v>
      </c>
      <c r="R881" s="10" t="s">
        <v>1889</v>
      </c>
      <c r="S881" s="10">
        <v>164</v>
      </c>
      <c r="T881" s="10">
        <v>169</v>
      </c>
      <c r="U881" s="10">
        <f t="shared" si="26"/>
        <v>166.5</v>
      </c>
      <c r="V881" s="11"/>
      <c r="W881" s="8">
        <v>-2.4066195144653322</v>
      </c>
      <c r="X881" s="8">
        <v>-17.406193714141843</v>
      </c>
      <c r="Y881" s="8">
        <f t="shared" si="27"/>
        <v>1.8467624015808148</v>
      </c>
    </row>
    <row r="882" spans="1:26" s="6" customFormat="1" x14ac:dyDescent="0.35">
      <c r="A882" s="6" t="s">
        <v>25</v>
      </c>
      <c r="B882" s="7" t="s">
        <v>1899</v>
      </c>
      <c r="D882" s="6" t="s">
        <v>1900</v>
      </c>
      <c r="E882" s="6">
        <v>4</v>
      </c>
      <c r="F882" s="6">
        <v>45</v>
      </c>
      <c r="G882" s="6" t="s">
        <v>546</v>
      </c>
      <c r="I882" s="8">
        <v>81.7891400694444</v>
      </c>
      <c r="J882" s="8">
        <v>8.92411722222222</v>
      </c>
      <c r="K882" s="6" t="s">
        <v>29</v>
      </c>
      <c r="L882" s="6" t="s">
        <v>546</v>
      </c>
      <c r="M882" s="9">
        <v>44012</v>
      </c>
      <c r="O882" s="6">
        <v>40</v>
      </c>
      <c r="P882" s="6" t="s">
        <v>4406</v>
      </c>
      <c r="R882" s="10" t="s">
        <v>1901</v>
      </c>
      <c r="S882" s="10">
        <v>169</v>
      </c>
      <c r="T882" s="10">
        <v>175</v>
      </c>
      <c r="U882" s="10">
        <f t="shared" si="26"/>
        <v>172</v>
      </c>
      <c r="V882" s="11"/>
      <c r="W882" s="8">
        <v>-2.3909555511474609</v>
      </c>
      <c r="X882" s="8">
        <v>-17.679275665283203</v>
      </c>
      <c r="Y882" s="8">
        <f t="shared" si="27"/>
        <v>1.4483687438964843</v>
      </c>
    </row>
    <row r="883" spans="1:26" s="6" customFormat="1" x14ac:dyDescent="0.35">
      <c r="A883" s="6" t="s">
        <v>25</v>
      </c>
      <c r="B883" s="7" t="s">
        <v>1881</v>
      </c>
      <c r="D883" s="6" t="s">
        <v>1882</v>
      </c>
      <c r="E883" s="6">
        <v>4</v>
      </c>
      <c r="F883" s="6">
        <v>45</v>
      </c>
      <c r="G883" s="6" t="s">
        <v>546</v>
      </c>
      <c r="I883" s="8">
        <v>81.7891400694444</v>
      </c>
      <c r="J883" s="8">
        <v>8.92411722222222</v>
      </c>
      <c r="K883" s="6" t="s">
        <v>29</v>
      </c>
      <c r="L883" s="6" t="s">
        <v>546</v>
      </c>
      <c r="M883" s="9">
        <v>44012</v>
      </c>
      <c r="O883" s="6">
        <v>40</v>
      </c>
      <c r="P883" s="6" t="s">
        <v>4406</v>
      </c>
      <c r="R883" s="10" t="s">
        <v>1883</v>
      </c>
      <c r="S883" s="10">
        <v>175</v>
      </c>
      <c r="T883" s="10">
        <v>180</v>
      </c>
      <c r="U883" s="10">
        <f t="shared" si="26"/>
        <v>177.5</v>
      </c>
      <c r="V883" s="11"/>
      <c r="W883" s="8">
        <v>-3.2508710203170761</v>
      </c>
      <c r="X883" s="8">
        <v>-24.559535942077638</v>
      </c>
      <c r="Y883" s="8">
        <f t="shared" si="27"/>
        <v>1.4474322204589711</v>
      </c>
    </row>
    <row r="884" spans="1:26" s="6" customFormat="1" x14ac:dyDescent="0.35">
      <c r="A884" s="6" t="s">
        <v>25</v>
      </c>
      <c r="B884" s="7" t="s">
        <v>1896</v>
      </c>
      <c r="D884" s="6" t="s">
        <v>1897</v>
      </c>
      <c r="E884" s="6">
        <v>4</v>
      </c>
      <c r="F884" s="6">
        <v>45</v>
      </c>
      <c r="G884" s="6" t="s">
        <v>546</v>
      </c>
      <c r="I884" s="8">
        <v>81.7891400694444</v>
      </c>
      <c r="J884" s="8">
        <v>8.92411722222222</v>
      </c>
      <c r="K884" s="6" t="s">
        <v>29</v>
      </c>
      <c r="L884" s="6" t="s">
        <v>546</v>
      </c>
      <c r="M884" s="9">
        <v>44012</v>
      </c>
      <c r="O884" s="6">
        <v>40</v>
      </c>
      <c r="P884" s="6" t="s">
        <v>4406</v>
      </c>
      <c r="R884" s="10" t="s">
        <v>1898</v>
      </c>
      <c r="S884" s="10">
        <v>180</v>
      </c>
      <c r="T884" s="10">
        <v>185</v>
      </c>
      <c r="U884" s="10">
        <f t="shared" si="26"/>
        <v>182.5</v>
      </c>
      <c r="V884" s="11"/>
      <c r="W884" s="8">
        <v>-2.566716329574585</v>
      </c>
      <c r="X884" s="8">
        <v>-19.229920501708985</v>
      </c>
      <c r="Y884" s="8">
        <f t="shared" si="27"/>
        <v>1.3038101348876943</v>
      </c>
    </row>
    <row r="885" spans="1:26" s="6" customFormat="1" x14ac:dyDescent="0.35">
      <c r="A885" s="6" t="s">
        <v>25</v>
      </c>
      <c r="B885" s="7" t="s">
        <v>1911</v>
      </c>
      <c r="D885" s="6" t="s">
        <v>1912</v>
      </c>
      <c r="E885" s="6">
        <v>4</v>
      </c>
      <c r="F885" s="6">
        <v>45</v>
      </c>
      <c r="G885" s="6" t="s">
        <v>546</v>
      </c>
      <c r="I885" s="8">
        <v>81.7891400694444</v>
      </c>
      <c r="J885" s="8">
        <v>8.92411722222222</v>
      </c>
      <c r="K885" s="6" t="s">
        <v>29</v>
      </c>
      <c r="L885" s="6" t="s">
        <v>546</v>
      </c>
      <c r="M885" s="9">
        <v>44012</v>
      </c>
      <c r="O885" s="6">
        <v>40</v>
      </c>
      <c r="P885" s="6" t="s">
        <v>4406</v>
      </c>
      <c r="R885" s="10" t="s">
        <v>1913</v>
      </c>
      <c r="S885" s="10">
        <v>185</v>
      </c>
      <c r="T885" s="10">
        <v>190</v>
      </c>
      <c r="U885" s="10">
        <f t="shared" si="26"/>
        <v>187.5</v>
      </c>
      <c r="V885" s="11"/>
      <c r="W885" s="8">
        <v>6.7002214431762699E-2</v>
      </c>
      <c r="X885" s="8">
        <v>1.125976939201355</v>
      </c>
      <c r="Y885" s="8">
        <f t="shared" si="27"/>
        <v>0.5899592237472534</v>
      </c>
    </row>
    <row r="886" spans="1:26" s="6" customFormat="1" x14ac:dyDescent="0.35">
      <c r="A886" s="6" t="s">
        <v>25</v>
      </c>
      <c r="B886" s="7" t="s">
        <v>1905</v>
      </c>
      <c r="D886" s="6" t="s">
        <v>1906</v>
      </c>
      <c r="E886" s="6">
        <v>4</v>
      </c>
      <c r="F886" s="6">
        <v>45</v>
      </c>
      <c r="G886" s="6" t="s">
        <v>546</v>
      </c>
      <c r="I886" s="8">
        <v>81.7891400694444</v>
      </c>
      <c r="J886" s="8">
        <v>8.92411722222222</v>
      </c>
      <c r="K886" s="6" t="s">
        <v>29</v>
      </c>
      <c r="L886" s="6" t="s">
        <v>546</v>
      </c>
      <c r="M886" s="9">
        <v>44012</v>
      </c>
      <c r="O886" s="6">
        <v>40</v>
      </c>
      <c r="P886" s="6" t="s">
        <v>4406</v>
      </c>
      <c r="R886" s="10" t="s">
        <v>1907</v>
      </c>
      <c r="S886" s="10">
        <v>190</v>
      </c>
      <c r="T886" s="10">
        <v>195</v>
      </c>
      <c r="U886" s="10">
        <f t="shared" si="26"/>
        <v>192.5</v>
      </c>
      <c r="V886" s="11"/>
      <c r="W886" s="8">
        <v>-1.2632137050628645</v>
      </c>
      <c r="X886" s="8">
        <v>-8.7971359252929684</v>
      </c>
      <c r="Y886" s="8">
        <f t="shared" si="27"/>
        <v>1.3085737152099473</v>
      </c>
    </row>
    <row r="887" spans="1:26" s="6" customFormat="1" x14ac:dyDescent="0.35">
      <c r="A887" s="6" t="s">
        <v>25</v>
      </c>
      <c r="B887" s="7" t="s">
        <v>1849</v>
      </c>
      <c r="D887" s="6" t="s">
        <v>1850</v>
      </c>
      <c r="E887" s="6">
        <v>4</v>
      </c>
      <c r="F887" s="6">
        <v>45</v>
      </c>
      <c r="G887" s="6" t="s">
        <v>546</v>
      </c>
      <c r="I887" s="8">
        <v>81.7891400694444</v>
      </c>
      <c r="J887" s="8">
        <v>8.92411722222222</v>
      </c>
      <c r="K887" s="6" t="s">
        <v>29</v>
      </c>
      <c r="L887" s="6" t="s">
        <v>546</v>
      </c>
      <c r="M887" s="9">
        <v>44012</v>
      </c>
      <c r="O887" s="6">
        <v>40</v>
      </c>
      <c r="P887" s="6" t="s">
        <v>4406</v>
      </c>
      <c r="R887" s="10" t="s">
        <v>1851</v>
      </c>
      <c r="S887" s="10">
        <v>195</v>
      </c>
      <c r="T887" s="10">
        <v>200</v>
      </c>
      <c r="U887" s="10">
        <f t="shared" si="26"/>
        <v>197.5</v>
      </c>
      <c r="V887" s="11"/>
      <c r="W887" s="8">
        <v>-2.5799326173782355</v>
      </c>
      <c r="X887" s="8">
        <v>-19.838873130798341</v>
      </c>
      <c r="Y887" s="8">
        <f t="shared" si="27"/>
        <v>0.80058780822754372</v>
      </c>
    </row>
    <row r="888" spans="1:26" s="6" customFormat="1" x14ac:dyDescent="0.35">
      <c r="A888" s="6" t="s">
        <v>25</v>
      </c>
      <c r="B888" s="7" t="s">
        <v>1902</v>
      </c>
      <c r="D888" s="6" t="s">
        <v>1903</v>
      </c>
      <c r="E888" s="6">
        <v>4</v>
      </c>
      <c r="F888" s="6">
        <v>45</v>
      </c>
      <c r="G888" s="6" t="s">
        <v>546</v>
      </c>
      <c r="I888" s="8">
        <v>81.7891400694444</v>
      </c>
      <c r="J888" s="8">
        <v>8.92411722222222</v>
      </c>
      <c r="K888" s="6" t="s">
        <v>29</v>
      </c>
      <c r="L888" s="6" t="s">
        <v>546</v>
      </c>
      <c r="M888" s="9">
        <v>44012</v>
      </c>
      <c r="O888" s="6">
        <v>40</v>
      </c>
      <c r="P888" s="6" t="s">
        <v>4406</v>
      </c>
      <c r="R888" s="10" t="s">
        <v>1904</v>
      </c>
      <c r="S888" s="10">
        <v>200</v>
      </c>
      <c r="T888" s="10">
        <v>205</v>
      </c>
      <c r="U888" s="10">
        <f t="shared" si="26"/>
        <v>202.5</v>
      </c>
      <c r="V888" s="11"/>
      <c r="W888" s="8">
        <v>1.0715102653503419</v>
      </c>
      <c r="X888" s="8">
        <v>8.8730507469177251</v>
      </c>
      <c r="Y888" s="8">
        <f t="shared" si="27"/>
        <v>0.30096862411499004</v>
      </c>
    </row>
    <row r="889" spans="1:26" s="6" customFormat="1" x14ac:dyDescent="0.35">
      <c r="A889" s="6" t="s">
        <v>25</v>
      </c>
      <c r="B889" s="7" t="s">
        <v>1908</v>
      </c>
      <c r="D889" s="6" t="s">
        <v>1909</v>
      </c>
      <c r="E889" s="6">
        <v>4</v>
      </c>
      <c r="F889" s="6">
        <v>45</v>
      </c>
      <c r="G889" s="6" t="s">
        <v>546</v>
      </c>
      <c r="I889" s="8">
        <v>81.7891400694444</v>
      </c>
      <c r="J889" s="8">
        <v>8.92411722222222</v>
      </c>
      <c r="K889" s="6" t="s">
        <v>29</v>
      </c>
      <c r="L889" s="6" t="s">
        <v>546</v>
      </c>
      <c r="M889" s="9">
        <v>44012</v>
      </c>
      <c r="O889" s="6">
        <v>40</v>
      </c>
      <c r="P889" s="6" t="s">
        <v>4406</v>
      </c>
      <c r="R889" s="10" t="s">
        <v>1910</v>
      </c>
      <c r="S889" s="10">
        <v>205</v>
      </c>
      <c r="T889" s="10">
        <v>210</v>
      </c>
      <c r="U889" s="10">
        <f t="shared" si="26"/>
        <v>207.5</v>
      </c>
      <c r="V889" s="11"/>
      <c r="W889" s="8">
        <v>0.84750535202026189</v>
      </c>
      <c r="X889" s="8">
        <v>7.2209297561645505</v>
      </c>
      <c r="Y889" s="8">
        <f t="shared" si="27"/>
        <v>0.44088694000245532</v>
      </c>
    </row>
    <row r="890" spans="1:26" s="6" customFormat="1" x14ac:dyDescent="0.35">
      <c r="A890" s="6" t="s">
        <v>25</v>
      </c>
      <c r="B890" s="7" t="s">
        <v>1852</v>
      </c>
      <c r="D890" s="6" t="s">
        <v>1853</v>
      </c>
      <c r="E890" s="6">
        <v>4</v>
      </c>
      <c r="F890" s="6">
        <v>45</v>
      </c>
      <c r="G890" s="6" t="s">
        <v>546</v>
      </c>
      <c r="I890" s="8">
        <v>81.7891400694444</v>
      </c>
      <c r="J890" s="8">
        <v>8.92411722222222</v>
      </c>
      <c r="K890" s="6" t="s">
        <v>29</v>
      </c>
      <c r="L890" s="6" t="s">
        <v>546</v>
      </c>
      <c r="M890" s="9">
        <v>44012</v>
      </c>
      <c r="O890" s="6">
        <v>40</v>
      </c>
      <c r="P890" s="6" t="s">
        <v>4406</v>
      </c>
      <c r="R890" s="10" t="s">
        <v>1854</v>
      </c>
      <c r="S890" s="10">
        <v>210</v>
      </c>
      <c r="T890" s="10">
        <v>215</v>
      </c>
      <c r="U890" s="10">
        <f t="shared" si="26"/>
        <v>212.5</v>
      </c>
      <c r="V890" s="11"/>
      <c r="W890" s="8">
        <v>-2.5999897918701178</v>
      </c>
      <c r="X890" s="8">
        <v>-19.380480472564695</v>
      </c>
      <c r="Y890" s="8">
        <f t="shared" si="27"/>
        <v>1.4194378623962471</v>
      </c>
    </row>
    <row r="891" spans="1:26" s="6" customFormat="1" x14ac:dyDescent="0.35">
      <c r="A891" s="6" t="s">
        <v>25</v>
      </c>
      <c r="B891" s="6" t="s">
        <v>1916</v>
      </c>
      <c r="D891" s="6" t="s">
        <v>1917</v>
      </c>
      <c r="E891" s="6">
        <v>4</v>
      </c>
      <c r="F891" s="6">
        <v>46</v>
      </c>
      <c r="I891" s="8">
        <v>81.685643263888906</v>
      </c>
      <c r="J891" s="8">
        <v>5.3733415277777796</v>
      </c>
      <c r="K891" s="6" t="s">
        <v>29</v>
      </c>
      <c r="L891" s="29" t="s">
        <v>335</v>
      </c>
      <c r="M891" s="9">
        <v>44018</v>
      </c>
      <c r="O891" s="6">
        <v>41</v>
      </c>
      <c r="P891" s="6" t="s">
        <v>4413</v>
      </c>
      <c r="S891" s="6">
        <v>0</v>
      </c>
      <c r="T891" s="6">
        <v>10</v>
      </c>
      <c r="U891" s="10">
        <f t="shared" si="26"/>
        <v>5</v>
      </c>
      <c r="V891" s="15">
        <v>1.5</v>
      </c>
      <c r="W891" s="8">
        <v>-5.9335767546176914</v>
      </c>
      <c r="X891" s="8">
        <v>-47.2158844795227</v>
      </c>
      <c r="Y891" s="8">
        <f t="shared" si="27"/>
        <v>0.25272955741883152</v>
      </c>
      <c r="Z891" s="6" t="s">
        <v>1760</v>
      </c>
    </row>
    <row r="892" spans="1:26" s="6" customFormat="1" x14ac:dyDescent="0.35">
      <c r="A892" s="6" t="s">
        <v>25</v>
      </c>
      <c r="B892" s="6" t="s">
        <v>1918</v>
      </c>
      <c r="D892" s="6" t="s">
        <v>1919</v>
      </c>
      <c r="E892" s="6">
        <v>4</v>
      </c>
      <c r="F892" s="6">
        <v>46</v>
      </c>
      <c r="I892" s="8">
        <v>81.685643263888906</v>
      </c>
      <c r="J892" s="8">
        <v>5.3733415277777796</v>
      </c>
      <c r="K892" s="6" t="s">
        <v>29</v>
      </c>
      <c r="L892" s="29" t="s">
        <v>335</v>
      </c>
      <c r="M892" s="9">
        <v>44018</v>
      </c>
      <c r="O892" s="6">
        <v>41</v>
      </c>
      <c r="P892" s="6" t="s">
        <v>4413</v>
      </c>
      <c r="S892" s="6">
        <v>10</v>
      </c>
      <c r="T892" s="6">
        <v>20</v>
      </c>
      <c r="U892" s="10">
        <f t="shared" si="26"/>
        <v>15</v>
      </c>
      <c r="V892" s="15">
        <v>2</v>
      </c>
      <c r="W892" s="8">
        <v>-2.1740139936685563</v>
      </c>
      <c r="X892" s="8">
        <v>-18.290887428283689</v>
      </c>
      <c r="Y892" s="8">
        <f t="shared" si="27"/>
        <v>-0.89877547893523868</v>
      </c>
      <c r="Z892" s="6" t="s">
        <v>1760</v>
      </c>
    </row>
    <row r="893" spans="1:26" s="6" customFormat="1" x14ac:dyDescent="0.35">
      <c r="A893" s="6" t="s">
        <v>25</v>
      </c>
      <c r="B893" s="6" t="s">
        <v>1920</v>
      </c>
      <c r="D893" s="6" t="s">
        <v>1921</v>
      </c>
      <c r="E893" s="6">
        <v>4</v>
      </c>
      <c r="F893" s="6">
        <v>46</v>
      </c>
      <c r="I893" s="8">
        <v>81.685643263888906</v>
      </c>
      <c r="J893" s="8">
        <v>5.3733415277777796</v>
      </c>
      <c r="K893" s="6" t="s">
        <v>29</v>
      </c>
      <c r="L893" s="29" t="s">
        <v>335</v>
      </c>
      <c r="M893" s="9">
        <v>44018</v>
      </c>
      <c r="O893" s="6">
        <v>41</v>
      </c>
      <c r="P893" s="6" t="s">
        <v>4413</v>
      </c>
      <c r="S893" s="6">
        <v>20</v>
      </c>
      <c r="T893" s="6">
        <v>30</v>
      </c>
      <c r="U893" s="10">
        <f t="shared" si="26"/>
        <v>25</v>
      </c>
      <c r="V893" s="15">
        <v>2.6</v>
      </c>
      <c r="W893" s="8">
        <v>-1.9468407104909661E-2</v>
      </c>
      <c r="X893" s="8">
        <v>-1.0550627200603482</v>
      </c>
      <c r="Y893" s="8">
        <f t="shared" si="27"/>
        <v>-0.89931546322107092</v>
      </c>
      <c r="Z893" s="6" t="s">
        <v>1760</v>
      </c>
    </row>
    <row r="894" spans="1:26" s="6" customFormat="1" x14ac:dyDescent="0.35">
      <c r="A894" s="6" t="s">
        <v>25</v>
      </c>
      <c r="B894" s="6" t="s">
        <v>1922</v>
      </c>
      <c r="D894" s="6" t="s">
        <v>1923</v>
      </c>
      <c r="E894" s="6">
        <v>4</v>
      </c>
      <c r="F894" s="6">
        <v>46</v>
      </c>
      <c r="I894" s="8">
        <v>81.685643263888906</v>
      </c>
      <c r="J894" s="8">
        <v>5.3733415277777796</v>
      </c>
      <c r="K894" s="6" t="s">
        <v>29</v>
      </c>
      <c r="L894" s="29" t="s">
        <v>335</v>
      </c>
      <c r="M894" s="9">
        <v>44018</v>
      </c>
      <c r="O894" s="6">
        <v>41</v>
      </c>
      <c r="P894" s="6" t="s">
        <v>4413</v>
      </c>
      <c r="S894" s="6">
        <v>30</v>
      </c>
      <c r="T894" s="6">
        <v>40</v>
      </c>
      <c r="U894" s="10">
        <f t="shared" si="26"/>
        <v>35</v>
      </c>
      <c r="V894" s="15">
        <v>3.2</v>
      </c>
      <c r="W894" s="8">
        <v>-9.3476765808463036E-2</v>
      </c>
      <c r="X894" s="8">
        <v>0.56003816044330612</v>
      </c>
      <c r="Y894" s="8">
        <f t="shared" si="27"/>
        <v>1.3078522869110105</v>
      </c>
      <c r="Z894" s="6" t="s">
        <v>1760</v>
      </c>
    </row>
    <row r="895" spans="1:26" s="6" customFormat="1" x14ac:dyDescent="0.35">
      <c r="A895" s="6" t="s">
        <v>25</v>
      </c>
      <c r="B895" s="6" t="s">
        <v>1924</v>
      </c>
      <c r="D895" s="6" t="s">
        <v>1925</v>
      </c>
      <c r="E895" s="6">
        <v>4</v>
      </c>
      <c r="F895" s="6">
        <v>46</v>
      </c>
      <c r="I895" s="8">
        <v>81.685643263888906</v>
      </c>
      <c r="J895" s="8">
        <v>5.3733415277777796</v>
      </c>
      <c r="K895" s="6" t="s">
        <v>29</v>
      </c>
      <c r="L895" s="29" t="s">
        <v>335</v>
      </c>
      <c r="M895" s="9">
        <v>44018</v>
      </c>
      <c r="O895" s="6">
        <v>41</v>
      </c>
      <c r="P895" s="6" t="s">
        <v>4413</v>
      </c>
      <c r="S895" s="6">
        <v>40</v>
      </c>
      <c r="T895" s="6">
        <v>50</v>
      </c>
      <c r="U895" s="10">
        <f t="shared" si="26"/>
        <v>45</v>
      </c>
      <c r="V895" s="15">
        <v>2.9</v>
      </c>
      <c r="W895" s="8">
        <v>-6.6740256485343041E-2</v>
      </c>
      <c r="X895" s="8">
        <v>1.6069564998149738E-2</v>
      </c>
      <c r="Y895" s="8">
        <f t="shared" si="27"/>
        <v>0.54999161688089404</v>
      </c>
      <c r="Z895" s="6" t="s">
        <v>1760</v>
      </c>
    </row>
    <row r="896" spans="1:26" s="6" customFormat="1" x14ac:dyDescent="0.35">
      <c r="A896" s="6" t="s">
        <v>25</v>
      </c>
      <c r="B896" s="6" t="s">
        <v>1926</v>
      </c>
      <c r="D896" s="6" t="s">
        <v>1927</v>
      </c>
      <c r="E896" s="6">
        <v>4</v>
      </c>
      <c r="F896" s="6">
        <v>46</v>
      </c>
      <c r="I896" s="8">
        <v>81.685643263888906</v>
      </c>
      <c r="J896" s="8">
        <v>5.3733415277777796</v>
      </c>
      <c r="K896" s="6" t="s">
        <v>29</v>
      </c>
      <c r="L896" s="29" t="s">
        <v>335</v>
      </c>
      <c r="M896" s="9">
        <v>44018</v>
      </c>
      <c r="O896" s="6">
        <v>41</v>
      </c>
      <c r="P896" s="6" t="s">
        <v>4413</v>
      </c>
      <c r="S896" s="6">
        <v>50</v>
      </c>
      <c r="T896" s="6">
        <v>60</v>
      </c>
      <c r="U896" s="10">
        <f t="shared" si="26"/>
        <v>55</v>
      </c>
      <c r="V896" s="15">
        <v>3.6</v>
      </c>
      <c r="W896" s="8">
        <v>-0.98711587090492237</v>
      </c>
      <c r="X896" s="8">
        <v>-7.6062501578331005</v>
      </c>
      <c r="Y896" s="8">
        <f t="shared" si="27"/>
        <v>0.29067680940627838</v>
      </c>
      <c r="Z896" s="6" t="s">
        <v>1760</v>
      </c>
    </row>
    <row r="897" spans="1:26" s="6" customFormat="1" x14ac:dyDescent="0.35">
      <c r="A897" s="6" t="s">
        <v>25</v>
      </c>
      <c r="B897" s="6" t="s">
        <v>1928</v>
      </c>
      <c r="D897" s="6" t="s">
        <v>1929</v>
      </c>
      <c r="E897" s="6">
        <v>4</v>
      </c>
      <c r="F897" s="6">
        <v>46</v>
      </c>
      <c r="I897" s="8">
        <v>81.685643263888906</v>
      </c>
      <c r="J897" s="8">
        <v>5.3733415277777796</v>
      </c>
      <c r="K897" s="6" t="s">
        <v>29</v>
      </c>
      <c r="L897" s="29" t="s">
        <v>335</v>
      </c>
      <c r="M897" s="9">
        <v>44018</v>
      </c>
      <c r="O897" s="6">
        <v>41</v>
      </c>
      <c r="P897" s="6" t="s">
        <v>4413</v>
      </c>
      <c r="S897" s="6">
        <v>60</v>
      </c>
      <c r="T897" s="6">
        <v>70</v>
      </c>
      <c r="U897" s="10">
        <f t="shared" si="26"/>
        <v>65</v>
      </c>
      <c r="V897" s="15">
        <v>2.8</v>
      </c>
      <c r="W897" s="8">
        <v>-0.56828586711883522</v>
      </c>
      <c r="X897" s="8">
        <v>-5.7359482374191284</v>
      </c>
      <c r="Y897" s="8">
        <f t="shared" si="27"/>
        <v>-1.1896613004684466</v>
      </c>
      <c r="Z897" s="6" t="s">
        <v>1760</v>
      </c>
    </row>
    <row r="898" spans="1:26" s="6" customFormat="1" x14ac:dyDescent="0.35">
      <c r="A898" s="6" t="s">
        <v>25</v>
      </c>
      <c r="B898" s="6" t="s">
        <v>1930</v>
      </c>
      <c r="D898" s="6" t="s">
        <v>1931</v>
      </c>
      <c r="E898" s="6">
        <v>4</v>
      </c>
      <c r="F898" s="6">
        <v>46</v>
      </c>
      <c r="I898" s="8">
        <v>81.685643263888906</v>
      </c>
      <c r="J898" s="8">
        <v>5.3733415277777796</v>
      </c>
      <c r="K898" s="6" t="s">
        <v>29</v>
      </c>
      <c r="L898" s="29" t="s">
        <v>335</v>
      </c>
      <c r="M898" s="9">
        <v>44018</v>
      </c>
      <c r="O898" s="6">
        <v>41</v>
      </c>
      <c r="P898" s="6" t="s">
        <v>4413</v>
      </c>
      <c r="S898" s="6">
        <v>70</v>
      </c>
      <c r="T898" s="6">
        <v>80</v>
      </c>
      <c r="U898" s="10">
        <f t="shared" ref="U898:U961" si="28">AVERAGE(S898:T898)</f>
        <v>75</v>
      </c>
      <c r="V898" s="15">
        <v>2.7</v>
      </c>
      <c r="W898" s="8">
        <v>-0.36648373796939876</v>
      </c>
      <c r="X898" s="8">
        <v>-4.0578248510360719</v>
      </c>
      <c r="Y898" s="8">
        <f t="shared" ref="Y898:Y961" si="29">X898-(8*W898)</f>
        <v>-1.1259549472808819</v>
      </c>
      <c r="Z898" s="6" t="s">
        <v>1760</v>
      </c>
    </row>
    <row r="899" spans="1:26" s="6" customFormat="1" x14ac:dyDescent="0.35">
      <c r="A899" s="6" t="s">
        <v>25</v>
      </c>
      <c r="B899" s="6" t="s">
        <v>1932</v>
      </c>
      <c r="D899" s="6" t="s">
        <v>1933</v>
      </c>
      <c r="E899" s="6">
        <v>4</v>
      </c>
      <c r="F899" s="6">
        <v>46</v>
      </c>
      <c r="I899" s="8">
        <v>81.685643263888906</v>
      </c>
      <c r="J899" s="8">
        <v>5.3733415277777796</v>
      </c>
      <c r="K899" s="6" t="s">
        <v>29</v>
      </c>
      <c r="L899" s="29" t="s">
        <v>335</v>
      </c>
      <c r="M899" s="9">
        <v>44018</v>
      </c>
      <c r="O899" s="6">
        <v>41</v>
      </c>
      <c r="P899" s="6" t="s">
        <v>4413</v>
      </c>
      <c r="S899" s="6">
        <v>80</v>
      </c>
      <c r="T899" s="6">
        <v>90</v>
      </c>
      <c r="U899" s="10">
        <f t="shared" si="28"/>
        <v>85</v>
      </c>
      <c r="V899" s="15">
        <v>2.7</v>
      </c>
      <c r="W899" s="8">
        <v>-0.61530528321266198</v>
      </c>
      <c r="X899" s="8">
        <v>-5.5252381114959723</v>
      </c>
      <c r="Y899" s="8">
        <f t="shared" si="29"/>
        <v>-0.60279584579467649</v>
      </c>
      <c r="Z899" s="6" t="s">
        <v>1760</v>
      </c>
    </row>
    <row r="900" spans="1:26" s="6" customFormat="1" x14ac:dyDescent="0.35">
      <c r="A900" s="6" t="s">
        <v>25</v>
      </c>
      <c r="B900" s="6" t="s">
        <v>1934</v>
      </c>
      <c r="D900" s="6" t="s">
        <v>1935</v>
      </c>
      <c r="E900" s="6">
        <v>4</v>
      </c>
      <c r="F900" s="6">
        <v>46</v>
      </c>
      <c r="I900" s="8">
        <v>81.685643263888906</v>
      </c>
      <c r="J900" s="8">
        <v>5.3733415277777796</v>
      </c>
      <c r="K900" s="6" t="s">
        <v>29</v>
      </c>
      <c r="L900" s="29" t="s">
        <v>335</v>
      </c>
      <c r="M900" s="9">
        <v>44018</v>
      </c>
      <c r="O900" s="6">
        <v>41</v>
      </c>
      <c r="P900" s="6" t="s">
        <v>4413</v>
      </c>
      <c r="S900" s="6">
        <v>90</v>
      </c>
      <c r="T900" s="6">
        <v>100</v>
      </c>
      <c r="U900" s="10">
        <f t="shared" si="28"/>
        <v>95</v>
      </c>
      <c r="V900" s="15">
        <v>3.1</v>
      </c>
      <c r="W900" s="8">
        <v>-0.75051750972270992</v>
      </c>
      <c r="X900" s="8">
        <v>-6.5811815195083616</v>
      </c>
      <c r="Y900" s="8">
        <f t="shared" si="29"/>
        <v>-0.57704144172668226</v>
      </c>
      <c r="Z900" s="6" t="s">
        <v>1760</v>
      </c>
    </row>
    <row r="901" spans="1:26" s="6" customFormat="1" x14ac:dyDescent="0.35">
      <c r="A901" s="6" t="s">
        <v>25</v>
      </c>
      <c r="B901" s="6" t="s">
        <v>1936</v>
      </c>
      <c r="D901" s="6" t="s">
        <v>1937</v>
      </c>
      <c r="E901" s="6">
        <v>4</v>
      </c>
      <c r="F901" s="6">
        <v>46</v>
      </c>
      <c r="I901" s="8">
        <v>81.685643263888906</v>
      </c>
      <c r="J901" s="8">
        <v>5.3733415277777796</v>
      </c>
      <c r="K901" s="6" t="s">
        <v>29</v>
      </c>
      <c r="L901" s="29" t="s">
        <v>335</v>
      </c>
      <c r="M901" s="9">
        <v>44018</v>
      </c>
      <c r="O901" s="6">
        <v>41</v>
      </c>
      <c r="P901" s="6" t="s">
        <v>4413</v>
      </c>
      <c r="S901" s="6">
        <v>100</v>
      </c>
      <c r="T901" s="6">
        <v>110</v>
      </c>
      <c r="U901" s="10">
        <f t="shared" si="28"/>
        <v>105</v>
      </c>
      <c r="V901" s="15">
        <v>3.1</v>
      </c>
      <c r="W901" s="8">
        <v>-0.58184027888774914</v>
      </c>
      <c r="X901" s="8">
        <v>-5.7775914783477775</v>
      </c>
      <c r="Y901" s="8">
        <f t="shared" si="29"/>
        <v>-1.1228692472457844</v>
      </c>
      <c r="Z901" s="6" t="s">
        <v>1760</v>
      </c>
    </row>
    <row r="902" spans="1:26" s="6" customFormat="1" x14ac:dyDescent="0.35">
      <c r="A902" s="6" t="s">
        <v>25</v>
      </c>
      <c r="B902" s="6" t="s">
        <v>1938</v>
      </c>
      <c r="D902" s="6" t="s">
        <v>1939</v>
      </c>
      <c r="E902" s="6">
        <v>4</v>
      </c>
      <c r="F902" s="6">
        <v>46</v>
      </c>
      <c r="I902" s="8">
        <v>81.685643263888906</v>
      </c>
      <c r="J902" s="8">
        <v>5.3733415277777796</v>
      </c>
      <c r="K902" s="6" t="s">
        <v>29</v>
      </c>
      <c r="L902" s="29" t="s">
        <v>335</v>
      </c>
      <c r="M902" s="9">
        <v>44018</v>
      </c>
      <c r="O902" s="6">
        <v>41</v>
      </c>
      <c r="P902" s="6" t="s">
        <v>4413</v>
      </c>
      <c r="S902" s="6">
        <v>110</v>
      </c>
      <c r="T902" s="6">
        <v>120</v>
      </c>
      <c r="U902" s="10">
        <f t="shared" si="28"/>
        <v>115</v>
      </c>
      <c r="V902" s="15">
        <v>2.8</v>
      </c>
      <c r="W902" s="8">
        <v>-0.42035528280734985</v>
      </c>
      <c r="X902" s="8">
        <v>-3.9467062826156614</v>
      </c>
      <c r="Y902" s="8">
        <f t="shared" si="29"/>
        <v>-0.58386402015686256</v>
      </c>
      <c r="Z902" s="6" t="s">
        <v>1760</v>
      </c>
    </row>
    <row r="903" spans="1:26" s="6" customFormat="1" x14ac:dyDescent="0.35">
      <c r="A903" s="6" t="s">
        <v>25</v>
      </c>
      <c r="B903" s="6" t="s">
        <v>1940</v>
      </c>
      <c r="D903" s="6" t="s">
        <v>1941</v>
      </c>
      <c r="E903" s="6">
        <v>4</v>
      </c>
      <c r="F903" s="6">
        <v>46</v>
      </c>
      <c r="I903" s="8">
        <v>81.685643263888906</v>
      </c>
      <c r="J903" s="8">
        <v>5.3733415277777796</v>
      </c>
      <c r="K903" s="6" t="s">
        <v>29</v>
      </c>
      <c r="L903" s="29" t="s">
        <v>335</v>
      </c>
      <c r="M903" s="9">
        <v>44018</v>
      </c>
      <c r="O903" s="6">
        <v>41</v>
      </c>
      <c r="P903" s="6" t="s">
        <v>4413</v>
      </c>
      <c r="S903" s="6">
        <v>120</v>
      </c>
      <c r="T903" s="6">
        <v>130</v>
      </c>
      <c r="U903" s="10">
        <f t="shared" si="28"/>
        <v>125</v>
      </c>
      <c r="V903" s="15">
        <v>2.2999999999999998</v>
      </c>
      <c r="W903" s="8">
        <v>0.23120763365030333</v>
      </c>
      <c r="X903" s="8">
        <v>0.42106393975019485</v>
      </c>
      <c r="Y903" s="8">
        <f t="shared" si="29"/>
        <v>-1.4285971294522319</v>
      </c>
      <c r="Z903" s="6" t="s">
        <v>1760</v>
      </c>
    </row>
    <row r="904" spans="1:26" s="6" customFormat="1" x14ac:dyDescent="0.35">
      <c r="A904" s="6" t="s">
        <v>25</v>
      </c>
      <c r="B904" s="6" t="s">
        <v>1942</v>
      </c>
      <c r="D904" s="6" t="s">
        <v>1943</v>
      </c>
      <c r="E904" s="6">
        <v>4</v>
      </c>
      <c r="F904" s="6">
        <v>46</v>
      </c>
      <c r="I904" s="8">
        <v>81.685643263888906</v>
      </c>
      <c r="J904" s="8">
        <v>5.3733415277777796</v>
      </c>
      <c r="K904" s="6" t="s">
        <v>29</v>
      </c>
      <c r="L904" s="29" t="s">
        <v>335</v>
      </c>
      <c r="M904" s="9">
        <v>44018</v>
      </c>
      <c r="O904" s="6">
        <v>41</v>
      </c>
      <c r="P904" s="6" t="s">
        <v>4413</v>
      </c>
      <c r="S904" s="6">
        <v>130</v>
      </c>
      <c r="T904" s="6">
        <v>140</v>
      </c>
      <c r="U904" s="10">
        <f t="shared" si="28"/>
        <v>135</v>
      </c>
      <c r="V904" s="15">
        <v>2.4</v>
      </c>
      <c r="W904" s="8">
        <v>0.26374779487252192</v>
      </c>
      <c r="X904" s="8">
        <v>0.81893197667598716</v>
      </c>
      <c r="Y904" s="8">
        <f t="shared" si="29"/>
        <v>-1.2910503823041881</v>
      </c>
      <c r="Z904" s="6" t="s">
        <v>1760</v>
      </c>
    </row>
    <row r="905" spans="1:26" s="6" customFormat="1" x14ac:dyDescent="0.35">
      <c r="A905" s="6" t="s">
        <v>25</v>
      </c>
      <c r="B905" s="6" t="s">
        <v>1944</v>
      </c>
      <c r="D905" s="6" t="s">
        <v>1945</v>
      </c>
      <c r="E905" s="6">
        <v>4</v>
      </c>
      <c r="F905" s="6">
        <v>46</v>
      </c>
      <c r="I905" s="8">
        <v>81.685643263888906</v>
      </c>
      <c r="J905" s="8">
        <v>5.3733415277777796</v>
      </c>
      <c r="K905" s="6" t="s">
        <v>29</v>
      </c>
      <c r="L905" s="29" t="s">
        <v>335</v>
      </c>
      <c r="M905" s="9">
        <v>44018</v>
      </c>
      <c r="O905" s="6">
        <v>41</v>
      </c>
      <c r="P905" s="6" t="s">
        <v>4413</v>
      </c>
      <c r="S905" s="6">
        <v>140</v>
      </c>
      <c r="T905" s="6">
        <v>150</v>
      </c>
      <c r="U905" s="10">
        <f t="shared" si="28"/>
        <v>145</v>
      </c>
      <c r="V905" s="15">
        <v>2.2999999999999998</v>
      </c>
      <c r="W905" s="8">
        <v>-0.60184261372089398</v>
      </c>
      <c r="X905" s="8">
        <v>-5.390049878120422</v>
      </c>
      <c r="Y905" s="8">
        <f t="shared" si="29"/>
        <v>-0.57530896835327017</v>
      </c>
      <c r="Z905" s="6" t="s">
        <v>1760</v>
      </c>
    </row>
    <row r="906" spans="1:26" s="6" customFormat="1" x14ac:dyDescent="0.35">
      <c r="A906" s="6" t="s">
        <v>25</v>
      </c>
      <c r="B906" s="6" t="s">
        <v>1946</v>
      </c>
      <c r="D906" s="6" t="s">
        <v>1947</v>
      </c>
      <c r="E906" s="6">
        <v>4</v>
      </c>
      <c r="F906" s="6">
        <v>46</v>
      </c>
      <c r="I906" s="8">
        <v>81.685643263888906</v>
      </c>
      <c r="J906" s="8">
        <v>5.3733415277777796</v>
      </c>
      <c r="K906" s="6" t="s">
        <v>29</v>
      </c>
      <c r="L906" s="29" t="s">
        <v>335</v>
      </c>
      <c r="M906" s="9">
        <v>44018</v>
      </c>
      <c r="O906" s="6">
        <v>41</v>
      </c>
      <c r="P906" s="6" t="s">
        <v>4413</v>
      </c>
      <c r="S906" s="6">
        <v>150</v>
      </c>
      <c r="T906" s="6">
        <v>162</v>
      </c>
      <c r="U906" s="10">
        <f t="shared" si="28"/>
        <v>156</v>
      </c>
      <c r="V906" s="15">
        <v>1.8</v>
      </c>
      <c r="W906" s="8">
        <v>-5.2517720483779913</v>
      </c>
      <c r="X906" s="8">
        <v>-41.32773132324219</v>
      </c>
      <c r="Y906" s="8">
        <f t="shared" si="29"/>
        <v>0.68644506378173986</v>
      </c>
      <c r="Z906" s="6" t="s">
        <v>1760</v>
      </c>
    </row>
    <row r="907" spans="1:26" s="6" customFormat="1" x14ac:dyDescent="0.35">
      <c r="A907" s="6" t="s">
        <v>25</v>
      </c>
      <c r="B907" s="6" t="s">
        <v>1948</v>
      </c>
      <c r="D907" s="6" t="s">
        <v>1949</v>
      </c>
      <c r="E907" s="6">
        <v>4</v>
      </c>
      <c r="F907" s="6">
        <v>47</v>
      </c>
      <c r="I907" s="8">
        <v>81.417819374999993</v>
      </c>
      <c r="J907" s="8">
        <v>0.28587430555555599</v>
      </c>
      <c r="K907" s="6" t="s">
        <v>29</v>
      </c>
      <c r="L907" s="29" t="s">
        <v>335</v>
      </c>
      <c r="M907" s="9">
        <v>44025</v>
      </c>
      <c r="O907" s="6">
        <v>42</v>
      </c>
      <c r="P907" s="6" t="s">
        <v>4403</v>
      </c>
      <c r="S907" s="6">
        <v>0</v>
      </c>
      <c r="T907" s="6">
        <v>10</v>
      </c>
      <c r="U907" s="10">
        <f t="shared" si="28"/>
        <v>5</v>
      </c>
      <c r="V907" s="15">
        <v>2</v>
      </c>
      <c r="W907" s="8">
        <v>-2.9054937379360202</v>
      </c>
      <c r="X907" s="8">
        <v>-21.483474206924438</v>
      </c>
      <c r="Y907" s="8">
        <f t="shared" si="29"/>
        <v>1.7604756965637236</v>
      </c>
      <c r="Z907" s="6" t="s">
        <v>1760</v>
      </c>
    </row>
    <row r="908" spans="1:26" s="6" customFormat="1" x14ac:dyDescent="0.35">
      <c r="A908" s="6" t="s">
        <v>25</v>
      </c>
      <c r="B908" s="6" t="s">
        <v>1950</v>
      </c>
      <c r="D908" s="6" t="s">
        <v>1951</v>
      </c>
      <c r="E908" s="6">
        <v>4</v>
      </c>
      <c r="F908" s="6">
        <v>47</v>
      </c>
      <c r="I908" s="8">
        <v>81.417819374999993</v>
      </c>
      <c r="J908" s="8">
        <v>0.28587430555555599</v>
      </c>
      <c r="K908" s="6" t="s">
        <v>29</v>
      </c>
      <c r="L908" s="29" t="s">
        <v>335</v>
      </c>
      <c r="M908" s="9">
        <v>44025</v>
      </c>
      <c r="O908" s="6">
        <v>42</v>
      </c>
      <c r="P908" s="6" t="s">
        <v>4403</v>
      </c>
      <c r="S908" s="6">
        <v>10</v>
      </c>
      <c r="T908" s="6">
        <v>20</v>
      </c>
      <c r="U908" s="10">
        <f t="shared" si="28"/>
        <v>15</v>
      </c>
      <c r="V908" s="15">
        <v>1.5</v>
      </c>
      <c r="W908" s="8">
        <v>-0.57842485755682005</v>
      </c>
      <c r="X908" s="8">
        <v>-2.9613532321453095</v>
      </c>
      <c r="Y908" s="8">
        <f t="shared" si="29"/>
        <v>1.6660456283092508</v>
      </c>
      <c r="Z908" s="6" t="s">
        <v>1760</v>
      </c>
    </row>
    <row r="909" spans="1:26" s="6" customFormat="1" x14ac:dyDescent="0.35">
      <c r="A909" s="6" t="s">
        <v>25</v>
      </c>
      <c r="B909" s="6" t="s">
        <v>1952</v>
      </c>
      <c r="D909" s="6" t="s">
        <v>1953</v>
      </c>
      <c r="E909" s="6">
        <v>4</v>
      </c>
      <c r="F909" s="6">
        <v>47</v>
      </c>
      <c r="I909" s="8">
        <v>81.417819374999993</v>
      </c>
      <c r="J909" s="8">
        <v>0.28587430555555599</v>
      </c>
      <c r="K909" s="6" t="s">
        <v>29</v>
      </c>
      <c r="L909" s="29" t="s">
        <v>335</v>
      </c>
      <c r="M909" s="9">
        <v>44025</v>
      </c>
      <c r="O909" s="6">
        <v>42</v>
      </c>
      <c r="P909" s="6" t="s">
        <v>4403</v>
      </c>
      <c r="S909" s="6">
        <v>20</v>
      </c>
      <c r="T909" s="6">
        <v>30</v>
      </c>
      <c r="U909" s="10">
        <f t="shared" si="28"/>
        <v>25</v>
      </c>
      <c r="V909" s="15">
        <v>1.6</v>
      </c>
      <c r="W909" s="8">
        <v>-0.23767740827798806</v>
      </c>
      <c r="X909" s="8">
        <v>-0.73235857975110419</v>
      </c>
      <c r="Y909" s="8">
        <f t="shared" si="29"/>
        <v>1.1690606864728004</v>
      </c>
      <c r="Z909" s="6" t="s">
        <v>1760</v>
      </c>
    </row>
    <row r="910" spans="1:26" s="6" customFormat="1" x14ac:dyDescent="0.35">
      <c r="A910" s="6" t="s">
        <v>25</v>
      </c>
      <c r="B910" s="6" t="s">
        <v>1954</v>
      </c>
      <c r="D910" s="6" t="s">
        <v>1955</v>
      </c>
      <c r="E910" s="6">
        <v>4</v>
      </c>
      <c r="F910" s="6">
        <v>47</v>
      </c>
      <c r="I910" s="8">
        <v>81.417819374999993</v>
      </c>
      <c r="J910" s="8">
        <v>0.28587430555555599</v>
      </c>
      <c r="K910" s="6" t="s">
        <v>29</v>
      </c>
      <c r="L910" s="29" t="s">
        <v>335</v>
      </c>
      <c r="M910" s="9">
        <v>44025</v>
      </c>
      <c r="O910" s="6">
        <v>42</v>
      </c>
      <c r="P910" s="6" t="s">
        <v>4403</v>
      </c>
      <c r="S910" s="6">
        <v>30</v>
      </c>
      <c r="T910" s="6">
        <v>40</v>
      </c>
      <c r="U910" s="10">
        <f t="shared" si="28"/>
        <v>35</v>
      </c>
      <c r="V910" s="15">
        <v>1.9</v>
      </c>
      <c r="W910" s="8">
        <v>-0.17224279443621593</v>
      </c>
      <c r="X910" s="8">
        <v>-0.32664805322885559</v>
      </c>
      <c r="Y910" s="8">
        <f t="shared" si="29"/>
        <v>1.0512943022608718</v>
      </c>
      <c r="Z910" s="6" t="s">
        <v>1760</v>
      </c>
    </row>
    <row r="911" spans="1:26" s="6" customFormat="1" x14ac:dyDescent="0.35">
      <c r="A911" s="6" t="s">
        <v>25</v>
      </c>
      <c r="B911" s="6" t="s">
        <v>1956</v>
      </c>
      <c r="D911" s="6" t="s">
        <v>1957</v>
      </c>
      <c r="E911" s="6">
        <v>4</v>
      </c>
      <c r="F911" s="6">
        <v>47</v>
      </c>
      <c r="I911" s="8">
        <v>81.417819374999993</v>
      </c>
      <c r="J911" s="8">
        <v>0.28587430555555599</v>
      </c>
      <c r="K911" s="6" t="s">
        <v>29</v>
      </c>
      <c r="L911" s="29" t="s">
        <v>335</v>
      </c>
      <c r="M911" s="9">
        <v>44025</v>
      </c>
      <c r="O911" s="6">
        <v>42</v>
      </c>
      <c r="P911" s="6" t="s">
        <v>4403</v>
      </c>
      <c r="S911" s="6">
        <v>40</v>
      </c>
      <c r="T911" s="6">
        <v>50</v>
      </c>
      <c r="U911" s="10">
        <f t="shared" si="28"/>
        <v>45</v>
      </c>
      <c r="V911" s="15">
        <v>2.8</v>
      </c>
      <c r="W911" s="8">
        <v>-0.36432997108697895</v>
      </c>
      <c r="X911" s="8">
        <v>-1.7379008204936988</v>
      </c>
      <c r="Y911" s="8">
        <f t="shared" si="29"/>
        <v>1.1767389482021329</v>
      </c>
      <c r="Z911" s="6" t="s">
        <v>1760</v>
      </c>
    </row>
    <row r="912" spans="1:26" s="6" customFormat="1" x14ac:dyDescent="0.35">
      <c r="A912" s="6" t="s">
        <v>25</v>
      </c>
      <c r="B912" s="6" t="s">
        <v>1958</v>
      </c>
      <c r="D912" s="6" t="s">
        <v>1959</v>
      </c>
      <c r="E912" s="6">
        <v>4</v>
      </c>
      <c r="F912" s="6">
        <v>47</v>
      </c>
      <c r="I912" s="8">
        <v>81.417819374999993</v>
      </c>
      <c r="J912" s="8">
        <v>0.28587430555555599</v>
      </c>
      <c r="K912" s="6" t="s">
        <v>29</v>
      </c>
      <c r="L912" s="29" t="s">
        <v>335</v>
      </c>
      <c r="M912" s="9">
        <v>44025</v>
      </c>
      <c r="O912" s="6">
        <v>42</v>
      </c>
      <c r="P912" s="6" t="s">
        <v>4403</v>
      </c>
      <c r="S912" s="6">
        <v>50</v>
      </c>
      <c r="T912" s="6">
        <v>60</v>
      </c>
      <c r="U912" s="10">
        <f t="shared" si="28"/>
        <v>55</v>
      </c>
      <c r="V912" s="15">
        <v>2.7</v>
      </c>
      <c r="W912" s="8">
        <v>-0.39855358810424801</v>
      </c>
      <c r="X912" s="8">
        <v>-1.7865278370380406</v>
      </c>
      <c r="Y912" s="8">
        <f t="shared" si="29"/>
        <v>1.4019008677959435</v>
      </c>
      <c r="Z912" s="6" t="s">
        <v>1760</v>
      </c>
    </row>
    <row r="913" spans="1:26" s="6" customFormat="1" x14ac:dyDescent="0.35">
      <c r="A913" s="6" t="s">
        <v>25</v>
      </c>
      <c r="B913" s="6" t="s">
        <v>1960</v>
      </c>
      <c r="D913" s="6" t="s">
        <v>1961</v>
      </c>
      <c r="E913" s="6">
        <v>4</v>
      </c>
      <c r="F913" s="6">
        <v>47</v>
      </c>
      <c r="I913" s="8">
        <v>81.417819374999993</v>
      </c>
      <c r="J913" s="8">
        <v>0.28587430555555599</v>
      </c>
      <c r="K913" s="6" t="s">
        <v>29</v>
      </c>
      <c r="L913" s="29" t="s">
        <v>335</v>
      </c>
      <c r="M913" s="9">
        <v>44025</v>
      </c>
      <c r="O913" s="6">
        <v>42</v>
      </c>
      <c r="P913" s="6" t="s">
        <v>4403</v>
      </c>
      <c r="S913" s="6">
        <v>60</v>
      </c>
      <c r="T913" s="6">
        <v>70</v>
      </c>
      <c r="U913" s="10">
        <f t="shared" si="28"/>
        <v>65</v>
      </c>
      <c r="V913" s="15">
        <v>2.6</v>
      </c>
      <c r="W913" s="8">
        <v>-0.23162272847890888</v>
      </c>
      <c r="X913" s="8">
        <v>-0.36434183430671674</v>
      </c>
      <c r="Y913" s="8">
        <f t="shared" si="29"/>
        <v>1.4886399935245542</v>
      </c>
      <c r="Z913" s="6" t="s">
        <v>1760</v>
      </c>
    </row>
    <row r="914" spans="1:26" s="6" customFormat="1" x14ac:dyDescent="0.35">
      <c r="A914" s="6" t="s">
        <v>25</v>
      </c>
      <c r="B914" s="6" t="s">
        <v>1962</v>
      </c>
      <c r="D914" s="6" t="s">
        <v>1963</v>
      </c>
      <c r="E914" s="6">
        <v>4</v>
      </c>
      <c r="F914" s="6">
        <v>47</v>
      </c>
      <c r="I914" s="8">
        <v>81.417819374999993</v>
      </c>
      <c r="J914" s="8">
        <v>0.28587430555555599</v>
      </c>
      <c r="K914" s="6" t="s">
        <v>29</v>
      </c>
      <c r="L914" s="29" t="s">
        <v>335</v>
      </c>
      <c r="M914" s="9">
        <v>44025</v>
      </c>
      <c r="O914" s="6">
        <v>42</v>
      </c>
      <c r="P914" s="6" t="s">
        <v>4403</v>
      </c>
      <c r="S914" s="6">
        <v>70</v>
      </c>
      <c r="T914" s="6">
        <v>80</v>
      </c>
      <c r="U914" s="10">
        <f t="shared" si="28"/>
        <v>75</v>
      </c>
      <c r="V914" s="15">
        <v>2.5</v>
      </c>
      <c r="W914" s="8">
        <v>-0.16399319995641665</v>
      </c>
      <c r="X914" s="8">
        <v>0.38300732028484308</v>
      </c>
      <c r="Y914" s="8">
        <f t="shared" si="29"/>
        <v>1.6949529199361764</v>
      </c>
      <c r="Z914" s="6" t="s">
        <v>1760</v>
      </c>
    </row>
    <row r="915" spans="1:26" s="6" customFormat="1" x14ac:dyDescent="0.35">
      <c r="A915" s="6" t="s">
        <v>25</v>
      </c>
      <c r="B915" s="6" t="s">
        <v>1964</v>
      </c>
      <c r="D915" s="6" t="s">
        <v>1965</v>
      </c>
      <c r="E915" s="6">
        <v>4</v>
      </c>
      <c r="F915" s="6">
        <v>47</v>
      </c>
      <c r="I915" s="8">
        <v>81.417819374999993</v>
      </c>
      <c r="J915" s="8">
        <v>0.28587430555555599</v>
      </c>
      <c r="K915" s="6" t="s">
        <v>29</v>
      </c>
      <c r="L915" s="29" t="s">
        <v>335</v>
      </c>
      <c r="M915" s="9">
        <v>44025</v>
      </c>
      <c r="O915" s="6">
        <v>42</v>
      </c>
      <c r="P915" s="6" t="s">
        <v>4403</v>
      </c>
      <c r="S915" s="6">
        <v>80</v>
      </c>
      <c r="T915" s="6">
        <v>90.5</v>
      </c>
      <c r="U915" s="10">
        <f t="shared" si="28"/>
        <v>85.25</v>
      </c>
      <c r="V915" s="15">
        <v>2.5</v>
      </c>
      <c r="W915" s="8">
        <v>0.11333313467279107</v>
      </c>
      <c r="X915" s="8">
        <v>1.4517748615741728</v>
      </c>
      <c r="Y915" s="8">
        <f t="shared" si="29"/>
        <v>0.54510978419184419</v>
      </c>
      <c r="Z915" s="6" t="s">
        <v>1760</v>
      </c>
    </row>
    <row r="916" spans="1:26" s="6" customFormat="1" x14ac:dyDescent="0.35">
      <c r="A916" s="6" t="s">
        <v>25</v>
      </c>
      <c r="B916" s="6" t="s">
        <v>1966</v>
      </c>
      <c r="D916" s="6" t="s">
        <v>1967</v>
      </c>
      <c r="E916" s="6">
        <v>4</v>
      </c>
      <c r="F916" s="6">
        <v>47</v>
      </c>
      <c r="I916" s="8">
        <v>81.417819374999993</v>
      </c>
      <c r="J916" s="8">
        <v>0.28587430555555599</v>
      </c>
      <c r="K916" s="6" t="s">
        <v>29</v>
      </c>
      <c r="L916" s="29" t="s">
        <v>335</v>
      </c>
      <c r="M916" s="9">
        <v>44025</v>
      </c>
      <c r="O916" s="6">
        <v>42</v>
      </c>
      <c r="P916" s="6" t="s">
        <v>4403</v>
      </c>
      <c r="S916" s="6">
        <v>90.5</v>
      </c>
      <c r="T916" s="6">
        <v>101</v>
      </c>
      <c r="U916" s="10">
        <f t="shared" si="28"/>
        <v>95.75</v>
      </c>
      <c r="V916" s="15">
        <v>2.4</v>
      </c>
      <c r="W916" s="8">
        <v>0.38620070635080384</v>
      </c>
      <c r="X916" s="8">
        <v>2.0330857400894167</v>
      </c>
      <c r="Y916" s="8">
        <f t="shared" si="29"/>
        <v>-1.056519910717014</v>
      </c>
      <c r="Z916" s="6" t="s">
        <v>1760</v>
      </c>
    </row>
    <row r="917" spans="1:26" s="6" customFormat="1" x14ac:dyDescent="0.35">
      <c r="A917" s="6" t="s">
        <v>25</v>
      </c>
      <c r="B917" s="6" t="s">
        <v>1968</v>
      </c>
      <c r="D917" s="6" t="s">
        <v>1969</v>
      </c>
      <c r="E917" s="6">
        <v>4</v>
      </c>
      <c r="F917" s="6">
        <v>47</v>
      </c>
      <c r="I917" s="8">
        <v>81.417819374999993</v>
      </c>
      <c r="J917" s="8">
        <v>0.28587430555555599</v>
      </c>
      <c r="K917" s="6" t="s">
        <v>29</v>
      </c>
      <c r="L917" s="29" t="s">
        <v>335</v>
      </c>
      <c r="M917" s="9">
        <v>44025</v>
      </c>
      <c r="O917" s="6">
        <v>42</v>
      </c>
      <c r="P917" s="6" t="s">
        <v>4403</v>
      </c>
      <c r="S917" s="6">
        <v>101</v>
      </c>
      <c r="T917" s="6">
        <v>112</v>
      </c>
      <c r="U917" s="10">
        <f t="shared" si="28"/>
        <v>106.5</v>
      </c>
      <c r="V917" s="15">
        <v>2.1</v>
      </c>
      <c r="W917" s="8">
        <v>0.24072407804727508</v>
      </c>
      <c r="X917" s="8">
        <v>1.333720279455185</v>
      </c>
      <c r="Y917" s="8">
        <f t="shared" si="29"/>
        <v>-0.59207234492301564</v>
      </c>
      <c r="Z917" s="6" t="s">
        <v>1760</v>
      </c>
    </row>
    <row r="918" spans="1:26" s="6" customFormat="1" x14ac:dyDescent="0.35">
      <c r="A918" s="6" t="s">
        <v>25</v>
      </c>
      <c r="B918" s="6" t="s">
        <v>1970</v>
      </c>
      <c r="D918" s="6" t="s">
        <v>1971</v>
      </c>
      <c r="E918" s="6">
        <v>4</v>
      </c>
      <c r="F918" s="6">
        <v>47</v>
      </c>
      <c r="I918" s="8">
        <v>81.417819374999993</v>
      </c>
      <c r="J918" s="8">
        <v>0.28587430555555599</v>
      </c>
      <c r="K918" s="6" t="s">
        <v>29</v>
      </c>
      <c r="L918" s="29" t="s">
        <v>335</v>
      </c>
      <c r="M918" s="9">
        <v>44025</v>
      </c>
      <c r="O918" s="6">
        <v>42</v>
      </c>
      <c r="P918" s="6" t="s">
        <v>4403</v>
      </c>
      <c r="S918" s="6">
        <v>112</v>
      </c>
      <c r="T918" s="6">
        <v>123</v>
      </c>
      <c r="U918" s="10">
        <f t="shared" si="28"/>
        <v>117.5</v>
      </c>
      <c r="V918" s="15">
        <v>1.4</v>
      </c>
      <c r="W918" s="8">
        <v>-1.332559165906906</v>
      </c>
      <c r="X918" s="8">
        <v>-10.263363574981689</v>
      </c>
      <c r="Y918" s="8">
        <f t="shared" si="29"/>
        <v>0.39710975227355938</v>
      </c>
      <c r="Z918" s="6" t="s">
        <v>1760</v>
      </c>
    </row>
    <row r="919" spans="1:26" s="6" customFormat="1" x14ac:dyDescent="0.35">
      <c r="A919" s="6" t="s">
        <v>25</v>
      </c>
      <c r="B919" s="6" t="s">
        <v>1972</v>
      </c>
      <c r="D919" s="6" t="s">
        <v>1973</v>
      </c>
      <c r="E919" s="6">
        <v>4</v>
      </c>
      <c r="F919" s="6">
        <v>47</v>
      </c>
      <c r="I919" s="8">
        <v>81.417819374999993</v>
      </c>
      <c r="J919" s="8">
        <v>0.28587430555555599</v>
      </c>
      <c r="K919" s="6" t="s">
        <v>29</v>
      </c>
      <c r="L919" s="29" t="s">
        <v>335</v>
      </c>
      <c r="M919" s="9">
        <v>44025</v>
      </c>
      <c r="O919" s="6">
        <v>42</v>
      </c>
      <c r="P919" s="6" t="s">
        <v>4403</v>
      </c>
      <c r="S919" s="6">
        <v>122</v>
      </c>
      <c r="T919" s="6">
        <v>134</v>
      </c>
      <c r="U919" s="10">
        <f t="shared" si="28"/>
        <v>128</v>
      </c>
      <c r="V919" s="15">
        <v>0.8</v>
      </c>
      <c r="W919" s="8">
        <v>-5.830277789306642</v>
      </c>
      <c r="X919" s="8">
        <v>-45.405310409545898</v>
      </c>
      <c r="Y919" s="8">
        <f t="shared" si="29"/>
        <v>1.2369119049072381</v>
      </c>
      <c r="Z919" s="6" t="s">
        <v>1760</v>
      </c>
    </row>
    <row r="920" spans="1:26" s="6" customFormat="1" x14ac:dyDescent="0.35">
      <c r="A920" s="6" t="s">
        <v>25</v>
      </c>
      <c r="B920" s="6" t="s">
        <v>1974</v>
      </c>
      <c r="D920" s="6" t="s">
        <v>1975</v>
      </c>
      <c r="E920" s="6">
        <v>4</v>
      </c>
      <c r="F920" s="6">
        <v>47</v>
      </c>
      <c r="I920" s="8">
        <v>81.417819374999993</v>
      </c>
      <c r="J920" s="8">
        <v>0.28587430555555599</v>
      </c>
      <c r="K920" s="6" t="s">
        <v>29</v>
      </c>
      <c r="L920" s="29" t="s">
        <v>335</v>
      </c>
      <c r="M920" s="9">
        <v>44025</v>
      </c>
      <c r="O920" s="6">
        <v>42</v>
      </c>
      <c r="P920" s="6" t="s">
        <v>4403</v>
      </c>
      <c r="S920" s="6">
        <v>132</v>
      </c>
      <c r="T920" s="6">
        <v>145</v>
      </c>
      <c r="U920" s="10">
        <f t="shared" si="28"/>
        <v>138.5</v>
      </c>
      <c r="V920" s="15">
        <v>1.4</v>
      </c>
      <c r="W920" s="8">
        <v>-6.7550807441711438</v>
      </c>
      <c r="X920" s="8">
        <v>-51.840629980087279</v>
      </c>
      <c r="Y920" s="8">
        <f t="shared" si="29"/>
        <v>2.2000159732818716</v>
      </c>
      <c r="Z920" s="6" t="s">
        <v>1760</v>
      </c>
    </row>
    <row r="921" spans="1:26" s="6" customFormat="1" x14ac:dyDescent="0.35">
      <c r="A921" s="6" t="s">
        <v>25</v>
      </c>
      <c r="B921" s="6" t="s">
        <v>2167</v>
      </c>
      <c r="D921" s="6" t="s">
        <v>2168</v>
      </c>
      <c r="E921" s="6">
        <v>4</v>
      </c>
      <c r="F921" s="6">
        <v>48</v>
      </c>
      <c r="I921" s="8">
        <v>80.754295347222197</v>
      </c>
      <c r="J921" s="8">
        <v>-0.488818958333333</v>
      </c>
      <c r="K921" s="6" t="s">
        <v>29</v>
      </c>
      <c r="L921" s="29" t="s">
        <v>335</v>
      </c>
      <c r="M921" s="9">
        <v>44032</v>
      </c>
      <c r="O921" s="6">
        <v>43</v>
      </c>
      <c r="P921" s="6" t="s">
        <v>4403</v>
      </c>
      <c r="S921" s="6">
        <v>0</v>
      </c>
      <c r="T921" s="6">
        <v>10</v>
      </c>
      <c r="U921" s="10">
        <f t="shared" si="28"/>
        <v>5</v>
      </c>
      <c r="V921" s="15">
        <v>1.5</v>
      </c>
      <c r="W921" s="8">
        <v>0.36245420373916654</v>
      </c>
      <c r="X921" s="8">
        <v>2.5655406853675844</v>
      </c>
      <c r="Y921" s="8">
        <f t="shared" si="29"/>
        <v>-0.33409294454574789</v>
      </c>
      <c r="Z921" s="6" t="s">
        <v>1760</v>
      </c>
    </row>
    <row r="922" spans="1:26" s="6" customFormat="1" x14ac:dyDescent="0.35">
      <c r="A922" s="6" t="s">
        <v>25</v>
      </c>
      <c r="B922" s="6" t="s">
        <v>2169</v>
      </c>
      <c r="D922" s="6" t="s">
        <v>2170</v>
      </c>
      <c r="E922" s="6">
        <v>4</v>
      </c>
      <c r="F922" s="6">
        <v>48</v>
      </c>
      <c r="I922" s="8">
        <v>80.754295347222197</v>
      </c>
      <c r="J922" s="8">
        <v>-0.488818958333333</v>
      </c>
      <c r="K922" s="6" t="s">
        <v>29</v>
      </c>
      <c r="L922" s="29" t="s">
        <v>335</v>
      </c>
      <c r="M922" s="9">
        <v>44032</v>
      </c>
      <c r="O922" s="6">
        <v>43</v>
      </c>
      <c r="P922" s="6" t="s">
        <v>4403</v>
      </c>
      <c r="S922" s="6">
        <v>10</v>
      </c>
      <c r="T922" s="6">
        <v>20</v>
      </c>
      <c r="U922" s="10">
        <f t="shared" si="28"/>
        <v>15</v>
      </c>
      <c r="V922" s="15">
        <v>0.9</v>
      </c>
      <c r="W922" s="8">
        <v>0.74459708676338221</v>
      </c>
      <c r="X922" s="8">
        <v>4.4602035503387452</v>
      </c>
      <c r="Y922" s="8">
        <f t="shared" si="29"/>
        <v>-1.4965731437683125</v>
      </c>
      <c r="Z922" s="6" t="s">
        <v>1760</v>
      </c>
    </row>
    <row r="923" spans="1:26" s="6" customFormat="1" x14ac:dyDescent="0.35">
      <c r="A923" s="6" t="s">
        <v>25</v>
      </c>
      <c r="B923" s="6" t="s">
        <v>2171</v>
      </c>
      <c r="D923" s="6" t="s">
        <v>2172</v>
      </c>
      <c r="E923" s="6">
        <v>4</v>
      </c>
      <c r="F923" s="6">
        <v>48</v>
      </c>
      <c r="I923" s="8">
        <v>80.754295347222197</v>
      </c>
      <c r="J923" s="8">
        <v>-0.488818958333333</v>
      </c>
      <c r="K923" s="6" t="s">
        <v>29</v>
      </c>
      <c r="L923" s="29" t="s">
        <v>335</v>
      </c>
      <c r="M923" s="9">
        <v>44032</v>
      </c>
      <c r="O923" s="6">
        <v>43</v>
      </c>
      <c r="P923" s="6" t="s">
        <v>4403</v>
      </c>
      <c r="S923" s="6">
        <v>20</v>
      </c>
      <c r="T923" s="6">
        <v>30</v>
      </c>
      <c r="U923" s="10">
        <f t="shared" si="28"/>
        <v>25</v>
      </c>
      <c r="V923" s="15">
        <v>1.8</v>
      </c>
      <c r="W923" s="8">
        <v>0.60167502486705771</v>
      </c>
      <c r="X923" s="8">
        <v>4.8051431007385261</v>
      </c>
      <c r="Y923" s="8">
        <f t="shared" si="29"/>
        <v>-8.2570981979355196E-3</v>
      </c>
      <c r="Z923" s="6" t="s">
        <v>1760</v>
      </c>
    </row>
    <row r="924" spans="1:26" s="6" customFormat="1" x14ac:dyDescent="0.35">
      <c r="A924" s="6" t="s">
        <v>25</v>
      </c>
      <c r="B924" s="6" t="s">
        <v>2173</v>
      </c>
      <c r="D924" s="6" t="s">
        <v>2174</v>
      </c>
      <c r="E924" s="6">
        <v>4</v>
      </c>
      <c r="F924" s="6">
        <v>48</v>
      </c>
      <c r="I924" s="8">
        <v>80.754295347222197</v>
      </c>
      <c r="J924" s="8">
        <v>-0.488818958333333</v>
      </c>
      <c r="K924" s="6" t="s">
        <v>29</v>
      </c>
      <c r="L924" s="29" t="s">
        <v>335</v>
      </c>
      <c r="M924" s="9">
        <v>44032</v>
      </c>
      <c r="O924" s="6">
        <v>43</v>
      </c>
      <c r="P924" s="6" t="s">
        <v>4403</v>
      </c>
      <c r="S924" s="6">
        <v>30</v>
      </c>
      <c r="T924" s="6">
        <v>40</v>
      </c>
      <c r="U924" s="10">
        <f t="shared" si="28"/>
        <v>35</v>
      </c>
      <c r="V924" s="15">
        <v>2</v>
      </c>
      <c r="W924" s="8">
        <v>0.29030429618060599</v>
      </c>
      <c r="X924" s="8">
        <v>2.4267050170898434</v>
      </c>
      <c r="Y924" s="8">
        <f t="shared" si="29"/>
        <v>0.1042706476449955</v>
      </c>
      <c r="Z924" s="6" t="s">
        <v>1760</v>
      </c>
    </row>
    <row r="925" spans="1:26" s="6" customFormat="1" x14ac:dyDescent="0.35">
      <c r="A925" s="6" t="s">
        <v>25</v>
      </c>
      <c r="B925" s="6" t="s">
        <v>2175</v>
      </c>
      <c r="D925" s="6" t="s">
        <v>2176</v>
      </c>
      <c r="E925" s="6">
        <v>4</v>
      </c>
      <c r="F925" s="6">
        <v>48</v>
      </c>
      <c r="I925" s="8">
        <v>80.754295347222197</v>
      </c>
      <c r="J925" s="8">
        <v>-0.488818958333333</v>
      </c>
      <c r="K925" s="6" t="s">
        <v>29</v>
      </c>
      <c r="L925" s="29" t="s">
        <v>335</v>
      </c>
      <c r="M925" s="9">
        <v>44032</v>
      </c>
      <c r="O925" s="6">
        <v>43</v>
      </c>
      <c r="P925" s="6" t="s">
        <v>4403</v>
      </c>
      <c r="S925" s="6">
        <v>40</v>
      </c>
      <c r="T925" s="6">
        <v>50</v>
      </c>
      <c r="U925" s="10">
        <f t="shared" si="28"/>
        <v>45</v>
      </c>
      <c r="V925" s="15">
        <v>2.4</v>
      </c>
      <c r="W925" s="8">
        <v>7.2233612738549474E-2</v>
      </c>
      <c r="X925" s="8">
        <v>0.9478965740203863</v>
      </c>
      <c r="Y925" s="8">
        <f t="shared" si="29"/>
        <v>0.3700276721119905</v>
      </c>
      <c r="Z925" s="6" t="s">
        <v>1760</v>
      </c>
    </row>
    <row r="926" spans="1:26" s="6" customFormat="1" x14ac:dyDescent="0.35">
      <c r="A926" s="6" t="s">
        <v>25</v>
      </c>
      <c r="B926" s="6" t="s">
        <v>2177</v>
      </c>
      <c r="D926" s="6" t="s">
        <v>2178</v>
      </c>
      <c r="E926" s="6">
        <v>4</v>
      </c>
      <c r="F926" s="6">
        <v>48</v>
      </c>
      <c r="I926" s="8">
        <v>80.754295347222197</v>
      </c>
      <c r="J926" s="8">
        <v>-0.488818958333333</v>
      </c>
      <c r="K926" s="6" t="s">
        <v>29</v>
      </c>
      <c r="L926" s="29" t="s">
        <v>335</v>
      </c>
      <c r="M926" s="9">
        <v>44032</v>
      </c>
      <c r="O926" s="6">
        <v>43</v>
      </c>
      <c r="P926" s="6" t="s">
        <v>4403</v>
      </c>
      <c r="S926" s="6">
        <v>50</v>
      </c>
      <c r="T926" s="6">
        <v>60</v>
      </c>
      <c r="U926" s="10">
        <f t="shared" si="28"/>
        <v>55</v>
      </c>
      <c r="V926" s="15">
        <v>2.7</v>
      </c>
      <c r="W926" s="8">
        <v>-0.10068898393213783</v>
      </c>
      <c r="X926" s="8">
        <v>-9.4768304049969165E-2</v>
      </c>
      <c r="Y926" s="8">
        <f t="shared" si="29"/>
        <v>0.71074356740713351</v>
      </c>
      <c r="Z926" s="6" t="s">
        <v>1760</v>
      </c>
    </row>
    <row r="927" spans="1:26" s="6" customFormat="1" x14ac:dyDescent="0.35">
      <c r="A927" s="6" t="s">
        <v>25</v>
      </c>
      <c r="B927" s="6" t="s">
        <v>2179</v>
      </c>
      <c r="D927" s="6" t="s">
        <v>2180</v>
      </c>
      <c r="E927" s="6">
        <v>4</v>
      </c>
      <c r="F927" s="6">
        <v>48</v>
      </c>
      <c r="I927" s="8">
        <v>80.754295347222197</v>
      </c>
      <c r="J927" s="8">
        <v>-0.488818958333333</v>
      </c>
      <c r="K927" s="6" t="s">
        <v>29</v>
      </c>
      <c r="L927" s="29" t="s">
        <v>335</v>
      </c>
      <c r="M927" s="9">
        <v>44032</v>
      </c>
      <c r="O927" s="6">
        <v>43</v>
      </c>
      <c r="P927" s="6" t="s">
        <v>4403</v>
      </c>
      <c r="S927" s="6">
        <v>60</v>
      </c>
      <c r="T927" s="6">
        <v>74</v>
      </c>
      <c r="U927" s="10">
        <f t="shared" si="28"/>
        <v>67</v>
      </c>
      <c r="V927" s="15">
        <v>2.7</v>
      </c>
      <c r="W927" s="8">
        <v>-9.0301067590713852E-2</v>
      </c>
      <c r="X927" s="8">
        <v>-0.25642169094085676</v>
      </c>
      <c r="Y927" s="8">
        <f t="shared" si="29"/>
        <v>0.46598684978485405</v>
      </c>
      <c r="Z927" s="6" t="s">
        <v>1760</v>
      </c>
    </row>
    <row r="928" spans="1:26" s="6" customFormat="1" x14ac:dyDescent="0.35">
      <c r="A928" s="6" t="s">
        <v>25</v>
      </c>
      <c r="B928" s="6" t="s">
        <v>2181</v>
      </c>
      <c r="D928" s="6" t="s">
        <v>2182</v>
      </c>
      <c r="E928" s="6">
        <v>4</v>
      </c>
      <c r="F928" s="6">
        <v>48</v>
      </c>
      <c r="I928" s="8">
        <v>80.754295347222197</v>
      </c>
      <c r="J928" s="8">
        <v>-0.488818958333333</v>
      </c>
      <c r="K928" s="6" t="s">
        <v>29</v>
      </c>
      <c r="L928" s="29" t="s">
        <v>335</v>
      </c>
      <c r="M928" s="9">
        <v>44032</v>
      </c>
      <c r="O928" s="6">
        <v>43</v>
      </c>
      <c r="P928" s="6" t="s">
        <v>4403</v>
      </c>
      <c r="S928" s="6">
        <v>74</v>
      </c>
      <c r="T928" s="6">
        <v>84</v>
      </c>
      <c r="U928" s="10">
        <f t="shared" si="28"/>
        <v>79</v>
      </c>
      <c r="V928" s="15">
        <v>2.5</v>
      </c>
      <c r="W928" s="8">
        <v>6.6774645164609042E-2</v>
      </c>
      <c r="X928" s="8">
        <v>0.8948202023506161</v>
      </c>
      <c r="Y928" s="8">
        <f t="shared" si="29"/>
        <v>0.36062304103374376</v>
      </c>
      <c r="Z928" s="6" t="s">
        <v>1760</v>
      </c>
    </row>
    <row r="929" spans="1:26" s="6" customFormat="1" x14ac:dyDescent="0.35">
      <c r="A929" s="6" t="s">
        <v>25</v>
      </c>
      <c r="B929" s="6" t="s">
        <v>2183</v>
      </c>
      <c r="D929" s="6" t="s">
        <v>2184</v>
      </c>
      <c r="E929" s="6">
        <v>4</v>
      </c>
      <c r="F929" s="6">
        <v>48</v>
      </c>
      <c r="I929" s="8">
        <v>80.754295347222197</v>
      </c>
      <c r="J929" s="8">
        <v>-0.488818958333333</v>
      </c>
      <c r="K929" s="6" t="s">
        <v>29</v>
      </c>
      <c r="L929" s="29" t="s">
        <v>335</v>
      </c>
      <c r="M929" s="9">
        <v>44032</v>
      </c>
      <c r="O929" s="6">
        <v>43</v>
      </c>
      <c r="P929" s="6" t="s">
        <v>4403</v>
      </c>
      <c r="S929" s="6">
        <v>84</v>
      </c>
      <c r="T929" s="6">
        <v>94</v>
      </c>
      <c r="U929" s="10">
        <f t="shared" si="28"/>
        <v>89</v>
      </c>
      <c r="V929" s="15">
        <v>2.2000000000000002</v>
      </c>
      <c r="W929" s="8">
        <v>0.27139844508469085</v>
      </c>
      <c r="X929" s="8">
        <v>2.3463745365142827</v>
      </c>
      <c r="Y929" s="8">
        <f t="shared" si="29"/>
        <v>0.17518697583675591</v>
      </c>
      <c r="Z929" s="6" t="s">
        <v>1760</v>
      </c>
    </row>
    <row r="930" spans="1:26" s="6" customFormat="1" x14ac:dyDescent="0.35">
      <c r="A930" s="6" t="s">
        <v>25</v>
      </c>
      <c r="B930" s="6" t="s">
        <v>2185</v>
      </c>
      <c r="D930" s="6" t="s">
        <v>2186</v>
      </c>
      <c r="E930" s="6">
        <v>4</v>
      </c>
      <c r="F930" s="6">
        <v>48</v>
      </c>
      <c r="I930" s="8">
        <v>80.754295347222197</v>
      </c>
      <c r="J930" s="8">
        <v>-0.488818958333333</v>
      </c>
      <c r="K930" s="6" t="s">
        <v>29</v>
      </c>
      <c r="L930" s="29" t="s">
        <v>335</v>
      </c>
      <c r="M930" s="9">
        <v>44032</v>
      </c>
      <c r="O930" s="6">
        <v>43</v>
      </c>
      <c r="P930" s="6" t="s">
        <v>4403</v>
      </c>
      <c r="S930" s="6">
        <v>94</v>
      </c>
      <c r="T930" s="6">
        <v>104</v>
      </c>
      <c r="U930" s="10">
        <f t="shared" si="28"/>
        <v>99</v>
      </c>
      <c r="V930" s="15">
        <v>1.8</v>
      </c>
      <c r="W930" s="8">
        <v>0.33302246117591827</v>
      </c>
      <c r="X930" s="8">
        <v>2.8061397285461429</v>
      </c>
      <c r="Y930" s="8">
        <f t="shared" si="29"/>
        <v>0.14196003913879673</v>
      </c>
      <c r="Z930" s="6" t="s">
        <v>1760</v>
      </c>
    </row>
    <row r="931" spans="1:26" s="6" customFormat="1" x14ac:dyDescent="0.35">
      <c r="A931" s="6" t="s">
        <v>25</v>
      </c>
      <c r="B931" s="6" t="s">
        <v>2187</v>
      </c>
      <c r="D931" s="6" t="s">
        <v>2188</v>
      </c>
      <c r="E931" s="6">
        <v>4</v>
      </c>
      <c r="F931" s="6">
        <v>48</v>
      </c>
      <c r="I931" s="8">
        <v>80.754295347222197</v>
      </c>
      <c r="J931" s="8">
        <v>-0.488818958333333</v>
      </c>
      <c r="K931" s="6" t="s">
        <v>29</v>
      </c>
      <c r="L931" s="29" t="s">
        <v>335</v>
      </c>
      <c r="M931" s="9">
        <v>44032</v>
      </c>
      <c r="O931" s="6">
        <v>43</v>
      </c>
      <c r="P931" s="6" t="s">
        <v>4403</v>
      </c>
      <c r="S931" s="6">
        <v>104</v>
      </c>
      <c r="T931" s="6">
        <v>114.5</v>
      </c>
      <c r="U931" s="10">
        <f t="shared" si="28"/>
        <v>109.25</v>
      </c>
      <c r="V931" s="15">
        <v>1.5</v>
      </c>
      <c r="W931" s="8">
        <v>-0.36740928223729141</v>
      </c>
      <c r="X931" s="8">
        <v>-2.1585980587005613</v>
      </c>
      <c r="Y931" s="8">
        <f t="shared" si="29"/>
        <v>0.78067619919776998</v>
      </c>
      <c r="Z931" s="6" t="s">
        <v>1760</v>
      </c>
    </row>
    <row r="932" spans="1:26" s="6" customFormat="1" x14ac:dyDescent="0.35">
      <c r="A932" s="6" t="s">
        <v>25</v>
      </c>
      <c r="B932" s="6" t="s">
        <v>2189</v>
      </c>
      <c r="D932" s="6" t="s">
        <v>2190</v>
      </c>
      <c r="E932" s="6">
        <v>4</v>
      </c>
      <c r="F932" s="6">
        <v>48</v>
      </c>
      <c r="I932" s="8">
        <v>80.754295347222197</v>
      </c>
      <c r="J932" s="8">
        <v>-0.488818958333333</v>
      </c>
      <c r="K932" s="6" t="s">
        <v>29</v>
      </c>
      <c r="L932" s="29" t="s">
        <v>335</v>
      </c>
      <c r="M932" s="9">
        <v>44032</v>
      </c>
      <c r="O932" s="6">
        <v>43</v>
      </c>
      <c r="P932" s="6" t="s">
        <v>4403</v>
      </c>
      <c r="S932" s="6">
        <v>114.5</v>
      </c>
      <c r="T932" s="6">
        <v>125</v>
      </c>
      <c r="U932" s="10">
        <f t="shared" si="28"/>
        <v>119.75</v>
      </c>
      <c r="V932" s="15">
        <v>0.7</v>
      </c>
      <c r="W932" s="8">
        <v>-2.6008805880546575</v>
      </c>
      <c r="X932" s="8">
        <v>-19.479295440673827</v>
      </c>
      <c r="Y932" s="8">
        <f t="shared" si="29"/>
        <v>1.3277492637634332</v>
      </c>
      <c r="Z932" s="6" t="s">
        <v>1760</v>
      </c>
    </row>
    <row r="933" spans="1:26" s="6" customFormat="1" x14ac:dyDescent="0.35">
      <c r="A933" s="6" t="s">
        <v>25</v>
      </c>
      <c r="B933" s="6" t="s">
        <v>2191</v>
      </c>
      <c r="D933" s="6" t="s">
        <v>2192</v>
      </c>
      <c r="E933" s="6">
        <v>4</v>
      </c>
      <c r="F933" s="6">
        <v>48</v>
      </c>
      <c r="I933" s="8">
        <v>80.754295347222197</v>
      </c>
      <c r="J933" s="8">
        <v>-0.488818958333333</v>
      </c>
      <c r="K933" s="6" t="s">
        <v>29</v>
      </c>
      <c r="L933" s="29" t="s">
        <v>335</v>
      </c>
      <c r="M933" s="9">
        <v>44032</v>
      </c>
      <c r="O933" s="6">
        <v>43</v>
      </c>
      <c r="P933" s="6" t="s">
        <v>4403</v>
      </c>
      <c r="S933" s="6">
        <v>125</v>
      </c>
      <c r="T933" s="6">
        <v>136</v>
      </c>
      <c r="U933" s="10">
        <f t="shared" si="28"/>
        <v>130.5</v>
      </c>
      <c r="V933" s="15">
        <v>0.8</v>
      </c>
      <c r="W933" s="8">
        <v>-6.3768850407600404</v>
      </c>
      <c r="X933" s="8">
        <v>-49.470676574707028</v>
      </c>
      <c r="Y933" s="8">
        <f t="shared" si="29"/>
        <v>1.5444037513732951</v>
      </c>
      <c r="Z933" s="6" t="s">
        <v>1760</v>
      </c>
    </row>
    <row r="934" spans="1:26" s="6" customFormat="1" x14ac:dyDescent="0.35">
      <c r="A934" s="6" t="s">
        <v>25</v>
      </c>
      <c r="B934" s="6" t="s">
        <v>2193</v>
      </c>
      <c r="D934" s="6" t="s">
        <v>2194</v>
      </c>
      <c r="E934" s="6">
        <v>4</v>
      </c>
      <c r="F934" s="6">
        <v>48</v>
      </c>
      <c r="I934" s="8">
        <v>80.754295347222197</v>
      </c>
      <c r="J934" s="8">
        <v>-0.488818958333333</v>
      </c>
      <c r="K934" s="6" t="s">
        <v>29</v>
      </c>
      <c r="L934" s="29" t="s">
        <v>335</v>
      </c>
      <c r="M934" s="9">
        <v>44032</v>
      </c>
      <c r="O934" s="6">
        <v>43</v>
      </c>
      <c r="P934" s="6" t="s">
        <v>4403</v>
      </c>
      <c r="S934" s="6">
        <v>136</v>
      </c>
      <c r="T934" s="6">
        <v>145</v>
      </c>
      <c r="U934" s="10">
        <f t="shared" si="28"/>
        <v>140.5</v>
      </c>
      <c r="V934" s="15">
        <v>1.3</v>
      </c>
      <c r="W934" s="8">
        <v>-5.8394105086326604</v>
      </c>
      <c r="X934" s="8">
        <v>-44.813117614746091</v>
      </c>
      <c r="Y934" s="8">
        <f t="shared" si="29"/>
        <v>1.9021664543151928</v>
      </c>
      <c r="Z934" s="6" t="s">
        <v>1760</v>
      </c>
    </row>
    <row r="935" spans="1:26" s="6" customFormat="1" x14ac:dyDescent="0.35">
      <c r="A935" s="6" t="s">
        <v>25</v>
      </c>
      <c r="B935" s="7" t="s">
        <v>2066</v>
      </c>
      <c r="D935" s="6" t="s">
        <v>2067</v>
      </c>
      <c r="E935" s="6">
        <v>4</v>
      </c>
      <c r="F935" s="6">
        <v>48</v>
      </c>
      <c r="G935" s="6" t="s">
        <v>546</v>
      </c>
      <c r="I935" s="8">
        <v>80.754295347222197</v>
      </c>
      <c r="J935" s="8">
        <v>-0.488818958333333</v>
      </c>
      <c r="K935" s="6" t="s">
        <v>29</v>
      </c>
      <c r="L935" s="6" t="s">
        <v>546</v>
      </c>
      <c r="M935" s="9">
        <v>44032</v>
      </c>
      <c r="O935" s="6">
        <v>43</v>
      </c>
      <c r="P935" s="6" t="s">
        <v>4403</v>
      </c>
      <c r="R935" s="10" t="s">
        <v>1683</v>
      </c>
      <c r="S935" s="10">
        <v>0</v>
      </c>
      <c r="T935" s="10">
        <v>5</v>
      </c>
      <c r="U935" s="10">
        <f t="shared" si="28"/>
        <v>2.5</v>
      </c>
      <c r="V935" s="11"/>
      <c r="W935" s="8">
        <v>-4.4525648389816288</v>
      </c>
      <c r="X935" s="8">
        <v>-35.638878081130983</v>
      </c>
      <c r="Y935" s="8">
        <f t="shared" si="29"/>
        <v>-1.8359369277952453E-2</v>
      </c>
    </row>
    <row r="936" spans="1:26" s="6" customFormat="1" x14ac:dyDescent="0.35">
      <c r="A936" s="6" t="s">
        <v>25</v>
      </c>
      <c r="B936" s="7" t="s">
        <v>2061</v>
      </c>
      <c r="D936" s="6" t="s">
        <v>2062</v>
      </c>
      <c r="E936" s="6">
        <v>4</v>
      </c>
      <c r="F936" s="6">
        <v>48</v>
      </c>
      <c r="G936" s="6" t="s">
        <v>546</v>
      </c>
      <c r="I936" s="8">
        <v>80.754295347222197</v>
      </c>
      <c r="J936" s="8">
        <v>-0.488818958333333</v>
      </c>
      <c r="K936" s="6" t="s">
        <v>29</v>
      </c>
      <c r="L936" s="6" t="s">
        <v>546</v>
      </c>
      <c r="M936" s="9">
        <v>44032</v>
      </c>
      <c r="O936" s="6">
        <v>43</v>
      </c>
      <c r="P936" s="6" t="s">
        <v>4403</v>
      </c>
      <c r="R936" s="10" t="s">
        <v>1719</v>
      </c>
      <c r="S936" s="10">
        <v>5</v>
      </c>
      <c r="T936" s="10">
        <v>10</v>
      </c>
      <c r="U936" s="10">
        <f t="shared" si="28"/>
        <v>7.5</v>
      </c>
      <c r="V936" s="11"/>
      <c r="W936" s="8">
        <v>-4.5829228626251233</v>
      </c>
      <c r="X936" s="8">
        <v>-35.083179211425772</v>
      </c>
      <c r="Y936" s="8">
        <f t="shared" si="29"/>
        <v>1.5802036895752138</v>
      </c>
    </row>
    <row r="937" spans="1:26" s="6" customFormat="1" x14ac:dyDescent="0.35">
      <c r="A937" s="6" t="s">
        <v>25</v>
      </c>
      <c r="B937" s="7" t="s">
        <v>2078</v>
      </c>
      <c r="D937" s="6" t="s">
        <v>2079</v>
      </c>
      <c r="E937" s="6">
        <v>4</v>
      </c>
      <c r="F937" s="6">
        <v>48</v>
      </c>
      <c r="G937" s="6" t="s">
        <v>546</v>
      </c>
      <c r="I937" s="8">
        <v>80.754295347222197</v>
      </c>
      <c r="J937" s="8">
        <v>-0.488818958333333</v>
      </c>
      <c r="K937" s="6" t="s">
        <v>29</v>
      </c>
      <c r="L937" s="6" t="s">
        <v>546</v>
      </c>
      <c r="M937" s="9">
        <v>44032</v>
      </c>
      <c r="O937" s="6">
        <v>43</v>
      </c>
      <c r="P937" s="6" t="s">
        <v>4403</v>
      </c>
      <c r="R937" s="10" t="s">
        <v>2005</v>
      </c>
      <c r="S937" s="10">
        <v>10</v>
      </c>
      <c r="T937" s="10">
        <v>15</v>
      </c>
      <c r="U937" s="10">
        <f t="shared" si="28"/>
        <v>12.5</v>
      </c>
      <c r="V937" s="11"/>
      <c r="W937" s="8">
        <v>-4.6904693363189702</v>
      </c>
      <c r="X937" s="8">
        <v>-36.284075534820552</v>
      </c>
      <c r="Y937" s="8">
        <f t="shared" si="29"/>
        <v>1.2396791557312099</v>
      </c>
    </row>
    <row r="938" spans="1:26" s="6" customFormat="1" x14ac:dyDescent="0.35">
      <c r="A938" s="6" t="s">
        <v>25</v>
      </c>
      <c r="B938" s="7" t="s">
        <v>2100</v>
      </c>
      <c r="D938" s="6" t="s">
        <v>2101</v>
      </c>
      <c r="E938" s="6">
        <v>4</v>
      </c>
      <c r="F938" s="6">
        <v>48</v>
      </c>
      <c r="G938" s="6" t="s">
        <v>546</v>
      </c>
      <c r="I938" s="8">
        <v>80.754295347222197</v>
      </c>
      <c r="J938" s="8">
        <v>-0.488818958333333</v>
      </c>
      <c r="K938" s="6" t="s">
        <v>29</v>
      </c>
      <c r="L938" s="6" t="s">
        <v>546</v>
      </c>
      <c r="M938" s="9">
        <v>44032</v>
      </c>
      <c r="O938" s="6">
        <v>43</v>
      </c>
      <c r="P938" s="6" t="s">
        <v>4403</v>
      </c>
      <c r="R938" s="10" t="s">
        <v>2002</v>
      </c>
      <c r="S938" s="10">
        <v>15</v>
      </c>
      <c r="T938" s="10">
        <v>20</v>
      </c>
      <c r="U938" s="10">
        <f t="shared" si="28"/>
        <v>17.5</v>
      </c>
      <c r="V938" s="11"/>
      <c r="W938" s="8">
        <v>-4.7862550443649292</v>
      </c>
      <c r="X938" s="8">
        <v>-37.14543683776855</v>
      </c>
      <c r="Y938" s="8">
        <f t="shared" si="29"/>
        <v>1.1446035171508839</v>
      </c>
    </row>
    <row r="939" spans="1:26" s="6" customFormat="1" x14ac:dyDescent="0.35">
      <c r="A939" s="6" t="s">
        <v>25</v>
      </c>
      <c r="B939" s="7" t="s">
        <v>2098</v>
      </c>
      <c r="D939" s="6" t="s">
        <v>2099</v>
      </c>
      <c r="E939" s="6">
        <v>4</v>
      </c>
      <c r="F939" s="6">
        <v>48</v>
      </c>
      <c r="G939" s="6" t="s">
        <v>546</v>
      </c>
      <c r="I939" s="8">
        <v>80.754295347222197</v>
      </c>
      <c r="J939" s="8">
        <v>-0.488818958333333</v>
      </c>
      <c r="K939" s="6" t="s">
        <v>29</v>
      </c>
      <c r="L939" s="6" t="s">
        <v>546</v>
      </c>
      <c r="M939" s="9">
        <v>44032</v>
      </c>
      <c r="O939" s="6">
        <v>43</v>
      </c>
      <c r="P939" s="6" t="s">
        <v>4403</v>
      </c>
      <c r="R939" s="10" t="s">
        <v>1999</v>
      </c>
      <c r="S939" s="10">
        <v>20</v>
      </c>
      <c r="T939" s="10">
        <v>25</v>
      </c>
      <c r="U939" s="10">
        <f t="shared" si="28"/>
        <v>22.5</v>
      </c>
      <c r="V939" s="11"/>
      <c r="W939" s="8">
        <v>-4.801194608116151</v>
      </c>
      <c r="X939" s="8">
        <v>-36.86352964172363</v>
      </c>
      <c r="Y939" s="8">
        <f t="shared" si="29"/>
        <v>1.5460272232055772</v>
      </c>
    </row>
    <row r="940" spans="1:26" s="6" customFormat="1" x14ac:dyDescent="0.35">
      <c r="A940" s="6" t="s">
        <v>25</v>
      </c>
      <c r="B940" s="7" t="s">
        <v>2073</v>
      </c>
      <c r="D940" s="6" t="s">
        <v>2074</v>
      </c>
      <c r="E940" s="6">
        <v>4</v>
      </c>
      <c r="F940" s="6">
        <v>48</v>
      </c>
      <c r="G940" s="6" t="s">
        <v>546</v>
      </c>
      <c r="I940" s="8">
        <v>80.754295347222197</v>
      </c>
      <c r="J940" s="8">
        <v>-0.488818958333333</v>
      </c>
      <c r="K940" s="6" t="s">
        <v>29</v>
      </c>
      <c r="L940" s="6" t="s">
        <v>546</v>
      </c>
      <c r="M940" s="9">
        <v>44032</v>
      </c>
      <c r="O940" s="6">
        <v>43</v>
      </c>
      <c r="P940" s="6" t="s">
        <v>4403</v>
      </c>
      <c r="R940" s="10" t="s">
        <v>1979</v>
      </c>
      <c r="S940" s="10">
        <v>25</v>
      </c>
      <c r="T940" s="10">
        <v>30</v>
      </c>
      <c r="U940" s="10">
        <f t="shared" si="28"/>
        <v>27.5</v>
      </c>
      <c r="V940" s="11"/>
      <c r="W940" s="8">
        <v>-4.6174062221527103</v>
      </c>
      <c r="X940" s="8">
        <v>-35.306530368804928</v>
      </c>
      <c r="Y940" s="8">
        <f t="shared" si="29"/>
        <v>1.6327194084167544</v>
      </c>
    </row>
    <row r="941" spans="1:26" s="6" customFormat="1" x14ac:dyDescent="0.35">
      <c r="A941" s="6" t="s">
        <v>25</v>
      </c>
      <c r="B941" s="7" t="s">
        <v>2068</v>
      </c>
      <c r="D941" s="6" t="s">
        <v>2069</v>
      </c>
      <c r="E941" s="6">
        <v>4</v>
      </c>
      <c r="F941" s="6">
        <v>48</v>
      </c>
      <c r="G941" s="6" t="s">
        <v>546</v>
      </c>
      <c r="I941" s="8">
        <v>80.754295347222197</v>
      </c>
      <c r="J941" s="8">
        <v>-0.488818958333333</v>
      </c>
      <c r="K941" s="6" t="s">
        <v>29</v>
      </c>
      <c r="L941" s="6" t="s">
        <v>546</v>
      </c>
      <c r="M941" s="9">
        <v>44032</v>
      </c>
      <c r="O941" s="6">
        <v>43</v>
      </c>
      <c r="P941" s="6" t="s">
        <v>4403</v>
      </c>
      <c r="R941" s="10" t="s">
        <v>1982</v>
      </c>
      <c r="S941" s="10">
        <v>30</v>
      </c>
      <c r="T941" s="10">
        <v>35</v>
      </c>
      <c r="U941" s="10">
        <f t="shared" si="28"/>
        <v>32.5</v>
      </c>
      <c r="V941" s="11"/>
      <c r="W941" s="8">
        <v>-4.3846578777313239</v>
      </c>
      <c r="X941" s="8">
        <v>-33.964325836181636</v>
      </c>
      <c r="Y941" s="8">
        <f t="shared" si="29"/>
        <v>1.1129371856689545</v>
      </c>
    </row>
    <row r="942" spans="1:26" s="6" customFormat="1" x14ac:dyDescent="0.35">
      <c r="A942" s="6" t="s">
        <v>25</v>
      </c>
      <c r="B942" s="7" t="s">
        <v>2086</v>
      </c>
      <c r="D942" s="6" t="s">
        <v>2087</v>
      </c>
      <c r="E942" s="6">
        <v>4</v>
      </c>
      <c r="F942" s="6">
        <v>48</v>
      </c>
      <c r="G942" s="6" t="s">
        <v>546</v>
      </c>
      <c r="I942" s="8">
        <v>80.754295347222197</v>
      </c>
      <c r="J942" s="8">
        <v>-0.488818958333333</v>
      </c>
      <c r="K942" s="6" t="s">
        <v>29</v>
      </c>
      <c r="L942" s="6" t="s">
        <v>546</v>
      </c>
      <c r="M942" s="9">
        <v>44032</v>
      </c>
      <c r="O942" s="6">
        <v>43</v>
      </c>
      <c r="P942" s="6" t="s">
        <v>4403</v>
      </c>
      <c r="R942" s="10" t="s">
        <v>2088</v>
      </c>
      <c r="S942" s="10">
        <v>35</v>
      </c>
      <c r="T942" s="10">
        <v>39</v>
      </c>
      <c r="U942" s="10">
        <f t="shared" si="28"/>
        <v>37</v>
      </c>
      <c r="V942" s="11"/>
      <c r="W942" s="8">
        <v>-4.2431950996398928</v>
      </c>
      <c r="X942" s="8">
        <v>-32.697530105590815</v>
      </c>
      <c r="Y942" s="8">
        <f t="shared" si="29"/>
        <v>1.2480306915283279</v>
      </c>
    </row>
    <row r="943" spans="1:26" s="6" customFormat="1" x14ac:dyDescent="0.35">
      <c r="A943" s="6" t="s">
        <v>25</v>
      </c>
      <c r="B943" s="7" t="s">
        <v>2063</v>
      </c>
      <c r="D943" s="6" t="s">
        <v>2064</v>
      </c>
      <c r="E943" s="6">
        <v>4</v>
      </c>
      <c r="F943" s="6">
        <v>48</v>
      </c>
      <c r="G943" s="6" t="s">
        <v>546</v>
      </c>
      <c r="I943" s="8">
        <v>80.754295347222197</v>
      </c>
      <c r="J943" s="8">
        <v>-0.488818958333333</v>
      </c>
      <c r="K943" s="6" t="s">
        <v>29</v>
      </c>
      <c r="L943" s="6" t="s">
        <v>546</v>
      </c>
      <c r="M943" s="9">
        <v>44032</v>
      </c>
      <c r="O943" s="6">
        <v>43</v>
      </c>
      <c r="P943" s="6" t="s">
        <v>4403</v>
      </c>
      <c r="R943" s="10" t="s">
        <v>2065</v>
      </c>
      <c r="S943" s="10">
        <v>39</v>
      </c>
      <c r="T943" s="10">
        <v>45</v>
      </c>
      <c r="U943" s="10">
        <f t="shared" si="28"/>
        <v>42</v>
      </c>
      <c r="V943" s="11"/>
      <c r="W943" s="8">
        <v>-4.0829459801673895</v>
      </c>
      <c r="X943" s="8">
        <v>-31.81111690406799</v>
      </c>
      <c r="Y943" s="8">
        <f t="shared" si="29"/>
        <v>0.85245093727112575</v>
      </c>
    </row>
    <row r="944" spans="1:26" s="6" customFormat="1" x14ac:dyDescent="0.35">
      <c r="A944" s="6" t="s">
        <v>25</v>
      </c>
      <c r="B944" s="7" t="s">
        <v>2080</v>
      </c>
      <c r="D944" s="6" t="s">
        <v>2081</v>
      </c>
      <c r="E944" s="6">
        <v>4</v>
      </c>
      <c r="F944" s="6">
        <v>48</v>
      </c>
      <c r="G944" s="6" t="s">
        <v>546</v>
      </c>
      <c r="I944" s="8">
        <v>80.754295347222197</v>
      </c>
      <c r="J944" s="8">
        <v>-0.488818958333333</v>
      </c>
      <c r="K944" s="6" t="s">
        <v>29</v>
      </c>
      <c r="L944" s="6" t="s">
        <v>546</v>
      </c>
      <c r="M944" s="9">
        <v>44032</v>
      </c>
      <c r="O944" s="6">
        <v>43</v>
      </c>
      <c r="P944" s="6" t="s">
        <v>4403</v>
      </c>
      <c r="R944" s="10" t="s">
        <v>2082</v>
      </c>
      <c r="S944" s="10">
        <v>45</v>
      </c>
      <c r="T944" s="10">
        <v>50</v>
      </c>
      <c r="U944" s="10">
        <f t="shared" si="28"/>
        <v>47.5</v>
      </c>
      <c r="V944" s="11"/>
      <c r="W944" s="8">
        <v>-3.6945811832427986</v>
      </c>
      <c r="X944" s="8">
        <v>-28.318438880920411</v>
      </c>
      <c r="Y944" s="8">
        <f t="shared" si="29"/>
        <v>1.238210585021978</v>
      </c>
    </row>
    <row r="945" spans="1:25" s="6" customFormat="1" x14ac:dyDescent="0.35">
      <c r="A945" s="6" t="s">
        <v>25</v>
      </c>
      <c r="B945" s="7" t="s">
        <v>2102</v>
      </c>
      <c r="D945" s="6" t="s">
        <v>2103</v>
      </c>
      <c r="E945" s="6">
        <v>4</v>
      </c>
      <c r="F945" s="6">
        <v>48</v>
      </c>
      <c r="G945" s="6" t="s">
        <v>546</v>
      </c>
      <c r="I945" s="8">
        <v>80.754295347222197</v>
      </c>
      <c r="J945" s="8">
        <v>-0.488818958333333</v>
      </c>
      <c r="K945" s="6" t="s">
        <v>29</v>
      </c>
      <c r="L945" s="6" t="s">
        <v>546</v>
      </c>
      <c r="M945" s="9">
        <v>44032</v>
      </c>
      <c r="O945" s="6">
        <v>43</v>
      </c>
      <c r="P945" s="6" t="s">
        <v>4403</v>
      </c>
      <c r="R945" s="10" t="s">
        <v>2104</v>
      </c>
      <c r="S945" s="10">
        <v>50</v>
      </c>
      <c r="T945" s="10">
        <v>55</v>
      </c>
      <c r="U945" s="10">
        <f t="shared" si="28"/>
        <v>52.5</v>
      </c>
      <c r="V945" s="11"/>
      <c r="W945" s="8">
        <v>-3.377826572799683</v>
      </c>
      <c r="X945" s="8">
        <v>-25.827045537567134</v>
      </c>
      <c r="Y945" s="8">
        <f t="shared" si="29"/>
        <v>1.1955670448303302</v>
      </c>
    </row>
    <row r="946" spans="1:25" s="6" customFormat="1" x14ac:dyDescent="0.35">
      <c r="A946" s="6" t="s">
        <v>25</v>
      </c>
      <c r="B946" s="7" t="s">
        <v>2120</v>
      </c>
      <c r="D946" s="6" t="s">
        <v>2121</v>
      </c>
      <c r="E946" s="6">
        <v>4</v>
      </c>
      <c r="F946" s="6">
        <v>48</v>
      </c>
      <c r="G946" s="6" t="s">
        <v>546</v>
      </c>
      <c r="I946" s="8">
        <v>80.754295347222197</v>
      </c>
      <c r="J946" s="8">
        <v>-0.488818958333333</v>
      </c>
      <c r="K946" s="6" t="s">
        <v>29</v>
      </c>
      <c r="L946" s="6" t="s">
        <v>546</v>
      </c>
      <c r="M946" s="9">
        <v>44032</v>
      </c>
      <c r="O946" s="6">
        <v>43</v>
      </c>
      <c r="P946" s="6" t="s">
        <v>4403</v>
      </c>
      <c r="R946" s="10" t="s">
        <v>2122</v>
      </c>
      <c r="S946" s="10">
        <v>55</v>
      </c>
      <c r="T946" s="10">
        <v>60</v>
      </c>
      <c r="U946" s="10">
        <f t="shared" si="28"/>
        <v>57.5</v>
      </c>
      <c r="V946" s="11"/>
      <c r="W946" s="8">
        <v>-3.1335355212688447</v>
      </c>
      <c r="X946" s="8">
        <v>-22.930991773605346</v>
      </c>
      <c r="Y946" s="8">
        <f t="shared" si="29"/>
        <v>2.137292396545412</v>
      </c>
    </row>
    <row r="947" spans="1:25" s="6" customFormat="1" x14ac:dyDescent="0.35">
      <c r="A947" s="6" t="s">
        <v>25</v>
      </c>
      <c r="B947" s="7" t="s">
        <v>2095</v>
      </c>
      <c r="D947" s="6" t="s">
        <v>2096</v>
      </c>
      <c r="E947" s="6">
        <v>4</v>
      </c>
      <c r="F947" s="6">
        <v>48</v>
      </c>
      <c r="G947" s="6" t="s">
        <v>546</v>
      </c>
      <c r="I947" s="8">
        <v>80.754295347222197</v>
      </c>
      <c r="J947" s="8">
        <v>-0.488818958333333</v>
      </c>
      <c r="K947" s="6" t="s">
        <v>29</v>
      </c>
      <c r="L947" s="6" t="s">
        <v>546</v>
      </c>
      <c r="M947" s="9">
        <v>44032</v>
      </c>
      <c r="O947" s="6">
        <v>43</v>
      </c>
      <c r="P947" s="6" t="s">
        <v>4403</v>
      </c>
      <c r="R947" s="10" t="s">
        <v>2097</v>
      </c>
      <c r="S947" s="10">
        <v>60</v>
      </c>
      <c r="T947" s="10">
        <v>65</v>
      </c>
      <c r="U947" s="10">
        <f t="shared" si="28"/>
        <v>62.5</v>
      </c>
      <c r="V947" s="11"/>
      <c r="W947" s="8">
        <v>-3.1285181831359865</v>
      </c>
      <c r="X947" s="8">
        <v>-24.382479867553712</v>
      </c>
      <c r="Y947" s="8">
        <f t="shared" si="29"/>
        <v>0.64566559753417962</v>
      </c>
    </row>
    <row r="948" spans="1:25" s="6" customFormat="1" x14ac:dyDescent="0.35">
      <c r="A948" s="6" t="s">
        <v>25</v>
      </c>
      <c r="B948" s="7" t="s">
        <v>2161</v>
      </c>
      <c r="D948" s="6" t="s">
        <v>2162</v>
      </c>
      <c r="E948" s="6">
        <v>4</v>
      </c>
      <c r="F948" s="6">
        <v>48</v>
      </c>
      <c r="G948" s="6" t="s">
        <v>546</v>
      </c>
      <c r="I948" s="8">
        <v>80.754295347222197</v>
      </c>
      <c r="J948" s="8">
        <v>-0.488818958333333</v>
      </c>
      <c r="K948" s="6" t="s">
        <v>29</v>
      </c>
      <c r="L948" s="6" t="s">
        <v>546</v>
      </c>
      <c r="M948" s="9">
        <v>44032</v>
      </c>
      <c r="O948" s="6">
        <v>43</v>
      </c>
      <c r="P948" s="6" t="s">
        <v>4403</v>
      </c>
      <c r="R948" s="10" t="s">
        <v>2163</v>
      </c>
      <c r="S948" s="10">
        <v>65</v>
      </c>
      <c r="T948" s="10">
        <v>70</v>
      </c>
      <c r="U948" s="10">
        <f t="shared" si="28"/>
        <v>67.5</v>
      </c>
      <c r="V948" s="11"/>
      <c r="W948" s="8">
        <v>-3.3539262083053591</v>
      </c>
      <c r="X948" s="8">
        <v>-25.795531488418579</v>
      </c>
      <c r="Y948" s="8">
        <f t="shared" si="29"/>
        <v>1.0358781780242943</v>
      </c>
    </row>
    <row r="949" spans="1:25" s="6" customFormat="1" x14ac:dyDescent="0.35">
      <c r="A949" s="6" t="s">
        <v>25</v>
      </c>
      <c r="B949" s="7" t="s">
        <v>2117</v>
      </c>
      <c r="D949" s="6" t="s">
        <v>2118</v>
      </c>
      <c r="E949" s="6">
        <v>4</v>
      </c>
      <c r="F949" s="6">
        <v>48</v>
      </c>
      <c r="G949" s="6" t="s">
        <v>546</v>
      </c>
      <c r="I949" s="8">
        <v>80.754295347222197</v>
      </c>
      <c r="J949" s="8">
        <v>-0.488818958333333</v>
      </c>
      <c r="K949" s="6" t="s">
        <v>29</v>
      </c>
      <c r="L949" s="6" t="s">
        <v>546</v>
      </c>
      <c r="M949" s="9">
        <v>44032</v>
      </c>
      <c r="O949" s="6">
        <v>43</v>
      </c>
      <c r="P949" s="6" t="s">
        <v>4403</v>
      </c>
      <c r="R949" s="10" t="s">
        <v>2119</v>
      </c>
      <c r="S949" s="10">
        <v>70</v>
      </c>
      <c r="T949" s="10">
        <v>75</v>
      </c>
      <c r="U949" s="10">
        <f t="shared" si="28"/>
        <v>72.5</v>
      </c>
      <c r="V949" s="11"/>
      <c r="W949" s="8">
        <v>-3.4159958490371714</v>
      </c>
      <c r="X949" s="8">
        <v>-26.158174684143066</v>
      </c>
      <c r="Y949" s="8">
        <f t="shared" si="29"/>
        <v>1.1697921081543043</v>
      </c>
    </row>
    <row r="950" spans="1:25" s="6" customFormat="1" x14ac:dyDescent="0.35">
      <c r="A950" s="6" t="s">
        <v>25</v>
      </c>
      <c r="B950" s="7" t="s">
        <v>2058</v>
      </c>
      <c r="D950" s="6" t="s">
        <v>2059</v>
      </c>
      <c r="E950" s="6">
        <v>4</v>
      </c>
      <c r="F950" s="6">
        <v>48</v>
      </c>
      <c r="G950" s="6" t="s">
        <v>546</v>
      </c>
      <c r="I950" s="8">
        <v>80.754295347222197</v>
      </c>
      <c r="J950" s="8">
        <v>-0.488818958333333</v>
      </c>
      <c r="K950" s="6" t="s">
        <v>29</v>
      </c>
      <c r="L950" s="6" t="s">
        <v>546</v>
      </c>
      <c r="M950" s="9">
        <v>44032</v>
      </c>
      <c r="O950" s="6">
        <v>43</v>
      </c>
      <c r="P950" s="6" t="s">
        <v>4403</v>
      </c>
      <c r="R950" s="10" t="s">
        <v>2060</v>
      </c>
      <c r="S950" s="10">
        <v>75</v>
      </c>
      <c r="T950" s="10">
        <v>80</v>
      </c>
      <c r="U950" s="10">
        <f t="shared" si="28"/>
        <v>77.5</v>
      </c>
      <c r="V950" s="11"/>
      <c r="W950" s="8">
        <v>-3.3855677490711216</v>
      </c>
      <c r="X950" s="8">
        <v>-26.093419940948486</v>
      </c>
      <c r="Y950" s="8">
        <f t="shared" si="29"/>
        <v>0.99112205162048639</v>
      </c>
    </row>
    <row r="951" spans="1:25" s="6" customFormat="1" x14ac:dyDescent="0.35">
      <c r="A951" s="6" t="s">
        <v>25</v>
      </c>
      <c r="B951" s="7" t="s">
        <v>2055</v>
      </c>
      <c r="D951" s="6" t="s">
        <v>2056</v>
      </c>
      <c r="E951" s="6">
        <v>4</v>
      </c>
      <c r="F951" s="6">
        <v>48</v>
      </c>
      <c r="G951" s="6" t="s">
        <v>546</v>
      </c>
      <c r="I951" s="8">
        <v>80.754295347222197</v>
      </c>
      <c r="J951" s="8">
        <v>-0.488818958333333</v>
      </c>
      <c r="K951" s="6" t="s">
        <v>29</v>
      </c>
      <c r="L951" s="6" t="s">
        <v>546</v>
      </c>
      <c r="M951" s="9">
        <v>44032</v>
      </c>
      <c r="O951" s="6">
        <v>43</v>
      </c>
      <c r="P951" s="6" t="s">
        <v>4403</v>
      </c>
      <c r="R951" s="10" t="s">
        <v>2057</v>
      </c>
      <c r="S951" s="10">
        <v>80</v>
      </c>
      <c r="T951" s="10">
        <v>85</v>
      </c>
      <c r="U951" s="10">
        <f t="shared" si="28"/>
        <v>82.5</v>
      </c>
      <c r="V951" s="11"/>
      <c r="W951" s="8">
        <v>-3.0150084360122684</v>
      </c>
      <c r="X951" s="8">
        <v>-24.246252632141115</v>
      </c>
      <c r="Y951" s="8">
        <f t="shared" si="29"/>
        <v>-0.12618514404296732</v>
      </c>
    </row>
    <row r="952" spans="1:25" s="6" customFormat="1" x14ac:dyDescent="0.35">
      <c r="A952" s="6" t="s">
        <v>25</v>
      </c>
      <c r="B952" s="7" t="s">
        <v>2089</v>
      </c>
      <c r="D952" s="6" t="s">
        <v>2090</v>
      </c>
      <c r="E952" s="6">
        <v>4</v>
      </c>
      <c r="F952" s="6">
        <v>48</v>
      </c>
      <c r="G952" s="6" t="s">
        <v>546</v>
      </c>
      <c r="I952" s="8">
        <v>80.754295347222197</v>
      </c>
      <c r="J952" s="8">
        <v>-0.488818958333333</v>
      </c>
      <c r="K952" s="6" t="s">
        <v>29</v>
      </c>
      <c r="L952" s="6" t="s">
        <v>546</v>
      </c>
      <c r="M952" s="9">
        <v>44032</v>
      </c>
      <c r="O952" s="6">
        <v>43</v>
      </c>
      <c r="P952" s="6" t="s">
        <v>4403</v>
      </c>
      <c r="R952" s="10" t="s">
        <v>2091</v>
      </c>
      <c r="S952" s="10">
        <v>85</v>
      </c>
      <c r="T952" s="10">
        <v>90</v>
      </c>
      <c r="U952" s="10">
        <f t="shared" si="28"/>
        <v>87.5</v>
      </c>
      <c r="V952" s="11"/>
      <c r="W952" s="8">
        <v>-2.4474301994323735</v>
      </c>
      <c r="X952" s="8">
        <v>-18.973312252044678</v>
      </c>
      <c r="Y952" s="8">
        <f t="shared" si="29"/>
        <v>0.60612934341430957</v>
      </c>
    </row>
    <row r="953" spans="1:25" s="6" customFormat="1" x14ac:dyDescent="0.35">
      <c r="A953" s="6" t="s">
        <v>25</v>
      </c>
      <c r="B953" s="7" t="s">
        <v>2129</v>
      </c>
      <c r="D953" s="6" t="s">
        <v>2130</v>
      </c>
      <c r="E953" s="6">
        <v>4</v>
      </c>
      <c r="F953" s="6">
        <v>48</v>
      </c>
      <c r="G953" s="6" t="s">
        <v>546</v>
      </c>
      <c r="I953" s="8">
        <v>80.754295347222197</v>
      </c>
      <c r="J953" s="8">
        <v>-0.488818958333333</v>
      </c>
      <c r="K953" s="6" t="s">
        <v>29</v>
      </c>
      <c r="L953" s="6" t="s">
        <v>546</v>
      </c>
      <c r="M953" s="9">
        <v>44032</v>
      </c>
      <c r="O953" s="6">
        <v>43</v>
      </c>
      <c r="P953" s="6" t="s">
        <v>4403</v>
      </c>
      <c r="R953" s="10" t="s">
        <v>2131</v>
      </c>
      <c r="S953" s="10">
        <v>90</v>
      </c>
      <c r="T953" s="10">
        <v>95</v>
      </c>
      <c r="U953" s="10">
        <f t="shared" si="28"/>
        <v>92.5</v>
      </c>
      <c r="V953" s="11"/>
      <c r="W953" s="8">
        <v>-1.907821376562119</v>
      </c>
      <c r="X953" s="8">
        <v>-13.730305028915405</v>
      </c>
      <c r="Y953" s="8">
        <f t="shared" si="29"/>
        <v>1.5322659835815475</v>
      </c>
    </row>
    <row r="954" spans="1:25" s="6" customFormat="1" x14ac:dyDescent="0.35">
      <c r="A954" s="6" t="s">
        <v>25</v>
      </c>
      <c r="B954" s="7" t="s">
        <v>2105</v>
      </c>
      <c r="D954" s="6" t="s">
        <v>2106</v>
      </c>
      <c r="E954" s="6">
        <v>4</v>
      </c>
      <c r="F954" s="6">
        <v>48</v>
      </c>
      <c r="G954" s="6" t="s">
        <v>546</v>
      </c>
      <c r="I954" s="8">
        <v>80.754295347222197</v>
      </c>
      <c r="J954" s="8">
        <v>-0.488818958333333</v>
      </c>
      <c r="K954" s="6" t="s">
        <v>29</v>
      </c>
      <c r="L954" s="6" t="s">
        <v>546</v>
      </c>
      <c r="M954" s="9">
        <v>44032</v>
      </c>
      <c r="O954" s="6">
        <v>43</v>
      </c>
      <c r="P954" s="6" t="s">
        <v>4403</v>
      </c>
      <c r="R954" s="10" t="s">
        <v>2107</v>
      </c>
      <c r="S954" s="10">
        <v>95</v>
      </c>
      <c r="T954" s="10">
        <v>100</v>
      </c>
      <c r="U954" s="10">
        <f t="shared" si="28"/>
        <v>97.5</v>
      </c>
      <c r="V954" s="11"/>
      <c r="W954" s="8">
        <v>-2.1781229375839239</v>
      </c>
      <c r="X954" s="8">
        <v>-16.481512651062012</v>
      </c>
      <c r="Y954" s="8">
        <f t="shared" si="29"/>
        <v>0.94347084960937977</v>
      </c>
    </row>
    <row r="955" spans="1:25" s="6" customFormat="1" x14ac:dyDescent="0.35">
      <c r="A955" s="6" t="s">
        <v>25</v>
      </c>
      <c r="B955" s="7" t="s">
        <v>2108</v>
      </c>
      <c r="D955" s="6" t="s">
        <v>2109</v>
      </c>
      <c r="E955" s="6">
        <v>4</v>
      </c>
      <c r="F955" s="6">
        <v>48</v>
      </c>
      <c r="G955" s="6" t="s">
        <v>546</v>
      </c>
      <c r="I955" s="8">
        <v>80.754295347222197</v>
      </c>
      <c r="J955" s="8">
        <v>-0.488818958333333</v>
      </c>
      <c r="K955" s="6" t="s">
        <v>29</v>
      </c>
      <c r="L955" s="6" t="s">
        <v>546</v>
      </c>
      <c r="M955" s="9">
        <v>44032</v>
      </c>
      <c r="O955" s="6">
        <v>43</v>
      </c>
      <c r="P955" s="6" t="s">
        <v>4403</v>
      </c>
      <c r="R955" s="10" t="s">
        <v>2110</v>
      </c>
      <c r="S955" s="10">
        <v>100</v>
      </c>
      <c r="T955" s="10">
        <v>105</v>
      </c>
      <c r="U955" s="10">
        <f t="shared" si="28"/>
        <v>102.5</v>
      </c>
      <c r="V955" s="11"/>
      <c r="W955" s="8">
        <v>-2.0821137365341187</v>
      </c>
      <c r="X955" s="8">
        <v>-15.794802710151673</v>
      </c>
      <c r="Y955" s="8">
        <f t="shared" si="29"/>
        <v>0.86210718212127624</v>
      </c>
    </row>
    <row r="956" spans="1:25" s="6" customFormat="1" x14ac:dyDescent="0.35">
      <c r="A956" s="6" t="s">
        <v>25</v>
      </c>
      <c r="B956" s="7" t="s">
        <v>2114</v>
      </c>
      <c r="D956" s="6" t="s">
        <v>2115</v>
      </c>
      <c r="E956" s="6">
        <v>4</v>
      </c>
      <c r="F956" s="6">
        <v>48</v>
      </c>
      <c r="G956" s="6" t="s">
        <v>546</v>
      </c>
      <c r="I956" s="8">
        <v>80.754295347222197</v>
      </c>
      <c r="J956" s="8">
        <v>-0.488818958333333</v>
      </c>
      <c r="K956" s="6" t="s">
        <v>29</v>
      </c>
      <c r="L956" s="6" t="s">
        <v>546</v>
      </c>
      <c r="M956" s="9">
        <v>44032</v>
      </c>
      <c r="O956" s="6">
        <v>43</v>
      </c>
      <c r="P956" s="6" t="s">
        <v>4403</v>
      </c>
      <c r="R956" s="10" t="s">
        <v>2116</v>
      </c>
      <c r="S956" s="10">
        <v>105</v>
      </c>
      <c r="T956" s="10">
        <v>110</v>
      </c>
      <c r="U956" s="10">
        <f t="shared" si="28"/>
        <v>107.5</v>
      </c>
      <c r="V956" s="11"/>
      <c r="W956" s="8">
        <v>-2.0047699121475224</v>
      </c>
      <c r="X956" s="8">
        <v>-14.981993898963928</v>
      </c>
      <c r="Y956" s="8">
        <f t="shared" si="29"/>
        <v>1.0561653982162511</v>
      </c>
    </row>
    <row r="957" spans="1:25" s="6" customFormat="1" x14ac:dyDescent="0.35">
      <c r="A957" s="6" t="s">
        <v>25</v>
      </c>
      <c r="B957" s="7" t="s">
        <v>2075</v>
      </c>
      <c r="D957" s="6" t="s">
        <v>2076</v>
      </c>
      <c r="E957" s="6">
        <v>4</v>
      </c>
      <c r="F957" s="6">
        <v>48</v>
      </c>
      <c r="G957" s="6" t="s">
        <v>546</v>
      </c>
      <c r="I957" s="8">
        <v>80.754295347222197</v>
      </c>
      <c r="J957" s="8">
        <v>-0.488818958333333</v>
      </c>
      <c r="K957" s="6" t="s">
        <v>29</v>
      </c>
      <c r="L957" s="6" t="s">
        <v>546</v>
      </c>
      <c r="M957" s="9">
        <v>44032</v>
      </c>
      <c r="O957" s="6">
        <v>43</v>
      </c>
      <c r="P957" s="6" t="s">
        <v>4403</v>
      </c>
      <c r="R957" s="10" t="s">
        <v>2077</v>
      </c>
      <c r="S957" s="10">
        <v>110</v>
      </c>
      <c r="T957" s="10">
        <v>115</v>
      </c>
      <c r="U957" s="10">
        <f t="shared" si="28"/>
        <v>112.5</v>
      </c>
      <c r="V957" s="11"/>
      <c r="W957" s="8">
        <v>-1.6631458018302923</v>
      </c>
      <c r="X957" s="8">
        <v>-11.956790755271912</v>
      </c>
      <c r="Y957" s="8">
        <f t="shared" si="29"/>
        <v>1.3483756593704257</v>
      </c>
    </row>
    <row r="958" spans="1:25" s="6" customFormat="1" x14ac:dyDescent="0.35">
      <c r="A958" s="6" t="s">
        <v>25</v>
      </c>
      <c r="B958" s="7" t="s">
        <v>2070</v>
      </c>
      <c r="D958" s="6" t="s">
        <v>2071</v>
      </c>
      <c r="E958" s="6">
        <v>4</v>
      </c>
      <c r="F958" s="6">
        <v>48</v>
      </c>
      <c r="G958" s="6" t="s">
        <v>546</v>
      </c>
      <c r="I958" s="8">
        <v>80.754295347222197</v>
      </c>
      <c r="J958" s="8">
        <v>-0.488818958333333</v>
      </c>
      <c r="K958" s="6" t="s">
        <v>29</v>
      </c>
      <c r="L958" s="6" t="s">
        <v>546</v>
      </c>
      <c r="M958" s="9">
        <v>44032</v>
      </c>
      <c r="O958" s="6">
        <v>43</v>
      </c>
      <c r="P958" s="6" t="s">
        <v>4403</v>
      </c>
      <c r="R958" s="10" t="s">
        <v>2072</v>
      </c>
      <c r="S958" s="10">
        <v>115</v>
      </c>
      <c r="T958" s="10">
        <v>120</v>
      </c>
      <c r="U958" s="10">
        <f t="shared" si="28"/>
        <v>117.5</v>
      </c>
      <c r="V958" s="11"/>
      <c r="W958" s="8">
        <v>-1.4746751006126404</v>
      </c>
      <c r="X958" s="8">
        <v>-11.352610090255737</v>
      </c>
      <c r="Y958" s="8">
        <f t="shared" si="29"/>
        <v>0.44479071464538578</v>
      </c>
    </row>
    <row r="959" spans="1:25" s="6" customFormat="1" x14ac:dyDescent="0.35">
      <c r="A959" s="6" t="s">
        <v>25</v>
      </c>
      <c r="B959" s="7" t="s">
        <v>2092</v>
      </c>
      <c r="D959" s="6" t="s">
        <v>2093</v>
      </c>
      <c r="E959" s="6">
        <v>4</v>
      </c>
      <c r="F959" s="6">
        <v>48</v>
      </c>
      <c r="G959" s="6" t="s">
        <v>546</v>
      </c>
      <c r="I959" s="8">
        <v>80.754295347222197</v>
      </c>
      <c r="J959" s="8">
        <v>-0.488818958333333</v>
      </c>
      <c r="K959" s="6" t="s">
        <v>29</v>
      </c>
      <c r="L959" s="6" t="s">
        <v>546</v>
      </c>
      <c r="M959" s="9">
        <v>44032</v>
      </c>
      <c r="O959" s="6">
        <v>43</v>
      </c>
      <c r="P959" s="6" t="s">
        <v>4403</v>
      </c>
      <c r="R959" s="10" t="s">
        <v>2094</v>
      </c>
      <c r="S959" s="10">
        <v>120</v>
      </c>
      <c r="T959" s="10">
        <v>125</v>
      </c>
      <c r="U959" s="10">
        <f t="shared" si="28"/>
        <v>122.5</v>
      </c>
      <c r="V959" s="11"/>
      <c r="W959" s="8">
        <v>-1.9176022304534917</v>
      </c>
      <c r="X959" s="8">
        <v>-14.813483164405824</v>
      </c>
      <c r="Y959" s="8">
        <f t="shared" si="29"/>
        <v>0.52733467922210941</v>
      </c>
    </row>
    <row r="960" spans="1:25" s="6" customFormat="1" x14ac:dyDescent="0.35">
      <c r="A960" s="6" t="s">
        <v>25</v>
      </c>
      <c r="B960" s="7" t="s">
        <v>2132</v>
      </c>
      <c r="D960" s="6" t="s">
        <v>2133</v>
      </c>
      <c r="E960" s="6">
        <v>4</v>
      </c>
      <c r="F960" s="6">
        <v>48</v>
      </c>
      <c r="G960" s="6" t="s">
        <v>546</v>
      </c>
      <c r="I960" s="8">
        <v>80.754295347222197</v>
      </c>
      <c r="J960" s="8">
        <v>-0.488818958333333</v>
      </c>
      <c r="K960" s="6" t="s">
        <v>29</v>
      </c>
      <c r="L960" s="6" t="s">
        <v>546</v>
      </c>
      <c r="M960" s="9">
        <v>44032</v>
      </c>
      <c r="O960" s="6">
        <v>43</v>
      </c>
      <c r="P960" s="6" t="s">
        <v>4403</v>
      </c>
      <c r="R960" s="10" t="s">
        <v>2134</v>
      </c>
      <c r="S960" s="10">
        <v>125</v>
      </c>
      <c r="T960" s="10">
        <v>130</v>
      </c>
      <c r="U960" s="10">
        <f t="shared" si="28"/>
        <v>127.5</v>
      </c>
      <c r="V960" s="11"/>
      <c r="W960" s="8">
        <v>-2.5818069698810575</v>
      </c>
      <c r="X960" s="8">
        <v>-19.436798449516296</v>
      </c>
      <c r="Y960" s="8">
        <f t="shared" si="29"/>
        <v>1.2176573095321643</v>
      </c>
    </row>
    <row r="961" spans="1:25" s="6" customFormat="1" x14ac:dyDescent="0.35">
      <c r="A961" s="6" t="s">
        <v>25</v>
      </c>
      <c r="B961" s="7" t="s">
        <v>2149</v>
      </c>
      <c r="D961" s="6" t="s">
        <v>2150</v>
      </c>
      <c r="E961" s="6">
        <v>4</v>
      </c>
      <c r="F961" s="6">
        <v>48</v>
      </c>
      <c r="G961" s="6" t="s">
        <v>546</v>
      </c>
      <c r="I961" s="8">
        <v>80.754295347222197</v>
      </c>
      <c r="J961" s="8">
        <v>-0.488818958333333</v>
      </c>
      <c r="K961" s="6" t="s">
        <v>29</v>
      </c>
      <c r="L961" s="6" t="s">
        <v>546</v>
      </c>
      <c r="M961" s="9">
        <v>44032</v>
      </c>
      <c r="O961" s="6">
        <v>43</v>
      </c>
      <c r="P961" s="6" t="s">
        <v>4403</v>
      </c>
      <c r="R961" s="10" t="s">
        <v>2151</v>
      </c>
      <c r="S961" s="10">
        <v>130</v>
      </c>
      <c r="T961" s="10">
        <v>135</v>
      </c>
      <c r="U961" s="10">
        <f t="shared" si="28"/>
        <v>132.5</v>
      </c>
      <c r="V961" s="11"/>
      <c r="W961" s="8">
        <v>-5.1166669842004779</v>
      </c>
      <c r="X961" s="8">
        <v>-40.173906728744498</v>
      </c>
      <c r="Y961" s="8">
        <f t="shared" si="29"/>
        <v>0.75942914485932533</v>
      </c>
    </row>
    <row r="962" spans="1:25" s="6" customFormat="1" x14ac:dyDescent="0.35">
      <c r="A962" s="6" t="s">
        <v>25</v>
      </c>
      <c r="B962" s="7" t="s">
        <v>2083</v>
      </c>
      <c r="D962" s="6" t="s">
        <v>2084</v>
      </c>
      <c r="E962" s="6">
        <v>4</v>
      </c>
      <c r="F962" s="6">
        <v>48</v>
      </c>
      <c r="G962" s="6" t="s">
        <v>546</v>
      </c>
      <c r="I962" s="8">
        <v>80.754295347222197</v>
      </c>
      <c r="J962" s="8">
        <v>-0.488818958333333</v>
      </c>
      <c r="K962" s="6" t="s">
        <v>29</v>
      </c>
      <c r="L962" s="6" t="s">
        <v>546</v>
      </c>
      <c r="M962" s="9">
        <v>44032</v>
      </c>
      <c r="O962" s="6">
        <v>43</v>
      </c>
      <c r="P962" s="6" t="s">
        <v>4403</v>
      </c>
      <c r="R962" s="10" t="s">
        <v>2085</v>
      </c>
      <c r="S962" s="10">
        <v>135</v>
      </c>
      <c r="T962" s="10">
        <v>140</v>
      </c>
      <c r="U962" s="10">
        <f t="shared" ref="U962:U1025" si="30">AVERAGE(S962:T962)</f>
        <v>137.5</v>
      </c>
      <c r="V962" s="11"/>
      <c r="W962" s="8">
        <v>-6.7821773345947269</v>
      </c>
      <c r="X962" s="8">
        <v>-53.486570880889886</v>
      </c>
      <c r="Y962" s="8">
        <f t="shared" ref="Y962:Y1025" si="31">X962-(8*W962)</f>
        <v>0.77084779586792962</v>
      </c>
    </row>
    <row r="963" spans="1:25" s="6" customFormat="1" x14ac:dyDescent="0.35">
      <c r="A963" s="6" t="s">
        <v>25</v>
      </c>
      <c r="B963" s="7" t="s">
        <v>2111</v>
      </c>
      <c r="D963" s="6" t="s">
        <v>2112</v>
      </c>
      <c r="E963" s="6">
        <v>4</v>
      </c>
      <c r="F963" s="6">
        <v>48</v>
      </c>
      <c r="G963" s="6" t="s">
        <v>546</v>
      </c>
      <c r="I963" s="8">
        <v>80.754295347222197</v>
      </c>
      <c r="J963" s="8">
        <v>-0.488818958333333</v>
      </c>
      <c r="K963" s="6" t="s">
        <v>29</v>
      </c>
      <c r="L963" s="6" t="s">
        <v>546</v>
      </c>
      <c r="M963" s="9">
        <v>44032</v>
      </c>
      <c r="O963" s="6">
        <v>43</v>
      </c>
      <c r="P963" s="6" t="s">
        <v>4403</v>
      </c>
      <c r="R963" s="10" t="s">
        <v>2113</v>
      </c>
      <c r="S963" s="10">
        <v>140</v>
      </c>
      <c r="T963" s="10">
        <v>145</v>
      </c>
      <c r="U963" s="10">
        <f t="shared" si="30"/>
        <v>142.5</v>
      </c>
      <c r="V963" s="11"/>
      <c r="W963" s="8">
        <v>-5.2834217285156253</v>
      </c>
      <c r="X963" s="8">
        <v>-42.107446996307367</v>
      </c>
      <c r="Y963" s="8">
        <f t="shared" si="31"/>
        <v>0.15992683181763567</v>
      </c>
    </row>
    <row r="964" spans="1:25" s="6" customFormat="1" x14ac:dyDescent="0.35">
      <c r="A964" s="6" t="s">
        <v>25</v>
      </c>
      <c r="B964" s="7" t="s">
        <v>2052</v>
      </c>
      <c r="D964" s="6" t="s">
        <v>2053</v>
      </c>
      <c r="E964" s="6">
        <v>4</v>
      </c>
      <c r="F964" s="6">
        <v>48</v>
      </c>
      <c r="G964" s="6" t="s">
        <v>546</v>
      </c>
      <c r="I964" s="8">
        <v>80.754295347222197</v>
      </c>
      <c r="J964" s="8">
        <v>-0.488818958333333</v>
      </c>
      <c r="K964" s="6" t="s">
        <v>29</v>
      </c>
      <c r="L964" s="6" t="s">
        <v>546</v>
      </c>
      <c r="M964" s="9">
        <v>44032</v>
      </c>
      <c r="O964" s="6">
        <v>43</v>
      </c>
      <c r="P964" s="6" t="s">
        <v>4403</v>
      </c>
      <c r="R964" s="10" t="s">
        <v>2054</v>
      </c>
      <c r="S964" s="10">
        <v>145</v>
      </c>
      <c r="T964" s="10">
        <v>148</v>
      </c>
      <c r="U964" s="10">
        <f t="shared" si="30"/>
        <v>146.5</v>
      </c>
      <c r="V964" s="11"/>
      <c r="W964" s="8">
        <v>-4.5759615271568306</v>
      </c>
      <c r="X964" s="8">
        <v>-35.932391220092768</v>
      </c>
      <c r="Y964" s="8">
        <f t="shared" si="31"/>
        <v>0.67530099716187664</v>
      </c>
    </row>
    <row r="965" spans="1:25" s="6" customFormat="1" x14ac:dyDescent="0.35">
      <c r="A965" s="6" t="s">
        <v>25</v>
      </c>
      <c r="B965" s="7" t="s">
        <v>2049</v>
      </c>
      <c r="D965" s="6" t="s">
        <v>2050</v>
      </c>
      <c r="E965" s="6">
        <v>4</v>
      </c>
      <c r="F965" s="6">
        <v>48</v>
      </c>
      <c r="G965" s="6" t="s">
        <v>546</v>
      </c>
      <c r="I965" s="8">
        <v>80.754295347222197</v>
      </c>
      <c r="J965" s="8">
        <v>-0.488818958333333</v>
      </c>
      <c r="K965" s="6" t="s">
        <v>29</v>
      </c>
      <c r="L965" s="6" t="s">
        <v>546</v>
      </c>
      <c r="M965" s="9">
        <v>44032</v>
      </c>
      <c r="O965" s="6">
        <v>43</v>
      </c>
      <c r="P965" s="6" t="s">
        <v>4403</v>
      </c>
      <c r="R965" s="10" t="s">
        <v>2051</v>
      </c>
      <c r="S965" s="10">
        <v>148</v>
      </c>
      <c r="T965" s="10">
        <v>153</v>
      </c>
      <c r="U965" s="10">
        <f t="shared" si="30"/>
        <v>150.5</v>
      </c>
      <c r="V965" s="11"/>
      <c r="W965" s="8">
        <v>-4.6788336685180667</v>
      </c>
      <c r="X965" s="8">
        <v>-35.113993194580075</v>
      </c>
      <c r="Y965" s="8">
        <f t="shared" si="31"/>
        <v>2.3166761535644582</v>
      </c>
    </row>
    <row r="966" spans="1:25" s="6" customFormat="1" x14ac:dyDescent="0.35">
      <c r="A966" s="6" t="s">
        <v>25</v>
      </c>
      <c r="B966" s="7" t="s">
        <v>2123</v>
      </c>
      <c r="D966" s="6" t="s">
        <v>2124</v>
      </c>
      <c r="E966" s="6">
        <v>4</v>
      </c>
      <c r="F966" s="6">
        <v>48</v>
      </c>
      <c r="G966" s="6" t="s">
        <v>546</v>
      </c>
      <c r="I966" s="8">
        <v>80.754295347222197</v>
      </c>
      <c r="J966" s="8">
        <v>-0.488818958333333</v>
      </c>
      <c r="K966" s="6" t="s">
        <v>29</v>
      </c>
      <c r="L966" s="6" t="s">
        <v>546</v>
      </c>
      <c r="M966" s="9">
        <v>44032</v>
      </c>
      <c r="O966" s="6">
        <v>43</v>
      </c>
      <c r="P966" s="6" t="s">
        <v>4403</v>
      </c>
      <c r="R966" s="10" t="s">
        <v>2125</v>
      </c>
      <c r="S966" s="10">
        <v>153</v>
      </c>
      <c r="T966" s="10">
        <v>160</v>
      </c>
      <c r="U966" s="10">
        <f t="shared" si="30"/>
        <v>156.5</v>
      </c>
      <c r="V966" s="11"/>
      <c r="W966" s="8">
        <v>-5.2008943667411804</v>
      </c>
      <c r="X966" s="8">
        <v>-37.481903285980223</v>
      </c>
      <c r="Y966" s="8">
        <f t="shared" si="31"/>
        <v>4.1252516479492201</v>
      </c>
    </row>
    <row r="967" spans="1:25" s="6" customFormat="1" x14ac:dyDescent="0.35">
      <c r="A967" s="6" t="s">
        <v>25</v>
      </c>
      <c r="B967" s="7" t="s">
        <v>2152</v>
      </c>
      <c r="D967" s="6" t="s">
        <v>2153</v>
      </c>
      <c r="E967" s="6">
        <v>4</v>
      </c>
      <c r="F967" s="6">
        <v>48</v>
      </c>
      <c r="G967" s="6" t="s">
        <v>546</v>
      </c>
      <c r="I967" s="8">
        <v>80.754295347222197</v>
      </c>
      <c r="J967" s="8">
        <v>-0.488818958333333</v>
      </c>
      <c r="K967" s="6" t="s">
        <v>29</v>
      </c>
      <c r="L967" s="6" t="s">
        <v>546</v>
      </c>
      <c r="M967" s="9">
        <v>44032</v>
      </c>
      <c r="O967" s="6">
        <v>43</v>
      </c>
      <c r="P967" s="6" t="s">
        <v>4403</v>
      </c>
      <c r="R967" s="10" t="s">
        <v>2154</v>
      </c>
      <c r="S967" s="10">
        <v>160</v>
      </c>
      <c r="T967" s="10">
        <v>163</v>
      </c>
      <c r="U967" s="10">
        <f t="shared" si="30"/>
        <v>161.5</v>
      </c>
      <c r="V967" s="11"/>
      <c r="W967" s="8">
        <v>-4.7768730171918872</v>
      </c>
      <c r="X967" s="8">
        <v>-35.626918470382691</v>
      </c>
      <c r="Y967" s="8">
        <f t="shared" si="31"/>
        <v>2.5880656671524065</v>
      </c>
    </row>
    <row r="968" spans="1:25" s="6" customFormat="1" x14ac:dyDescent="0.35">
      <c r="A968" s="6" t="s">
        <v>25</v>
      </c>
      <c r="B968" s="7" t="s">
        <v>2144</v>
      </c>
      <c r="D968" s="6" t="s">
        <v>2145</v>
      </c>
      <c r="E968" s="6">
        <v>4</v>
      </c>
      <c r="F968" s="6">
        <v>48</v>
      </c>
      <c r="G968" s="6" t="s">
        <v>546</v>
      </c>
      <c r="I968" s="8">
        <v>80.754295347222197</v>
      </c>
      <c r="J968" s="8">
        <v>-0.488818958333333</v>
      </c>
      <c r="K968" s="6" t="s">
        <v>29</v>
      </c>
      <c r="L968" s="6" t="s">
        <v>546</v>
      </c>
      <c r="M968" s="9">
        <v>44032</v>
      </c>
      <c r="O968" s="6">
        <v>43</v>
      </c>
      <c r="P968" s="6" t="s">
        <v>4403</v>
      </c>
      <c r="R968" s="10" t="s">
        <v>1736</v>
      </c>
      <c r="S968" s="10">
        <v>163</v>
      </c>
      <c r="T968" s="10">
        <v>168</v>
      </c>
      <c r="U968" s="10">
        <f t="shared" si="30"/>
        <v>165.5</v>
      </c>
      <c r="V968" s="11"/>
      <c r="W968" s="8">
        <v>-4.3878616710901266</v>
      </c>
      <c r="X968" s="8">
        <v>-32.726824914932251</v>
      </c>
      <c r="Y968" s="8">
        <f t="shared" si="31"/>
        <v>2.3760684537887613</v>
      </c>
    </row>
    <row r="969" spans="1:25" s="6" customFormat="1" x14ac:dyDescent="0.35">
      <c r="A969" s="6" t="s">
        <v>25</v>
      </c>
      <c r="B969" s="7" t="s">
        <v>2135</v>
      </c>
      <c r="D969" s="6" t="s">
        <v>2136</v>
      </c>
      <c r="E969" s="6">
        <v>4</v>
      </c>
      <c r="F969" s="6">
        <v>48</v>
      </c>
      <c r="G969" s="6" t="s">
        <v>546</v>
      </c>
      <c r="I969" s="8">
        <v>80.754295347222197</v>
      </c>
      <c r="J969" s="8">
        <v>-0.488818958333333</v>
      </c>
      <c r="K969" s="6" t="s">
        <v>29</v>
      </c>
      <c r="L969" s="6" t="s">
        <v>546</v>
      </c>
      <c r="M969" s="9">
        <v>44032</v>
      </c>
      <c r="O969" s="6">
        <v>43</v>
      </c>
      <c r="P969" s="6" t="s">
        <v>4403</v>
      </c>
      <c r="R969" s="10" t="s">
        <v>2137</v>
      </c>
      <c r="S969" s="10">
        <v>168</v>
      </c>
      <c r="T969" s="10">
        <v>173</v>
      </c>
      <c r="U969" s="10">
        <f t="shared" si="30"/>
        <v>170.5</v>
      </c>
      <c r="V969" s="11"/>
      <c r="W969" s="8">
        <v>-4.6056551566123964</v>
      </c>
      <c r="X969" s="8">
        <v>-35.774659936904911</v>
      </c>
      <c r="Y969" s="8">
        <f t="shared" si="31"/>
        <v>1.0705813159942608</v>
      </c>
    </row>
    <row r="970" spans="1:25" s="6" customFormat="1" x14ac:dyDescent="0.35">
      <c r="A970" s="6" t="s">
        <v>25</v>
      </c>
      <c r="B970" s="7" t="s">
        <v>2138</v>
      </c>
      <c r="D970" s="6" t="s">
        <v>2139</v>
      </c>
      <c r="E970" s="6">
        <v>4</v>
      </c>
      <c r="F970" s="6">
        <v>48</v>
      </c>
      <c r="G970" s="6" t="s">
        <v>546</v>
      </c>
      <c r="I970" s="8">
        <v>80.754295347222197</v>
      </c>
      <c r="J970" s="8">
        <v>-0.488818958333333</v>
      </c>
      <c r="K970" s="6" t="s">
        <v>29</v>
      </c>
      <c r="L970" s="6" t="s">
        <v>546</v>
      </c>
      <c r="M970" s="9">
        <v>44032</v>
      </c>
      <c r="O970" s="6">
        <v>43</v>
      </c>
      <c r="P970" s="6" t="s">
        <v>4403</v>
      </c>
      <c r="R970" s="10" t="s">
        <v>2140</v>
      </c>
      <c r="S970" s="10">
        <v>173</v>
      </c>
      <c r="T970" s="10">
        <v>178</v>
      </c>
      <c r="U970" s="10">
        <f t="shared" si="30"/>
        <v>175.5</v>
      </c>
      <c r="V970" s="11"/>
      <c r="W970" s="8">
        <v>-2.5953085374236107</v>
      </c>
      <c r="X970" s="8">
        <v>-19.668728132247924</v>
      </c>
      <c r="Y970" s="8">
        <f t="shared" si="31"/>
        <v>1.093740167140961</v>
      </c>
    </row>
    <row r="971" spans="1:25" s="6" customFormat="1" x14ac:dyDescent="0.35">
      <c r="A971" s="6" t="s">
        <v>25</v>
      </c>
      <c r="B971" s="7" t="s">
        <v>2141</v>
      </c>
      <c r="D971" s="6" t="s">
        <v>2142</v>
      </c>
      <c r="E971" s="6">
        <v>4</v>
      </c>
      <c r="F971" s="6">
        <v>48</v>
      </c>
      <c r="G971" s="6" t="s">
        <v>546</v>
      </c>
      <c r="I971" s="8">
        <v>80.754295347222197</v>
      </c>
      <c r="J971" s="8">
        <v>-0.488818958333333</v>
      </c>
      <c r="K971" s="6" t="s">
        <v>29</v>
      </c>
      <c r="L971" s="6" t="s">
        <v>546</v>
      </c>
      <c r="M971" s="9">
        <v>44032</v>
      </c>
      <c r="O971" s="6">
        <v>43</v>
      </c>
      <c r="P971" s="6" t="s">
        <v>4403</v>
      </c>
      <c r="R971" s="10" t="s">
        <v>2143</v>
      </c>
      <c r="S971" s="10">
        <v>178</v>
      </c>
      <c r="T971" s="10">
        <v>183</v>
      </c>
      <c r="U971" s="10">
        <f t="shared" si="30"/>
        <v>180.5</v>
      </c>
      <c r="V971" s="11"/>
      <c r="W971" s="8">
        <v>-0.77245413848757782</v>
      </c>
      <c r="X971" s="8">
        <v>-5.9752675175666807</v>
      </c>
      <c r="Y971" s="8">
        <f t="shared" si="31"/>
        <v>0.20436559033394186</v>
      </c>
    </row>
    <row r="972" spans="1:25" s="6" customFormat="1" x14ac:dyDescent="0.35">
      <c r="A972" s="6" t="s">
        <v>25</v>
      </c>
      <c r="B972" s="7" t="s">
        <v>2146</v>
      </c>
      <c r="D972" s="6" t="s">
        <v>2147</v>
      </c>
      <c r="E972" s="6">
        <v>4</v>
      </c>
      <c r="F972" s="6">
        <v>48</v>
      </c>
      <c r="G972" s="6" t="s">
        <v>546</v>
      </c>
      <c r="I972" s="8">
        <v>80.754295347222197</v>
      </c>
      <c r="J972" s="8">
        <v>-0.488818958333333</v>
      </c>
      <c r="K972" s="6" t="s">
        <v>29</v>
      </c>
      <c r="L972" s="6" t="s">
        <v>546</v>
      </c>
      <c r="M972" s="9">
        <v>44032</v>
      </c>
      <c r="O972" s="6">
        <v>43</v>
      </c>
      <c r="P972" s="6" t="s">
        <v>4403</v>
      </c>
      <c r="R972" s="10" t="s">
        <v>2148</v>
      </c>
      <c r="S972" s="10">
        <v>183</v>
      </c>
      <c r="T972" s="10">
        <v>188</v>
      </c>
      <c r="U972" s="10">
        <f t="shared" si="30"/>
        <v>185.5</v>
      </c>
      <c r="V972" s="11"/>
      <c r="W972" s="8">
        <v>-0.3698263479173185</v>
      </c>
      <c r="X972" s="8">
        <v>-2.680679186582565</v>
      </c>
      <c r="Y972" s="8">
        <f t="shared" si="31"/>
        <v>0.277931596755983</v>
      </c>
    </row>
    <row r="973" spans="1:25" s="6" customFormat="1" x14ac:dyDescent="0.35">
      <c r="A973" s="6" t="s">
        <v>25</v>
      </c>
      <c r="B973" s="7" t="s">
        <v>2164</v>
      </c>
      <c r="D973" s="6" t="s">
        <v>2165</v>
      </c>
      <c r="E973" s="6">
        <v>4</v>
      </c>
      <c r="F973" s="6">
        <v>48</v>
      </c>
      <c r="G973" s="6" t="s">
        <v>546</v>
      </c>
      <c r="I973" s="8">
        <v>80.754295347222197</v>
      </c>
      <c r="J973" s="8">
        <v>-0.488818958333333</v>
      </c>
      <c r="K973" s="6" t="s">
        <v>29</v>
      </c>
      <c r="L973" s="6" t="s">
        <v>546</v>
      </c>
      <c r="M973" s="9">
        <v>44032</v>
      </c>
      <c r="O973" s="6">
        <v>43</v>
      </c>
      <c r="P973" s="6" t="s">
        <v>4403</v>
      </c>
      <c r="R973" s="10" t="s">
        <v>2166</v>
      </c>
      <c r="S973" s="10">
        <v>193</v>
      </c>
      <c r="T973" s="10">
        <v>198</v>
      </c>
      <c r="U973" s="10">
        <f t="shared" si="30"/>
        <v>195.5</v>
      </c>
      <c r="V973" s="11"/>
      <c r="W973" s="8">
        <v>2.7226406556368026E-2</v>
      </c>
      <c r="X973" s="8">
        <v>0.79416143655776972</v>
      </c>
      <c r="Y973" s="8">
        <f t="shared" si="31"/>
        <v>0.57635018410682548</v>
      </c>
    </row>
    <row r="974" spans="1:25" s="6" customFormat="1" x14ac:dyDescent="0.35">
      <c r="A974" s="6" t="s">
        <v>25</v>
      </c>
      <c r="B974" s="7" t="s">
        <v>2155</v>
      </c>
      <c r="D974" s="6" t="s">
        <v>2156</v>
      </c>
      <c r="E974" s="6">
        <v>4</v>
      </c>
      <c r="F974" s="6">
        <v>48</v>
      </c>
      <c r="G974" s="6" t="s">
        <v>546</v>
      </c>
      <c r="I974" s="8">
        <v>80.754295347222197</v>
      </c>
      <c r="J974" s="8">
        <v>-0.488818958333333</v>
      </c>
      <c r="K974" s="6" t="s">
        <v>29</v>
      </c>
      <c r="L974" s="6" t="s">
        <v>546</v>
      </c>
      <c r="M974" s="9">
        <v>44032</v>
      </c>
      <c r="O974" s="6">
        <v>43</v>
      </c>
      <c r="P974" s="6" t="s">
        <v>4403</v>
      </c>
      <c r="R974" s="10" t="s">
        <v>2157</v>
      </c>
      <c r="S974" s="10">
        <v>198</v>
      </c>
      <c r="T974" s="10">
        <v>203</v>
      </c>
      <c r="U974" s="10">
        <f t="shared" si="30"/>
        <v>200.5</v>
      </c>
      <c r="V974" s="11"/>
      <c r="W974" s="8">
        <v>0.16718348762616517</v>
      </c>
      <c r="X974" s="8">
        <v>2.1504252775907515</v>
      </c>
      <c r="Y974" s="8">
        <f t="shared" si="31"/>
        <v>0.81295737658143019</v>
      </c>
    </row>
    <row r="975" spans="1:25" s="6" customFormat="1" x14ac:dyDescent="0.35">
      <c r="A975" s="6" t="s">
        <v>25</v>
      </c>
      <c r="B975" s="7" t="s">
        <v>2126</v>
      </c>
      <c r="D975" s="6" t="s">
        <v>2127</v>
      </c>
      <c r="E975" s="6">
        <v>4</v>
      </c>
      <c r="F975" s="6">
        <v>48</v>
      </c>
      <c r="G975" s="6" t="s">
        <v>546</v>
      </c>
      <c r="I975" s="8">
        <v>80.754295347222197</v>
      </c>
      <c r="J975" s="8">
        <v>-0.488818958333333</v>
      </c>
      <c r="K975" s="6" t="s">
        <v>29</v>
      </c>
      <c r="L975" s="6" t="s">
        <v>546</v>
      </c>
      <c r="M975" s="9">
        <v>44032</v>
      </c>
      <c r="O975" s="6">
        <v>43</v>
      </c>
      <c r="P975" s="6" t="s">
        <v>4403</v>
      </c>
      <c r="R975" s="10" t="s">
        <v>2128</v>
      </c>
      <c r="S975" s="10">
        <v>203</v>
      </c>
      <c r="T975" s="10">
        <v>208</v>
      </c>
      <c r="U975" s="10">
        <f t="shared" si="30"/>
        <v>205.5</v>
      </c>
      <c r="V975" s="11"/>
      <c r="W975" s="8">
        <v>0.36629645338654521</v>
      </c>
      <c r="X975" s="8">
        <v>4.2653193782642482</v>
      </c>
      <c r="Y975" s="8">
        <f t="shared" si="31"/>
        <v>1.3349477511718866</v>
      </c>
    </row>
    <row r="976" spans="1:25" s="6" customFormat="1" x14ac:dyDescent="0.35">
      <c r="A976" s="6" t="s">
        <v>25</v>
      </c>
      <c r="B976" s="7" t="s">
        <v>2158</v>
      </c>
      <c r="D976" s="6" t="s">
        <v>2159</v>
      </c>
      <c r="E976" s="6">
        <v>4</v>
      </c>
      <c r="F976" s="6">
        <v>48</v>
      </c>
      <c r="G976" s="6" t="s">
        <v>546</v>
      </c>
      <c r="I976" s="8">
        <v>80.754295347222197</v>
      </c>
      <c r="J976" s="8">
        <v>-0.488818958333333</v>
      </c>
      <c r="K976" s="6" t="s">
        <v>29</v>
      </c>
      <c r="L976" s="6" t="s">
        <v>546</v>
      </c>
      <c r="M976" s="9">
        <v>44032</v>
      </c>
      <c r="O976" s="6">
        <v>43</v>
      </c>
      <c r="P976" s="6" t="s">
        <v>4403</v>
      </c>
      <c r="R976" s="10" t="s">
        <v>2160</v>
      </c>
      <c r="S976" s="10">
        <v>208</v>
      </c>
      <c r="T976" s="10">
        <v>213</v>
      </c>
      <c r="U976" s="10">
        <f t="shared" si="30"/>
        <v>210.5</v>
      </c>
      <c r="V976" s="11"/>
      <c r="W976" s="8">
        <v>0.58999998397231113</v>
      </c>
      <c r="X976" s="8">
        <v>5.6104993782043469</v>
      </c>
      <c r="Y976" s="8">
        <f t="shared" si="31"/>
        <v>0.89049950642585785</v>
      </c>
    </row>
    <row r="977" spans="1:26" s="6" customFormat="1" x14ac:dyDescent="0.35">
      <c r="A977" s="6" t="s">
        <v>25</v>
      </c>
      <c r="B977" s="7" t="s">
        <v>2207</v>
      </c>
      <c r="D977" s="6" t="s">
        <v>2208</v>
      </c>
      <c r="E977" s="6">
        <v>4</v>
      </c>
      <c r="F977" s="6">
        <v>48</v>
      </c>
      <c r="G977" s="6" t="s">
        <v>546</v>
      </c>
      <c r="I977" s="8">
        <v>80.477765486111096</v>
      </c>
      <c r="J977" s="8">
        <v>-0.53689541666666696</v>
      </c>
      <c r="K977" s="6" t="s">
        <v>29</v>
      </c>
      <c r="L977" s="6" t="s">
        <v>546</v>
      </c>
      <c r="M977" s="9">
        <v>44034</v>
      </c>
      <c r="O977" s="6">
        <v>43</v>
      </c>
      <c r="P977" s="6" t="s">
        <v>4415</v>
      </c>
      <c r="R977" s="10" t="s">
        <v>2209</v>
      </c>
      <c r="S977" s="10">
        <v>188</v>
      </c>
      <c r="T977" s="10">
        <v>193</v>
      </c>
      <c r="U977" s="10">
        <f t="shared" si="30"/>
        <v>190.5</v>
      </c>
      <c r="V977" s="11"/>
      <c r="W977" s="8">
        <v>-0.16036709180474326</v>
      </c>
      <c r="X977" s="8">
        <v>-0.30798417687416108</v>
      </c>
      <c r="Y977" s="8">
        <f t="shared" si="31"/>
        <v>0.97495255756378496</v>
      </c>
    </row>
    <row r="978" spans="1:26" s="6" customFormat="1" x14ac:dyDescent="0.35">
      <c r="A978" s="6" t="s">
        <v>25</v>
      </c>
      <c r="B978" s="6" t="s">
        <v>2258</v>
      </c>
      <c r="D978" s="6" t="s">
        <v>2259</v>
      </c>
      <c r="E978" s="6">
        <v>4</v>
      </c>
      <c r="F978" s="6">
        <v>49</v>
      </c>
      <c r="I978" s="8">
        <v>79.191449375000005</v>
      </c>
      <c r="J978" s="8">
        <v>-2.6081078472222199</v>
      </c>
      <c r="K978" s="6" t="s">
        <v>29</v>
      </c>
      <c r="L978" s="29" t="s">
        <v>335</v>
      </c>
      <c r="M978" s="9">
        <v>44041</v>
      </c>
      <c r="O978" s="6">
        <v>44</v>
      </c>
      <c r="P978" s="6" t="s">
        <v>4421</v>
      </c>
      <c r="S978" s="6">
        <v>0</v>
      </c>
      <c r="T978" s="6">
        <v>10</v>
      </c>
      <c r="U978" s="10">
        <f t="shared" si="30"/>
        <v>5</v>
      </c>
      <c r="V978" s="15">
        <v>1.1000000000000001</v>
      </c>
      <c r="W978" s="8">
        <v>0.81948229316472987</v>
      </c>
      <c r="X978" s="8">
        <v>6.3070068886756907</v>
      </c>
      <c r="Y978" s="8">
        <f t="shared" si="31"/>
        <v>-0.24885145664214825</v>
      </c>
      <c r="Z978" s="6" t="s">
        <v>1760</v>
      </c>
    </row>
    <row r="979" spans="1:26" s="6" customFormat="1" x14ac:dyDescent="0.35">
      <c r="A979" s="6" t="s">
        <v>25</v>
      </c>
      <c r="B979" s="7" t="s">
        <v>2239</v>
      </c>
      <c r="D979" s="6" t="s">
        <v>2240</v>
      </c>
      <c r="E979" s="6">
        <v>4</v>
      </c>
      <c r="F979" s="6">
        <v>49</v>
      </c>
      <c r="G979" s="6" t="s">
        <v>335</v>
      </c>
      <c r="I979" s="8">
        <v>79.191449375000005</v>
      </c>
      <c r="J979" s="8">
        <v>-2.6081078472222199</v>
      </c>
      <c r="K979" s="6" t="s">
        <v>29</v>
      </c>
      <c r="L979" s="6" t="s">
        <v>335</v>
      </c>
      <c r="M979" s="9">
        <v>44041</v>
      </c>
      <c r="O979" s="6">
        <v>44</v>
      </c>
      <c r="P979" s="6" t="s">
        <v>4421</v>
      </c>
      <c r="R979" s="10" t="s">
        <v>2032</v>
      </c>
      <c r="S979" s="10">
        <v>5</v>
      </c>
      <c r="T979" s="10">
        <v>10</v>
      </c>
      <c r="U979" s="10">
        <f t="shared" si="30"/>
        <v>7.5</v>
      </c>
      <c r="V979" s="11"/>
      <c r="W979" s="8">
        <v>1.261518983316422</v>
      </c>
      <c r="X979" s="8">
        <v>8.3871043243408199</v>
      </c>
      <c r="Y979" s="8">
        <f t="shared" si="31"/>
        <v>-1.705047542190556</v>
      </c>
    </row>
    <row r="980" spans="1:26" s="6" customFormat="1" x14ac:dyDescent="0.35">
      <c r="A980" s="6" t="s">
        <v>25</v>
      </c>
      <c r="B980" s="7" t="s">
        <v>2245</v>
      </c>
      <c r="D980" s="6" t="s">
        <v>2246</v>
      </c>
      <c r="E980" s="6">
        <v>4</v>
      </c>
      <c r="F980" s="6">
        <v>49</v>
      </c>
      <c r="G980" s="6" t="s">
        <v>335</v>
      </c>
      <c r="I980" s="8">
        <v>79.191449375000005</v>
      </c>
      <c r="J980" s="8">
        <v>-2.6081078472222199</v>
      </c>
      <c r="K980" s="6" t="s">
        <v>29</v>
      </c>
      <c r="L980" s="6" t="s">
        <v>335</v>
      </c>
      <c r="M980" s="9">
        <v>44041</v>
      </c>
      <c r="O980" s="6">
        <v>44</v>
      </c>
      <c r="P980" s="6" t="s">
        <v>4421</v>
      </c>
      <c r="R980" s="10" t="s">
        <v>2005</v>
      </c>
      <c r="S980" s="10">
        <v>10</v>
      </c>
      <c r="T980" s="10">
        <v>15</v>
      </c>
      <c r="U980" s="10">
        <f t="shared" si="30"/>
        <v>12.5</v>
      </c>
      <c r="V980" s="11"/>
      <c r="W980" s="8">
        <v>1.2553505444049839</v>
      </c>
      <c r="X980" s="8">
        <v>9.4728514041900631</v>
      </c>
      <c r="Y980" s="8">
        <f t="shared" si="31"/>
        <v>-0.56995295104980848</v>
      </c>
    </row>
    <row r="981" spans="1:26" s="6" customFormat="1" x14ac:dyDescent="0.35">
      <c r="A981" s="6" t="s">
        <v>25</v>
      </c>
      <c r="B981" s="6" t="s">
        <v>2260</v>
      </c>
      <c r="D981" s="6" t="s">
        <v>2261</v>
      </c>
      <c r="E981" s="6">
        <v>4</v>
      </c>
      <c r="F981" s="6">
        <v>49</v>
      </c>
      <c r="I981" s="8">
        <v>79.191449375000005</v>
      </c>
      <c r="J981" s="8">
        <v>-2.6081078472222199</v>
      </c>
      <c r="K981" s="6" t="s">
        <v>29</v>
      </c>
      <c r="L981" s="29" t="s">
        <v>335</v>
      </c>
      <c r="M981" s="9">
        <v>44041</v>
      </c>
      <c r="O981" s="6">
        <v>44</v>
      </c>
      <c r="P981" s="6" t="s">
        <v>4421</v>
      </c>
      <c r="S981" s="6">
        <v>10</v>
      </c>
      <c r="T981" s="6">
        <v>20</v>
      </c>
      <c r="U981" s="10">
        <f t="shared" si="30"/>
        <v>15</v>
      </c>
      <c r="V981" s="15">
        <v>1.5</v>
      </c>
      <c r="W981" s="8">
        <v>0.81097364822626139</v>
      </c>
      <c r="X981" s="8">
        <v>6.3867610257148737</v>
      </c>
      <c r="Y981" s="8">
        <f t="shared" si="31"/>
        <v>-0.10102816009521742</v>
      </c>
      <c r="Z981" s="6" t="s">
        <v>1760</v>
      </c>
    </row>
    <row r="982" spans="1:26" s="6" customFormat="1" x14ac:dyDescent="0.35">
      <c r="A982" s="6" t="s">
        <v>25</v>
      </c>
      <c r="B982" s="7" t="s">
        <v>2229</v>
      </c>
      <c r="D982" s="6" t="s">
        <v>2230</v>
      </c>
      <c r="E982" s="6">
        <v>4</v>
      </c>
      <c r="F982" s="6">
        <v>49</v>
      </c>
      <c r="G982" s="6" t="s">
        <v>335</v>
      </c>
      <c r="I982" s="8">
        <v>79.191449375000005</v>
      </c>
      <c r="J982" s="8">
        <v>-2.6081078472222199</v>
      </c>
      <c r="K982" s="6" t="s">
        <v>29</v>
      </c>
      <c r="L982" s="6" t="s">
        <v>335</v>
      </c>
      <c r="M982" s="9">
        <v>44041</v>
      </c>
      <c r="O982" s="6">
        <v>44</v>
      </c>
      <c r="P982" s="6" t="s">
        <v>4421</v>
      </c>
      <c r="R982" s="10" t="s">
        <v>1999</v>
      </c>
      <c r="S982" s="10">
        <v>20</v>
      </c>
      <c r="T982" s="10">
        <v>25</v>
      </c>
      <c r="U982" s="10">
        <f t="shared" si="30"/>
        <v>22.5</v>
      </c>
      <c r="V982" s="11"/>
      <c r="W982" s="8">
        <v>0.41690907028913543</v>
      </c>
      <c r="X982" s="8">
        <v>3.6868773659706116</v>
      </c>
      <c r="Y982" s="8">
        <f t="shared" si="31"/>
        <v>0.35160480365752811</v>
      </c>
    </row>
    <row r="983" spans="1:26" s="6" customFormat="1" x14ac:dyDescent="0.35">
      <c r="A983" s="6" t="s">
        <v>25</v>
      </c>
      <c r="B983" s="6" t="s">
        <v>2262</v>
      </c>
      <c r="D983" s="6" t="s">
        <v>2263</v>
      </c>
      <c r="E983" s="6">
        <v>4</v>
      </c>
      <c r="F983" s="6">
        <v>49</v>
      </c>
      <c r="I983" s="8">
        <v>79.191449375000005</v>
      </c>
      <c r="J983" s="8">
        <v>-2.6081078472222199</v>
      </c>
      <c r="K983" s="6" t="s">
        <v>29</v>
      </c>
      <c r="L983" s="29" t="s">
        <v>335</v>
      </c>
      <c r="M983" s="9">
        <v>44041</v>
      </c>
      <c r="O983" s="6">
        <v>44</v>
      </c>
      <c r="P983" s="6" t="s">
        <v>4421</v>
      </c>
      <c r="S983" s="6">
        <v>20</v>
      </c>
      <c r="T983" s="6">
        <v>30</v>
      </c>
      <c r="U983" s="10">
        <f t="shared" si="30"/>
        <v>25</v>
      </c>
      <c r="V983" s="15">
        <v>1.1000000000000001</v>
      </c>
      <c r="W983" s="8">
        <v>0.32236852324604959</v>
      </c>
      <c r="X983" s="8">
        <v>3.1751851969242093</v>
      </c>
      <c r="Y983" s="8">
        <f t="shared" si="31"/>
        <v>0.59623701095581261</v>
      </c>
      <c r="Z983" s="6" t="s">
        <v>1760</v>
      </c>
    </row>
    <row r="984" spans="1:26" s="6" customFormat="1" x14ac:dyDescent="0.35">
      <c r="A984" s="6" t="s">
        <v>25</v>
      </c>
      <c r="B984" s="7" t="s">
        <v>2235</v>
      </c>
      <c r="D984" s="6" t="s">
        <v>2236</v>
      </c>
      <c r="E984" s="6">
        <v>4</v>
      </c>
      <c r="F984" s="6">
        <v>49</v>
      </c>
      <c r="G984" s="6" t="s">
        <v>335</v>
      </c>
      <c r="I984" s="8">
        <v>79.191449375000005</v>
      </c>
      <c r="J984" s="8">
        <v>-2.6081078472222199</v>
      </c>
      <c r="K984" s="6" t="s">
        <v>29</v>
      </c>
      <c r="L984" s="6" t="s">
        <v>335</v>
      </c>
      <c r="M984" s="9">
        <v>44041</v>
      </c>
      <c r="O984" s="6">
        <v>44</v>
      </c>
      <c r="P984" s="6" t="s">
        <v>4421</v>
      </c>
      <c r="R984" s="10" t="s">
        <v>1979</v>
      </c>
      <c r="S984" s="10">
        <v>25</v>
      </c>
      <c r="T984" s="10">
        <v>30</v>
      </c>
      <c r="U984" s="10">
        <f t="shared" si="30"/>
        <v>27.5</v>
      </c>
      <c r="V984" s="11"/>
      <c r="W984" s="8">
        <v>0.17350080291628822</v>
      </c>
      <c r="X984" s="8">
        <v>1.4735623445510873</v>
      </c>
      <c r="Y984" s="8">
        <f t="shared" si="31"/>
        <v>8.5555921220781483E-2</v>
      </c>
    </row>
    <row r="985" spans="1:26" s="6" customFormat="1" x14ac:dyDescent="0.35">
      <c r="A985" s="6" t="s">
        <v>25</v>
      </c>
      <c r="B985" s="7" t="s">
        <v>2237</v>
      </c>
      <c r="D985" s="6" t="s">
        <v>2238</v>
      </c>
      <c r="E985" s="6">
        <v>4</v>
      </c>
      <c r="F985" s="6">
        <v>49</v>
      </c>
      <c r="G985" s="6" t="s">
        <v>335</v>
      </c>
      <c r="I985" s="8">
        <v>79.191449375000005</v>
      </c>
      <c r="J985" s="8">
        <v>-2.6081078472222199</v>
      </c>
      <c r="K985" s="6" t="s">
        <v>29</v>
      </c>
      <c r="L985" s="6" t="s">
        <v>335</v>
      </c>
      <c r="M985" s="9">
        <v>44041</v>
      </c>
      <c r="O985" s="6">
        <v>44</v>
      </c>
      <c r="P985" s="6" t="s">
        <v>4421</v>
      </c>
      <c r="R985" s="10" t="s">
        <v>1982</v>
      </c>
      <c r="S985" s="10">
        <v>30</v>
      </c>
      <c r="T985" s="10">
        <v>35</v>
      </c>
      <c r="U985" s="10">
        <f t="shared" si="30"/>
        <v>32.5</v>
      </c>
      <c r="V985" s="11"/>
      <c r="W985" s="8">
        <v>-7.5860587164758549E-3</v>
      </c>
      <c r="X985" s="8">
        <v>0.24096596658229871</v>
      </c>
      <c r="Y985" s="8">
        <f t="shared" si="31"/>
        <v>0.30165443631410555</v>
      </c>
    </row>
    <row r="986" spans="1:26" s="6" customFormat="1" x14ac:dyDescent="0.35">
      <c r="A986" s="6" t="s">
        <v>25</v>
      </c>
      <c r="B986" s="6" t="s">
        <v>2264</v>
      </c>
      <c r="D986" s="6" t="s">
        <v>2265</v>
      </c>
      <c r="E986" s="6">
        <v>4</v>
      </c>
      <c r="F986" s="6">
        <v>49</v>
      </c>
      <c r="I986" s="8">
        <v>79.191449375000005</v>
      </c>
      <c r="J986" s="8">
        <v>-2.6081078472222199</v>
      </c>
      <c r="K986" s="6" t="s">
        <v>29</v>
      </c>
      <c r="L986" s="29" t="s">
        <v>335</v>
      </c>
      <c r="M986" s="9">
        <v>44041</v>
      </c>
      <c r="O986" s="6">
        <v>44</v>
      </c>
      <c r="P986" s="6" t="s">
        <v>4421</v>
      </c>
      <c r="S986" s="6">
        <v>30</v>
      </c>
      <c r="T986" s="6">
        <v>40</v>
      </c>
      <c r="U986" s="10">
        <f t="shared" si="30"/>
        <v>35</v>
      </c>
      <c r="V986" s="15">
        <v>1.4</v>
      </c>
      <c r="W986" s="8">
        <v>-3.8299095287919145E-2</v>
      </c>
      <c r="X986" s="8">
        <v>4.7145653760433073E-2</v>
      </c>
      <c r="Y986" s="8">
        <f t="shared" si="31"/>
        <v>0.35353841606378622</v>
      </c>
      <c r="Z986" s="6" t="s">
        <v>1760</v>
      </c>
    </row>
    <row r="987" spans="1:26" s="6" customFormat="1" x14ac:dyDescent="0.35">
      <c r="A987" s="6" t="s">
        <v>25</v>
      </c>
      <c r="B987" s="7" t="s">
        <v>2231</v>
      </c>
      <c r="D987" s="6" t="s">
        <v>2232</v>
      </c>
      <c r="E987" s="6">
        <v>4</v>
      </c>
      <c r="F987" s="6">
        <v>49</v>
      </c>
      <c r="G987" s="6" t="s">
        <v>335</v>
      </c>
      <c r="I987" s="8">
        <v>79.191449375000005</v>
      </c>
      <c r="J987" s="8">
        <v>-2.6081078472222199</v>
      </c>
      <c r="K987" s="6" t="s">
        <v>29</v>
      </c>
      <c r="L987" s="6" t="s">
        <v>335</v>
      </c>
      <c r="M987" s="9">
        <v>44041</v>
      </c>
      <c r="O987" s="6">
        <v>44</v>
      </c>
      <c r="P987" s="6" t="s">
        <v>4421</v>
      </c>
      <c r="R987" s="10" t="s">
        <v>1989</v>
      </c>
      <c r="S987" s="10">
        <v>35</v>
      </c>
      <c r="T987" s="10">
        <v>40</v>
      </c>
      <c r="U987" s="10">
        <f t="shared" si="30"/>
        <v>37.5</v>
      </c>
      <c r="V987" s="11"/>
      <c r="W987" s="8">
        <v>6.4850229419767966E-2</v>
      </c>
      <c r="X987" s="8">
        <v>-0.34498176717758178</v>
      </c>
      <c r="Y987" s="8">
        <f t="shared" si="31"/>
        <v>-0.8637836025357255</v>
      </c>
    </row>
    <row r="988" spans="1:26" s="6" customFormat="1" x14ac:dyDescent="0.35">
      <c r="A988" s="6" t="s">
        <v>25</v>
      </c>
      <c r="B988" s="7" t="s">
        <v>2225</v>
      </c>
      <c r="D988" s="6" t="s">
        <v>2226</v>
      </c>
      <c r="E988" s="6">
        <v>4</v>
      </c>
      <c r="F988" s="6">
        <v>49</v>
      </c>
      <c r="G988" s="6" t="s">
        <v>335</v>
      </c>
      <c r="I988" s="8">
        <v>79.191449375000005</v>
      </c>
      <c r="J988" s="8">
        <v>-2.6081078472222199</v>
      </c>
      <c r="K988" s="6" t="s">
        <v>29</v>
      </c>
      <c r="L988" s="6" t="s">
        <v>335</v>
      </c>
      <c r="M988" s="9">
        <v>44041</v>
      </c>
      <c r="O988" s="6">
        <v>44</v>
      </c>
      <c r="P988" s="6" t="s">
        <v>4421</v>
      </c>
      <c r="R988" s="10" t="s">
        <v>1992</v>
      </c>
      <c r="S988" s="10">
        <v>40</v>
      </c>
      <c r="T988" s="10">
        <v>45</v>
      </c>
      <c r="U988" s="10">
        <f t="shared" si="30"/>
        <v>42.5</v>
      </c>
      <c r="V988" s="11"/>
      <c r="W988" s="8">
        <v>-1.3697632867098396E-2</v>
      </c>
      <c r="X988" s="8">
        <v>0.10724218663573222</v>
      </c>
      <c r="Y988" s="8">
        <f t="shared" si="31"/>
        <v>0.21682324957251939</v>
      </c>
    </row>
    <row r="989" spans="1:26" s="6" customFormat="1" x14ac:dyDescent="0.35">
      <c r="A989" s="6" t="s">
        <v>25</v>
      </c>
      <c r="B989" s="6" t="s">
        <v>2266</v>
      </c>
      <c r="D989" s="6" t="s">
        <v>2267</v>
      </c>
      <c r="E989" s="6">
        <v>4</v>
      </c>
      <c r="F989" s="6">
        <v>49</v>
      </c>
      <c r="I989" s="8">
        <v>79.191449375000005</v>
      </c>
      <c r="J989" s="8">
        <v>-2.6081078472222199</v>
      </c>
      <c r="K989" s="6" t="s">
        <v>29</v>
      </c>
      <c r="L989" s="29" t="s">
        <v>335</v>
      </c>
      <c r="M989" s="9">
        <v>44041</v>
      </c>
      <c r="O989" s="6">
        <v>44</v>
      </c>
      <c r="P989" s="6" t="s">
        <v>4421</v>
      </c>
      <c r="S989" s="6">
        <v>40</v>
      </c>
      <c r="T989" s="6">
        <v>50</v>
      </c>
      <c r="U989" s="10">
        <f t="shared" si="30"/>
        <v>45</v>
      </c>
      <c r="V989" s="15">
        <v>1.5</v>
      </c>
      <c r="W989" s="8">
        <v>-0.24117422682046866</v>
      </c>
      <c r="X989" s="8">
        <v>-1.8402972902297974</v>
      </c>
      <c r="Y989" s="8">
        <f t="shared" si="31"/>
        <v>8.9096524333951876E-2</v>
      </c>
      <c r="Z989" s="6" t="s">
        <v>1760</v>
      </c>
    </row>
    <row r="990" spans="1:26" s="6" customFormat="1" x14ac:dyDescent="0.35">
      <c r="A990" s="6" t="s">
        <v>25</v>
      </c>
      <c r="B990" s="7" t="s">
        <v>2227</v>
      </c>
      <c r="D990" s="6" t="s">
        <v>2228</v>
      </c>
      <c r="E990" s="6">
        <v>4</v>
      </c>
      <c r="F990" s="6">
        <v>49</v>
      </c>
      <c r="G990" s="6" t="s">
        <v>335</v>
      </c>
      <c r="I990" s="8">
        <v>79.191449375000005</v>
      </c>
      <c r="J990" s="8">
        <v>-2.6081078472222199</v>
      </c>
      <c r="K990" s="6" t="s">
        <v>29</v>
      </c>
      <c r="L990" s="6" t="s">
        <v>335</v>
      </c>
      <c r="M990" s="9">
        <v>44041</v>
      </c>
      <c r="O990" s="6">
        <v>44</v>
      </c>
      <c r="P990" s="6" t="s">
        <v>4421</v>
      </c>
      <c r="R990" s="10" t="s">
        <v>2082</v>
      </c>
      <c r="S990" s="10">
        <v>45</v>
      </c>
      <c r="T990" s="10">
        <v>50</v>
      </c>
      <c r="U990" s="10">
        <f t="shared" si="30"/>
        <v>47.5</v>
      </c>
      <c r="V990" s="11"/>
      <c r="W990" s="8">
        <v>-5.6012931802868565E-2</v>
      </c>
      <c r="X990" s="8">
        <v>-0.11793466327190373</v>
      </c>
      <c r="Y990" s="8">
        <f t="shared" si="31"/>
        <v>0.3301687911510448</v>
      </c>
    </row>
    <row r="991" spans="1:26" s="6" customFormat="1" x14ac:dyDescent="0.35">
      <c r="A991" s="6" t="s">
        <v>25</v>
      </c>
      <c r="B991" s="7" t="s">
        <v>2243</v>
      </c>
      <c r="D991" s="6" t="s">
        <v>2244</v>
      </c>
      <c r="E991" s="6">
        <v>4</v>
      </c>
      <c r="F991" s="6">
        <v>49</v>
      </c>
      <c r="G991" s="6" t="s">
        <v>335</v>
      </c>
      <c r="I991" s="8">
        <v>79.191449375000005</v>
      </c>
      <c r="J991" s="8">
        <v>-2.6081078472222199</v>
      </c>
      <c r="K991" s="6" t="s">
        <v>29</v>
      </c>
      <c r="L991" s="6" t="s">
        <v>335</v>
      </c>
      <c r="M991" s="9">
        <v>44041</v>
      </c>
      <c r="O991" s="6">
        <v>44</v>
      </c>
      <c r="P991" s="6" t="s">
        <v>4421</v>
      </c>
      <c r="R991" s="10" t="s">
        <v>2104</v>
      </c>
      <c r="S991" s="10">
        <v>50</v>
      </c>
      <c r="T991" s="10">
        <v>55</v>
      </c>
      <c r="U991" s="10">
        <f t="shared" si="30"/>
        <v>52.5</v>
      </c>
      <c r="V991" s="11"/>
      <c r="W991" s="8">
        <v>-0.1792919951856134</v>
      </c>
      <c r="X991" s="8">
        <v>-2.1441615724563596</v>
      </c>
      <c r="Y991" s="8">
        <f t="shared" si="31"/>
        <v>-0.70982561097145247</v>
      </c>
    </row>
    <row r="992" spans="1:26" s="6" customFormat="1" x14ac:dyDescent="0.35">
      <c r="A992" s="6" t="s">
        <v>25</v>
      </c>
      <c r="B992" s="6" t="s">
        <v>2268</v>
      </c>
      <c r="D992" s="6" t="s">
        <v>2269</v>
      </c>
      <c r="E992" s="6">
        <v>4</v>
      </c>
      <c r="F992" s="6">
        <v>49</v>
      </c>
      <c r="I992" s="8">
        <v>79.191449375000005</v>
      </c>
      <c r="J992" s="8">
        <v>-2.6081078472222199</v>
      </c>
      <c r="K992" s="6" t="s">
        <v>29</v>
      </c>
      <c r="L992" s="29" t="s">
        <v>335</v>
      </c>
      <c r="M992" s="9">
        <v>44041</v>
      </c>
      <c r="O992" s="6">
        <v>44</v>
      </c>
      <c r="P992" s="6" t="s">
        <v>4421</v>
      </c>
      <c r="S992" s="6">
        <v>50</v>
      </c>
      <c r="T992" s="6">
        <v>60</v>
      </c>
      <c r="U992" s="10">
        <f t="shared" si="30"/>
        <v>55</v>
      </c>
      <c r="V992" s="15">
        <v>1.5</v>
      </c>
      <c r="W992" s="8">
        <v>-0.43599791669845545</v>
      </c>
      <c r="X992" s="8">
        <v>-3.6214328302383429</v>
      </c>
      <c r="Y992" s="8">
        <f t="shared" si="31"/>
        <v>-0.13344949665069938</v>
      </c>
      <c r="Z992" s="6" t="s">
        <v>1760</v>
      </c>
    </row>
    <row r="993" spans="1:26" s="6" customFormat="1" x14ac:dyDescent="0.35">
      <c r="A993" s="6" t="s">
        <v>25</v>
      </c>
      <c r="B993" s="7" t="s">
        <v>2255</v>
      </c>
      <c r="D993" s="6" t="s">
        <v>2256</v>
      </c>
      <c r="E993" s="6">
        <v>4</v>
      </c>
      <c r="F993" s="6">
        <v>49</v>
      </c>
      <c r="G993" s="6" t="s">
        <v>335</v>
      </c>
      <c r="I993" s="8">
        <v>79.191449375000005</v>
      </c>
      <c r="J993" s="8">
        <v>-2.6081078472222199</v>
      </c>
      <c r="K993" s="6" t="s">
        <v>29</v>
      </c>
      <c r="L993" s="6" t="s">
        <v>335</v>
      </c>
      <c r="M993" s="9">
        <v>44041</v>
      </c>
      <c r="O993" s="6">
        <v>44</v>
      </c>
      <c r="P993" s="6" t="s">
        <v>4421</v>
      </c>
      <c r="R993" s="10" t="s">
        <v>2257</v>
      </c>
      <c r="S993" s="10">
        <v>60</v>
      </c>
      <c r="T993" s="10">
        <v>67</v>
      </c>
      <c r="U993" s="10">
        <f t="shared" si="30"/>
        <v>63.5</v>
      </c>
      <c r="V993" s="11"/>
      <c r="W993" s="8">
        <v>-0.17984158395230793</v>
      </c>
      <c r="X993" s="8">
        <v>-0.36454409080743833</v>
      </c>
      <c r="Y993" s="8">
        <f t="shared" si="31"/>
        <v>1.074188580811025</v>
      </c>
    </row>
    <row r="994" spans="1:26" s="6" customFormat="1" x14ac:dyDescent="0.35">
      <c r="A994" s="6" t="s">
        <v>25</v>
      </c>
      <c r="B994" s="6" t="s">
        <v>2270</v>
      </c>
      <c r="D994" s="6" t="s">
        <v>2271</v>
      </c>
      <c r="E994" s="6">
        <v>4</v>
      </c>
      <c r="F994" s="6">
        <v>49</v>
      </c>
      <c r="I994" s="8">
        <v>79.191449375000005</v>
      </c>
      <c r="J994" s="8">
        <v>-2.6081078472222199</v>
      </c>
      <c r="K994" s="6" t="s">
        <v>29</v>
      </c>
      <c r="L994" s="29" t="s">
        <v>335</v>
      </c>
      <c r="M994" s="9">
        <v>44041</v>
      </c>
      <c r="O994" s="6">
        <v>44</v>
      </c>
      <c r="P994" s="6" t="s">
        <v>4421</v>
      </c>
      <c r="S994" s="6">
        <v>60</v>
      </c>
      <c r="T994" s="6">
        <v>69</v>
      </c>
      <c r="U994" s="10">
        <f t="shared" si="30"/>
        <v>64.5</v>
      </c>
      <c r="V994" s="15">
        <v>1.1000000000000001</v>
      </c>
      <c r="W994" s="8">
        <v>-0.66008268594741859</v>
      </c>
      <c r="X994" s="8">
        <v>-5.3064681152343747</v>
      </c>
      <c r="Y994" s="8">
        <f t="shared" si="31"/>
        <v>-2.5806627655025949E-2</v>
      </c>
      <c r="Z994" s="6" t="s">
        <v>1760</v>
      </c>
    </row>
    <row r="995" spans="1:26" s="6" customFormat="1" x14ac:dyDescent="0.35">
      <c r="A995" s="6" t="s">
        <v>25</v>
      </c>
      <c r="B995" s="6" t="s">
        <v>2272</v>
      </c>
      <c r="D995" s="6" t="s">
        <v>2273</v>
      </c>
      <c r="E995" s="6">
        <v>4</v>
      </c>
      <c r="F995" s="6">
        <v>49</v>
      </c>
      <c r="I995" s="8">
        <v>79.191449375000005</v>
      </c>
      <c r="J995" s="8">
        <v>-2.6081078472222199</v>
      </c>
      <c r="K995" s="6" t="s">
        <v>29</v>
      </c>
      <c r="L995" s="29" t="s">
        <v>335</v>
      </c>
      <c r="M995" s="9">
        <v>44041</v>
      </c>
      <c r="O995" s="6">
        <v>44</v>
      </c>
      <c r="P995" s="6" t="s">
        <v>4421</v>
      </c>
      <c r="S995" s="6">
        <v>69</v>
      </c>
      <c r="T995" s="6">
        <v>78</v>
      </c>
      <c r="U995" s="10">
        <f t="shared" si="30"/>
        <v>73.5</v>
      </c>
      <c r="V995" s="15">
        <v>1.1000000000000001</v>
      </c>
      <c r="W995" s="8">
        <v>-0.28502922391891505</v>
      </c>
      <c r="X995" s="8">
        <v>-2.1970170015335087</v>
      </c>
      <c r="Y995" s="8">
        <f t="shared" si="31"/>
        <v>8.3216789817811776E-2</v>
      </c>
      <c r="Z995" s="6" t="s">
        <v>1760</v>
      </c>
    </row>
    <row r="996" spans="1:26" s="6" customFormat="1" x14ac:dyDescent="0.35">
      <c r="A996" s="6" t="s">
        <v>25</v>
      </c>
      <c r="B996" s="7" t="s">
        <v>2241</v>
      </c>
      <c r="D996" s="6" t="s">
        <v>2242</v>
      </c>
      <c r="E996" s="6">
        <v>4</v>
      </c>
      <c r="F996" s="6">
        <v>49</v>
      </c>
      <c r="G996" s="6" t="s">
        <v>335</v>
      </c>
      <c r="I996" s="8">
        <v>79.191449375000005</v>
      </c>
      <c r="J996" s="8">
        <v>-2.6081078472222199</v>
      </c>
      <c r="K996" s="6" t="s">
        <v>29</v>
      </c>
      <c r="L996" s="6" t="s">
        <v>335</v>
      </c>
      <c r="M996" s="9">
        <v>44041</v>
      </c>
      <c r="O996" s="6">
        <v>44</v>
      </c>
      <c r="P996" s="6" t="s">
        <v>4421</v>
      </c>
      <c r="R996" s="10" t="s">
        <v>1799</v>
      </c>
      <c r="S996" s="10">
        <v>74</v>
      </c>
      <c r="T996" s="10">
        <v>79</v>
      </c>
      <c r="U996" s="10">
        <f t="shared" si="30"/>
        <v>76.5</v>
      </c>
      <c r="V996" s="11"/>
      <c r="W996" s="8">
        <v>-0.71199279289245565</v>
      </c>
      <c r="X996" s="8">
        <v>-5.4451549839973454</v>
      </c>
      <c r="Y996" s="8">
        <f t="shared" si="31"/>
        <v>0.25078735914229977</v>
      </c>
    </row>
    <row r="997" spans="1:26" s="6" customFormat="1" x14ac:dyDescent="0.35">
      <c r="A997" s="6" t="s">
        <v>25</v>
      </c>
      <c r="B997" s="7" t="s">
        <v>2251</v>
      </c>
      <c r="D997" s="6" t="s">
        <v>2252</v>
      </c>
      <c r="E997" s="6">
        <v>4</v>
      </c>
      <c r="F997" s="6">
        <v>49</v>
      </c>
      <c r="G997" s="6" t="s">
        <v>335</v>
      </c>
      <c r="I997" s="8">
        <v>79.191449375000005</v>
      </c>
      <c r="J997" s="8">
        <v>-2.6081078472222199</v>
      </c>
      <c r="K997" s="6" t="s">
        <v>29</v>
      </c>
      <c r="L997" s="6" t="s">
        <v>335</v>
      </c>
      <c r="M997" s="9">
        <v>44041</v>
      </c>
      <c r="O997" s="6">
        <v>44</v>
      </c>
      <c r="P997" s="6" t="s">
        <v>4421</v>
      </c>
      <c r="R997" s="10" t="s">
        <v>1793</v>
      </c>
      <c r="S997" s="10">
        <v>79</v>
      </c>
      <c r="T997" s="10">
        <v>84</v>
      </c>
      <c r="U997" s="10">
        <f t="shared" si="30"/>
        <v>81.5</v>
      </c>
      <c r="V997" s="11"/>
      <c r="W997" s="8">
        <v>-1.2814317105293278</v>
      </c>
      <c r="X997" s="8">
        <v>-9.8561495943069453</v>
      </c>
      <c r="Y997" s="8">
        <f t="shared" si="31"/>
        <v>0.39530408992767718</v>
      </c>
    </row>
    <row r="998" spans="1:26" s="6" customFormat="1" x14ac:dyDescent="0.35">
      <c r="A998" s="6" t="s">
        <v>25</v>
      </c>
      <c r="B998" s="6" t="s">
        <v>2274</v>
      </c>
      <c r="D998" s="6" t="s">
        <v>2275</v>
      </c>
      <c r="E998" s="6">
        <v>4</v>
      </c>
      <c r="F998" s="6">
        <v>49</v>
      </c>
      <c r="I998" s="8">
        <v>79.191449375000005</v>
      </c>
      <c r="J998" s="8">
        <v>-2.6081078472222199</v>
      </c>
      <c r="K998" s="6" t="s">
        <v>29</v>
      </c>
      <c r="L998" s="29" t="s">
        <v>335</v>
      </c>
      <c r="M998" s="9">
        <v>44041</v>
      </c>
      <c r="O998" s="6">
        <v>44</v>
      </c>
      <c r="P998" s="6" t="s">
        <v>4421</v>
      </c>
      <c r="S998" s="6">
        <v>78</v>
      </c>
      <c r="T998" s="6">
        <v>87</v>
      </c>
      <c r="U998" s="10">
        <f t="shared" si="30"/>
        <v>82.5</v>
      </c>
      <c r="V998" s="15">
        <v>0.9</v>
      </c>
      <c r="W998" s="8">
        <v>-0.40169670850038536</v>
      </c>
      <c r="X998" s="8">
        <v>-3.2490490831375127</v>
      </c>
      <c r="Y998" s="8">
        <f t="shared" si="31"/>
        <v>-3.5475415134429866E-2</v>
      </c>
      <c r="Z998" s="6" t="s">
        <v>1760</v>
      </c>
    </row>
    <row r="999" spans="1:26" s="6" customFormat="1" x14ac:dyDescent="0.35">
      <c r="A999" s="6" t="s">
        <v>25</v>
      </c>
      <c r="B999" s="7" t="s">
        <v>2253</v>
      </c>
      <c r="D999" s="6" t="s">
        <v>2254</v>
      </c>
      <c r="E999" s="6">
        <v>4</v>
      </c>
      <c r="F999" s="6">
        <v>49</v>
      </c>
      <c r="G999" s="6" t="s">
        <v>335</v>
      </c>
      <c r="I999" s="8">
        <v>79.191449375000005</v>
      </c>
      <c r="J999" s="8">
        <v>-2.6081078472222199</v>
      </c>
      <c r="K999" s="6" t="s">
        <v>29</v>
      </c>
      <c r="L999" s="6" t="s">
        <v>335</v>
      </c>
      <c r="M999" s="9">
        <v>44041</v>
      </c>
      <c r="O999" s="6">
        <v>44</v>
      </c>
      <c r="P999" s="6" t="s">
        <v>4421</v>
      </c>
      <c r="R999" s="10" t="s">
        <v>1842</v>
      </c>
      <c r="S999" s="10">
        <v>84</v>
      </c>
      <c r="T999" s="10">
        <v>89</v>
      </c>
      <c r="U999" s="10">
        <f t="shared" si="30"/>
        <v>86.5</v>
      </c>
      <c r="V999" s="11"/>
      <c r="W999" s="8">
        <v>-1.6144086030721667</v>
      </c>
      <c r="X999" s="8">
        <v>-11.854724161148072</v>
      </c>
      <c r="Y999" s="8">
        <f t="shared" si="31"/>
        <v>1.0605446634292619</v>
      </c>
    </row>
    <row r="1000" spans="1:26" s="6" customFormat="1" x14ac:dyDescent="0.35">
      <c r="A1000" s="6" t="s">
        <v>25</v>
      </c>
      <c r="B1000" s="7" t="s">
        <v>2247</v>
      </c>
      <c r="D1000" s="6" t="s">
        <v>2248</v>
      </c>
      <c r="E1000" s="6">
        <v>4</v>
      </c>
      <c r="F1000" s="6">
        <v>49</v>
      </c>
      <c r="G1000" s="6" t="s">
        <v>335</v>
      </c>
      <c r="I1000" s="8">
        <v>79.191449375000005</v>
      </c>
      <c r="J1000" s="8">
        <v>-2.6081078472222199</v>
      </c>
      <c r="K1000" s="6" t="s">
        <v>29</v>
      </c>
      <c r="L1000" s="6" t="s">
        <v>335</v>
      </c>
      <c r="M1000" s="9">
        <v>44041</v>
      </c>
      <c r="O1000" s="6">
        <v>44</v>
      </c>
      <c r="P1000" s="6" t="s">
        <v>4421</v>
      </c>
      <c r="R1000" s="10" t="s">
        <v>1848</v>
      </c>
      <c r="S1000" s="10">
        <v>89</v>
      </c>
      <c r="T1000" s="10">
        <v>94</v>
      </c>
      <c r="U1000" s="10">
        <f t="shared" si="30"/>
        <v>91.5</v>
      </c>
      <c r="V1000" s="11"/>
      <c r="W1000" s="8">
        <v>-2.8091133163452149</v>
      </c>
      <c r="X1000" s="8">
        <v>-21.369841943740845</v>
      </c>
      <c r="Y1000" s="8">
        <f t="shared" si="31"/>
        <v>1.1030645870208744</v>
      </c>
    </row>
    <row r="1001" spans="1:26" s="6" customFormat="1" x14ac:dyDescent="0.35">
      <c r="A1001" s="6" t="s">
        <v>25</v>
      </c>
      <c r="B1001" s="6" t="s">
        <v>2276</v>
      </c>
      <c r="D1001" s="6" t="s">
        <v>2277</v>
      </c>
      <c r="E1001" s="6">
        <v>4</v>
      </c>
      <c r="F1001" s="6">
        <v>49</v>
      </c>
      <c r="I1001" s="8">
        <v>79.191449375000005</v>
      </c>
      <c r="J1001" s="8">
        <v>-2.6081078472222199</v>
      </c>
      <c r="K1001" s="6" t="s">
        <v>29</v>
      </c>
      <c r="L1001" s="29" t="s">
        <v>335</v>
      </c>
      <c r="M1001" s="9">
        <v>44041</v>
      </c>
      <c r="O1001" s="6">
        <v>44</v>
      </c>
      <c r="P1001" s="6" t="s">
        <v>4421</v>
      </c>
      <c r="S1001" s="6">
        <v>87</v>
      </c>
      <c r="T1001" s="6">
        <v>96</v>
      </c>
      <c r="U1001" s="10">
        <f t="shared" si="30"/>
        <v>91.5</v>
      </c>
      <c r="V1001" s="15">
        <v>0.5</v>
      </c>
      <c r="W1001" s="8">
        <v>-1.0703042607307431</v>
      </c>
      <c r="X1001" s="8">
        <v>-8.2111578029632568</v>
      </c>
      <c r="Y1001" s="8">
        <f t="shared" si="31"/>
        <v>0.35127628288268831</v>
      </c>
      <c r="Z1001" s="6" t="s">
        <v>1760</v>
      </c>
    </row>
    <row r="1002" spans="1:26" s="6" customFormat="1" x14ac:dyDescent="0.35">
      <c r="A1002" s="6" t="s">
        <v>25</v>
      </c>
      <c r="B1002" s="7" t="s">
        <v>2233</v>
      </c>
      <c r="D1002" s="6" t="s">
        <v>2234</v>
      </c>
      <c r="E1002" s="6">
        <v>4</v>
      </c>
      <c r="F1002" s="6">
        <v>49</v>
      </c>
      <c r="G1002" s="6" t="s">
        <v>335</v>
      </c>
      <c r="I1002" s="8">
        <v>79.191449375000005</v>
      </c>
      <c r="J1002" s="8">
        <v>-2.6081078472222199</v>
      </c>
      <c r="K1002" s="6" t="s">
        <v>29</v>
      </c>
      <c r="L1002" s="6" t="s">
        <v>335</v>
      </c>
      <c r="M1002" s="9">
        <v>44041</v>
      </c>
      <c r="O1002" s="6">
        <v>44</v>
      </c>
      <c r="P1002" s="6" t="s">
        <v>4421</v>
      </c>
      <c r="R1002" s="10" t="s">
        <v>1836</v>
      </c>
      <c r="S1002" s="10">
        <v>94</v>
      </c>
      <c r="T1002" s="10">
        <v>99</v>
      </c>
      <c r="U1002" s="10">
        <f t="shared" si="30"/>
        <v>96.5</v>
      </c>
      <c r="V1002" s="11"/>
      <c r="W1002" s="8">
        <v>-2.9076287750244139</v>
      </c>
      <c r="X1002" s="8">
        <v>-21.899343069076536</v>
      </c>
      <c r="Y1002" s="8">
        <f t="shared" si="31"/>
        <v>1.3616871311187744</v>
      </c>
    </row>
    <row r="1003" spans="1:26" s="6" customFormat="1" x14ac:dyDescent="0.35">
      <c r="A1003" s="6" t="s">
        <v>25</v>
      </c>
      <c r="B1003" s="7" t="s">
        <v>2249</v>
      </c>
      <c r="D1003" s="6" t="s">
        <v>2250</v>
      </c>
      <c r="E1003" s="6">
        <v>4</v>
      </c>
      <c r="F1003" s="6">
        <v>49</v>
      </c>
      <c r="G1003" s="6" t="s">
        <v>335</v>
      </c>
      <c r="I1003" s="8">
        <v>79.191449375000005</v>
      </c>
      <c r="J1003" s="8">
        <v>-2.6081078472222199</v>
      </c>
      <c r="K1003" s="6" t="s">
        <v>29</v>
      </c>
      <c r="L1003" s="6" t="s">
        <v>335</v>
      </c>
      <c r="M1003" s="9">
        <v>44041</v>
      </c>
      <c r="O1003" s="6">
        <v>44</v>
      </c>
      <c r="P1003" s="6" t="s">
        <v>4421</v>
      </c>
      <c r="R1003" s="10" t="s">
        <v>1877</v>
      </c>
      <c r="S1003" s="10">
        <v>99</v>
      </c>
      <c r="T1003" s="10">
        <v>104</v>
      </c>
      <c r="U1003" s="10">
        <f t="shared" si="30"/>
        <v>101.5</v>
      </c>
      <c r="V1003" s="11"/>
      <c r="W1003" s="8">
        <v>-4.6520868652343745</v>
      </c>
      <c r="X1003" s="8">
        <v>-35.92225552749634</v>
      </c>
      <c r="Y1003" s="8">
        <f t="shared" si="31"/>
        <v>1.2944393943786565</v>
      </c>
    </row>
    <row r="1004" spans="1:26" s="6" customFormat="1" x14ac:dyDescent="0.35">
      <c r="A1004" s="6" t="s">
        <v>25</v>
      </c>
      <c r="B1004" s="6" t="s">
        <v>2278</v>
      </c>
      <c r="D1004" s="6" t="s">
        <v>2279</v>
      </c>
      <c r="E1004" s="6">
        <v>4</v>
      </c>
      <c r="F1004" s="6">
        <v>49</v>
      </c>
      <c r="I1004" s="8">
        <v>79.191449375000005</v>
      </c>
      <c r="J1004" s="8">
        <v>-2.6081078472222199</v>
      </c>
      <c r="K1004" s="6" t="s">
        <v>29</v>
      </c>
      <c r="L1004" s="29" t="s">
        <v>335</v>
      </c>
      <c r="M1004" s="9">
        <v>44041</v>
      </c>
      <c r="O1004" s="6">
        <v>44</v>
      </c>
      <c r="P1004" s="6" t="s">
        <v>4421</v>
      </c>
      <c r="S1004" s="6">
        <v>96</v>
      </c>
      <c r="T1004" s="6">
        <v>111</v>
      </c>
      <c r="U1004" s="10">
        <f t="shared" si="30"/>
        <v>103.5</v>
      </c>
      <c r="V1004" s="15">
        <v>1</v>
      </c>
      <c r="W1004" s="8">
        <v>-4.1412991571426403</v>
      </c>
      <c r="X1004" s="8">
        <v>-32.343875044250488</v>
      </c>
      <c r="Y1004" s="8">
        <f t="shared" si="31"/>
        <v>0.78651821289063406</v>
      </c>
      <c r="Z1004" s="6" t="s">
        <v>1760</v>
      </c>
    </row>
    <row r="1005" spans="1:26" s="6" customFormat="1" x14ac:dyDescent="0.35">
      <c r="A1005" s="6" t="s">
        <v>25</v>
      </c>
      <c r="B1005" s="7" t="s">
        <v>2223</v>
      </c>
      <c r="D1005" s="6" t="s">
        <v>2224</v>
      </c>
      <c r="E1005" s="6">
        <v>4</v>
      </c>
      <c r="F1005" s="6">
        <v>49</v>
      </c>
      <c r="G1005" s="6" t="s">
        <v>335</v>
      </c>
      <c r="I1005" s="8">
        <v>79.191449375000005</v>
      </c>
      <c r="J1005" s="8">
        <v>-2.6081078472222199</v>
      </c>
      <c r="K1005" s="6" t="s">
        <v>29</v>
      </c>
      <c r="L1005" s="6" t="s">
        <v>335</v>
      </c>
      <c r="M1005" s="9">
        <v>44041</v>
      </c>
      <c r="O1005" s="6">
        <v>44</v>
      </c>
      <c r="P1005" s="6" t="s">
        <v>4421</v>
      </c>
      <c r="R1005" s="10" t="s">
        <v>2039</v>
      </c>
      <c r="S1005" s="10">
        <v>104</v>
      </c>
      <c r="T1005" s="10">
        <v>109</v>
      </c>
      <c r="U1005" s="10">
        <f t="shared" si="30"/>
        <v>106.5</v>
      </c>
      <c r="V1005" s="11"/>
      <c r="W1005" s="8">
        <v>-4.6891976872126273</v>
      </c>
      <c r="X1005" s="8">
        <v>-35.025410625457766</v>
      </c>
      <c r="Y1005" s="8">
        <f t="shared" si="31"/>
        <v>2.4881708722432521</v>
      </c>
    </row>
    <row r="1006" spans="1:26" s="6" customFormat="1" x14ac:dyDescent="0.35">
      <c r="A1006" s="6" t="s">
        <v>25</v>
      </c>
      <c r="B1006" s="6" t="s">
        <v>2309</v>
      </c>
      <c r="D1006" s="6" t="s">
        <v>2310</v>
      </c>
      <c r="E1006" s="6">
        <v>5</v>
      </c>
      <c r="F1006" s="6">
        <v>59</v>
      </c>
      <c r="I1006" s="8">
        <v>88.299658402777794</v>
      </c>
      <c r="J1006" s="8">
        <v>114.11509069444401</v>
      </c>
      <c r="K1006" s="6" t="s">
        <v>29</v>
      </c>
      <c r="L1006" s="29" t="s">
        <v>335</v>
      </c>
      <c r="M1006" s="9">
        <v>44074</v>
      </c>
      <c r="O1006" s="6">
        <v>50</v>
      </c>
      <c r="P1006" s="6" t="s">
        <v>4396</v>
      </c>
      <c r="S1006" s="6">
        <v>0</v>
      </c>
      <c r="T1006" s="6">
        <v>10</v>
      </c>
      <c r="U1006" s="10">
        <f t="shared" si="30"/>
        <v>5</v>
      </c>
      <c r="V1006" s="15">
        <v>2.6</v>
      </c>
      <c r="W1006" s="8">
        <v>0.68363178920745815</v>
      </c>
      <c r="X1006" s="8">
        <v>5.387434023475647</v>
      </c>
      <c r="Y1006" s="8">
        <f t="shared" si="31"/>
        <v>-8.1620290184018174E-2</v>
      </c>
      <c r="Z1006" s="6" t="s">
        <v>1760</v>
      </c>
    </row>
    <row r="1007" spans="1:26" s="6" customFormat="1" x14ac:dyDescent="0.35">
      <c r="A1007" s="6" t="s">
        <v>25</v>
      </c>
      <c r="B1007" s="6" t="s">
        <v>2311</v>
      </c>
      <c r="D1007" s="6" t="s">
        <v>2312</v>
      </c>
      <c r="E1007" s="6">
        <v>5</v>
      </c>
      <c r="F1007" s="6">
        <v>59</v>
      </c>
      <c r="I1007" s="8">
        <v>88.299658402777794</v>
      </c>
      <c r="J1007" s="8">
        <v>114.11509069444401</v>
      </c>
      <c r="K1007" s="6" t="s">
        <v>29</v>
      </c>
      <c r="L1007" s="29" t="s">
        <v>335</v>
      </c>
      <c r="M1007" s="9">
        <v>44074</v>
      </c>
      <c r="O1007" s="6">
        <v>50</v>
      </c>
      <c r="P1007" s="6" t="s">
        <v>4396</v>
      </c>
      <c r="S1007" s="6">
        <v>10</v>
      </c>
      <c r="T1007" s="6">
        <v>20</v>
      </c>
      <c r="U1007" s="10">
        <f t="shared" si="30"/>
        <v>15</v>
      </c>
      <c r="V1007" s="15">
        <v>2.6</v>
      </c>
      <c r="W1007" s="8">
        <v>0.71434338593483027</v>
      </c>
      <c r="X1007" s="8">
        <v>5.8991903224945066</v>
      </c>
      <c r="Y1007" s="8">
        <f t="shared" si="31"/>
        <v>0.18444323501586446</v>
      </c>
      <c r="Z1007" s="6" t="s">
        <v>1760</v>
      </c>
    </row>
    <row r="1008" spans="1:26" s="6" customFormat="1" x14ac:dyDescent="0.35">
      <c r="A1008" s="6" t="s">
        <v>25</v>
      </c>
      <c r="B1008" s="6" t="s">
        <v>2313</v>
      </c>
      <c r="D1008" s="6" t="s">
        <v>2314</v>
      </c>
      <c r="E1008" s="6">
        <v>5</v>
      </c>
      <c r="F1008" s="6">
        <v>59</v>
      </c>
      <c r="I1008" s="8">
        <v>88.299658402777794</v>
      </c>
      <c r="J1008" s="8">
        <v>114.11509069444401</v>
      </c>
      <c r="K1008" s="6" t="s">
        <v>29</v>
      </c>
      <c r="L1008" s="29" t="s">
        <v>335</v>
      </c>
      <c r="M1008" s="9">
        <v>44074</v>
      </c>
      <c r="O1008" s="6">
        <v>50</v>
      </c>
      <c r="P1008" s="6" t="s">
        <v>4396</v>
      </c>
      <c r="S1008" s="6">
        <v>20</v>
      </c>
      <c r="T1008" s="6">
        <v>30</v>
      </c>
      <c r="U1008" s="10">
        <f t="shared" si="30"/>
        <v>25</v>
      </c>
      <c r="V1008" s="15">
        <v>2.7</v>
      </c>
      <c r="W1008" s="8">
        <v>0.75408320224285108</v>
      </c>
      <c r="X1008" s="8">
        <v>5.6370424848556517</v>
      </c>
      <c r="Y1008" s="8">
        <f t="shared" si="31"/>
        <v>-0.39562313308715691</v>
      </c>
      <c r="Z1008" s="6" t="s">
        <v>1760</v>
      </c>
    </row>
    <row r="1009" spans="1:26" s="6" customFormat="1" x14ac:dyDescent="0.35">
      <c r="A1009" s="6" t="s">
        <v>25</v>
      </c>
      <c r="B1009" s="6" t="s">
        <v>2315</v>
      </c>
      <c r="D1009" s="6" t="s">
        <v>2316</v>
      </c>
      <c r="E1009" s="6">
        <v>5</v>
      </c>
      <c r="F1009" s="6">
        <v>59</v>
      </c>
      <c r="I1009" s="8">
        <v>88.299658402777794</v>
      </c>
      <c r="J1009" s="8">
        <v>114.11509069444401</v>
      </c>
      <c r="K1009" s="6" t="s">
        <v>29</v>
      </c>
      <c r="L1009" s="29" t="s">
        <v>335</v>
      </c>
      <c r="M1009" s="9">
        <v>44074</v>
      </c>
      <c r="O1009" s="6">
        <v>50</v>
      </c>
      <c r="P1009" s="6" t="s">
        <v>4396</v>
      </c>
      <c r="S1009" s="6">
        <v>30</v>
      </c>
      <c r="T1009" s="6">
        <v>40</v>
      </c>
      <c r="U1009" s="10">
        <f t="shared" si="30"/>
        <v>35</v>
      </c>
      <c r="V1009" s="15">
        <v>2.8</v>
      </c>
      <c r="W1009" s="8">
        <v>0.58474015033245075</v>
      </c>
      <c r="X1009" s="8">
        <v>4.0074859443664552</v>
      </c>
      <c r="Y1009" s="8">
        <f t="shared" si="31"/>
        <v>-0.67043525829315076</v>
      </c>
      <c r="Z1009" s="6" t="s">
        <v>1760</v>
      </c>
    </row>
    <row r="1010" spans="1:26" s="6" customFormat="1" x14ac:dyDescent="0.35">
      <c r="A1010" s="6" t="s">
        <v>25</v>
      </c>
      <c r="B1010" s="6" t="s">
        <v>2317</v>
      </c>
      <c r="D1010" s="6" t="s">
        <v>2318</v>
      </c>
      <c r="E1010" s="6">
        <v>5</v>
      </c>
      <c r="F1010" s="6">
        <v>59</v>
      </c>
      <c r="I1010" s="8">
        <v>88.299658402777794</v>
      </c>
      <c r="J1010" s="8">
        <v>114.11509069444401</v>
      </c>
      <c r="K1010" s="6" t="s">
        <v>29</v>
      </c>
      <c r="L1010" s="29" t="s">
        <v>335</v>
      </c>
      <c r="M1010" s="9">
        <v>44074</v>
      </c>
      <c r="O1010" s="6">
        <v>50</v>
      </c>
      <c r="P1010" s="6" t="s">
        <v>4396</v>
      </c>
      <c r="S1010" s="6">
        <v>40</v>
      </c>
      <c r="T1010" s="6">
        <v>50</v>
      </c>
      <c r="U1010" s="10">
        <f t="shared" si="30"/>
        <v>45</v>
      </c>
      <c r="V1010" s="15">
        <v>2.9</v>
      </c>
      <c r="W1010" s="8">
        <v>0.65801348729133657</v>
      </c>
      <c r="X1010" s="8">
        <v>5.3724083776473996</v>
      </c>
      <c r="Y1010" s="8">
        <f t="shared" si="31"/>
        <v>0.10830047931670705</v>
      </c>
      <c r="Z1010" s="6" t="s">
        <v>1760</v>
      </c>
    </row>
    <row r="1011" spans="1:26" s="6" customFormat="1" x14ac:dyDescent="0.35">
      <c r="A1011" s="6" t="s">
        <v>25</v>
      </c>
      <c r="B1011" s="6" t="s">
        <v>2319</v>
      </c>
      <c r="D1011" s="6" t="s">
        <v>2320</v>
      </c>
      <c r="E1011" s="6">
        <v>5</v>
      </c>
      <c r="F1011" s="6">
        <v>59</v>
      </c>
      <c r="I1011" s="8">
        <v>88.299658402777794</v>
      </c>
      <c r="J1011" s="8">
        <v>114.11509069444401</v>
      </c>
      <c r="K1011" s="6" t="s">
        <v>29</v>
      </c>
      <c r="L1011" s="29" t="s">
        <v>335</v>
      </c>
      <c r="M1011" s="9">
        <v>44074</v>
      </c>
      <c r="O1011" s="6">
        <v>50</v>
      </c>
      <c r="P1011" s="6" t="s">
        <v>4396</v>
      </c>
      <c r="S1011" s="6">
        <v>50</v>
      </c>
      <c r="T1011" s="6">
        <v>60</v>
      </c>
      <c r="U1011" s="10">
        <f t="shared" si="30"/>
        <v>55</v>
      </c>
      <c r="V1011" s="15">
        <v>2.2000000000000002</v>
      </c>
      <c r="W1011" s="8">
        <v>0.80240600223541259</v>
      </c>
      <c r="X1011" s="8">
        <v>7.065324937820435</v>
      </c>
      <c r="Y1011" s="8">
        <f t="shared" si="31"/>
        <v>0.64607691993713434</v>
      </c>
      <c r="Z1011" s="6" t="s">
        <v>1760</v>
      </c>
    </row>
    <row r="1012" spans="1:26" s="6" customFormat="1" x14ac:dyDescent="0.35">
      <c r="A1012" s="6" t="s">
        <v>25</v>
      </c>
      <c r="B1012" s="6" t="s">
        <v>2321</v>
      </c>
      <c r="D1012" s="6" t="s">
        <v>2322</v>
      </c>
      <c r="E1012" s="6">
        <v>5</v>
      </c>
      <c r="F1012" s="6">
        <v>59</v>
      </c>
      <c r="I1012" s="8">
        <v>88.299658402777794</v>
      </c>
      <c r="J1012" s="8">
        <v>114.11509069444401</v>
      </c>
      <c r="K1012" s="6" t="s">
        <v>29</v>
      </c>
      <c r="L1012" s="29" t="s">
        <v>335</v>
      </c>
      <c r="M1012" s="9">
        <v>44074</v>
      </c>
      <c r="O1012" s="6">
        <v>50</v>
      </c>
      <c r="P1012" s="6" t="s">
        <v>4396</v>
      </c>
      <c r="S1012" s="6">
        <v>60</v>
      </c>
      <c r="T1012" s="6">
        <v>70</v>
      </c>
      <c r="U1012" s="10">
        <f t="shared" si="30"/>
        <v>65</v>
      </c>
      <c r="V1012" s="15">
        <v>1.5</v>
      </c>
      <c r="W1012" s="8">
        <v>0.68166448326110829</v>
      </c>
      <c r="X1012" s="8">
        <v>5.9603549451828011</v>
      </c>
      <c r="Y1012" s="8">
        <f t="shared" si="31"/>
        <v>0.50703907909393475</v>
      </c>
      <c r="Z1012" s="6" t="s">
        <v>1760</v>
      </c>
    </row>
    <row r="1013" spans="1:26" s="6" customFormat="1" x14ac:dyDescent="0.35">
      <c r="A1013" s="6" t="s">
        <v>25</v>
      </c>
      <c r="B1013" s="6" t="s">
        <v>2323</v>
      </c>
      <c r="D1013" s="6" t="s">
        <v>2324</v>
      </c>
      <c r="E1013" s="6">
        <v>5</v>
      </c>
      <c r="F1013" s="6">
        <v>59</v>
      </c>
      <c r="I1013" s="8">
        <v>88.299658402777794</v>
      </c>
      <c r="J1013" s="8">
        <v>114.11509069444401</v>
      </c>
      <c r="K1013" s="6" t="s">
        <v>29</v>
      </c>
      <c r="L1013" s="29" t="s">
        <v>335</v>
      </c>
      <c r="M1013" s="9">
        <v>44074</v>
      </c>
      <c r="O1013" s="6">
        <v>50</v>
      </c>
      <c r="P1013" s="6" t="s">
        <v>4396</v>
      </c>
      <c r="S1013" s="6">
        <v>70</v>
      </c>
      <c r="T1013" s="6">
        <v>80</v>
      </c>
      <c r="U1013" s="10">
        <f t="shared" si="30"/>
        <v>75</v>
      </c>
      <c r="V1013" s="15">
        <v>2</v>
      </c>
      <c r="W1013" s="8">
        <v>0.84955186362266522</v>
      </c>
      <c r="X1013" s="8">
        <v>7.2893956918716425</v>
      </c>
      <c r="Y1013" s="8">
        <f t="shared" si="31"/>
        <v>0.49298078289032077</v>
      </c>
      <c r="Z1013" s="6" t="s">
        <v>1760</v>
      </c>
    </row>
    <row r="1014" spans="1:26" s="6" customFormat="1" x14ac:dyDescent="0.35">
      <c r="A1014" s="6" t="s">
        <v>25</v>
      </c>
      <c r="B1014" s="6" t="s">
        <v>2325</v>
      </c>
      <c r="D1014" s="6" t="s">
        <v>2326</v>
      </c>
      <c r="E1014" s="6">
        <v>5</v>
      </c>
      <c r="F1014" s="6">
        <v>59</v>
      </c>
      <c r="I1014" s="8">
        <v>88.299658402777794</v>
      </c>
      <c r="J1014" s="8">
        <v>114.11509069444401</v>
      </c>
      <c r="K1014" s="6" t="s">
        <v>29</v>
      </c>
      <c r="L1014" s="29" t="s">
        <v>335</v>
      </c>
      <c r="M1014" s="9">
        <v>44074</v>
      </c>
      <c r="O1014" s="6">
        <v>50</v>
      </c>
      <c r="P1014" s="6" t="s">
        <v>4396</v>
      </c>
      <c r="S1014" s="6">
        <v>80</v>
      </c>
      <c r="T1014" s="6">
        <v>88</v>
      </c>
      <c r="U1014" s="10">
        <f t="shared" si="30"/>
        <v>84</v>
      </c>
      <c r="V1014" s="15">
        <v>2.6</v>
      </c>
      <c r="W1014" s="8">
        <v>0.82747396225929226</v>
      </c>
      <c r="X1014" s="8">
        <v>7.5930643243789682</v>
      </c>
      <c r="Y1014" s="8">
        <f t="shared" si="31"/>
        <v>0.97327262630463007</v>
      </c>
      <c r="Z1014" s="6" t="s">
        <v>1760</v>
      </c>
    </row>
    <row r="1015" spans="1:26" s="6" customFormat="1" x14ac:dyDescent="0.35">
      <c r="A1015" s="6" t="s">
        <v>25</v>
      </c>
      <c r="B1015" s="6" t="s">
        <v>2327</v>
      </c>
      <c r="D1015" s="6" t="s">
        <v>2328</v>
      </c>
      <c r="E1015" s="6">
        <v>5</v>
      </c>
      <c r="F1015" s="6">
        <v>59</v>
      </c>
      <c r="I1015" s="8">
        <v>88.299658402777794</v>
      </c>
      <c r="J1015" s="8">
        <v>114.11509069444401</v>
      </c>
      <c r="K1015" s="6" t="s">
        <v>29</v>
      </c>
      <c r="L1015" s="29" t="s">
        <v>335</v>
      </c>
      <c r="M1015" s="9">
        <v>44074</v>
      </c>
      <c r="O1015" s="6">
        <v>50</v>
      </c>
      <c r="P1015" s="6" t="s">
        <v>4396</v>
      </c>
      <c r="S1015" s="6">
        <v>88</v>
      </c>
      <c r="T1015" s="6">
        <v>100</v>
      </c>
      <c r="U1015" s="10">
        <f t="shared" si="30"/>
        <v>94</v>
      </c>
      <c r="V1015" s="15">
        <v>0.5</v>
      </c>
      <c r="W1015" s="8">
        <v>-1.6281353357315067</v>
      </c>
      <c r="X1015" s="8">
        <v>-12.33398307609558</v>
      </c>
      <c r="Y1015" s="8">
        <f t="shared" si="31"/>
        <v>0.69109960975647411</v>
      </c>
      <c r="Z1015" s="6" t="s">
        <v>1760</v>
      </c>
    </row>
    <row r="1016" spans="1:26" s="6" customFormat="1" x14ac:dyDescent="0.35">
      <c r="A1016" s="6" t="s">
        <v>25</v>
      </c>
      <c r="B1016" s="6" t="s">
        <v>2329</v>
      </c>
      <c r="D1016" s="6" t="s">
        <v>2330</v>
      </c>
      <c r="E1016" s="6">
        <v>5</v>
      </c>
      <c r="F1016" s="6">
        <v>59</v>
      </c>
      <c r="I1016" s="8">
        <v>88.299658402777794</v>
      </c>
      <c r="J1016" s="8">
        <v>114.11509069444401</v>
      </c>
      <c r="K1016" s="6" t="s">
        <v>29</v>
      </c>
      <c r="L1016" s="29" t="s">
        <v>335</v>
      </c>
      <c r="M1016" s="9">
        <v>44074</v>
      </c>
      <c r="O1016" s="6">
        <v>50</v>
      </c>
      <c r="P1016" s="6" t="s">
        <v>4396</v>
      </c>
      <c r="S1016" s="6">
        <v>100</v>
      </c>
      <c r="T1016" s="6">
        <v>110</v>
      </c>
      <c r="U1016" s="10">
        <f t="shared" si="30"/>
        <v>105</v>
      </c>
      <c r="V1016" s="15">
        <v>0.3</v>
      </c>
      <c r="W1016" s="8">
        <v>-1.2928663685798645</v>
      </c>
      <c r="X1016" s="8">
        <v>-10.27475860404968</v>
      </c>
      <c r="Y1016" s="8">
        <f t="shared" si="31"/>
        <v>6.8172344589235934E-2</v>
      </c>
      <c r="Z1016" s="6" t="s">
        <v>1760</v>
      </c>
    </row>
    <row r="1017" spans="1:26" s="6" customFormat="1" x14ac:dyDescent="0.35">
      <c r="A1017" s="6" t="s">
        <v>25</v>
      </c>
      <c r="B1017" s="6" t="s">
        <v>2331</v>
      </c>
      <c r="D1017" s="6" t="s">
        <v>2332</v>
      </c>
      <c r="E1017" s="6">
        <v>5</v>
      </c>
      <c r="F1017" s="6">
        <v>59</v>
      </c>
      <c r="I1017" s="8">
        <v>88.299658402777794</v>
      </c>
      <c r="J1017" s="8">
        <v>114.11509069444401</v>
      </c>
      <c r="K1017" s="6" t="s">
        <v>29</v>
      </c>
      <c r="L1017" s="29" t="s">
        <v>335</v>
      </c>
      <c r="M1017" s="9">
        <v>44074</v>
      </c>
      <c r="O1017" s="6">
        <v>50</v>
      </c>
      <c r="P1017" s="6" t="s">
        <v>4396</v>
      </c>
      <c r="S1017" s="6">
        <v>110</v>
      </c>
      <c r="T1017" s="6">
        <v>120</v>
      </c>
      <c r="U1017" s="10">
        <f t="shared" si="30"/>
        <v>115</v>
      </c>
      <c r="V1017" s="15">
        <v>0.2</v>
      </c>
      <c r="W1017" s="8">
        <v>-0.94102679734230055</v>
      </c>
      <c r="X1017" s="8">
        <v>-6.395501721382141</v>
      </c>
      <c r="Y1017" s="8">
        <f t="shared" si="31"/>
        <v>1.1327126573562634</v>
      </c>
      <c r="Z1017" s="6" t="s">
        <v>1760</v>
      </c>
    </row>
    <row r="1018" spans="1:26" s="6" customFormat="1" x14ac:dyDescent="0.35">
      <c r="A1018" s="6" t="s">
        <v>25</v>
      </c>
      <c r="B1018" s="6" t="s">
        <v>2333</v>
      </c>
      <c r="D1018" s="6" t="s">
        <v>2334</v>
      </c>
      <c r="E1018" s="6">
        <v>5</v>
      </c>
      <c r="F1018" s="6">
        <v>59</v>
      </c>
      <c r="I1018" s="8">
        <v>88.299658402777794</v>
      </c>
      <c r="J1018" s="8">
        <v>114.11509069444401</v>
      </c>
      <c r="K1018" s="6" t="s">
        <v>29</v>
      </c>
      <c r="L1018" s="29" t="s">
        <v>335</v>
      </c>
      <c r="M1018" s="9">
        <v>44074</v>
      </c>
      <c r="O1018" s="6">
        <v>50</v>
      </c>
      <c r="P1018" s="6" t="s">
        <v>4396</v>
      </c>
      <c r="S1018" s="6">
        <v>120</v>
      </c>
      <c r="T1018" s="6">
        <v>130</v>
      </c>
      <c r="U1018" s="10">
        <f t="shared" si="30"/>
        <v>125</v>
      </c>
      <c r="V1018" s="15">
        <v>0.4</v>
      </c>
      <c r="W1018" s="8">
        <v>-1.0013023644690803E-3</v>
      </c>
      <c r="X1018" s="8">
        <v>0.91188753318786619</v>
      </c>
      <c r="Y1018" s="8">
        <f t="shared" si="31"/>
        <v>0.9198979521036188</v>
      </c>
      <c r="Z1018" s="6" t="s">
        <v>1760</v>
      </c>
    </row>
    <row r="1019" spans="1:26" s="6" customFormat="1" x14ac:dyDescent="0.35">
      <c r="A1019" s="6" t="s">
        <v>25</v>
      </c>
      <c r="B1019" s="6" t="s">
        <v>2335</v>
      </c>
      <c r="D1019" s="6" t="s">
        <v>2336</v>
      </c>
      <c r="E1019" s="6">
        <v>5</v>
      </c>
      <c r="F1019" s="6">
        <v>59</v>
      </c>
      <c r="I1019" s="8">
        <v>88.299658402777794</v>
      </c>
      <c r="J1019" s="8">
        <v>114.11509069444401</v>
      </c>
      <c r="K1019" s="6" t="s">
        <v>29</v>
      </c>
      <c r="L1019" s="29" t="s">
        <v>335</v>
      </c>
      <c r="M1019" s="9">
        <v>44074</v>
      </c>
      <c r="O1019" s="6">
        <v>50</v>
      </c>
      <c r="P1019" s="6" t="s">
        <v>4396</v>
      </c>
      <c r="S1019" s="6">
        <v>130</v>
      </c>
      <c r="T1019" s="6">
        <v>140</v>
      </c>
      <c r="U1019" s="10">
        <f t="shared" si="30"/>
        <v>135</v>
      </c>
      <c r="V1019" s="15">
        <v>1.7</v>
      </c>
      <c r="W1019" s="8">
        <v>0.43570907397270187</v>
      </c>
      <c r="X1019" s="8">
        <v>3.3952688784599308</v>
      </c>
      <c r="Y1019" s="8">
        <f t="shared" si="31"/>
        <v>-9.0403713321684176E-2</v>
      </c>
      <c r="Z1019" s="6" t="s">
        <v>1760</v>
      </c>
    </row>
    <row r="1020" spans="1:26" s="6" customFormat="1" x14ac:dyDescent="0.35">
      <c r="A1020" s="6" t="s">
        <v>25</v>
      </c>
      <c r="B1020" s="6" t="s">
        <v>2337</v>
      </c>
      <c r="D1020" s="6" t="s">
        <v>2338</v>
      </c>
      <c r="E1020" s="6">
        <v>5</v>
      </c>
      <c r="F1020" s="6">
        <v>59</v>
      </c>
      <c r="I1020" s="8">
        <v>88.299658402777794</v>
      </c>
      <c r="J1020" s="8">
        <v>114.11509069444401</v>
      </c>
      <c r="K1020" s="6" t="s">
        <v>29</v>
      </c>
      <c r="L1020" s="29" t="s">
        <v>335</v>
      </c>
      <c r="M1020" s="9">
        <v>44074</v>
      </c>
      <c r="O1020" s="6">
        <v>50</v>
      </c>
      <c r="P1020" s="6" t="s">
        <v>4396</v>
      </c>
      <c r="S1020" s="6">
        <v>140</v>
      </c>
      <c r="T1020" s="6">
        <v>150</v>
      </c>
      <c r="U1020" s="10">
        <f t="shared" si="30"/>
        <v>145</v>
      </c>
      <c r="V1020" s="15">
        <v>1.9</v>
      </c>
      <c r="W1020" s="8">
        <v>0.17208584551215206</v>
      </c>
      <c r="X1020" s="8">
        <v>2.286063248634338</v>
      </c>
      <c r="Y1020" s="8">
        <f t="shared" si="31"/>
        <v>0.9093764845371215</v>
      </c>
      <c r="Z1020" s="6" t="s">
        <v>1760</v>
      </c>
    </row>
    <row r="1021" spans="1:26" s="6" customFormat="1" x14ac:dyDescent="0.35">
      <c r="A1021" s="6" t="s">
        <v>25</v>
      </c>
      <c r="B1021" s="6" t="s">
        <v>2339</v>
      </c>
      <c r="D1021" s="6" t="s">
        <v>2340</v>
      </c>
      <c r="E1021" s="6">
        <v>5</v>
      </c>
      <c r="F1021" s="6">
        <v>59</v>
      </c>
      <c r="I1021" s="8">
        <v>88.299658402777794</v>
      </c>
      <c r="J1021" s="8">
        <v>114.11509069444401</v>
      </c>
      <c r="K1021" s="6" t="s">
        <v>29</v>
      </c>
      <c r="L1021" s="29" t="s">
        <v>335</v>
      </c>
      <c r="M1021" s="9">
        <v>44074</v>
      </c>
      <c r="O1021" s="6">
        <v>50</v>
      </c>
      <c r="P1021" s="6" t="s">
        <v>4396</v>
      </c>
      <c r="S1021" s="6">
        <v>150</v>
      </c>
      <c r="T1021" s="6">
        <v>160</v>
      </c>
      <c r="U1021" s="10">
        <f t="shared" si="30"/>
        <v>155</v>
      </c>
      <c r="V1021" s="15">
        <v>1.6</v>
      </c>
      <c r="W1021" s="8">
        <v>0.6293125745773317</v>
      </c>
      <c r="X1021" s="8">
        <v>5.8288054246902474</v>
      </c>
      <c r="Y1021" s="8">
        <f t="shared" si="31"/>
        <v>0.79430482807159386</v>
      </c>
      <c r="Z1021" s="6" t="s">
        <v>1760</v>
      </c>
    </row>
    <row r="1022" spans="1:26" s="6" customFormat="1" x14ac:dyDescent="0.35">
      <c r="A1022" s="6" t="s">
        <v>25</v>
      </c>
      <c r="B1022" s="6" t="s">
        <v>2376</v>
      </c>
      <c r="D1022" s="6" t="s">
        <v>2377</v>
      </c>
      <c r="E1022" s="6">
        <v>5</v>
      </c>
      <c r="F1022" s="6">
        <v>61</v>
      </c>
      <c r="I1022" s="8">
        <v>88.700402291666705</v>
      </c>
      <c r="J1022" s="8">
        <v>111.973632708333</v>
      </c>
      <c r="K1022" s="6" t="s">
        <v>29</v>
      </c>
      <c r="L1022" s="29" t="s">
        <v>335</v>
      </c>
      <c r="M1022" s="9">
        <v>44081</v>
      </c>
      <c r="O1022" s="6">
        <v>51</v>
      </c>
      <c r="P1022" s="6" t="s">
        <v>4434</v>
      </c>
      <c r="S1022" s="6">
        <v>0</v>
      </c>
      <c r="T1022" s="6">
        <v>10</v>
      </c>
      <c r="U1022" s="10">
        <f t="shared" si="30"/>
        <v>5</v>
      </c>
      <c r="V1022" s="15">
        <v>0.7</v>
      </c>
      <c r="W1022" s="8">
        <v>-0.32769956411480911</v>
      </c>
      <c r="X1022" s="8">
        <v>-2.3467788492202772</v>
      </c>
      <c r="Y1022" s="8">
        <f t="shared" si="31"/>
        <v>0.2748176636981956</v>
      </c>
      <c r="Z1022" s="6" t="s">
        <v>1760</v>
      </c>
    </row>
    <row r="1023" spans="1:26" s="6" customFormat="1" x14ac:dyDescent="0.35">
      <c r="A1023" s="6" t="s">
        <v>25</v>
      </c>
      <c r="B1023" s="6" t="s">
        <v>2378</v>
      </c>
      <c r="D1023" s="6" t="s">
        <v>2379</v>
      </c>
      <c r="E1023" s="6">
        <v>5</v>
      </c>
      <c r="F1023" s="6">
        <v>61</v>
      </c>
      <c r="I1023" s="8">
        <v>88.700402291666705</v>
      </c>
      <c r="J1023" s="8">
        <v>111.973632708333</v>
      </c>
      <c r="K1023" s="6" t="s">
        <v>29</v>
      </c>
      <c r="L1023" s="29" t="s">
        <v>335</v>
      </c>
      <c r="M1023" s="9">
        <v>44081</v>
      </c>
      <c r="O1023" s="6">
        <v>51</v>
      </c>
      <c r="P1023" s="6" t="s">
        <v>4434</v>
      </c>
      <c r="S1023" s="6">
        <v>10</v>
      </c>
      <c r="T1023" s="6">
        <v>20</v>
      </c>
      <c r="U1023" s="10">
        <f t="shared" si="30"/>
        <v>15</v>
      </c>
      <c r="V1023" s="15">
        <v>0.3</v>
      </c>
      <c r="W1023" s="8">
        <v>-2.9547320716083243E-2</v>
      </c>
      <c r="X1023" s="8">
        <v>-0.60888550018370147</v>
      </c>
      <c r="Y1023" s="8">
        <f t="shared" si="31"/>
        <v>-0.37250693445503552</v>
      </c>
      <c r="Z1023" s="6" t="s">
        <v>1760</v>
      </c>
    </row>
    <row r="1024" spans="1:26" s="6" customFormat="1" x14ac:dyDescent="0.35">
      <c r="A1024" s="6" t="s">
        <v>25</v>
      </c>
      <c r="B1024" s="6" t="s">
        <v>2380</v>
      </c>
      <c r="D1024" s="6" t="s">
        <v>2381</v>
      </c>
      <c r="E1024" s="6">
        <v>5</v>
      </c>
      <c r="F1024" s="6">
        <v>61</v>
      </c>
      <c r="I1024" s="8">
        <v>88.700402291666705</v>
      </c>
      <c r="J1024" s="8">
        <v>111.973632708333</v>
      </c>
      <c r="K1024" s="6" t="s">
        <v>29</v>
      </c>
      <c r="L1024" s="29" t="s">
        <v>335</v>
      </c>
      <c r="M1024" s="9">
        <v>44081</v>
      </c>
      <c r="O1024" s="6">
        <v>51</v>
      </c>
      <c r="P1024" s="6" t="s">
        <v>4434</v>
      </c>
      <c r="S1024" s="6">
        <v>20</v>
      </c>
      <c r="T1024" s="6">
        <v>30</v>
      </c>
      <c r="U1024" s="10">
        <f t="shared" si="30"/>
        <v>25</v>
      </c>
      <c r="V1024" s="15">
        <v>0</v>
      </c>
      <c r="W1024" s="8">
        <v>-0.34013130444288209</v>
      </c>
      <c r="X1024" s="8">
        <v>-2.7513381812334057</v>
      </c>
      <c r="Y1024" s="8">
        <f t="shared" si="31"/>
        <v>-3.0287745690348977E-2</v>
      </c>
      <c r="Z1024" s="6" t="s">
        <v>1760</v>
      </c>
    </row>
    <row r="1025" spans="1:26" s="6" customFormat="1" x14ac:dyDescent="0.35">
      <c r="A1025" s="6" t="s">
        <v>25</v>
      </c>
      <c r="B1025" s="6" t="s">
        <v>2382</v>
      </c>
      <c r="D1025" s="6" t="s">
        <v>2383</v>
      </c>
      <c r="E1025" s="6">
        <v>5</v>
      </c>
      <c r="F1025" s="6">
        <v>61</v>
      </c>
      <c r="I1025" s="8">
        <v>88.700402291666705</v>
      </c>
      <c r="J1025" s="8">
        <v>111.973632708333</v>
      </c>
      <c r="K1025" s="6" t="s">
        <v>29</v>
      </c>
      <c r="L1025" s="29" t="s">
        <v>335</v>
      </c>
      <c r="M1025" s="9">
        <v>44081</v>
      </c>
      <c r="O1025" s="6">
        <v>51</v>
      </c>
      <c r="P1025" s="6" t="s">
        <v>4434</v>
      </c>
      <c r="S1025" s="6">
        <v>30</v>
      </c>
      <c r="T1025" s="6">
        <v>40</v>
      </c>
      <c r="U1025" s="10">
        <f t="shared" si="30"/>
        <v>35</v>
      </c>
      <c r="V1025" s="15">
        <v>0.3</v>
      </c>
      <c r="W1025" s="8">
        <v>0.35556041927635657</v>
      </c>
      <c r="X1025" s="8">
        <v>3.5344309510231016</v>
      </c>
      <c r="Y1025" s="8">
        <f t="shared" si="31"/>
        <v>0.68994759681224904</v>
      </c>
      <c r="Z1025" s="6" t="s">
        <v>1760</v>
      </c>
    </row>
    <row r="1026" spans="1:26" s="13" customFormat="1" x14ac:dyDescent="0.35">
      <c r="A1026" s="6" t="s">
        <v>25</v>
      </c>
      <c r="B1026" s="6" t="s">
        <v>2384</v>
      </c>
      <c r="C1026" s="6"/>
      <c r="D1026" s="6" t="s">
        <v>2385</v>
      </c>
      <c r="E1026" s="6">
        <v>5</v>
      </c>
      <c r="F1026" s="6">
        <v>61</v>
      </c>
      <c r="G1026" s="6"/>
      <c r="H1026" s="6"/>
      <c r="I1026" s="8">
        <v>88.700402291666705</v>
      </c>
      <c r="J1026" s="8">
        <v>111.973632708333</v>
      </c>
      <c r="K1026" s="6" t="s">
        <v>29</v>
      </c>
      <c r="L1026" s="29" t="s">
        <v>335</v>
      </c>
      <c r="M1026" s="9">
        <v>44081</v>
      </c>
      <c r="N1026" s="6"/>
      <c r="O1026" s="6">
        <v>51</v>
      </c>
      <c r="P1026" s="6" t="s">
        <v>4434</v>
      </c>
      <c r="Q1026" s="6"/>
      <c r="R1026" s="6"/>
      <c r="S1026" s="6">
        <v>40</v>
      </c>
      <c r="T1026" s="6">
        <v>50</v>
      </c>
      <c r="U1026" s="10">
        <f t="shared" ref="U1026:U1044" si="32">AVERAGE(S1026:T1026)</f>
        <v>45</v>
      </c>
      <c r="V1026" s="15">
        <v>0.5</v>
      </c>
      <c r="W1026" s="8">
        <v>0.35105890373885618</v>
      </c>
      <c r="X1026" s="8">
        <v>2.9855260068416598</v>
      </c>
      <c r="Y1026" s="8">
        <f t="shared" ref="Y1026:Y1044" si="33">X1026-(8*W1026)</f>
        <v>0.1770547769308104</v>
      </c>
      <c r="Z1026" s="6" t="s">
        <v>1760</v>
      </c>
    </row>
    <row r="1027" spans="1:26" s="13" customFormat="1" x14ac:dyDescent="0.35">
      <c r="A1027" s="6" t="s">
        <v>25</v>
      </c>
      <c r="B1027" s="6" t="s">
        <v>2386</v>
      </c>
      <c r="C1027" s="6"/>
      <c r="D1027" s="6" t="s">
        <v>2387</v>
      </c>
      <c r="E1027" s="6">
        <v>5</v>
      </c>
      <c r="F1027" s="6">
        <v>61</v>
      </c>
      <c r="G1027" s="6"/>
      <c r="H1027" s="6"/>
      <c r="I1027" s="8">
        <v>88.700402291666705</v>
      </c>
      <c r="J1027" s="8">
        <v>111.973632708333</v>
      </c>
      <c r="K1027" s="6" t="s">
        <v>29</v>
      </c>
      <c r="L1027" s="29" t="s">
        <v>335</v>
      </c>
      <c r="M1027" s="9">
        <v>44081</v>
      </c>
      <c r="N1027" s="6"/>
      <c r="O1027" s="6">
        <v>51</v>
      </c>
      <c r="P1027" s="6" t="s">
        <v>4434</v>
      </c>
      <c r="Q1027" s="6"/>
      <c r="R1027" s="6"/>
      <c r="S1027" s="6">
        <v>50</v>
      </c>
      <c r="T1027" s="6">
        <v>60</v>
      </c>
      <c r="U1027" s="10">
        <f t="shared" si="32"/>
        <v>55</v>
      </c>
      <c r="V1027" s="15">
        <v>0.9</v>
      </c>
      <c r="W1027" s="8">
        <v>0.37627752669155623</v>
      </c>
      <c r="X1027" s="8">
        <v>4.7214343931913376</v>
      </c>
      <c r="Y1027" s="8">
        <f t="shared" si="33"/>
        <v>1.7112141796588878</v>
      </c>
      <c r="Z1027" s="6" t="s">
        <v>1760</v>
      </c>
    </row>
    <row r="1028" spans="1:26" s="13" customFormat="1" x14ac:dyDescent="0.35">
      <c r="A1028" s="6" t="s">
        <v>25</v>
      </c>
      <c r="B1028" s="6" t="s">
        <v>2388</v>
      </c>
      <c r="C1028" s="6"/>
      <c r="D1028" s="6" t="s">
        <v>2389</v>
      </c>
      <c r="E1028" s="6">
        <v>5</v>
      </c>
      <c r="F1028" s="6">
        <v>61</v>
      </c>
      <c r="G1028" s="6"/>
      <c r="H1028" s="6"/>
      <c r="I1028" s="8">
        <v>88.700402291666705</v>
      </c>
      <c r="J1028" s="8">
        <v>111.973632708333</v>
      </c>
      <c r="K1028" s="6" t="s">
        <v>29</v>
      </c>
      <c r="L1028" s="29" t="s">
        <v>335</v>
      </c>
      <c r="M1028" s="9">
        <v>44081</v>
      </c>
      <c r="N1028" s="6"/>
      <c r="O1028" s="6">
        <v>51</v>
      </c>
      <c r="P1028" s="6" t="s">
        <v>4434</v>
      </c>
      <c r="Q1028" s="6"/>
      <c r="R1028" s="6"/>
      <c r="S1028" s="6">
        <v>60</v>
      </c>
      <c r="T1028" s="6">
        <v>70</v>
      </c>
      <c r="U1028" s="10">
        <f t="shared" si="32"/>
        <v>65</v>
      </c>
      <c r="V1028" s="15">
        <v>1.2</v>
      </c>
      <c r="W1028" s="8">
        <v>0.49224884517431244</v>
      </c>
      <c r="X1028" s="8">
        <v>3.5043006166458124</v>
      </c>
      <c r="Y1028" s="8">
        <f t="shared" si="33"/>
        <v>-0.43369014474868717</v>
      </c>
      <c r="Z1028" s="6" t="s">
        <v>1760</v>
      </c>
    </row>
    <row r="1029" spans="1:26" s="13" customFormat="1" x14ac:dyDescent="0.35">
      <c r="A1029" s="6" t="s">
        <v>25</v>
      </c>
      <c r="B1029" s="6" t="s">
        <v>2390</v>
      </c>
      <c r="C1029" s="6"/>
      <c r="D1029" s="6" t="s">
        <v>2391</v>
      </c>
      <c r="E1029" s="6">
        <v>5</v>
      </c>
      <c r="F1029" s="6">
        <v>61</v>
      </c>
      <c r="G1029" s="6"/>
      <c r="H1029" s="6"/>
      <c r="I1029" s="8">
        <v>88.700402291666705</v>
      </c>
      <c r="J1029" s="8">
        <v>111.973632708333</v>
      </c>
      <c r="K1029" s="6" t="s">
        <v>29</v>
      </c>
      <c r="L1029" s="29" t="s">
        <v>335</v>
      </c>
      <c r="M1029" s="9">
        <v>44081</v>
      </c>
      <c r="N1029" s="6"/>
      <c r="O1029" s="6">
        <v>51</v>
      </c>
      <c r="P1029" s="6" t="s">
        <v>4434</v>
      </c>
      <c r="Q1029" s="6"/>
      <c r="R1029" s="6"/>
      <c r="S1029" s="6">
        <v>70</v>
      </c>
      <c r="T1029" s="6">
        <v>80</v>
      </c>
      <c r="U1029" s="10">
        <f t="shared" si="32"/>
        <v>75</v>
      </c>
      <c r="V1029" s="15">
        <v>3</v>
      </c>
      <c r="W1029" s="8">
        <v>0.43626049751043344</v>
      </c>
      <c r="X1029" s="8">
        <v>3.6935426937580109</v>
      </c>
      <c r="Y1029" s="8">
        <f t="shared" si="33"/>
        <v>0.20345871367454338</v>
      </c>
      <c r="Z1029" s="6" t="s">
        <v>1760</v>
      </c>
    </row>
    <row r="1030" spans="1:26" s="13" customFormat="1" x14ac:dyDescent="0.35">
      <c r="A1030" s="6" t="s">
        <v>25</v>
      </c>
      <c r="B1030" s="6" t="s">
        <v>2392</v>
      </c>
      <c r="C1030" s="6"/>
      <c r="D1030" s="6" t="s">
        <v>2393</v>
      </c>
      <c r="E1030" s="6">
        <v>5</v>
      </c>
      <c r="F1030" s="6">
        <v>61</v>
      </c>
      <c r="G1030" s="6"/>
      <c r="H1030" s="6"/>
      <c r="I1030" s="8">
        <v>88.700402291666705</v>
      </c>
      <c r="J1030" s="8">
        <v>111.973632708333</v>
      </c>
      <c r="K1030" s="6" t="s">
        <v>29</v>
      </c>
      <c r="L1030" s="29" t="s">
        <v>335</v>
      </c>
      <c r="M1030" s="9">
        <v>44081</v>
      </c>
      <c r="N1030" s="6"/>
      <c r="O1030" s="6">
        <v>51</v>
      </c>
      <c r="P1030" s="6" t="s">
        <v>4434</v>
      </c>
      <c r="Q1030" s="6"/>
      <c r="R1030" s="6"/>
      <c r="S1030" s="6">
        <v>80</v>
      </c>
      <c r="T1030" s="6">
        <v>90</v>
      </c>
      <c r="U1030" s="10">
        <f t="shared" si="32"/>
        <v>85</v>
      </c>
      <c r="V1030" s="15">
        <v>3.1</v>
      </c>
      <c r="W1030" s="8">
        <v>0.67475790311336536</v>
      </c>
      <c r="X1030" s="8">
        <v>3.8651122178375719</v>
      </c>
      <c r="Y1030" s="8">
        <f t="shared" si="33"/>
        <v>-1.5329510070693511</v>
      </c>
      <c r="Z1030" s="6" t="s">
        <v>1760</v>
      </c>
    </row>
    <row r="1031" spans="1:26" s="13" customFormat="1" x14ac:dyDescent="0.35">
      <c r="A1031" s="6" t="s">
        <v>25</v>
      </c>
      <c r="B1031" s="6" t="s">
        <v>2394</v>
      </c>
      <c r="C1031" s="6"/>
      <c r="D1031" s="6" t="s">
        <v>2395</v>
      </c>
      <c r="E1031" s="6">
        <v>5</v>
      </c>
      <c r="F1031" s="6">
        <v>61</v>
      </c>
      <c r="G1031" s="6"/>
      <c r="H1031" s="6"/>
      <c r="I1031" s="8">
        <v>88.700402291666705</v>
      </c>
      <c r="J1031" s="8">
        <v>111.973632708333</v>
      </c>
      <c r="K1031" s="6" t="s">
        <v>29</v>
      </c>
      <c r="L1031" s="29" t="s">
        <v>335</v>
      </c>
      <c r="M1031" s="9">
        <v>44081</v>
      </c>
      <c r="N1031" s="6"/>
      <c r="O1031" s="6">
        <v>51</v>
      </c>
      <c r="P1031" s="6" t="s">
        <v>4434</v>
      </c>
      <c r="Q1031" s="6"/>
      <c r="R1031" s="6"/>
      <c r="S1031" s="6">
        <v>90</v>
      </c>
      <c r="T1031" s="6">
        <v>100</v>
      </c>
      <c r="U1031" s="10">
        <f t="shared" si="32"/>
        <v>95</v>
      </c>
      <c r="V1031" s="15">
        <v>2.7</v>
      </c>
      <c r="W1031" s="8">
        <v>0.57804952139616039</v>
      </c>
      <c r="X1031" s="8">
        <v>5.2959255332469954</v>
      </c>
      <c r="Y1031" s="8">
        <f t="shared" si="33"/>
        <v>0.6715293620777123</v>
      </c>
      <c r="Z1031" s="6" t="s">
        <v>1760</v>
      </c>
    </row>
    <row r="1032" spans="1:26" s="13" customFormat="1" x14ac:dyDescent="0.35">
      <c r="A1032" s="6" t="s">
        <v>25</v>
      </c>
      <c r="B1032" s="6" t="s">
        <v>2396</v>
      </c>
      <c r="C1032" s="6"/>
      <c r="D1032" s="6" t="s">
        <v>2397</v>
      </c>
      <c r="E1032" s="6">
        <v>5</v>
      </c>
      <c r="F1032" s="6">
        <v>61</v>
      </c>
      <c r="G1032" s="6"/>
      <c r="H1032" s="6"/>
      <c r="I1032" s="8">
        <v>88.700402291666705</v>
      </c>
      <c r="J1032" s="8">
        <v>111.973632708333</v>
      </c>
      <c r="K1032" s="6" t="s">
        <v>29</v>
      </c>
      <c r="L1032" s="29" t="s">
        <v>335</v>
      </c>
      <c r="M1032" s="9">
        <v>44081</v>
      </c>
      <c r="N1032" s="6"/>
      <c r="O1032" s="6">
        <v>51</v>
      </c>
      <c r="P1032" s="6" t="s">
        <v>4434</v>
      </c>
      <c r="Q1032" s="6"/>
      <c r="R1032" s="6"/>
      <c r="S1032" s="6">
        <v>100</v>
      </c>
      <c r="T1032" s="6">
        <v>110</v>
      </c>
      <c r="U1032" s="10">
        <f t="shared" si="32"/>
        <v>105</v>
      </c>
      <c r="V1032" s="15">
        <v>2.7</v>
      </c>
      <c r="W1032" s="8">
        <v>0.52753250337600688</v>
      </c>
      <c r="X1032" s="8">
        <v>3.9121907855987548</v>
      </c>
      <c r="Y1032" s="8">
        <f t="shared" si="33"/>
        <v>-0.30806924140930025</v>
      </c>
      <c r="Z1032" s="6" t="s">
        <v>1760</v>
      </c>
    </row>
    <row r="1033" spans="1:26" s="13" customFormat="1" x14ac:dyDescent="0.35">
      <c r="A1033" s="6" t="s">
        <v>25</v>
      </c>
      <c r="B1033" s="6" t="s">
        <v>2398</v>
      </c>
      <c r="C1033" s="6"/>
      <c r="D1033" s="6" t="s">
        <v>2399</v>
      </c>
      <c r="E1033" s="6">
        <v>5</v>
      </c>
      <c r="F1033" s="6">
        <v>61</v>
      </c>
      <c r="G1033" s="6"/>
      <c r="H1033" s="6"/>
      <c r="I1033" s="8">
        <v>88.700402291666705</v>
      </c>
      <c r="J1033" s="8">
        <v>111.973632708333</v>
      </c>
      <c r="K1033" s="6" t="s">
        <v>29</v>
      </c>
      <c r="L1033" s="29" t="s">
        <v>335</v>
      </c>
      <c r="M1033" s="9">
        <v>44081</v>
      </c>
      <c r="N1033" s="6"/>
      <c r="O1033" s="6">
        <v>51</v>
      </c>
      <c r="P1033" s="6" t="s">
        <v>4434</v>
      </c>
      <c r="Q1033" s="6"/>
      <c r="R1033" s="6"/>
      <c r="S1033" s="6">
        <v>110</v>
      </c>
      <c r="T1033" s="6">
        <v>120</v>
      </c>
      <c r="U1033" s="10">
        <f t="shared" si="32"/>
        <v>115</v>
      </c>
      <c r="V1033" s="15">
        <v>2.9</v>
      </c>
      <c r="W1033" s="8">
        <v>0.69538383210659083</v>
      </c>
      <c r="X1033" s="8">
        <v>5.7336314930438999</v>
      </c>
      <c r="Y1033" s="8">
        <f t="shared" si="33"/>
        <v>0.17056083619117324</v>
      </c>
      <c r="Z1033" s="6" t="s">
        <v>1760</v>
      </c>
    </row>
    <row r="1034" spans="1:26" s="13" customFormat="1" x14ac:dyDescent="0.35">
      <c r="A1034" s="6" t="s">
        <v>25</v>
      </c>
      <c r="B1034" s="6" t="s">
        <v>2400</v>
      </c>
      <c r="C1034" s="6"/>
      <c r="D1034" s="6" t="s">
        <v>2401</v>
      </c>
      <c r="E1034" s="6">
        <v>5</v>
      </c>
      <c r="F1034" s="6">
        <v>61</v>
      </c>
      <c r="G1034" s="6"/>
      <c r="H1034" s="6"/>
      <c r="I1034" s="8">
        <v>88.700402291666705</v>
      </c>
      <c r="J1034" s="8">
        <v>111.973632708333</v>
      </c>
      <c r="K1034" s="6" t="s">
        <v>29</v>
      </c>
      <c r="L1034" s="29" t="s">
        <v>335</v>
      </c>
      <c r="M1034" s="9">
        <v>44081</v>
      </c>
      <c r="N1034" s="6"/>
      <c r="O1034" s="6">
        <v>51</v>
      </c>
      <c r="P1034" s="6" t="s">
        <v>4434</v>
      </c>
      <c r="Q1034" s="6"/>
      <c r="R1034" s="6"/>
      <c r="S1034" s="6">
        <v>120</v>
      </c>
      <c r="T1034" s="6">
        <v>130</v>
      </c>
      <c r="U1034" s="10">
        <f t="shared" si="32"/>
        <v>125</v>
      </c>
      <c r="V1034" s="15">
        <v>2.4</v>
      </c>
      <c r="W1034" s="8">
        <v>0.88820762861728686</v>
      </c>
      <c r="X1034" s="8">
        <v>7.4461161396026627</v>
      </c>
      <c r="Y1034" s="8">
        <f t="shared" si="33"/>
        <v>0.34045511066436784</v>
      </c>
      <c r="Z1034" s="6" t="s">
        <v>1760</v>
      </c>
    </row>
    <row r="1035" spans="1:26" s="13" customFormat="1" x14ac:dyDescent="0.35">
      <c r="A1035" s="6" t="s">
        <v>25</v>
      </c>
      <c r="B1035" s="6" t="s">
        <v>2402</v>
      </c>
      <c r="C1035" s="6"/>
      <c r="D1035" s="6" t="s">
        <v>2403</v>
      </c>
      <c r="E1035" s="6">
        <v>5</v>
      </c>
      <c r="F1035" s="6">
        <v>61</v>
      </c>
      <c r="G1035" s="6"/>
      <c r="H1035" s="6"/>
      <c r="I1035" s="8">
        <v>88.700402291666705</v>
      </c>
      <c r="J1035" s="8">
        <v>111.973632708333</v>
      </c>
      <c r="K1035" s="6" t="s">
        <v>29</v>
      </c>
      <c r="L1035" s="29" t="s">
        <v>335</v>
      </c>
      <c r="M1035" s="9">
        <v>44081</v>
      </c>
      <c r="N1035" s="6"/>
      <c r="O1035" s="6">
        <v>51</v>
      </c>
      <c r="P1035" s="6" t="s">
        <v>4434</v>
      </c>
      <c r="Q1035" s="6"/>
      <c r="R1035" s="6"/>
      <c r="S1035" s="6">
        <v>130</v>
      </c>
      <c r="T1035" s="6">
        <v>139</v>
      </c>
      <c r="U1035" s="10">
        <f t="shared" si="32"/>
        <v>134.5</v>
      </c>
      <c r="V1035" s="15">
        <v>3</v>
      </c>
      <c r="W1035" s="8">
        <v>0.7314626279568669</v>
      </c>
      <c r="X1035" s="8">
        <v>5.8479816784381873</v>
      </c>
      <c r="Y1035" s="8">
        <f t="shared" si="33"/>
        <v>-3.7193452167478824E-3</v>
      </c>
      <c r="Z1035" s="6" t="s">
        <v>1760</v>
      </c>
    </row>
    <row r="1036" spans="1:26" s="13" customFormat="1" x14ac:dyDescent="0.35">
      <c r="A1036" s="6" t="s">
        <v>25</v>
      </c>
      <c r="B1036" s="6" t="s">
        <v>2484</v>
      </c>
      <c r="C1036" s="6"/>
      <c r="D1036" s="6" t="s">
        <v>2485</v>
      </c>
      <c r="E1036" s="6">
        <v>5</v>
      </c>
      <c r="F1036" s="6">
        <v>61</v>
      </c>
      <c r="G1036" s="6"/>
      <c r="H1036" s="6"/>
      <c r="I1036" s="8">
        <v>89.023700416666699</v>
      </c>
      <c r="J1036" s="8">
        <v>102.473466597222</v>
      </c>
      <c r="K1036" s="6" t="s">
        <v>29</v>
      </c>
      <c r="L1036" s="29" t="s">
        <v>335</v>
      </c>
      <c r="M1036" s="9">
        <v>44088</v>
      </c>
      <c r="N1036" s="6"/>
      <c r="O1036" s="6">
        <v>52</v>
      </c>
      <c r="P1036" s="6" t="s">
        <v>4394</v>
      </c>
      <c r="Q1036" s="6"/>
      <c r="R1036" s="6"/>
      <c r="S1036" s="6">
        <v>0</v>
      </c>
      <c r="T1036" s="6">
        <v>10.5</v>
      </c>
      <c r="U1036" s="10">
        <f t="shared" si="32"/>
        <v>5.25</v>
      </c>
      <c r="V1036" s="15">
        <v>0.6</v>
      </c>
      <c r="W1036" s="8">
        <v>-1.549546630651355</v>
      </c>
      <c r="X1036" s="8">
        <v>-12.9000032497406</v>
      </c>
      <c r="Y1036" s="8">
        <f t="shared" si="33"/>
        <v>-0.5036302045297596</v>
      </c>
      <c r="Z1036" s="6" t="s">
        <v>1760</v>
      </c>
    </row>
    <row r="1037" spans="1:26" s="13" customFormat="1" x14ac:dyDescent="0.35">
      <c r="A1037" s="6" t="s">
        <v>25</v>
      </c>
      <c r="B1037" s="6" t="s">
        <v>2486</v>
      </c>
      <c r="C1037" s="6"/>
      <c r="D1037" s="6" t="s">
        <v>2487</v>
      </c>
      <c r="E1037" s="6">
        <v>5</v>
      </c>
      <c r="F1037" s="6">
        <v>61</v>
      </c>
      <c r="G1037" s="6"/>
      <c r="H1037" s="6"/>
      <c r="I1037" s="8">
        <v>89.023700416666699</v>
      </c>
      <c r="J1037" s="8">
        <v>102.473466597222</v>
      </c>
      <c r="K1037" s="6" t="s">
        <v>29</v>
      </c>
      <c r="L1037" s="29" t="s">
        <v>335</v>
      </c>
      <c r="M1037" s="9">
        <v>44088</v>
      </c>
      <c r="N1037" s="6"/>
      <c r="O1037" s="6">
        <v>52</v>
      </c>
      <c r="P1037" s="6" t="s">
        <v>4394</v>
      </c>
      <c r="Q1037" s="6"/>
      <c r="R1037" s="6"/>
      <c r="S1037" s="6">
        <v>10.5</v>
      </c>
      <c r="T1037" s="6">
        <v>21</v>
      </c>
      <c r="U1037" s="10">
        <f t="shared" si="32"/>
        <v>15.75</v>
      </c>
      <c r="V1037" s="15">
        <v>0</v>
      </c>
      <c r="W1037" s="8">
        <v>-1.0214502492427828</v>
      </c>
      <c r="X1037" s="8">
        <v>-7.1310679492950442</v>
      </c>
      <c r="Y1037" s="8">
        <f t="shared" si="33"/>
        <v>1.0405340446472184</v>
      </c>
      <c r="Z1037" s="6" t="s">
        <v>1760</v>
      </c>
    </row>
    <row r="1038" spans="1:26" s="13" customFormat="1" x14ac:dyDescent="0.35">
      <c r="A1038" s="6" t="s">
        <v>25</v>
      </c>
      <c r="B1038" s="6" t="s">
        <v>2488</v>
      </c>
      <c r="C1038" s="6"/>
      <c r="D1038" s="6" t="s">
        <v>2489</v>
      </c>
      <c r="E1038" s="6">
        <v>5</v>
      </c>
      <c r="F1038" s="6">
        <v>61</v>
      </c>
      <c r="G1038" s="6"/>
      <c r="H1038" s="6"/>
      <c r="I1038" s="8">
        <v>89.023700416666699</v>
      </c>
      <c r="J1038" s="8">
        <v>102.473466597222</v>
      </c>
      <c r="K1038" s="6" t="s">
        <v>29</v>
      </c>
      <c r="L1038" s="29" t="s">
        <v>335</v>
      </c>
      <c r="M1038" s="9">
        <v>44088</v>
      </c>
      <c r="N1038" s="6"/>
      <c r="O1038" s="6">
        <v>52</v>
      </c>
      <c r="P1038" s="6" t="s">
        <v>4394</v>
      </c>
      <c r="Q1038" s="6"/>
      <c r="R1038" s="6"/>
      <c r="S1038" s="6">
        <v>21</v>
      </c>
      <c r="T1038" s="6">
        <v>31.5</v>
      </c>
      <c r="U1038" s="10">
        <f t="shared" si="32"/>
        <v>26.25</v>
      </c>
      <c r="V1038" s="15">
        <v>0.4</v>
      </c>
      <c r="W1038" s="8">
        <v>-0.32039320539236094</v>
      </c>
      <c r="X1038" s="8">
        <v>-1.1638963304162027</v>
      </c>
      <c r="Y1038" s="8">
        <f t="shared" si="33"/>
        <v>1.3992493127226848</v>
      </c>
      <c r="Z1038" s="6" t="s">
        <v>1760</v>
      </c>
    </row>
    <row r="1039" spans="1:26" s="13" customFormat="1" x14ac:dyDescent="0.35">
      <c r="A1039" s="6" t="s">
        <v>25</v>
      </c>
      <c r="B1039" s="6" t="s">
        <v>2490</v>
      </c>
      <c r="C1039" s="6"/>
      <c r="D1039" s="6" t="s">
        <v>2491</v>
      </c>
      <c r="E1039" s="6">
        <v>5</v>
      </c>
      <c r="F1039" s="6">
        <v>61</v>
      </c>
      <c r="G1039" s="6"/>
      <c r="H1039" s="6"/>
      <c r="I1039" s="8">
        <v>89.023700416666699</v>
      </c>
      <c r="J1039" s="8">
        <v>102.473466597222</v>
      </c>
      <c r="K1039" s="6" t="s">
        <v>29</v>
      </c>
      <c r="L1039" s="29" t="s">
        <v>335</v>
      </c>
      <c r="M1039" s="9">
        <v>44088</v>
      </c>
      <c r="N1039" s="6"/>
      <c r="O1039" s="6">
        <v>52</v>
      </c>
      <c r="P1039" s="6" t="s">
        <v>4394</v>
      </c>
      <c r="Q1039" s="6"/>
      <c r="R1039" s="6"/>
      <c r="S1039" s="6">
        <v>31.5</v>
      </c>
      <c r="T1039" s="6">
        <v>42</v>
      </c>
      <c r="U1039" s="10">
        <f t="shared" si="32"/>
        <v>36.75</v>
      </c>
      <c r="V1039" s="15">
        <v>0.8</v>
      </c>
      <c r="W1039" s="8">
        <v>5.911839677095386E-2</v>
      </c>
      <c r="X1039" s="8">
        <v>1.3719565261900426</v>
      </c>
      <c r="Y1039" s="8">
        <f t="shared" si="33"/>
        <v>0.89900935202241172</v>
      </c>
      <c r="Z1039" s="6" t="s">
        <v>1760</v>
      </c>
    </row>
    <row r="1040" spans="1:26" s="13" customFormat="1" x14ac:dyDescent="0.35">
      <c r="A1040" s="6" t="s">
        <v>25</v>
      </c>
      <c r="B1040" s="6" t="s">
        <v>2492</v>
      </c>
      <c r="C1040" s="6"/>
      <c r="D1040" s="6" t="s">
        <v>2493</v>
      </c>
      <c r="E1040" s="6">
        <v>5</v>
      </c>
      <c r="F1040" s="6">
        <v>61</v>
      </c>
      <c r="G1040" s="6"/>
      <c r="H1040" s="6"/>
      <c r="I1040" s="8">
        <v>89.023700416666699</v>
      </c>
      <c r="J1040" s="8">
        <v>102.473466597222</v>
      </c>
      <c r="K1040" s="6" t="s">
        <v>29</v>
      </c>
      <c r="L1040" s="29" t="s">
        <v>335</v>
      </c>
      <c r="M1040" s="9">
        <v>44088</v>
      </c>
      <c r="N1040" s="6"/>
      <c r="O1040" s="6">
        <v>52</v>
      </c>
      <c r="P1040" s="6" t="s">
        <v>4394</v>
      </c>
      <c r="Q1040" s="6"/>
      <c r="R1040" s="6"/>
      <c r="S1040" s="6">
        <v>42</v>
      </c>
      <c r="T1040" s="6">
        <v>52.5</v>
      </c>
      <c r="U1040" s="10">
        <f t="shared" si="32"/>
        <v>47.25</v>
      </c>
      <c r="V1040" s="15">
        <v>1.3</v>
      </c>
      <c r="W1040" s="8">
        <v>0.19640456290245015</v>
      </c>
      <c r="X1040" s="8">
        <v>1.9442955316305162</v>
      </c>
      <c r="Y1040" s="8">
        <f t="shared" si="33"/>
        <v>0.37305902841091498</v>
      </c>
      <c r="Z1040" s="6" t="s">
        <v>1760</v>
      </c>
    </row>
    <row r="1041" spans="1:26" s="13" customFormat="1" x14ac:dyDescent="0.35">
      <c r="A1041" s="6" t="s">
        <v>25</v>
      </c>
      <c r="B1041" s="6" t="s">
        <v>2494</v>
      </c>
      <c r="C1041" s="6"/>
      <c r="D1041" s="6" t="s">
        <v>2495</v>
      </c>
      <c r="E1041" s="6">
        <v>5</v>
      </c>
      <c r="F1041" s="6">
        <v>61</v>
      </c>
      <c r="G1041" s="6"/>
      <c r="H1041" s="6"/>
      <c r="I1041" s="8">
        <v>89.023700416666699</v>
      </c>
      <c r="J1041" s="8">
        <v>102.473466597222</v>
      </c>
      <c r="K1041" s="6" t="s">
        <v>29</v>
      </c>
      <c r="L1041" s="29" t="s">
        <v>335</v>
      </c>
      <c r="M1041" s="9">
        <v>44088</v>
      </c>
      <c r="N1041" s="6"/>
      <c r="O1041" s="6">
        <v>52</v>
      </c>
      <c r="P1041" s="6" t="s">
        <v>4394</v>
      </c>
      <c r="Q1041" s="6"/>
      <c r="R1041" s="6"/>
      <c r="S1041" s="6">
        <v>52.5</v>
      </c>
      <c r="T1041" s="6">
        <v>63</v>
      </c>
      <c r="U1041" s="10">
        <f t="shared" si="32"/>
        <v>57.75</v>
      </c>
      <c r="V1041" s="15">
        <v>1</v>
      </c>
      <c r="W1041" s="8">
        <v>0.35529534657001488</v>
      </c>
      <c r="X1041" s="8">
        <v>3.0069196743965154</v>
      </c>
      <c r="Y1041" s="8">
        <f t="shared" si="33"/>
        <v>0.16455690183639637</v>
      </c>
      <c r="Z1041" s="6" t="s">
        <v>1760</v>
      </c>
    </row>
    <row r="1042" spans="1:26" s="13" customFormat="1" x14ac:dyDescent="0.35">
      <c r="A1042" s="6" t="s">
        <v>25</v>
      </c>
      <c r="B1042" s="6" t="s">
        <v>2496</v>
      </c>
      <c r="C1042" s="6"/>
      <c r="D1042" s="6" t="s">
        <v>2497</v>
      </c>
      <c r="E1042" s="6">
        <v>5</v>
      </c>
      <c r="F1042" s="6">
        <v>61</v>
      </c>
      <c r="G1042" s="6"/>
      <c r="H1042" s="6"/>
      <c r="I1042" s="8">
        <v>89.023700416666699</v>
      </c>
      <c r="J1042" s="8">
        <v>102.473466597222</v>
      </c>
      <c r="K1042" s="6" t="s">
        <v>29</v>
      </c>
      <c r="L1042" s="29" t="s">
        <v>335</v>
      </c>
      <c r="M1042" s="9">
        <v>44088</v>
      </c>
      <c r="N1042" s="6"/>
      <c r="O1042" s="6">
        <v>52</v>
      </c>
      <c r="P1042" s="6" t="s">
        <v>4394</v>
      </c>
      <c r="Q1042" s="6"/>
      <c r="R1042" s="6"/>
      <c r="S1042" s="6">
        <v>63</v>
      </c>
      <c r="T1042" s="6">
        <v>73.5</v>
      </c>
      <c r="U1042" s="10">
        <f t="shared" si="32"/>
        <v>68.25</v>
      </c>
      <c r="V1042" s="15">
        <v>1.8</v>
      </c>
      <c r="W1042" s="8">
        <v>0.26859126044511761</v>
      </c>
      <c r="X1042" s="8">
        <v>2.7523659701347354</v>
      </c>
      <c r="Y1042" s="8">
        <f t="shared" si="33"/>
        <v>0.60363588657379452</v>
      </c>
      <c r="Z1042" s="6" t="s">
        <v>1760</v>
      </c>
    </row>
    <row r="1043" spans="1:26" s="13" customFormat="1" x14ac:dyDescent="0.35">
      <c r="A1043" s="6" t="s">
        <v>25</v>
      </c>
      <c r="B1043" s="6" t="s">
        <v>2498</v>
      </c>
      <c r="C1043" s="6"/>
      <c r="D1043" s="6" t="s">
        <v>2499</v>
      </c>
      <c r="E1043" s="6">
        <v>5</v>
      </c>
      <c r="F1043" s="6">
        <v>61</v>
      </c>
      <c r="G1043" s="6"/>
      <c r="H1043" s="6"/>
      <c r="I1043" s="8">
        <v>89.023700416666699</v>
      </c>
      <c r="J1043" s="8">
        <v>102.473466597222</v>
      </c>
      <c r="K1043" s="6" t="s">
        <v>29</v>
      </c>
      <c r="L1043" s="29" t="s">
        <v>335</v>
      </c>
      <c r="M1043" s="9">
        <v>44088</v>
      </c>
      <c r="N1043" s="6"/>
      <c r="O1043" s="6">
        <v>52</v>
      </c>
      <c r="P1043" s="6" t="s">
        <v>4394</v>
      </c>
      <c r="Q1043" s="6"/>
      <c r="R1043" s="6"/>
      <c r="S1043" s="6">
        <v>73.5</v>
      </c>
      <c r="T1043" s="6">
        <v>84</v>
      </c>
      <c r="U1043" s="10">
        <f t="shared" si="32"/>
        <v>78.75</v>
      </c>
      <c r="V1043" s="15">
        <v>2.1</v>
      </c>
      <c r="W1043" s="8">
        <v>0.43527446372509015</v>
      </c>
      <c r="X1043" s="8">
        <v>4.5339330062866212</v>
      </c>
      <c r="Y1043" s="8">
        <f t="shared" si="33"/>
        <v>1.0517372964859</v>
      </c>
      <c r="Z1043" s="6" t="s">
        <v>1760</v>
      </c>
    </row>
    <row r="1044" spans="1:26" s="13" customFormat="1" x14ac:dyDescent="0.35">
      <c r="A1044" s="6" t="s">
        <v>25</v>
      </c>
      <c r="B1044" s="6" t="s">
        <v>2500</v>
      </c>
      <c r="C1044" s="6"/>
      <c r="D1044" s="6" t="s">
        <v>2501</v>
      </c>
      <c r="E1044" s="6">
        <v>5</v>
      </c>
      <c r="F1044" s="6">
        <v>61</v>
      </c>
      <c r="G1044" s="6"/>
      <c r="H1044" s="6"/>
      <c r="I1044" s="8">
        <v>89.023700416666699</v>
      </c>
      <c r="J1044" s="8">
        <v>102.473466597222</v>
      </c>
      <c r="K1044" s="6" t="s">
        <v>29</v>
      </c>
      <c r="L1044" s="29" t="s">
        <v>335</v>
      </c>
      <c r="M1044" s="9">
        <v>44088</v>
      </c>
      <c r="N1044" s="6"/>
      <c r="O1044" s="6">
        <v>52</v>
      </c>
      <c r="P1044" s="6" t="s">
        <v>4394</v>
      </c>
      <c r="Q1044" s="6"/>
      <c r="R1044" s="6"/>
      <c r="S1044" s="6">
        <v>84</v>
      </c>
      <c r="T1044" s="6">
        <v>95</v>
      </c>
      <c r="U1044" s="10">
        <f t="shared" si="32"/>
        <v>89.5</v>
      </c>
      <c r="V1044" s="15">
        <v>2.2999999999999998</v>
      </c>
      <c r="W1044" s="8">
        <v>0.54413100070953324</v>
      </c>
      <c r="X1044" s="8">
        <v>4.9335378394126899</v>
      </c>
      <c r="Y1044" s="8">
        <f t="shared" si="33"/>
        <v>0.58048983373642393</v>
      </c>
      <c r="Z1044" s="6" t="s">
        <v>1760</v>
      </c>
    </row>
  </sheetData>
  <sortState ref="A2:Z1044">
    <sortCondition ref="M102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2843-0079-4EB6-AF27-DC43B6E7368E}">
  <dimension ref="A1:Z119"/>
  <sheetViews>
    <sheetView workbookViewId="0"/>
  </sheetViews>
  <sheetFormatPr defaultRowHeight="14.5" x14ac:dyDescent="0.35"/>
  <cols>
    <col min="13" max="13" width="11.36328125" bestFit="1" customWidth="1"/>
  </cols>
  <sheetData>
    <row r="1" spans="1:2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4449</v>
      </c>
      <c r="M1" s="2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1" t="s">
        <v>20</v>
      </c>
      <c r="W1" s="5" t="s">
        <v>21</v>
      </c>
      <c r="X1" s="5" t="s">
        <v>22</v>
      </c>
      <c r="Y1" s="5" t="s">
        <v>23</v>
      </c>
      <c r="Z1" s="1" t="s">
        <v>24</v>
      </c>
    </row>
    <row r="2" spans="1:26" s="13" customFormat="1" x14ac:dyDescent="0.35">
      <c r="B2" s="13" t="s">
        <v>2640</v>
      </c>
      <c r="D2" s="13" t="s">
        <v>2958</v>
      </c>
      <c r="E2" s="13">
        <v>1</v>
      </c>
      <c r="F2" s="13">
        <v>5</v>
      </c>
      <c r="K2" s="13" t="s">
        <v>29</v>
      </c>
      <c r="L2" s="22" t="s">
        <v>335</v>
      </c>
      <c r="V2" s="23"/>
      <c r="W2" s="23">
        <v>-2.3991375111103057</v>
      </c>
      <c r="X2" s="23">
        <v>-19.635501373291017</v>
      </c>
      <c r="Y2" s="23">
        <f t="shared" ref="Y2:Y33" si="0">X2-(8*W2)</f>
        <v>-0.44240128440857163</v>
      </c>
    </row>
    <row r="3" spans="1:26" s="13" customFormat="1" x14ac:dyDescent="0.35">
      <c r="B3" s="13" t="s">
        <v>2641</v>
      </c>
      <c r="D3" s="13" t="s">
        <v>2959</v>
      </c>
      <c r="E3" s="13">
        <v>1</v>
      </c>
      <c r="F3" s="13">
        <v>5</v>
      </c>
      <c r="K3" s="13" t="s">
        <v>29</v>
      </c>
      <c r="L3" s="22" t="s">
        <v>335</v>
      </c>
      <c r="V3" s="23"/>
      <c r="W3" s="23">
        <v>-0.62012124652862566</v>
      </c>
      <c r="X3" s="23">
        <v>-4.9406228809356687</v>
      </c>
      <c r="Y3" s="23">
        <f t="shared" si="0"/>
        <v>2.0347091293336561E-2</v>
      </c>
    </row>
    <row r="4" spans="1:26" s="13" customFormat="1" x14ac:dyDescent="0.35">
      <c r="B4" s="13" t="s">
        <v>2642</v>
      </c>
      <c r="D4" s="13" t="s">
        <v>2960</v>
      </c>
      <c r="E4" s="13">
        <v>1</v>
      </c>
      <c r="F4" s="13">
        <v>5</v>
      </c>
      <c r="K4" s="13" t="s">
        <v>29</v>
      </c>
      <c r="L4" s="22" t="s">
        <v>335</v>
      </c>
      <c r="V4" s="23"/>
      <c r="W4" s="23">
        <v>-0.60618516681313506</v>
      </c>
      <c r="X4" s="23">
        <v>-4.6456207497119903</v>
      </c>
      <c r="Y4" s="23">
        <f t="shared" si="0"/>
        <v>0.2038605847930901</v>
      </c>
    </row>
    <row r="5" spans="1:26" s="13" customFormat="1" x14ac:dyDescent="0.35">
      <c r="B5" s="13" t="s">
        <v>2643</v>
      </c>
      <c r="D5" s="13" t="s">
        <v>2961</v>
      </c>
      <c r="E5" s="13">
        <v>1</v>
      </c>
      <c r="F5" s="13">
        <v>5</v>
      </c>
      <c r="K5" s="13" t="s">
        <v>29</v>
      </c>
      <c r="L5" s="22" t="s">
        <v>335</v>
      </c>
      <c r="V5" s="23"/>
      <c r="W5" s="23">
        <v>-0.57069054362893068</v>
      </c>
      <c r="X5" s="23">
        <v>-4.3234388364553453</v>
      </c>
      <c r="Y5" s="23">
        <f t="shared" si="0"/>
        <v>0.24208551257610011</v>
      </c>
    </row>
    <row r="6" spans="1:26" s="13" customFormat="1" x14ac:dyDescent="0.35">
      <c r="B6" s="13" t="s">
        <v>2644</v>
      </c>
      <c r="D6" s="13" t="s">
        <v>2962</v>
      </c>
      <c r="E6" s="13">
        <v>1</v>
      </c>
      <c r="F6" s="13">
        <v>5</v>
      </c>
      <c r="K6" s="13" t="s">
        <v>29</v>
      </c>
      <c r="L6" s="22" t="s">
        <v>335</v>
      </c>
      <c r="V6" s="23"/>
      <c r="W6" s="23">
        <v>-0.21620678614795225</v>
      </c>
      <c r="X6" s="23">
        <v>-1.2722127469331026</v>
      </c>
      <c r="Y6" s="23">
        <f t="shared" si="0"/>
        <v>0.45744154225051536</v>
      </c>
    </row>
    <row r="7" spans="1:26" s="13" customFormat="1" x14ac:dyDescent="0.35">
      <c r="B7" s="13" t="s">
        <v>2645</v>
      </c>
      <c r="D7" s="13" t="s">
        <v>2963</v>
      </c>
      <c r="E7" s="13">
        <v>1</v>
      </c>
      <c r="F7" s="13">
        <v>5</v>
      </c>
      <c r="K7" s="13" t="s">
        <v>29</v>
      </c>
      <c r="L7" s="22" t="s">
        <v>335</v>
      </c>
      <c r="V7" s="23"/>
      <c r="W7" s="23">
        <v>0.82844211433887527</v>
      </c>
      <c r="X7" s="23">
        <v>6.8403445878028881</v>
      </c>
      <c r="Y7" s="23">
        <f t="shared" si="0"/>
        <v>0.21280767309188597</v>
      </c>
    </row>
    <row r="8" spans="1:26" s="13" customFormat="1" x14ac:dyDescent="0.35">
      <c r="B8" s="13" t="s">
        <v>2646</v>
      </c>
      <c r="D8" s="13" t="s">
        <v>2964</v>
      </c>
      <c r="E8" s="13">
        <v>1</v>
      </c>
      <c r="F8" s="13">
        <v>5</v>
      </c>
      <c r="K8" s="13" t="s">
        <v>29</v>
      </c>
      <c r="L8" s="22" t="s">
        <v>335</v>
      </c>
      <c r="V8" s="23"/>
      <c r="W8" s="23">
        <v>1.2032711375808716</v>
      </c>
      <c r="X8" s="23">
        <v>9.9235417118072533</v>
      </c>
      <c r="Y8" s="23">
        <f t="shared" si="0"/>
        <v>0.2973726111602808</v>
      </c>
    </row>
    <row r="9" spans="1:26" s="6" customFormat="1" x14ac:dyDescent="0.35">
      <c r="A9" s="13"/>
      <c r="B9" s="13" t="s">
        <v>2647</v>
      </c>
      <c r="C9" s="13"/>
      <c r="D9" s="13" t="s">
        <v>2965</v>
      </c>
      <c r="E9" s="13">
        <v>1</v>
      </c>
      <c r="F9" s="13">
        <v>5</v>
      </c>
      <c r="G9" s="13"/>
      <c r="H9" s="13"/>
      <c r="I9" s="13"/>
      <c r="J9" s="13"/>
      <c r="K9" s="13" t="s">
        <v>29</v>
      </c>
      <c r="L9" s="22" t="s">
        <v>335</v>
      </c>
      <c r="M9" s="13"/>
      <c r="N9" s="13"/>
      <c r="O9" s="13"/>
      <c r="P9" s="13"/>
      <c r="Q9" s="13"/>
      <c r="R9" s="13"/>
      <c r="S9" s="13"/>
      <c r="T9" s="13"/>
      <c r="U9" s="13"/>
      <c r="V9" s="23"/>
      <c r="W9" s="23">
        <v>1.0522255731678005</v>
      </c>
      <c r="X9" s="23">
        <v>7.5916581811904926</v>
      </c>
      <c r="Y9" s="23">
        <f t="shared" si="0"/>
        <v>-0.82614640415191154</v>
      </c>
      <c r="Z9" s="13"/>
    </row>
    <row r="10" spans="1:26" s="6" customFormat="1" x14ac:dyDescent="0.35">
      <c r="A10" s="13"/>
      <c r="B10" s="13" t="s">
        <v>2671</v>
      </c>
      <c r="C10" s="13"/>
      <c r="D10" s="13" t="s">
        <v>2989</v>
      </c>
      <c r="E10" s="13">
        <v>1</v>
      </c>
      <c r="F10" s="13">
        <v>5</v>
      </c>
      <c r="G10" s="13"/>
      <c r="H10" s="13"/>
      <c r="I10" s="13"/>
      <c r="J10" s="13"/>
      <c r="K10" s="13" t="s">
        <v>29</v>
      </c>
      <c r="L10" s="22" t="s">
        <v>546</v>
      </c>
      <c r="M10" s="13"/>
      <c r="N10" s="13"/>
      <c r="O10" s="13"/>
      <c r="P10" s="13"/>
      <c r="Q10" s="13"/>
      <c r="R10" s="13"/>
      <c r="S10" s="13"/>
      <c r="T10" s="13"/>
      <c r="U10" s="13"/>
      <c r="V10" s="23"/>
      <c r="W10" s="23">
        <v>-5.3263295697212234</v>
      </c>
      <c r="X10" s="23">
        <v>-41.39712829589844</v>
      </c>
      <c r="Y10" s="23">
        <f t="shared" si="0"/>
        <v>1.2135082618713469</v>
      </c>
      <c r="Z10" s="13"/>
    </row>
    <row r="11" spans="1:26" s="12" customFormat="1" x14ac:dyDescent="0.35">
      <c r="A11" s="13"/>
      <c r="B11" s="13" t="s">
        <v>2672</v>
      </c>
      <c r="C11" s="13"/>
      <c r="D11" s="13" t="s">
        <v>2990</v>
      </c>
      <c r="E11" s="13">
        <v>1</v>
      </c>
      <c r="F11" s="13">
        <v>5</v>
      </c>
      <c r="G11" s="13"/>
      <c r="H11" s="13"/>
      <c r="I11" s="13"/>
      <c r="J11" s="13"/>
      <c r="K11" s="13" t="s">
        <v>29</v>
      </c>
      <c r="L11" s="22" t="s">
        <v>546</v>
      </c>
      <c r="M11" s="13"/>
      <c r="N11" s="13"/>
      <c r="O11" s="13"/>
      <c r="P11" s="13"/>
      <c r="Q11" s="13"/>
      <c r="R11" s="13"/>
      <c r="S11" s="13"/>
      <c r="T11" s="13"/>
      <c r="U11" s="13"/>
      <c r="V11" s="23"/>
      <c r="W11" s="23">
        <v>-4.2222807477951054</v>
      </c>
      <c r="X11" s="23">
        <v>-32.99936755371094</v>
      </c>
      <c r="Y11" s="23">
        <f t="shared" si="0"/>
        <v>0.77887842864990375</v>
      </c>
      <c r="Z11" s="13"/>
    </row>
    <row r="12" spans="1:26" s="6" customFormat="1" x14ac:dyDescent="0.35">
      <c r="A12" s="13"/>
      <c r="B12" s="13" t="s">
        <v>2673</v>
      </c>
      <c r="C12" s="13"/>
      <c r="D12" s="13" t="s">
        <v>2991</v>
      </c>
      <c r="E12" s="13">
        <v>1</v>
      </c>
      <c r="F12" s="13">
        <v>5</v>
      </c>
      <c r="G12" s="13"/>
      <c r="H12" s="13"/>
      <c r="I12" s="13"/>
      <c r="J12" s="13"/>
      <c r="K12" s="13" t="s">
        <v>29</v>
      </c>
      <c r="L12" s="22" t="s">
        <v>546</v>
      </c>
      <c r="M12" s="13"/>
      <c r="N12" s="13"/>
      <c r="O12" s="13"/>
      <c r="P12" s="13"/>
      <c r="Q12" s="13"/>
      <c r="R12" s="13"/>
      <c r="S12" s="13"/>
      <c r="T12" s="13"/>
      <c r="U12" s="13"/>
      <c r="V12" s="23"/>
      <c r="W12" s="23">
        <v>-3.741646180057526</v>
      </c>
      <c r="X12" s="23">
        <v>-29.61334033203125</v>
      </c>
      <c r="Y12" s="23">
        <f t="shared" si="0"/>
        <v>0.31982910842895862</v>
      </c>
      <c r="Z12" s="13"/>
    </row>
    <row r="13" spans="1:26" s="6" customFormat="1" x14ac:dyDescent="0.35">
      <c r="A13" s="13"/>
      <c r="B13" s="13" t="s">
        <v>2674</v>
      </c>
      <c r="C13" s="13"/>
      <c r="D13" s="13" t="s">
        <v>2992</v>
      </c>
      <c r="E13" s="13">
        <v>1</v>
      </c>
      <c r="F13" s="13">
        <v>5</v>
      </c>
      <c r="G13" s="13"/>
      <c r="H13" s="13"/>
      <c r="I13" s="13"/>
      <c r="J13" s="13"/>
      <c r="K13" s="13" t="s">
        <v>29</v>
      </c>
      <c r="L13" s="22" t="s">
        <v>546</v>
      </c>
      <c r="M13" s="13"/>
      <c r="N13" s="13"/>
      <c r="O13" s="13"/>
      <c r="P13" s="13"/>
      <c r="Q13" s="13"/>
      <c r="R13" s="13"/>
      <c r="S13" s="13"/>
      <c r="T13" s="13"/>
      <c r="U13" s="13"/>
      <c r="V13" s="23"/>
      <c r="W13" s="23">
        <v>-3.4665472506523134</v>
      </c>
      <c r="X13" s="23">
        <v>-27.180290649414061</v>
      </c>
      <c r="Y13" s="23">
        <f t="shared" si="0"/>
        <v>0.55208735580444568</v>
      </c>
      <c r="Z13" s="13"/>
    </row>
    <row r="14" spans="1:26" s="6" customFormat="1" x14ac:dyDescent="0.35">
      <c r="A14" s="13"/>
      <c r="B14" s="13" t="s">
        <v>2675</v>
      </c>
      <c r="C14" s="13"/>
      <c r="D14" s="13" t="s">
        <v>2993</v>
      </c>
      <c r="E14" s="13">
        <v>1</v>
      </c>
      <c r="F14" s="13">
        <v>5</v>
      </c>
      <c r="G14" s="13"/>
      <c r="H14" s="13"/>
      <c r="I14" s="13"/>
      <c r="J14" s="13"/>
      <c r="K14" s="13" t="s">
        <v>29</v>
      </c>
      <c r="L14" s="22" t="s">
        <v>546</v>
      </c>
      <c r="M14" s="13"/>
      <c r="N14" s="13"/>
      <c r="O14" s="13"/>
      <c r="P14" s="13"/>
      <c r="Q14" s="13"/>
      <c r="R14" s="13"/>
      <c r="S14" s="13"/>
      <c r="T14" s="13"/>
      <c r="U14" s="13"/>
      <c r="V14" s="23"/>
      <c r="W14" s="23">
        <v>-3.4372634719848625</v>
      </c>
      <c r="X14" s="23">
        <v>-26.550230407714842</v>
      </c>
      <c r="Y14" s="23">
        <f t="shared" si="0"/>
        <v>0.94787736816405754</v>
      </c>
      <c r="Z14" s="13"/>
    </row>
    <row r="15" spans="1:26" s="6" customFormat="1" x14ac:dyDescent="0.35">
      <c r="A15" s="13"/>
      <c r="B15" s="13" t="s">
        <v>2676</v>
      </c>
      <c r="C15" s="13"/>
      <c r="D15" s="13" t="s">
        <v>2994</v>
      </c>
      <c r="E15" s="13">
        <v>1</v>
      </c>
      <c r="F15" s="13">
        <v>5</v>
      </c>
      <c r="G15" s="13"/>
      <c r="H15" s="13"/>
      <c r="I15" s="13"/>
      <c r="J15" s="13"/>
      <c r="K15" s="13" t="s">
        <v>29</v>
      </c>
      <c r="L15" s="22" t="s">
        <v>546</v>
      </c>
      <c r="M15" s="13"/>
      <c r="N15" s="13"/>
      <c r="O15" s="13"/>
      <c r="P15" s="13"/>
      <c r="Q15" s="13"/>
      <c r="R15" s="13"/>
      <c r="S15" s="13"/>
      <c r="T15" s="13"/>
      <c r="U15" s="13"/>
      <c r="V15" s="23"/>
      <c r="W15" s="23">
        <v>-4.4702452062606808</v>
      </c>
      <c r="X15" s="23">
        <v>-33.24138098144531</v>
      </c>
      <c r="Y15" s="23">
        <f t="shared" si="0"/>
        <v>2.520580668640136</v>
      </c>
      <c r="Z15" s="13"/>
    </row>
    <row r="16" spans="1:26" s="6" customFormat="1" x14ac:dyDescent="0.35">
      <c r="A16" s="13"/>
      <c r="B16" s="13" t="s">
        <v>2677</v>
      </c>
      <c r="C16" s="13"/>
      <c r="D16" s="13" t="s">
        <v>2995</v>
      </c>
      <c r="E16" s="13">
        <v>1</v>
      </c>
      <c r="F16" s="13">
        <v>5</v>
      </c>
      <c r="G16" s="13"/>
      <c r="H16" s="13"/>
      <c r="I16" s="13"/>
      <c r="J16" s="13"/>
      <c r="K16" s="13" t="s">
        <v>29</v>
      </c>
      <c r="L16" s="22" t="s">
        <v>546</v>
      </c>
      <c r="M16" s="13"/>
      <c r="N16" s="13"/>
      <c r="O16" s="13"/>
      <c r="P16" s="13"/>
      <c r="Q16" s="13"/>
      <c r="R16" s="13"/>
      <c r="S16" s="13"/>
      <c r="T16" s="13"/>
      <c r="U16" s="13"/>
      <c r="V16" s="23"/>
      <c r="W16" s="23">
        <v>-4.3735958456039441</v>
      </c>
      <c r="X16" s="23">
        <v>-33.03910144042969</v>
      </c>
      <c r="Y16" s="23">
        <f t="shared" si="0"/>
        <v>1.9496653244018631</v>
      </c>
      <c r="Z16" s="13"/>
    </row>
    <row r="17" spans="1:26" s="6" customFormat="1" x14ac:dyDescent="0.35">
      <c r="A17" s="13"/>
      <c r="B17" s="13" t="s">
        <v>2678</v>
      </c>
      <c r="C17" s="13"/>
      <c r="D17" s="13" t="s">
        <v>2996</v>
      </c>
      <c r="E17" s="13">
        <v>1</v>
      </c>
      <c r="F17" s="13">
        <v>5</v>
      </c>
      <c r="G17" s="13"/>
      <c r="H17" s="13"/>
      <c r="I17" s="13"/>
      <c r="J17" s="13"/>
      <c r="K17" s="13" t="s">
        <v>29</v>
      </c>
      <c r="L17" s="22" t="s">
        <v>546</v>
      </c>
      <c r="M17" s="13"/>
      <c r="N17" s="13"/>
      <c r="O17" s="13"/>
      <c r="P17" s="13"/>
      <c r="Q17" s="13"/>
      <c r="R17" s="13"/>
      <c r="S17" s="13"/>
      <c r="T17" s="13"/>
      <c r="U17" s="13"/>
      <c r="V17" s="23"/>
      <c r="W17" s="23">
        <v>-2.6546592864990237</v>
      </c>
      <c r="X17" s="23">
        <v>-20.664740728759764</v>
      </c>
      <c r="Y17" s="23">
        <f t="shared" si="0"/>
        <v>0.57253356323242599</v>
      </c>
      <c r="Z17" s="13"/>
    </row>
    <row r="18" spans="1:26" s="6" customFormat="1" x14ac:dyDescent="0.35">
      <c r="A18" s="13"/>
      <c r="B18" s="13" t="s">
        <v>2679</v>
      </c>
      <c r="C18" s="13"/>
      <c r="D18" s="13" t="s">
        <v>2997</v>
      </c>
      <c r="E18" s="13">
        <v>1</v>
      </c>
      <c r="F18" s="13">
        <v>5</v>
      </c>
      <c r="G18" s="13"/>
      <c r="H18" s="13"/>
      <c r="I18" s="13"/>
      <c r="J18" s="13"/>
      <c r="K18" s="13" t="s">
        <v>29</v>
      </c>
      <c r="L18" s="22" t="s">
        <v>546</v>
      </c>
      <c r="M18" s="13"/>
      <c r="N18" s="13"/>
      <c r="O18" s="13"/>
      <c r="P18" s="13"/>
      <c r="Q18" s="13"/>
      <c r="R18" s="13"/>
      <c r="S18" s="13"/>
      <c r="T18" s="13"/>
      <c r="U18" s="13"/>
      <c r="V18" s="23"/>
      <c r="W18" s="23">
        <v>-2.4140345821380613</v>
      </c>
      <c r="X18" s="23">
        <v>-18.158405462646481</v>
      </c>
      <c r="Y18" s="23">
        <f t="shared" si="0"/>
        <v>1.1538711944580093</v>
      </c>
      <c r="Z18" s="13"/>
    </row>
    <row r="19" spans="1:26" s="6" customFormat="1" x14ac:dyDescent="0.35">
      <c r="A19" s="13"/>
      <c r="B19" s="13" t="s">
        <v>2680</v>
      </c>
      <c r="C19" s="13"/>
      <c r="D19" s="13" t="s">
        <v>2998</v>
      </c>
      <c r="E19" s="13">
        <v>1</v>
      </c>
      <c r="F19" s="13">
        <v>5</v>
      </c>
      <c r="G19" s="13"/>
      <c r="H19" s="13"/>
      <c r="I19" s="13"/>
      <c r="J19" s="13"/>
      <c r="K19" s="13" t="s">
        <v>29</v>
      </c>
      <c r="L19" s="22" t="s">
        <v>546</v>
      </c>
      <c r="M19" s="13"/>
      <c r="N19" s="13"/>
      <c r="O19" s="13"/>
      <c r="P19" s="13"/>
      <c r="Q19" s="13"/>
      <c r="R19" s="13"/>
      <c r="S19" s="13"/>
      <c r="T19" s="13"/>
      <c r="U19" s="13"/>
      <c r="V19" s="23"/>
      <c r="W19" s="23">
        <v>-1.7546881917715069</v>
      </c>
      <c r="X19" s="23">
        <v>-13.580393438720703</v>
      </c>
      <c r="Y19" s="23">
        <f t="shared" si="0"/>
        <v>0.45711209545135212</v>
      </c>
      <c r="Z19" s="13"/>
    </row>
    <row r="20" spans="1:26" s="6" customFormat="1" x14ac:dyDescent="0.35">
      <c r="A20" s="13"/>
      <c r="B20" s="13" t="s">
        <v>2681</v>
      </c>
      <c r="C20" s="13"/>
      <c r="D20" s="13" t="s">
        <v>2999</v>
      </c>
      <c r="E20" s="13">
        <v>1</v>
      </c>
      <c r="F20" s="13">
        <v>5</v>
      </c>
      <c r="G20" s="13"/>
      <c r="H20" s="13"/>
      <c r="I20" s="13"/>
      <c r="J20" s="13"/>
      <c r="K20" s="13" t="s">
        <v>29</v>
      </c>
      <c r="L20" s="22" t="s">
        <v>546</v>
      </c>
      <c r="M20" s="13"/>
      <c r="N20" s="13"/>
      <c r="O20" s="13"/>
      <c r="P20" s="13"/>
      <c r="Q20" s="13"/>
      <c r="R20" s="13"/>
      <c r="S20" s="13"/>
      <c r="T20" s="13"/>
      <c r="U20" s="13"/>
      <c r="V20" s="23"/>
      <c r="W20" s="23">
        <v>-1.6631989667415621</v>
      </c>
      <c r="X20" s="23">
        <v>-12.188547979736327</v>
      </c>
      <c r="Y20" s="23">
        <f t="shared" si="0"/>
        <v>1.1170437541961693</v>
      </c>
      <c r="Z20" s="13"/>
    </row>
    <row r="21" spans="1:26" s="12" customFormat="1" x14ac:dyDescent="0.35">
      <c r="A21" s="13"/>
      <c r="B21" s="13" t="s">
        <v>2682</v>
      </c>
      <c r="C21" s="13"/>
      <c r="D21" s="13" t="s">
        <v>3000</v>
      </c>
      <c r="E21" s="13">
        <v>1</v>
      </c>
      <c r="F21" s="13">
        <v>5</v>
      </c>
      <c r="G21" s="13"/>
      <c r="H21" s="13"/>
      <c r="I21" s="13"/>
      <c r="J21" s="13"/>
      <c r="K21" s="13" t="s">
        <v>29</v>
      </c>
      <c r="L21" s="22" t="s">
        <v>546</v>
      </c>
      <c r="M21" s="13"/>
      <c r="N21" s="13"/>
      <c r="O21" s="13"/>
      <c r="P21" s="13"/>
      <c r="Q21" s="13"/>
      <c r="R21" s="13"/>
      <c r="S21" s="13"/>
      <c r="T21" s="13"/>
      <c r="U21" s="13"/>
      <c r="V21" s="23"/>
      <c r="W21" s="23">
        <v>-1.4608356539010998</v>
      </c>
      <c r="X21" s="23">
        <v>-11.102181875610352</v>
      </c>
      <c r="Y21" s="23">
        <f t="shared" si="0"/>
        <v>0.58450335559844646</v>
      </c>
      <c r="Z21" s="13"/>
    </row>
    <row r="22" spans="1:26" s="6" customFormat="1" x14ac:dyDescent="0.35">
      <c r="A22" s="13"/>
      <c r="B22" s="13" t="s">
        <v>2683</v>
      </c>
      <c r="C22" s="13"/>
      <c r="D22" s="13" t="s">
        <v>3001</v>
      </c>
      <c r="E22" s="13">
        <v>1</v>
      </c>
      <c r="F22" s="13">
        <v>5</v>
      </c>
      <c r="G22" s="13"/>
      <c r="H22" s="13"/>
      <c r="I22" s="13"/>
      <c r="J22" s="13"/>
      <c r="K22" s="13" t="s">
        <v>29</v>
      </c>
      <c r="L22" s="22" t="s">
        <v>546</v>
      </c>
      <c r="M22" s="13"/>
      <c r="N22" s="13"/>
      <c r="O22" s="13"/>
      <c r="P22" s="13"/>
      <c r="Q22" s="13"/>
      <c r="R22" s="13"/>
      <c r="S22" s="13"/>
      <c r="T22" s="13"/>
      <c r="U22" s="13"/>
      <c r="V22" s="23"/>
      <c r="W22" s="23">
        <v>-2.1834040389060974</v>
      </c>
      <c r="X22" s="23">
        <v>-16.888667974853515</v>
      </c>
      <c r="Y22" s="23">
        <f t="shared" si="0"/>
        <v>0.57856433639526372</v>
      </c>
      <c r="Z22" s="13"/>
    </row>
    <row r="23" spans="1:26" s="6" customFormat="1" x14ac:dyDescent="0.35">
      <c r="A23" s="13"/>
      <c r="B23" s="13" t="s">
        <v>2684</v>
      </c>
      <c r="C23" s="13"/>
      <c r="D23" s="13" t="s">
        <v>3002</v>
      </c>
      <c r="E23" s="13">
        <v>1</v>
      </c>
      <c r="F23" s="13">
        <v>5</v>
      </c>
      <c r="G23" s="13"/>
      <c r="H23" s="13"/>
      <c r="I23" s="13"/>
      <c r="J23" s="13"/>
      <c r="K23" s="13" t="s">
        <v>29</v>
      </c>
      <c r="L23" s="22" t="s">
        <v>546</v>
      </c>
      <c r="M23" s="13"/>
      <c r="N23" s="13"/>
      <c r="O23" s="13"/>
      <c r="P23" s="13"/>
      <c r="Q23" s="13"/>
      <c r="R23" s="13"/>
      <c r="S23" s="13"/>
      <c r="T23" s="13"/>
      <c r="U23" s="13"/>
      <c r="V23" s="23"/>
      <c r="W23" s="23">
        <v>-3.254439302444458</v>
      </c>
      <c r="X23" s="23">
        <v>-24.021669317626952</v>
      </c>
      <c r="Y23" s="23">
        <f t="shared" si="0"/>
        <v>2.0138451019287125</v>
      </c>
      <c r="Z23" s="13"/>
    </row>
    <row r="24" spans="1:26" s="6" customFormat="1" x14ac:dyDescent="0.35">
      <c r="A24" s="13"/>
      <c r="B24" s="13" t="s">
        <v>2685</v>
      </c>
      <c r="C24" s="13"/>
      <c r="D24" s="13" t="s">
        <v>3003</v>
      </c>
      <c r="E24" s="13">
        <v>1</v>
      </c>
      <c r="F24" s="13">
        <v>5</v>
      </c>
      <c r="G24" s="13"/>
      <c r="H24" s="13"/>
      <c r="I24" s="13"/>
      <c r="J24" s="13"/>
      <c r="K24" s="13" t="s">
        <v>29</v>
      </c>
      <c r="L24" s="22" t="s">
        <v>546</v>
      </c>
      <c r="M24" s="13"/>
      <c r="N24" s="13"/>
      <c r="O24" s="13"/>
      <c r="P24" s="13"/>
      <c r="Q24" s="13"/>
      <c r="R24" s="13"/>
      <c r="S24" s="13"/>
      <c r="T24" s="13"/>
      <c r="U24" s="13"/>
      <c r="V24" s="23"/>
      <c r="W24" s="23">
        <v>-1.6941379759311679</v>
      </c>
      <c r="X24" s="23">
        <v>-12.873581442260743</v>
      </c>
      <c r="Y24" s="23">
        <f t="shared" si="0"/>
        <v>0.67952236518859976</v>
      </c>
      <c r="Z24" s="13"/>
    </row>
    <row r="25" spans="1:26" s="6" customFormat="1" x14ac:dyDescent="0.35">
      <c r="A25" s="13"/>
      <c r="B25" s="13" t="s">
        <v>2648</v>
      </c>
      <c r="C25" s="13"/>
      <c r="D25" s="13" t="s">
        <v>2966</v>
      </c>
      <c r="E25" s="13">
        <v>1</v>
      </c>
      <c r="F25" s="13">
        <v>7</v>
      </c>
      <c r="G25" s="13"/>
      <c r="H25" s="13"/>
      <c r="I25" s="13"/>
      <c r="J25" s="13"/>
      <c r="K25" s="13" t="s">
        <v>29</v>
      </c>
      <c r="L25" s="22" t="s">
        <v>335</v>
      </c>
      <c r="M25" s="13"/>
      <c r="N25" s="13"/>
      <c r="O25" s="13"/>
      <c r="P25" s="13"/>
      <c r="Q25" s="13"/>
      <c r="R25" s="13"/>
      <c r="S25" s="13"/>
      <c r="T25" s="13"/>
      <c r="U25" s="13"/>
      <c r="V25" s="23"/>
      <c r="W25" s="23">
        <v>-5.6801248136901856</v>
      </c>
      <c r="X25" s="23">
        <v>-45.724090476989737</v>
      </c>
      <c r="Y25" s="23">
        <f t="shared" si="0"/>
        <v>-0.28309196746825194</v>
      </c>
      <c r="Z25" s="13"/>
    </row>
    <row r="26" spans="1:26" s="6" customFormat="1" x14ac:dyDescent="0.35">
      <c r="A26" s="13"/>
      <c r="B26" s="13" t="s">
        <v>2649</v>
      </c>
      <c r="C26" s="13"/>
      <c r="D26" s="13" t="s">
        <v>2967</v>
      </c>
      <c r="E26" s="13">
        <v>1</v>
      </c>
      <c r="F26" s="13">
        <v>7</v>
      </c>
      <c r="G26" s="13"/>
      <c r="H26" s="13"/>
      <c r="I26" s="13"/>
      <c r="J26" s="13"/>
      <c r="K26" s="13" t="s">
        <v>29</v>
      </c>
      <c r="L26" s="22" t="s">
        <v>335</v>
      </c>
      <c r="M26" s="13"/>
      <c r="N26" s="13"/>
      <c r="O26" s="13"/>
      <c r="P26" s="13"/>
      <c r="Q26" s="13"/>
      <c r="R26" s="13"/>
      <c r="S26" s="13"/>
      <c r="T26" s="13"/>
      <c r="U26" s="13"/>
      <c r="V26" s="23"/>
      <c r="W26" s="23">
        <v>-2.4008020340347294</v>
      </c>
      <c r="X26" s="23">
        <v>-18.518932605743409</v>
      </c>
      <c r="Y26" s="23">
        <f t="shared" si="0"/>
        <v>0.68748366653442616</v>
      </c>
      <c r="Z26" s="13"/>
    </row>
    <row r="27" spans="1:26" s="12" customFormat="1" x14ac:dyDescent="0.35">
      <c r="A27" s="13"/>
      <c r="B27" s="13" t="s">
        <v>2650</v>
      </c>
      <c r="C27" s="13"/>
      <c r="D27" s="13" t="s">
        <v>2968</v>
      </c>
      <c r="E27" s="13">
        <v>1</v>
      </c>
      <c r="F27" s="13">
        <v>7</v>
      </c>
      <c r="G27" s="13"/>
      <c r="H27" s="13"/>
      <c r="I27" s="13"/>
      <c r="J27" s="13"/>
      <c r="K27" s="13" t="s">
        <v>29</v>
      </c>
      <c r="L27" s="22" t="s">
        <v>335</v>
      </c>
      <c r="M27" s="13"/>
      <c r="N27" s="13"/>
      <c r="O27" s="13"/>
      <c r="P27" s="13"/>
      <c r="Q27" s="13"/>
      <c r="R27" s="13"/>
      <c r="S27" s="13"/>
      <c r="T27" s="13"/>
      <c r="U27" s="13"/>
      <c r="V27" s="23"/>
      <c r="W27" s="23">
        <v>-1.685419621839523</v>
      </c>
      <c r="X27" s="23">
        <v>-13.77002112007141</v>
      </c>
      <c r="Y27" s="23">
        <f t="shared" si="0"/>
        <v>-0.28666414535522655</v>
      </c>
      <c r="Z27" s="13"/>
    </row>
    <row r="28" spans="1:26" s="12" customFormat="1" x14ac:dyDescent="0.35">
      <c r="A28" s="13"/>
      <c r="B28" s="13" t="s">
        <v>2651</v>
      </c>
      <c r="C28" s="13"/>
      <c r="D28" s="13" t="s">
        <v>2969</v>
      </c>
      <c r="E28" s="13">
        <v>1</v>
      </c>
      <c r="F28" s="13">
        <v>7</v>
      </c>
      <c r="G28" s="13"/>
      <c r="H28" s="13"/>
      <c r="I28" s="13"/>
      <c r="J28" s="13"/>
      <c r="K28" s="13" t="s">
        <v>29</v>
      </c>
      <c r="L28" s="22" t="s">
        <v>335</v>
      </c>
      <c r="M28" s="13"/>
      <c r="N28" s="13"/>
      <c r="O28" s="13"/>
      <c r="P28" s="13"/>
      <c r="Q28" s="13"/>
      <c r="R28" s="13"/>
      <c r="S28" s="13"/>
      <c r="T28" s="13"/>
      <c r="U28" s="13"/>
      <c r="V28" s="23"/>
      <c r="W28" s="23">
        <v>0.64180702231884035</v>
      </c>
      <c r="X28" s="23">
        <v>5.1605969896316539</v>
      </c>
      <c r="Y28" s="23">
        <f t="shared" si="0"/>
        <v>2.6140811080931137E-2</v>
      </c>
      <c r="Z28" s="13"/>
    </row>
    <row r="29" spans="1:26" s="6" customFormat="1" x14ac:dyDescent="0.35">
      <c r="A29" s="13"/>
      <c r="B29" s="13" t="s">
        <v>2652</v>
      </c>
      <c r="C29" s="13"/>
      <c r="D29" s="13" t="s">
        <v>2970</v>
      </c>
      <c r="E29" s="13">
        <v>1</v>
      </c>
      <c r="F29" s="13">
        <v>7</v>
      </c>
      <c r="G29" s="13"/>
      <c r="H29" s="13"/>
      <c r="I29" s="13"/>
      <c r="J29" s="13"/>
      <c r="K29" s="13" t="s">
        <v>29</v>
      </c>
      <c r="L29" s="22" t="s">
        <v>335</v>
      </c>
      <c r="M29" s="13"/>
      <c r="N29" s="13"/>
      <c r="O29" s="13"/>
      <c r="P29" s="13"/>
      <c r="Q29" s="13"/>
      <c r="R29" s="13"/>
      <c r="S29" s="13"/>
      <c r="T29" s="13"/>
      <c r="U29" s="13"/>
      <c r="V29" s="23"/>
      <c r="W29" s="23">
        <v>1.2656396962261198</v>
      </c>
      <c r="X29" s="23">
        <v>9.9812274351120003</v>
      </c>
      <c r="Y29" s="23">
        <f t="shared" si="0"/>
        <v>-0.14389013469695833</v>
      </c>
      <c r="Z29" s="13"/>
    </row>
    <row r="30" spans="1:26" s="12" customFormat="1" x14ac:dyDescent="0.35">
      <c r="A30" s="13"/>
      <c r="B30" s="13" t="s">
        <v>2653</v>
      </c>
      <c r="C30" s="13"/>
      <c r="D30" s="13" t="s">
        <v>2971</v>
      </c>
      <c r="E30" s="13">
        <v>1</v>
      </c>
      <c r="F30" s="13">
        <v>7</v>
      </c>
      <c r="G30" s="13"/>
      <c r="H30" s="13"/>
      <c r="I30" s="13"/>
      <c r="J30" s="13"/>
      <c r="K30" s="13" t="s">
        <v>29</v>
      </c>
      <c r="L30" s="22" t="s">
        <v>335</v>
      </c>
      <c r="M30" s="13"/>
      <c r="N30" s="13"/>
      <c r="O30" s="13"/>
      <c r="P30" s="13"/>
      <c r="Q30" s="13"/>
      <c r="R30" s="13"/>
      <c r="S30" s="13"/>
      <c r="T30" s="13"/>
      <c r="U30" s="13"/>
      <c r="V30" s="23"/>
      <c r="W30" s="23">
        <v>1.0140745172357555</v>
      </c>
      <c r="X30" s="23">
        <v>8.8695441045761108</v>
      </c>
      <c r="Y30" s="23">
        <f t="shared" si="0"/>
        <v>0.75694796669006692</v>
      </c>
      <c r="Z30" s="13"/>
    </row>
    <row r="31" spans="1:26" s="6" customFormat="1" x14ac:dyDescent="0.35">
      <c r="A31" s="13"/>
      <c r="B31" s="13" t="s">
        <v>2654</v>
      </c>
      <c r="C31" s="13"/>
      <c r="D31" s="13" t="s">
        <v>2972</v>
      </c>
      <c r="E31" s="13">
        <v>1</v>
      </c>
      <c r="F31" s="13">
        <v>7</v>
      </c>
      <c r="G31" s="13"/>
      <c r="H31" s="13"/>
      <c r="I31" s="13"/>
      <c r="J31" s="13"/>
      <c r="K31" s="13" t="s">
        <v>29</v>
      </c>
      <c r="L31" s="22" t="s">
        <v>335</v>
      </c>
      <c r="M31" s="13"/>
      <c r="N31" s="13"/>
      <c r="O31" s="13"/>
      <c r="P31" s="13"/>
      <c r="Q31" s="13"/>
      <c r="R31" s="13"/>
      <c r="S31" s="13"/>
      <c r="T31" s="13"/>
      <c r="U31" s="13"/>
      <c r="V31" s="23"/>
      <c r="W31" s="23">
        <v>0.83345298157692005</v>
      </c>
      <c r="X31" s="23">
        <v>6.6307670917510997</v>
      </c>
      <c r="Y31" s="23">
        <f t="shared" si="0"/>
        <v>-3.6856760864260707E-2</v>
      </c>
      <c r="Z31" s="13"/>
    </row>
    <row r="32" spans="1:26" s="6" customFormat="1" x14ac:dyDescent="0.35">
      <c r="A32" s="13"/>
      <c r="B32" s="13" t="s">
        <v>2655</v>
      </c>
      <c r="C32" s="13"/>
      <c r="D32" s="13" t="s">
        <v>2973</v>
      </c>
      <c r="E32" s="13">
        <v>1</v>
      </c>
      <c r="F32" s="13">
        <v>7</v>
      </c>
      <c r="G32" s="13"/>
      <c r="H32" s="13"/>
      <c r="I32" s="13"/>
      <c r="J32" s="13"/>
      <c r="K32" s="13" t="s">
        <v>29</v>
      </c>
      <c r="L32" s="22" t="s">
        <v>335</v>
      </c>
      <c r="M32" s="13"/>
      <c r="N32" s="13"/>
      <c r="O32" s="13"/>
      <c r="P32" s="13"/>
      <c r="Q32" s="13"/>
      <c r="R32" s="13"/>
      <c r="S32" s="13"/>
      <c r="T32" s="13"/>
      <c r="U32" s="13"/>
      <c r="V32" s="23"/>
      <c r="W32" s="23">
        <v>1.0547903668284411</v>
      </c>
      <c r="X32" s="23">
        <v>7.2140259380340579</v>
      </c>
      <c r="Y32" s="23">
        <f t="shared" si="0"/>
        <v>-1.2242969965934707</v>
      </c>
      <c r="Z32" s="13"/>
    </row>
    <row r="33" spans="1:26" s="6" customFormat="1" x14ac:dyDescent="0.35">
      <c r="A33" s="13"/>
      <c r="B33" s="13" t="s">
        <v>2656</v>
      </c>
      <c r="C33" s="13"/>
      <c r="D33" s="13" t="s">
        <v>2974</v>
      </c>
      <c r="E33" s="13">
        <v>1</v>
      </c>
      <c r="F33" s="13">
        <v>7</v>
      </c>
      <c r="G33" s="13"/>
      <c r="H33" s="13"/>
      <c r="I33" s="13"/>
      <c r="J33" s="13"/>
      <c r="K33" s="13" t="s">
        <v>29</v>
      </c>
      <c r="L33" s="22" t="s">
        <v>335</v>
      </c>
      <c r="M33" s="13"/>
      <c r="N33" s="13"/>
      <c r="O33" s="13"/>
      <c r="P33" s="13"/>
      <c r="Q33" s="13"/>
      <c r="R33" s="13"/>
      <c r="S33" s="13"/>
      <c r="T33" s="13"/>
      <c r="U33" s="13"/>
      <c r="V33" s="23"/>
      <c r="W33" s="23">
        <v>-17.763156858444212</v>
      </c>
      <c r="X33" s="23">
        <v>-126.21714489746094</v>
      </c>
      <c r="Y33" s="23">
        <f t="shared" si="0"/>
        <v>15.888109970092756</v>
      </c>
      <c r="Z33" s="13"/>
    </row>
    <row r="34" spans="1:26" s="6" customFormat="1" x14ac:dyDescent="0.35">
      <c r="A34" s="13"/>
      <c r="B34" s="13" t="s">
        <v>2657</v>
      </c>
      <c r="C34" s="13"/>
      <c r="D34" s="13" t="s">
        <v>2975</v>
      </c>
      <c r="E34" s="13">
        <v>1</v>
      </c>
      <c r="F34" s="13">
        <v>7</v>
      </c>
      <c r="G34" s="13"/>
      <c r="H34" s="13"/>
      <c r="I34" s="13"/>
      <c r="J34" s="13"/>
      <c r="K34" s="13" t="s">
        <v>29</v>
      </c>
      <c r="L34" s="22" t="s">
        <v>335</v>
      </c>
      <c r="M34" s="13"/>
      <c r="N34" s="13"/>
      <c r="O34" s="13"/>
      <c r="P34" s="13"/>
      <c r="Q34" s="13"/>
      <c r="R34" s="13"/>
      <c r="S34" s="13"/>
      <c r="T34" s="13"/>
      <c r="U34" s="13"/>
      <c r="V34" s="23"/>
      <c r="W34" s="23">
        <v>-14.132342096328733</v>
      </c>
      <c r="X34" s="23">
        <v>-99.044538047790525</v>
      </c>
      <c r="Y34" s="23">
        <f t="shared" ref="Y34:Y65" si="1">X34-(8*W34)</f>
        <v>14.014198722839339</v>
      </c>
      <c r="Z34" s="13"/>
    </row>
    <row r="35" spans="1:26" s="6" customFormat="1" x14ac:dyDescent="0.35">
      <c r="A35" s="13"/>
      <c r="B35" s="13" t="s">
        <v>2658</v>
      </c>
      <c r="C35" s="13"/>
      <c r="D35" s="13" t="s">
        <v>2976</v>
      </c>
      <c r="E35" s="13">
        <v>1</v>
      </c>
      <c r="F35" s="13">
        <v>7</v>
      </c>
      <c r="G35" s="13"/>
      <c r="H35" s="13"/>
      <c r="I35" s="13"/>
      <c r="J35" s="13"/>
      <c r="K35" s="13" t="s">
        <v>29</v>
      </c>
      <c r="L35" s="22" t="s">
        <v>335</v>
      </c>
      <c r="M35" s="13"/>
      <c r="N35" s="13"/>
      <c r="O35" s="13"/>
      <c r="P35" s="13"/>
      <c r="Q35" s="13"/>
      <c r="R35" s="13"/>
      <c r="S35" s="13"/>
      <c r="T35" s="13"/>
      <c r="U35" s="13"/>
      <c r="V35" s="23"/>
      <c r="W35" s="23">
        <v>-9.6411563358306864</v>
      </c>
      <c r="X35" s="23">
        <v>-73.620976531982421</v>
      </c>
      <c r="Y35" s="23">
        <f t="shared" si="1"/>
        <v>3.50827415466307</v>
      </c>
      <c r="Z35" s="13"/>
    </row>
    <row r="36" spans="1:26" s="6" customFormat="1" x14ac:dyDescent="0.35">
      <c r="A36" s="13"/>
      <c r="B36" s="13" t="s">
        <v>2659</v>
      </c>
      <c r="C36" s="13"/>
      <c r="D36" s="13" t="s">
        <v>2977</v>
      </c>
      <c r="E36" s="13">
        <v>1</v>
      </c>
      <c r="F36" s="13">
        <v>7</v>
      </c>
      <c r="G36" s="13"/>
      <c r="H36" s="13"/>
      <c r="I36" s="13"/>
      <c r="J36" s="13"/>
      <c r="K36" s="13" t="s">
        <v>29</v>
      </c>
      <c r="L36" s="22" t="s">
        <v>335</v>
      </c>
      <c r="M36" s="13"/>
      <c r="N36" s="13"/>
      <c r="O36" s="13"/>
      <c r="P36" s="13"/>
      <c r="Q36" s="13"/>
      <c r="R36" s="13"/>
      <c r="S36" s="13"/>
      <c r="T36" s="13"/>
      <c r="U36" s="13"/>
      <c r="V36" s="23"/>
      <c r="W36" s="23">
        <v>-7.9991916189193715</v>
      </c>
      <c r="X36" s="23">
        <v>-64.970911720275879</v>
      </c>
      <c r="Y36" s="23">
        <f t="shared" si="1"/>
        <v>-0.97737876892090725</v>
      </c>
      <c r="Z36" s="13"/>
    </row>
    <row r="37" spans="1:26" s="6" customFormat="1" x14ac:dyDescent="0.35">
      <c r="A37" s="13"/>
      <c r="B37" s="13" t="s">
        <v>2686</v>
      </c>
      <c r="C37" s="13"/>
      <c r="D37" s="13" t="s">
        <v>3004</v>
      </c>
      <c r="E37" s="13">
        <v>1</v>
      </c>
      <c r="F37" s="13">
        <v>7</v>
      </c>
      <c r="G37" s="13"/>
      <c r="H37" s="13"/>
      <c r="I37" s="13"/>
      <c r="J37" s="13"/>
      <c r="K37" s="13" t="s">
        <v>29</v>
      </c>
      <c r="L37" s="22" t="s">
        <v>546</v>
      </c>
      <c r="M37" s="13"/>
      <c r="N37" s="13"/>
      <c r="O37" s="13"/>
      <c r="P37" s="13"/>
      <c r="Q37" s="13"/>
      <c r="R37" s="13"/>
      <c r="S37" s="13"/>
      <c r="T37" s="13"/>
      <c r="U37" s="13"/>
      <c r="V37" s="23"/>
      <c r="W37" s="23">
        <v>-4.716859909057618</v>
      </c>
      <c r="X37" s="23">
        <v>-35.642342443847653</v>
      </c>
      <c r="Y37" s="23">
        <f t="shared" si="1"/>
        <v>2.0925368286132908</v>
      </c>
      <c r="Z37" s="13"/>
    </row>
    <row r="38" spans="1:26" s="6" customFormat="1" x14ac:dyDescent="0.35">
      <c r="A38" s="13"/>
      <c r="B38" s="13" t="s">
        <v>2687</v>
      </c>
      <c r="C38" s="13"/>
      <c r="D38" s="13" t="s">
        <v>3005</v>
      </c>
      <c r="E38" s="13">
        <v>1</v>
      </c>
      <c r="F38" s="13">
        <v>7</v>
      </c>
      <c r="G38" s="13"/>
      <c r="H38" s="13"/>
      <c r="I38" s="13"/>
      <c r="J38" s="13"/>
      <c r="K38" s="13" t="s">
        <v>29</v>
      </c>
      <c r="L38" s="22" t="s">
        <v>546</v>
      </c>
      <c r="M38" s="13"/>
      <c r="N38" s="13"/>
      <c r="O38" s="13"/>
      <c r="P38" s="13"/>
      <c r="Q38" s="13"/>
      <c r="R38" s="13"/>
      <c r="S38" s="13"/>
      <c r="T38" s="13"/>
      <c r="U38" s="13"/>
      <c r="V38" s="23"/>
      <c r="W38" s="23">
        <v>-3.8346515128612522</v>
      </c>
      <c r="X38" s="23">
        <v>-29.323179541015623</v>
      </c>
      <c r="Y38" s="23">
        <f t="shared" si="1"/>
        <v>1.3540325618743942</v>
      </c>
      <c r="Z38" s="13"/>
    </row>
    <row r="39" spans="1:26" s="6" customFormat="1" x14ac:dyDescent="0.35">
      <c r="A39" s="13"/>
      <c r="B39" s="13" t="s">
        <v>2688</v>
      </c>
      <c r="C39" s="13"/>
      <c r="D39" s="13" t="s">
        <v>3006</v>
      </c>
      <c r="E39" s="13">
        <v>1</v>
      </c>
      <c r="F39" s="13">
        <v>7</v>
      </c>
      <c r="G39" s="13"/>
      <c r="H39" s="13"/>
      <c r="I39" s="13"/>
      <c r="J39" s="13"/>
      <c r="K39" s="13" t="s">
        <v>29</v>
      </c>
      <c r="L39" s="22" t="s">
        <v>546</v>
      </c>
      <c r="M39" s="13"/>
      <c r="N39" s="13"/>
      <c r="O39" s="13"/>
      <c r="P39" s="13"/>
      <c r="Q39" s="13"/>
      <c r="R39" s="13"/>
      <c r="S39" s="13"/>
      <c r="T39" s="13"/>
      <c r="U39" s="13"/>
      <c r="V39" s="23"/>
      <c r="W39" s="23">
        <v>-3.8450382967853547</v>
      </c>
      <c r="X39" s="23">
        <v>-29.180727133369444</v>
      </c>
      <c r="Y39" s="23">
        <f t="shared" si="1"/>
        <v>1.5795792409133931</v>
      </c>
      <c r="Z39" s="13"/>
    </row>
    <row r="40" spans="1:26" s="6" customFormat="1" x14ac:dyDescent="0.35">
      <c r="A40" s="13"/>
      <c r="B40" s="13" t="s">
        <v>2689</v>
      </c>
      <c r="C40" s="13"/>
      <c r="D40" s="13" t="s">
        <v>3007</v>
      </c>
      <c r="E40" s="13">
        <v>1</v>
      </c>
      <c r="F40" s="13">
        <v>7</v>
      </c>
      <c r="G40" s="13"/>
      <c r="H40" s="13"/>
      <c r="I40" s="13"/>
      <c r="J40" s="13"/>
      <c r="K40" s="13" t="s">
        <v>29</v>
      </c>
      <c r="L40" s="22" t="s">
        <v>546</v>
      </c>
      <c r="M40" s="13"/>
      <c r="N40" s="13"/>
      <c r="O40" s="13"/>
      <c r="P40" s="13"/>
      <c r="Q40" s="13"/>
      <c r="R40" s="13"/>
      <c r="S40" s="13"/>
      <c r="T40" s="13"/>
      <c r="U40" s="13"/>
      <c r="V40" s="23"/>
      <c r="W40" s="23">
        <v>-3.4040831397438049</v>
      </c>
      <c r="X40" s="23">
        <v>-25.863561127281191</v>
      </c>
      <c r="Y40" s="23">
        <f t="shared" si="1"/>
        <v>1.3691039906692488</v>
      </c>
      <c r="Z40" s="13"/>
    </row>
    <row r="41" spans="1:26" s="6" customFormat="1" x14ac:dyDescent="0.35">
      <c r="A41" s="13"/>
      <c r="B41" s="13" t="s">
        <v>2690</v>
      </c>
      <c r="C41" s="13"/>
      <c r="D41" s="13" t="s">
        <v>3008</v>
      </c>
      <c r="E41" s="13">
        <v>1</v>
      </c>
      <c r="F41" s="13">
        <v>7</v>
      </c>
      <c r="G41" s="13"/>
      <c r="H41" s="13"/>
      <c r="I41" s="13"/>
      <c r="J41" s="13"/>
      <c r="K41" s="13" t="s">
        <v>29</v>
      </c>
      <c r="L41" s="22" t="s">
        <v>546</v>
      </c>
      <c r="M41" s="13"/>
      <c r="N41" s="13"/>
      <c r="O41" s="13"/>
      <c r="P41" s="13"/>
      <c r="Q41" s="13"/>
      <c r="R41" s="13"/>
      <c r="S41" s="13"/>
      <c r="T41" s="13"/>
      <c r="U41" s="13"/>
      <c r="V41" s="23"/>
      <c r="W41" s="23">
        <v>-3.3175853615665436</v>
      </c>
      <c r="X41" s="23">
        <v>-25.06160065422058</v>
      </c>
      <c r="Y41" s="23">
        <f t="shared" si="1"/>
        <v>1.4790822383117685</v>
      </c>
      <c r="Z41" s="13"/>
    </row>
    <row r="42" spans="1:26" s="6" customFormat="1" x14ac:dyDescent="0.35">
      <c r="A42" s="13"/>
      <c r="B42" s="13" t="s">
        <v>2691</v>
      </c>
      <c r="C42" s="13"/>
      <c r="D42" s="13" t="s">
        <v>3009</v>
      </c>
      <c r="E42" s="13">
        <v>1</v>
      </c>
      <c r="F42" s="13">
        <v>7</v>
      </c>
      <c r="G42" s="13"/>
      <c r="H42" s="13"/>
      <c r="I42" s="13"/>
      <c r="J42" s="13"/>
      <c r="K42" s="13" t="s">
        <v>29</v>
      </c>
      <c r="L42" s="22" t="s">
        <v>546</v>
      </c>
      <c r="M42" s="13"/>
      <c r="N42" s="13"/>
      <c r="O42" s="13"/>
      <c r="P42" s="13"/>
      <c r="Q42" s="13"/>
      <c r="R42" s="13"/>
      <c r="S42" s="13"/>
      <c r="T42" s="13"/>
      <c r="U42" s="13"/>
      <c r="V42" s="23"/>
      <c r="W42" s="23">
        <v>-3.7132982693481442</v>
      </c>
      <c r="X42" s="23">
        <v>-28.87850822944641</v>
      </c>
      <c r="Y42" s="23">
        <f t="shared" si="1"/>
        <v>0.82787792533874338</v>
      </c>
      <c r="Z42" s="13"/>
    </row>
    <row r="43" spans="1:26" s="6" customFormat="1" x14ac:dyDescent="0.35">
      <c r="A43" s="13"/>
      <c r="B43" s="13" t="s">
        <v>2692</v>
      </c>
      <c r="C43" s="13"/>
      <c r="D43" s="13" t="s">
        <v>3010</v>
      </c>
      <c r="E43" s="13">
        <v>1</v>
      </c>
      <c r="F43" s="13">
        <v>7</v>
      </c>
      <c r="G43" s="13"/>
      <c r="H43" s="13"/>
      <c r="I43" s="13"/>
      <c r="J43" s="13"/>
      <c r="K43" s="13" t="s">
        <v>29</v>
      </c>
      <c r="L43" s="22" t="s">
        <v>546</v>
      </c>
      <c r="M43" s="13"/>
      <c r="N43" s="13"/>
      <c r="O43" s="13"/>
      <c r="P43" s="13"/>
      <c r="Q43" s="13"/>
      <c r="R43" s="13"/>
      <c r="S43" s="13"/>
      <c r="T43" s="13"/>
      <c r="U43" s="13"/>
      <c r="V43" s="23"/>
      <c r="W43" s="23">
        <v>-4.2762401257324214</v>
      </c>
      <c r="X43" s="23">
        <v>-32.250398024749757</v>
      </c>
      <c r="Y43" s="23">
        <f t="shared" si="1"/>
        <v>1.9595229811096146</v>
      </c>
      <c r="Z43" s="13"/>
    </row>
    <row r="44" spans="1:26" s="6" customFormat="1" x14ac:dyDescent="0.35">
      <c r="A44" s="13"/>
      <c r="B44" s="13" t="s">
        <v>2693</v>
      </c>
      <c r="C44" s="13"/>
      <c r="D44" s="13" t="s">
        <v>3011</v>
      </c>
      <c r="E44" s="13">
        <v>1</v>
      </c>
      <c r="F44" s="13">
        <v>7</v>
      </c>
      <c r="G44" s="13"/>
      <c r="H44" s="13"/>
      <c r="I44" s="13"/>
      <c r="J44" s="13"/>
      <c r="K44" s="13" t="s">
        <v>29</v>
      </c>
      <c r="L44" s="22" t="s">
        <v>546</v>
      </c>
      <c r="M44" s="13"/>
      <c r="N44" s="13"/>
      <c r="O44" s="13"/>
      <c r="P44" s="13"/>
      <c r="Q44" s="13"/>
      <c r="R44" s="13"/>
      <c r="S44" s="13"/>
      <c r="T44" s="13"/>
      <c r="U44" s="13"/>
      <c r="V44" s="23"/>
      <c r="W44" s="23">
        <v>-3.5599715290832523</v>
      </c>
      <c r="X44" s="23">
        <v>-27.684500567626955</v>
      </c>
      <c r="Y44" s="23">
        <f t="shared" si="1"/>
        <v>0.79527166503906344</v>
      </c>
      <c r="Z44" s="13"/>
    </row>
    <row r="45" spans="1:26" s="6" customFormat="1" x14ac:dyDescent="0.35">
      <c r="A45" s="13"/>
      <c r="B45" s="13" t="s">
        <v>2694</v>
      </c>
      <c r="C45" s="13"/>
      <c r="D45" s="13" t="s">
        <v>3012</v>
      </c>
      <c r="E45" s="13">
        <v>1</v>
      </c>
      <c r="F45" s="13">
        <v>7</v>
      </c>
      <c r="G45" s="13"/>
      <c r="H45" s="13"/>
      <c r="I45" s="13"/>
      <c r="J45" s="13"/>
      <c r="K45" s="13" t="s">
        <v>29</v>
      </c>
      <c r="L45" s="22" t="s">
        <v>546</v>
      </c>
      <c r="M45" s="13"/>
      <c r="N45" s="13"/>
      <c r="O45" s="13"/>
      <c r="P45" s="13"/>
      <c r="Q45" s="13"/>
      <c r="R45" s="13"/>
      <c r="S45" s="13"/>
      <c r="T45" s="13"/>
      <c r="U45" s="13"/>
      <c r="V45" s="23"/>
      <c r="W45" s="23">
        <v>-2.9690920239257812</v>
      </c>
      <c r="X45" s="23">
        <v>-22.948805237960816</v>
      </c>
      <c r="Y45" s="23">
        <f t="shared" si="1"/>
        <v>0.80393095344543397</v>
      </c>
      <c r="Z45" s="13"/>
    </row>
    <row r="46" spans="1:26" s="6" customFormat="1" x14ac:dyDescent="0.35">
      <c r="A46" s="13"/>
      <c r="B46" s="13" t="s">
        <v>2695</v>
      </c>
      <c r="C46" s="13"/>
      <c r="D46" s="13" t="s">
        <v>3013</v>
      </c>
      <c r="E46" s="13">
        <v>1</v>
      </c>
      <c r="F46" s="13">
        <v>7</v>
      </c>
      <c r="G46" s="13"/>
      <c r="H46" s="13"/>
      <c r="I46" s="13"/>
      <c r="J46" s="13"/>
      <c r="K46" s="13" t="s">
        <v>29</v>
      </c>
      <c r="L46" s="22" t="s">
        <v>546</v>
      </c>
      <c r="M46" s="13"/>
      <c r="N46" s="13"/>
      <c r="O46" s="13"/>
      <c r="P46" s="13"/>
      <c r="Q46" s="13"/>
      <c r="R46" s="13"/>
      <c r="S46" s="13"/>
      <c r="T46" s="13"/>
      <c r="U46" s="13"/>
      <c r="V46" s="23"/>
      <c r="W46" s="23">
        <v>-2.8463606968688957</v>
      </c>
      <c r="X46" s="23">
        <v>-22.232677670669556</v>
      </c>
      <c r="Y46" s="23">
        <f t="shared" si="1"/>
        <v>0.53820790428160947</v>
      </c>
      <c r="Z46" s="13"/>
    </row>
    <row r="47" spans="1:26" s="6" customFormat="1" x14ac:dyDescent="0.35">
      <c r="A47" s="13"/>
      <c r="B47" s="13" t="s">
        <v>2696</v>
      </c>
      <c r="C47" s="13"/>
      <c r="D47" s="13" t="s">
        <v>3014</v>
      </c>
      <c r="E47" s="13">
        <v>1</v>
      </c>
      <c r="F47" s="13">
        <v>7</v>
      </c>
      <c r="G47" s="13"/>
      <c r="H47" s="13"/>
      <c r="I47" s="13"/>
      <c r="J47" s="13"/>
      <c r="K47" s="13" t="s">
        <v>29</v>
      </c>
      <c r="L47" s="22" t="s">
        <v>546</v>
      </c>
      <c r="M47" s="13"/>
      <c r="N47" s="13"/>
      <c r="O47" s="13"/>
      <c r="P47" s="13"/>
      <c r="Q47" s="13"/>
      <c r="R47" s="13"/>
      <c r="S47" s="13"/>
      <c r="T47" s="13"/>
      <c r="U47" s="13"/>
      <c r="V47" s="23"/>
      <c r="W47" s="23">
        <v>-3.0948656369018552</v>
      </c>
      <c r="X47" s="23">
        <v>-25.927840216827395</v>
      </c>
      <c r="Y47" s="23">
        <f t="shared" si="1"/>
        <v>-1.1689151216125531</v>
      </c>
      <c r="Z47" s="13"/>
    </row>
    <row r="48" spans="1:26" s="6" customFormat="1" x14ac:dyDescent="0.35">
      <c r="A48" s="13"/>
      <c r="B48" s="13" t="s">
        <v>2697</v>
      </c>
      <c r="C48" s="13"/>
      <c r="D48" s="13" t="s">
        <v>3015</v>
      </c>
      <c r="E48" s="13">
        <v>1</v>
      </c>
      <c r="F48" s="13">
        <v>7</v>
      </c>
      <c r="G48" s="13"/>
      <c r="H48" s="13"/>
      <c r="I48" s="13"/>
      <c r="J48" s="13"/>
      <c r="K48" s="13" t="s">
        <v>29</v>
      </c>
      <c r="L48" s="22" t="s">
        <v>546</v>
      </c>
      <c r="M48" s="13"/>
      <c r="N48" s="13"/>
      <c r="O48" s="13"/>
      <c r="P48" s="13"/>
      <c r="Q48" s="13"/>
      <c r="R48" s="13"/>
      <c r="S48" s="13"/>
      <c r="T48" s="13"/>
      <c r="U48" s="13"/>
      <c r="V48" s="23"/>
      <c r="W48" s="23">
        <v>-3.9346893978881838</v>
      </c>
      <c r="X48" s="23">
        <v>-31.537931603622436</v>
      </c>
      <c r="Y48" s="23">
        <f t="shared" si="1"/>
        <v>-6.0416420516965275E-2</v>
      </c>
      <c r="Z48" s="13"/>
    </row>
    <row r="49" spans="1:26" s="6" customFormat="1" x14ac:dyDescent="0.35">
      <c r="A49" s="13"/>
      <c r="B49" s="13" t="s">
        <v>2698</v>
      </c>
      <c r="C49" s="13"/>
      <c r="D49" s="13" t="s">
        <v>3016</v>
      </c>
      <c r="E49" s="13">
        <v>1</v>
      </c>
      <c r="F49" s="13">
        <v>7</v>
      </c>
      <c r="G49" s="13"/>
      <c r="H49" s="13"/>
      <c r="I49" s="13"/>
      <c r="J49" s="13"/>
      <c r="K49" s="13" t="s">
        <v>29</v>
      </c>
      <c r="L49" s="22" t="s">
        <v>546</v>
      </c>
      <c r="M49" s="13"/>
      <c r="N49" s="13"/>
      <c r="O49" s="13"/>
      <c r="P49" s="13"/>
      <c r="Q49" s="13"/>
      <c r="R49" s="13"/>
      <c r="S49" s="13"/>
      <c r="T49" s="13"/>
      <c r="U49" s="13"/>
      <c r="V49" s="23"/>
      <c r="W49" s="23">
        <v>-4.5109491558837886</v>
      </c>
      <c r="X49" s="23">
        <v>-37.530036387634276</v>
      </c>
      <c r="Y49" s="23">
        <f t="shared" si="1"/>
        <v>-1.4424431405639666</v>
      </c>
      <c r="Z49" s="13"/>
    </row>
    <row r="50" spans="1:26" s="6" customFormat="1" x14ac:dyDescent="0.35">
      <c r="A50" s="13"/>
      <c r="B50" s="13" t="s">
        <v>2699</v>
      </c>
      <c r="C50" s="13"/>
      <c r="D50" s="13" t="s">
        <v>3017</v>
      </c>
      <c r="E50" s="13">
        <v>1</v>
      </c>
      <c r="F50" s="13">
        <v>7</v>
      </c>
      <c r="G50" s="13"/>
      <c r="H50" s="13"/>
      <c r="I50" s="13"/>
      <c r="J50" s="13"/>
      <c r="K50" s="13" t="s">
        <v>29</v>
      </c>
      <c r="L50" s="22" t="s">
        <v>546</v>
      </c>
      <c r="M50" s="13"/>
      <c r="N50" s="13"/>
      <c r="O50" s="13"/>
      <c r="P50" s="13"/>
      <c r="Q50" s="13"/>
      <c r="R50" s="13"/>
      <c r="S50" s="13"/>
      <c r="T50" s="13"/>
      <c r="U50" s="13"/>
      <c r="V50" s="23"/>
      <c r="W50" s="23">
        <v>-2.982545229034423</v>
      </c>
      <c r="X50" s="23">
        <v>-23.00140770072937</v>
      </c>
      <c r="Y50" s="23">
        <f t="shared" si="1"/>
        <v>0.85895413154601385</v>
      </c>
      <c r="Z50" s="13"/>
    </row>
    <row r="51" spans="1:26" s="6" customFormat="1" x14ac:dyDescent="0.35">
      <c r="A51" s="13"/>
      <c r="B51" s="13" t="s">
        <v>2700</v>
      </c>
      <c r="C51" s="13"/>
      <c r="D51" s="13" t="s">
        <v>3018</v>
      </c>
      <c r="E51" s="13">
        <v>1</v>
      </c>
      <c r="F51" s="13">
        <v>7</v>
      </c>
      <c r="G51" s="13"/>
      <c r="H51" s="13"/>
      <c r="I51" s="13"/>
      <c r="J51" s="13"/>
      <c r="K51" s="13" t="s">
        <v>29</v>
      </c>
      <c r="L51" s="22" t="s">
        <v>546</v>
      </c>
      <c r="M51" s="13"/>
      <c r="N51" s="13"/>
      <c r="O51" s="13"/>
      <c r="P51" s="13"/>
      <c r="Q51" s="13"/>
      <c r="R51" s="13"/>
      <c r="S51" s="13"/>
      <c r="T51" s="13"/>
      <c r="U51" s="13"/>
      <c r="V51" s="23"/>
      <c r="W51" s="23">
        <v>0.9433933514785765</v>
      </c>
      <c r="X51" s="23">
        <v>6.9257149465560932</v>
      </c>
      <c r="Y51" s="23">
        <f t="shared" si="1"/>
        <v>-0.62143186527251881</v>
      </c>
      <c r="Z51" s="13"/>
    </row>
    <row r="52" spans="1:26" s="6" customFormat="1" x14ac:dyDescent="0.35">
      <c r="A52" s="13"/>
      <c r="B52" s="13" t="s">
        <v>2701</v>
      </c>
      <c r="C52" s="13"/>
      <c r="D52" s="13" t="s">
        <v>3019</v>
      </c>
      <c r="E52" s="13">
        <v>1</v>
      </c>
      <c r="F52" s="13">
        <v>7</v>
      </c>
      <c r="G52" s="13"/>
      <c r="H52" s="13"/>
      <c r="I52" s="13"/>
      <c r="J52" s="13"/>
      <c r="K52" s="13" t="s">
        <v>29</v>
      </c>
      <c r="L52" s="22" t="s">
        <v>546</v>
      </c>
      <c r="M52" s="13"/>
      <c r="N52" s="13"/>
      <c r="O52" s="13"/>
      <c r="P52" s="13"/>
      <c r="Q52" s="13"/>
      <c r="R52" s="13"/>
      <c r="S52" s="13"/>
      <c r="T52" s="13"/>
      <c r="U52" s="13"/>
      <c r="V52" s="23"/>
      <c r="W52" s="23">
        <v>0.8792534682989116</v>
      </c>
      <c r="X52" s="23">
        <v>6.0611165070533772</v>
      </c>
      <c r="Y52" s="23">
        <f t="shared" si="1"/>
        <v>-0.97291123933791557</v>
      </c>
      <c r="Z52" s="13"/>
    </row>
    <row r="53" spans="1:26" s="6" customFormat="1" x14ac:dyDescent="0.35">
      <c r="A53" s="13"/>
      <c r="B53" s="13" t="s">
        <v>2702</v>
      </c>
      <c r="C53" s="13"/>
      <c r="D53" s="13" t="s">
        <v>3020</v>
      </c>
      <c r="E53" s="13">
        <v>1</v>
      </c>
      <c r="F53" s="13">
        <v>7</v>
      </c>
      <c r="G53" s="13"/>
      <c r="H53" s="13"/>
      <c r="I53" s="13"/>
      <c r="J53" s="13"/>
      <c r="K53" s="13" t="s">
        <v>29</v>
      </c>
      <c r="L53" s="22" t="s">
        <v>546</v>
      </c>
      <c r="M53" s="13"/>
      <c r="N53" s="13"/>
      <c r="O53" s="13"/>
      <c r="P53" s="13"/>
      <c r="Q53" s="13"/>
      <c r="R53" s="13"/>
      <c r="S53" s="13"/>
      <c r="T53" s="13"/>
      <c r="U53" s="13"/>
      <c r="V53" s="23"/>
      <c r="W53" s="23">
        <v>0.77924898304939261</v>
      </c>
      <c r="X53" s="23">
        <v>4.8458877825737003</v>
      </c>
      <c r="Y53" s="23">
        <f t="shared" si="1"/>
        <v>-1.3881040818214405</v>
      </c>
      <c r="Z53" s="13"/>
    </row>
    <row r="54" spans="1:26" s="6" customFormat="1" x14ac:dyDescent="0.35">
      <c r="A54" s="13"/>
      <c r="B54" s="13" t="s">
        <v>2703</v>
      </c>
      <c r="C54" s="13"/>
      <c r="D54" s="13" t="s">
        <v>3021</v>
      </c>
      <c r="E54" s="13">
        <v>1</v>
      </c>
      <c r="F54" s="13">
        <v>7</v>
      </c>
      <c r="G54" s="13"/>
      <c r="H54" s="13"/>
      <c r="I54" s="13"/>
      <c r="J54" s="13"/>
      <c r="K54" s="13" t="s">
        <v>29</v>
      </c>
      <c r="L54" s="22" t="s">
        <v>546</v>
      </c>
      <c r="M54" s="13"/>
      <c r="N54" s="13"/>
      <c r="O54" s="13"/>
      <c r="P54" s="13"/>
      <c r="Q54" s="13"/>
      <c r="R54" s="13"/>
      <c r="S54" s="13"/>
      <c r="T54" s="13"/>
      <c r="U54" s="13"/>
      <c r="V54" s="23"/>
      <c r="W54" s="23">
        <v>-24.476538591003418</v>
      </c>
      <c r="X54" s="23">
        <v>-175.71564079284667</v>
      </c>
      <c r="Y54" s="23">
        <f t="shared" si="1"/>
        <v>20.096667935180676</v>
      </c>
      <c r="Z54" s="13"/>
    </row>
    <row r="55" spans="1:26" s="6" customFormat="1" x14ac:dyDescent="0.35">
      <c r="A55" s="13"/>
      <c r="B55" s="13" t="s">
        <v>2704</v>
      </c>
      <c r="C55" s="13"/>
      <c r="D55" s="13" t="s">
        <v>3022</v>
      </c>
      <c r="E55" s="13">
        <v>1</v>
      </c>
      <c r="F55" s="13">
        <v>7</v>
      </c>
      <c r="G55" s="13"/>
      <c r="H55" s="13"/>
      <c r="I55" s="13"/>
      <c r="J55" s="13"/>
      <c r="K55" s="13" t="s">
        <v>29</v>
      </c>
      <c r="L55" s="22" t="s">
        <v>546</v>
      </c>
      <c r="M55" s="13"/>
      <c r="N55" s="13"/>
      <c r="O55" s="13"/>
      <c r="P55" s="13"/>
      <c r="Q55" s="13"/>
      <c r="R55" s="13"/>
      <c r="S55" s="13"/>
      <c r="T55" s="13"/>
      <c r="U55" s="13"/>
      <c r="V55" s="23"/>
      <c r="W55" s="23">
        <v>-14.79413489303589</v>
      </c>
      <c r="X55" s="23">
        <v>-106.91523204803465</v>
      </c>
      <c r="Y55" s="23">
        <f t="shared" si="1"/>
        <v>11.437847096252469</v>
      </c>
      <c r="Z55" s="13"/>
    </row>
    <row r="56" spans="1:26" s="6" customFormat="1" x14ac:dyDescent="0.35">
      <c r="A56" s="13"/>
      <c r="B56" s="13" t="s">
        <v>2705</v>
      </c>
      <c r="C56" s="13"/>
      <c r="D56" s="13" t="s">
        <v>3023</v>
      </c>
      <c r="E56" s="13">
        <v>1</v>
      </c>
      <c r="F56" s="13">
        <v>7</v>
      </c>
      <c r="G56" s="13"/>
      <c r="H56" s="13"/>
      <c r="I56" s="13"/>
      <c r="J56" s="13"/>
      <c r="K56" s="13" t="s">
        <v>29</v>
      </c>
      <c r="L56" s="22" t="s">
        <v>546</v>
      </c>
      <c r="M56" s="13"/>
      <c r="N56" s="13"/>
      <c r="O56" s="13"/>
      <c r="P56" s="13"/>
      <c r="Q56" s="13"/>
      <c r="R56" s="13"/>
      <c r="S56" s="13"/>
      <c r="T56" s="13"/>
      <c r="U56" s="13"/>
      <c r="V56" s="23"/>
      <c r="W56" s="23">
        <v>-9.3779682823181165</v>
      </c>
      <c r="X56" s="23">
        <v>-72.183505210876476</v>
      </c>
      <c r="Y56" s="23">
        <f t="shared" si="1"/>
        <v>2.8402410476684565</v>
      </c>
      <c r="Z56" s="13"/>
    </row>
    <row r="57" spans="1:26" s="6" customFormat="1" x14ac:dyDescent="0.35">
      <c r="A57" s="13"/>
      <c r="B57" s="13" t="s">
        <v>2706</v>
      </c>
      <c r="C57" s="13"/>
      <c r="D57" s="13" t="s">
        <v>3024</v>
      </c>
      <c r="E57" s="13">
        <v>1</v>
      </c>
      <c r="F57" s="13">
        <v>7</v>
      </c>
      <c r="G57" s="13"/>
      <c r="H57" s="13"/>
      <c r="I57" s="13"/>
      <c r="J57" s="13"/>
      <c r="K57" s="13" t="s">
        <v>29</v>
      </c>
      <c r="L57" s="22" t="s">
        <v>546</v>
      </c>
      <c r="M57" s="13"/>
      <c r="N57" s="13"/>
      <c r="O57" s="13"/>
      <c r="P57" s="13"/>
      <c r="Q57" s="13"/>
      <c r="R57" s="13"/>
      <c r="S57" s="13"/>
      <c r="T57" s="13"/>
      <c r="U57" s="13"/>
      <c r="V57" s="23"/>
      <c r="W57" s="23">
        <v>-4.963932237243653</v>
      </c>
      <c r="X57" s="23">
        <v>-49.865183029174808</v>
      </c>
      <c r="Y57" s="23">
        <f t="shared" si="1"/>
        <v>-10.153725131225585</v>
      </c>
      <c r="Z57" s="13"/>
    </row>
    <row r="58" spans="1:26" s="6" customFormat="1" x14ac:dyDescent="0.35">
      <c r="A58" s="6" t="s">
        <v>25</v>
      </c>
      <c r="B58" s="7" t="s">
        <v>575</v>
      </c>
      <c r="C58" s="6">
        <v>511761</v>
      </c>
      <c r="D58" s="6" t="s">
        <v>576</v>
      </c>
      <c r="E58" s="6">
        <v>1</v>
      </c>
      <c r="F58" s="6">
        <v>8</v>
      </c>
      <c r="G58" s="6" t="s">
        <v>574</v>
      </c>
      <c r="I58" s="8">
        <v>85.754208888888897</v>
      </c>
      <c r="J58" s="8">
        <v>120.59057125</v>
      </c>
      <c r="K58" s="7" t="s">
        <v>29</v>
      </c>
      <c r="L58" s="9"/>
      <c r="M58" s="9">
        <v>43792</v>
      </c>
      <c r="O58" s="6">
        <v>8</v>
      </c>
      <c r="P58" s="6" t="s">
        <v>4268</v>
      </c>
      <c r="R58" s="10"/>
      <c r="S58" s="10"/>
      <c r="T58" s="10"/>
      <c r="U58" s="10"/>
      <c r="W58" s="8">
        <v>-11.013116666793824</v>
      </c>
      <c r="X58" s="8">
        <v>-79.679014411926261</v>
      </c>
      <c r="Y58" s="8">
        <f t="shared" si="1"/>
        <v>8.42591892242433</v>
      </c>
    </row>
    <row r="59" spans="1:26" s="6" customFormat="1" x14ac:dyDescent="0.35">
      <c r="A59" s="13"/>
      <c r="B59" s="13" t="s">
        <v>2660</v>
      </c>
      <c r="C59" s="13"/>
      <c r="D59" s="13" t="s">
        <v>2978</v>
      </c>
      <c r="E59" s="13">
        <v>1</v>
      </c>
      <c r="F59" s="13">
        <v>9</v>
      </c>
      <c r="G59" s="13"/>
      <c r="H59" s="13"/>
      <c r="I59" s="13"/>
      <c r="J59" s="13"/>
      <c r="K59" s="13" t="s">
        <v>29</v>
      </c>
      <c r="L59" s="22" t="s">
        <v>335</v>
      </c>
      <c r="M59" s="13"/>
      <c r="N59" s="13"/>
      <c r="O59" s="13"/>
      <c r="P59" s="13"/>
      <c r="Q59" s="13"/>
      <c r="R59" s="13"/>
      <c r="S59" s="13"/>
      <c r="T59" s="13"/>
      <c r="U59" s="13"/>
      <c r="V59" s="23"/>
      <c r="W59" s="23">
        <v>-4.6632911095619196</v>
      </c>
      <c r="X59" s="23">
        <v>-39.069432971954349</v>
      </c>
      <c r="Y59" s="23">
        <f t="shared" si="1"/>
        <v>-1.763104095458992</v>
      </c>
      <c r="Z59" s="13"/>
    </row>
    <row r="60" spans="1:26" s="6" customFormat="1" x14ac:dyDescent="0.35">
      <c r="A60" s="13"/>
      <c r="B60" s="13" t="s">
        <v>2661</v>
      </c>
      <c r="C60" s="13"/>
      <c r="D60" s="13" t="s">
        <v>2979</v>
      </c>
      <c r="E60" s="13">
        <v>1</v>
      </c>
      <c r="F60" s="13">
        <v>9</v>
      </c>
      <c r="G60" s="13"/>
      <c r="H60" s="13"/>
      <c r="I60" s="13"/>
      <c r="J60" s="13"/>
      <c r="K60" s="13" t="s">
        <v>29</v>
      </c>
      <c r="L60" s="22" t="s">
        <v>335</v>
      </c>
      <c r="M60" s="13"/>
      <c r="N60" s="13"/>
      <c r="O60" s="13"/>
      <c r="P60" s="13"/>
      <c r="Q60" s="13"/>
      <c r="R60" s="13"/>
      <c r="S60" s="13"/>
      <c r="T60" s="13"/>
      <c r="U60" s="13"/>
      <c r="V60" s="23"/>
      <c r="W60" s="23">
        <v>-1.2875422672033314</v>
      </c>
      <c r="X60" s="23">
        <v>-11.071940663337708</v>
      </c>
      <c r="Y60" s="23">
        <f t="shared" si="1"/>
        <v>-0.77160252571105659</v>
      </c>
      <c r="Z60" s="13"/>
    </row>
    <row r="61" spans="1:26" s="6" customFormat="1" x14ac:dyDescent="0.35">
      <c r="A61" s="13"/>
      <c r="B61" s="13" t="s">
        <v>2662</v>
      </c>
      <c r="C61" s="13"/>
      <c r="D61" s="13" t="s">
        <v>2980</v>
      </c>
      <c r="E61" s="13">
        <v>1</v>
      </c>
      <c r="F61" s="13">
        <v>9</v>
      </c>
      <c r="G61" s="13"/>
      <c r="H61" s="13"/>
      <c r="I61" s="13"/>
      <c r="J61" s="13"/>
      <c r="K61" s="13" t="s">
        <v>29</v>
      </c>
      <c r="L61" s="22" t="s">
        <v>335</v>
      </c>
      <c r="M61" s="13"/>
      <c r="N61" s="13"/>
      <c r="O61" s="13"/>
      <c r="P61" s="13"/>
      <c r="Q61" s="13"/>
      <c r="R61" s="13"/>
      <c r="S61" s="13"/>
      <c r="T61" s="13"/>
      <c r="U61" s="13"/>
      <c r="V61" s="23"/>
      <c r="W61" s="23">
        <v>3.7520499598235023E-2</v>
      </c>
      <c r="X61" s="23">
        <v>0.44209363651275629</v>
      </c>
      <c r="Y61" s="23">
        <f t="shared" si="1"/>
        <v>0.14192963972687611</v>
      </c>
      <c r="Z61" s="13"/>
    </row>
    <row r="62" spans="1:26" s="6" customFormat="1" x14ac:dyDescent="0.35">
      <c r="A62" s="13"/>
      <c r="B62" s="13" t="s">
        <v>2663</v>
      </c>
      <c r="C62" s="13"/>
      <c r="D62" s="13" t="s">
        <v>2981</v>
      </c>
      <c r="E62" s="13">
        <v>1</v>
      </c>
      <c r="F62" s="13">
        <v>9</v>
      </c>
      <c r="G62" s="13"/>
      <c r="H62" s="13"/>
      <c r="I62" s="13"/>
      <c r="J62" s="13"/>
      <c r="K62" s="13" t="s">
        <v>29</v>
      </c>
      <c r="L62" s="22" t="s">
        <v>335</v>
      </c>
      <c r="M62" s="13"/>
      <c r="N62" s="13"/>
      <c r="O62" s="13"/>
      <c r="P62" s="13"/>
      <c r="Q62" s="13"/>
      <c r="R62" s="13"/>
      <c r="S62" s="13"/>
      <c r="T62" s="13"/>
      <c r="U62" s="13"/>
      <c r="V62" s="23"/>
      <c r="W62" s="23">
        <v>-1.2833847824335094</v>
      </c>
      <c r="X62" s="23">
        <v>-10.326321056365968</v>
      </c>
      <c r="Y62" s="23">
        <f t="shared" si="1"/>
        <v>-5.9242796897892802E-2</v>
      </c>
      <c r="Z62" s="13"/>
    </row>
    <row r="63" spans="1:26" s="6" customFormat="1" x14ac:dyDescent="0.35">
      <c r="A63" s="13"/>
      <c r="B63" s="13" t="s">
        <v>2664</v>
      </c>
      <c r="C63" s="13"/>
      <c r="D63" s="13" t="s">
        <v>2982</v>
      </c>
      <c r="E63" s="13">
        <v>1</v>
      </c>
      <c r="F63" s="13">
        <v>9</v>
      </c>
      <c r="G63" s="13"/>
      <c r="H63" s="13"/>
      <c r="I63" s="13"/>
      <c r="J63" s="13"/>
      <c r="K63" s="13" t="s">
        <v>29</v>
      </c>
      <c r="L63" s="22" t="s">
        <v>335</v>
      </c>
      <c r="M63" s="13"/>
      <c r="N63" s="13"/>
      <c r="O63" s="13"/>
      <c r="P63" s="13"/>
      <c r="Q63" s="13"/>
      <c r="R63" s="13"/>
      <c r="S63" s="13"/>
      <c r="T63" s="13"/>
      <c r="U63" s="13"/>
      <c r="V63" s="23"/>
      <c r="W63" s="23">
        <v>0.58551190727949154</v>
      </c>
      <c r="X63" s="23">
        <v>4.2927572770118729</v>
      </c>
      <c r="Y63" s="23">
        <f t="shared" si="1"/>
        <v>-0.39133798122405938</v>
      </c>
      <c r="Z63" s="13"/>
    </row>
    <row r="64" spans="1:26" s="6" customFormat="1" x14ac:dyDescent="0.35">
      <c r="A64" s="13"/>
      <c r="B64" s="13" t="s">
        <v>2665</v>
      </c>
      <c r="C64" s="13"/>
      <c r="D64" s="13" t="s">
        <v>2983</v>
      </c>
      <c r="E64" s="13">
        <v>1</v>
      </c>
      <c r="F64" s="13">
        <v>9</v>
      </c>
      <c r="G64" s="13"/>
      <c r="H64" s="13"/>
      <c r="I64" s="13"/>
      <c r="J64" s="13"/>
      <c r="K64" s="13" t="s">
        <v>29</v>
      </c>
      <c r="L64" s="22" t="s">
        <v>335</v>
      </c>
      <c r="M64" s="13"/>
      <c r="N64" s="13"/>
      <c r="O64" s="13"/>
      <c r="P64" s="13"/>
      <c r="Q64" s="13"/>
      <c r="R64" s="13"/>
      <c r="S64" s="13"/>
      <c r="T64" s="13"/>
      <c r="U64" s="13"/>
      <c r="V64" s="23"/>
      <c r="W64" s="23">
        <v>1.1409206248998642</v>
      </c>
      <c r="X64" s="23">
        <v>9.6190507629394517</v>
      </c>
      <c r="Y64" s="23">
        <f t="shared" si="1"/>
        <v>0.49168576374053785</v>
      </c>
      <c r="Z64" s="13"/>
    </row>
    <row r="65" spans="1:26" s="6" customFormat="1" x14ac:dyDescent="0.35">
      <c r="A65" s="13"/>
      <c r="B65" s="13" t="s">
        <v>2666</v>
      </c>
      <c r="C65" s="13"/>
      <c r="D65" s="13" t="s">
        <v>2984</v>
      </c>
      <c r="E65" s="13">
        <v>1</v>
      </c>
      <c r="F65" s="13">
        <v>9</v>
      </c>
      <c r="G65" s="13"/>
      <c r="H65" s="13"/>
      <c r="I65" s="13"/>
      <c r="J65" s="13"/>
      <c r="K65" s="13" t="s">
        <v>29</v>
      </c>
      <c r="L65" s="22" t="s">
        <v>335</v>
      </c>
      <c r="M65" s="13"/>
      <c r="N65" s="13"/>
      <c r="O65" s="13"/>
      <c r="P65" s="13"/>
      <c r="Q65" s="13"/>
      <c r="R65" s="13"/>
      <c r="S65" s="13"/>
      <c r="T65" s="13"/>
      <c r="U65" s="13"/>
      <c r="V65" s="23"/>
      <c r="W65" s="23">
        <v>0.94925628798007988</v>
      </c>
      <c r="X65" s="23">
        <v>8.4155916793823238</v>
      </c>
      <c r="Y65" s="23">
        <f t="shared" si="1"/>
        <v>0.82154137554168472</v>
      </c>
      <c r="Z65" s="13"/>
    </row>
    <row r="66" spans="1:26" s="6" customFormat="1" x14ac:dyDescent="0.35">
      <c r="A66" s="13"/>
      <c r="B66" s="13" t="s">
        <v>2667</v>
      </c>
      <c r="C66" s="13"/>
      <c r="D66" s="13" t="s">
        <v>2985</v>
      </c>
      <c r="E66" s="13">
        <v>1</v>
      </c>
      <c r="F66" s="13">
        <v>9</v>
      </c>
      <c r="G66" s="13"/>
      <c r="H66" s="13"/>
      <c r="I66" s="13"/>
      <c r="J66" s="13"/>
      <c r="K66" s="13" t="s">
        <v>29</v>
      </c>
      <c r="L66" s="22" t="s">
        <v>335</v>
      </c>
      <c r="M66" s="13"/>
      <c r="N66" s="13"/>
      <c r="O66" s="13"/>
      <c r="P66" s="13"/>
      <c r="Q66" s="13"/>
      <c r="R66" s="13"/>
      <c r="S66" s="13"/>
      <c r="T66" s="13"/>
      <c r="U66" s="13"/>
      <c r="V66" s="23"/>
      <c r="W66" s="23">
        <v>0.7437585380852223</v>
      </c>
      <c r="X66" s="23">
        <v>6.1948538711547849</v>
      </c>
      <c r="Y66" s="23">
        <f t="shared" ref="Y66:Y97" si="2">X66-(8*W66)</f>
        <v>0.24478556647300653</v>
      </c>
      <c r="Z66" s="13"/>
    </row>
    <row r="67" spans="1:26" s="6" customFormat="1" x14ac:dyDescent="0.35">
      <c r="A67" s="13"/>
      <c r="B67" s="13" t="s">
        <v>2668</v>
      </c>
      <c r="C67" s="13"/>
      <c r="D67" s="13" t="s">
        <v>2986</v>
      </c>
      <c r="E67" s="13">
        <v>1</v>
      </c>
      <c r="F67" s="13">
        <v>9</v>
      </c>
      <c r="G67" s="13"/>
      <c r="H67" s="13"/>
      <c r="I67" s="13"/>
      <c r="J67" s="13"/>
      <c r="K67" s="13" t="s">
        <v>29</v>
      </c>
      <c r="L67" s="22" t="s">
        <v>335</v>
      </c>
      <c r="M67" s="13"/>
      <c r="N67" s="13"/>
      <c r="O67" s="13"/>
      <c r="P67" s="13"/>
      <c r="Q67" s="13"/>
      <c r="R67" s="13"/>
      <c r="S67" s="13"/>
      <c r="T67" s="13"/>
      <c r="U67" s="13"/>
      <c r="V67" s="23"/>
      <c r="W67" s="23">
        <v>0.9349901537060733</v>
      </c>
      <c r="X67" s="23">
        <v>6.4950316772460939</v>
      </c>
      <c r="Y67" s="23">
        <f t="shared" si="2"/>
        <v>-0.98488955240249254</v>
      </c>
      <c r="Z67" s="13"/>
    </row>
    <row r="68" spans="1:26" s="6" customFormat="1" x14ac:dyDescent="0.35">
      <c r="A68" s="13"/>
      <c r="B68" s="13" t="s">
        <v>2669</v>
      </c>
      <c r="C68" s="13"/>
      <c r="D68" s="13" t="s">
        <v>2987</v>
      </c>
      <c r="E68" s="13">
        <v>1</v>
      </c>
      <c r="F68" s="13">
        <v>9</v>
      </c>
      <c r="G68" s="13"/>
      <c r="H68" s="13"/>
      <c r="I68" s="13"/>
      <c r="J68" s="13"/>
      <c r="K68" s="13" t="s">
        <v>29</v>
      </c>
      <c r="L68" s="22" t="s">
        <v>335</v>
      </c>
      <c r="M68" s="13"/>
      <c r="N68" s="13"/>
      <c r="O68" s="13"/>
      <c r="P68" s="13"/>
      <c r="Q68" s="13"/>
      <c r="R68" s="13"/>
      <c r="S68" s="13"/>
      <c r="T68" s="13"/>
      <c r="U68" s="13"/>
      <c r="V68" s="23"/>
      <c r="W68" s="23">
        <v>0.66844406733512862</v>
      </c>
      <c r="X68" s="23">
        <v>5.7686716308593757</v>
      </c>
      <c r="Y68" s="23">
        <f t="shared" si="2"/>
        <v>0.42111909217834675</v>
      </c>
      <c r="Z68" s="13"/>
    </row>
    <row r="69" spans="1:26" s="6" customFormat="1" x14ac:dyDescent="0.35">
      <c r="A69" s="13"/>
      <c r="B69" s="13" t="s">
        <v>2670</v>
      </c>
      <c r="C69" s="13"/>
      <c r="D69" s="13" t="s">
        <v>2988</v>
      </c>
      <c r="E69" s="13">
        <v>1</v>
      </c>
      <c r="F69" s="13">
        <v>9</v>
      </c>
      <c r="G69" s="13"/>
      <c r="H69" s="13"/>
      <c r="I69" s="13"/>
      <c r="J69" s="13"/>
      <c r="K69" s="13" t="s">
        <v>29</v>
      </c>
      <c r="L69" s="22" t="s">
        <v>335</v>
      </c>
      <c r="M69" s="13"/>
      <c r="N69" s="13"/>
      <c r="O69" s="13"/>
      <c r="P69" s="13"/>
      <c r="Q69" s="13"/>
      <c r="R69" s="13"/>
      <c r="S69" s="13"/>
      <c r="T69" s="13"/>
      <c r="U69" s="13"/>
      <c r="V69" s="23"/>
      <c r="W69" s="23">
        <v>0.81270670423507685</v>
      </c>
      <c r="X69" s="23">
        <v>6.368462692260743</v>
      </c>
      <c r="Y69" s="23">
        <f t="shared" si="2"/>
        <v>-0.13319094161987177</v>
      </c>
      <c r="Z69" s="13"/>
    </row>
    <row r="70" spans="1:26" s="6" customFormat="1" x14ac:dyDescent="0.35">
      <c r="A70" s="13"/>
      <c r="B70" s="13" t="s">
        <v>2707</v>
      </c>
      <c r="C70" s="13"/>
      <c r="D70" s="13" t="s">
        <v>3025</v>
      </c>
      <c r="E70" s="13">
        <v>1</v>
      </c>
      <c r="F70" s="13">
        <v>9</v>
      </c>
      <c r="G70" s="13"/>
      <c r="H70" s="13"/>
      <c r="I70" s="13"/>
      <c r="J70" s="13"/>
      <c r="K70" s="13" t="s">
        <v>29</v>
      </c>
      <c r="L70" s="22" t="s">
        <v>546</v>
      </c>
      <c r="M70" s="13"/>
      <c r="N70" s="13"/>
      <c r="O70" s="13"/>
      <c r="P70" s="13"/>
      <c r="Q70" s="13"/>
      <c r="R70" s="13"/>
      <c r="S70" s="13"/>
      <c r="T70" s="13"/>
      <c r="U70" s="13"/>
      <c r="V70" s="23"/>
      <c r="W70" s="23">
        <v>-4.2702353378295896</v>
      </c>
      <c r="X70" s="23">
        <v>-33.966784915924073</v>
      </c>
      <c r="Y70" s="23">
        <f t="shared" si="2"/>
        <v>0.19509778671264399</v>
      </c>
      <c r="Z70" s="13"/>
    </row>
    <row r="71" spans="1:26" s="6" customFormat="1" x14ac:dyDescent="0.35">
      <c r="A71" s="13"/>
      <c r="B71" s="13" t="s">
        <v>2708</v>
      </c>
      <c r="C71" s="13"/>
      <c r="D71" s="13" t="s">
        <v>3026</v>
      </c>
      <c r="E71" s="13">
        <v>1</v>
      </c>
      <c r="F71" s="13">
        <v>9</v>
      </c>
      <c r="G71" s="13"/>
      <c r="H71" s="13"/>
      <c r="I71" s="13"/>
      <c r="J71" s="13"/>
      <c r="K71" s="13" t="s">
        <v>29</v>
      </c>
      <c r="L71" s="22" t="s">
        <v>546</v>
      </c>
      <c r="M71" s="13"/>
      <c r="N71" s="13"/>
      <c r="O71" s="13"/>
      <c r="P71" s="13"/>
      <c r="Q71" s="13"/>
      <c r="R71" s="13"/>
      <c r="S71" s="13"/>
      <c r="T71" s="13"/>
      <c r="U71" s="13"/>
      <c r="V71" s="23"/>
      <c r="W71" s="23">
        <v>-3.4242574187278749</v>
      </c>
      <c r="X71" s="23">
        <v>-27.09387064933777</v>
      </c>
      <c r="Y71" s="23">
        <f t="shared" si="2"/>
        <v>0.30018870048522928</v>
      </c>
      <c r="Z71" s="13"/>
    </row>
    <row r="72" spans="1:26" s="6" customFormat="1" x14ac:dyDescent="0.35">
      <c r="A72" s="13"/>
      <c r="B72" s="13" t="s">
        <v>2709</v>
      </c>
      <c r="C72" s="13"/>
      <c r="D72" s="13" t="s">
        <v>3027</v>
      </c>
      <c r="E72" s="13">
        <v>1</v>
      </c>
      <c r="F72" s="13">
        <v>9</v>
      </c>
      <c r="G72" s="13"/>
      <c r="H72" s="13"/>
      <c r="I72" s="13"/>
      <c r="J72" s="13"/>
      <c r="K72" s="13" t="s">
        <v>29</v>
      </c>
      <c r="L72" s="22" t="s">
        <v>546</v>
      </c>
      <c r="M72" s="13"/>
      <c r="N72" s="13"/>
      <c r="O72" s="13"/>
      <c r="P72" s="13"/>
      <c r="Q72" s="13"/>
      <c r="R72" s="13"/>
      <c r="S72" s="13"/>
      <c r="T72" s="13"/>
      <c r="U72" s="13"/>
      <c r="V72" s="23"/>
      <c r="W72" s="23">
        <v>-3.595981576061249</v>
      </c>
      <c r="X72" s="23">
        <v>-28.260752735137942</v>
      </c>
      <c r="Y72" s="23">
        <f t="shared" si="2"/>
        <v>0.50709987335205042</v>
      </c>
      <c r="Z72" s="13"/>
    </row>
    <row r="73" spans="1:26" s="6" customFormat="1" x14ac:dyDescent="0.35">
      <c r="A73" s="13"/>
      <c r="B73" s="13" t="s">
        <v>2710</v>
      </c>
      <c r="C73" s="13"/>
      <c r="D73" s="13" t="s">
        <v>3028</v>
      </c>
      <c r="E73" s="13">
        <v>1</v>
      </c>
      <c r="F73" s="13">
        <v>9</v>
      </c>
      <c r="G73" s="13"/>
      <c r="H73" s="13"/>
      <c r="I73" s="13"/>
      <c r="J73" s="13"/>
      <c r="K73" s="13" t="s">
        <v>29</v>
      </c>
      <c r="L73" s="22" t="s">
        <v>546</v>
      </c>
      <c r="M73" s="13"/>
      <c r="N73" s="13"/>
      <c r="O73" s="13"/>
      <c r="P73" s="13"/>
      <c r="Q73" s="13"/>
      <c r="R73" s="13"/>
      <c r="S73" s="13"/>
      <c r="T73" s="13"/>
      <c r="U73" s="13"/>
      <c r="V73" s="23"/>
      <c r="W73" s="23">
        <v>-3.6690620847702022</v>
      </c>
      <c r="X73" s="23">
        <v>-27.914524040222169</v>
      </c>
      <c r="Y73" s="23">
        <f t="shared" si="2"/>
        <v>1.4379726379394491</v>
      </c>
      <c r="Z73" s="13"/>
    </row>
    <row r="74" spans="1:26" s="6" customFormat="1" x14ac:dyDescent="0.35">
      <c r="A74" s="13"/>
      <c r="B74" s="13" t="s">
        <v>2711</v>
      </c>
      <c r="C74" s="13"/>
      <c r="D74" s="13" t="s">
        <v>3029</v>
      </c>
      <c r="E74" s="13">
        <v>1</v>
      </c>
      <c r="F74" s="13">
        <v>9</v>
      </c>
      <c r="G74" s="13"/>
      <c r="H74" s="13"/>
      <c r="I74" s="13"/>
      <c r="J74" s="13"/>
      <c r="K74" s="13" t="s">
        <v>29</v>
      </c>
      <c r="L74" s="22" t="s">
        <v>546</v>
      </c>
      <c r="M74" s="13"/>
      <c r="N74" s="13"/>
      <c r="O74" s="13"/>
      <c r="P74" s="13"/>
      <c r="Q74" s="13"/>
      <c r="R74" s="13"/>
      <c r="S74" s="13"/>
      <c r="T74" s="13"/>
      <c r="U74" s="13"/>
      <c r="V74" s="23"/>
      <c r="W74" s="23">
        <v>-3.8983513120317461</v>
      </c>
      <c r="X74" s="23">
        <v>-29.59075814781189</v>
      </c>
      <c r="Y74" s="23">
        <f t="shared" si="2"/>
        <v>1.596052348442079</v>
      </c>
      <c r="Z74" s="13"/>
    </row>
    <row r="75" spans="1:26" s="6" customFormat="1" x14ac:dyDescent="0.35">
      <c r="A75" s="13"/>
      <c r="B75" s="13" t="s">
        <v>2712</v>
      </c>
      <c r="C75" s="13"/>
      <c r="D75" s="13" t="s">
        <v>3030</v>
      </c>
      <c r="E75" s="13">
        <v>1</v>
      </c>
      <c r="F75" s="13">
        <v>9</v>
      </c>
      <c r="G75" s="13"/>
      <c r="H75" s="13"/>
      <c r="I75" s="13"/>
      <c r="J75" s="13"/>
      <c r="K75" s="13" t="s">
        <v>29</v>
      </c>
      <c r="L75" s="22" t="s">
        <v>546</v>
      </c>
      <c r="M75" s="13"/>
      <c r="N75" s="13"/>
      <c r="O75" s="13"/>
      <c r="P75" s="13"/>
      <c r="Q75" s="13"/>
      <c r="R75" s="13"/>
      <c r="S75" s="13"/>
      <c r="T75" s="13"/>
      <c r="U75" s="13"/>
      <c r="V75" s="23"/>
      <c r="W75" s="23">
        <v>-3.9663075085782999</v>
      </c>
      <c r="X75" s="23">
        <v>-29.98139701423645</v>
      </c>
      <c r="Y75" s="23">
        <f t="shared" si="2"/>
        <v>1.7490630543899499</v>
      </c>
      <c r="Z75" s="13"/>
    </row>
    <row r="76" spans="1:26" s="6" customFormat="1" x14ac:dyDescent="0.35">
      <c r="A76" s="13"/>
      <c r="B76" s="13" t="s">
        <v>2713</v>
      </c>
      <c r="C76" s="13"/>
      <c r="D76" s="13" t="s">
        <v>3031</v>
      </c>
      <c r="E76" s="13">
        <v>1</v>
      </c>
      <c r="F76" s="13">
        <v>9</v>
      </c>
      <c r="G76" s="13"/>
      <c r="H76" s="13"/>
      <c r="I76" s="13"/>
      <c r="J76" s="13"/>
      <c r="K76" s="13" t="s">
        <v>29</v>
      </c>
      <c r="L76" s="22" t="s">
        <v>546</v>
      </c>
      <c r="M76" s="13"/>
      <c r="N76" s="13"/>
      <c r="O76" s="13"/>
      <c r="P76" s="13"/>
      <c r="Q76" s="13"/>
      <c r="R76" s="13"/>
      <c r="S76" s="13"/>
      <c r="T76" s="13"/>
      <c r="U76" s="13"/>
      <c r="V76" s="23"/>
      <c r="W76" s="23">
        <v>-4.1663174207115166</v>
      </c>
      <c r="X76" s="23">
        <v>-31.53057593307495</v>
      </c>
      <c r="Y76" s="23">
        <f t="shared" si="2"/>
        <v>1.7999634326171829</v>
      </c>
      <c r="Z76" s="13"/>
    </row>
    <row r="77" spans="1:26" s="6" customFormat="1" x14ac:dyDescent="0.35">
      <c r="A77" s="13"/>
      <c r="B77" s="13" t="s">
        <v>2714</v>
      </c>
      <c r="C77" s="13"/>
      <c r="D77" s="13" t="s">
        <v>3032</v>
      </c>
      <c r="E77" s="13">
        <v>1</v>
      </c>
      <c r="F77" s="13">
        <v>9</v>
      </c>
      <c r="G77" s="13"/>
      <c r="H77" s="13"/>
      <c r="I77" s="13"/>
      <c r="J77" s="13"/>
      <c r="K77" s="13" t="s">
        <v>29</v>
      </c>
      <c r="L77" s="22" t="s">
        <v>546</v>
      </c>
      <c r="M77" s="13"/>
      <c r="N77" s="13"/>
      <c r="O77" s="13"/>
      <c r="P77" s="13"/>
      <c r="Q77" s="13"/>
      <c r="R77" s="13"/>
      <c r="S77" s="13"/>
      <c r="T77" s="13"/>
      <c r="U77" s="13"/>
      <c r="V77" s="23"/>
      <c r="W77" s="23">
        <v>-3.8931466614341734</v>
      </c>
      <c r="X77" s="23">
        <v>-30.929347828674313</v>
      </c>
      <c r="Y77" s="23">
        <f t="shared" si="2"/>
        <v>0.21582546279907433</v>
      </c>
      <c r="Z77" s="13"/>
    </row>
    <row r="78" spans="1:26" s="6" customFormat="1" x14ac:dyDescent="0.35">
      <c r="A78" s="13"/>
      <c r="B78" s="13" t="s">
        <v>2715</v>
      </c>
      <c r="C78" s="13"/>
      <c r="D78" s="13" t="s">
        <v>3033</v>
      </c>
      <c r="E78" s="13">
        <v>1</v>
      </c>
      <c r="F78" s="13">
        <v>9</v>
      </c>
      <c r="G78" s="13"/>
      <c r="H78" s="13"/>
      <c r="I78" s="13"/>
      <c r="J78" s="13"/>
      <c r="K78" s="13" t="s">
        <v>29</v>
      </c>
      <c r="L78" s="22" t="s">
        <v>546</v>
      </c>
      <c r="M78" s="13"/>
      <c r="N78" s="13"/>
      <c r="O78" s="13"/>
      <c r="P78" s="13"/>
      <c r="Q78" s="13"/>
      <c r="R78" s="13"/>
      <c r="S78" s="13"/>
      <c r="T78" s="13"/>
      <c r="U78" s="13"/>
      <c r="V78" s="23"/>
      <c r="W78" s="23">
        <v>-3.4243712932205201</v>
      </c>
      <c r="X78" s="23">
        <v>-27.946972966003415</v>
      </c>
      <c r="Y78" s="23">
        <f t="shared" si="2"/>
        <v>-0.55200262023925362</v>
      </c>
      <c r="Z78" s="13"/>
    </row>
    <row r="79" spans="1:26" s="6" customFormat="1" x14ac:dyDescent="0.35">
      <c r="A79" s="13"/>
      <c r="B79" s="13" t="s">
        <v>2716</v>
      </c>
      <c r="C79" s="13"/>
      <c r="D79" s="13" t="s">
        <v>3034</v>
      </c>
      <c r="E79" s="13">
        <v>1</v>
      </c>
      <c r="F79" s="13">
        <v>9</v>
      </c>
      <c r="G79" s="13"/>
      <c r="H79" s="13"/>
      <c r="I79" s="13"/>
      <c r="J79" s="13"/>
      <c r="K79" s="13" t="s">
        <v>29</v>
      </c>
      <c r="L79" s="22" t="s">
        <v>546</v>
      </c>
      <c r="M79" s="13"/>
      <c r="N79" s="13"/>
      <c r="O79" s="13"/>
      <c r="P79" s="13"/>
      <c r="Q79" s="13"/>
      <c r="R79" s="13"/>
      <c r="S79" s="13"/>
      <c r="T79" s="13"/>
      <c r="U79" s="13"/>
      <c r="V79" s="23"/>
      <c r="W79" s="23">
        <v>-3.0393659674262996</v>
      </c>
      <c r="X79" s="23">
        <v>-22.943127392578127</v>
      </c>
      <c r="Y79" s="23">
        <f t="shared" si="2"/>
        <v>1.3718003468322699</v>
      </c>
      <c r="Z79" s="13"/>
    </row>
    <row r="80" spans="1:26" s="6" customFormat="1" x14ac:dyDescent="0.35">
      <c r="A80" s="13"/>
      <c r="B80" s="13" t="s">
        <v>2717</v>
      </c>
      <c r="C80" s="13"/>
      <c r="D80" s="13" t="s">
        <v>3035</v>
      </c>
      <c r="E80" s="13">
        <v>1</v>
      </c>
      <c r="F80" s="13">
        <v>9</v>
      </c>
      <c r="G80" s="13"/>
      <c r="H80" s="13"/>
      <c r="I80" s="13"/>
      <c r="J80" s="13"/>
      <c r="K80" s="13" t="s">
        <v>29</v>
      </c>
      <c r="L80" s="22" t="s">
        <v>546</v>
      </c>
      <c r="M80" s="13"/>
      <c r="N80" s="13"/>
      <c r="O80" s="13"/>
      <c r="P80" s="13"/>
      <c r="Q80" s="13"/>
      <c r="R80" s="13"/>
      <c r="S80" s="13"/>
      <c r="T80" s="13"/>
      <c r="U80" s="13"/>
      <c r="V80" s="23"/>
      <c r="W80" s="23">
        <v>-3.4536215406990052</v>
      </c>
      <c r="X80" s="23">
        <v>-27.515445515441893</v>
      </c>
      <c r="Y80" s="23">
        <f t="shared" si="2"/>
        <v>0.11352681015014809</v>
      </c>
      <c r="Z80" s="13"/>
    </row>
    <row r="81" spans="1:26" s="6" customFormat="1" x14ac:dyDescent="0.35">
      <c r="A81" s="13"/>
      <c r="B81" s="13" t="s">
        <v>2718</v>
      </c>
      <c r="C81" s="13"/>
      <c r="D81" s="13" t="s">
        <v>3036</v>
      </c>
      <c r="E81" s="13">
        <v>1</v>
      </c>
      <c r="F81" s="13">
        <v>9</v>
      </c>
      <c r="G81" s="13"/>
      <c r="H81" s="13"/>
      <c r="I81" s="13"/>
      <c r="J81" s="13"/>
      <c r="K81" s="13" t="s">
        <v>29</v>
      </c>
      <c r="L81" s="22" t="s">
        <v>546</v>
      </c>
      <c r="M81" s="13"/>
      <c r="N81" s="13"/>
      <c r="O81" s="13"/>
      <c r="P81" s="13"/>
      <c r="Q81" s="13"/>
      <c r="R81" s="13"/>
      <c r="S81" s="13"/>
      <c r="T81" s="13"/>
      <c r="U81" s="13"/>
      <c r="V81" s="23"/>
      <c r="W81" s="23">
        <v>-2.9126796218490596</v>
      </c>
      <c r="X81" s="23">
        <v>-23.31499496154785</v>
      </c>
      <c r="Y81" s="23">
        <f t="shared" si="2"/>
        <v>-1.3557986755373008E-2</v>
      </c>
      <c r="Z81" s="13"/>
    </row>
    <row r="82" spans="1:26" s="6" customFormat="1" x14ac:dyDescent="0.35">
      <c r="A82" s="13"/>
      <c r="B82" s="13" t="s">
        <v>2719</v>
      </c>
      <c r="C82" s="13"/>
      <c r="D82" s="13" t="s">
        <v>3037</v>
      </c>
      <c r="E82" s="13">
        <v>1</v>
      </c>
      <c r="F82" s="13">
        <v>9</v>
      </c>
      <c r="G82" s="13"/>
      <c r="H82" s="13"/>
      <c r="I82" s="13"/>
      <c r="J82" s="13"/>
      <c r="K82" s="13" t="s">
        <v>29</v>
      </c>
      <c r="L82" s="22" t="s">
        <v>546</v>
      </c>
      <c r="M82" s="13"/>
      <c r="N82" s="13"/>
      <c r="O82" s="13"/>
      <c r="P82" s="13"/>
      <c r="Q82" s="13"/>
      <c r="R82" s="13"/>
      <c r="S82" s="13"/>
      <c r="T82" s="13"/>
      <c r="U82" s="13"/>
      <c r="V82" s="23"/>
      <c r="W82" s="23">
        <v>-4.1555728971099866</v>
      </c>
      <c r="X82" s="23">
        <v>-32.505564495849605</v>
      </c>
      <c r="Y82" s="23">
        <f t="shared" si="2"/>
        <v>0.73901868103028789</v>
      </c>
      <c r="Z82" s="13"/>
    </row>
    <row r="83" spans="1:26" s="6" customFormat="1" x14ac:dyDescent="0.35">
      <c r="A83" s="13"/>
      <c r="B83" s="13" t="s">
        <v>2720</v>
      </c>
      <c r="C83" s="13"/>
      <c r="D83" s="13" t="s">
        <v>3038</v>
      </c>
      <c r="E83" s="13">
        <v>1</v>
      </c>
      <c r="F83" s="13">
        <v>9</v>
      </c>
      <c r="G83" s="13"/>
      <c r="H83" s="13"/>
      <c r="I83" s="13"/>
      <c r="J83" s="13"/>
      <c r="K83" s="13" t="s">
        <v>29</v>
      </c>
      <c r="L83" s="22" t="s">
        <v>546</v>
      </c>
      <c r="M83" s="13"/>
      <c r="N83" s="13"/>
      <c r="O83" s="13"/>
      <c r="P83" s="13"/>
      <c r="Q83" s="13"/>
      <c r="R83" s="13"/>
      <c r="S83" s="13"/>
      <c r="T83" s="13"/>
      <c r="U83" s="13"/>
      <c r="V83" s="23"/>
      <c r="W83" s="23">
        <v>-4.7668453466033931</v>
      </c>
      <c r="X83" s="23">
        <v>-36.673513577270505</v>
      </c>
      <c r="Y83" s="23">
        <f t="shared" si="2"/>
        <v>1.4612491955566398</v>
      </c>
      <c r="Z83" s="13"/>
    </row>
    <row r="84" spans="1:26" s="6" customFormat="1" x14ac:dyDescent="0.35">
      <c r="A84" s="13"/>
      <c r="B84" s="13" t="s">
        <v>2721</v>
      </c>
      <c r="C84" s="13"/>
      <c r="D84" s="13" t="s">
        <v>3039</v>
      </c>
      <c r="E84" s="13">
        <v>1</v>
      </c>
      <c r="F84" s="13">
        <v>9</v>
      </c>
      <c r="G84" s="13"/>
      <c r="H84" s="13"/>
      <c r="I84" s="13"/>
      <c r="J84" s="13"/>
      <c r="K84" s="13" t="s">
        <v>29</v>
      </c>
      <c r="L84" s="22" t="s">
        <v>546</v>
      </c>
      <c r="M84" s="13"/>
      <c r="N84" s="13"/>
      <c r="O84" s="13"/>
      <c r="P84" s="13"/>
      <c r="Q84" s="13"/>
      <c r="R84" s="13"/>
      <c r="S84" s="13"/>
      <c r="T84" s="13"/>
      <c r="U84" s="13"/>
      <c r="V84" s="23"/>
      <c r="W84" s="23">
        <v>0.21623195212721844</v>
      </c>
      <c r="X84" s="23">
        <v>0.93172225685119681</v>
      </c>
      <c r="Y84" s="23">
        <f t="shared" si="2"/>
        <v>-0.79813336016655068</v>
      </c>
      <c r="Z84" s="13"/>
    </row>
    <row r="85" spans="1:26" s="6" customFormat="1" x14ac:dyDescent="0.35">
      <c r="A85" s="13"/>
      <c r="B85" s="13" t="s">
        <v>2722</v>
      </c>
      <c r="C85" s="13"/>
      <c r="D85" s="13" t="s">
        <v>3040</v>
      </c>
      <c r="E85" s="13">
        <v>1</v>
      </c>
      <c r="F85" s="13">
        <v>9</v>
      </c>
      <c r="G85" s="13"/>
      <c r="H85" s="13"/>
      <c r="I85" s="13"/>
      <c r="J85" s="13"/>
      <c r="K85" s="13" t="s">
        <v>29</v>
      </c>
      <c r="L85" s="22" t="s">
        <v>546</v>
      </c>
      <c r="M85" s="13"/>
      <c r="N85" s="13"/>
      <c r="O85" s="13"/>
      <c r="P85" s="13"/>
      <c r="Q85" s="13"/>
      <c r="R85" s="13"/>
      <c r="S85" s="13"/>
      <c r="T85" s="13"/>
      <c r="U85" s="13"/>
      <c r="V85" s="23"/>
      <c r="W85" s="23">
        <v>0.90306998631000523</v>
      </c>
      <c r="X85" s="23">
        <v>6.2197805168151854</v>
      </c>
      <c r="Y85" s="23">
        <f t="shared" si="2"/>
        <v>-1.0047793736648565</v>
      </c>
      <c r="Z85" s="13"/>
    </row>
    <row r="86" spans="1:26" s="6" customFormat="1" x14ac:dyDescent="0.35">
      <c r="A86" s="13"/>
      <c r="B86" s="13" t="s">
        <v>2723</v>
      </c>
      <c r="C86" s="13"/>
      <c r="D86" s="13" t="s">
        <v>3041</v>
      </c>
      <c r="E86" s="13">
        <v>1</v>
      </c>
      <c r="F86" s="13">
        <v>9</v>
      </c>
      <c r="G86" s="13"/>
      <c r="H86" s="13"/>
      <c r="I86" s="13"/>
      <c r="J86" s="13"/>
      <c r="K86" s="13" t="s">
        <v>29</v>
      </c>
      <c r="L86" s="22" t="s">
        <v>546</v>
      </c>
      <c r="M86" s="13"/>
      <c r="N86" s="13"/>
      <c r="O86" s="13"/>
      <c r="P86" s="13"/>
      <c r="Q86" s="13"/>
      <c r="R86" s="13"/>
      <c r="S86" s="13"/>
      <c r="T86" s="13"/>
      <c r="U86" s="13"/>
      <c r="V86" s="23"/>
      <c r="W86" s="23">
        <v>0.86046173887729605</v>
      </c>
      <c r="X86" s="23">
        <v>6.5045466991424563</v>
      </c>
      <c r="Y86" s="23">
        <f t="shared" si="2"/>
        <v>-0.37914721187591205</v>
      </c>
      <c r="Z86" s="13"/>
    </row>
    <row r="87" spans="1:26" s="6" customFormat="1" x14ac:dyDescent="0.35">
      <c r="A87" s="13"/>
      <c r="B87" s="13" t="s">
        <v>2724</v>
      </c>
      <c r="C87" s="13"/>
      <c r="D87" s="13" t="s">
        <v>3042</v>
      </c>
      <c r="E87" s="13">
        <v>1</v>
      </c>
      <c r="F87" s="13">
        <v>9</v>
      </c>
      <c r="G87" s="13"/>
      <c r="H87" s="13"/>
      <c r="I87" s="13"/>
      <c r="J87" s="13"/>
      <c r="K87" s="13" t="s">
        <v>29</v>
      </c>
      <c r="L87" s="22" t="s">
        <v>546</v>
      </c>
      <c r="M87" s="13"/>
      <c r="N87" s="13"/>
      <c r="O87" s="13"/>
      <c r="P87" s="13"/>
      <c r="Q87" s="13"/>
      <c r="R87" s="13"/>
      <c r="S87" s="13"/>
      <c r="T87" s="13"/>
      <c r="U87" s="13"/>
      <c r="V87" s="23"/>
      <c r="W87" s="23">
        <v>0.64369344931125605</v>
      </c>
      <c r="X87" s="23">
        <v>5.5595533224105838</v>
      </c>
      <c r="Y87" s="23">
        <f t="shared" si="2"/>
        <v>0.41000572792053536</v>
      </c>
      <c r="Z87" s="13"/>
    </row>
    <row r="88" spans="1:26" s="6" customFormat="1" x14ac:dyDescent="0.35">
      <c r="A88" s="13"/>
      <c r="B88" s="13" t="s">
        <v>2725</v>
      </c>
      <c r="C88" s="13"/>
      <c r="D88" s="13" t="s">
        <v>3043</v>
      </c>
      <c r="E88" s="13">
        <v>1</v>
      </c>
      <c r="F88" s="13">
        <v>9</v>
      </c>
      <c r="G88" s="13"/>
      <c r="H88" s="13"/>
      <c r="I88" s="13"/>
      <c r="J88" s="13"/>
      <c r="K88" s="13" t="s">
        <v>29</v>
      </c>
      <c r="L88" s="22" t="s">
        <v>546</v>
      </c>
      <c r="M88" s="13"/>
      <c r="N88" s="13"/>
      <c r="O88" s="13"/>
      <c r="P88" s="13"/>
      <c r="Q88" s="13"/>
      <c r="R88" s="13"/>
      <c r="S88" s="13"/>
      <c r="T88" s="13"/>
      <c r="U88" s="13"/>
      <c r="V88" s="23"/>
      <c r="W88" s="23">
        <v>-3.9841585899066914</v>
      </c>
      <c r="X88" s="23">
        <v>-43.578559126281725</v>
      </c>
      <c r="Y88" s="23">
        <f t="shared" si="2"/>
        <v>-11.705290407028194</v>
      </c>
      <c r="Z88" s="13"/>
    </row>
    <row r="89" spans="1:26" s="6" customFormat="1" x14ac:dyDescent="0.35">
      <c r="A89" s="13"/>
      <c r="B89" s="13" t="s">
        <v>2726</v>
      </c>
      <c r="C89" s="13"/>
      <c r="D89" s="13" t="s">
        <v>3044</v>
      </c>
      <c r="E89" s="13">
        <v>1</v>
      </c>
      <c r="F89" s="13">
        <v>9</v>
      </c>
      <c r="G89" s="13"/>
      <c r="H89" s="13"/>
      <c r="I89" s="13"/>
      <c r="J89" s="13"/>
      <c r="K89" s="13" t="s">
        <v>29</v>
      </c>
      <c r="L89" s="22" t="s">
        <v>546</v>
      </c>
      <c r="M89" s="13"/>
      <c r="N89" s="13"/>
      <c r="O89" s="13"/>
      <c r="P89" s="13"/>
      <c r="Q89" s="13"/>
      <c r="R89" s="13"/>
      <c r="S89" s="13"/>
      <c r="T89" s="13"/>
      <c r="U89" s="13"/>
      <c r="V89" s="23"/>
      <c r="W89" s="23">
        <v>-6.9591292527389523</v>
      </c>
      <c r="X89" s="23">
        <v>-58.880007536315915</v>
      </c>
      <c r="Y89" s="23">
        <f t="shared" si="2"/>
        <v>-3.2069735144042966</v>
      </c>
      <c r="Z89" s="13"/>
    </row>
    <row r="90" spans="1:26" s="6" customFormat="1" x14ac:dyDescent="0.35">
      <c r="A90" s="13"/>
      <c r="B90" s="13" t="s">
        <v>2727</v>
      </c>
      <c r="C90" s="13"/>
      <c r="D90" s="13" t="s">
        <v>3045</v>
      </c>
      <c r="E90" s="13">
        <v>1</v>
      </c>
      <c r="F90" s="13">
        <v>9</v>
      </c>
      <c r="G90" s="13"/>
      <c r="H90" s="13"/>
      <c r="I90" s="13"/>
      <c r="J90" s="13"/>
      <c r="K90" s="13" t="s">
        <v>29</v>
      </c>
      <c r="L90" s="22" t="s">
        <v>546</v>
      </c>
      <c r="M90" s="13"/>
      <c r="N90" s="13"/>
      <c r="O90" s="13"/>
      <c r="P90" s="13"/>
      <c r="Q90" s="13"/>
      <c r="R90" s="13"/>
      <c r="S90" s="13"/>
      <c r="T90" s="13"/>
      <c r="U90" s="13"/>
      <c r="V90" s="23"/>
      <c r="W90" s="23">
        <v>-9.7404988702011099</v>
      </c>
      <c r="X90" s="23">
        <v>-78.537429235839838</v>
      </c>
      <c r="Y90" s="23">
        <f t="shared" si="2"/>
        <v>-0.61343827423095831</v>
      </c>
      <c r="Z90" s="13"/>
    </row>
    <row r="91" spans="1:26" s="6" customFormat="1" x14ac:dyDescent="0.35">
      <c r="A91" s="13"/>
      <c r="B91" s="13" t="s">
        <v>2728</v>
      </c>
      <c r="C91" s="13"/>
      <c r="D91" s="13" t="s">
        <v>3046</v>
      </c>
      <c r="E91" s="13">
        <v>1</v>
      </c>
      <c r="F91" s="13">
        <v>9</v>
      </c>
      <c r="G91" s="13"/>
      <c r="H91" s="13"/>
      <c r="I91" s="13"/>
      <c r="J91" s="13"/>
      <c r="K91" s="13" t="s">
        <v>29</v>
      </c>
      <c r="L91" s="22" t="s">
        <v>546</v>
      </c>
      <c r="M91" s="13"/>
      <c r="N91" s="13"/>
      <c r="O91" s="13"/>
      <c r="P91" s="13"/>
      <c r="Q91" s="13"/>
      <c r="R91" s="13"/>
      <c r="S91" s="13"/>
      <c r="T91" s="13"/>
      <c r="U91" s="13"/>
      <c r="V91" s="23"/>
      <c r="W91" s="23">
        <v>-11.279455962486265</v>
      </c>
      <c r="X91" s="23">
        <v>-89.605605780029293</v>
      </c>
      <c r="Y91" s="23">
        <f t="shared" si="2"/>
        <v>0.63004191986082958</v>
      </c>
      <c r="Z91" s="13"/>
    </row>
    <row r="92" spans="1:26" s="6" customFormat="1" x14ac:dyDescent="0.35">
      <c r="A92" s="13"/>
      <c r="B92" s="13" t="s">
        <v>2729</v>
      </c>
      <c r="C92" s="13"/>
      <c r="D92" s="13" t="s">
        <v>3047</v>
      </c>
      <c r="E92" s="13">
        <v>1</v>
      </c>
      <c r="F92" s="13">
        <v>9</v>
      </c>
      <c r="G92" s="13"/>
      <c r="H92" s="13"/>
      <c r="I92" s="13"/>
      <c r="J92" s="13"/>
      <c r="K92" s="13" t="s">
        <v>29</v>
      </c>
      <c r="L92" s="22" t="s">
        <v>546</v>
      </c>
      <c r="M92" s="13"/>
      <c r="N92" s="13"/>
      <c r="O92" s="13"/>
      <c r="P92" s="13"/>
      <c r="Q92" s="13"/>
      <c r="R92" s="13"/>
      <c r="S92" s="13"/>
      <c r="T92" s="13"/>
      <c r="U92" s="13"/>
      <c r="V92" s="23"/>
      <c r="W92" s="23">
        <v>-15.974108869857789</v>
      </c>
      <c r="X92" s="23">
        <v>-117.59622215881346</v>
      </c>
      <c r="Y92" s="23">
        <f t="shared" si="2"/>
        <v>10.196648800048848</v>
      </c>
      <c r="Z92" s="13"/>
    </row>
    <row r="93" spans="1:26" s="6" customFormat="1" x14ac:dyDescent="0.35">
      <c r="A93" s="6" t="s">
        <v>25</v>
      </c>
      <c r="B93" s="13" t="s">
        <v>715</v>
      </c>
      <c r="C93" s="6">
        <v>510865</v>
      </c>
      <c r="D93" s="6" t="s">
        <v>716</v>
      </c>
      <c r="E93" s="6">
        <v>1</v>
      </c>
      <c r="F93" s="6">
        <v>9</v>
      </c>
      <c r="G93" s="6" t="s">
        <v>272</v>
      </c>
      <c r="I93" s="8">
        <v>86.154772777777794</v>
      </c>
      <c r="J93" s="8">
        <v>116.51710749999999</v>
      </c>
      <c r="K93" s="7" t="s">
        <v>29</v>
      </c>
      <c r="L93" s="9" t="s">
        <v>574</v>
      </c>
      <c r="M93" s="9">
        <v>43797</v>
      </c>
      <c r="O93" s="6">
        <v>9</v>
      </c>
      <c r="P93" s="6" t="s">
        <v>4273</v>
      </c>
      <c r="R93" s="10"/>
      <c r="S93" s="10"/>
      <c r="T93" s="10"/>
      <c r="U93" s="10"/>
      <c r="V93" s="11">
        <v>7.2</v>
      </c>
      <c r="W93" s="8">
        <v>-12.03798770904541</v>
      </c>
      <c r="X93" s="8">
        <v>-86.595213508605951</v>
      </c>
      <c r="Y93" s="8">
        <f t="shared" si="2"/>
        <v>9.7086881637573299</v>
      </c>
    </row>
    <row r="94" spans="1:26" s="6" customFormat="1" x14ac:dyDescent="0.35">
      <c r="A94" s="13"/>
      <c r="B94" s="13" t="s">
        <v>2730</v>
      </c>
      <c r="C94" s="13"/>
      <c r="D94" s="13" t="s">
        <v>3048</v>
      </c>
      <c r="E94" s="13">
        <v>1</v>
      </c>
      <c r="F94" s="13">
        <v>10</v>
      </c>
      <c r="G94" s="13"/>
      <c r="H94" s="13"/>
      <c r="I94" s="13"/>
      <c r="J94" s="13"/>
      <c r="K94" s="13" t="s">
        <v>29</v>
      </c>
      <c r="L94" s="22" t="s">
        <v>546</v>
      </c>
      <c r="M94" s="13"/>
      <c r="N94" s="13"/>
      <c r="O94" s="13"/>
      <c r="P94" s="13"/>
      <c r="Q94" s="13"/>
      <c r="R94" s="13"/>
      <c r="S94" s="13"/>
      <c r="T94" s="13"/>
      <c r="U94" s="13"/>
      <c r="V94" s="23"/>
      <c r="W94" s="23">
        <v>1.0324855195808411</v>
      </c>
      <c r="X94" s="23">
        <v>7.9246005054473869</v>
      </c>
      <c r="Y94" s="23">
        <f t="shared" si="2"/>
        <v>-0.335283651199342</v>
      </c>
      <c r="Z94" s="13"/>
    </row>
    <row r="95" spans="1:26" s="6" customFormat="1" x14ac:dyDescent="0.35">
      <c r="A95" s="6" t="s">
        <v>25</v>
      </c>
      <c r="D95" s="6" t="s">
        <v>873</v>
      </c>
      <c r="E95" s="6">
        <v>2</v>
      </c>
      <c r="F95" s="6">
        <v>20</v>
      </c>
      <c r="G95" s="6" t="s">
        <v>60</v>
      </c>
      <c r="I95" s="8">
        <v>87.410233125000005</v>
      </c>
      <c r="J95" s="8">
        <v>105.00010493055601</v>
      </c>
      <c r="K95" s="7" t="s">
        <v>29</v>
      </c>
      <c r="L95" s="7" t="s">
        <v>335</v>
      </c>
      <c r="M95" s="9">
        <v>43844</v>
      </c>
      <c r="O95" s="6">
        <v>16</v>
      </c>
      <c r="P95" s="6" t="s">
        <v>4309</v>
      </c>
      <c r="U95" s="10"/>
      <c r="W95" s="8">
        <v>-0.94372897185087168</v>
      </c>
      <c r="X95" s="8">
        <v>-5.5202959621429457</v>
      </c>
      <c r="Y95" s="8">
        <f t="shared" si="2"/>
        <v>2.0295358126640277</v>
      </c>
    </row>
    <row r="96" spans="1:26" s="6" customFormat="1" x14ac:dyDescent="0.35">
      <c r="A96" s="6" t="s">
        <v>25</v>
      </c>
      <c r="D96" s="6" t="s">
        <v>1051</v>
      </c>
      <c r="E96" s="6">
        <v>2</v>
      </c>
      <c r="F96" s="6">
        <v>24</v>
      </c>
      <c r="G96" s="6" t="s">
        <v>60</v>
      </c>
      <c r="I96" s="8">
        <v>88.029945763888904</v>
      </c>
      <c r="J96" s="8">
        <v>80.513806388888895</v>
      </c>
      <c r="K96" s="7" t="s">
        <v>29</v>
      </c>
      <c r="L96" s="6" t="s">
        <v>335</v>
      </c>
      <c r="M96" s="9">
        <v>43875</v>
      </c>
      <c r="O96" s="6">
        <v>20</v>
      </c>
      <c r="P96" s="6" t="s">
        <v>4289</v>
      </c>
      <c r="U96" s="10"/>
      <c r="W96" s="8">
        <v>-0.60782774720191923</v>
      </c>
      <c r="X96" s="8">
        <v>-3.7338517131805422</v>
      </c>
      <c r="Y96" s="8">
        <f t="shared" si="2"/>
        <v>1.1287702644348117</v>
      </c>
    </row>
    <row r="97" spans="1:26" s="6" customFormat="1" x14ac:dyDescent="0.35">
      <c r="A97" s="6" t="s">
        <v>25</v>
      </c>
      <c r="D97" s="6" t="s">
        <v>1051</v>
      </c>
      <c r="E97" s="6">
        <v>2</v>
      </c>
      <c r="F97" s="6">
        <v>24</v>
      </c>
      <c r="G97" s="6" t="s">
        <v>60</v>
      </c>
      <c r="I97" s="8">
        <v>88.029945763888904</v>
      </c>
      <c r="J97" s="8">
        <v>80.513806388888895</v>
      </c>
      <c r="K97" s="7" t="s">
        <v>29</v>
      </c>
      <c r="L97" s="6" t="s">
        <v>335</v>
      </c>
      <c r="M97" s="9">
        <v>43875</v>
      </c>
      <c r="O97" s="6">
        <v>20</v>
      </c>
      <c r="P97" s="6" t="s">
        <v>4289</v>
      </c>
      <c r="U97" s="10"/>
      <c r="W97" s="8">
        <v>-0.3418835168838501</v>
      </c>
      <c r="X97" s="8">
        <v>-1.4008459281921386</v>
      </c>
      <c r="Y97" s="8">
        <f t="shared" si="2"/>
        <v>1.3342222068786622</v>
      </c>
    </row>
    <row r="98" spans="1:26" s="6" customFormat="1" x14ac:dyDescent="0.35">
      <c r="A98" s="6" t="s">
        <v>25</v>
      </c>
      <c r="B98" s="6" t="s">
        <v>2404</v>
      </c>
      <c r="D98" s="6" t="s">
        <v>2405</v>
      </c>
      <c r="E98" s="6">
        <v>5</v>
      </c>
      <c r="F98" s="6">
        <v>61</v>
      </c>
      <c r="G98" s="6" t="s">
        <v>2406</v>
      </c>
      <c r="I98" s="8">
        <v>88.700402291666705</v>
      </c>
      <c r="J98" s="8">
        <v>111.973632708333</v>
      </c>
      <c r="K98" s="6" t="s">
        <v>29</v>
      </c>
      <c r="L98" s="29" t="s">
        <v>335</v>
      </c>
      <c r="M98" s="9">
        <v>44081</v>
      </c>
      <c r="O98" s="6">
        <v>51</v>
      </c>
      <c r="P98" s="6" t="s">
        <v>4434</v>
      </c>
      <c r="U98" s="10"/>
      <c r="V98" s="6">
        <v>1.3</v>
      </c>
      <c r="W98" s="8">
        <v>-2.5661941001415256</v>
      </c>
      <c r="X98" s="8">
        <v>-19.068419090270996</v>
      </c>
      <c r="Y98" s="8">
        <f t="shared" ref="Y98:Y119" si="3">X98-(8*W98)</f>
        <v>1.4611337108612084</v>
      </c>
    </row>
    <row r="99" spans="1:26" s="6" customFormat="1" x14ac:dyDescent="0.35">
      <c r="A99" s="6" t="s">
        <v>25</v>
      </c>
      <c r="B99" s="6" t="s">
        <v>2583</v>
      </c>
      <c r="D99" s="6" t="s">
        <v>2584</v>
      </c>
      <c r="E99" s="6">
        <v>5</v>
      </c>
      <c r="F99" s="6">
        <v>62</v>
      </c>
      <c r="G99" s="6" t="s">
        <v>2585</v>
      </c>
      <c r="I99" s="8">
        <v>86.00515645833336</v>
      </c>
      <c r="J99" s="8">
        <v>59.437783958333362</v>
      </c>
      <c r="K99" s="6" t="s">
        <v>29</v>
      </c>
      <c r="M99" s="9">
        <v>44098</v>
      </c>
      <c r="O99" s="6">
        <v>53</v>
      </c>
      <c r="P99" s="6" t="s">
        <v>4405</v>
      </c>
      <c r="U99" s="10"/>
      <c r="V99" s="6">
        <v>1.1000000000000001</v>
      </c>
      <c r="W99" s="8">
        <v>-13.969888166236878</v>
      </c>
      <c r="X99" s="8">
        <v>-102.66700883865357</v>
      </c>
      <c r="Y99" s="8">
        <f t="shared" si="3"/>
        <v>9.092096491241449</v>
      </c>
    </row>
    <row r="100" spans="1:26" s="6" customFormat="1" x14ac:dyDescent="0.35">
      <c r="A100" s="6" t="s">
        <v>25</v>
      </c>
      <c r="B100" s="6" t="s">
        <v>2586</v>
      </c>
      <c r="D100" s="6" t="s">
        <v>2587</v>
      </c>
      <c r="E100" s="6">
        <v>5</v>
      </c>
      <c r="F100" s="6">
        <v>62</v>
      </c>
      <c r="G100" s="6" t="s">
        <v>2585</v>
      </c>
      <c r="I100" s="8">
        <v>86.00515645833336</v>
      </c>
      <c r="J100" s="8">
        <v>59.437783958333362</v>
      </c>
      <c r="K100" s="6" t="s">
        <v>29</v>
      </c>
      <c r="M100" s="9">
        <v>44098</v>
      </c>
      <c r="O100" s="6">
        <v>53</v>
      </c>
      <c r="P100" s="6" t="s">
        <v>4405</v>
      </c>
      <c r="U100" s="10"/>
      <c r="V100" s="6">
        <v>1.2</v>
      </c>
      <c r="W100" s="8">
        <v>-10.160480966854095</v>
      </c>
      <c r="X100" s="8">
        <v>-77.111558639526365</v>
      </c>
      <c r="Y100" s="8">
        <f t="shared" si="3"/>
        <v>4.1722890953063967</v>
      </c>
    </row>
    <row r="101" spans="1:26" s="6" customFormat="1" x14ac:dyDescent="0.35">
      <c r="A101" s="6" t="s">
        <v>25</v>
      </c>
      <c r="B101" s="6" t="s">
        <v>2588</v>
      </c>
      <c r="D101" s="6" t="s">
        <v>2589</v>
      </c>
      <c r="E101" s="6">
        <v>5</v>
      </c>
      <c r="F101" s="6">
        <v>62</v>
      </c>
      <c r="G101" s="6" t="s">
        <v>2585</v>
      </c>
      <c r="I101" s="8">
        <v>86.00515645833336</v>
      </c>
      <c r="J101" s="8">
        <v>59.437783958333362</v>
      </c>
      <c r="K101" s="6" t="s">
        <v>29</v>
      </c>
      <c r="M101" s="9">
        <v>44098</v>
      </c>
      <c r="O101" s="6">
        <v>53</v>
      </c>
      <c r="P101" s="6" t="s">
        <v>4405</v>
      </c>
      <c r="U101" s="10"/>
      <c r="V101" s="6">
        <v>0.2</v>
      </c>
      <c r="W101" s="8">
        <v>-12.066347982215881</v>
      </c>
      <c r="X101" s="8">
        <v>-90.705422348022466</v>
      </c>
      <c r="Y101" s="8">
        <f t="shared" si="3"/>
        <v>5.8253615097045781</v>
      </c>
    </row>
    <row r="102" spans="1:26" s="13" customFormat="1" x14ac:dyDescent="0.35">
      <c r="A102" s="6" t="s">
        <v>25</v>
      </c>
      <c r="B102" s="7"/>
      <c r="C102" s="6"/>
      <c r="D102" s="6" t="s">
        <v>1070</v>
      </c>
      <c r="E102" s="6">
        <v>3</v>
      </c>
      <c r="F102" s="6">
        <v>30</v>
      </c>
      <c r="G102" s="6"/>
      <c r="H102" s="6"/>
      <c r="I102" s="8">
        <v>88.097994791666693</v>
      </c>
      <c r="J102" s="8">
        <v>29.473376875</v>
      </c>
      <c r="K102" s="6" t="s">
        <v>29</v>
      </c>
      <c r="L102" s="6"/>
      <c r="M102" s="9">
        <v>43896</v>
      </c>
      <c r="N102" s="6"/>
      <c r="O102" s="6">
        <v>23</v>
      </c>
      <c r="P102" s="6" t="s">
        <v>4342</v>
      </c>
      <c r="Q102" s="6"/>
      <c r="R102" s="6"/>
      <c r="S102" s="6">
        <v>0</v>
      </c>
      <c r="T102" s="6">
        <v>0</v>
      </c>
      <c r="U102" s="10">
        <f t="shared" ref="U102:U119" si="4">AVERAGE(S102:T102)</f>
        <v>0</v>
      </c>
      <c r="V102" s="6"/>
      <c r="W102" s="8">
        <v>-6.448916454315186</v>
      </c>
      <c r="X102" s="8">
        <v>-47.262799209594725</v>
      </c>
      <c r="Y102" s="8">
        <f t="shared" si="3"/>
        <v>4.3285324249267632</v>
      </c>
      <c r="Z102" s="6"/>
    </row>
    <row r="103" spans="1:26" s="13" customFormat="1" x14ac:dyDescent="0.35">
      <c r="A103" s="6" t="s">
        <v>25</v>
      </c>
      <c r="B103" s="6" t="s">
        <v>2590</v>
      </c>
      <c r="C103" s="6"/>
      <c r="D103" s="6" t="s">
        <v>3291</v>
      </c>
      <c r="E103" s="6"/>
      <c r="F103" s="6"/>
      <c r="G103" s="6" t="s">
        <v>57</v>
      </c>
      <c r="H103" s="6"/>
      <c r="I103" s="6"/>
      <c r="J103" s="6"/>
      <c r="K103" s="6" t="s">
        <v>29</v>
      </c>
      <c r="L103" s="6"/>
      <c r="M103" s="16">
        <v>43739</v>
      </c>
      <c r="N103" s="6"/>
      <c r="O103" s="6"/>
      <c r="P103" s="6"/>
      <c r="Q103" s="6"/>
      <c r="R103" s="6">
        <v>0</v>
      </c>
      <c r="S103" s="6">
        <v>0</v>
      </c>
      <c r="T103" s="6">
        <v>10</v>
      </c>
      <c r="U103" s="10">
        <f t="shared" si="4"/>
        <v>5</v>
      </c>
      <c r="V103" s="6"/>
      <c r="W103" s="8">
        <v>-5.2922019217491147</v>
      </c>
      <c r="X103" s="8">
        <v>-41.341042956542964</v>
      </c>
      <c r="Y103" s="8">
        <f t="shared" si="3"/>
        <v>0.99657241744995417</v>
      </c>
      <c r="Z103" s="6"/>
    </row>
    <row r="104" spans="1:26" s="13" customFormat="1" x14ac:dyDescent="0.35">
      <c r="A104" s="6" t="s">
        <v>25</v>
      </c>
      <c r="B104" s="6" t="s">
        <v>2591</v>
      </c>
      <c r="C104" s="6"/>
      <c r="D104" s="6" t="s">
        <v>3292</v>
      </c>
      <c r="E104" s="6"/>
      <c r="F104" s="6"/>
      <c r="G104" s="6" t="s">
        <v>57</v>
      </c>
      <c r="H104" s="6"/>
      <c r="I104" s="6"/>
      <c r="J104" s="6"/>
      <c r="K104" s="6" t="s">
        <v>29</v>
      </c>
      <c r="L104" s="6"/>
      <c r="M104" s="16">
        <v>43739</v>
      </c>
      <c r="N104" s="6"/>
      <c r="O104" s="6"/>
      <c r="P104" s="6"/>
      <c r="Q104" s="6"/>
      <c r="R104" s="6">
        <v>10</v>
      </c>
      <c r="S104" s="6">
        <v>10</v>
      </c>
      <c r="T104" s="6">
        <v>20</v>
      </c>
      <c r="U104" s="10">
        <f t="shared" si="4"/>
        <v>15</v>
      </c>
      <c r="V104" s="6"/>
      <c r="W104" s="8">
        <v>-4.0675152566909789</v>
      </c>
      <c r="X104" s="8">
        <v>-32.031119750976558</v>
      </c>
      <c r="Y104" s="8">
        <f t="shared" si="3"/>
        <v>0.50900230255127354</v>
      </c>
      <c r="Z104" s="6"/>
    </row>
    <row r="105" spans="1:26" s="13" customFormat="1" x14ac:dyDescent="0.35">
      <c r="A105" s="6" t="s">
        <v>25</v>
      </c>
      <c r="B105" s="6" t="s">
        <v>2592</v>
      </c>
      <c r="C105" s="6"/>
      <c r="D105" s="6" t="s">
        <v>3293</v>
      </c>
      <c r="E105" s="6"/>
      <c r="F105" s="6"/>
      <c r="G105" s="6" t="s">
        <v>57</v>
      </c>
      <c r="H105" s="6"/>
      <c r="I105" s="6"/>
      <c r="J105" s="6"/>
      <c r="K105" s="6" t="s">
        <v>29</v>
      </c>
      <c r="L105" s="6"/>
      <c r="M105" s="16">
        <v>43739</v>
      </c>
      <c r="N105" s="6"/>
      <c r="O105" s="6"/>
      <c r="P105" s="6"/>
      <c r="Q105" s="6"/>
      <c r="R105" s="6">
        <v>20</v>
      </c>
      <c r="S105" s="6">
        <v>20</v>
      </c>
      <c r="T105" s="6">
        <v>30</v>
      </c>
      <c r="U105" s="10">
        <f t="shared" si="4"/>
        <v>25</v>
      </c>
      <c r="V105" s="6"/>
      <c r="W105" s="8">
        <v>-3.7457234164237971</v>
      </c>
      <c r="X105" s="8">
        <v>-28.581844377136232</v>
      </c>
      <c r="Y105" s="8">
        <f t="shared" si="3"/>
        <v>1.3839429542541453</v>
      </c>
      <c r="Z105" s="6"/>
    </row>
    <row r="106" spans="1:26" s="13" customFormat="1" x14ac:dyDescent="0.35">
      <c r="A106" s="6" t="s">
        <v>25</v>
      </c>
      <c r="B106" s="6" t="s">
        <v>2593</v>
      </c>
      <c r="C106" s="6"/>
      <c r="D106" s="6" t="s">
        <v>3294</v>
      </c>
      <c r="E106" s="6"/>
      <c r="F106" s="6"/>
      <c r="G106" s="6" t="s">
        <v>57</v>
      </c>
      <c r="H106" s="6"/>
      <c r="I106" s="6"/>
      <c r="J106" s="6"/>
      <c r="K106" s="6" t="s">
        <v>29</v>
      </c>
      <c r="L106" s="6"/>
      <c r="M106" s="16">
        <v>43739</v>
      </c>
      <c r="N106" s="6"/>
      <c r="O106" s="6"/>
      <c r="P106" s="6"/>
      <c r="Q106" s="6"/>
      <c r="R106" s="6">
        <v>30</v>
      </c>
      <c r="S106" s="6">
        <v>30</v>
      </c>
      <c r="T106" s="6">
        <v>40</v>
      </c>
      <c r="U106" s="10">
        <f t="shared" si="4"/>
        <v>35</v>
      </c>
      <c r="V106" s="6"/>
      <c r="W106" s="8">
        <v>-2.7354655054569239</v>
      </c>
      <c r="X106" s="8">
        <v>-21.282820790863042</v>
      </c>
      <c r="Y106" s="8">
        <f t="shared" si="3"/>
        <v>0.60090325279234946</v>
      </c>
      <c r="Z106" s="6"/>
    </row>
    <row r="107" spans="1:26" s="13" customFormat="1" x14ac:dyDescent="0.35">
      <c r="A107" s="6" t="s">
        <v>25</v>
      </c>
      <c r="B107" s="6" t="s">
        <v>2594</v>
      </c>
      <c r="C107" s="6"/>
      <c r="D107" s="6" t="s">
        <v>3295</v>
      </c>
      <c r="E107" s="6"/>
      <c r="F107" s="6"/>
      <c r="G107" s="6" t="s">
        <v>57</v>
      </c>
      <c r="H107" s="6"/>
      <c r="I107" s="6"/>
      <c r="J107" s="6"/>
      <c r="K107" s="6" t="s">
        <v>29</v>
      </c>
      <c r="L107" s="6"/>
      <c r="M107" s="16">
        <v>43739</v>
      </c>
      <c r="N107" s="6"/>
      <c r="O107" s="6"/>
      <c r="P107" s="6"/>
      <c r="Q107" s="6"/>
      <c r="R107" s="6">
        <v>40</v>
      </c>
      <c r="S107" s="6">
        <v>40</v>
      </c>
      <c r="T107" s="6">
        <v>50</v>
      </c>
      <c r="U107" s="10">
        <f t="shared" si="4"/>
        <v>45</v>
      </c>
      <c r="V107" s="6"/>
      <c r="W107" s="8">
        <v>-0.65546178928613674</v>
      </c>
      <c r="X107" s="8">
        <v>-4.5776695838928232</v>
      </c>
      <c r="Y107" s="8">
        <f t="shared" si="3"/>
        <v>0.66602473039627075</v>
      </c>
      <c r="Z107" s="6"/>
    </row>
    <row r="108" spans="1:26" s="13" customFormat="1" x14ac:dyDescent="0.35">
      <c r="A108" s="6" t="s">
        <v>25</v>
      </c>
      <c r="B108" s="6" t="s">
        <v>2595</v>
      </c>
      <c r="C108" s="6"/>
      <c r="D108" s="6" t="s">
        <v>3296</v>
      </c>
      <c r="E108" s="6"/>
      <c r="F108" s="6"/>
      <c r="G108" s="6" t="s">
        <v>57</v>
      </c>
      <c r="H108" s="6"/>
      <c r="I108" s="6"/>
      <c r="J108" s="6"/>
      <c r="K108" s="6" t="s">
        <v>29</v>
      </c>
      <c r="L108" s="6"/>
      <c r="M108" s="16">
        <v>43739</v>
      </c>
      <c r="N108" s="6"/>
      <c r="O108" s="6"/>
      <c r="P108" s="6"/>
      <c r="Q108" s="6"/>
      <c r="R108" s="6">
        <v>50</v>
      </c>
      <c r="S108" s="6">
        <v>50</v>
      </c>
      <c r="T108" s="6">
        <v>60</v>
      </c>
      <c r="U108" s="10">
        <f t="shared" si="4"/>
        <v>55</v>
      </c>
      <c r="V108" s="6"/>
      <c r="W108" s="8">
        <v>-1.2801417827367783</v>
      </c>
      <c r="X108" s="8">
        <v>-9.7799299999237093</v>
      </c>
      <c r="Y108" s="8">
        <f t="shared" si="3"/>
        <v>0.46120426197051678</v>
      </c>
      <c r="Z108" s="6"/>
    </row>
    <row r="109" spans="1:26" s="13" customFormat="1" x14ac:dyDescent="0.35">
      <c r="A109" s="6" t="s">
        <v>25</v>
      </c>
      <c r="B109" s="6" t="s">
        <v>2596</v>
      </c>
      <c r="C109" s="6"/>
      <c r="D109" s="6" t="s">
        <v>3297</v>
      </c>
      <c r="E109" s="6"/>
      <c r="F109" s="6"/>
      <c r="G109" s="6" t="s">
        <v>57</v>
      </c>
      <c r="H109" s="6"/>
      <c r="I109" s="6"/>
      <c r="J109" s="6"/>
      <c r="K109" s="6" t="s">
        <v>29</v>
      </c>
      <c r="L109" s="6"/>
      <c r="M109" s="16">
        <v>43739</v>
      </c>
      <c r="N109" s="6"/>
      <c r="O109" s="6"/>
      <c r="P109" s="6"/>
      <c r="Q109" s="6"/>
      <c r="R109" s="6">
        <v>60</v>
      </c>
      <c r="S109" s="6">
        <v>60</v>
      </c>
      <c r="T109" s="6">
        <v>70</v>
      </c>
      <c r="U109" s="10">
        <f t="shared" si="4"/>
        <v>65</v>
      </c>
      <c r="V109" s="6"/>
      <c r="W109" s="8">
        <v>-1.1569782501220705</v>
      </c>
      <c r="X109" s="8">
        <v>-8.7664914241790779</v>
      </c>
      <c r="Y109" s="8">
        <f t="shared" si="3"/>
        <v>0.48933457679748571</v>
      </c>
      <c r="Z109" s="6"/>
    </row>
    <row r="110" spans="1:26" s="13" customFormat="1" x14ac:dyDescent="0.35">
      <c r="A110" s="6" t="s">
        <v>25</v>
      </c>
      <c r="B110" s="6" t="s">
        <v>2597</v>
      </c>
      <c r="C110" s="6"/>
      <c r="D110" s="6" t="s">
        <v>3298</v>
      </c>
      <c r="E110" s="6"/>
      <c r="F110" s="6"/>
      <c r="G110" s="6" t="s">
        <v>57</v>
      </c>
      <c r="H110" s="6"/>
      <c r="I110" s="6"/>
      <c r="J110" s="6"/>
      <c r="K110" s="6" t="s">
        <v>29</v>
      </c>
      <c r="L110" s="6"/>
      <c r="M110" s="16">
        <v>43739</v>
      </c>
      <c r="N110" s="6"/>
      <c r="O110" s="6"/>
      <c r="P110" s="6"/>
      <c r="Q110" s="6"/>
      <c r="R110" s="6">
        <v>70</v>
      </c>
      <c r="S110" s="6">
        <v>70</v>
      </c>
      <c r="T110" s="6">
        <v>80</v>
      </c>
      <c r="U110" s="10">
        <f t="shared" si="4"/>
        <v>75</v>
      </c>
      <c r="V110" s="6"/>
      <c r="W110" s="8">
        <v>-0.65826039460897456</v>
      </c>
      <c r="X110" s="8">
        <v>-4.3829364086151132</v>
      </c>
      <c r="Y110" s="8">
        <f t="shared" si="3"/>
        <v>0.88314674825668327</v>
      </c>
      <c r="Z110" s="6"/>
    </row>
    <row r="111" spans="1:26" s="13" customFormat="1" x14ac:dyDescent="0.35">
      <c r="A111" s="6" t="s">
        <v>25</v>
      </c>
      <c r="B111" s="6" t="s">
        <v>2598</v>
      </c>
      <c r="C111" s="6"/>
      <c r="D111" s="6" t="s">
        <v>3299</v>
      </c>
      <c r="E111" s="6"/>
      <c r="F111" s="6"/>
      <c r="G111" s="6" t="s">
        <v>57</v>
      </c>
      <c r="H111" s="6"/>
      <c r="I111" s="6"/>
      <c r="J111" s="6"/>
      <c r="K111" s="6" t="s">
        <v>29</v>
      </c>
      <c r="L111" s="6"/>
      <c r="M111" s="16">
        <v>43739</v>
      </c>
      <c r="N111" s="6"/>
      <c r="O111" s="6"/>
      <c r="P111" s="6"/>
      <c r="Q111" s="6"/>
      <c r="R111" s="6">
        <v>80</v>
      </c>
      <c r="S111" s="6">
        <v>80</v>
      </c>
      <c r="T111" s="6">
        <v>87.5</v>
      </c>
      <c r="U111" s="10">
        <f t="shared" si="4"/>
        <v>83.75</v>
      </c>
      <c r="V111" s="6"/>
      <c r="W111" s="8">
        <v>-0.27184119350314129</v>
      </c>
      <c r="X111" s="8">
        <v>-1.9040208419322968</v>
      </c>
      <c r="Y111" s="8">
        <f t="shared" si="3"/>
        <v>0.27070870609283348</v>
      </c>
      <c r="Z111" s="6"/>
    </row>
    <row r="112" spans="1:26" s="13" customFormat="1" x14ac:dyDescent="0.35">
      <c r="A112" s="6" t="s">
        <v>25</v>
      </c>
      <c r="B112" s="6" t="s">
        <v>2599</v>
      </c>
      <c r="C112" s="6"/>
      <c r="D112" s="6" t="s">
        <v>3300</v>
      </c>
      <c r="E112" s="6"/>
      <c r="F112" s="6"/>
      <c r="G112" s="6" t="s">
        <v>57</v>
      </c>
      <c r="H112" s="6"/>
      <c r="I112" s="6"/>
      <c r="J112" s="6"/>
      <c r="K112" s="6" t="s">
        <v>29</v>
      </c>
      <c r="L112" s="6"/>
      <c r="M112" s="16">
        <v>43739</v>
      </c>
      <c r="N112" s="6"/>
      <c r="O112" s="6"/>
      <c r="P112" s="6"/>
      <c r="Q112" s="6"/>
      <c r="R112" s="6">
        <v>87.5</v>
      </c>
      <c r="S112" s="6">
        <v>87.5</v>
      </c>
      <c r="T112" s="6">
        <v>97.5</v>
      </c>
      <c r="U112" s="10">
        <f t="shared" si="4"/>
        <v>92.5</v>
      </c>
      <c r="V112" s="6"/>
      <c r="W112" s="8">
        <v>-1.3477088223729285</v>
      </c>
      <c r="X112" s="8">
        <v>-8.488077672958374</v>
      </c>
      <c r="Y112" s="8">
        <f t="shared" si="3"/>
        <v>2.2935929060250544</v>
      </c>
      <c r="Z112" s="6"/>
    </row>
    <row r="113" spans="1:26" s="13" customFormat="1" x14ac:dyDescent="0.35">
      <c r="A113" s="6" t="s">
        <v>25</v>
      </c>
      <c r="B113" s="6" t="s">
        <v>2600</v>
      </c>
      <c r="C113" s="6"/>
      <c r="D113" s="6" t="s">
        <v>3301</v>
      </c>
      <c r="E113" s="6"/>
      <c r="F113" s="6"/>
      <c r="G113" s="6" t="s">
        <v>57</v>
      </c>
      <c r="H113" s="6"/>
      <c r="I113" s="6"/>
      <c r="J113" s="6"/>
      <c r="K113" s="6" t="s">
        <v>29</v>
      </c>
      <c r="L113" s="6"/>
      <c r="M113" s="16">
        <v>43739</v>
      </c>
      <c r="N113" s="6"/>
      <c r="O113" s="6"/>
      <c r="P113" s="6"/>
      <c r="Q113" s="6"/>
      <c r="R113" s="6">
        <v>97.5</v>
      </c>
      <c r="S113" s="6">
        <v>97.5</v>
      </c>
      <c r="T113" s="6">
        <v>107.5</v>
      </c>
      <c r="U113" s="10">
        <f t="shared" si="4"/>
        <v>102.5</v>
      </c>
      <c r="V113" s="6"/>
      <c r="W113" s="8">
        <v>-1.5929208728909492</v>
      </c>
      <c r="X113" s="8">
        <v>-12.646785312652588</v>
      </c>
      <c r="Y113" s="8">
        <f t="shared" si="3"/>
        <v>9.6581670475005765E-2</v>
      </c>
      <c r="Z113" s="6"/>
    </row>
    <row r="114" spans="1:26" s="13" customFormat="1" x14ac:dyDescent="0.35">
      <c r="A114" s="6" t="s">
        <v>25</v>
      </c>
      <c r="B114" s="6" t="s">
        <v>2601</v>
      </c>
      <c r="C114" s="6"/>
      <c r="D114" s="6" t="s">
        <v>3302</v>
      </c>
      <c r="E114" s="6"/>
      <c r="F114" s="6"/>
      <c r="G114" s="6" t="s">
        <v>57</v>
      </c>
      <c r="H114" s="6"/>
      <c r="I114" s="6"/>
      <c r="J114" s="6"/>
      <c r="K114" s="6" t="s">
        <v>29</v>
      </c>
      <c r="L114" s="6"/>
      <c r="M114" s="16">
        <v>43739</v>
      </c>
      <c r="N114" s="6"/>
      <c r="O114" s="6"/>
      <c r="P114" s="6"/>
      <c r="Q114" s="6"/>
      <c r="R114" s="6">
        <v>107.5</v>
      </c>
      <c r="S114" s="6">
        <v>107.5</v>
      </c>
      <c r="T114" s="6">
        <v>116.5</v>
      </c>
      <c r="U114" s="10">
        <f t="shared" si="4"/>
        <v>112</v>
      </c>
      <c r="V114" s="6"/>
      <c r="W114" s="8">
        <v>-1.7327508819341662</v>
      </c>
      <c r="X114" s="8">
        <v>-12.40573936843872</v>
      </c>
      <c r="Y114" s="8">
        <f t="shared" si="3"/>
        <v>1.4562676870346092</v>
      </c>
      <c r="Z114" s="6"/>
    </row>
    <row r="115" spans="1:26" s="13" customFormat="1" x14ac:dyDescent="0.35">
      <c r="A115" s="6" t="s">
        <v>25</v>
      </c>
      <c r="B115" s="6" t="s">
        <v>2602</v>
      </c>
      <c r="C115" s="6"/>
      <c r="D115" s="6" t="s">
        <v>3303</v>
      </c>
      <c r="E115" s="6"/>
      <c r="F115" s="6"/>
      <c r="G115" s="6" t="s">
        <v>57</v>
      </c>
      <c r="H115" s="6"/>
      <c r="I115" s="6"/>
      <c r="J115" s="6"/>
      <c r="K115" s="6" t="s">
        <v>29</v>
      </c>
      <c r="L115" s="6"/>
      <c r="M115" s="16">
        <v>43739</v>
      </c>
      <c r="N115" s="6"/>
      <c r="O115" s="6"/>
      <c r="P115" s="6"/>
      <c r="Q115" s="6"/>
      <c r="R115" s="6">
        <v>116.5</v>
      </c>
      <c r="S115" s="6">
        <v>116.5</v>
      </c>
      <c r="T115" s="6">
        <v>126.5</v>
      </c>
      <c r="U115" s="10">
        <f t="shared" si="4"/>
        <v>121.5</v>
      </c>
      <c r="V115" s="6"/>
      <c r="W115" s="8">
        <v>-1.4792037768900399</v>
      </c>
      <c r="X115" s="8">
        <v>-9.7992449340820311</v>
      </c>
      <c r="Y115" s="8">
        <f t="shared" si="3"/>
        <v>2.0343852810382881</v>
      </c>
      <c r="Z115" s="6"/>
    </row>
    <row r="116" spans="1:26" s="13" customFormat="1" x14ac:dyDescent="0.35">
      <c r="A116" s="6" t="s">
        <v>25</v>
      </c>
      <c r="B116" s="6" t="s">
        <v>2603</v>
      </c>
      <c r="C116" s="6"/>
      <c r="D116" s="6" t="s">
        <v>3304</v>
      </c>
      <c r="E116" s="6"/>
      <c r="F116" s="6"/>
      <c r="G116" s="6" t="s">
        <v>57</v>
      </c>
      <c r="H116" s="6"/>
      <c r="I116" s="6"/>
      <c r="J116" s="6"/>
      <c r="K116" s="6" t="s">
        <v>29</v>
      </c>
      <c r="L116" s="6"/>
      <c r="M116" s="16">
        <v>43739</v>
      </c>
      <c r="N116" s="6"/>
      <c r="O116" s="6"/>
      <c r="P116" s="6"/>
      <c r="Q116" s="6"/>
      <c r="R116" s="6">
        <v>126.5</v>
      </c>
      <c r="S116" s="6">
        <v>126.5</v>
      </c>
      <c r="T116" s="6">
        <v>136.5</v>
      </c>
      <c r="U116" s="10">
        <f t="shared" si="4"/>
        <v>131.5</v>
      </c>
      <c r="V116" s="6"/>
      <c r="W116" s="8">
        <v>-1.1512689398467542</v>
      </c>
      <c r="X116" s="8">
        <v>-7.0754005508422857</v>
      </c>
      <c r="Y116" s="8">
        <f t="shared" si="3"/>
        <v>2.1347509679317476</v>
      </c>
      <c r="Z116" s="6"/>
    </row>
    <row r="117" spans="1:26" s="13" customFormat="1" x14ac:dyDescent="0.35">
      <c r="A117" s="6" t="s">
        <v>25</v>
      </c>
      <c r="B117" s="6" t="s">
        <v>2604</v>
      </c>
      <c r="C117" s="6"/>
      <c r="D117" s="6" t="s">
        <v>3305</v>
      </c>
      <c r="E117" s="6"/>
      <c r="F117" s="6"/>
      <c r="G117" s="6" t="s">
        <v>57</v>
      </c>
      <c r="H117" s="6"/>
      <c r="I117" s="6"/>
      <c r="J117" s="6"/>
      <c r="K117" s="6" t="s">
        <v>29</v>
      </c>
      <c r="L117" s="6"/>
      <c r="M117" s="16">
        <v>43739</v>
      </c>
      <c r="N117" s="6"/>
      <c r="O117" s="6"/>
      <c r="P117" s="6"/>
      <c r="Q117" s="6"/>
      <c r="R117" s="6">
        <v>136.5</v>
      </c>
      <c r="S117" s="6">
        <v>136.5</v>
      </c>
      <c r="T117" s="6">
        <v>146.5</v>
      </c>
      <c r="U117" s="10">
        <f t="shared" si="4"/>
        <v>141.5</v>
      </c>
      <c r="V117" s="6"/>
      <c r="W117" s="8">
        <v>-1.2533100595563647</v>
      </c>
      <c r="X117" s="8">
        <v>-8.8287790718078618</v>
      </c>
      <c r="Y117" s="8">
        <f t="shared" si="3"/>
        <v>1.1977014046430554</v>
      </c>
      <c r="Z117" s="6"/>
    </row>
    <row r="118" spans="1:26" s="13" customFormat="1" x14ac:dyDescent="0.35">
      <c r="A118" s="6" t="s">
        <v>25</v>
      </c>
      <c r="B118" s="6" t="s">
        <v>2605</v>
      </c>
      <c r="C118" s="6"/>
      <c r="D118" s="6" t="s">
        <v>3306</v>
      </c>
      <c r="E118" s="6"/>
      <c r="F118" s="6"/>
      <c r="G118" s="6" t="s">
        <v>57</v>
      </c>
      <c r="H118" s="6"/>
      <c r="I118" s="6"/>
      <c r="J118" s="6"/>
      <c r="K118" s="6" t="s">
        <v>29</v>
      </c>
      <c r="L118" s="6"/>
      <c r="M118" s="16">
        <v>43739</v>
      </c>
      <c r="N118" s="6"/>
      <c r="O118" s="6"/>
      <c r="P118" s="6"/>
      <c r="Q118" s="6"/>
      <c r="R118" s="6">
        <v>146.5</v>
      </c>
      <c r="S118" s="6">
        <v>146.5</v>
      </c>
      <c r="T118" s="6">
        <v>156.5</v>
      </c>
      <c r="U118" s="10">
        <f t="shared" si="4"/>
        <v>151.5</v>
      </c>
      <c r="V118" s="6"/>
      <c r="W118" s="8">
        <v>-1.9951445184886456</v>
      </c>
      <c r="X118" s="8">
        <v>-14.253417766571044</v>
      </c>
      <c r="Y118" s="8">
        <f t="shared" si="3"/>
        <v>1.7077383813381211</v>
      </c>
      <c r="Z118" s="6"/>
    </row>
    <row r="119" spans="1:26" s="13" customFormat="1" x14ac:dyDescent="0.35">
      <c r="A119" s="6" t="s">
        <v>25</v>
      </c>
      <c r="B119" s="6" t="s">
        <v>2606</v>
      </c>
      <c r="C119" s="6"/>
      <c r="D119" s="6" t="s">
        <v>3307</v>
      </c>
      <c r="E119" s="6"/>
      <c r="F119" s="6"/>
      <c r="G119" s="6" t="s">
        <v>57</v>
      </c>
      <c r="H119" s="6"/>
      <c r="I119" s="6"/>
      <c r="J119" s="6"/>
      <c r="K119" s="6" t="s">
        <v>29</v>
      </c>
      <c r="L119" s="6"/>
      <c r="M119" s="16">
        <v>43739</v>
      </c>
      <c r="N119" s="6"/>
      <c r="O119" s="6"/>
      <c r="P119" s="6"/>
      <c r="Q119" s="6"/>
      <c r="R119" s="6">
        <v>156.5</v>
      </c>
      <c r="S119" s="6">
        <v>156.5</v>
      </c>
      <c r="T119" s="6">
        <v>163</v>
      </c>
      <c r="U119" s="10">
        <f t="shared" si="4"/>
        <v>159.75</v>
      </c>
      <c r="V119" s="6"/>
      <c r="W119" s="8">
        <v>-2.3170661070644853</v>
      </c>
      <c r="X119" s="8">
        <v>-18.386178889465334</v>
      </c>
      <c r="Y119" s="8">
        <f t="shared" si="3"/>
        <v>0.15034996705054837</v>
      </c>
      <c r="Z119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9099-48D0-4CAD-867F-19E8F2E93D33}">
  <dimension ref="A1:Z413"/>
  <sheetViews>
    <sheetView zoomScale="85" zoomScaleNormal="85" workbookViewId="0"/>
  </sheetViews>
  <sheetFormatPr defaultRowHeight="14.5" x14ac:dyDescent="0.35"/>
  <cols>
    <col min="1" max="1" width="7.7265625" bestFit="1" customWidth="1"/>
    <col min="2" max="3" width="17" bestFit="1" customWidth="1"/>
    <col min="4" max="4" width="55.36328125" bestFit="1" customWidth="1"/>
    <col min="5" max="5" width="3.81640625" bestFit="1" customWidth="1"/>
    <col min="6" max="6" width="6" bestFit="1" customWidth="1"/>
    <col min="7" max="7" width="17.26953125" bestFit="1" customWidth="1"/>
    <col min="8" max="8" width="18.6328125" bestFit="1" customWidth="1"/>
    <col min="9" max="9" width="7.90625" bestFit="1" customWidth="1"/>
    <col min="10" max="10" width="9.36328125" bestFit="1" customWidth="1"/>
    <col min="11" max="11" width="10.90625" bestFit="1" customWidth="1"/>
    <col min="12" max="12" width="8.26953125" bestFit="1" customWidth="1"/>
    <col min="13" max="13" width="13.54296875" bestFit="1" customWidth="1"/>
    <col min="14" max="14" width="5.1796875" bestFit="1" customWidth="1"/>
    <col min="15" max="15" width="14" bestFit="1" customWidth="1"/>
    <col min="16" max="16" width="9.08984375" bestFit="1" customWidth="1"/>
    <col min="17" max="17" width="15.81640625" bestFit="1" customWidth="1"/>
    <col min="18" max="18" width="20.81640625" bestFit="1" customWidth="1"/>
    <col min="19" max="19" width="11.7265625" bestFit="1" customWidth="1"/>
    <col min="20" max="20" width="8" bestFit="1" customWidth="1"/>
    <col min="21" max="22" width="12" bestFit="1" customWidth="1"/>
    <col min="23" max="23" width="6" bestFit="1" customWidth="1"/>
    <col min="24" max="24" width="7" bestFit="1" customWidth="1"/>
    <col min="25" max="25" width="8.54296875" bestFit="1" customWidth="1"/>
    <col min="26" max="26" width="10.08984375" bestFit="1" customWidth="1"/>
  </cols>
  <sheetData>
    <row r="1" spans="1:2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4449</v>
      </c>
      <c r="M1" s="2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1" t="s">
        <v>20</v>
      </c>
      <c r="W1" s="5" t="s">
        <v>21</v>
      </c>
      <c r="X1" s="5" t="s">
        <v>22</v>
      </c>
      <c r="Y1" s="5" t="s">
        <v>23</v>
      </c>
      <c r="Z1" s="1" t="s">
        <v>24</v>
      </c>
    </row>
    <row r="2" spans="1:26" s="6" customFormat="1" x14ac:dyDescent="0.35">
      <c r="A2" s="6" t="s">
        <v>25</v>
      </c>
      <c r="B2" s="7"/>
      <c r="C2" s="6">
        <v>510217</v>
      </c>
      <c r="D2" s="6" t="s">
        <v>209</v>
      </c>
      <c r="E2" s="6">
        <v>1</v>
      </c>
      <c r="F2" s="6">
        <v>5</v>
      </c>
      <c r="G2" s="6" t="s">
        <v>210</v>
      </c>
      <c r="H2" s="6">
        <v>16</v>
      </c>
      <c r="I2" s="8">
        <v>85.587483888888897</v>
      </c>
      <c r="J2" s="8">
        <v>126.139427777778</v>
      </c>
      <c r="K2" s="6" t="s">
        <v>29</v>
      </c>
      <c r="L2" s="6" t="s">
        <v>546</v>
      </c>
      <c r="M2" s="9">
        <v>43766</v>
      </c>
      <c r="O2" s="6">
        <v>5</v>
      </c>
      <c r="P2" s="6" t="s">
        <v>4251</v>
      </c>
      <c r="R2" s="6" t="s">
        <v>203</v>
      </c>
      <c r="S2" s="6">
        <v>0</v>
      </c>
      <c r="T2" s="6">
        <v>5</v>
      </c>
      <c r="U2" s="10">
        <f t="shared" ref="U2:U65" si="0">AVERAGE(S2:T2)</f>
        <v>2.5</v>
      </c>
      <c r="V2" s="6">
        <v>5</v>
      </c>
      <c r="W2" s="8">
        <v>-5.9229873926162728</v>
      </c>
      <c r="X2" s="8">
        <v>-45.027758839416499</v>
      </c>
      <c r="Y2" s="8">
        <f t="shared" ref="Y2:Y65" si="1">X2-(8*W2)</f>
        <v>2.3561403015136833</v>
      </c>
    </row>
    <row r="3" spans="1:26" s="6" customFormat="1" x14ac:dyDescent="0.35">
      <c r="A3" s="6" t="s">
        <v>25</v>
      </c>
      <c r="B3" s="7"/>
      <c r="C3" s="6">
        <v>510230</v>
      </c>
      <c r="D3" s="6" t="s">
        <v>217</v>
      </c>
      <c r="E3" s="6">
        <v>1</v>
      </c>
      <c r="F3" s="6">
        <v>5</v>
      </c>
      <c r="G3" s="6" t="s">
        <v>210</v>
      </c>
      <c r="H3" s="6">
        <v>16</v>
      </c>
      <c r="I3" s="8">
        <v>85.587483888888897</v>
      </c>
      <c r="J3" s="8">
        <v>126.139427777778</v>
      </c>
      <c r="K3" s="6" t="s">
        <v>29</v>
      </c>
      <c r="L3" s="6" t="s">
        <v>546</v>
      </c>
      <c r="M3" s="9">
        <v>43766</v>
      </c>
      <c r="O3" s="6">
        <v>5</v>
      </c>
      <c r="P3" s="6" t="s">
        <v>4251</v>
      </c>
      <c r="R3" s="6" t="s">
        <v>64</v>
      </c>
      <c r="S3" s="6">
        <v>0</v>
      </c>
      <c r="T3" s="6">
        <v>10</v>
      </c>
      <c r="U3" s="10">
        <f t="shared" si="0"/>
        <v>5</v>
      </c>
      <c r="V3" s="6">
        <v>0</v>
      </c>
      <c r="W3" s="8">
        <v>-6.3742679126739512</v>
      </c>
      <c r="X3" s="8">
        <v>-49.221475982666014</v>
      </c>
      <c r="Y3" s="8">
        <f t="shared" si="1"/>
        <v>1.7726673187255955</v>
      </c>
    </row>
    <row r="4" spans="1:26" s="6" customFormat="1" x14ac:dyDescent="0.35">
      <c r="A4" s="6" t="s">
        <v>25</v>
      </c>
      <c r="B4" s="7"/>
      <c r="C4" s="6">
        <v>510218</v>
      </c>
      <c r="D4" s="6" t="s">
        <v>209</v>
      </c>
      <c r="E4" s="6">
        <v>1</v>
      </c>
      <c r="F4" s="6">
        <v>5</v>
      </c>
      <c r="G4" s="6" t="s">
        <v>210</v>
      </c>
      <c r="H4" s="6">
        <v>16</v>
      </c>
      <c r="I4" s="8">
        <v>85.587483888888897</v>
      </c>
      <c r="J4" s="8">
        <v>126.139427777778</v>
      </c>
      <c r="K4" s="6" t="s">
        <v>29</v>
      </c>
      <c r="L4" s="6" t="s">
        <v>546</v>
      </c>
      <c r="M4" s="9">
        <v>43766</v>
      </c>
      <c r="O4" s="6">
        <v>5</v>
      </c>
      <c r="P4" s="6" t="s">
        <v>4251</v>
      </c>
      <c r="R4" s="6" t="s">
        <v>204</v>
      </c>
      <c r="S4" s="6">
        <v>5</v>
      </c>
      <c r="T4" s="6">
        <v>10</v>
      </c>
      <c r="U4" s="10">
        <f t="shared" si="0"/>
        <v>7.5</v>
      </c>
      <c r="V4" s="6">
        <v>1.1000000000000001</v>
      </c>
      <c r="W4" s="8">
        <v>-4.3661138207435606</v>
      </c>
      <c r="X4" s="8">
        <v>-33.876234398651121</v>
      </c>
      <c r="Y4" s="8">
        <f t="shared" si="1"/>
        <v>1.0526761672973635</v>
      </c>
    </row>
    <row r="5" spans="1:26" s="6" customFormat="1" x14ac:dyDescent="0.35">
      <c r="A5" s="6" t="s">
        <v>25</v>
      </c>
      <c r="B5" s="7"/>
      <c r="C5" s="6">
        <v>510231</v>
      </c>
      <c r="D5" s="6" t="s">
        <v>217</v>
      </c>
      <c r="E5" s="6">
        <v>1</v>
      </c>
      <c r="F5" s="6">
        <v>5</v>
      </c>
      <c r="G5" s="6" t="s">
        <v>210</v>
      </c>
      <c r="H5" s="6">
        <v>16</v>
      </c>
      <c r="I5" s="8">
        <v>85.587483888888897</v>
      </c>
      <c r="J5" s="8">
        <v>126.139427777778</v>
      </c>
      <c r="K5" s="6" t="s">
        <v>29</v>
      </c>
      <c r="L5" s="6" t="s">
        <v>546</v>
      </c>
      <c r="M5" s="9">
        <v>43766</v>
      </c>
      <c r="O5" s="6">
        <v>5</v>
      </c>
      <c r="P5" s="6" t="s">
        <v>4251</v>
      </c>
      <c r="R5" s="6" t="s">
        <v>218</v>
      </c>
      <c r="S5" s="6">
        <v>10</v>
      </c>
      <c r="T5" s="6">
        <v>20</v>
      </c>
      <c r="U5" s="10">
        <f t="shared" si="0"/>
        <v>15</v>
      </c>
      <c r="V5" s="6">
        <v>0</v>
      </c>
      <c r="W5" s="8">
        <v>-6.7339668742815659</v>
      </c>
      <c r="X5" s="8">
        <v>-51.164246877034508</v>
      </c>
      <c r="Y5" s="8">
        <f t="shared" si="1"/>
        <v>2.7074881172180199</v>
      </c>
    </row>
    <row r="6" spans="1:26" s="6" customFormat="1" x14ac:dyDescent="0.35">
      <c r="A6" s="6" t="s">
        <v>25</v>
      </c>
      <c r="B6" s="7"/>
      <c r="C6" s="6">
        <v>510219</v>
      </c>
      <c r="D6" s="6" t="s">
        <v>209</v>
      </c>
      <c r="E6" s="6">
        <v>1</v>
      </c>
      <c r="F6" s="6">
        <v>5</v>
      </c>
      <c r="G6" s="6" t="s">
        <v>210</v>
      </c>
      <c r="H6" s="6">
        <v>16</v>
      </c>
      <c r="I6" s="8">
        <v>85.587483888888897</v>
      </c>
      <c r="J6" s="8">
        <v>126.139427777778</v>
      </c>
      <c r="K6" s="6" t="s">
        <v>29</v>
      </c>
      <c r="L6" s="6" t="s">
        <v>546</v>
      </c>
      <c r="M6" s="9">
        <v>43766</v>
      </c>
      <c r="O6" s="6">
        <v>5</v>
      </c>
      <c r="P6" s="6" t="s">
        <v>4251</v>
      </c>
      <c r="R6" s="6" t="s">
        <v>138</v>
      </c>
      <c r="S6" s="6">
        <v>10</v>
      </c>
      <c r="T6" s="6">
        <v>20</v>
      </c>
      <c r="U6" s="10">
        <f t="shared" si="0"/>
        <v>15</v>
      </c>
      <c r="V6" s="6">
        <v>1.3</v>
      </c>
      <c r="W6" s="8">
        <v>-3.5823662671566012</v>
      </c>
      <c r="X6" s="8">
        <v>-27.383188616561888</v>
      </c>
      <c r="Y6" s="8">
        <f t="shared" si="1"/>
        <v>1.2757415206909215</v>
      </c>
    </row>
    <row r="7" spans="1:26" s="6" customFormat="1" x14ac:dyDescent="0.35">
      <c r="A7" s="6" t="s">
        <v>25</v>
      </c>
      <c r="B7" s="7"/>
      <c r="C7" s="6">
        <v>510232</v>
      </c>
      <c r="D7" s="6" t="s">
        <v>217</v>
      </c>
      <c r="E7" s="6">
        <v>1</v>
      </c>
      <c r="F7" s="6">
        <v>5</v>
      </c>
      <c r="G7" s="6" t="s">
        <v>210</v>
      </c>
      <c r="H7" s="6">
        <v>16</v>
      </c>
      <c r="I7" s="8">
        <v>85.587483888888897</v>
      </c>
      <c r="J7" s="8">
        <v>126.139427777778</v>
      </c>
      <c r="K7" s="6" t="s">
        <v>29</v>
      </c>
      <c r="L7" s="6" t="s">
        <v>546</v>
      </c>
      <c r="M7" s="9">
        <v>43766</v>
      </c>
      <c r="O7" s="6">
        <v>5</v>
      </c>
      <c r="P7" s="6" t="s">
        <v>4251</v>
      </c>
      <c r="R7" s="6" t="s">
        <v>215</v>
      </c>
      <c r="S7" s="6">
        <v>20</v>
      </c>
      <c r="T7" s="6">
        <v>30</v>
      </c>
      <c r="U7" s="10">
        <f t="shared" si="0"/>
        <v>25</v>
      </c>
      <c r="V7" s="6">
        <v>0</v>
      </c>
      <c r="W7" s="8">
        <v>-5.651340428670248</v>
      </c>
      <c r="X7" s="8">
        <v>-42.546320203145342</v>
      </c>
      <c r="Y7" s="8">
        <f t="shared" si="1"/>
        <v>2.6644032262166419</v>
      </c>
    </row>
    <row r="8" spans="1:26" s="6" customFormat="1" x14ac:dyDescent="0.35">
      <c r="A8" s="6" t="s">
        <v>25</v>
      </c>
      <c r="B8" s="7"/>
      <c r="C8" s="6">
        <v>510224</v>
      </c>
      <c r="D8" s="6" t="s">
        <v>209</v>
      </c>
      <c r="E8" s="6">
        <v>1</v>
      </c>
      <c r="F8" s="6">
        <v>5</v>
      </c>
      <c r="G8" s="6" t="s">
        <v>210</v>
      </c>
      <c r="H8" s="6">
        <v>16</v>
      </c>
      <c r="I8" s="8">
        <v>85.587483888888897</v>
      </c>
      <c r="J8" s="8">
        <v>126.139427777778</v>
      </c>
      <c r="K8" s="6" t="s">
        <v>29</v>
      </c>
      <c r="L8" s="6" t="s">
        <v>546</v>
      </c>
      <c r="M8" s="9">
        <v>43766</v>
      </c>
      <c r="O8" s="6">
        <v>5</v>
      </c>
      <c r="P8" s="6" t="s">
        <v>4251</v>
      </c>
      <c r="R8" s="6" t="s">
        <v>215</v>
      </c>
      <c r="S8" s="6">
        <v>20</v>
      </c>
      <c r="T8" s="6">
        <v>30</v>
      </c>
      <c r="U8" s="10">
        <f t="shared" si="0"/>
        <v>25</v>
      </c>
      <c r="V8" s="6">
        <v>0.5</v>
      </c>
      <c r="W8" s="8">
        <v>-4.0189310023307803</v>
      </c>
      <c r="X8" s="8">
        <v>-30.410672192382812</v>
      </c>
      <c r="Y8" s="8">
        <f t="shared" si="1"/>
        <v>1.7407758262634303</v>
      </c>
    </row>
    <row r="9" spans="1:26" s="6" customFormat="1" x14ac:dyDescent="0.35">
      <c r="A9" s="6" t="s">
        <v>25</v>
      </c>
      <c r="B9" s="7"/>
      <c r="C9" s="6">
        <v>510233</v>
      </c>
      <c r="D9" s="6" t="s">
        <v>217</v>
      </c>
      <c r="E9" s="6">
        <v>1</v>
      </c>
      <c r="F9" s="6">
        <v>5</v>
      </c>
      <c r="G9" s="6" t="s">
        <v>210</v>
      </c>
      <c r="H9" s="6">
        <v>16</v>
      </c>
      <c r="I9" s="8">
        <v>85.587483888888897</v>
      </c>
      <c r="J9" s="8">
        <v>126.139427777778</v>
      </c>
      <c r="K9" s="6" t="s">
        <v>29</v>
      </c>
      <c r="L9" s="6" t="s">
        <v>546</v>
      </c>
      <c r="M9" s="9">
        <v>43766</v>
      </c>
      <c r="O9" s="6">
        <v>5</v>
      </c>
      <c r="P9" s="6" t="s">
        <v>4251</v>
      </c>
      <c r="R9" s="6" t="s">
        <v>219</v>
      </c>
      <c r="S9" s="6">
        <v>30</v>
      </c>
      <c r="T9" s="6">
        <v>40</v>
      </c>
      <c r="U9" s="10">
        <f t="shared" si="0"/>
        <v>35</v>
      </c>
      <c r="V9" s="6">
        <v>0.4</v>
      </c>
      <c r="W9" s="8">
        <v>-4.7547472680409761</v>
      </c>
      <c r="X9" s="8">
        <v>-35.614885311126706</v>
      </c>
      <c r="Y9" s="8">
        <f t="shared" si="1"/>
        <v>2.4230928332011032</v>
      </c>
    </row>
    <row r="10" spans="1:26" s="6" customFormat="1" x14ac:dyDescent="0.35">
      <c r="A10" s="6" t="s">
        <v>25</v>
      </c>
      <c r="B10" s="7"/>
      <c r="C10" s="6">
        <v>510225</v>
      </c>
      <c r="D10" s="6" t="s">
        <v>209</v>
      </c>
      <c r="E10" s="6">
        <v>1</v>
      </c>
      <c r="F10" s="6">
        <v>5</v>
      </c>
      <c r="G10" s="6" t="s">
        <v>210</v>
      </c>
      <c r="H10" s="6">
        <v>16</v>
      </c>
      <c r="I10" s="8">
        <v>85.587483888888897</v>
      </c>
      <c r="J10" s="8">
        <v>126.139427777778</v>
      </c>
      <c r="K10" s="6" t="s">
        <v>29</v>
      </c>
      <c r="L10" s="6" t="s">
        <v>546</v>
      </c>
      <c r="M10" s="9">
        <v>43766</v>
      </c>
      <c r="O10" s="6">
        <v>5</v>
      </c>
      <c r="P10" s="6" t="s">
        <v>4251</v>
      </c>
      <c r="R10" s="6" t="s">
        <v>216</v>
      </c>
      <c r="S10" s="6">
        <v>30</v>
      </c>
      <c r="T10" s="6">
        <v>45</v>
      </c>
      <c r="U10" s="10">
        <f t="shared" si="0"/>
        <v>37.5</v>
      </c>
      <c r="V10" s="6">
        <v>0.3</v>
      </c>
      <c r="W10" s="8">
        <v>-2.8732378277301791</v>
      </c>
      <c r="X10" s="8">
        <v>-21.700378742980956</v>
      </c>
      <c r="Y10" s="8">
        <f t="shared" si="1"/>
        <v>1.2855238788604773</v>
      </c>
    </row>
    <row r="11" spans="1:26" s="6" customFormat="1" x14ac:dyDescent="0.35">
      <c r="A11" s="6" t="s">
        <v>25</v>
      </c>
      <c r="B11" s="7"/>
      <c r="C11" s="6">
        <v>510234</v>
      </c>
      <c r="D11" s="6" t="s">
        <v>217</v>
      </c>
      <c r="E11" s="6">
        <v>1</v>
      </c>
      <c r="F11" s="6">
        <v>5</v>
      </c>
      <c r="G11" s="6" t="s">
        <v>210</v>
      </c>
      <c r="H11" s="6">
        <v>16</v>
      </c>
      <c r="I11" s="8">
        <v>85.587483888888897</v>
      </c>
      <c r="J11" s="8">
        <v>126.139427777778</v>
      </c>
      <c r="K11" s="6" t="s">
        <v>29</v>
      </c>
      <c r="L11" s="6" t="s">
        <v>546</v>
      </c>
      <c r="M11" s="9">
        <v>43766</v>
      </c>
      <c r="O11" s="6">
        <v>5</v>
      </c>
      <c r="P11" s="6" t="s">
        <v>4251</v>
      </c>
      <c r="R11" s="6" t="s">
        <v>220</v>
      </c>
      <c r="S11" s="6">
        <v>40</v>
      </c>
      <c r="T11" s="6">
        <v>51</v>
      </c>
      <c r="U11" s="10">
        <f t="shared" si="0"/>
        <v>45.5</v>
      </c>
      <c r="V11" s="6">
        <v>0.9</v>
      </c>
      <c r="W11" s="8">
        <v>-4.7611390337467201</v>
      </c>
      <c r="X11" s="8">
        <v>-36.729997639656062</v>
      </c>
      <c r="Y11" s="8">
        <f t="shared" si="1"/>
        <v>1.3591146303176984</v>
      </c>
    </row>
    <row r="12" spans="1:26" s="6" customFormat="1" x14ac:dyDescent="0.35">
      <c r="A12" s="6" t="s">
        <v>25</v>
      </c>
      <c r="B12" s="7"/>
      <c r="C12" s="6">
        <v>510223</v>
      </c>
      <c r="D12" s="6" t="s">
        <v>209</v>
      </c>
      <c r="E12" s="6">
        <v>1</v>
      </c>
      <c r="F12" s="6">
        <v>5</v>
      </c>
      <c r="G12" s="6" t="s">
        <v>210</v>
      </c>
      <c r="H12" s="6">
        <v>16</v>
      </c>
      <c r="I12" s="8">
        <v>85.587483888888897</v>
      </c>
      <c r="J12" s="8">
        <v>126.139427777778</v>
      </c>
      <c r="K12" s="6" t="s">
        <v>29</v>
      </c>
      <c r="L12" s="6" t="s">
        <v>546</v>
      </c>
      <c r="M12" s="9">
        <v>43766</v>
      </c>
      <c r="O12" s="6">
        <v>5</v>
      </c>
      <c r="P12" s="6" t="s">
        <v>4251</v>
      </c>
      <c r="R12" s="6" t="s">
        <v>214</v>
      </c>
      <c r="S12" s="6">
        <v>45</v>
      </c>
      <c r="T12" s="6">
        <v>55</v>
      </c>
      <c r="U12" s="10">
        <f t="shared" si="0"/>
        <v>50</v>
      </c>
      <c r="V12" s="6">
        <v>0.3</v>
      </c>
      <c r="W12" s="8">
        <v>-2.4169040678024292</v>
      </c>
      <c r="X12" s="8">
        <v>-18.83899673461914</v>
      </c>
      <c r="Y12" s="8">
        <f t="shared" si="1"/>
        <v>0.49623580780029286</v>
      </c>
    </row>
    <row r="13" spans="1:26" s="6" customFormat="1" x14ac:dyDescent="0.35">
      <c r="A13" s="6" t="s">
        <v>25</v>
      </c>
      <c r="B13" s="7"/>
      <c r="C13" s="6">
        <v>510235</v>
      </c>
      <c r="D13" s="6" t="s">
        <v>217</v>
      </c>
      <c r="E13" s="6">
        <v>1</v>
      </c>
      <c r="F13" s="6">
        <v>5</v>
      </c>
      <c r="G13" s="6" t="s">
        <v>210</v>
      </c>
      <c r="H13" s="6">
        <v>16</v>
      </c>
      <c r="I13" s="8">
        <v>85.587483888888897</v>
      </c>
      <c r="J13" s="8">
        <v>126.139427777778</v>
      </c>
      <c r="K13" s="6" t="s">
        <v>29</v>
      </c>
      <c r="L13" s="6" t="s">
        <v>546</v>
      </c>
      <c r="M13" s="9">
        <v>43766</v>
      </c>
      <c r="O13" s="6">
        <v>5</v>
      </c>
      <c r="P13" s="6" t="s">
        <v>4251</v>
      </c>
      <c r="R13" s="6" t="s">
        <v>221</v>
      </c>
      <c r="S13" s="6">
        <v>51</v>
      </c>
      <c r="T13" s="6">
        <v>61</v>
      </c>
      <c r="U13" s="10">
        <f t="shared" si="0"/>
        <v>56</v>
      </c>
      <c r="V13" s="6">
        <v>1.1000000000000001</v>
      </c>
      <c r="W13" s="8">
        <v>-4.5568450691223141</v>
      </c>
      <c r="X13" s="8">
        <v>-35.182698736190794</v>
      </c>
      <c r="Y13" s="8">
        <f t="shared" si="1"/>
        <v>1.2720618167877191</v>
      </c>
    </row>
    <row r="14" spans="1:26" s="6" customFormat="1" x14ac:dyDescent="0.35">
      <c r="A14" s="6" t="s">
        <v>25</v>
      </c>
      <c r="B14" s="7"/>
      <c r="C14" s="6">
        <v>510222</v>
      </c>
      <c r="D14" s="6" t="s">
        <v>209</v>
      </c>
      <c r="E14" s="6">
        <v>1</v>
      </c>
      <c r="F14" s="6">
        <v>5</v>
      </c>
      <c r="G14" s="6" t="s">
        <v>210</v>
      </c>
      <c r="H14" s="6">
        <v>16</v>
      </c>
      <c r="I14" s="8">
        <v>85.587483888888897</v>
      </c>
      <c r="J14" s="8">
        <v>126.139427777778</v>
      </c>
      <c r="K14" s="6" t="s">
        <v>29</v>
      </c>
      <c r="L14" s="6" t="s">
        <v>546</v>
      </c>
      <c r="M14" s="9">
        <v>43766</v>
      </c>
      <c r="O14" s="6">
        <v>5</v>
      </c>
      <c r="P14" s="6" t="s">
        <v>4251</v>
      </c>
      <c r="R14" s="6" t="s">
        <v>213</v>
      </c>
      <c r="S14" s="6">
        <v>55</v>
      </c>
      <c r="T14" s="6">
        <v>65</v>
      </c>
      <c r="U14" s="10">
        <f t="shared" si="0"/>
        <v>60</v>
      </c>
      <c r="V14" s="6">
        <v>0.4</v>
      </c>
      <c r="W14" s="8">
        <v>-2.7246331263065335</v>
      </c>
      <c r="X14" s="8">
        <v>-21.292458181381225</v>
      </c>
      <c r="Y14" s="8">
        <f t="shared" si="1"/>
        <v>0.50460682907104371</v>
      </c>
    </row>
    <row r="15" spans="1:26" s="6" customFormat="1" x14ac:dyDescent="0.35">
      <c r="A15" s="6" t="s">
        <v>25</v>
      </c>
      <c r="B15" s="7"/>
      <c r="C15" s="6">
        <v>510236</v>
      </c>
      <c r="D15" s="6" t="s">
        <v>217</v>
      </c>
      <c r="E15" s="6">
        <v>1</v>
      </c>
      <c r="F15" s="6">
        <v>5</v>
      </c>
      <c r="G15" s="6" t="s">
        <v>210</v>
      </c>
      <c r="H15" s="6">
        <v>16</v>
      </c>
      <c r="I15" s="8">
        <v>85.587483888888897</v>
      </c>
      <c r="J15" s="8">
        <v>126.139427777778</v>
      </c>
      <c r="K15" s="6" t="s">
        <v>29</v>
      </c>
      <c r="L15" s="6" t="s">
        <v>546</v>
      </c>
      <c r="M15" s="9">
        <v>43766</v>
      </c>
      <c r="O15" s="6">
        <v>5</v>
      </c>
      <c r="P15" s="6" t="s">
        <v>4251</v>
      </c>
      <c r="R15" s="6" t="s">
        <v>222</v>
      </c>
      <c r="S15" s="6">
        <v>61</v>
      </c>
      <c r="T15" s="6">
        <v>71</v>
      </c>
      <c r="U15" s="10">
        <f t="shared" si="0"/>
        <v>66</v>
      </c>
      <c r="V15" s="6">
        <v>1.1000000000000001</v>
      </c>
      <c r="W15" s="8">
        <v>-4.3685796081542971</v>
      </c>
      <c r="X15" s="8">
        <v>-33.533265523910515</v>
      </c>
      <c r="Y15" s="8">
        <f t="shared" si="1"/>
        <v>1.415371341323862</v>
      </c>
    </row>
    <row r="16" spans="1:26" s="6" customFormat="1" x14ac:dyDescent="0.35">
      <c r="A16" s="6" t="s">
        <v>25</v>
      </c>
      <c r="B16" s="7"/>
      <c r="C16" s="6">
        <v>510221</v>
      </c>
      <c r="D16" s="6" t="s">
        <v>209</v>
      </c>
      <c r="E16" s="6">
        <v>1</v>
      </c>
      <c r="F16" s="6">
        <v>5</v>
      </c>
      <c r="G16" s="6" t="s">
        <v>210</v>
      </c>
      <c r="H16" s="6">
        <v>16</v>
      </c>
      <c r="I16" s="8">
        <v>85.587483888888897</v>
      </c>
      <c r="J16" s="8">
        <v>126.139427777778</v>
      </c>
      <c r="K16" s="6" t="s">
        <v>29</v>
      </c>
      <c r="L16" s="6" t="s">
        <v>546</v>
      </c>
      <c r="M16" s="9">
        <v>43766</v>
      </c>
      <c r="O16" s="6">
        <v>5</v>
      </c>
      <c r="P16" s="6" t="s">
        <v>4251</v>
      </c>
      <c r="R16" s="6" t="s">
        <v>212</v>
      </c>
      <c r="S16" s="6">
        <v>65</v>
      </c>
      <c r="T16" s="6">
        <v>70</v>
      </c>
      <c r="U16" s="10">
        <f t="shared" si="0"/>
        <v>67.5</v>
      </c>
      <c r="V16" s="6">
        <v>0.6</v>
      </c>
      <c r="W16" s="8">
        <v>-3.9849858267784124</v>
      </c>
      <c r="X16" s="8">
        <v>-30.859429340362549</v>
      </c>
      <c r="Y16" s="8">
        <f t="shared" si="1"/>
        <v>1.0204572738647499</v>
      </c>
    </row>
    <row r="17" spans="1:25" s="6" customFormat="1" x14ac:dyDescent="0.35">
      <c r="A17" s="6" t="s">
        <v>25</v>
      </c>
      <c r="B17" s="7"/>
      <c r="C17" s="6">
        <v>510220</v>
      </c>
      <c r="D17" s="6" t="s">
        <v>209</v>
      </c>
      <c r="E17" s="6">
        <v>1</v>
      </c>
      <c r="F17" s="6">
        <v>5</v>
      </c>
      <c r="G17" s="6" t="s">
        <v>210</v>
      </c>
      <c r="H17" s="6">
        <v>16</v>
      </c>
      <c r="I17" s="8">
        <v>85.587483888888897</v>
      </c>
      <c r="J17" s="8">
        <v>126.139427777778</v>
      </c>
      <c r="K17" s="6" t="s">
        <v>29</v>
      </c>
      <c r="L17" s="6" t="s">
        <v>546</v>
      </c>
      <c r="M17" s="9">
        <v>43766</v>
      </c>
      <c r="O17" s="6">
        <v>5</v>
      </c>
      <c r="P17" s="6" t="s">
        <v>4251</v>
      </c>
      <c r="R17" s="6" t="s">
        <v>211</v>
      </c>
      <c r="S17" s="6">
        <v>70</v>
      </c>
      <c r="T17" s="6">
        <v>75</v>
      </c>
      <c r="U17" s="10">
        <f t="shared" si="0"/>
        <v>72.5</v>
      </c>
      <c r="V17" s="6">
        <v>4.2</v>
      </c>
      <c r="W17" s="8">
        <v>-2.1944817402839663</v>
      </c>
      <c r="X17" s="8">
        <v>-16.356860151290892</v>
      </c>
      <c r="Y17" s="8">
        <f t="shared" si="1"/>
        <v>1.198993770980838</v>
      </c>
    </row>
    <row r="18" spans="1:25" s="6" customFormat="1" x14ac:dyDescent="0.35">
      <c r="A18" s="6" t="s">
        <v>25</v>
      </c>
      <c r="B18" s="7"/>
      <c r="C18" s="6">
        <v>510237</v>
      </c>
      <c r="D18" s="6" t="s">
        <v>217</v>
      </c>
      <c r="E18" s="6">
        <v>1</v>
      </c>
      <c r="F18" s="6">
        <v>5</v>
      </c>
      <c r="G18" s="6" t="s">
        <v>210</v>
      </c>
      <c r="H18" s="6">
        <v>16</v>
      </c>
      <c r="I18" s="8">
        <v>85.587483888888897</v>
      </c>
      <c r="J18" s="8">
        <v>126.139427777778</v>
      </c>
      <c r="K18" s="6" t="s">
        <v>29</v>
      </c>
      <c r="L18" s="6" t="s">
        <v>546</v>
      </c>
      <c r="M18" s="9">
        <v>43766</v>
      </c>
      <c r="O18" s="6">
        <v>5</v>
      </c>
      <c r="P18" s="6" t="s">
        <v>4251</v>
      </c>
      <c r="R18" s="6" t="s">
        <v>223</v>
      </c>
      <c r="S18" s="6">
        <v>71</v>
      </c>
      <c r="T18" s="6">
        <v>82</v>
      </c>
      <c r="U18" s="10">
        <f t="shared" si="0"/>
        <v>76.5</v>
      </c>
      <c r="V18" s="6">
        <v>1.1000000000000001</v>
      </c>
      <c r="W18" s="8">
        <v>-4.1030365712165837</v>
      </c>
      <c r="X18" s="8">
        <v>-31.02927852153778</v>
      </c>
      <c r="Y18" s="8">
        <f t="shared" si="1"/>
        <v>1.79501404819489</v>
      </c>
    </row>
    <row r="19" spans="1:25" s="6" customFormat="1" x14ac:dyDescent="0.35">
      <c r="A19" s="6" t="s">
        <v>25</v>
      </c>
      <c r="B19" s="7"/>
      <c r="C19" s="6">
        <v>510238</v>
      </c>
      <c r="D19" s="6" t="s">
        <v>217</v>
      </c>
      <c r="E19" s="6">
        <v>1</v>
      </c>
      <c r="F19" s="6">
        <v>5</v>
      </c>
      <c r="G19" s="6" t="s">
        <v>210</v>
      </c>
      <c r="H19" s="6">
        <v>16</v>
      </c>
      <c r="I19" s="8">
        <v>85.587483888888897</v>
      </c>
      <c r="J19" s="8">
        <v>126.139427777778</v>
      </c>
      <c r="K19" s="6" t="s">
        <v>29</v>
      </c>
      <c r="L19" s="6" t="s">
        <v>546</v>
      </c>
      <c r="M19" s="9">
        <v>43766</v>
      </c>
      <c r="O19" s="6">
        <v>5</v>
      </c>
      <c r="P19" s="6" t="s">
        <v>4251</v>
      </c>
      <c r="R19" s="6" t="s">
        <v>224</v>
      </c>
      <c r="S19" s="6">
        <v>82</v>
      </c>
      <c r="T19" s="6">
        <v>92</v>
      </c>
      <c r="U19" s="10">
        <f t="shared" si="0"/>
        <v>87</v>
      </c>
      <c r="V19" s="6">
        <v>2.4</v>
      </c>
      <c r="W19" s="8">
        <v>-3.9179990149497992</v>
      </c>
      <c r="X19" s="8">
        <v>-29.164505958557129</v>
      </c>
      <c r="Y19" s="8">
        <f t="shared" si="1"/>
        <v>2.1794861610412646</v>
      </c>
    </row>
    <row r="20" spans="1:25" s="6" customFormat="1" x14ac:dyDescent="0.35">
      <c r="A20" s="6" t="s">
        <v>25</v>
      </c>
      <c r="B20" s="7"/>
      <c r="C20" s="6">
        <v>510239</v>
      </c>
      <c r="D20" s="6" t="s">
        <v>217</v>
      </c>
      <c r="E20" s="6">
        <v>1</v>
      </c>
      <c r="F20" s="6">
        <v>5</v>
      </c>
      <c r="G20" s="6" t="s">
        <v>210</v>
      </c>
      <c r="H20" s="6">
        <v>16</v>
      </c>
      <c r="I20" s="8">
        <v>85.587483888888897</v>
      </c>
      <c r="J20" s="8">
        <v>126.139427777778</v>
      </c>
      <c r="K20" s="6" t="s">
        <v>29</v>
      </c>
      <c r="L20" s="6" t="s">
        <v>546</v>
      </c>
      <c r="M20" s="9">
        <v>43766</v>
      </c>
      <c r="O20" s="6">
        <v>5</v>
      </c>
      <c r="P20" s="6" t="s">
        <v>4251</v>
      </c>
      <c r="R20" s="6" t="s">
        <v>225</v>
      </c>
      <c r="S20" s="6">
        <v>92</v>
      </c>
      <c r="T20" s="6">
        <v>102</v>
      </c>
      <c r="U20" s="10">
        <f t="shared" si="0"/>
        <v>97</v>
      </c>
      <c r="V20" s="6">
        <v>1.6</v>
      </c>
      <c r="W20" s="8">
        <v>-3.7564663866519932</v>
      </c>
      <c r="X20" s="8">
        <v>-27.011794157028199</v>
      </c>
      <c r="Y20" s="8">
        <f t="shared" si="1"/>
        <v>3.0399369361877469</v>
      </c>
    </row>
    <row r="21" spans="1:25" s="6" customFormat="1" x14ac:dyDescent="0.35">
      <c r="A21" s="6" t="s">
        <v>25</v>
      </c>
      <c r="B21" s="7"/>
      <c r="C21" s="6">
        <v>510240</v>
      </c>
      <c r="D21" s="6" t="s">
        <v>217</v>
      </c>
      <c r="E21" s="6">
        <v>1</v>
      </c>
      <c r="F21" s="6">
        <v>5</v>
      </c>
      <c r="G21" s="6" t="s">
        <v>210</v>
      </c>
      <c r="H21" s="6">
        <v>16</v>
      </c>
      <c r="I21" s="8">
        <v>85.587483888888897</v>
      </c>
      <c r="J21" s="8">
        <v>126.139427777778</v>
      </c>
      <c r="K21" s="6" t="s">
        <v>29</v>
      </c>
      <c r="L21" s="6" t="s">
        <v>546</v>
      </c>
      <c r="M21" s="9">
        <v>43766</v>
      </c>
      <c r="O21" s="6">
        <v>5</v>
      </c>
      <c r="P21" s="6" t="s">
        <v>4251</v>
      </c>
      <c r="R21" s="6" t="s">
        <v>226</v>
      </c>
      <c r="S21" s="6">
        <v>102</v>
      </c>
      <c r="T21" s="6">
        <v>112</v>
      </c>
      <c r="U21" s="10">
        <f t="shared" si="0"/>
        <v>107</v>
      </c>
      <c r="V21" s="6">
        <v>2.6</v>
      </c>
      <c r="W21" s="8">
        <v>-3.1195882864952091</v>
      </c>
      <c r="X21" s="8">
        <v>-26.248680143356321</v>
      </c>
      <c r="Y21" s="8">
        <f t="shared" si="1"/>
        <v>-1.2919738513946477</v>
      </c>
    </row>
    <row r="22" spans="1:25" s="6" customFormat="1" x14ac:dyDescent="0.35">
      <c r="A22" s="6" t="s">
        <v>25</v>
      </c>
      <c r="B22" s="7"/>
      <c r="C22" s="6">
        <v>510241</v>
      </c>
      <c r="D22" s="6" t="s">
        <v>217</v>
      </c>
      <c r="E22" s="6">
        <v>1</v>
      </c>
      <c r="F22" s="6">
        <v>5</v>
      </c>
      <c r="G22" s="6" t="s">
        <v>210</v>
      </c>
      <c r="H22" s="6">
        <v>16</v>
      </c>
      <c r="I22" s="8">
        <v>85.587483888888897</v>
      </c>
      <c r="J22" s="8">
        <v>126.139427777778</v>
      </c>
      <c r="K22" s="6" t="s">
        <v>29</v>
      </c>
      <c r="L22" s="6" t="s">
        <v>546</v>
      </c>
      <c r="M22" s="9">
        <v>43766</v>
      </c>
      <c r="O22" s="6">
        <v>5</v>
      </c>
      <c r="P22" s="6" t="s">
        <v>4251</v>
      </c>
      <c r="R22" s="6" t="s">
        <v>227</v>
      </c>
      <c r="S22" s="6">
        <v>112</v>
      </c>
      <c r="T22" s="6">
        <v>122</v>
      </c>
      <c r="U22" s="10">
        <f t="shared" si="0"/>
        <v>117</v>
      </c>
      <c r="V22" s="6">
        <v>3</v>
      </c>
      <c r="W22" s="8">
        <v>-2.9093261881828312</v>
      </c>
      <c r="X22" s="8">
        <v>-23.106046199798584</v>
      </c>
      <c r="Y22" s="8">
        <f t="shared" si="1"/>
        <v>0.16856330566406541</v>
      </c>
    </row>
    <row r="23" spans="1:25" s="6" customFormat="1" x14ac:dyDescent="0.35">
      <c r="A23" s="6" t="s">
        <v>25</v>
      </c>
      <c r="B23" s="7"/>
      <c r="C23" s="6">
        <v>510242</v>
      </c>
      <c r="D23" s="6" t="s">
        <v>217</v>
      </c>
      <c r="E23" s="6">
        <v>1</v>
      </c>
      <c r="F23" s="6">
        <v>5</v>
      </c>
      <c r="G23" s="6" t="s">
        <v>210</v>
      </c>
      <c r="H23" s="6">
        <v>16</v>
      </c>
      <c r="I23" s="8">
        <v>85.587483888888897</v>
      </c>
      <c r="J23" s="8">
        <v>126.139427777778</v>
      </c>
      <c r="K23" s="6" t="s">
        <v>29</v>
      </c>
      <c r="L23" s="6" t="s">
        <v>546</v>
      </c>
      <c r="M23" s="9">
        <v>43766</v>
      </c>
      <c r="O23" s="6">
        <v>5</v>
      </c>
      <c r="P23" s="6" t="s">
        <v>4251</v>
      </c>
      <c r="R23" s="6" t="s">
        <v>228</v>
      </c>
      <c r="S23" s="6">
        <v>122</v>
      </c>
      <c r="T23" s="6">
        <v>132</v>
      </c>
      <c r="U23" s="10">
        <f t="shared" si="0"/>
        <v>127</v>
      </c>
      <c r="V23" s="6">
        <v>3.2</v>
      </c>
      <c r="W23" s="8">
        <v>-2.6709770585060126</v>
      </c>
      <c r="X23" s="8">
        <v>-20.092313795089719</v>
      </c>
      <c r="Y23" s="8">
        <f t="shared" si="1"/>
        <v>1.2755026729583818</v>
      </c>
    </row>
    <row r="24" spans="1:25" s="6" customFormat="1" x14ac:dyDescent="0.35">
      <c r="A24" s="6" t="s">
        <v>25</v>
      </c>
      <c r="B24" s="7"/>
      <c r="C24" s="6">
        <v>510243</v>
      </c>
      <c r="D24" s="6" t="s">
        <v>217</v>
      </c>
      <c r="E24" s="6">
        <v>1</v>
      </c>
      <c r="F24" s="6">
        <v>5</v>
      </c>
      <c r="G24" s="6" t="s">
        <v>210</v>
      </c>
      <c r="H24" s="6">
        <v>16</v>
      </c>
      <c r="I24" s="8">
        <v>85.587483888888897</v>
      </c>
      <c r="J24" s="8">
        <v>126.139427777778</v>
      </c>
      <c r="K24" s="6" t="s">
        <v>29</v>
      </c>
      <c r="L24" s="6" t="s">
        <v>546</v>
      </c>
      <c r="M24" s="9">
        <v>43766</v>
      </c>
      <c r="O24" s="6">
        <v>5</v>
      </c>
      <c r="P24" s="6" t="s">
        <v>4251</v>
      </c>
      <c r="R24" s="6" t="s">
        <v>229</v>
      </c>
      <c r="S24" s="6">
        <v>132</v>
      </c>
      <c r="T24" s="6">
        <v>142</v>
      </c>
      <c r="U24" s="10">
        <f t="shared" si="0"/>
        <v>137</v>
      </c>
      <c r="V24" s="6">
        <v>3</v>
      </c>
      <c r="W24" s="8">
        <v>-2.6098021329402927</v>
      </c>
      <c r="X24" s="8">
        <v>-20.018659806251524</v>
      </c>
      <c r="Y24" s="8">
        <f t="shared" si="1"/>
        <v>0.85975725727081809</v>
      </c>
    </row>
    <row r="25" spans="1:25" s="6" customFormat="1" x14ac:dyDescent="0.35">
      <c r="A25" s="6" t="s">
        <v>25</v>
      </c>
      <c r="B25" s="7"/>
      <c r="C25" s="6">
        <v>510244</v>
      </c>
      <c r="D25" s="6" t="s">
        <v>217</v>
      </c>
      <c r="E25" s="6">
        <v>1</v>
      </c>
      <c r="F25" s="6">
        <v>5</v>
      </c>
      <c r="G25" s="6" t="s">
        <v>210</v>
      </c>
      <c r="H25" s="6">
        <v>16</v>
      </c>
      <c r="I25" s="8">
        <v>85.587483888888897</v>
      </c>
      <c r="J25" s="8">
        <v>126.139427777778</v>
      </c>
      <c r="K25" s="6" t="s">
        <v>29</v>
      </c>
      <c r="L25" s="6" t="s">
        <v>546</v>
      </c>
      <c r="M25" s="9">
        <v>43766</v>
      </c>
      <c r="O25" s="6">
        <v>5</v>
      </c>
      <c r="P25" s="6" t="s">
        <v>4251</v>
      </c>
      <c r="R25" s="6" t="s">
        <v>230</v>
      </c>
      <c r="S25" s="6">
        <v>142</v>
      </c>
      <c r="T25" s="6">
        <v>152</v>
      </c>
      <c r="U25" s="10">
        <f t="shared" si="0"/>
        <v>147</v>
      </c>
      <c r="V25" s="6">
        <v>3.7</v>
      </c>
      <c r="W25" s="8">
        <v>-2.9264521842956546</v>
      </c>
      <c r="X25" s="8">
        <v>-22.275317440032957</v>
      </c>
      <c r="Y25" s="8">
        <f t="shared" si="1"/>
        <v>1.1363000343322796</v>
      </c>
    </row>
    <row r="26" spans="1:25" s="6" customFormat="1" x14ac:dyDescent="0.35">
      <c r="A26" s="6" t="s">
        <v>25</v>
      </c>
      <c r="B26" s="7"/>
      <c r="C26" s="6">
        <v>510246</v>
      </c>
      <c r="D26" s="6" t="s">
        <v>217</v>
      </c>
      <c r="E26" s="6">
        <v>1</v>
      </c>
      <c r="F26" s="6">
        <v>5</v>
      </c>
      <c r="G26" s="6" t="s">
        <v>210</v>
      </c>
      <c r="H26" s="6">
        <v>16</v>
      </c>
      <c r="I26" s="8">
        <v>85.587483888888897</v>
      </c>
      <c r="J26" s="8">
        <v>126.139427777778</v>
      </c>
      <c r="K26" s="6" t="s">
        <v>29</v>
      </c>
      <c r="L26" s="6" t="s">
        <v>546</v>
      </c>
      <c r="M26" s="9">
        <v>43766</v>
      </c>
      <c r="O26" s="6">
        <v>5</v>
      </c>
      <c r="P26" s="6" t="s">
        <v>4251</v>
      </c>
      <c r="R26" s="6" t="s">
        <v>231</v>
      </c>
      <c r="S26" s="6">
        <v>152</v>
      </c>
      <c r="T26" s="6">
        <v>162</v>
      </c>
      <c r="U26" s="10">
        <f t="shared" si="0"/>
        <v>157</v>
      </c>
      <c r="V26" s="6">
        <v>3.5</v>
      </c>
      <c r="W26" s="8">
        <v>-2.3997384308338172</v>
      </c>
      <c r="X26" s="8">
        <v>-17.939797806739808</v>
      </c>
      <c r="Y26" s="8">
        <f t="shared" si="1"/>
        <v>1.2581096399307299</v>
      </c>
    </row>
    <row r="27" spans="1:25" s="6" customFormat="1" x14ac:dyDescent="0.35">
      <c r="A27" s="6" t="s">
        <v>25</v>
      </c>
      <c r="B27" s="7"/>
      <c r="C27" s="6">
        <v>510247</v>
      </c>
      <c r="D27" s="6" t="s">
        <v>217</v>
      </c>
      <c r="E27" s="6">
        <v>1</v>
      </c>
      <c r="F27" s="6">
        <v>5</v>
      </c>
      <c r="G27" s="6" t="s">
        <v>210</v>
      </c>
      <c r="H27" s="6">
        <v>16</v>
      </c>
      <c r="I27" s="8">
        <v>85.587483888888897</v>
      </c>
      <c r="J27" s="8">
        <v>126.139427777778</v>
      </c>
      <c r="K27" s="6" t="s">
        <v>29</v>
      </c>
      <c r="L27" s="6" t="s">
        <v>546</v>
      </c>
      <c r="M27" s="9">
        <v>43766</v>
      </c>
      <c r="O27" s="6">
        <v>5</v>
      </c>
      <c r="P27" s="6" t="s">
        <v>4251</v>
      </c>
      <c r="R27" s="6" t="s">
        <v>232</v>
      </c>
      <c r="S27" s="6">
        <v>162</v>
      </c>
      <c r="T27" s="6">
        <v>172</v>
      </c>
      <c r="U27" s="10">
        <f t="shared" si="0"/>
        <v>167</v>
      </c>
      <c r="V27" s="6">
        <v>3.5</v>
      </c>
      <c r="W27" s="8">
        <v>-1.5904186336755757</v>
      </c>
      <c r="X27" s="8">
        <v>-12.725431365966797</v>
      </c>
      <c r="Y27" s="8">
        <f t="shared" si="1"/>
        <v>-2.082296562191388E-3</v>
      </c>
    </row>
    <row r="28" spans="1:25" s="6" customFormat="1" x14ac:dyDescent="0.35">
      <c r="A28" s="6" t="s">
        <v>25</v>
      </c>
      <c r="B28" s="7"/>
      <c r="C28" s="6">
        <v>510248</v>
      </c>
      <c r="D28" s="6" t="s">
        <v>217</v>
      </c>
      <c r="E28" s="6">
        <v>1</v>
      </c>
      <c r="F28" s="6">
        <v>5</v>
      </c>
      <c r="G28" s="6" t="s">
        <v>210</v>
      </c>
      <c r="H28" s="6">
        <v>16</v>
      </c>
      <c r="I28" s="8">
        <v>85.587483888888897</v>
      </c>
      <c r="J28" s="8">
        <v>126.139427777778</v>
      </c>
      <c r="K28" s="6" t="s">
        <v>29</v>
      </c>
      <c r="L28" s="6" t="s">
        <v>546</v>
      </c>
      <c r="M28" s="9">
        <v>43766</v>
      </c>
      <c r="O28" s="6">
        <v>5</v>
      </c>
      <c r="P28" s="6" t="s">
        <v>4251</v>
      </c>
      <c r="R28" s="6" t="s">
        <v>233</v>
      </c>
      <c r="S28" s="6">
        <v>172</v>
      </c>
      <c r="T28" s="6">
        <v>183</v>
      </c>
      <c r="U28" s="10">
        <f t="shared" si="0"/>
        <v>177.5</v>
      </c>
      <c r="V28" s="6">
        <v>4.3</v>
      </c>
      <c r="W28" s="8">
        <v>-0.14224494586363415</v>
      </c>
      <c r="X28" s="8">
        <v>-2.0455201721191387</v>
      </c>
      <c r="Y28" s="8">
        <f t="shared" si="1"/>
        <v>-0.90756060521006554</v>
      </c>
    </row>
    <row r="29" spans="1:25" s="6" customFormat="1" x14ac:dyDescent="0.35">
      <c r="A29" s="6" t="s">
        <v>25</v>
      </c>
      <c r="B29" s="7"/>
      <c r="C29" s="6">
        <v>510249</v>
      </c>
      <c r="D29" s="6" t="s">
        <v>217</v>
      </c>
      <c r="E29" s="6">
        <v>1</v>
      </c>
      <c r="F29" s="6">
        <v>5</v>
      </c>
      <c r="G29" s="6" t="s">
        <v>210</v>
      </c>
      <c r="H29" s="6">
        <v>16</v>
      </c>
      <c r="I29" s="8">
        <v>85.587483888888897</v>
      </c>
      <c r="J29" s="8">
        <v>126.139427777778</v>
      </c>
      <c r="K29" s="6" t="s">
        <v>29</v>
      </c>
      <c r="L29" s="6" t="s">
        <v>546</v>
      </c>
      <c r="M29" s="9">
        <v>43766</v>
      </c>
      <c r="O29" s="6">
        <v>5</v>
      </c>
      <c r="P29" s="6" t="s">
        <v>4251</v>
      </c>
      <c r="R29" s="6" t="s">
        <v>234</v>
      </c>
      <c r="S29" s="6">
        <v>183</v>
      </c>
      <c r="T29" s="6">
        <v>195</v>
      </c>
      <c r="U29" s="10">
        <f t="shared" si="0"/>
        <v>189</v>
      </c>
      <c r="V29" s="6">
        <v>5.7</v>
      </c>
      <c r="W29" s="8">
        <v>0.45892639836072974</v>
      </c>
      <c r="X29" s="8">
        <v>4.1714492797851577</v>
      </c>
      <c r="Y29" s="8">
        <f t="shared" si="1"/>
        <v>0.50003809289931977</v>
      </c>
    </row>
    <row r="30" spans="1:25" s="6" customFormat="1" x14ac:dyDescent="0.35">
      <c r="A30" s="6" t="s">
        <v>25</v>
      </c>
      <c r="B30" s="7" t="s">
        <v>299</v>
      </c>
      <c r="C30" s="6">
        <v>510329</v>
      </c>
      <c r="D30" s="6" t="s">
        <v>300</v>
      </c>
      <c r="E30" s="6">
        <v>1</v>
      </c>
      <c r="F30" s="6">
        <v>6</v>
      </c>
      <c r="G30" s="6" t="s">
        <v>210</v>
      </c>
      <c r="I30" s="8">
        <v>85.946550833333305</v>
      </c>
      <c r="J30" s="8">
        <v>119.754510833333</v>
      </c>
      <c r="K30" s="6" t="s">
        <v>29</v>
      </c>
      <c r="L30" s="6" t="s">
        <v>546</v>
      </c>
      <c r="M30" s="9">
        <v>43773</v>
      </c>
      <c r="O30" s="6">
        <v>6</v>
      </c>
      <c r="P30" s="6" t="s">
        <v>4255</v>
      </c>
      <c r="Q30" s="8">
        <v>-10.4</v>
      </c>
      <c r="R30" s="10" t="s">
        <v>203</v>
      </c>
      <c r="S30" s="10">
        <v>0</v>
      </c>
      <c r="T30" s="10">
        <v>5</v>
      </c>
      <c r="U30" s="10">
        <f t="shared" si="0"/>
        <v>2.5</v>
      </c>
      <c r="V30" s="6">
        <v>0</v>
      </c>
      <c r="W30" s="8">
        <v>-4.889712680101395</v>
      </c>
      <c r="X30" s="8">
        <v>-39.777869926071162</v>
      </c>
      <c r="Y30" s="8">
        <f t="shared" si="1"/>
        <v>-0.6601684852600016</v>
      </c>
    </row>
    <row r="31" spans="1:25" s="6" customFormat="1" x14ac:dyDescent="0.35">
      <c r="A31" s="6" t="s">
        <v>25</v>
      </c>
      <c r="B31" s="7" t="s">
        <v>301</v>
      </c>
      <c r="C31" s="6">
        <v>510322</v>
      </c>
      <c r="D31" s="6" t="s">
        <v>302</v>
      </c>
      <c r="E31" s="6">
        <v>1</v>
      </c>
      <c r="F31" s="6">
        <v>6</v>
      </c>
      <c r="G31" s="6" t="s">
        <v>210</v>
      </c>
      <c r="I31" s="8">
        <v>85.946550833333305</v>
      </c>
      <c r="J31" s="8">
        <v>119.754510833333</v>
      </c>
      <c r="K31" s="6" t="s">
        <v>29</v>
      </c>
      <c r="L31" s="6" t="s">
        <v>546</v>
      </c>
      <c r="M31" s="9">
        <v>43773</v>
      </c>
      <c r="O31" s="6">
        <v>6</v>
      </c>
      <c r="P31" s="6" t="s">
        <v>4255</v>
      </c>
      <c r="Q31" s="8">
        <v>-8.6999999999999993</v>
      </c>
      <c r="R31" s="10" t="s">
        <v>203</v>
      </c>
      <c r="S31" s="10">
        <v>0</v>
      </c>
      <c r="T31" s="10">
        <v>5</v>
      </c>
      <c r="U31" s="10">
        <f t="shared" si="0"/>
        <v>2.5</v>
      </c>
      <c r="V31" s="6">
        <v>6.3</v>
      </c>
      <c r="W31" s="8">
        <v>-1.6827929244041444</v>
      </c>
      <c r="X31" s="8">
        <v>-16.135029471969602</v>
      </c>
      <c r="Y31" s="8">
        <f t="shared" si="1"/>
        <v>-2.6726860767364471</v>
      </c>
    </row>
    <row r="32" spans="1:25" s="6" customFormat="1" x14ac:dyDescent="0.35">
      <c r="A32" s="6" t="s">
        <v>25</v>
      </c>
      <c r="B32" s="6" t="s">
        <v>319</v>
      </c>
      <c r="C32" s="6">
        <v>510338</v>
      </c>
      <c r="D32" s="6" t="s">
        <v>320</v>
      </c>
      <c r="E32" s="6">
        <v>1</v>
      </c>
      <c r="F32" s="6">
        <v>6</v>
      </c>
      <c r="G32" s="6" t="s">
        <v>210</v>
      </c>
      <c r="I32" s="8">
        <v>85.946550833333305</v>
      </c>
      <c r="J32" s="8">
        <v>119.754510833333</v>
      </c>
      <c r="K32" s="6" t="s">
        <v>29</v>
      </c>
      <c r="L32" s="6" t="s">
        <v>546</v>
      </c>
      <c r="M32" s="9">
        <v>43773</v>
      </c>
      <c r="O32" s="6">
        <v>6</v>
      </c>
      <c r="P32" s="6" t="s">
        <v>4255</v>
      </c>
      <c r="R32" s="6" t="s">
        <v>64</v>
      </c>
      <c r="S32" s="6">
        <v>0</v>
      </c>
      <c r="T32" s="6">
        <v>10</v>
      </c>
      <c r="U32" s="10">
        <f t="shared" si="0"/>
        <v>5</v>
      </c>
      <c r="V32" s="6">
        <v>0.4</v>
      </c>
      <c r="W32" s="8">
        <v>-6.9853986846923828</v>
      </c>
      <c r="X32" s="8">
        <v>-54.263505584716796</v>
      </c>
      <c r="Y32" s="8">
        <f t="shared" si="1"/>
        <v>1.6196838928222661</v>
      </c>
    </row>
    <row r="33" spans="1:25" s="6" customFormat="1" x14ac:dyDescent="0.35">
      <c r="A33" s="6" t="s">
        <v>25</v>
      </c>
      <c r="B33" s="7" t="s">
        <v>290</v>
      </c>
      <c r="C33" s="6">
        <v>510330</v>
      </c>
      <c r="D33" s="6" t="s">
        <v>291</v>
      </c>
      <c r="E33" s="6">
        <v>1</v>
      </c>
      <c r="F33" s="6">
        <v>6</v>
      </c>
      <c r="G33" s="6" t="s">
        <v>210</v>
      </c>
      <c r="I33" s="8">
        <v>85.946550833333305</v>
      </c>
      <c r="J33" s="8">
        <v>119.754510833333</v>
      </c>
      <c r="K33" s="6" t="s">
        <v>29</v>
      </c>
      <c r="L33" s="6" t="s">
        <v>546</v>
      </c>
      <c r="M33" s="9">
        <v>43773</v>
      </c>
      <c r="O33" s="6">
        <v>6</v>
      </c>
      <c r="P33" s="6" t="s">
        <v>4255</v>
      </c>
      <c r="Q33" s="8">
        <v>-7.5</v>
      </c>
      <c r="R33" s="10" t="s">
        <v>292</v>
      </c>
      <c r="S33" s="10">
        <v>5</v>
      </c>
      <c r="T33" s="10">
        <v>10</v>
      </c>
      <c r="U33" s="10">
        <f t="shared" si="0"/>
        <v>7.5</v>
      </c>
      <c r="V33" s="6">
        <v>0.3</v>
      </c>
      <c r="W33" s="8">
        <v>-4.2156116390228275</v>
      </c>
      <c r="X33" s="8">
        <v>-32.717088870620728</v>
      </c>
      <c r="Y33" s="8">
        <f t="shared" si="1"/>
        <v>1.0078042415618924</v>
      </c>
    </row>
    <row r="34" spans="1:25" s="6" customFormat="1" x14ac:dyDescent="0.35">
      <c r="A34" s="6" t="s">
        <v>25</v>
      </c>
      <c r="B34" s="7" t="s">
        <v>317</v>
      </c>
      <c r="C34" s="6">
        <v>510323</v>
      </c>
      <c r="D34" s="6" t="s">
        <v>318</v>
      </c>
      <c r="E34" s="6">
        <v>1</v>
      </c>
      <c r="F34" s="6">
        <v>6</v>
      </c>
      <c r="G34" s="6" t="s">
        <v>210</v>
      </c>
      <c r="I34" s="8">
        <v>85.946550833333305</v>
      </c>
      <c r="J34" s="8">
        <v>119.754510833333</v>
      </c>
      <c r="K34" s="6" t="s">
        <v>29</v>
      </c>
      <c r="L34" s="6" t="s">
        <v>546</v>
      </c>
      <c r="M34" s="9">
        <v>43773</v>
      </c>
      <c r="O34" s="6">
        <v>6</v>
      </c>
      <c r="P34" s="6" t="s">
        <v>4255</v>
      </c>
      <c r="Q34" s="8">
        <v>-7.05</v>
      </c>
      <c r="R34" s="10" t="s">
        <v>292</v>
      </c>
      <c r="S34" s="10">
        <v>5</v>
      </c>
      <c r="T34" s="10">
        <v>10</v>
      </c>
      <c r="U34" s="10">
        <f t="shared" si="0"/>
        <v>7.5</v>
      </c>
      <c r="V34" s="6">
        <v>4.5999999999999996</v>
      </c>
      <c r="W34" s="8">
        <v>-0.66034109100699434</v>
      </c>
      <c r="X34" s="8">
        <v>-6.4800299774169918</v>
      </c>
      <c r="Y34" s="8">
        <f t="shared" si="1"/>
        <v>-1.1973012493610371</v>
      </c>
    </row>
    <row r="35" spans="1:25" s="6" customFormat="1" x14ac:dyDescent="0.35">
      <c r="A35" s="6" t="s">
        <v>25</v>
      </c>
      <c r="B35" s="6" t="s">
        <v>321</v>
      </c>
      <c r="C35" s="6">
        <v>510339</v>
      </c>
      <c r="D35" s="6" t="s">
        <v>320</v>
      </c>
      <c r="E35" s="6">
        <v>1</v>
      </c>
      <c r="F35" s="6">
        <v>6</v>
      </c>
      <c r="G35" s="6" t="s">
        <v>210</v>
      </c>
      <c r="I35" s="8">
        <v>85.946550833333305</v>
      </c>
      <c r="J35" s="8">
        <v>119.754510833333</v>
      </c>
      <c r="K35" s="6" t="s">
        <v>29</v>
      </c>
      <c r="L35" s="6" t="s">
        <v>546</v>
      </c>
      <c r="M35" s="9">
        <v>43773</v>
      </c>
      <c r="O35" s="6">
        <v>6</v>
      </c>
      <c r="P35" s="6" t="s">
        <v>4255</v>
      </c>
      <c r="R35" s="6" t="s">
        <v>66</v>
      </c>
      <c r="S35" s="6">
        <v>10</v>
      </c>
      <c r="T35" s="6">
        <v>20</v>
      </c>
      <c r="U35" s="10">
        <f t="shared" si="0"/>
        <v>15</v>
      </c>
      <c r="V35" s="6">
        <v>0.1</v>
      </c>
      <c r="W35" s="8">
        <v>-4.9324842674255382</v>
      </c>
      <c r="X35" s="8">
        <v>-38.703971672058096</v>
      </c>
      <c r="Y35" s="8">
        <f t="shared" si="1"/>
        <v>0.75590246734621047</v>
      </c>
    </row>
    <row r="36" spans="1:25" s="6" customFormat="1" x14ac:dyDescent="0.35">
      <c r="A36" s="6" t="s">
        <v>25</v>
      </c>
      <c r="B36" s="7" t="s">
        <v>288</v>
      </c>
      <c r="C36" s="6">
        <v>510331</v>
      </c>
      <c r="D36" s="6" t="s">
        <v>289</v>
      </c>
      <c r="E36" s="6">
        <v>1</v>
      </c>
      <c r="F36" s="6">
        <v>6</v>
      </c>
      <c r="G36" s="6" t="s">
        <v>210</v>
      </c>
      <c r="I36" s="8">
        <v>85.946550833333305</v>
      </c>
      <c r="J36" s="8">
        <v>119.754510833333</v>
      </c>
      <c r="K36" s="6" t="s">
        <v>29</v>
      </c>
      <c r="L36" s="6" t="s">
        <v>546</v>
      </c>
      <c r="M36" s="9">
        <v>43773</v>
      </c>
      <c r="O36" s="6">
        <v>6</v>
      </c>
      <c r="P36" s="6" t="s">
        <v>4255</v>
      </c>
      <c r="Q36" s="8">
        <v>-6.35</v>
      </c>
      <c r="R36" s="10" t="s">
        <v>66</v>
      </c>
      <c r="S36" s="10">
        <v>10</v>
      </c>
      <c r="T36" s="10">
        <v>20</v>
      </c>
      <c r="U36" s="10">
        <f t="shared" si="0"/>
        <v>15</v>
      </c>
      <c r="V36" s="6">
        <v>0.6</v>
      </c>
      <c r="W36" s="8">
        <v>-3.5058863943099983</v>
      </c>
      <c r="X36" s="8">
        <v>-26.506464242935181</v>
      </c>
      <c r="Y36" s="8">
        <f t="shared" si="1"/>
        <v>1.5406269115448055</v>
      </c>
    </row>
    <row r="37" spans="1:25" s="6" customFormat="1" x14ac:dyDescent="0.35">
      <c r="A37" s="6" t="s">
        <v>25</v>
      </c>
      <c r="B37" s="7" t="s">
        <v>315</v>
      </c>
      <c r="C37" s="6">
        <v>510327</v>
      </c>
      <c r="D37" s="6" t="s">
        <v>316</v>
      </c>
      <c r="E37" s="6">
        <v>1</v>
      </c>
      <c r="F37" s="6">
        <v>6</v>
      </c>
      <c r="G37" s="6" t="s">
        <v>210</v>
      </c>
      <c r="I37" s="8">
        <v>85.946550833333305</v>
      </c>
      <c r="J37" s="8">
        <v>119.754510833333</v>
      </c>
      <c r="K37" s="6" t="s">
        <v>29</v>
      </c>
      <c r="L37" s="6" t="s">
        <v>546</v>
      </c>
      <c r="M37" s="9">
        <v>43773</v>
      </c>
      <c r="O37" s="6">
        <v>6</v>
      </c>
      <c r="P37" s="6" t="s">
        <v>4255</v>
      </c>
      <c r="Q37" s="8">
        <v>-5.5</v>
      </c>
      <c r="R37" s="10" t="s">
        <v>66</v>
      </c>
      <c r="S37" s="10">
        <v>10</v>
      </c>
      <c r="T37" s="10">
        <v>20</v>
      </c>
      <c r="U37" s="10">
        <f t="shared" si="0"/>
        <v>15</v>
      </c>
      <c r="V37" s="6">
        <v>4.3</v>
      </c>
      <c r="W37" s="8">
        <v>-1.8905318483710287</v>
      </c>
      <c r="X37" s="8">
        <v>-16.196991018867493</v>
      </c>
      <c r="Y37" s="8">
        <f t="shared" si="1"/>
        <v>-1.0727362318992633</v>
      </c>
    </row>
    <row r="38" spans="1:25" s="6" customFormat="1" x14ac:dyDescent="0.35">
      <c r="A38" s="6" t="s">
        <v>25</v>
      </c>
      <c r="B38" s="7" t="s">
        <v>312</v>
      </c>
      <c r="C38" s="6">
        <v>510328</v>
      </c>
      <c r="D38" s="6" t="s">
        <v>313</v>
      </c>
      <c r="E38" s="6">
        <v>1</v>
      </c>
      <c r="F38" s="6">
        <v>6</v>
      </c>
      <c r="G38" s="6" t="s">
        <v>210</v>
      </c>
      <c r="I38" s="8">
        <v>85.946550833333305</v>
      </c>
      <c r="J38" s="8">
        <v>119.754510833333</v>
      </c>
      <c r="K38" s="6" t="s">
        <v>29</v>
      </c>
      <c r="L38" s="6" t="s">
        <v>546</v>
      </c>
      <c r="M38" s="9">
        <v>43773</v>
      </c>
      <c r="O38" s="6">
        <v>6</v>
      </c>
      <c r="P38" s="6" t="s">
        <v>4255</v>
      </c>
      <c r="Q38" s="8">
        <v>-4.2549999999999999</v>
      </c>
      <c r="R38" s="10" t="s">
        <v>314</v>
      </c>
      <c r="S38" s="10">
        <v>20</v>
      </c>
      <c r="T38" s="10">
        <v>29.5</v>
      </c>
      <c r="U38" s="10">
        <f t="shared" si="0"/>
        <v>24.75</v>
      </c>
      <c r="V38" s="6">
        <v>5.2</v>
      </c>
      <c r="W38" s="8">
        <v>0.93731891465187067</v>
      </c>
      <c r="X38" s="8">
        <v>6.2193669940918674</v>
      </c>
      <c r="Y38" s="8">
        <f t="shared" si="1"/>
        <v>-1.2791843231230979</v>
      </c>
    </row>
    <row r="39" spans="1:25" s="6" customFormat="1" x14ac:dyDescent="0.35">
      <c r="A39" s="6" t="s">
        <v>25</v>
      </c>
      <c r="B39" s="6" t="s">
        <v>322</v>
      </c>
      <c r="C39" s="6">
        <v>510340</v>
      </c>
      <c r="D39" s="6" t="s">
        <v>320</v>
      </c>
      <c r="E39" s="6">
        <v>1</v>
      </c>
      <c r="F39" s="6">
        <v>6</v>
      </c>
      <c r="G39" s="6" t="s">
        <v>210</v>
      </c>
      <c r="I39" s="8">
        <v>85.946550833333305</v>
      </c>
      <c r="J39" s="8">
        <v>119.754510833333</v>
      </c>
      <c r="K39" s="6" t="s">
        <v>29</v>
      </c>
      <c r="L39" s="6" t="s">
        <v>546</v>
      </c>
      <c r="M39" s="9">
        <v>43773</v>
      </c>
      <c r="O39" s="6">
        <v>6</v>
      </c>
      <c r="P39" s="6" t="s">
        <v>4255</v>
      </c>
      <c r="R39" s="6" t="s">
        <v>215</v>
      </c>
      <c r="S39" s="6">
        <v>20</v>
      </c>
      <c r="T39" s="6">
        <v>30</v>
      </c>
      <c r="U39" s="10">
        <f t="shared" si="0"/>
        <v>25</v>
      </c>
      <c r="V39" s="6">
        <v>0.4</v>
      </c>
      <c r="W39" s="8">
        <v>-6.4398940679550183</v>
      </c>
      <c r="X39" s="8">
        <v>-48.782972869873049</v>
      </c>
      <c r="Y39" s="8">
        <f t="shared" si="1"/>
        <v>2.7361796737670971</v>
      </c>
    </row>
    <row r="40" spans="1:25" s="6" customFormat="1" x14ac:dyDescent="0.35">
      <c r="A40" s="6" t="s">
        <v>25</v>
      </c>
      <c r="B40" s="7" t="s">
        <v>296</v>
      </c>
      <c r="C40" s="6">
        <v>510332</v>
      </c>
      <c r="D40" s="6" t="s">
        <v>297</v>
      </c>
      <c r="E40" s="6">
        <v>1</v>
      </c>
      <c r="F40" s="6">
        <v>6</v>
      </c>
      <c r="G40" s="6" t="s">
        <v>210</v>
      </c>
      <c r="I40" s="8">
        <v>85.946550833333305</v>
      </c>
      <c r="J40" s="8">
        <v>119.754510833333</v>
      </c>
      <c r="K40" s="6" t="s">
        <v>29</v>
      </c>
      <c r="L40" s="6" t="s">
        <v>546</v>
      </c>
      <c r="M40" s="9">
        <v>43773</v>
      </c>
      <c r="O40" s="6">
        <v>6</v>
      </c>
      <c r="P40" s="6" t="s">
        <v>4255</v>
      </c>
      <c r="Q40" s="8">
        <v>-5.1000000000000005</v>
      </c>
      <c r="R40" s="10" t="s">
        <v>298</v>
      </c>
      <c r="S40" s="10">
        <v>20</v>
      </c>
      <c r="T40" s="10">
        <v>34</v>
      </c>
      <c r="U40" s="10">
        <f t="shared" si="0"/>
        <v>27</v>
      </c>
      <c r="V40" s="6">
        <v>0.6</v>
      </c>
      <c r="W40" s="8">
        <v>-3.4447655582427972</v>
      </c>
      <c r="X40" s="8">
        <v>-26.166269157981873</v>
      </c>
      <c r="Y40" s="8">
        <f t="shared" si="1"/>
        <v>1.3918553079605047</v>
      </c>
    </row>
    <row r="41" spans="1:25" s="6" customFormat="1" x14ac:dyDescent="0.35">
      <c r="A41" s="6" t="s">
        <v>25</v>
      </c>
      <c r="B41" s="7" t="s">
        <v>306</v>
      </c>
      <c r="C41" s="6">
        <v>510326</v>
      </c>
      <c r="D41" s="6" t="s">
        <v>307</v>
      </c>
      <c r="E41" s="6">
        <v>1</v>
      </c>
      <c r="F41" s="6">
        <v>6</v>
      </c>
      <c r="G41" s="6" t="s">
        <v>210</v>
      </c>
      <c r="I41" s="8">
        <v>85.946550833333305</v>
      </c>
      <c r="J41" s="8">
        <v>119.754510833333</v>
      </c>
      <c r="K41" s="6" t="s">
        <v>29</v>
      </c>
      <c r="L41" s="6" t="s">
        <v>546</v>
      </c>
      <c r="M41" s="9">
        <v>43773</v>
      </c>
      <c r="O41" s="6">
        <v>6</v>
      </c>
      <c r="P41" s="6" t="s">
        <v>4255</v>
      </c>
      <c r="Q41" s="8">
        <v>-2.855</v>
      </c>
      <c r="R41" s="10" t="s">
        <v>308</v>
      </c>
      <c r="S41" s="10">
        <v>29.5</v>
      </c>
      <c r="T41" s="10">
        <v>39.5</v>
      </c>
      <c r="U41" s="10">
        <f t="shared" si="0"/>
        <v>34.5</v>
      </c>
      <c r="V41" s="6">
        <v>5.5</v>
      </c>
      <c r="W41" s="8">
        <v>0.90709664541482926</v>
      </c>
      <c r="X41" s="8">
        <v>5.9026842371314761</v>
      </c>
      <c r="Y41" s="8">
        <f t="shared" si="1"/>
        <v>-1.354088926187158</v>
      </c>
    </row>
    <row r="42" spans="1:25" s="6" customFormat="1" x14ac:dyDescent="0.35">
      <c r="A42" s="6" t="s">
        <v>25</v>
      </c>
      <c r="B42" s="6" t="s">
        <v>323</v>
      </c>
      <c r="C42" s="6">
        <v>510341</v>
      </c>
      <c r="D42" s="6" t="s">
        <v>320</v>
      </c>
      <c r="E42" s="6">
        <v>1</v>
      </c>
      <c r="F42" s="6">
        <v>6</v>
      </c>
      <c r="G42" s="6" t="s">
        <v>210</v>
      </c>
      <c r="I42" s="8">
        <v>85.946550833333305</v>
      </c>
      <c r="J42" s="8">
        <v>119.754510833333</v>
      </c>
      <c r="K42" s="6" t="s">
        <v>29</v>
      </c>
      <c r="L42" s="6" t="s">
        <v>546</v>
      </c>
      <c r="M42" s="9">
        <v>43773</v>
      </c>
      <c r="O42" s="6">
        <v>6</v>
      </c>
      <c r="P42" s="6" t="s">
        <v>4255</v>
      </c>
      <c r="R42" s="6" t="s">
        <v>324</v>
      </c>
      <c r="S42" s="6">
        <v>30</v>
      </c>
      <c r="T42" s="6">
        <v>42</v>
      </c>
      <c r="U42" s="10">
        <f t="shared" si="0"/>
        <v>36</v>
      </c>
      <c r="V42" s="6">
        <v>0.9</v>
      </c>
      <c r="W42" s="8">
        <v>-5.9732858283996588</v>
      </c>
      <c r="X42" s="8">
        <v>-45.735156990051266</v>
      </c>
      <c r="Y42" s="8">
        <f t="shared" si="1"/>
        <v>2.0511296371460048</v>
      </c>
    </row>
    <row r="43" spans="1:25" s="6" customFormat="1" x14ac:dyDescent="0.35">
      <c r="A43" s="6" t="s">
        <v>25</v>
      </c>
      <c r="B43" s="7" t="s">
        <v>279</v>
      </c>
      <c r="C43" s="6">
        <v>510337</v>
      </c>
      <c r="D43" s="6" t="s">
        <v>280</v>
      </c>
      <c r="E43" s="6">
        <v>1</v>
      </c>
      <c r="F43" s="6">
        <v>6</v>
      </c>
      <c r="G43" s="6" t="s">
        <v>210</v>
      </c>
      <c r="I43" s="8">
        <v>85.946550833333305</v>
      </c>
      <c r="J43" s="8">
        <v>119.754510833333</v>
      </c>
      <c r="K43" s="6" t="s">
        <v>29</v>
      </c>
      <c r="L43" s="6" t="s">
        <v>546</v>
      </c>
      <c r="M43" s="9">
        <v>43773</v>
      </c>
      <c r="O43" s="6">
        <v>6</v>
      </c>
      <c r="P43" s="6" t="s">
        <v>4255</v>
      </c>
      <c r="Q43" s="8">
        <v>-4.45</v>
      </c>
      <c r="R43" s="10" t="s">
        <v>281</v>
      </c>
      <c r="S43" s="10">
        <v>34</v>
      </c>
      <c r="T43" s="10">
        <v>46</v>
      </c>
      <c r="U43" s="10">
        <f t="shared" si="0"/>
        <v>40</v>
      </c>
      <c r="V43" s="6">
        <v>0.5</v>
      </c>
      <c r="W43" s="8">
        <v>-3.1799442282199868</v>
      </c>
      <c r="X43" s="8">
        <v>-23.351466464996339</v>
      </c>
      <c r="Y43" s="8">
        <f t="shared" si="1"/>
        <v>2.0880873607635557</v>
      </c>
    </row>
    <row r="44" spans="1:25" s="6" customFormat="1" x14ac:dyDescent="0.35">
      <c r="A44" s="6" t="s">
        <v>25</v>
      </c>
      <c r="B44" s="7" t="s">
        <v>309</v>
      </c>
      <c r="C44" s="6">
        <v>510325</v>
      </c>
      <c r="D44" s="6" t="s">
        <v>310</v>
      </c>
      <c r="E44" s="6">
        <v>1</v>
      </c>
      <c r="F44" s="6">
        <v>6</v>
      </c>
      <c r="G44" s="6" t="s">
        <v>210</v>
      </c>
      <c r="I44" s="8">
        <v>85.946550833333305</v>
      </c>
      <c r="J44" s="8">
        <v>119.754510833333</v>
      </c>
      <c r="K44" s="6" t="s">
        <v>29</v>
      </c>
      <c r="L44" s="6" t="s">
        <v>546</v>
      </c>
      <c r="M44" s="9">
        <v>43773</v>
      </c>
      <c r="O44" s="6">
        <v>6</v>
      </c>
      <c r="P44" s="6" t="s">
        <v>4255</v>
      </c>
      <c r="Q44" s="8">
        <v>-1.99</v>
      </c>
      <c r="R44" s="10" t="s">
        <v>311</v>
      </c>
      <c r="S44" s="10">
        <v>39.5</v>
      </c>
      <c r="T44" s="10">
        <v>44.5</v>
      </c>
      <c r="U44" s="10">
        <f t="shared" si="0"/>
        <v>42</v>
      </c>
      <c r="V44" s="6">
        <v>5.5</v>
      </c>
      <c r="W44" s="8">
        <v>0.35651671186089551</v>
      </c>
      <c r="X44" s="8">
        <v>1.283579244339466</v>
      </c>
      <c r="Y44" s="8">
        <f t="shared" si="1"/>
        <v>-1.568554450547698</v>
      </c>
    </row>
    <row r="45" spans="1:25" s="6" customFormat="1" x14ac:dyDescent="0.35">
      <c r="A45" s="6" t="s">
        <v>25</v>
      </c>
      <c r="B45" s="6" t="s">
        <v>325</v>
      </c>
      <c r="C45" s="6">
        <v>510342</v>
      </c>
      <c r="D45" s="6" t="s">
        <v>320</v>
      </c>
      <c r="E45" s="6">
        <v>1</v>
      </c>
      <c r="F45" s="6">
        <v>6</v>
      </c>
      <c r="G45" s="6" t="s">
        <v>210</v>
      </c>
      <c r="I45" s="8">
        <v>85.946550833333305</v>
      </c>
      <c r="J45" s="8">
        <v>119.754510833333</v>
      </c>
      <c r="K45" s="6" t="s">
        <v>29</v>
      </c>
      <c r="L45" s="6" t="s">
        <v>546</v>
      </c>
      <c r="M45" s="9">
        <v>43773</v>
      </c>
      <c r="O45" s="6">
        <v>6</v>
      </c>
      <c r="P45" s="6" t="s">
        <v>4255</v>
      </c>
      <c r="R45" s="6" t="s">
        <v>326</v>
      </c>
      <c r="S45" s="6">
        <v>42</v>
      </c>
      <c r="T45" s="6">
        <v>50</v>
      </c>
      <c r="U45" s="10">
        <f t="shared" si="0"/>
        <v>46</v>
      </c>
      <c r="V45" s="6">
        <v>0.6</v>
      </c>
      <c r="W45" s="8">
        <v>-4.7754862220764167</v>
      </c>
      <c r="X45" s="8">
        <v>-36.649697181701661</v>
      </c>
      <c r="Y45" s="8">
        <f t="shared" si="1"/>
        <v>1.5541925949096722</v>
      </c>
    </row>
    <row r="46" spans="1:25" s="6" customFormat="1" x14ac:dyDescent="0.35">
      <c r="A46" s="6" t="s">
        <v>25</v>
      </c>
      <c r="B46" s="7" t="s">
        <v>303</v>
      </c>
      <c r="C46" s="6">
        <v>510324</v>
      </c>
      <c r="D46" s="6" t="s">
        <v>304</v>
      </c>
      <c r="E46" s="6">
        <v>1</v>
      </c>
      <c r="F46" s="6">
        <v>6</v>
      </c>
      <c r="G46" s="6" t="s">
        <v>210</v>
      </c>
      <c r="I46" s="8">
        <v>85.946550833333305</v>
      </c>
      <c r="J46" s="8">
        <v>119.754510833333</v>
      </c>
      <c r="K46" s="6" t="s">
        <v>29</v>
      </c>
      <c r="L46" s="6" t="s">
        <v>546</v>
      </c>
      <c r="M46" s="9">
        <v>43773</v>
      </c>
      <c r="O46" s="6">
        <v>6</v>
      </c>
      <c r="P46" s="6" t="s">
        <v>4255</v>
      </c>
      <c r="Q46" s="8">
        <v>-1.99</v>
      </c>
      <c r="R46" s="10" t="s">
        <v>305</v>
      </c>
      <c r="S46" s="10">
        <v>44.5</v>
      </c>
      <c r="T46" s="10">
        <v>49.5</v>
      </c>
      <c r="U46" s="10">
        <f t="shared" si="0"/>
        <v>47</v>
      </c>
      <c r="V46" s="6">
        <v>6.9</v>
      </c>
      <c r="W46" s="8">
        <v>0.5719859746396545</v>
      </c>
      <c r="X46" s="8">
        <v>3.975163489127159</v>
      </c>
      <c r="Y46" s="8">
        <f t="shared" si="1"/>
        <v>-0.60072430799007703</v>
      </c>
    </row>
    <row r="47" spans="1:25" s="6" customFormat="1" x14ac:dyDescent="0.35">
      <c r="A47" s="6" t="s">
        <v>25</v>
      </c>
      <c r="B47" s="7" t="s">
        <v>276</v>
      </c>
      <c r="C47" s="6">
        <v>510336</v>
      </c>
      <c r="D47" s="6" t="s">
        <v>277</v>
      </c>
      <c r="E47" s="6">
        <v>1</v>
      </c>
      <c r="F47" s="6">
        <v>6</v>
      </c>
      <c r="G47" s="6" t="s">
        <v>210</v>
      </c>
      <c r="I47" s="8">
        <v>85.946550833333305</v>
      </c>
      <c r="J47" s="8">
        <v>119.754510833333</v>
      </c>
      <c r="K47" s="6" t="s">
        <v>29</v>
      </c>
      <c r="L47" s="6" t="s">
        <v>546</v>
      </c>
      <c r="M47" s="9">
        <v>43773</v>
      </c>
      <c r="O47" s="6">
        <v>6</v>
      </c>
      <c r="P47" s="6" t="s">
        <v>4255</v>
      </c>
      <c r="Q47" s="8">
        <v>-4.166666666666667</v>
      </c>
      <c r="R47" s="10" t="s">
        <v>278</v>
      </c>
      <c r="S47" s="10">
        <v>46</v>
      </c>
      <c r="T47" s="10">
        <v>58</v>
      </c>
      <c r="U47" s="10">
        <f t="shared" si="0"/>
        <v>52</v>
      </c>
      <c r="V47" s="6">
        <v>0.4</v>
      </c>
      <c r="W47" s="8">
        <v>-2.7985884950637825</v>
      </c>
      <c r="X47" s="8">
        <v>-21.788494348526001</v>
      </c>
      <c r="Y47" s="8">
        <f t="shared" si="1"/>
        <v>0.60021361198425893</v>
      </c>
    </row>
    <row r="48" spans="1:25" s="6" customFormat="1" x14ac:dyDescent="0.35">
      <c r="A48" s="6" t="s">
        <v>25</v>
      </c>
      <c r="B48" s="6" t="s">
        <v>327</v>
      </c>
      <c r="C48" s="6">
        <v>510343</v>
      </c>
      <c r="D48" s="6" t="s">
        <v>320</v>
      </c>
      <c r="E48" s="6">
        <v>1</v>
      </c>
      <c r="F48" s="6">
        <v>6</v>
      </c>
      <c r="G48" s="6" t="s">
        <v>210</v>
      </c>
      <c r="I48" s="8">
        <v>85.946550833333305</v>
      </c>
      <c r="J48" s="8">
        <v>119.754510833333</v>
      </c>
      <c r="K48" s="6" t="s">
        <v>29</v>
      </c>
      <c r="L48" s="6" t="s">
        <v>546</v>
      </c>
      <c r="M48" s="9">
        <v>43773</v>
      </c>
      <c r="O48" s="6">
        <v>6</v>
      </c>
      <c r="P48" s="6" t="s">
        <v>4255</v>
      </c>
      <c r="R48" s="6" t="s">
        <v>328</v>
      </c>
      <c r="S48" s="6">
        <v>50</v>
      </c>
      <c r="T48" s="6">
        <v>58</v>
      </c>
      <c r="U48" s="10">
        <f t="shared" si="0"/>
        <v>54</v>
      </c>
      <c r="V48" s="6">
        <v>1</v>
      </c>
      <c r="W48" s="8">
        <v>-4.4754091651916497</v>
      </c>
      <c r="X48" s="8">
        <v>-34.715039283752439</v>
      </c>
      <c r="Y48" s="8">
        <f t="shared" si="1"/>
        <v>1.088234037780758</v>
      </c>
    </row>
    <row r="49" spans="1:25" s="6" customFormat="1" x14ac:dyDescent="0.35">
      <c r="A49" s="6" t="s">
        <v>25</v>
      </c>
      <c r="B49" s="6" t="s">
        <v>329</v>
      </c>
      <c r="C49" s="6">
        <v>510344</v>
      </c>
      <c r="D49" s="6" t="s">
        <v>320</v>
      </c>
      <c r="E49" s="6">
        <v>1</v>
      </c>
      <c r="F49" s="6">
        <v>6</v>
      </c>
      <c r="G49" s="6" t="s">
        <v>210</v>
      </c>
      <c r="I49" s="8">
        <v>85.946550833333305</v>
      </c>
      <c r="J49" s="8">
        <v>119.754510833333</v>
      </c>
      <c r="K49" s="6" t="s">
        <v>29</v>
      </c>
      <c r="L49" s="6" t="s">
        <v>546</v>
      </c>
      <c r="M49" s="9">
        <v>43773</v>
      </c>
      <c r="O49" s="6">
        <v>6</v>
      </c>
      <c r="P49" s="6" t="s">
        <v>4255</v>
      </c>
      <c r="R49" s="6" t="s">
        <v>295</v>
      </c>
      <c r="S49" s="6">
        <v>58</v>
      </c>
      <c r="T49" s="6">
        <v>68</v>
      </c>
      <c r="U49" s="10">
        <f t="shared" si="0"/>
        <v>63</v>
      </c>
      <c r="V49" s="6">
        <v>0.6</v>
      </c>
      <c r="W49" s="8">
        <v>-4.7303832233428977</v>
      </c>
      <c r="X49" s="8">
        <v>-36.10707070159912</v>
      </c>
      <c r="Y49" s="8">
        <f t="shared" si="1"/>
        <v>1.7359950851440615</v>
      </c>
    </row>
    <row r="50" spans="1:25" s="6" customFormat="1" x14ac:dyDescent="0.35">
      <c r="A50" s="6" t="s">
        <v>25</v>
      </c>
      <c r="B50" s="7" t="s">
        <v>293</v>
      </c>
      <c r="C50" s="6">
        <v>510335</v>
      </c>
      <c r="D50" s="6" t="s">
        <v>294</v>
      </c>
      <c r="E50" s="6">
        <v>1</v>
      </c>
      <c r="F50" s="6">
        <v>6</v>
      </c>
      <c r="G50" s="6" t="s">
        <v>210</v>
      </c>
      <c r="I50" s="8">
        <v>85.946550833333305</v>
      </c>
      <c r="J50" s="8">
        <v>119.754510833333</v>
      </c>
      <c r="K50" s="6" t="s">
        <v>29</v>
      </c>
      <c r="L50" s="6" t="s">
        <v>546</v>
      </c>
      <c r="M50" s="9">
        <v>43773</v>
      </c>
      <c r="O50" s="6">
        <v>6</v>
      </c>
      <c r="P50" s="6" t="s">
        <v>4255</v>
      </c>
      <c r="Q50" s="8">
        <v>-3.4</v>
      </c>
      <c r="R50" s="10" t="s">
        <v>295</v>
      </c>
      <c r="S50" s="10">
        <v>58</v>
      </c>
      <c r="T50" s="10">
        <v>68</v>
      </c>
      <c r="U50" s="10">
        <f t="shared" si="0"/>
        <v>63</v>
      </c>
      <c r="V50" s="6">
        <v>0.4</v>
      </c>
      <c r="W50" s="8">
        <v>-3.5069515768289561</v>
      </c>
      <c r="X50" s="8">
        <v>-26.477782238578797</v>
      </c>
      <c r="Y50" s="8">
        <f t="shared" si="1"/>
        <v>1.5778303760528516</v>
      </c>
    </row>
    <row r="51" spans="1:25" s="6" customFormat="1" x14ac:dyDescent="0.35">
      <c r="A51" s="6" t="s">
        <v>25</v>
      </c>
      <c r="B51" s="7" t="s">
        <v>285</v>
      </c>
      <c r="C51" s="6">
        <v>510334</v>
      </c>
      <c r="D51" s="6" t="s">
        <v>286</v>
      </c>
      <c r="E51" s="6">
        <v>1</v>
      </c>
      <c r="F51" s="6">
        <v>6</v>
      </c>
      <c r="G51" s="6" t="s">
        <v>210</v>
      </c>
      <c r="I51" s="8">
        <v>85.946550833333305</v>
      </c>
      <c r="J51" s="8">
        <v>119.754510833333</v>
      </c>
      <c r="K51" s="6" t="s">
        <v>29</v>
      </c>
      <c r="L51" s="6" t="s">
        <v>546</v>
      </c>
      <c r="M51" s="9">
        <v>43773</v>
      </c>
      <c r="O51" s="6">
        <v>6</v>
      </c>
      <c r="P51" s="6" t="s">
        <v>4255</v>
      </c>
      <c r="Q51" s="8">
        <v>-2.9</v>
      </c>
      <c r="R51" s="10" t="s">
        <v>287</v>
      </c>
      <c r="S51" s="10">
        <v>68</v>
      </c>
      <c r="T51" s="10">
        <v>73</v>
      </c>
      <c r="U51" s="10">
        <f t="shared" si="0"/>
        <v>70.5</v>
      </c>
      <c r="V51" s="6">
        <v>1</v>
      </c>
      <c r="W51" s="8">
        <v>-4.6322437079429628</v>
      </c>
      <c r="X51" s="8">
        <v>-36.569987010955806</v>
      </c>
      <c r="Y51" s="8">
        <f t="shared" si="1"/>
        <v>0.48796265258789617</v>
      </c>
    </row>
    <row r="52" spans="1:25" s="6" customFormat="1" x14ac:dyDescent="0.35">
      <c r="A52" s="6" t="s">
        <v>25</v>
      </c>
      <c r="B52" s="6" t="s">
        <v>330</v>
      </c>
      <c r="C52" s="6">
        <v>510345</v>
      </c>
      <c r="D52" s="6" t="s">
        <v>320</v>
      </c>
      <c r="E52" s="6">
        <v>1</v>
      </c>
      <c r="F52" s="6">
        <v>6</v>
      </c>
      <c r="G52" s="6" t="s">
        <v>210</v>
      </c>
      <c r="I52" s="8">
        <v>85.946550833333305</v>
      </c>
      <c r="J52" s="8">
        <v>119.754510833333</v>
      </c>
      <c r="K52" s="6" t="s">
        <v>29</v>
      </c>
      <c r="L52" s="6" t="s">
        <v>546</v>
      </c>
      <c r="M52" s="9">
        <v>43773</v>
      </c>
      <c r="O52" s="6">
        <v>6</v>
      </c>
      <c r="P52" s="6" t="s">
        <v>4255</v>
      </c>
      <c r="R52" s="6" t="s">
        <v>331</v>
      </c>
      <c r="S52" s="6">
        <v>68</v>
      </c>
      <c r="T52" s="6">
        <v>78</v>
      </c>
      <c r="U52" s="10">
        <f t="shared" si="0"/>
        <v>73</v>
      </c>
      <c r="V52" s="6">
        <v>0.7</v>
      </c>
      <c r="W52" s="8">
        <v>-5.0023024433135985</v>
      </c>
      <c r="X52" s="8">
        <v>-38.61040202331543</v>
      </c>
      <c r="Y52" s="8">
        <f t="shared" si="1"/>
        <v>1.408017523193358</v>
      </c>
    </row>
    <row r="53" spans="1:25" s="6" customFormat="1" x14ac:dyDescent="0.35">
      <c r="A53" s="6" t="s">
        <v>25</v>
      </c>
      <c r="B53" s="7" t="s">
        <v>282</v>
      </c>
      <c r="C53" s="6">
        <v>510333</v>
      </c>
      <c r="D53" s="6" t="s">
        <v>283</v>
      </c>
      <c r="E53" s="6">
        <v>1</v>
      </c>
      <c r="F53" s="6">
        <v>6</v>
      </c>
      <c r="G53" s="6" t="s">
        <v>210</v>
      </c>
      <c r="I53" s="8">
        <v>85.946550833333305</v>
      </c>
      <c r="J53" s="8">
        <v>119.754510833333</v>
      </c>
      <c r="K53" s="6" t="s">
        <v>29</v>
      </c>
      <c r="L53" s="6" t="s">
        <v>546</v>
      </c>
      <c r="M53" s="9">
        <v>43773</v>
      </c>
      <c r="O53" s="6">
        <v>6</v>
      </c>
      <c r="P53" s="6" t="s">
        <v>4255</v>
      </c>
      <c r="Q53" s="8">
        <v>-1.7</v>
      </c>
      <c r="R53" s="10" t="s">
        <v>284</v>
      </c>
      <c r="S53" s="10">
        <v>73</v>
      </c>
      <c r="T53" s="10">
        <v>78</v>
      </c>
      <c r="U53" s="10">
        <f t="shared" si="0"/>
        <v>75.5</v>
      </c>
      <c r="V53" s="6">
        <v>6.5</v>
      </c>
      <c r="W53" s="8">
        <v>0.50078047440648044</v>
      </c>
      <c r="X53" s="8">
        <v>3.9671292543411263</v>
      </c>
      <c r="Y53" s="8">
        <f t="shared" si="1"/>
        <v>-3.9114540910717199E-2</v>
      </c>
    </row>
    <row r="54" spans="1:25" s="6" customFormat="1" x14ac:dyDescent="0.35">
      <c r="A54" s="6" t="s">
        <v>25</v>
      </c>
      <c r="B54" s="6" t="s">
        <v>332</v>
      </c>
      <c r="C54" s="6">
        <v>510346</v>
      </c>
      <c r="D54" s="6" t="s">
        <v>320</v>
      </c>
      <c r="E54" s="6">
        <v>1</v>
      </c>
      <c r="F54" s="6">
        <v>6</v>
      </c>
      <c r="G54" s="6" t="s">
        <v>210</v>
      </c>
      <c r="I54" s="8">
        <v>85.946550833333305</v>
      </c>
      <c r="J54" s="8">
        <v>119.754510833333</v>
      </c>
      <c r="K54" s="6" t="s">
        <v>29</v>
      </c>
      <c r="L54" s="6" t="s">
        <v>546</v>
      </c>
      <c r="M54" s="9">
        <v>43773</v>
      </c>
      <c r="O54" s="6">
        <v>6</v>
      </c>
      <c r="P54" s="6" t="s">
        <v>4255</v>
      </c>
      <c r="R54" s="6" t="s">
        <v>333</v>
      </c>
      <c r="S54" s="6">
        <v>78</v>
      </c>
      <c r="T54" s="6">
        <v>90</v>
      </c>
      <c r="U54" s="10">
        <f t="shared" si="0"/>
        <v>84</v>
      </c>
      <c r="V54" s="6">
        <v>1.5</v>
      </c>
      <c r="W54" s="8">
        <v>-4.2030892360687258</v>
      </c>
      <c r="X54" s="8">
        <v>-32.107350929260257</v>
      </c>
      <c r="Y54" s="8">
        <f t="shared" si="1"/>
        <v>1.5173629592895495</v>
      </c>
    </row>
    <row r="55" spans="1:25" s="6" customFormat="1" x14ac:dyDescent="0.35">
      <c r="A55" s="6" t="s">
        <v>25</v>
      </c>
      <c r="B55" s="7" t="s">
        <v>363</v>
      </c>
      <c r="C55" s="6">
        <v>510450</v>
      </c>
      <c r="D55" s="6" t="s">
        <v>364</v>
      </c>
      <c r="E55" s="6">
        <v>1</v>
      </c>
      <c r="F55" s="6">
        <v>6</v>
      </c>
      <c r="G55" s="6" t="s">
        <v>272</v>
      </c>
      <c r="I55" s="8">
        <v>85.829839027777794</v>
      </c>
      <c r="J55" s="8">
        <v>116.152829027778</v>
      </c>
      <c r="K55" s="6" t="s">
        <v>29</v>
      </c>
      <c r="L55" s="6" t="s">
        <v>546</v>
      </c>
      <c r="M55" s="9">
        <v>43779</v>
      </c>
      <c r="O55" s="6">
        <v>6</v>
      </c>
      <c r="P55" s="6" t="s">
        <v>4258</v>
      </c>
      <c r="Q55" s="6">
        <v>-10.35</v>
      </c>
      <c r="R55" s="10" t="s">
        <v>64</v>
      </c>
      <c r="S55" s="10">
        <v>0</v>
      </c>
      <c r="T55" s="10">
        <v>10</v>
      </c>
      <c r="U55" s="10">
        <f t="shared" si="0"/>
        <v>5</v>
      </c>
      <c r="V55" s="6">
        <v>0.5</v>
      </c>
      <c r="W55" s="8">
        <v>-7.8467096345424645</v>
      </c>
      <c r="X55" s="8">
        <v>-61.276709058380121</v>
      </c>
      <c r="Y55" s="8">
        <f t="shared" si="1"/>
        <v>1.4969680179595954</v>
      </c>
    </row>
    <row r="56" spans="1:25" s="6" customFormat="1" x14ac:dyDescent="0.35">
      <c r="A56" s="6" t="s">
        <v>25</v>
      </c>
      <c r="B56" s="7" t="s">
        <v>368</v>
      </c>
      <c r="C56" s="6">
        <v>510451</v>
      </c>
      <c r="D56" s="6" t="s">
        <v>369</v>
      </c>
      <c r="E56" s="6">
        <v>1</v>
      </c>
      <c r="F56" s="6">
        <v>6</v>
      </c>
      <c r="G56" s="6" t="s">
        <v>272</v>
      </c>
      <c r="I56" s="8">
        <v>85.829839027777794</v>
      </c>
      <c r="J56" s="8">
        <v>116.152829027778</v>
      </c>
      <c r="K56" s="6" t="s">
        <v>29</v>
      </c>
      <c r="L56" s="6" t="s">
        <v>546</v>
      </c>
      <c r="M56" s="9">
        <v>43779</v>
      </c>
      <c r="O56" s="6">
        <v>6</v>
      </c>
      <c r="P56" s="6" t="s">
        <v>4258</v>
      </c>
      <c r="Q56" s="6">
        <v>-7.8</v>
      </c>
      <c r="R56" s="10" t="s">
        <v>66</v>
      </c>
      <c r="S56" s="10">
        <v>10</v>
      </c>
      <c r="T56" s="10">
        <v>20</v>
      </c>
      <c r="U56" s="10">
        <f t="shared" si="0"/>
        <v>15</v>
      </c>
      <c r="V56" s="6">
        <v>0.4</v>
      </c>
      <c r="W56" s="8">
        <v>-4.8191917993545541</v>
      </c>
      <c r="X56" s="8">
        <v>-36.867779441833491</v>
      </c>
      <c r="Y56" s="8">
        <f t="shared" si="1"/>
        <v>1.6857549530029416</v>
      </c>
    </row>
    <row r="57" spans="1:25" s="6" customFormat="1" x14ac:dyDescent="0.35">
      <c r="A57" s="6" t="s">
        <v>25</v>
      </c>
      <c r="B57" s="7" t="s">
        <v>365</v>
      </c>
      <c r="C57" s="6">
        <v>510452</v>
      </c>
      <c r="D57" s="6" t="s">
        <v>366</v>
      </c>
      <c r="E57" s="6">
        <v>1</v>
      </c>
      <c r="F57" s="6">
        <v>6</v>
      </c>
      <c r="G57" s="6" t="s">
        <v>272</v>
      </c>
      <c r="I57" s="8">
        <v>85.829839027777794</v>
      </c>
      <c r="J57" s="8">
        <v>116.152829027778</v>
      </c>
      <c r="K57" s="6" t="s">
        <v>29</v>
      </c>
      <c r="L57" s="6" t="s">
        <v>546</v>
      </c>
      <c r="M57" s="9">
        <v>43779</v>
      </c>
      <c r="O57" s="6">
        <v>6</v>
      </c>
      <c r="P57" s="6" t="s">
        <v>4258</v>
      </c>
      <c r="Q57" s="6">
        <v>-5.8</v>
      </c>
      <c r="R57" s="10" t="s">
        <v>367</v>
      </c>
      <c r="S57" s="10">
        <v>20</v>
      </c>
      <c r="T57" s="10">
        <v>29</v>
      </c>
      <c r="U57" s="10">
        <f t="shared" si="0"/>
        <v>24.5</v>
      </c>
      <c r="V57" s="6">
        <v>2.1</v>
      </c>
      <c r="W57" s="8">
        <v>-6.2547456981658938</v>
      </c>
      <c r="X57" s="8">
        <v>-45.933073534011839</v>
      </c>
      <c r="Y57" s="8">
        <f t="shared" si="1"/>
        <v>4.1048920513153107</v>
      </c>
    </row>
    <row r="58" spans="1:25" s="6" customFormat="1" x14ac:dyDescent="0.35">
      <c r="A58" s="6" t="s">
        <v>25</v>
      </c>
      <c r="B58" s="7" t="s">
        <v>372</v>
      </c>
      <c r="C58" s="6">
        <v>510453</v>
      </c>
      <c r="D58" s="6" t="s">
        <v>373</v>
      </c>
      <c r="E58" s="6">
        <v>1</v>
      </c>
      <c r="F58" s="6">
        <v>6</v>
      </c>
      <c r="G58" s="6" t="s">
        <v>272</v>
      </c>
      <c r="I58" s="8">
        <v>85.829839027777794</v>
      </c>
      <c r="J58" s="8">
        <v>116.152829027778</v>
      </c>
      <c r="K58" s="6" t="s">
        <v>29</v>
      </c>
      <c r="L58" s="6" t="s">
        <v>546</v>
      </c>
      <c r="M58" s="9">
        <v>43779</v>
      </c>
      <c r="O58" s="6">
        <v>6</v>
      </c>
      <c r="P58" s="6" t="s">
        <v>4258</v>
      </c>
      <c r="Q58" s="6">
        <v>-5.0500000000000007</v>
      </c>
      <c r="R58" s="10" t="s">
        <v>374</v>
      </c>
      <c r="S58" s="10">
        <v>29</v>
      </c>
      <c r="T58" s="10">
        <v>38</v>
      </c>
      <c r="U58" s="10">
        <f t="shared" si="0"/>
        <v>33.5</v>
      </c>
      <c r="V58" s="6">
        <v>3.9</v>
      </c>
      <c r="W58" s="8">
        <v>-7.5700963770866396</v>
      </c>
      <c r="X58" s="8">
        <v>-55.866168888092034</v>
      </c>
      <c r="Y58" s="8">
        <f t="shared" si="1"/>
        <v>4.6946021286010833</v>
      </c>
    </row>
    <row r="59" spans="1:25" s="6" customFormat="1" x14ac:dyDescent="0.35">
      <c r="A59" s="6" t="s">
        <v>25</v>
      </c>
      <c r="B59" s="7" t="s">
        <v>370</v>
      </c>
      <c r="C59" s="6">
        <v>510454</v>
      </c>
      <c r="D59" s="6" t="s">
        <v>371</v>
      </c>
      <c r="E59" s="6">
        <v>1</v>
      </c>
      <c r="F59" s="6">
        <v>6</v>
      </c>
      <c r="G59" s="6" t="s">
        <v>272</v>
      </c>
      <c r="I59" s="8">
        <v>85.829839027777794</v>
      </c>
      <c r="J59" s="8">
        <v>116.152829027778</v>
      </c>
      <c r="K59" s="6" t="s">
        <v>29</v>
      </c>
      <c r="L59" s="6" t="s">
        <v>546</v>
      </c>
      <c r="M59" s="9">
        <v>43779</v>
      </c>
      <c r="O59" s="6">
        <v>6</v>
      </c>
      <c r="P59" s="6" t="s">
        <v>4258</v>
      </c>
      <c r="Q59" s="6">
        <v>-4.75</v>
      </c>
      <c r="R59" s="10" t="s">
        <v>121</v>
      </c>
      <c r="S59" s="10">
        <v>38</v>
      </c>
      <c r="T59" s="10">
        <v>48</v>
      </c>
      <c r="U59" s="10">
        <f t="shared" si="0"/>
        <v>43</v>
      </c>
      <c r="V59" s="6">
        <v>2.2999999999999998</v>
      </c>
      <c r="W59" s="8">
        <v>-5.824529635429383</v>
      </c>
      <c r="X59" s="8">
        <v>-43.747547641754153</v>
      </c>
      <c r="Y59" s="8">
        <f t="shared" si="1"/>
        <v>2.8486894416809108</v>
      </c>
    </row>
    <row r="60" spans="1:25" s="6" customFormat="1" x14ac:dyDescent="0.35">
      <c r="A60" s="6" t="s">
        <v>25</v>
      </c>
      <c r="B60" s="7" t="s">
        <v>360</v>
      </c>
      <c r="C60" s="6">
        <v>510455</v>
      </c>
      <c r="D60" s="6" t="s">
        <v>361</v>
      </c>
      <c r="E60" s="6">
        <v>1</v>
      </c>
      <c r="F60" s="6">
        <v>6</v>
      </c>
      <c r="G60" s="6" t="s">
        <v>272</v>
      </c>
      <c r="I60" s="8">
        <v>85.829839027777794</v>
      </c>
      <c r="J60" s="8">
        <v>116.152829027778</v>
      </c>
      <c r="K60" s="6" t="s">
        <v>29</v>
      </c>
      <c r="L60" s="6" t="s">
        <v>546</v>
      </c>
      <c r="M60" s="9">
        <v>43779</v>
      </c>
      <c r="O60" s="6">
        <v>6</v>
      </c>
      <c r="P60" s="6" t="s">
        <v>4258</v>
      </c>
      <c r="Q60" s="6">
        <v>-3.7</v>
      </c>
      <c r="R60" s="10" t="s">
        <v>362</v>
      </c>
      <c r="S60" s="10">
        <v>48</v>
      </c>
      <c r="T60" s="10">
        <v>62</v>
      </c>
      <c r="U60" s="10">
        <f t="shared" si="0"/>
        <v>55</v>
      </c>
      <c r="V60" s="6">
        <v>4.8</v>
      </c>
      <c r="W60" s="8">
        <v>0.82114367139339417</v>
      </c>
      <c r="X60" s="8">
        <v>5.7406171865515407</v>
      </c>
      <c r="Y60" s="8">
        <f t="shared" si="1"/>
        <v>-0.82853218459561262</v>
      </c>
    </row>
    <row r="61" spans="1:25" s="6" customFormat="1" x14ac:dyDescent="0.35">
      <c r="A61" s="6" t="s">
        <v>25</v>
      </c>
      <c r="B61" s="7"/>
      <c r="C61" s="6">
        <v>510489</v>
      </c>
      <c r="D61" s="6" t="s">
        <v>380</v>
      </c>
      <c r="E61" s="6">
        <v>1</v>
      </c>
      <c r="F61" s="6">
        <v>7</v>
      </c>
      <c r="G61" s="6" t="s">
        <v>210</v>
      </c>
      <c r="H61" s="6">
        <v>10</v>
      </c>
      <c r="I61" s="8">
        <v>85.915187361111094</v>
      </c>
      <c r="J61" s="8">
        <v>116.660135</v>
      </c>
      <c r="K61" s="6" t="s">
        <v>29</v>
      </c>
      <c r="L61" s="6" t="s">
        <v>546</v>
      </c>
      <c r="M61" s="9">
        <v>43780</v>
      </c>
      <c r="O61" s="6">
        <v>7</v>
      </c>
      <c r="P61" s="6" t="s">
        <v>4259</v>
      </c>
      <c r="R61" s="6" t="s">
        <v>64</v>
      </c>
      <c r="S61" s="6">
        <v>0</v>
      </c>
      <c r="T61" s="6">
        <v>10</v>
      </c>
      <c r="U61" s="10">
        <f t="shared" si="0"/>
        <v>5</v>
      </c>
      <c r="V61" s="6">
        <v>0</v>
      </c>
      <c r="W61" s="8">
        <v>-4.1303396472930904</v>
      </c>
      <c r="X61" s="8">
        <v>-31.478965110778809</v>
      </c>
      <c r="Y61" s="8">
        <f t="shared" si="1"/>
        <v>1.5637520675659147</v>
      </c>
    </row>
    <row r="62" spans="1:25" s="6" customFormat="1" x14ac:dyDescent="0.35">
      <c r="A62" s="6" t="s">
        <v>25</v>
      </c>
      <c r="B62" s="7"/>
      <c r="C62" s="6">
        <v>510490</v>
      </c>
      <c r="D62" s="6" t="s">
        <v>380</v>
      </c>
      <c r="E62" s="6">
        <v>1</v>
      </c>
      <c r="F62" s="6">
        <v>7</v>
      </c>
      <c r="G62" s="6" t="s">
        <v>210</v>
      </c>
      <c r="H62" s="6">
        <v>10</v>
      </c>
      <c r="I62" s="8">
        <v>85.915187361111094</v>
      </c>
      <c r="J62" s="8">
        <v>116.660135</v>
      </c>
      <c r="K62" s="6" t="s">
        <v>29</v>
      </c>
      <c r="L62" s="6" t="s">
        <v>546</v>
      </c>
      <c r="M62" s="9">
        <v>43780</v>
      </c>
      <c r="O62" s="6">
        <v>7</v>
      </c>
      <c r="P62" s="6" t="s">
        <v>4259</v>
      </c>
      <c r="R62" s="6" t="s">
        <v>109</v>
      </c>
      <c r="S62" s="6">
        <v>10</v>
      </c>
      <c r="T62" s="6">
        <v>20</v>
      </c>
      <c r="U62" s="10">
        <f t="shared" si="0"/>
        <v>15</v>
      </c>
      <c r="V62" s="6">
        <v>0.6</v>
      </c>
      <c r="W62" s="8">
        <v>-3.3139920587539673</v>
      </c>
      <c r="X62" s="8">
        <v>-25.366929779052732</v>
      </c>
      <c r="Y62" s="8">
        <f t="shared" si="1"/>
        <v>1.145006690979006</v>
      </c>
    </row>
    <row r="63" spans="1:25" s="6" customFormat="1" x14ac:dyDescent="0.35">
      <c r="A63" s="6" t="s">
        <v>25</v>
      </c>
      <c r="B63" s="7"/>
      <c r="C63" s="6">
        <v>510491</v>
      </c>
      <c r="D63" s="6" t="s">
        <v>380</v>
      </c>
      <c r="E63" s="6">
        <v>1</v>
      </c>
      <c r="F63" s="6">
        <v>7</v>
      </c>
      <c r="G63" s="6" t="s">
        <v>210</v>
      </c>
      <c r="H63" s="6">
        <v>10</v>
      </c>
      <c r="I63" s="8">
        <v>85.915187361111094</v>
      </c>
      <c r="J63" s="8">
        <v>116.660135</v>
      </c>
      <c r="K63" s="6" t="s">
        <v>29</v>
      </c>
      <c r="L63" s="6" t="s">
        <v>546</v>
      </c>
      <c r="M63" s="9">
        <v>43780</v>
      </c>
      <c r="O63" s="6">
        <v>7</v>
      </c>
      <c r="P63" s="6" t="s">
        <v>4259</v>
      </c>
      <c r="R63" s="6" t="s">
        <v>381</v>
      </c>
      <c r="S63" s="6">
        <v>20</v>
      </c>
      <c r="T63" s="6">
        <v>32.5</v>
      </c>
      <c r="U63" s="10">
        <f t="shared" si="0"/>
        <v>26.25</v>
      </c>
      <c r="V63" s="6">
        <v>1.4</v>
      </c>
      <c r="W63" s="8">
        <v>-3.4253467140197755</v>
      </c>
      <c r="X63" s="8">
        <v>-26.034110050201416</v>
      </c>
      <c r="Y63" s="8">
        <f t="shared" si="1"/>
        <v>1.3686636619567878</v>
      </c>
    </row>
    <row r="64" spans="1:25" s="6" customFormat="1" x14ac:dyDescent="0.35">
      <c r="A64" s="6" t="s">
        <v>25</v>
      </c>
      <c r="B64" s="7"/>
      <c r="C64" s="6">
        <v>510492</v>
      </c>
      <c r="D64" s="6" t="s">
        <v>380</v>
      </c>
      <c r="E64" s="6">
        <v>1</v>
      </c>
      <c r="F64" s="6">
        <v>7</v>
      </c>
      <c r="G64" s="6" t="s">
        <v>210</v>
      </c>
      <c r="H64" s="6">
        <v>10</v>
      </c>
      <c r="I64" s="8">
        <v>85.915187361111094</v>
      </c>
      <c r="J64" s="8">
        <v>116.660135</v>
      </c>
      <c r="K64" s="6" t="s">
        <v>29</v>
      </c>
      <c r="L64" s="6" t="s">
        <v>546</v>
      </c>
      <c r="M64" s="9">
        <v>43780</v>
      </c>
      <c r="O64" s="6">
        <v>7</v>
      </c>
      <c r="P64" s="6" t="s">
        <v>4259</v>
      </c>
      <c r="R64" s="6" t="s">
        <v>382</v>
      </c>
      <c r="S64" s="6">
        <v>32.5</v>
      </c>
      <c r="T64" s="6">
        <v>45.5</v>
      </c>
      <c r="U64" s="10">
        <f t="shared" si="0"/>
        <v>39</v>
      </c>
      <c r="V64" s="6">
        <v>2.1</v>
      </c>
      <c r="W64" s="8">
        <v>-3.1219416046142578</v>
      </c>
      <c r="X64" s="8">
        <v>-23.755642051696778</v>
      </c>
      <c r="Y64" s="8">
        <f t="shared" si="1"/>
        <v>1.2198907852172844</v>
      </c>
    </row>
    <row r="65" spans="1:25" s="6" customFormat="1" x14ac:dyDescent="0.35">
      <c r="A65" s="6" t="s">
        <v>25</v>
      </c>
      <c r="B65" s="7"/>
      <c r="C65" s="6">
        <v>510493</v>
      </c>
      <c r="D65" s="6" t="s">
        <v>380</v>
      </c>
      <c r="E65" s="6">
        <v>1</v>
      </c>
      <c r="F65" s="6">
        <v>7</v>
      </c>
      <c r="G65" s="6" t="s">
        <v>210</v>
      </c>
      <c r="H65" s="6">
        <v>10</v>
      </c>
      <c r="I65" s="8">
        <v>85.915187361111094</v>
      </c>
      <c r="J65" s="8">
        <v>116.660135</v>
      </c>
      <c r="K65" s="6" t="s">
        <v>29</v>
      </c>
      <c r="L65" s="6" t="s">
        <v>546</v>
      </c>
      <c r="M65" s="9">
        <v>43780</v>
      </c>
      <c r="O65" s="6">
        <v>7</v>
      </c>
      <c r="P65" s="6" t="s">
        <v>4259</v>
      </c>
      <c r="R65" s="6" t="s">
        <v>383</v>
      </c>
      <c r="S65" s="6">
        <v>45.5</v>
      </c>
      <c r="T65" s="6">
        <v>55.5</v>
      </c>
      <c r="U65" s="10">
        <f t="shared" si="0"/>
        <v>50.5</v>
      </c>
      <c r="V65" s="6">
        <v>1.3</v>
      </c>
      <c r="W65" s="8">
        <v>-2.9770132112503052</v>
      </c>
      <c r="X65" s="8">
        <v>-22.603611640930179</v>
      </c>
      <c r="Y65" s="8">
        <f t="shared" si="1"/>
        <v>1.2124940490722622</v>
      </c>
    </row>
    <row r="66" spans="1:25" s="6" customFormat="1" x14ac:dyDescent="0.35">
      <c r="A66" s="6" t="s">
        <v>25</v>
      </c>
      <c r="B66" s="7"/>
      <c r="C66" s="6">
        <v>510494</v>
      </c>
      <c r="D66" s="6" t="s">
        <v>380</v>
      </c>
      <c r="E66" s="6">
        <v>1</v>
      </c>
      <c r="F66" s="6">
        <v>7</v>
      </c>
      <c r="G66" s="6" t="s">
        <v>210</v>
      </c>
      <c r="H66" s="6">
        <v>10</v>
      </c>
      <c r="I66" s="8">
        <v>85.915187361111094</v>
      </c>
      <c r="J66" s="8">
        <v>116.660135</v>
      </c>
      <c r="K66" s="6" t="s">
        <v>29</v>
      </c>
      <c r="L66" s="6" t="s">
        <v>546</v>
      </c>
      <c r="M66" s="9">
        <v>43780</v>
      </c>
      <c r="O66" s="6">
        <v>7</v>
      </c>
      <c r="P66" s="6" t="s">
        <v>4259</v>
      </c>
      <c r="R66" s="6" t="s">
        <v>384</v>
      </c>
      <c r="S66" s="6">
        <v>55.5</v>
      </c>
      <c r="T66" s="6">
        <v>65.5</v>
      </c>
      <c r="U66" s="10">
        <f t="shared" ref="U66:U129" si="2">AVERAGE(S66:T66)</f>
        <v>60.5</v>
      </c>
      <c r="V66" s="6">
        <v>1.9</v>
      </c>
      <c r="W66" s="8">
        <v>-4.2042965235710152</v>
      </c>
      <c r="X66" s="8">
        <v>-32.152200041198732</v>
      </c>
      <c r="Y66" s="8">
        <f t="shared" ref="Y66:Y129" si="3">X66-(8*W66)</f>
        <v>1.4821721473693898</v>
      </c>
    </row>
    <row r="67" spans="1:25" s="6" customFormat="1" x14ac:dyDescent="0.35">
      <c r="A67" s="6" t="s">
        <v>25</v>
      </c>
      <c r="B67" s="7"/>
      <c r="C67" s="6">
        <v>510495</v>
      </c>
      <c r="D67" s="6" t="s">
        <v>380</v>
      </c>
      <c r="E67" s="6">
        <v>1</v>
      </c>
      <c r="F67" s="6">
        <v>7</v>
      </c>
      <c r="G67" s="6" t="s">
        <v>210</v>
      </c>
      <c r="H67" s="6">
        <v>10</v>
      </c>
      <c r="I67" s="8">
        <v>85.915187361111094</v>
      </c>
      <c r="J67" s="8">
        <v>116.660135</v>
      </c>
      <c r="K67" s="6" t="s">
        <v>29</v>
      </c>
      <c r="L67" s="6" t="s">
        <v>546</v>
      </c>
      <c r="M67" s="9">
        <v>43780</v>
      </c>
      <c r="O67" s="6">
        <v>7</v>
      </c>
      <c r="P67" s="6" t="s">
        <v>4259</v>
      </c>
      <c r="R67" s="6" t="s">
        <v>385</v>
      </c>
      <c r="S67" s="6">
        <v>65.5</v>
      </c>
      <c r="T67" s="6">
        <v>74.5</v>
      </c>
      <c r="U67" s="10">
        <f t="shared" si="2"/>
        <v>70</v>
      </c>
      <c r="V67" s="6">
        <v>4.7</v>
      </c>
      <c r="W67" s="8">
        <v>-0.83882532777786245</v>
      </c>
      <c r="X67" s="8">
        <v>-5.0943775018930433</v>
      </c>
      <c r="Y67" s="8">
        <f t="shared" si="3"/>
        <v>1.6162251203298563</v>
      </c>
    </row>
    <row r="68" spans="1:25" s="6" customFormat="1" x14ac:dyDescent="0.35">
      <c r="A68" s="6" t="s">
        <v>25</v>
      </c>
      <c r="B68" s="7"/>
      <c r="C68" s="6">
        <v>510496</v>
      </c>
      <c r="D68" s="6" t="s">
        <v>380</v>
      </c>
      <c r="E68" s="6">
        <v>1</v>
      </c>
      <c r="F68" s="6">
        <v>7</v>
      </c>
      <c r="G68" s="6" t="s">
        <v>210</v>
      </c>
      <c r="H68" s="6">
        <v>10</v>
      </c>
      <c r="I68" s="8">
        <v>85.915187361111094</v>
      </c>
      <c r="J68" s="8">
        <v>116.660135</v>
      </c>
      <c r="K68" s="6" t="s">
        <v>29</v>
      </c>
      <c r="L68" s="6" t="s">
        <v>546</v>
      </c>
      <c r="M68" s="9">
        <v>43780</v>
      </c>
      <c r="O68" s="6">
        <v>7</v>
      </c>
      <c r="P68" s="6" t="s">
        <v>4259</v>
      </c>
      <c r="R68" s="6" t="s">
        <v>386</v>
      </c>
      <c r="S68" s="6">
        <v>74.5</v>
      </c>
      <c r="T68" s="6">
        <v>83.5</v>
      </c>
      <c r="U68" s="10">
        <f t="shared" si="2"/>
        <v>79</v>
      </c>
      <c r="V68" s="6">
        <v>6.6</v>
      </c>
      <c r="W68" s="8">
        <v>0.74339151892662092</v>
      </c>
      <c r="X68" s="8">
        <v>6.7826061441421501</v>
      </c>
      <c r="Y68" s="8">
        <f t="shared" si="3"/>
        <v>0.83547399272918277</v>
      </c>
    </row>
    <row r="69" spans="1:25" s="6" customFormat="1" x14ac:dyDescent="0.35">
      <c r="A69" s="6" t="s">
        <v>25</v>
      </c>
      <c r="B69" s="7"/>
      <c r="C69" s="6">
        <v>511731</v>
      </c>
      <c r="D69" s="6" t="s">
        <v>541</v>
      </c>
      <c r="E69" s="6">
        <v>1</v>
      </c>
      <c r="F69" s="6">
        <v>8</v>
      </c>
      <c r="G69" s="6" t="s">
        <v>272</v>
      </c>
      <c r="H69" s="6">
        <v>7</v>
      </c>
      <c r="I69" s="8">
        <v>85.759181597222195</v>
      </c>
      <c r="J69" s="8">
        <v>121.429430833333</v>
      </c>
      <c r="K69" s="6" t="s">
        <v>29</v>
      </c>
      <c r="L69" s="6" t="s">
        <v>546</v>
      </c>
      <c r="M69" s="9">
        <v>43789</v>
      </c>
      <c r="O69" s="6">
        <v>8</v>
      </c>
      <c r="P69" s="6" t="s">
        <v>4265</v>
      </c>
      <c r="R69" s="6" t="s">
        <v>64</v>
      </c>
      <c r="S69" s="6">
        <v>0</v>
      </c>
      <c r="T69" s="6">
        <v>10</v>
      </c>
      <c r="U69" s="10">
        <f t="shared" si="2"/>
        <v>5</v>
      </c>
      <c r="V69" s="6">
        <v>0.6</v>
      </c>
      <c r="W69" s="8">
        <v>-8.5044886917114262</v>
      </c>
      <c r="X69" s="8">
        <v>-65.976621899414056</v>
      </c>
      <c r="Y69" s="8">
        <f t="shared" si="3"/>
        <v>2.0592876342773536</v>
      </c>
    </row>
    <row r="70" spans="1:25" s="6" customFormat="1" x14ac:dyDescent="0.35">
      <c r="A70" s="6" t="s">
        <v>25</v>
      </c>
      <c r="B70" s="7" t="s">
        <v>533</v>
      </c>
      <c r="C70" s="6">
        <v>511739</v>
      </c>
      <c r="D70" s="6" t="s">
        <v>534</v>
      </c>
      <c r="E70" s="6">
        <v>1</v>
      </c>
      <c r="F70" s="6">
        <v>8</v>
      </c>
      <c r="G70" s="6" t="s">
        <v>272</v>
      </c>
      <c r="I70" s="8">
        <v>85.759181597222195</v>
      </c>
      <c r="J70" s="8">
        <v>121.429430833333</v>
      </c>
      <c r="K70" s="6" t="s">
        <v>29</v>
      </c>
      <c r="L70" s="6" t="s">
        <v>546</v>
      </c>
      <c r="M70" s="9">
        <v>43789</v>
      </c>
      <c r="O70" s="6">
        <v>8</v>
      </c>
      <c r="P70" s="6" t="s">
        <v>4265</v>
      </c>
      <c r="Q70" s="8">
        <v>-4.1333333333333337</v>
      </c>
      <c r="R70" s="10" t="s">
        <v>73</v>
      </c>
      <c r="S70" s="10">
        <v>0</v>
      </c>
      <c r="T70" s="10">
        <v>12</v>
      </c>
      <c r="U70" s="10">
        <f t="shared" si="2"/>
        <v>6</v>
      </c>
      <c r="V70" s="6">
        <v>0.9</v>
      </c>
      <c r="W70" s="8">
        <v>-10.294303627014161</v>
      </c>
      <c r="X70" s="8">
        <v>-79.547774456024172</v>
      </c>
      <c r="Y70" s="8">
        <f t="shared" si="3"/>
        <v>2.8066545600891146</v>
      </c>
    </row>
    <row r="71" spans="1:25" s="6" customFormat="1" x14ac:dyDescent="0.35">
      <c r="A71" s="6" t="s">
        <v>25</v>
      </c>
      <c r="B71" s="7"/>
      <c r="C71" s="6">
        <v>511732</v>
      </c>
      <c r="D71" s="6" t="s">
        <v>541</v>
      </c>
      <c r="E71" s="6">
        <v>1</v>
      </c>
      <c r="F71" s="6">
        <v>8</v>
      </c>
      <c r="G71" s="6" t="s">
        <v>272</v>
      </c>
      <c r="H71" s="6">
        <v>7</v>
      </c>
      <c r="I71" s="8">
        <v>85.759181597222195</v>
      </c>
      <c r="J71" s="8">
        <v>121.429430833333</v>
      </c>
      <c r="K71" s="6" t="s">
        <v>29</v>
      </c>
      <c r="L71" s="6" t="s">
        <v>546</v>
      </c>
      <c r="M71" s="9">
        <v>43789</v>
      </c>
      <c r="O71" s="6">
        <v>8</v>
      </c>
      <c r="P71" s="6" t="s">
        <v>4265</v>
      </c>
      <c r="R71" s="6" t="s">
        <v>109</v>
      </c>
      <c r="S71" s="6">
        <v>10</v>
      </c>
      <c r="T71" s="6">
        <v>20</v>
      </c>
      <c r="U71" s="10">
        <f t="shared" si="2"/>
        <v>15</v>
      </c>
      <c r="V71" s="6">
        <v>0.2</v>
      </c>
      <c r="W71" s="8">
        <v>-3.716192922019959</v>
      </c>
      <c r="X71" s="8">
        <v>-29.22277873878479</v>
      </c>
      <c r="Y71" s="8">
        <f t="shared" si="3"/>
        <v>0.5067646373748822</v>
      </c>
    </row>
    <row r="72" spans="1:25" s="6" customFormat="1" x14ac:dyDescent="0.35">
      <c r="A72" s="6" t="s">
        <v>25</v>
      </c>
      <c r="B72" s="7" t="s">
        <v>530</v>
      </c>
      <c r="C72" s="6">
        <v>511740</v>
      </c>
      <c r="D72" s="6" t="s">
        <v>531</v>
      </c>
      <c r="E72" s="6">
        <v>1</v>
      </c>
      <c r="F72" s="6">
        <v>8</v>
      </c>
      <c r="G72" s="6" t="s">
        <v>272</v>
      </c>
      <c r="I72" s="8">
        <v>85.759181597222195</v>
      </c>
      <c r="J72" s="8">
        <v>121.429430833333</v>
      </c>
      <c r="K72" s="6" t="s">
        <v>29</v>
      </c>
      <c r="L72" s="6" t="s">
        <v>546</v>
      </c>
      <c r="M72" s="9">
        <v>43789</v>
      </c>
      <c r="O72" s="6">
        <v>8</v>
      </c>
      <c r="P72" s="6" t="s">
        <v>4265</v>
      </c>
      <c r="Q72" s="8">
        <v>-4.5999999999999996</v>
      </c>
      <c r="R72" s="10" t="s">
        <v>532</v>
      </c>
      <c r="S72" s="10">
        <v>12</v>
      </c>
      <c r="T72" s="10">
        <v>22</v>
      </c>
      <c r="U72" s="10">
        <f t="shared" si="2"/>
        <v>17</v>
      </c>
      <c r="V72" s="6">
        <v>0.2</v>
      </c>
      <c r="W72" s="8">
        <v>-8.5169632654190064</v>
      </c>
      <c r="X72" s="8">
        <v>-63.312075901031491</v>
      </c>
      <c r="Y72" s="8">
        <f t="shared" si="3"/>
        <v>4.8236302223205598</v>
      </c>
    </row>
    <row r="73" spans="1:25" s="6" customFormat="1" x14ac:dyDescent="0.35">
      <c r="A73" s="6" t="s">
        <v>25</v>
      </c>
      <c r="B73" s="7"/>
      <c r="C73" s="6">
        <v>511733</v>
      </c>
      <c r="D73" s="6" t="s">
        <v>541</v>
      </c>
      <c r="E73" s="6">
        <v>1</v>
      </c>
      <c r="F73" s="6">
        <v>8</v>
      </c>
      <c r="G73" s="6" t="s">
        <v>272</v>
      </c>
      <c r="H73" s="6">
        <v>7</v>
      </c>
      <c r="I73" s="8">
        <v>85.759181597222195</v>
      </c>
      <c r="J73" s="8">
        <v>121.429430833333</v>
      </c>
      <c r="K73" s="6" t="s">
        <v>29</v>
      </c>
      <c r="L73" s="6" t="s">
        <v>546</v>
      </c>
      <c r="M73" s="9">
        <v>43789</v>
      </c>
      <c r="O73" s="6">
        <v>8</v>
      </c>
      <c r="P73" s="6" t="s">
        <v>4265</v>
      </c>
      <c r="R73" s="6" t="s">
        <v>542</v>
      </c>
      <c r="S73" s="6">
        <v>20</v>
      </c>
      <c r="T73" s="6">
        <v>29</v>
      </c>
      <c r="U73" s="10">
        <f t="shared" si="2"/>
        <v>24.5</v>
      </c>
      <c r="V73" s="6">
        <v>0.5</v>
      </c>
      <c r="W73" s="8">
        <v>-5.0834542774677285</v>
      </c>
      <c r="X73" s="8">
        <v>-38.44756481552124</v>
      </c>
      <c r="Y73" s="8">
        <f t="shared" si="3"/>
        <v>2.2200694042205882</v>
      </c>
    </row>
    <row r="74" spans="1:25" s="6" customFormat="1" x14ac:dyDescent="0.35">
      <c r="A74" s="6" t="s">
        <v>25</v>
      </c>
      <c r="B74" s="7" t="s">
        <v>524</v>
      </c>
      <c r="C74" s="6">
        <v>511741</v>
      </c>
      <c r="D74" s="6" t="s">
        <v>525</v>
      </c>
      <c r="E74" s="6">
        <v>1</v>
      </c>
      <c r="F74" s="6">
        <v>8</v>
      </c>
      <c r="G74" s="6" t="s">
        <v>272</v>
      </c>
      <c r="I74" s="8">
        <v>85.759181597222195</v>
      </c>
      <c r="J74" s="8">
        <v>121.429430833333</v>
      </c>
      <c r="K74" s="6" t="s">
        <v>29</v>
      </c>
      <c r="L74" s="6" t="s">
        <v>546</v>
      </c>
      <c r="M74" s="9">
        <v>43789</v>
      </c>
      <c r="O74" s="6">
        <v>8</v>
      </c>
      <c r="P74" s="6" t="s">
        <v>4265</v>
      </c>
      <c r="Q74" s="8">
        <v>-3.5</v>
      </c>
      <c r="R74" s="10" t="s">
        <v>526</v>
      </c>
      <c r="S74" s="10">
        <v>22</v>
      </c>
      <c r="T74" s="10">
        <v>32</v>
      </c>
      <c r="U74" s="10">
        <f t="shared" si="2"/>
        <v>27</v>
      </c>
      <c r="V74" s="6">
        <v>0.1</v>
      </c>
      <c r="W74" s="8">
        <v>-7.5617114118576048</v>
      </c>
      <c r="X74" s="8">
        <v>-58.084247634887696</v>
      </c>
      <c r="Y74" s="8">
        <f t="shared" si="3"/>
        <v>2.4094436599731424</v>
      </c>
    </row>
    <row r="75" spans="1:25" s="6" customFormat="1" x14ac:dyDescent="0.35">
      <c r="A75" s="6" t="s">
        <v>25</v>
      </c>
      <c r="B75" s="7"/>
      <c r="C75" s="6">
        <v>511734</v>
      </c>
      <c r="D75" s="6" t="s">
        <v>541</v>
      </c>
      <c r="E75" s="6">
        <v>1</v>
      </c>
      <c r="F75" s="6">
        <v>8</v>
      </c>
      <c r="G75" s="6" t="s">
        <v>272</v>
      </c>
      <c r="H75" s="6">
        <v>7</v>
      </c>
      <c r="I75" s="8">
        <v>85.759181597222195</v>
      </c>
      <c r="J75" s="8">
        <v>121.429430833333</v>
      </c>
      <c r="K75" s="6" t="s">
        <v>29</v>
      </c>
      <c r="L75" s="6" t="s">
        <v>546</v>
      </c>
      <c r="M75" s="9">
        <v>43789</v>
      </c>
      <c r="O75" s="6">
        <v>8</v>
      </c>
      <c r="P75" s="6" t="s">
        <v>4265</v>
      </c>
      <c r="R75" s="6" t="s">
        <v>543</v>
      </c>
      <c r="S75" s="6">
        <v>29</v>
      </c>
      <c r="T75" s="6">
        <v>40</v>
      </c>
      <c r="U75" s="10">
        <f t="shared" si="2"/>
        <v>34.5</v>
      </c>
      <c r="V75" s="6">
        <v>1.1000000000000001</v>
      </c>
      <c r="W75" s="8">
        <v>-5.3702387423038491</v>
      </c>
      <c r="X75" s="8">
        <v>-39.748929430007934</v>
      </c>
      <c r="Y75" s="8">
        <f t="shared" si="3"/>
        <v>3.2129805084228593</v>
      </c>
    </row>
    <row r="76" spans="1:25" s="6" customFormat="1" x14ac:dyDescent="0.35">
      <c r="A76" s="6" t="s">
        <v>25</v>
      </c>
      <c r="B76" s="7" t="s">
        <v>521</v>
      </c>
      <c r="C76" s="6">
        <v>511742</v>
      </c>
      <c r="D76" s="6" t="s">
        <v>522</v>
      </c>
      <c r="E76" s="6">
        <v>1</v>
      </c>
      <c r="F76" s="6">
        <v>8</v>
      </c>
      <c r="G76" s="6" t="s">
        <v>272</v>
      </c>
      <c r="I76" s="8">
        <v>85.759181597222195</v>
      </c>
      <c r="J76" s="8">
        <v>121.429430833333</v>
      </c>
      <c r="K76" s="6" t="s">
        <v>29</v>
      </c>
      <c r="L76" s="6" t="s">
        <v>546</v>
      </c>
      <c r="M76" s="9">
        <v>43789</v>
      </c>
      <c r="O76" s="6">
        <v>8</v>
      </c>
      <c r="P76" s="6" t="s">
        <v>4265</v>
      </c>
      <c r="Q76" s="8">
        <v>-2.65</v>
      </c>
      <c r="R76" s="10" t="s">
        <v>523</v>
      </c>
      <c r="S76" s="10">
        <v>32</v>
      </c>
      <c r="T76" s="10">
        <v>42</v>
      </c>
      <c r="U76" s="10">
        <f t="shared" si="2"/>
        <v>37</v>
      </c>
      <c r="V76" s="6">
        <v>0.1</v>
      </c>
      <c r="W76" s="8">
        <v>-7.7442740628242497</v>
      </c>
      <c r="X76" s="8">
        <v>-59.422231876373289</v>
      </c>
      <c r="Y76" s="8">
        <f t="shared" si="3"/>
        <v>2.5319606262207088</v>
      </c>
    </row>
    <row r="77" spans="1:25" s="6" customFormat="1" x14ac:dyDescent="0.35">
      <c r="A77" s="6" t="s">
        <v>25</v>
      </c>
      <c r="B77" s="7"/>
      <c r="C77" s="6">
        <v>511735</v>
      </c>
      <c r="D77" s="6" t="s">
        <v>541</v>
      </c>
      <c r="E77" s="6">
        <v>1</v>
      </c>
      <c r="F77" s="6">
        <v>8</v>
      </c>
      <c r="G77" s="6" t="s">
        <v>272</v>
      </c>
      <c r="H77" s="6">
        <v>7</v>
      </c>
      <c r="I77" s="8">
        <v>85.759181597222195</v>
      </c>
      <c r="J77" s="8">
        <v>121.429430833333</v>
      </c>
      <c r="K77" s="6" t="s">
        <v>29</v>
      </c>
      <c r="L77" s="6" t="s">
        <v>546</v>
      </c>
      <c r="M77" s="9">
        <v>43789</v>
      </c>
      <c r="O77" s="6">
        <v>8</v>
      </c>
      <c r="P77" s="6" t="s">
        <v>4265</v>
      </c>
      <c r="R77" s="6" t="s">
        <v>159</v>
      </c>
      <c r="S77" s="6">
        <v>40</v>
      </c>
      <c r="T77" s="6">
        <v>50</v>
      </c>
      <c r="U77" s="10">
        <f t="shared" si="2"/>
        <v>45</v>
      </c>
      <c r="V77" s="6">
        <v>1.9</v>
      </c>
      <c r="W77" s="8">
        <v>-3.80087574095726</v>
      </c>
      <c r="X77" s="8">
        <v>-28.41981415081024</v>
      </c>
      <c r="Y77" s="8">
        <f t="shared" si="3"/>
        <v>1.9871917768478404</v>
      </c>
    </row>
    <row r="78" spans="1:25" s="6" customFormat="1" x14ac:dyDescent="0.35">
      <c r="A78" s="6" t="s">
        <v>25</v>
      </c>
      <c r="B78" s="7" t="s">
        <v>538</v>
      </c>
      <c r="C78" s="6">
        <v>511743</v>
      </c>
      <c r="D78" s="6" t="s">
        <v>539</v>
      </c>
      <c r="E78" s="6">
        <v>1</v>
      </c>
      <c r="F78" s="6">
        <v>8</v>
      </c>
      <c r="G78" s="6" t="s">
        <v>272</v>
      </c>
      <c r="I78" s="8">
        <v>85.759181597222195</v>
      </c>
      <c r="J78" s="8">
        <v>121.429430833333</v>
      </c>
      <c r="K78" s="6" t="s">
        <v>29</v>
      </c>
      <c r="L78" s="6" t="s">
        <v>546</v>
      </c>
      <c r="M78" s="9">
        <v>43789</v>
      </c>
      <c r="O78" s="6">
        <v>8</v>
      </c>
      <c r="P78" s="6" t="s">
        <v>4265</v>
      </c>
      <c r="Q78" s="8">
        <v>-2.2000000000000002</v>
      </c>
      <c r="R78" s="10" t="s">
        <v>540</v>
      </c>
      <c r="S78" s="10">
        <v>42</v>
      </c>
      <c r="T78" s="10">
        <v>52</v>
      </c>
      <c r="U78" s="10">
        <f t="shared" si="2"/>
        <v>47</v>
      </c>
      <c r="V78" s="6">
        <v>0</v>
      </c>
      <c r="W78" s="8">
        <v>-4.4310695865154273</v>
      </c>
      <c r="X78" s="8">
        <v>-35.388180980682371</v>
      </c>
      <c r="Y78" s="8">
        <f t="shared" si="3"/>
        <v>6.0375711441047031E-2</v>
      </c>
    </row>
    <row r="79" spans="1:25" s="6" customFormat="1" x14ac:dyDescent="0.35">
      <c r="A79" s="6" t="s">
        <v>25</v>
      </c>
      <c r="B79" s="7"/>
      <c r="C79" s="6">
        <v>511736</v>
      </c>
      <c r="D79" s="6" t="s">
        <v>541</v>
      </c>
      <c r="E79" s="6">
        <v>1</v>
      </c>
      <c r="F79" s="6">
        <v>8</v>
      </c>
      <c r="G79" s="6" t="s">
        <v>272</v>
      </c>
      <c r="H79" s="6">
        <v>7</v>
      </c>
      <c r="I79" s="8">
        <v>85.759181597222195</v>
      </c>
      <c r="J79" s="8">
        <v>121.429430833333</v>
      </c>
      <c r="K79" s="6" t="s">
        <v>29</v>
      </c>
      <c r="L79" s="6" t="s">
        <v>546</v>
      </c>
      <c r="M79" s="9">
        <v>43789</v>
      </c>
      <c r="O79" s="6">
        <v>8</v>
      </c>
      <c r="P79" s="6" t="s">
        <v>4265</v>
      </c>
      <c r="R79" s="6" t="s">
        <v>161</v>
      </c>
      <c r="S79" s="6">
        <v>50</v>
      </c>
      <c r="T79" s="6">
        <v>60</v>
      </c>
      <c r="U79" s="10">
        <f t="shared" si="2"/>
        <v>55</v>
      </c>
      <c r="V79" s="6">
        <v>5.0999999999999996</v>
      </c>
      <c r="W79" s="8">
        <v>0.60958277349472079</v>
      </c>
      <c r="X79" s="8">
        <v>5.3585159301757832</v>
      </c>
      <c r="Y79" s="8">
        <f t="shared" si="3"/>
        <v>0.48185374221801691</v>
      </c>
    </row>
    <row r="80" spans="1:25" s="6" customFormat="1" x14ac:dyDescent="0.35">
      <c r="A80" s="6" t="s">
        <v>25</v>
      </c>
      <c r="B80" s="7" t="s">
        <v>527</v>
      </c>
      <c r="C80" s="6">
        <v>511744</v>
      </c>
      <c r="D80" s="6" t="s">
        <v>528</v>
      </c>
      <c r="E80" s="6">
        <v>1</v>
      </c>
      <c r="F80" s="6">
        <v>8</v>
      </c>
      <c r="G80" s="6" t="s">
        <v>272</v>
      </c>
      <c r="I80" s="8">
        <v>85.759181597222195</v>
      </c>
      <c r="J80" s="8">
        <v>121.429430833333</v>
      </c>
      <c r="K80" s="6" t="s">
        <v>29</v>
      </c>
      <c r="L80" s="6" t="s">
        <v>546</v>
      </c>
      <c r="M80" s="9">
        <v>43789</v>
      </c>
      <c r="O80" s="6">
        <v>8</v>
      </c>
      <c r="P80" s="6" t="s">
        <v>4265</v>
      </c>
      <c r="Q80" s="8">
        <v>-2.3499999999999996</v>
      </c>
      <c r="R80" s="10" t="s">
        <v>529</v>
      </c>
      <c r="S80" s="10">
        <v>52</v>
      </c>
      <c r="T80" s="10">
        <v>62</v>
      </c>
      <c r="U80" s="10">
        <f t="shared" si="2"/>
        <v>57</v>
      </c>
      <c r="V80" s="6">
        <v>0</v>
      </c>
      <c r="W80" s="8">
        <v>-5.4646301130294805</v>
      </c>
      <c r="X80" s="8">
        <v>-42.125679359436035</v>
      </c>
      <c r="Y80" s="8">
        <f t="shared" si="3"/>
        <v>1.5913615447998097</v>
      </c>
    </row>
    <row r="81" spans="1:25" s="6" customFormat="1" x14ac:dyDescent="0.35">
      <c r="A81" s="6" t="s">
        <v>25</v>
      </c>
      <c r="B81" s="7"/>
      <c r="C81" s="6">
        <v>511737</v>
      </c>
      <c r="D81" s="6" t="s">
        <v>541</v>
      </c>
      <c r="E81" s="6">
        <v>1</v>
      </c>
      <c r="F81" s="6">
        <v>8</v>
      </c>
      <c r="G81" s="6" t="s">
        <v>272</v>
      </c>
      <c r="H81" s="6">
        <v>7</v>
      </c>
      <c r="I81" s="8">
        <v>85.759181597222195</v>
      </c>
      <c r="J81" s="8">
        <v>121.429430833333</v>
      </c>
      <c r="K81" s="6" t="s">
        <v>29</v>
      </c>
      <c r="L81" s="6" t="s">
        <v>546</v>
      </c>
      <c r="M81" s="9">
        <v>43789</v>
      </c>
      <c r="O81" s="6">
        <v>8</v>
      </c>
      <c r="P81" s="6" t="s">
        <v>4265</v>
      </c>
      <c r="R81" s="6" t="s">
        <v>163</v>
      </c>
      <c r="S81" s="6">
        <v>60</v>
      </c>
      <c r="T81" s="6">
        <v>70</v>
      </c>
      <c r="U81" s="10">
        <f t="shared" si="2"/>
        <v>65</v>
      </c>
      <c r="V81" s="6">
        <v>4.5</v>
      </c>
      <c r="W81" s="8">
        <v>-0.65098000974655212</v>
      </c>
      <c r="X81" s="8">
        <v>-4.4572639168500903</v>
      </c>
      <c r="Y81" s="8">
        <f t="shared" si="3"/>
        <v>0.75057616112232672</v>
      </c>
    </row>
    <row r="82" spans="1:25" s="6" customFormat="1" x14ac:dyDescent="0.35">
      <c r="A82" s="6" t="s">
        <v>25</v>
      </c>
      <c r="B82" s="7" t="s">
        <v>535</v>
      </c>
      <c r="C82" s="6">
        <v>511745</v>
      </c>
      <c r="D82" s="6" t="s">
        <v>536</v>
      </c>
      <c r="E82" s="6">
        <v>1</v>
      </c>
      <c r="F82" s="6">
        <v>8</v>
      </c>
      <c r="G82" s="6" t="s">
        <v>272</v>
      </c>
      <c r="I82" s="8">
        <v>85.759181597222195</v>
      </c>
      <c r="J82" s="8">
        <v>121.429430833333</v>
      </c>
      <c r="K82" s="6" t="s">
        <v>29</v>
      </c>
      <c r="L82" s="6" t="s">
        <v>546</v>
      </c>
      <c r="M82" s="9">
        <v>43789</v>
      </c>
      <c r="O82" s="6">
        <v>8</v>
      </c>
      <c r="P82" s="6" t="s">
        <v>4265</v>
      </c>
      <c r="Q82" s="8">
        <v>-1.6333333333333335</v>
      </c>
      <c r="R82" s="10" t="s">
        <v>537</v>
      </c>
      <c r="S82" s="10">
        <v>62</v>
      </c>
      <c r="T82" s="10">
        <v>74</v>
      </c>
      <c r="U82" s="10">
        <f t="shared" si="2"/>
        <v>68</v>
      </c>
      <c r="V82" s="6">
        <v>0.1</v>
      </c>
      <c r="W82" s="8">
        <v>-7.4539993848800652</v>
      </c>
      <c r="X82" s="8">
        <v>-54.851127269744865</v>
      </c>
      <c r="Y82" s="8">
        <f t="shared" si="3"/>
        <v>4.7808678092956569</v>
      </c>
    </row>
    <row r="83" spans="1:25" s="6" customFormat="1" x14ac:dyDescent="0.35">
      <c r="A83" s="6" t="s">
        <v>25</v>
      </c>
      <c r="B83" s="7"/>
      <c r="C83" s="6">
        <v>511738</v>
      </c>
      <c r="D83" s="6" t="s">
        <v>541</v>
      </c>
      <c r="E83" s="6">
        <v>1</v>
      </c>
      <c r="F83" s="6">
        <v>8</v>
      </c>
      <c r="G83" s="6" t="s">
        <v>272</v>
      </c>
      <c r="H83" s="6">
        <v>7</v>
      </c>
      <c r="I83" s="8">
        <v>85.759181597222195</v>
      </c>
      <c r="J83" s="8">
        <v>121.429430833333</v>
      </c>
      <c r="K83" s="6" t="s">
        <v>29</v>
      </c>
      <c r="L83" s="6" t="s">
        <v>546</v>
      </c>
      <c r="M83" s="9">
        <v>43789</v>
      </c>
      <c r="O83" s="6">
        <v>8</v>
      </c>
      <c r="P83" s="6" t="s">
        <v>4265</v>
      </c>
      <c r="R83" s="6" t="s">
        <v>544</v>
      </c>
      <c r="S83" s="6">
        <v>70</v>
      </c>
      <c r="T83" s="6">
        <v>82</v>
      </c>
      <c r="U83" s="10">
        <f t="shared" si="2"/>
        <v>76</v>
      </c>
      <c r="V83" s="6">
        <v>5.7</v>
      </c>
      <c r="W83" s="8">
        <v>0.66162847309112605</v>
      </c>
      <c r="X83" s="8">
        <v>5.5158791427612304</v>
      </c>
      <c r="Y83" s="8">
        <f t="shared" si="3"/>
        <v>0.222851358032222</v>
      </c>
    </row>
    <row r="84" spans="1:25" s="6" customFormat="1" x14ac:dyDescent="0.35">
      <c r="A84" s="6" t="s">
        <v>25</v>
      </c>
      <c r="B84" s="7" t="s">
        <v>565</v>
      </c>
      <c r="C84" s="6">
        <v>511775</v>
      </c>
      <c r="D84" s="6" t="s">
        <v>566</v>
      </c>
      <c r="E84" s="6">
        <v>1</v>
      </c>
      <c r="F84" s="6">
        <v>8</v>
      </c>
      <c r="G84" s="6" t="s">
        <v>272</v>
      </c>
      <c r="I84" s="8">
        <v>85.754208888888897</v>
      </c>
      <c r="J84" s="8">
        <v>120.59057125</v>
      </c>
      <c r="K84" s="6" t="s">
        <v>29</v>
      </c>
      <c r="L84" s="6" t="s">
        <v>546</v>
      </c>
      <c r="M84" s="9">
        <v>43792</v>
      </c>
      <c r="O84" s="6">
        <v>8</v>
      </c>
      <c r="P84" s="6" t="s">
        <v>4268</v>
      </c>
      <c r="Q84" s="8">
        <v>-4.8250000000000002</v>
      </c>
      <c r="R84" s="10" t="s">
        <v>422</v>
      </c>
      <c r="S84" s="10">
        <v>0</v>
      </c>
      <c r="T84" s="10">
        <v>10</v>
      </c>
      <c r="U84" s="10">
        <f t="shared" si="2"/>
        <v>5</v>
      </c>
      <c r="V84" s="6">
        <v>0</v>
      </c>
      <c r="W84" s="8">
        <v>-8.487798881530761</v>
      </c>
      <c r="X84" s="8">
        <v>-64.646313354492193</v>
      </c>
      <c r="Y84" s="8">
        <f t="shared" si="3"/>
        <v>3.256077697753895</v>
      </c>
    </row>
    <row r="85" spans="1:25" s="6" customFormat="1" x14ac:dyDescent="0.35">
      <c r="A85" s="6" t="s">
        <v>25</v>
      </c>
      <c r="B85" s="7" t="s">
        <v>567</v>
      </c>
      <c r="C85" s="6">
        <v>511776</v>
      </c>
      <c r="D85" s="6" t="s">
        <v>568</v>
      </c>
      <c r="E85" s="6">
        <v>1</v>
      </c>
      <c r="F85" s="6">
        <v>8</v>
      </c>
      <c r="G85" s="6" t="s">
        <v>272</v>
      </c>
      <c r="I85" s="8">
        <v>85.754208888888897</v>
      </c>
      <c r="J85" s="8">
        <v>120.59057125</v>
      </c>
      <c r="K85" s="6" t="s">
        <v>29</v>
      </c>
      <c r="L85" s="6" t="s">
        <v>546</v>
      </c>
      <c r="M85" s="9">
        <v>43792</v>
      </c>
      <c r="O85" s="6">
        <v>8</v>
      </c>
      <c r="P85" s="6" t="s">
        <v>4268</v>
      </c>
      <c r="Q85" s="8">
        <v>-3.3333333333333335</v>
      </c>
      <c r="R85" s="10" t="s">
        <v>109</v>
      </c>
      <c r="S85" s="10">
        <v>10</v>
      </c>
      <c r="T85" s="10">
        <v>20</v>
      </c>
      <c r="U85" s="10">
        <f t="shared" si="2"/>
        <v>15</v>
      </c>
      <c r="V85" s="6">
        <v>0</v>
      </c>
      <c r="W85" s="8">
        <v>-7.7250368118286143</v>
      </c>
      <c r="X85" s="8">
        <v>-58.843904090881345</v>
      </c>
      <c r="Y85" s="8">
        <f t="shared" si="3"/>
        <v>2.9563904037475695</v>
      </c>
    </row>
    <row r="86" spans="1:25" s="6" customFormat="1" x14ac:dyDescent="0.35">
      <c r="A86" s="6" t="s">
        <v>25</v>
      </c>
      <c r="B86" s="7" t="s">
        <v>553</v>
      </c>
      <c r="C86" s="6">
        <v>511777</v>
      </c>
      <c r="D86" s="6" t="s">
        <v>554</v>
      </c>
      <c r="E86" s="6">
        <v>1</v>
      </c>
      <c r="F86" s="6">
        <v>8</v>
      </c>
      <c r="G86" s="6" t="s">
        <v>272</v>
      </c>
      <c r="I86" s="8">
        <v>85.754208888888897</v>
      </c>
      <c r="J86" s="8">
        <v>120.59057125</v>
      </c>
      <c r="K86" s="6" t="s">
        <v>29</v>
      </c>
      <c r="L86" s="6" t="s">
        <v>546</v>
      </c>
      <c r="M86" s="9">
        <v>43792</v>
      </c>
      <c r="O86" s="6">
        <v>8</v>
      </c>
      <c r="P86" s="6" t="s">
        <v>4268</v>
      </c>
      <c r="Q86" s="8">
        <v>-2.8333333333333335</v>
      </c>
      <c r="R86" s="10" t="s">
        <v>111</v>
      </c>
      <c r="S86" s="10">
        <v>20</v>
      </c>
      <c r="T86" s="10">
        <v>30</v>
      </c>
      <c r="U86" s="10">
        <f t="shared" si="2"/>
        <v>25</v>
      </c>
      <c r="V86" s="6" t="s">
        <v>555</v>
      </c>
      <c r="W86" s="8">
        <v>-6.8318292617797862</v>
      </c>
      <c r="X86" s="8">
        <v>-52.75497512054443</v>
      </c>
      <c r="Y86" s="8">
        <f t="shared" si="3"/>
        <v>1.8996589736938603</v>
      </c>
    </row>
    <row r="87" spans="1:25" s="6" customFormat="1" x14ac:dyDescent="0.35">
      <c r="A87" s="6" t="s">
        <v>25</v>
      </c>
      <c r="B87" s="7" t="s">
        <v>556</v>
      </c>
      <c r="C87" s="6">
        <v>511778</v>
      </c>
      <c r="D87" s="6" t="s">
        <v>557</v>
      </c>
      <c r="E87" s="6">
        <v>1</v>
      </c>
      <c r="F87" s="6">
        <v>8</v>
      </c>
      <c r="G87" s="6" t="s">
        <v>272</v>
      </c>
      <c r="I87" s="8">
        <v>85.754208888888897</v>
      </c>
      <c r="J87" s="8">
        <v>120.59057125</v>
      </c>
      <c r="K87" s="6" t="s">
        <v>29</v>
      </c>
      <c r="L87" s="6" t="s">
        <v>546</v>
      </c>
      <c r="M87" s="9">
        <v>43792</v>
      </c>
      <c r="O87" s="6">
        <v>8</v>
      </c>
      <c r="P87" s="6" t="s">
        <v>4268</v>
      </c>
      <c r="Q87" s="8">
        <v>-2.1666666666666665</v>
      </c>
      <c r="R87" s="10" t="s">
        <v>558</v>
      </c>
      <c r="S87" s="10">
        <v>30</v>
      </c>
      <c r="T87" s="10">
        <v>41.5</v>
      </c>
      <c r="U87" s="10">
        <f t="shared" si="2"/>
        <v>35.75</v>
      </c>
      <c r="V87" s="6">
        <v>0</v>
      </c>
      <c r="W87" s="8">
        <v>-7.1323143959045421</v>
      </c>
      <c r="X87" s="8">
        <v>-54.771659889221191</v>
      </c>
      <c r="Y87" s="8">
        <f t="shared" si="3"/>
        <v>2.2868552780151461</v>
      </c>
    </row>
    <row r="88" spans="1:25" s="6" customFormat="1" x14ac:dyDescent="0.35">
      <c r="A88" s="6" t="s">
        <v>25</v>
      </c>
      <c r="B88" s="7" t="s">
        <v>559</v>
      </c>
      <c r="C88" s="6">
        <v>511779</v>
      </c>
      <c r="D88" s="6" t="s">
        <v>560</v>
      </c>
      <c r="E88" s="6">
        <v>1</v>
      </c>
      <c r="F88" s="6">
        <v>8</v>
      </c>
      <c r="G88" s="6" t="s">
        <v>272</v>
      </c>
      <c r="I88" s="8">
        <v>85.754208888888897</v>
      </c>
      <c r="J88" s="8">
        <v>120.59057125</v>
      </c>
      <c r="K88" s="6" t="s">
        <v>29</v>
      </c>
      <c r="L88" s="6" t="s">
        <v>546</v>
      </c>
      <c r="M88" s="9">
        <v>43792</v>
      </c>
      <c r="O88" s="6">
        <v>8</v>
      </c>
      <c r="P88" s="6" t="s">
        <v>4268</v>
      </c>
      <c r="Q88" s="8">
        <v>-1.3666666666666665</v>
      </c>
      <c r="R88" s="10" t="s">
        <v>561</v>
      </c>
      <c r="S88" s="10">
        <v>41.5</v>
      </c>
      <c r="T88" s="10">
        <v>51.5</v>
      </c>
      <c r="U88" s="10">
        <f t="shared" si="2"/>
        <v>46.5</v>
      </c>
      <c r="V88" s="6">
        <v>0</v>
      </c>
      <c r="W88" s="8">
        <v>-5.2751872062683125</v>
      </c>
      <c r="X88" s="8">
        <v>-40.872490013122558</v>
      </c>
      <c r="Y88" s="8">
        <f t="shared" si="3"/>
        <v>1.3290076370239419</v>
      </c>
    </row>
    <row r="89" spans="1:25" s="6" customFormat="1" x14ac:dyDescent="0.35">
      <c r="A89" s="6" t="s">
        <v>25</v>
      </c>
      <c r="B89" s="7" t="s">
        <v>562</v>
      </c>
      <c r="C89" s="6">
        <v>511780</v>
      </c>
      <c r="D89" s="6" t="s">
        <v>563</v>
      </c>
      <c r="E89" s="6">
        <v>1</v>
      </c>
      <c r="F89" s="6">
        <v>8</v>
      </c>
      <c r="G89" s="6" t="s">
        <v>272</v>
      </c>
      <c r="I89" s="8">
        <v>85.754208888888897</v>
      </c>
      <c r="J89" s="8">
        <v>120.59057125</v>
      </c>
      <c r="K89" s="6" t="s">
        <v>29</v>
      </c>
      <c r="L89" s="6" t="s">
        <v>546</v>
      </c>
      <c r="M89" s="9">
        <v>43792</v>
      </c>
      <c r="O89" s="6">
        <v>8</v>
      </c>
      <c r="P89" s="6" t="s">
        <v>4268</v>
      </c>
      <c r="Q89" s="8">
        <v>-0.5</v>
      </c>
      <c r="R89" s="10" t="s">
        <v>564</v>
      </c>
      <c r="S89" s="10">
        <v>51.5</v>
      </c>
      <c r="T89" s="10">
        <v>60</v>
      </c>
      <c r="U89" s="10">
        <f t="shared" si="2"/>
        <v>55.75</v>
      </c>
      <c r="V89" s="6">
        <v>0</v>
      </c>
      <c r="W89" s="8">
        <v>-5.4678871154785158</v>
      </c>
      <c r="X89" s="8">
        <v>-42.221549057006833</v>
      </c>
      <c r="Y89" s="8">
        <f t="shared" si="3"/>
        <v>1.5215478668212938</v>
      </c>
    </row>
    <row r="90" spans="1:25" s="6" customFormat="1" x14ac:dyDescent="0.35">
      <c r="A90" s="6" t="s">
        <v>25</v>
      </c>
      <c r="B90" s="7" t="s">
        <v>550</v>
      </c>
      <c r="C90" s="6">
        <v>511781</v>
      </c>
      <c r="D90" s="6" t="s">
        <v>551</v>
      </c>
      <c r="E90" s="6">
        <v>1</v>
      </c>
      <c r="F90" s="6">
        <v>8</v>
      </c>
      <c r="G90" s="6" t="s">
        <v>272</v>
      </c>
      <c r="I90" s="8">
        <v>85.754208888888897</v>
      </c>
      <c r="J90" s="8">
        <v>120.59057125</v>
      </c>
      <c r="K90" s="6" t="s">
        <v>29</v>
      </c>
      <c r="L90" s="6" t="s">
        <v>546</v>
      </c>
      <c r="M90" s="9">
        <v>43792</v>
      </c>
      <c r="O90" s="6">
        <v>8</v>
      </c>
      <c r="P90" s="6" t="s">
        <v>4268</v>
      </c>
      <c r="Q90" s="8">
        <v>-0.5</v>
      </c>
      <c r="R90" s="10" t="s">
        <v>552</v>
      </c>
      <c r="S90" s="10">
        <v>60</v>
      </c>
      <c r="T90" s="10">
        <v>68.5</v>
      </c>
      <c r="U90" s="10">
        <f t="shared" si="2"/>
        <v>64.25</v>
      </c>
      <c r="V90" s="6">
        <v>0.1</v>
      </c>
      <c r="W90" s="8">
        <v>-7.469007682800294</v>
      </c>
      <c r="X90" s="8">
        <v>-55.94306320953369</v>
      </c>
      <c r="Y90" s="8">
        <f t="shared" si="3"/>
        <v>3.8089982528686619</v>
      </c>
    </row>
    <row r="91" spans="1:25" s="6" customFormat="1" x14ac:dyDescent="0.35">
      <c r="A91" s="6" t="s">
        <v>25</v>
      </c>
      <c r="B91" s="7" t="s">
        <v>619</v>
      </c>
      <c r="C91" s="6">
        <v>510725</v>
      </c>
      <c r="D91" s="6" t="s">
        <v>620</v>
      </c>
      <c r="E91" s="6">
        <v>1</v>
      </c>
      <c r="F91" s="6">
        <v>9</v>
      </c>
      <c r="G91" s="6" t="s">
        <v>210</v>
      </c>
      <c r="I91" s="8">
        <v>86.047909722222201</v>
      </c>
      <c r="J91" s="8">
        <v>120.497726180556</v>
      </c>
      <c r="K91" s="6" t="s">
        <v>29</v>
      </c>
      <c r="L91" s="6" t="s">
        <v>546</v>
      </c>
      <c r="M91" s="9">
        <v>43794</v>
      </c>
      <c r="O91" s="6">
        <v>9</v>
      </c>
      <c r="P91" s="6" t="s">
        <v>4270</v>
      </c>
      <c r="Q91" s="8">
        <v>-8.9</v>
      </c>
      <c r="R91" s="10" t="s">
        <v>64</v>
      </c>
      <c r="S91" s="10">
        <v>0</v>
      </c>
      <c r="T91" s="10">
        <v>10</v>
      </c>
      <c r="U91" s="10">
        <f t="shared" si="2"/>
        <v>5</v>
      </c>
      <c r="V91" s="11">
        <v>0</v>
      </c>
      <c r="W91" s="8">
        <v>-3.8551429930686956</v>
      </c>
      <c r="X91" s="8">
        <v>-31.370535130691529</v>
      </c>
      <c r="Y91" s="8">
        <f t="shared" si="3"/>
        <v>-0.52939118614196445</v>
      </c>
    </row>
    <row r="92" spans="1:25" s="6" customFormat="1" x14ac:dyDescent="0.35">
      <c r="A92" s="6" t="s">
        <v>25</v>
      </c>
      <c r="B92" s="7" t="s">
        <v>577</v>
      </c>
      <c r="C92" s="6">
        <v>510991</v>
      </c>
      <c r="D92" s="6" t="s">
        <v>578</v>
      </c>
      <c r="E92" s="6">
        <v>1</v>
      </c>
      <c r="F92" s="6">
        <v>9</v>
      </c>
      <c r="G92" s="6" t="s">
        <v>546</v>
      </c>
      <c r="I92" s="8">
        <v>86.047909722222201</v>
      </c>
      <c r="J92" s="8">
        <v>120.497726180556</v>
      </c>
      <c r="K92" s="6" t="s">
        <v>29</v>
      </c>
      <c r="L92" s="6" t="s">
        <v>546</v>
      </c>
      <c r="M92" s="9">
        <v>43794</v>
      </c>
      <c r="O92" s="6">
        <v>9</v>
      </c>
      <c r="P92" s="6" t="s">
        <v>4270</v>
      </c>
      <c r="R92" s="10"/>
      <c r="S92" s="10">
        <v>0</v>
      </c>
      <c r="T92" s="10">
        <v>13</v>
      </c>
      <c r="U92" s="10">
        <f t="shared" si="2"/>
        <v>6.5</v>
      </c>
      <c r="V92" s="11">
        <v>0</v>
      </c>
      <c r="W92" s="8">
        <v>-6.1924520928859721</v>
      </c>
      <c r="X92" s="8">
        <v>-48.593491779327394</v>
      </c>
      <c r="Y92" s="8">
        <f t="shared" si="3"/>
        <v>0.9461249637603828</v>
      </c>
    </row>
    <row r="93" spans="1:25" s="6" customFormat="1" x14ac:dyDescent="0.35">
      <c r="A93" s="6" t="s">
        <v>25</v>
      </c>
      <c r="B93" s="7" t="s">
        <v>621</v>
      </c>
      <c r="C93" s="6">
        <v>510726</v>
      </c>
      <c r="D93" s="6" t="s">
        <v>622</v>
      </c>
      <c r="E93" s="6">
        <v>1</v>
      </c>
      <c r="F93" s="6">
        <v>9</v>
      </c>
      <c r="G93" s="6" t="s">
        <v>210</v>
      </c>
      <c r="I93" s="8">
        <v>86.047909722222201</v>
      </c>
      <c r="J93" s="8">
        <v>120.497726180556</v>
      </c>
      <c r="K93" s="6" t="s">
        <v>29</v>
      </c>
      <c r="L93" s="6" t="s">
        <v>546</v>
      </c>
      <c r="M93" s="9">
        <v>43794</v>
      </c>
      <c r="O93" s="6">
        <v>9</v>
      </c>
      <c r="P93" s="6" t="s">
        <v>4270</v>
      </c>
      <c r="Q93" s="8">
        <v>-7.6</v>
      </c>
      <c r="R93" s="10" t="s">
        <v>138</v>
      </c>
      <c r="S93" s="10">
        <v>10</v>
      </c>
      <c r="T93" s="10">
        <v>20</v>
      </c>
      <c r="U93" s="10">
        <f t="shared" si="2"/>
        <v>15</v>
      </c>
      <c r="V93" s="11">
        <v>0</v>
      </c>
      <c r="W93" s="8">
        <v>-3.6429505804538733</v>
      </c>
      <c r="X93" s="8">
        <v>-28.895716279220579</v>
      </c>
      <c r="Y93" s="8">
        <f t="shared" si="3"/>
        <v>0.24788836441040729</v>
      </c>
    </row>
    <row r="94" spans="1:25" s="6" customFormat="1" x14ac:dyDescent="0.35">
      <c r="A94" s="6" t="s">
        <v>25</v>
      </c>
      <c r="B94" s="7" t="s">
        <v>579</v>
      </c>
      <c r="C94" s="6">
        <v>510992</v>
      </c>
      <c r="D94" s="6" t="s">
        <v>580</v>
      </c>
      <c r="E94" s="6">
        <v>1</v>
      </c>
      <c r="F94" s="6">
        <v>9</v>
      </c>
      <c r="G94" s="6" t="s">
        <v>546</v>
      </c>
      <c r="I94" s="8">
        <v>86.047909722222201</v>
      </c>
      <c r="J94" s="8">
        <v>120.497726180556</v>
      </c>
      <c r="K94" s="6" t="s">
        <v>29</v>
      </c>
      <c r="L94" s="6" t="s">
        <v>546</v>
      </c>
      <c r="M94" s="9">
        <v>43794</v>
      </c>
      <c r="O94" s="6">
        <v>9</v>
      </c>
      <c r="P94" s="6" t="s">
        <v>4270</v>
      </c>
      <c r="R94" s="10"/>
      <c r="S94" s="10">
        <v>13</v>
      </c>
      <c r="T94" s="10">
        <v>23</v>
      </c>
      <c r="U94" s="10">
        <f t="shared" si="2"/>
        <v>18</v>
      </c>
      <c r="V94" s="11">
        <v>0</v>
      </c>
      <c r="W94" s="8">
        <v>-6.5645071506500248</v>
      </c>
      <c r="X94" s="8">
        <v>-51.025356479644771</v>
      </c>
      <c r="Y94" s="8">
        <f t="shared" si="3"/>
        <v>1.4907007255554277</v>
      </c>
    </row>
    <row r="95" spans="1:25" s="6" customFormat="1" x14ac:dyDescent="0.35">
      <c r="A95" s="6" t="s">
        <v>25</v>
      </c>
      <c r="B95" s="7" t="s">
        <v>623</v>
      </c>
      <c r="C95" s="6">
        <v>510727</v>
      </c>
      <c r="D95" s="6" t="s">
        <v>624</v>
      </c>
      <c r="E95" s="6">
        <v>1</v>
      </c>
      <c r="F95" s="6">
        <v>9</v>
      </c>
      <c r="G95" s="6" t="s">
        <v>210</v>
      </c>
      <c r="I95" s="8">
        <v>86.047909722222201</v>
      </c>
      <c r="J95" s="8">
        <v>120.497726180556</v>
      </c>
      <c r="K95" s="6" t="s">
        <v>29</v>
      </c>
      <c r="L95" s="6" t="s">
        <v>546</v>
      </c>
      <c r="M95" s="9">
        <v>43794</v>
      </c>
      <c r="O95" s="6">
        <v>9</v>
      </c>
      <c r="P95" s="6" t="s">
        <v>4270</v>
      </c>
      <c r="Q95" s="8">
        <v>-6.25</v>
      </c>
      <c r="R95" s="10" t="s">
        <v>215</v>
      </c>
      <c r="S95" s="10">
        <v>20</v>
      </c>
      <c r="T95" s="10">
        <v>30</v>
      </c>
      <c r="U95" s="10">
        <f t="shared" si="2"/>
        <v>25</v>
      </c>
      <c r="V95" s="11">
        <v>0</v>
      </c>
      <c r="W95" s="8">
        <v>-3.9175674210548399</v>
      </c>
      <c r="X95" s="8">
        <v>-30.923781315994262</v>
      </c>
      <c r="Y95" s="8">
        <f t="shared" si="3"/>
        <v>0.41675805244445741</v>
      </c>
    </row>
    <row r="96" spans="1:25" s="6" customFormat="1" x14ac:dyDescent="0.35">
      <c r="A96" s="6" t="s">
        <v>25</v>
      </c>
      <c r="B96" s="7" t="s">
        <v>581</v>
      </c>
      <c r="C96" s="6">
        <v>510994</v>
      </c>
      <c r="D96" s="6" t="s">
        <v>582</v>
      </c>
      <c r="E96" s="6">
        <v>1</v>
      </c>
      <c r="F96" s="6">
        <v>9</v>
      </c>
      <c r="G96" s="6" t="s">
        <v>546</v>
      </c>
      <c r="I96" s="8">
        <v>86.047909722222201</v>
      </c>
      <c r="J96" s="8">
        <v>120.497726180556</v>
      </c>
      <c r="K96" s="6" t="s">
        <v>29</v>
      </c>
      <c r="L96" s="6" t="s">
        <v>546</v>
      </c>
      <c r="M96" s="9">
        <v>43794</v>
      </c>
      <c r="O96" s="6">
        <v>9</v>
      </c>
      <c r="P96" s="6" t="s">
        <v>4270</v>
      </c>
      <c r="R96" s="10"/>
      <c r="S96" s="10">
        <v>23</v>
      </c>
      <c r="T96" s="10">
        <v>32</v>
      </c>
      <c r="U96" s="10">
        <f t="shared" si="2"/>
        <v>27.5</v>
      </c>
      <c r="V96" s="11">
        <v>0</v>
      </c>
      <c r="W96" s="8">
        <v>-5.80350133895874</v>
      </c>
      <c r="X96" s="8">
        <v>-45.005876619338991</v>
      </c>
      <c r="Y96" s="8">
        <f t="shared" si="3"/>
        <v>1.4221340923309285</v>
      </c>
    </row>
    <row r="97" spans="1:25" s="6" customFormat="1" x14ac:dyDescent="0.35">
      <c r="A97" s="6" t="s">
        <v>25</v>
      </c>
      <c r="B97" s="7" t="s">
        <v>636</v>
      </c>
      <c r="C97" s="6">
        <v>510728</v>
      </c>
      <c r="D97" s="6" t="s">
        <v>637</v>
      </c>
      <c r="E97" s="6">
        <v>1</v>
      </c>
      <c r="F97" s="6">
        <v>9</v>
      </c>
      <c r="G97" s="6" t="s">
        <v>210</v>
      </c>
      <c r="I97" s="8">
        <v>86.047909722222201</v>
      </c>
      <c r="J97" s="8">
        <v>120.497726180556</v>
      </c>
      <c r="K97" s="6" t="s">
        <v>29</v>
      </c>
      <c r="L97" s="6" t="s">
        <v>546</v>
      </c>
      <c r="M97" s="9">
        <v>43794</v>
      </c>
      <c r="O97" s="6">
        <v>9</v>
      </c>
      <c r="P97" s="6" t="s">
        <v>4270</v>
      </c>
      <c r="Q97" s="8">
        <v>-5.3</v>
      </c>
      <c r="R97" s="10" t="s">
        <v>157</v>
      </c>
      <c r="S97" s="10">
        <v>30</v>
      </c>
      <c r="T97" s="10">
        <v>40</v>
      </c>
      <c r="U97" s="10">
        <f t="shared" si="2"/>
        <v>35</v>
      </c>
      <c r="V97" s="11">
        <v>0.4</v>
      </c>
      <c r="W97" s="8">
        <v>-4.0112327098846441</v>
      </c>
      <c r="X97" s="8">
        <v>-30.31946295070648</v>
      </c>
      <c r="Y97" s="8">
        <f t="shared" si="3"/>
        <v>1.7703987283706724</v>
      </c>
    </row>
    <row r="98" spans="1:25" s="6" customFormat="1" x14ac:dyDescent="0.35">
      <c r="A98" s="6" t="s">
        <v>25</v>
      </c>
      <c r="B98" s="7" t="s">
        <v>583</v>
      </c>
      <c r="C98" s="6">
        <v>510993</v>
      </c>
      <c r="D98" s="6" t="s">
        <v>584</v>
      </c>
      <c r="E98" s="6">
        <v>1</v>
      </c>
      <c r="F98" s="6">
        <v>9</v>
      </c>
      <c r="G98" s="6" t="s">
        <v>546</v>
      </c>
      <c r="I98" s="8">
        <v>86.047909722222201</v>
      </c>
      <c r="J98" s="8">
        <v>120.497726180556</v>
      </c>
      <c r="K98" s="6" t="s">
        <v>29</v>
      </c>
      <c r="L98" s="6" t="s">
        <v>546</v>
      </c>
      <c r="M98" s="9">
        <v>43794</v>
      </c>
      <c r="O98" s="6">
        <v>9</v>
      </c>
      <c r="P98" s="6" t="s">
        <v>4270</v>
      </c>
      <c r="R98" s="10"/>
      <c r="S98" s="10">
        <v>32</v>
      </c>
      <c r="T98" s="10">
        <v>43</v>
      </c>
      <c r="U98" s="10">
        <f t="shared" si="2"/>
        <v>37.5</v>
      </c>
      <c r="V98" s="11">
        <v>0</v>
      </c>
      <c r="W98" s="8">
        <v>-5.9832395856380467</v>
      </c>
      <c r="X98" s="8">
        <v>-45.374108484268191</v>
      </c>
      <c r="Y98" s="8">
        <f t="shared" si="3"/>
        <v>2.4918082008361822</v>
      </c>
    </row>
    <row r="99" spans="1:25" s="6" customFormat="1" x14ac:dyDescent="0.35">
      <c r="A99" s="6" t="s">
        <v>25</v>
      </c>
      <c r="B99" s="7" t="s">
        <v>638</v>
      </c>
      <c r="C99" s="6">
        <v>510729</v>
      </c>
      <c r="D99" s="6" t="s">
        <v>639</v>
      </c>
      <c r="E99" s="6">
        <v>1</v>
      </c>
      <c r="F99" s="6">
        <v>9</v>
      </c>
      <c r="G99" s="6" t="s">
        <v>210</v>
      </c>
      <c r="I99" s="8">
        <v>86.047909722222201</v>
      </c>
      <c r="J99" s="8">
        <v>120.497726180556</v>
      </c>
      <c r="K99" s="6" t="s">
        <v>29</v>
      </c>
      <c r="L99" s="6" t="s">
        <v>546</v>
      </c>
      <c r="M99" s="9">
        <v>43794</v>
      </c>
      <c r="O99" s="6">
        <v>9</v>
      </c>
      <c r="P99" s="6" t="s">
        <v>4270</v>
      </c>
      <c r="Q99" s="8">
        <v>-4.5</v>
      </c>
      <c r="R99" s="10" t="s">
        <v>159</v>
      </c>
      <c r="S99" s="10">
        <v>40</v>
      </c>
      <c r="T99" s="10">
        <v>50</v>
      </c>
      <c r="U99" s="10">
        <f t="shared" si="2"/>
        <v>45</v>
      </c>
      <c r="V99" s="11">
        <v>0.2</v>
      </c>
      <c r="W99" s="8">
        <v>-3.1835229158401495</v>
      </c>
      <c r="X99" s="8">
        <v>-24.051939007759096</v>
      </c>
      <c r="Y99" s="8">
        <f t="shared" si="3"/>
        <v>1.4162443189621001</v>
      </c>
    </row>
    <row r="100" spans="1:25" s="6" customFormat="1" x14ac:dyDescent="0.35">
      <c r="A100" s="6" t="s">
        <v>25</v>
      </c>
      <c r="B100" s="7" t="s">
        <v>585</v>
      </c>
      <c r="C100" s="6">
        <v>510995</v>
      </c>
      <c r="D100" s="6" t="s">
        <v>586</v>
      </c>
      <c r="E100" s="6">
        <v>1</v>
      </c>
      <c r="F100" s="6">
        <v>9</v>
      </c>
      <c r="G100" s="6" t="s">
        <v>546</v>
      </c>
      <c r="I100" s="8">
        <v>86.047909722222201</v>
      </c>
      <c r="J100" s="8">
        <v>120.497726180556</v>
      </c>
      <c r="K100" s="6" t="s">
        <v>29</v>
      </c>
      <c r="L100" s="6" t="s">
        <v>546</v>
      </c>
      <c r="M100" s="9">
        <v>43794</v>
      </c>
      <c r="O100" s="6">
        <v>9</v>
      </c>
      <c r="P100" s="6" t="s">
        <v>4270</v>
      </c>
      <c r="R100" s="10"/>
      <c r="S100" s="10">
        <v>43</v>
      </c>
      <c r="T100" s="10">
        <v>53</v>
      </c>
      <c r="U100" s="10">
        <f t="shared" si="2"/>
        <v>48</v>
      </c>
      <c r="V100" s="11">
        <v>0</v>
      </c>
      <c r="W100" s="8">
        <v>-5.1794139232635503</v>
      </c>
      <c r="X100" s="8">
        <v>-38.965010154724119</v>
      </c>
      <c r="Y100" s="8">
        <f t="shared" si="3"/>
        <v>2.4703012313842834</v>
      </c>
    </row>
    <row r="101" spans="1:25" s="6" customFormat="1" x14ac:dyDescent="0.35">
      <c r="A101" s="6" t="s">
        <v>25</v>
      </c>
      <c r="B101" s="7" t="s">
        <v>631</v>
      </c>
      <c r="C101" s="6">
        <v>510730</v>
      </c>
      <c r="D101" s="6" t="s">
        <v>632</v>
      </c>
      <c r="E101" s="6">
        <v>1</v>
      </c>
      <c r="F101" s="6">
        <v>9</v>
      </c>
      <c r="G101" s="6" t="s">
        <v>210</v>
      </c>
      <c r="I101" s="8">
        <v>86.047909722222201</v>
      </c>
      <c r="J101" s="8">
        <v>120.497726180556</v>
      </c>
      <c r="K101" s="6" t="s">
        <v>29</v>
      </c>
      <c r="L101" s="6" t="s">
        <v>546</v>
      </c>
      <c r="M101" s="9">
        <v>43794</v>
      </c>
      <c r="O101" s="6">
        <v>9</v>
      </c>
      <c r="P101" s="6" t="s">
        <v>4270</v>
      </c>
      <c r="Q101" s="8">
        <v>-3.9</v>
      </c>
      <c r="R101" s="10" t="s">
        <v>161</v>
      </c>
      <c r="S101" s="10">
        <v>50</v>
      </c>
      <c r="T101" s="10">
        <v>60</v>
      </c>
      <c r="U101" s="10">
        <f t="shared" si="2"/>
        <v>55</v>
      </c>
      <c r="V101" s="11">
        <v>0.4</v>
      </c>
      <c r="W101" s="8">
        <v>-3.2244848608016974</v>
      </c>
      <c r="X101" s="8">
        <v>-24.491736167907714</v>
      </c>
      <c r="Y101" s="8">
        <f t="shared" si="3"/>
        <v>1.3041427185058652</v>
      </c>
    </row>
    <row r="102" spans="1:25" s="6" customFormat="1" x14ac:dyDescent="0.35">
      <c r="A102" s="6" t="s">
        <v>25</v>
      </c>
      <c r="B102" s="7" t="s">
        <v>587</v>
      </c>
      <c r="C102" s="6">
        <v>510996</v>
      </c>
      <c r="D102" s="6" t="s">
        <v>588</v>
      </c>
      <c r="E102" s="6">
        <v>1</v>
      </c>
      <c r="F102" s="6">
        <v>9</v>
      </c>
      <c r="G102" s="6" t="s">
        <v>546</v>
      </c>
      <c r="I102" s="8">
        <v>86.047909722222201</v>
      </c>
      <c r="J102" s="8">
        <v>120.497726180556</v>
      </c>
      <c r="K102" s="6" t="s">
        <v>29</v>
      </c>
      <c r="L102" s="6" t="s">
        <v>546</v>
      </c>
      <c r="M102" s="9">
        <v>43794</v>
      </c>
      <c r="O102" s="6">
        <v>9</v>
      </c>
      <c r="P102" s="6" t="s">
        <v>4270</v>
      </c>
      <c r="R102" s="10"/>
      <c r="S102" s="10">
        <v>53</v>
      </c>
      <c r="T102" s="10">
        <v>63</v>
      </c>
      <c r="U102" s="10">
        <f t="shared" si="2"/>
        <v>58</v>
      </c>
      <c r="V102" s="11">
        <v>0</v>
      </c>
      <c r="W102" s="8">
        <v>-4.2969443085193637</v>
      </c>
      <c r="X102" s="8">
        <v>-32.084927045822148</v>
      </c>
      <c r="Y102" s="8">
        <f t="shared" si="3"/>
        <v>2.2906274223327614</v>
      </c>
    </row>
    <row r="103" spans="1:25" s="6" customFormat="1" x14ac:dyDescent="0.35">
      <c r="A103" s="6" t="s">
        <v>25</v>
      </c>
      <c r="B103" s="7" t="s">
        <v>628</v>
      </c>
      <c r="C103" s="6">
        <v>510731</v>
      </c>
      <c r="D103" s="6" t="s">
        <v>629</v>
      </c>
      <c r="E103" s="6">
        <v>1</v>
      </c>
      <c r="F103" s="6">
        <v>9</v>
      </c>
      <c r="G103" s="6" t="s">
        <v>210</v>
      </c>
      <c r="I103" s="8">
        <v>86.047909722222201</v>
      </c>
      <c r="J103" s="8">
        <v>120.497726180556</v>
      </c>
      <c r="K103" s="6" t="s">
        <v>29</v>
      </c>
      <c r="L103" s="6" t="s">
        <v>546</v>
      </c>
      <c r="M103" s="9">
        <v>43794</v>
      </c>
      <c r="O103" s="6">
        <v>9</v>
      </c>
      <c r="P103" s="6" t="s">
        <v>4270</v>
      </c>
      <c r="Q103" s="8">
        <v>-3.4</v>
      </c>
      <c r="R103" s="10" t="s">
        <v>630</v>
      </c>
      <c r="S103" s="10">
        <v>60</v>
      </c>
      <c r="T103" s="10">
        <v>69.5</v>
      </c>
      <c r="U103" s="10">
        <f t="shared" si="2"/>
        <v>64.75</v>
      </c>
      <c r="V103" s="11">
        <v>1.1000000000000001</v>
      </c>
      <c r="W103" s="8">
        <v>-3.751620147562027</v>
      </c>
      <c r="X103" s="8">
        <v>-30.150318513107301</v>
      </c>
      <c r="Y103" s="8">
        <f t="shared" si="3"/>
        <v>-0.13735733261108507</v>
      </c>
    </row>
    <row r="104" spans="1:25" s="6" customFormat="1" x14ac:dyDescent="0.35">
      <c r="A104" s="6" t="s">
        <v>25</v>
      </c>
      <c r="B104" s="7" t="s">
        <v>589</v>
      </c>
      <c r="C104" s="6">
        <v>510997</v>
      </c>
      <c r="D104" s="6" t="s">
        <v>590</v>
      </c>
      <c r="E104" s="6">
        <v>1</v>
      </c>
      <c r="F104" s="6">
        <v>9</v>
      </c>
      <c r="G104" s="6" t="s">
        <v>546</v>
      </c>
      <c r="I104" s="8">
        <v>86.047909722222201</v>
      </c>
      <c r="J104" s="8">
        <v>120.497726180556</v>
      </c>
      <c r="K104" s="6" t="s">
        <v>29</v>
      </c>
      <c r="L104" s="6" t="s">
        <v>546</v>
      </c>
      <c r="M104" s="9">
        <v>43794</v>
      </c>
      <c r="O104" s="6">
        <v>9</v>
      </c>
      <c r="P104" s="6" t="s">
        <v>4270</v>
      </c>
      <c r="R104" s="10"/>
      <c r="S104" s="10">
        <v>63</v>
      </c>
      <c r="T104" s="10">
        <v>73</v>
      </c>
      <c r="U104" s="10">
        <f t="shared" si="2"/>
        <v>68</v>
      </c>
      <c r="V104" s="11">
        <v>0</v>
      </c>
      <c r="W104" s="8">
        <v>-3.979136388540268</v>
      </c>
      <c r="X104" s="8">
        <v>-31.399914548873902</v>
      </c>
      <c r="Y104" s="8">
        <f t="shared" si="3"/>
        <v>0.43317655944824196</v>
      </c>
    </row>
    <row r="105" spans="1:25" s="6" customFormat="1" x14ac:dyDescent="0.35">
      <c r="A105" s="6" t="s">
        <v>25</v>
      </c>
      <c r="B105" s="7" t="s">
        <v>625</v>
      </c>
      <c r="C105" s="6">
        <v>510732</v>
      </c>
      <c r="D105" s="6" t="s">
        <v>626</v>
      </c>
      <c r="E105" s="6">
        <v>1</v>
      </c>
      <c r="F105" s="6">
        <v>9</v>
      </c>
      <c r="G105" s="6" t="s">
        <v>210</v>
      </c>
      <c r="I105" s="8">
        <v>86.047909722222201</v>
      </c>
      <c r="J105" s="8">
        <v>120.497726180556</v>
      </c>
      <c r="K105" s="6" t="s">
        <v>29</v>
      </c>
      <c r="L105" s="6" t="s">
        <v>546</v>
      </c>
      <c r="M105" s="9">
        <v>43794</v>
      </c>
      <c r="O105" s="6">
        <v>9</v>
      </c>
      <c r="P105" s="6" t="s">
        <v>4270</v>
      </c>
      <c r="Q105" s="8">
        <v>-2.4</v>
      </c>
      <c r="R105" s="10" t="s">
        <v>627</v>
      </c>
      <c r="S105" s="10">
        <v>69.5</v>
      </c>
      <c r="T105" s="10">
        <v>78</v>
      </c>
      <c r="U105" s="10">
        <f t="shared" si="2"/>
        <v>73.75</v>
      </c>
      <c r="V105" s="11">
        <v>5</v>
      </c>
      <c r="W105" s="8">
        <v>0.88827423580487608</v>
      </c>
      <c r="X105" s="8">
        <v>7.1373027065813544</v>
      </c>
      <c r="Y105" s="8">
        <f t="shared" si="3"/>
        <v>3.1108820142345728E-2</v>
      </c>
    </row>
    <row r="106" spans="1:25" s="6" customFormat="1" x14ac:dyDescent="0.35">
      <c r="A106" s="6" t="s">
        <v>25</v>
      </c>
      <c r="B106" s="7" t="s">
        <v>591</v>
      </c>
      <c r="C106" s="6">
        <v>510998</v>
      </c>
      <c r="D106" s="6" t="s">
        <v>592</v>
      </c>
      <c r="E106" s="6">
        <v>1</v>
      </c>
      <c r="F106" s="6">
        <v>9</v>
      </c>
      <c r="G106" s="6" t="s">
        <v>546</v>
      </c>
      <c r="I106" s="8">
        <v>86.047909722222201</v>
      </c>
      <c r="J106" s="8">
        <v>120.497726180556</v>
      </c>
      <c r="K106" s="6" t="s">
        <v>29</v>
      </c>
      <c r="L106" s="6" t="s">
        <v>546</v>
      </c>
      <c r="M106" s="9">
        <v>43794</v>
      </c>
      <c r="O106" s="6">
        <v>9</v>
      </c>
      <c r="P106" s="6" t="s">
        <v>4270</v>
      </c>
      <c r="R106" s="10"/>
      <c r="S106" s="10">
        <v>73</v>
      </c>
      <c r="T106" s="10">
        <v>83</v>
      </c>
      <c r="U106" s="10">
        <f t="shared" si="2"/>
        <v>78</v>
      </c>
      <c r="V106" s="11">
        <v>0</v>
      </c>
      <c r="W106" s="8">
        <v>-3.4536190527677535</v>
      </c>
      <c r="X106" s="8">
        <v>-26.088811264038085</v>
      </c>
      <c r="Y106" s="8">
        <f t="shared" si="3"/>
        <v>1.5401411581039426</v>
      </c>
    </row>
    <row r="107" spans="1:25" s="6" customFormat="1" x14ac:dyDescent="0.35">
      <c r="A107" s="6" t="s">
        <v>25</v>
      </c>
      <c r="B107" s="7" t="s">
        <v>633</v>
      </c>
      <c r="C107" s="6">
        <v>510733</v>
      </c>
      <c r="D107" s="6" t="s">
        <v>634</v>
      </c>
      <c r="E107" s="6">
        <v>1</v>
      </c>
      <c r="F107" s="6">
        <v>9</v>
      </c>
      <c r="G107" s="6" t="s">
        <v>210</v>
      </c>
      <c r="I107" s="8">
        <v>86.047909722222201</v>
      </c>
      <c r="J107" s="8">
        <v>120.497726180556</v>
      </c>
      <c r="K107" s="6" t="s">
        <v>29</v>
      </c>
      <c r="L107" s="6" t="s">
        <v>546</v>
      </c>
      <c r="M107" s="9">
        <v>43794</v>
      </c>
      <c r="O107" s="6">
        <v>9</v>
      </c>
      <c r="P107" s="6" t="s">
        <v>4270</v>
      </c>
      <c r="Q107" s="8">
        <v>-1.8</v>
      </c>
      <c r="R107" s="10" t="s">
        <v>635</v>
      </c>
      <c r="S107" s="10">
        <v>78</v>
      </c>
      <c r="T107" s="10">
        <v>86.5</v>
      </c>
      <c r="U107" s="10">
        <f t="shared" si="2"/>
        <v>82.25</v>
      </c>
      <c r="V107" s="11">
        <v>5.7</v>
      </c>
      <c r="W107" s="8">
        <v>0.75496243834495558</v>
      </c>
      <c r="X107" s="8">
        <v>6.8994224557876596</v>
      </c>
      <c r="Y107" s="8">
        <f t="shared" si="3"/>
        <v>0.85972294902801494</v>
      </c>
    </row>
    <row r="108" spans="1:25" s="6" customFormat="1" x14ac:dyDescent="0.35">
      <c r="A108" s="6" t="s">
        <v>25</v>
      </c>
      <c r="B108" s="7" t="s">
        <v>593</v>
      </c>
      <c r="C108" s="6">
        <v>510999</v>
      </c>
      <c r="D108" s="6" t="s">
        <v>594</v>
      </c>
      <c r="E108" s="6">
        <v>1</v>
      </c>
      <c r="F108" s="6">
        <v>9</v>
      </c>
      <c r="G108" s="6" t="s">
        <v>546</v>
      </c>
      <c r="I108" s="8">
        <v>86.047909722222201</v>
      </c>
      <c r="J108" s="8">
        <v>120.497726180556</v>
      </c>
      <c r="K108" s="6" t="s">
        <v>29</v>
      </c>
      <c r="L108" s="6" t="s">
        <v>546</v>
      </c>
      <c r="M108" s="9">
        <v>43794</v>
      </c>
      <c r="O108" s="6">
        <v>9</v>
      </c>
      <c r="P108" s="6" t="s">
        <v>4270</v>
      </c>
      <c r="R108" s="10"/>
      <c r="S108" s="10">
        <v>83</v>
      </c>
      <c r="T108" s="10">
        <v>93</v>
      </c>
      <c r="U108" s="10">
        <f t="shared" si="2"/>
        <v>88</v>
      </c>
      <c r="V108" s="11">
        <v>0</v>
      </c>
      <c r="W108" s="8">
        <v>-3.7847295897006989</v>
      </c>
      <c r="X108" s="8">
        <v>-28.09827088165283</v>
      </c>
      <c r="Y108" s="8">
        <f t="shared" si="3"/>
        <v>2.1795658359527614</v>
      </c>
    </row>
    <row r="109" spans="1:25" s="6" customFormat="1" x14ac:dyDescent="0.35">
      <c r="A109" s="6" t="s">
        <v>25</v>
      </c>
      <c r="B109" s="7" t="s">
        <v>595</v>
      </c>
      <c r="C109" s="6">
        <v>511000</v>
      </c>
      <c r="D109" s="6" t="s">
        <v>596</v>
      </c>
      <c r="E109" s="6">
        <v>1</v>
      </c>
      <c r="F109" s="6">
        <v>9</v>
      </c>
      <c r="G109" s="6" t="s">
        <v>546</v>
      </c>
      <c r="I109" s="8">
        <v>86.047909722222201</v>
      </c>
      <c r="J109" s="8">
        <v>120.497726180556</v>
      </c>
      <c r="K109" s="6" t="s">
        <v>29</v>
      </c>
      <c r="L109" s="6" t="s">
        <v>546</v>
      </c>
      <c r="M109" s="9">
        <v>43794</v>
      </c>
      <c r="O109" s="6">
        <v>9</v>
      </c>
      <c r="P109" s="6" t="s">
        <v>4270</v>
      </c>
      <c r="R109" s="10"/>
      <c r="S109" s="10">
        <v>93</v>
      </c>
      <c r="T109" s="10">
        <v>103</v>
      </c>
      <c r="U109" s="10">
        <f t="shared" si="2"/>
        <v>98</v>
      </c>
      <c r="V109" s="11">
        <v>1.6</v>
      </c>
      <c r="W109" s="8">
        <v>-3.7971380108594897</v>
      </c>
      <c r="X109" s="8">
        <v>-28.659025354385378</v>
      </c>
      <c r="Y109" s="8">
        <f t="shared" si="3"/>
        <v>1.7180787324905396</v>
      </c>
    </row>
    <row r="110" spans="1:25" s="6" customFormat="1" x14ac:dyDescent="0.35">
      <c r="A110" s="6" t="s">
        <v>25</v>
      </c>
      <c r="B110" s="7" t="s">
        <v>597</v>
      </c>
      <c r="C110" s="6">
        <v>511001</v>
      </c>
      <c r="D110" s="6" t="s">
        <v>598</v>
      </c>
      <c r="E110" s="6">
        <v>1</v>
      </c>
      <c r="F110" s="6">
        <v>9</v>
      </c>
      <c r="G110" s="6" t="s">
        <v>546</v>
      </c>
      <c r="I110" s="8">
        <v>86.047909722222201</v>
      </c>
      <c r="J110" s="8">
        <v>120.497726180556</v>
      </c>
      <c r="K110" s="6" t="s">
        <v>29</v>
      </c>
      <c r="L110" s="6" t="s">
        <v>546</v>
      </c>
      <c r="M110" s="9">
        <v>43794</v>
      </c>
      <c r="O110" s="6">
        <v>9</v>
      </c>
      <c r="P110" s="6" t="s">
        <v>4270</v>
      </c>
      <c r="R110" s="10"/>
      <c r="S110" s="10">
        <v>103</v>
      </c>
      <c r="T110" s="10">
        <v>113</v>
      </c>
      <c r="U110" s="10">
        <f t="shared" si="2"/>
        <v>108</v>
      </c>
      <c r="V110" s="11">
        <v>1.1000000000000001</v>
      </c>
      <c r="W110" s="8">
        <v>-4.2360823557376861</v>
      </c>
      <c r="X110" s="8">
        <v>-31.75932439994812</v>
      </c>
      <c r="Y110" s="8">
        <f t="shared" si="3"/>
        <v>2.1293344459533685</v>
      </c>
    </row>
    <row r="111" spans="1:25" s="6" customFormat="1" x14ac:dyDescent="0.35">
      <c r="A111" s="6" t="s">
        <v>25</v>
      </c>
      <c r="B111" s="7" t="s">
        <v>603</v>
      </c>
      <c r="C111" s="6">
        <v>511002</v>
      </c>
      <c r="D111" s="6" t="s">
        <v>604</v>
      </c>
      <c r="E111" s="6">
        <v>1</v>
      </c>
      <c r="F111" s="6">
        <v>9</v>
      </c>
      <c r="G111" s="6" t="s">
        <v>546</v>
      </c>
      <c r="I111" s="8">
        <v>86.047909722222201</v>
      </c>
      <c r="J111" s="8">
        <v>120.497726180556</v>
      </c>
      <c r="K111" s="6" t="s">
        <v>29</v>
      </c>
      <c r="L111" s="6" t="s">
        <v>546</v>
      </c>
      <c r="M111" s="9">
        <v>43794</v>
      </c>
      <c r="O111" s="6">
        <v>9</v>
      </c>
      <c r="P111" s="6" t="s">
        <v>4270</v>
      </c>
      <c r="R111" s="10"/>
      <c r="S111" s="10">
        <v>113</v>
      </c>
      <c r="T111" s="10">
        <v>123</v>
      </c>
      <c r="U111" s="10">
        <f t="shared" si="2"/>
        <v>118</v>
      </c>
      <c r="V111" s="11">
        <v>2.2000000000000002</v>
      </c>
      <c r="W111" s="8">
        <v>-3.9163591927528389</v>
      </c>
      <c r="X111" s="8">
        <v>-29.640991378784179</v>
      </c>
      <c r="Y111" s="8">
        <f t="shared" si="3"/>
        <v>1.6898821632385328</v>
      </c>
    </row>
    <row r="112" spans="1:25" s="6" customFormat="1" x14ac:dyDescent="0.35">
      <c r="A112" s="6" t="s">
        <v>25</v>
      </c>
      <c r="B112" s="7" t="s">
        <v>599</v>
      </c>
      <c r="C112" s="6">
        <v>511003</v>
      </c>
      <c r="D112" s="6" t="s">
        <v>600</v>
      </c>
      <c r="E112" s="6">
        <v>1</v>
      </c>
      <c r="F112" s="6">
        <v>9</v>
      </c>
      <c r="G112" s="6" t="s">
        <v>546</v>
      </c>
      <c r="I112" s="8">
        <v>86.047909722222201</v>
      </c>
      <c r="J112" s="8">
        <v>120.497726180556</v>
      </c>
      <c r="K112" s="6" t="s">
        <v>29</v>
      </c>
      <c r="L112" s="6" t="s">
        <v>546</v>
      </c>
      <c r="M112" s="9">
        <v>43794</v>
      </c>
      <c r="O112" s="6">
        <v>9</v>
      </c>
      <c r="P112" s="6" t="s">
        <v>4270</v>
      </c>
      <c r="R112" s="10"/>
      <c r="S112" s="10">
        <v>123</v>
      </c>
      <c r="T112" s="10">
        <v>133</v>
      </c>
      <c r="U112" s="10">
        <f t="shared" si="2"/>
        <v>128</v>
      </c>
      <c r="V112" s="11">
        <v>1.8</v>
      </c>
      <c r="W112" s="8">
        <v>-2.679935659790039</v>
      </c>
      <c r="X112" s="8">
        <v>-20.844055904388426</v>
      </c>
      <c r="Y112" s="8">
        <f t="shared" si="3"/>
        <v>0.59542937393188566</v>
      </c>
    </row>
    <row r="113" spans="1:25" s="6" customFormat="1" x14ac:dyDescent="0.35">
      <c r="A113" s="6" t="s">
        <v>25</v>
      </c>
      <c r="B113" s="7" t="s">
        <v>601</v>
      </c>
      <c r="C113" s="6">
        <v>511004</v>
      </c>
      <c r="D113" s="6" t="s">
        <v>602</v>
      </c>
      <c r="E113" s="6">
        <v>1</v>
      </c>
      <c r="F113" s="6">
        <v>9</v>
      </c>
      <c r="G113" s="6" t="s">
        <v>546</v>
      </c>
      <c r="I113" s="8">
        <v>86.047909722222201</v>
      </c>
      <c r="J113" s="8">
        <v>120.497726180556</v>
      </c>
      <c r="K113" s="6" t="s">
        <v>29</v>
      </c>
      <c r="L113" s="6" t="s">
        <v>546</v>
      </c>
      <c r="M113" s="9">
        <v>43794</v>
      </c>
      <c r="O113" s="6">
        <v>9</v>
      </c>
      <c r="P113" s="6" t="s">
        <v>4270</v>
      </c>
      <c r="R113" s="10"/>
      <c r="S113" s="10">
        <v>133</v>
      </c>
      <c r="T113" s="10">
        <v>146.5</v>
      </c>
      <c r="U113" s="10">
        <f t="shared" si="2"/>
        <v>139.75</v>
      </c>
      <c r="V113" s="11">
        <v>3.9</v>
      </c>
      <c r="W113" s="8">
        <v>0.14679047851860499</v>
      </c>
      <c r="X113" s="8">
        <v>1.6475284194946289</v>
      </c>
      <c r="Y113" s="8">
        <f t="shared" si="3"/>
        <v>0.47320459134578896</v>
      </c>
    </row>
    <row r="114" spans="1:25" s="6" customFormat="1" x14ac:dyDescent="0.35">
      <c r="A114" s="6" t="s">
        <v>25</v>
      </c>
      <c r="B114" s="7" t="s">
        <v>680</v>
      </c>
      <c r="C114" s="6">
        <v>510834</v>
      </c>
      <c r="D114" s="6" t="s">
        <v>681</v>
      </c>
      <c r="E114" s="6">
        <v>1</v>
      </c>
      <c r="F114" s="6">
        <v>9</v>
      </c>
      <c r="G114" s="6" t="s">
        <v>272</v>
      </c>
      <c r="I114" s="8">
        <v>86.154772777777794</v>
      </c>
      <c r="J114" s="8">
        <v>116.51710749999999</v>
      </c>
      <c r="K114" s="6" t="s">
        <v>29</v>
      </c>
      <c r="L114" s="6" t="s">
        <v>546</v>
      </c>
      <c r="M114" s="9">
        <v>43797</v>
      </c>
      <c r="O114" s="6">
        <v>9</v>
      </c>
      <c r="P114" s="6" t="s">
        <v>4273</v>
      </c>
      <c r="Q114" s="8">
        <v>-18.3</v>
      </c>
      <c r="R114" s="10" t="s">
        <v>64</v>
      </c>
      <c r="S114" s="10">
        <v>0</v>
      </c>
      <c r="T114" s="10">
        <v>10</v>
      </c>
      <c r="U114" s="10">
        <f t="shared" si="2"/>
        <v>5</v>
      </c>
      <c r="V114" s="11">
        <v>1.3</v>
      </c>
      <c r="W114" s="8">
        <v>-10.595552635192872</v>
      </c>
      <c r="X114" s="8">
        <v>-79.949064231872555</v>
      </c>
      <c r="Y114" s="8">
        <f t="shared" si="3"/>
        <v>4.8153568496704224</v>
      </c>
    </row>
    <row r="115" spans="1:25" s="6" customFormat="1" x14ac:dyDescent="0.35">
      <c r="A115" s="6" t="s">
        <v>25</v>
      </c>
      <c r="B115" s="7" t="s">
        <v>686</v>
      </c>
      <c r="C115" s="6">
        <v>510824</v>
      </c>
      <c r="D115" s="6" t="s">
        <v>687</v>
      </c>
      <c r="E115" s="6">
        <v>1</v>
      </c>
      <c r="F115" s="6">
        <v>9</v>
      </c>
      <c r="G115" s="6" t="s">
        <v>272</v>
      </c>
      <c r="I115" s="8">
        <v>86.154772777777794</v>
      </c>
      <c r="J115" s="8">
        <v>116.51710749999999</v>
      </c>
      <c r="K115" s="6" t="s">
        <v>29</v>
      </c>
      <c r="L115" s="6" t="s">
        <v>546</v>
      </c>
      <c r="M115" s="9">
        <v>43797</v>
      </c>
      <c r="O115" s="6">
        <v>9</v>
      </c>
      <c r="P115" s="6" t="s">
        <v>4273</v>
      </c>
      <c r="Q115" s="8">
        <v>-18.3</v>
      </c>
      <c r="R115" s="10" t="s">
        <v>688</v>
      </c>
      <c r="S115" s="10">
        <v>0</v>
      </c>
      <c r="T115" s="10">
        <v>10.5</v>
      </c>
      <c r="U115" s="10">
        <f t="shared" si="2"/>
        <v>5.25</v>
      </c>
      <c r="V115" s="11">
        <v>0.1</v>
      </c>
      <c r="W115" s="8">
        <v>-10.213447761535644</v>
      </c>
      <c r="X115" s="8">
        <v>-77.42768933105468</v>
      </c>
      <c r="Y115" s="8">
        <f t="shared" si="3"/>
        <v>4.2798927612304709</v>
      </c>
    </row>
    <row r="116" spans="1:25" s="6" customFormat="1" x14ac:dyDescent="0.35">
      <c r="A116" s="6" t="s">
        <v>25</v>
      </c>
      <c r="B116" s="7" t="s">
        <v>682</v>
      </c>
      <c r="C116" s="6">
        <v>510835</v>
      </c>
      <c r="D116" s="6" t="s">
        <v>683</v>
      </c>
      <c r="E116" s="6">
        <v>1</v>
      </c>
      <c r="F116" s="6">
        <v>9</v>
      </c>
      <c r="G116" s="6" t="s">
        <v>272</v>
      </c>
      <c r="I116" s="8">
        <v>86.154772777777794</v>
      </c>
      <c r="J116" s="8">
        <v>116.51710749999999</v>
      </c>
      <c r="K116" s="6" t="s">
        <v>29</v>
      </c>
      <c r="L116" s="6" t="s">
        <v>546</v>
      </c>
      <c r="M116" s="9">
        <v>43797</v>
      </c>
      <c r="O116" s="6">
        <v>9</v>
      </c>
      <c r="P116" s="6" t="s">
        <v>4273</v>
      </c>
      <c r="Q116" s="8">
        <v>-17.533333333333331</v>
      </c>
      <c r="R116" s="10" t="s">
        <v>138</v>
      </c>
      <c r="S116" s="10">
        <v>10</v>
      </c>
      <c r="T116" s="10">
        <v>20</v>
      </c>
      <c r="U116" s="10">
        <f t="shared" si="2"/>
        <v>15</v>
      </c>
      <c r="V116" s="11">
        <v>0</v>
      </c>
      <c r="W116" s="8">
        <v>-9.2938529968261712</v>
      </c>
      <c r="X116" s="8">
        <v>-70.179736763000491</v>
      </c>
      <c r="Y116" s="8">
        <f t="shared" si="3"/>
        <v>4.171087211608878</v>
      </c>
    </row>
    <row r="117" spans="1:25" s="6" customFormat="1" x14ac:dyDescent="0.35">
      <c r="A117" s="6" t="s">
        <v>25</v>
      </c>
      <c r="B117" s="7" t="s">
        <v>696</v>
      </c>
      <c r="C117" s="6">
        <v>510825</v>
      </c>
      <c r="D117" s="6" t="s">
        <v>697</v>
      </c>
      <c r="E117" s="6">
        <v>1</v>
      </c>
      <c r="F117" s="6">
        <v>9</v>
      </c>
      <c r="G117" s="6" t="s">
        <v>272</v>
      </c>
      <c r="I117" s="8">
        <v>86.154772777777794</v>
      </c>
      <c r="J117" s="8">
        <v>116.51710749999999</v>
      </c>
      <c r="K117" s="6" t="s">
        <v>29</v>
      </c>
      <c r="L117" s="6" t="s">
        <v>546</v>
      </c>
      <c r="M117" s="9">
        <v>43797</v>
      </c>
      <c r="O117" s="6">
        <v>9</v>
      </c>
      <c r="P117" s="6" t="s">
        <v>4273</v>
      </c>
      <c r="Q117" s="8">
        <v>-17.533333333333331</v>
      </c>
      <c r="R117" s="10" t="s">
        <v>698</v>
      </c>
      <c r="S117" s="10">
        <v>10.5</v>
      </c>
      <c r="T117" s="10">
        <v>20.5</v>
      </c>
      <c r="U117" s="10">
        <f t="shared" si="2"/>
        <v>15.5</v>
      </c>
      <c r="V117" s="11">
        <v>0</v>
      </c>
      <c r="W117" s="8">
        <v>-8.3274051666259776</v>
      </c>
      <c r="X117" s="8">
        <v>-63.702220344543456</v>
      </c>
      <c r="Y117" s="8">
        <f t="shared" si="3"/>
        <v>2.9170209884643654</v>
      </c>
    </row>
    <row r="118" spans="1:25" s="6" customFormat="1" x14ac:dyDescent="0.35">
      <c r="A118" s="6" t="s">
        <v>25</v>
      </c>
      <c r="B118" s="7" t="s">
        <v>672</v>
      </c>
      <c r="C118" s="6">
        <v>510836</v>
      </c>
      <c r="D118" s="6" t="s">
        <v>673</v>
      </c>
      <c r="E118" s="6">
        <v>1</v>
      </c>
      <c r="F118" s="6">
        <v>9</v>
      </c>
      <c r="G118" s="6" t="s">
        <v>272</v>
      </c>
      <c r="I118" s="8">
        <v>86.154772777777794</v>
      </c>
      <c r="J118" s="8">
        <v>116.51710749999999</v>
      </c>
      <c r="K118" s="6" t="s">
        <v>29</v>
      </c>
      <c r="L118" s="6" t="s">
        <v>546</v>
      </c>
      <c r="M118" s="9">
        <v>43797</v>
      </c>
      <c r="O118" s="6">
        <v>9</v>
      </c>
      <c r="P118" s="6" t="s">
        <v>4273</v>
      </c>
      <c r="Q118" s="8">
        <v>-15.9</v>
      </c>
      <c r="R118" s="10" t="s">
        <v>146</v>
      </c>
      <c r="S118" s="10">
        <v>20</v>
      </c>
      <c r="T118" s="10">
        <v>30</v>
      </c>
      <c r="U118" s="10">
        <f t="shared" si="2"/>
        <v>25</v>
      </c>
      <c r="V118" s="11">
        <v>0</v>
      </c>
      <c r="W118" s="8">
        <v>-8.3745422363281268</v>
      </c>
      <c r="X118" s="8">
        <v>-63.300843948364253</v>
      </c>
      <c r="Y118" s="8">
        <f t="shared" si="3"/>
        <v>3.6954939422607609</v>
      </c>
    </row>
    <row r="119" spans="1:25" s="6" customFormat="1" x14ac:dyDescent="0.35">
      <c r="A119" s="6" t="s">
        <v>25</v>
      </c>
      <c r="B119" s="7" t="s">
        <v>707</v>
      </c>
      <c r="C119" s="6">
        <v>510826</v>
      </c>
      <c r="D119" s="6" t="s">
        <v>708</v>
      </c>
      <c r="E119" s="6">
        <v>1</v>
      </c>
      <c r="F119" s="6">
        <v>9</v>
      </c>
      <c r="G119" s="6" t="s">
        <v>272</v>
      </c>
      <c r="I119" s="8">
        <v>86.154772777777794</v>
      </c>
      <c r="J119" s="8">
        <v>116.51710749999999</v>
      </c>
      <c r="K119" s="6" t="s">
        <v>29</v>
      </c>
      <c r="L119" s="6" t="s">
        <v>546</v>
      </c>
      <c r="M119" s="9">
        <v>43797</v>
      </c>
      <c r="O119" s="6">
        <v>9</v>
      </c>
      <c r="P119" s="6" t="s">
        <v>4273</v>
      </c>
      <c r="Q119" s="8">
        <v>-15.9</v>
      </c>
      <c r="R119" s="10" t="s">
        <v>709</v>
      </c>
      <c r="S119" s="10">
        <v>20.5</v>
      </c>
      <c r="T119" s="10">
        <v>30.5</v>
      </c>
      <c r="U119" s="10">
        <f t="shared" si="2"/>
        <v>25.5</v>
      </c>
      <c r="V119" s="11">
        <v>0</v>
      </c>
      <c r="W119" s="8">
        <v>-6.8677606296539304</v>
      </c>
      <c r="X119" s="8">
        <v>-52.347490077972409</v>
      </c>
      <c r="Y119" s="8">
        <f t="shared" si="3"/>
        <v>2.5945949592590338</v>
      </c>
    </row>
    <row r="120" spans="1:25" s="6" customFormat="1" x14ac:dyDescent="0.35">
      <c r="A120" s="6" t="s">
        <v>25</v>
      </c>
      <c r="B120" s="7" t="s">
        <v>674</v>
      </c>
      <c r="C120" s="6">
        <v>510837</v>
      </c>
      <c r="D120" s="6" t="s">
        <v>675</v>
      </c>
      <c r="E120" s="6">
        <v>1</v>
      </c>
      <c r="F120" s="6">
        <v>9</v>
      </c>
      <c r="G120" s="6" t="s">
        <v>272</v>
      </c>
      <c r="I120" s="8">
        <v>86.154772777777794</v>
      </c>
      <c r="J120" s="8">
        <v>116.51710749999999</v>
      </c>
      <c r="K120" s="6" t="s">
        <v>29</v>
      </c>
      <c r="L120" s="6" t="s">
        <v>546</v>
      </c>
      <c r="M120" s="9">
        <v>43797</v>
      </c>
      <c r="O120" s="6">
        <v>9</v>
      </c>
      <c r="P120" s="6" t="s">
        <v>4273</v>
      </c>
      <c r="Q120" s="8">
        <v>-14.85</v>
      </c>
      <c r="R120" s="10" t="s">
        <v>157</v>
      </c>
      <c r="S120" s="10">
        <v>30</v>
      </c>
      <c r="T120" s="10">
        <v>40</v>
      </c>
      <c r="U120" s="10">
        <f t="shared" si="2"/>
        <v>35</v>
      </c>
      <c r="V120" s="11">
        <v>0</v>
      </c>
      <c r="W120" s="8">
        <v>-7.5786032676696777</v>
      </c>
      <c r="X120" s="8">
        <v>-58.790032283782956</v>
      </c>
      <c r="Y120" s="8">
        <f t="shared" si="3"/>
        <v>1.8387938575744656</v>
      </c>
    </row>
    <row r="121" spans="1:25" s="6" customFormat="1" x14ac:dyDescent="0.35">
      <c r="A121" s="6" t="s">
        <v>25</v>
      </c>
      <c r="B121" s="7" t="s">
        <v>699</v>
      </c>
      <c r="C121" s="6">
        <v>510827</v>
      </c>
      <c r="D121" s="6" t="s">
        <v>700</v>
      </c>
      <c r="E121" s="6">
        <v>1</v>
      </c>
      <c r="F121" s="6">
        <v>9</v>
      </c>
      <c r="G121" s="6" t="s">
        <v>272</v>
      </c>
      <c r="I121" s="8">
        <v>86.154772777777794</v>
      </c>
      <c r="J121" s="8">
        <v>116.51710749999999</v>
      </c>
      <c r="K121" s="6" t="s">
        <v>29</v>
      </c>
      <c r="L121" s="6" t="s">
        <v>546</v>
      </c>
      <c r="M121" s="9">
        <v>43797</v>
      </c>
      <c r="O121" s="6">
        <v>9</v>
      </c>
      <c r="P121" s="6" t="s">
        <v>4273</v>
      </c>
      <c r="Q121" s="8">
        <v>-14.85</v>
      </c>
      <c r="R121" s="10" t="s">
        <v>701</v>
      </c>
      <c r="S121" s="10">
        <v>30.5</v>
      </c>
      <c r="T121" s="10">
        <v>40</v>
      </c>
      <c r="U121" s="10">
        <f t="shared" si="2"/>
        <v>35.25</v>
      </c>
      <c r="V121" s="11">
        <v>0</v>
      </c>
      <c r="W121" s="8">
        <v>-8.2914907455444329</v>
      </c>
      <c r="X121" s="8">
        <v>-63.329500511169435</v>
      </c>
      <c r="Y121" s="8">
        <f t="shared" si="3"/>
        <v>3.0024254531860279</v>
      </c>
    </row>
    <row r="122" spans="1:25" s="6" customFormat="1" x14ac:dyDescent="0.35">
      <c r="A122" s="6" t="s">
        <v>25</v>
      </c>
      <c r="B122" s="7" t="s">
        <v>702</v>
      </c>
      <c r="C122" s="6">
        <v>510828</v>
      </c>
      <c r="D122" s="6" t="s">
        <v>703</v>
      </c>
      <c r="E122" s="6">
        <v>1</v>
      </c>
      <c r="F122" s="6">
        <v>9</v>
      </c>
      <c r="G122" s="6" t="s">
        <v>272</v>
      </c>
      <c r="I122" s="8">
        <v>86.154772777777794</v>
      </c>
      <c r="J122" s="8">
        <v>116.51710749999999</v>
      </c>
      <c r="K122" s="6" t="s">
        <v>29</v>
      </c>
      <c r="L122" s="6" t="s">
        <v>546</v>
      </c>
      <c r="M122" s="9">
        <v>43797</v>
      </c>
      <c r="O122" s="6">
        <v>9</v>
      </c>
      <c r="P122" s="6" t="s">
        <v>4273</v>
      </c>
      <c r="Q122" s="8">
        <v>-13.65</v>
      </c>
      <c r="R122" s="10" t="s">
        <v>704</v>
      </c>
      <c r="S122" s="10">
        <v>40</v>
      </c>
      <c r="T122" s="10">
        <v>50</v>
      </c>
      <c r="U122" s="10">
        <f t="shared" si="2"/>
        <v>45</v>
      </c>
      <c r="V122" s="11">
        <v>0</v>
      </c>
      <c r="W122" s="8">
        <v>-4.5763923645019542</v>
      </c>
      <c r="X122" s="8">
        <v>-35.642104660034178</v>
      </c>
      <c r="Y122" s="8">
        <f t="shared" si="3"/>
        <v>0.96903425598145532</v>
      </c>
    </row>
    <row r="123" spans="1:25" s="6" customFormat="1" x14ac:dyDescent="0.35">
      <c r="A123" s="6" t="s">
        <v>25</v>
      </c>
      <c r="B123" s="7" t="s">
        <v>670</v>
      </c>
      <c r="C123" s="6">
        <v>510838</v>
      </c>
      <c r="D123" s="6" t="s">
        <v>671</v>
      </c>
      <c r="E123" s="6">
        <v>1</v>
      </c>
      <c r="F123" s="6">
        <v>9</v>
      </c>
      <c r="G123" s="6" t="s">
        <v>272</v>
      </c>
      <c r="I123" s="8">
        <v>86.154772777777794</v>
      </c>
      <c r="J123" s="8">
        <v>116.51710749999999</v>
      </c>
      <c r="K123" s="6" t="s">
        <v>29</v>
      </c>
      <c r="L123" s="6" t="s">
        <v>546</v>
      </c>
      <c r="M123" s="9">
        <v>43797</v>
      </c>
      <c r="O123" s="6">
        <v>9</v>
      </c>
      <c r="P123" s="6" t="s">
        <v>4273</v>
      </c>
      <c r="Q123" s="8">
        <v>-13.65</v>
      </c>
      <c r="R123" s="10" t="s">
        <v>159</v>
      </c>
      <c r="S123" s="10">
        <v>40</v>
      </c>
      <c r="T123" s="10">
        <v>50</v>
      </c>
      <c r="U123" s="10">
        <f t="shared" si="2"/>
        <v>45</v>
      </c>
      <c r="V123" s="11">
        <v>0</v>
      </c>
      <c r="W123" s="8">
        <v>-4.0977993011474609</v>
      </c>
      <c r="X123" s="8">
        <v>-31.60804933166504</v>
      </c>
      <c r="Y123" s="8">
        <f t="shared" si="3"/>
        <v>1.1743450775146478</v>
      </c>
    </row>
    <row r="124" spans="1:25" s="6" customFormat="1" x14ac:dyDescent="0.35">
      <c r="A124" s="6" t="s">
        <v>25</v>
      </c>
      <c r="B124" s="7" t="s">
        <v>705</v>
      </c>
      <c r="C124" s="6">
        <v>510829</v>
      </c>
      <c r="D124" s="6" t="s">
        <v>706</v>
      </c>
      <c r="E124" s="6">
        <v>1</v>
      </c>
      <c r="F124" s="6">
        <v>9</v>
      </c>
      <c r="G124" s="6" t="s">
        <v>272</v>
      </c>
      <c r="I124" s="8">
        <v>86.154772777777794</v>
      </c>
      <c r="J124" s="8">
        <v>116.51710749999999</v>
      </c>
      <c r="K124" s="6" t="s">
        <v>29</v>
      </c>
      <c r="L124" s="6" t="s">
        <v>546</v>
      </c>
      <c r="M124" s="9">
        <v>43797</v>
      </c>
      <c r="O124" s="6">
        <v>9</v>
      </c>
      <c r="P124" s="6" t="s">
        <v>4273</v>
      </c>
      <c r="Q124" s="8">
        <v>-11</v>
      </c>
      <c r="R124" s="10" t="s">
        <v>161</v>
      </c>
      <c r="S124" s="10">
        <v>50</v>
      </c>
      <c r="T124" s="10">
        <v>60</v>
      </c>
      <c r="U124" s="10">
        <f t="shared" si="2"/>
        <v>55</v>
      </c>
      <c r="V124" s="11">
        <v>0</v>
      </c>
      <c r="W124" s="8">
        <v>-6.0672330570220954</v>
      </c>
      <c r="X124" s="8">
        <v>-46.185987373352049</v>
      </c>
      <c r="Y124" s="8">
        <f t="shared" si="3"/>
        <v>2.3518770828247142</v>
      </c>
    </row>
    <row r="125" spans="1:25" s="6" customFormat="1" x14ac:dyDescent="0.35">
      <c r="A125" s="6" t="s">
        <v>25</v>
      </c>
      <c r="B125" s="7" t="s">
        <v>684</v>
      </c>
      <c r="C125" s="6">
        <v>510839</v>
      </c>
      <c r="D125" s="6" t="s">
        <v>685</v>
      </c>
      <c r="E125" s="6">
        <v>1</v>
      </c>
      <c r="F125" s="6">
        <v>9</v>
      </c>
      <c r="G125" s="6" t="s">
        <v>272</v>
      </c>
      <c r="I125" s="8">
        <v>86.154772777777794</v>
      </c>
      <c r="J125" s="8">
        <v>116.51710749999999</v>
      </c>
      <c r="K125" s="6" t="s">
        <v>29</v>
      </c>
      <c r="L125" s="6" t="s">
        <v>546</v>
      </c>
      <c r="M125" s="9">
        <v>43797</v>
      </c>
      <c r="O125" s="6">
        <v>9</v>
      </c>
      <c r="P125" s="6" t="s">
        <v>4273</v>
      </c>
      <c r="Q125" s="8">
        <v>-11</v>
      </c>
      <c r="R125" s="10" t="s">
        <v>161</v>
      </c>
      <c r="S125" s="10">
        <v>50</v>
      </c>
      <c r="T125" s="10">
        <v>60</v>
      </c>
      <c r="U125" s="10">
        <f t="shared" si="2"/>
        <v>55</v>
      </c>
      <c r="V125" s="11">
        <v>0</v>
      </c>
      <c r="W125" s="8">
        <v>-5.1306511878967305</v>
      </c>
      <c r="X125" s="8">
        <v>-39.316722633361806</v>
      </c>
      <c r="Y125" s="8">
        <f t="shared" si="3"/>
        <v>1.7284868698120377</v>
      </c>
    </row>
    <row r="126" spans="1:25" s="6" customFormat="1" x14ac:dyDescent="0.35">
      <c r="A126" s="6" t="s">
        <v>25</v>
      </c>
      <c r="B126" s="7" t="s">
        <v>710</v>
      </c>
      <c r="C126" s="6">
        <v>510830</v>
      </c>
      <c r="D126" s="6" t="s">
        <v>711</v>
      </c>
      <c r="E126" s="6">
        <v>1</v>
      </c>
      <c r="F126" s="6">
        <v>9</v>
      </c>
      <c r="G126" s="6" t="s">
        <v>272</v>
      </c>
      <c r="I126" s="8">
        <v>86.154772777777794</v>
      </c>
      <c r="J126" s="8">
        <v>116.51710749999999</v>
      </c>
      <c r="K126" s="6" t="s">
        <v>29</v>
      </c>
      <c r="L126" s="6" t="s">
        <v>546</v>
      </c>
      <c r="M126" s="9">
        <v>43797</v>
      </c>
      <c r="O126" s="6">
        <v>9</v>
      </c>
      <c r="P126" s="6" t="s">
        <v>4273</v>
      </c>
      <c r="Q126" s="8">
        <v>-8.6333333333333346</v>
      </c>
      <c r="R126" s="10" t="s">
        <v>163</v>
      </c>
      <c r="S126" s="10">
        <v>60</v>
      </c>
      <c r="T126" s="10">
        <v>70</v>
      </c>
      <c r="U126" s="10">
        <f t="shared" si="2"/>
        <v>65</v>
      </c>
      <c r="V126" s="11">
        <v>0.2</v>
      </c>
      <c r="W126" s="8">
        <v>-7.9346642208099372</v>
      </c>
      <c r="X126" s="8">
        <v>-59.06503889465332</v>
      </c>
      <c r="Y126" s="8">
        <f t="shared" si="3"/>
        <v>4.4122748718261775</v>
      </c>
    </row>
    <row r="127" spans="1:25" s="6" customFormat="1" x14ac:dyDescent="0.35">
      <c r="A127" s="6" t="s">
        <v>25</v>
      </c>
      <c r="B127" s="7" t="s">
        <v>676</v>
      </c>
      <c r="C127" s="6">
        <v>510840</v>
      </c>
      <c r="D127" s="6" t="s">
        <v>677</v>
      </c>
      <c r="E127" s="6">
        <v>1</v>
      </c>
      <c r="F127" s="6">
        <v>9</v>
      </c>
      <c r="G127" s="6" t="s">
        <v>272</v>
      </c>
      <c r="I127" s="8">
        <v>86.154772777777794</v>
      </c>
      <c r="J127" s="8">
        <v>116.51710749999999</v>
      </c>
      <c r="K127" s="6" t="s">
        <v>29</v>
      </c>
      <c r="L127" s="6" t="s">
        <v>546</v>
      </c>
      <c r="M127" s="9">
        <v>43797</v>
      </c>
      <c r="O127" s="6">
        <v>9</v>
      </c>
      <c r="P127" s="6" t="s">
        <v>4273</v>
      </c>
      <c r="Q127" s="8">
        <v>-8.6333333333333346</v>
      </c>
      <c r="R127" s="10" t="s">
        <v>163</v>
      </c>
      <c r="S127" s="10">
        <v>60</v>
      </c>
      <c r="T127" s="10">
        <v>70</v>
      </c>
      <c r="U127" s="10">
        <f t="shared" si="2"/>
        <v>65</v>
      </c>
      <c r="V127" s="11">
        <v>0</v>
      </c>
      <c r="W127" s="8">
        <v>-6.7291829109191905</v>
      </c>
      <c r="X127" s="8">
        <v>-50.793325630187987</v>
      </c>
      <c r="Y127" s="8">
        <f t="shared" si="3"/>
        <v>3.0401376571655376</v>
      </c>
    </row>
    <row r="128" spans="1:25" s="6" customFormat="1" x14ac:dyDescent="0.35">
      <c r="A128" s="6" t="s">
        <v>25</v>
      </c>
      <c r="B128" s="7" t="s">
        <v>689</v>
      </c>
      <c r="C128" s="6">
        <v>510831</v>
      </c>
      <c r="D128" s="6" t="s">
        <v>690</v>
      </c>
      <c r="E128" s="6">
        <v>1</v>
      </c>
      <c r="F128" s="6">
        <v>9</v>
      </c>
      <c r="G128" s="6" t="s">
        <v>272</v>
      </c>
      <c r="I128" s="8">
        <v>86.154772777777794</v>
      </c>
      <c r="J128" s="8">
        <v>116.51710749999999</v>
      </c>
      <c r="K128" s="6" t="s">
        <v>29</v>
      </c>
      <c r="L128" s="6" t="s">
        <v>546</v>
      </c>
      <c r="M128" s="9">
        <v>43797</v>
      </c>
      <c r="O128" s="6">
        <v>9</v>
      </c>
      <c r="P128" s="6" t="s">
        <v>4273</v>
      </c>
      <c r="Q128" s="8">
        <v>-4.7</v>
      </c>
      <c r="R128" s="10" t="s">
        <v>165</v>
      </c>
      <c r="S128" s="10">
        <v>70</v>
      </c>
      <c r="T128" s="10">
        <v>80</v>
      </c>
      <c r="U128" s="10">
        <f t="shared" si="2"/>
        <v>75</v>
      </c>
      <c r="V128" s="11">
        <v>0.2</v>
      </c>
      <c r="W128" s="8">
        <v>-7.0378629684448244</v>
      </c>
      <c r="X128" s="8">
        <v>-52.557332599639892</v>
      </c>
      <c r="Y128" s="8">
        <f t="shared" si="3"/>
        <v>3.745571147918703</v>
      </c>
    </row>
    <row r="129" spans="1:25" s="6" customFormat="1" x14ac:dyDescent="0.35">
      <c r="A129" s="6" t="s">
        <v>25</v>
      </c>
      <c r="B129" s="7" t="s">
        <v>678</v>
      </c>
      <c r="C129" s="6">
        <v>510852</v>
      </c>
      <c r="D129" s="6" t="s">
        <v>679</v>
      </c>
      <c r="E129" s="6">
        <v>1</v>
      </c>
      <c r="F129" s="6">
        <v>9</v>
      </c>
      <c r="G129" s="6" t="s">
        <v>272</v>
      </c>
      <c r="I129" s="8">
        <v>86.154772777777794</v>
      </c>
      <c r="J129" s="8">
        <v>116.51710749999999</v>
      </c>
      <c r="K129" s="6" t="s">
        <v>29</v>
      </c>
      <c r="L129" s="6" t="s">
        <v>546</v>
      </c>
      <c r="M129" s="9">
        <v>43797</v>
      </c>
      <c r="O129" s="6">
        <v>9</v>
      </c>
      <c r="P129" s="6" t="s">
        <v>4273</v>
      </c>
      <c r="Q129" s="8">
        <v>-4.7</v>
      </c>
      <c r="R129" s="10" t="s">
        <v>544</v>
      </c>
      <c r="S129" s="10">
        <v>70</v>
      </c>
      <c r="T129" s="10">
        <v>82</v>
      </c>
      <c r="U129" s="10">
        <f t="shared" si="2"/>
        <v>76</v>
      </c>
      <c r="V129" s="11">
        <v>0.7</v>
      </c>
      <c r="W129" s="8">
        <v>-9.0278388977050774</v>
      </c>
      <c r="X129" s="8">
        <v>-66.617486717224125</v>
      </c>
      <c r="Y129" s="8">
        <f t="shared" si="3"/>
        <v>5.6052244644164944</v>
      </c>
    </row>
    <row r="130" spans="1:25" s="6" customFormat="1" x14ac:dyDescent="0.35">
      <c r="A130" s="6" t="s">
        <v>25</v>
      </c>
      <c r="B130" s="7" t="s">
        <v>691</v>
      </c>
      <c r="C130" s="6">
        <v>510832</v>
      </c>
      <c r="D130" s="6" t="s">
        <v>692</v>
      </c>
      <c r="E130" s="6">
        <v>1</v>
      </c>
      <c r="F130" s="6">
        <v>9</v>
      </c>
      <c r="G130" s="6" t="s">
        <v>272</v>
      </c>
      <c r="I130" s="8">
        <v>86.154772777777794</v>
      </c>
      <c r="J130" s="8">
        <v>116.51710749999999</v>
      </c>
      <c r="K130" s="6" t="s">
        <v>29</v>
      </c>
      <c r="L130" s="6" t="s">
        <v>546</v>
      </c>
      <c r="M130" s="9">
        <v>43797</v>
      </c>
      <c r="O130" s="6">
        <v>9</v>
      </c>
      <c r="P130" s="6" t="s">
        <v>4273</v>
      </c>
      <c r="Q130" s="8">
        <v>-2.1</v>
      </c>
      <c r="R130" s="10" t="s">
        <v>167</v>
      </c>
      <c r="S130" s="10">
        <v>80</v>
      </c>
      <c r="T130" s="10">
        <v>90</v>
      </c>
      <c r="U130" s="10">
        <f t="shared" ref="U130:U193" si="4">AVERAGE(S130:T130)</f>
        <v>85</v>
      </c>
      <c r="V130" s="11">
        <v>0</v>
      </c>
      <c r="W130" s="8">
        <v>-5.6694361686706545</v>
      </c>
      <c r="X130" s="8">
        <v>-43.136583446502684</v>
      </c>
      <c r="Y130" s="8">
        <f t="shared" ref="Y130:Y193" si="5">X130-(8*W130)</f>
        <v>2.2189059028625522</v>
      </c>
    </row>
    <row r="131" spans="1:25" s="6" customFormat="1" x14ac:dyDescent="0.35">
      <c r="A131" s="6" t="s">
        <v>25</v>
      </c>
      <c r="B131" s="7" t="s">
        <v>693</v>
      </c>
      <c r="C131" s="6">
        <v>510833</v>
      </c>
      <c r="D131" s="6" t="s">
        <v>694</v>
      </c>
      <c r="E131" s="6">
        <v>1</v>
      </c>
      <c r="F131" s="6">
        <v>9</v>
      </c>
      <c r="G131" s="6" t="s">
        <v>272</v>
      </c>
      <c r="I131" s="8">
        <v>86.154772777777794</v>
      </c>
      <c r="J131" s="8">
        <v>116.51710749999999</v>
      </c>
      <c r="K131" s="6" t="s">
        <v>29</v>
      </c>
      <c r="L131" s="6" t="s">
        <v>546</v>
      </c>
      <c r="M131" s="9">
        <v>43797</v>
      </c>
      <c r="O131" s="6">
        <v>9</v>
      </c>
      <c r="P131" s="6" t="s">
        <v>4273</v>
      </c>
      <c r="Q131" s="8">
        <v>-1.8</v>
      </c>
      <c r="R131" s="10" t="s">
        <v>695</v>
      </c>
      <c r="S131" s="10">
        <v>90</v>
      </c>
      <c r="T131" s="10">
        <v>98.5</v>
      </c>
      <c r="U131" s="10">
        <f t="shared" si="4"/>
        <v>94.25</v>
      </c>
      <c r="V131" s="11">
        <v>0.4</v>
      </c>
      <c r="W131" s="8">
        <v>-5.2159769058227541</v>
      </c>
      <c r="X131" s="8">
        <v>-40.017617862701414</v>
      </c>
      <c r="Y131" s="8">
        <f t="shared" si="5"/>
        <v>1.7101973838806188</v>
      </c>
    </row>
    <row r="132" spans="1:25" s="6" customFormat="1" x14ac:dyDescent="0.35">
      <c r="A132" s="6" t="s">
        <v>25</v>
      </c>
      <c r="B132" s="7"/>
      <c r="C132" s="6">
        <v>510938</v>
      </c>
      <c r="D132" s="6" t="s">
        <v>749</v>
      </c>
      <c r="E132" s="6">
        <v>1</v>
      </c>
      <c r="F132" s="6">
        <v>10</v>
      </c>
      <c r="G132" s="6" t="s">
        <v>210</v>
      </c>
      <c r="H132" s="6">
        <v>12</v>
      </c>
      <c r="I132" s="8">
        <v>85.933882569444407</v>
      </c>
      <c r="J132" s="8">
        <v>114.06437159722201</v>
      </c>
      <c r="K132" s="6" t="s">
        <v>29</v>
      </c>
      <c r="L132" s="6" t="s">
        <v>546</v>
      </c>
      <c r="M132" s="9">
        <v>43801</v>
      </c>
      <c r="O132" s="6">
        <v>10</v>
      </c>
      <c r="P132" s="6" t="s">
        <v>4277</v>
      </c>
      <c r="R132" s="6" t="s">
        <v>64</v>
      </c>
      <c r="S132" s="6">
        <v>0</v>
      </c>
      <c r="T132" s="6">
        <v>10</v>
      </c>
      <c r="U132" s="10">
        <f t="shared" si="4"/>
        <v>5</v>
      </c>
      <c r="V132" s="6">
        <v>0.9</v>
      </c>
      <c r="W132" s="8">
        <v>-6.715717029476167</v>
      </c>
      <c r="X132" s="8">
        <v>-52.168557056427005</v>
      </c>
      <c r="Y132" s="8">
        <f t="shared" si="5"/>
        <v>1.5571791793823309</v>
      </c>
    </row>
    <row r="133" spans="1:25" s="6" customFormat="1" x14ac:dyDescent="0.35">
      <c r="A133" s="6" t="s">
        <v>25</v>
      </c>
      <c r="B133" s="7"/>
      <c r="C133" s="6">
        <v>510937</v>
      </c>
      <c r="D133" s="6" t="s">
        <v>749</v>
      </c>
      <c r="E133" s="6">
        <v>1</v>
      </c>
      <c r="F133" s="6">
        <v>10</v>
      </c>
      <c r="G133" s="6" t="s">
        <v>210</v>
      </c>
      <c r="H133" s="6">
        <v>12</v>
      </c>
      <c r="I133" s="8">
        <v>85.933882569444407</v>
      </c>
      <c r="J133" s="8">
        <v>114.06437159722201</v>
      </c>
      <c r="K133" s="6" t="s">
        <v>29</v>
      </c>
      <c r="L133" s="6" t="s">
        <v>546</v>
      </c>
      <c r="M133" s="9">
        <v>43801</v>
      </c>
      <c r="O133" s="6">
        <v>10</v>
      </c>
      <c r="P133" s="6" t="s">
        <v>4277</v>
      </c>
      <c r="R133" s="6" t="s">
        <v>138</v>
      </c>
      <c r="S133" s="6">
        <v>10</v>
      </c>
      <c r="T133" s="6">
        <v>20</v>
      </c>
      <c r="U133" s="10">
        <f t="shared" si="4"/>
        <v>15</v>
      </c>
      <c r="V133" s="6">
        <v>0.6</v>
      </c>
      <c r="W133" s="8">
        <v>-4.4399233271598826</v>
      </c>
      <c r="X133" s="8">
        <v>-35.353708003997802</v>
      </c>
      <c r="Y133" s="8">
        <f t="shared" si="5"/>
        <v>0.16567861328125844</v>
      </c>
    </row>
    <row r="134" spans="1:25" s="6" customFormat="1" x14ac:dyDescent="0.35">
      <c r="A134" s="6" t="s">
        <v>25</v>
      </c>
      <c r="B134" s="7"/>
      <c r="C134" s="6">
        <v>510939</v>
      </c>
      <c r="D134" s="6" t="s">
        <v>749</v>
      </c>
      <c r="E134" s="6">
        <v>1</v>
      </c>
      <c r="F134" s="6">
        <v>10</v>
      </c>
      <c r="G134" s="6" t="s">
        <v>210</v>
      </c>
      <c r="H134" s="6">
        <v>12</v>
      </c>
      <c r="I134" s="8">
        <v>85.933882569444407</v>
      </c>
      <c r="J134" s="8">
        <v>114.06437159722201</v>
      </c>
      <c r="K134" s="6" t="s">
        <v>29</v>
      </c>
      <c r="L134" s="6" t="s">
        <v>546</v>
      </c>
      <c r="M134" s="9">
        <v>43801</v>
      </c>
      <c r="O134" s="6">
        <v>10</v>
      </c>
      <c r="P134" s="6" t="s">
        <v>4277</v>
      </c>
      <c r="R134" s="6" t="s">
        <v>146</v>
      </c>
      <c r="S134" s="6">
        <v>20</v>
      </c>
      <c r="T134" s="6">
        <v>30</v>
      </c>
      <c r="U134" s="10">
        <f t="shared" si="4"/>
        <v>25</v>
      </c>
      <c r="V134" s="6">
        <v>1</v>
      </c>
      <c r="W134" s="8">
        <v>-6.5670164978027348</v>
      </c>
      <c r="X134" s="8">
        <v>-50.652841316223146</v>
      </c>
      <c r="Y134" s="8">
        <f t="shared" si="5"/>
        <v>1.8832906661987323</v>
      </c>
    </row>
    <row r="135" spans="1:25" s="6" customFormat="1" x14ac:dyDescent="0.35">
      <c r="A135" s="6" t="s">
        <v>25</v>
      </c>
      <c r="B135" s="7"/>
      <c r="C135" s="6">
        <v>510940</v>
      </c>
      <c r="D135" s="6" t="s">
        <v>749</v>
      </c>
      <c r="E135" s="6">
        <v>1</v>
      </c>
      <c r="F135" s="6">
        <v>10</v>
      </c>
      <c r="G135" s="6" t="s">
        <v>210</v>
      </c>
      <c r="H135" s="6">
        <v>12</v>
      </c>
      <c r="I135" s="8">
        <v>85.933882569444407</v>
      </c>
      <c r="J135" s="8">
        <v>114.06437159722201</v>
      </c>
      <c r="K135" s="6" t="s">
        <v>29</v>
      </c>
      <c r="L135" s="6" t="s">
        <v>546</v>
      </c>
      <c r="M135" s="9">
        <v>43801</v>
      </c>
      <c r="O135" s="6">
        <v>10</v>
      </c>
      <c r="P135" s="6" t="s">
        <v>4277</v>
      </c>
      <c r="R135" s="6" t="s">
        <v>324</v>
      </c>
      <c r="S135" s="6">
        <v>30</v>
      </c>
      <c r="T135" s="6">
        <v>42</v>
      </c>
      <c r="U135" s="10">
        <f t="shared" si="4"/>
        <v>36</v>
      </c>
      <c r="V135" s="6">
        <v>2</v>
      </c>
      <c r="W135" s="8">
        <v>-8.0284166032791138</v>
      </c>
      <c r="X135" s="8">
        <v>-59.665636978149415</v>
      </c>
      <c r="Y135" s="8">
        <f t="shared" si="5"/>
        <v>4.5616958480834953</v>
      </c>
    </row>
    <row r="136" spans="1:25" s="6" customFormat="1" x14ac:dyDescent="0.35">
      <c r="A136" s="6" t="s">
        <v>25</v>
      </c>
      <c r="B136" s="7"/>
      <c r="C136" s="6">
        <v>510941</v>
      </c>
      <c r="D136" s="6" t="s">
        <v>749</v>
      </c>
      <c r="E136" s="6">
        <v>1</v>
      </c>
      <c r="F136" s="6">
        <v>10</v>
      </c>
      <c r="G136" s="6" t="s">
        <v>210</v>
      </c>
      <c r="H136" s="6">
        <v>12</v>
      </c>
      <c r="I136" s="8">
        <v>85.933882569444407</v>
      </c>
      <c r="J136" s="8">
        <v>114.06437159722201</v>
      </c>
      <c r="K136" s="6" t="s">
        <v>29</v>
      </c>
      <c r="L136" s="6" t="s">
        <v>546</v>
      </c>
      <c r="M136" s="9">
        <v>43801</v>
      </c>
      <c r="O136" s="6">
        <v>10</v>
      </c>
      <c r="P136" s="6" t="s">
        <v>4277</v>
      </c>
      <c r="R136" s="6" t="s">
        <v>540</v>
      </c>
      <c r="S136" s="6">
        <v>42</v>
      </c>
      <c r="T136" s="6">
        <v>52</v>
      </c>
      <c r="U136" s="10">
        <f t="shared" si="4"/>
        <v>47</v>
      </c>
      <c r="V136" s="6">
        <v>1.5</v>
      </c>
      <c r="W136" s="8">
        <v>-4.6836083075523378</v>
      </c>
      <c r="X136" s="8">
        <v>-35.93631749725342</v>
      </c>
      <c r="Y136" s="8">
        <f t="shared" si="5"/>
        <v>1.5325489631652829</v>
      </c>
    </row>
    <row r="137" spans="1:25" s="6" customFormat="1" x14ac:dyDescent="0.35">
      <c r="A137" s="6" t="s">
        <v>25</v>
      </c>
      <c r="B137" s="7"/>
      <c r="C137" s="6">
        <v>510942</v>
      </c>
      <c r="D137" s="6" t="s">
        <v>749</v>
      </c>
      <c r="E137" s="6">
        <v>1</v>
      </c>
      <c r="F137" s="6">
        <v>10</v>
      </c>
      <c r="G137" s="6" t="s">
        <v>210</v>
      </c>
      <c r="H137" s="6">
        <v>12</v>
      </c>
      <c r="I137" s="8">
        <v>85.933882569444407</v>
      </c>
      <c r="J137" s="8">
        <v>114.06437159722201</v>
      </c>
      <c r="K137" s="6" t="s">
        <v>29</v>
      </c>
      <c r="L137" s="6" t="s">
        <v>546</v>
      </c>
      <c r="M137" s="9">
        <v>43801</v>
      </c>
      <c r="O137" s="6">
        <v>10</v>
      </c>
      <c r="P137" s="6" t="s">
        <v>4277</v>
      </c>
      <c r="R137" s="6" t="s">
        <v>529</v>
      </c>
      <c r="S137" s="6">
        <v>52</v>
      </c>
      <c r="T137" s="6">
        <v>62</v>
      </c>
      <c r="U137" s="10">
        <f t="shared" si="4"/>
        <v>57</v>
      </c>
      <c r="V137" s="6">
        <v>1.2</v>
      </c>
      <c r="W137" s="8">
        <v>-4.1984877202033992</v>
      </c>
      <c r="X137" s="8">
        <v>-32.518442989349367</v>
      </c>
      <c r="Y137" s="8">
        <f t="shared" si="5"/>
        <v>1.0694587722778266</v>
      </c>
    </row>
    <row r="138" spans="1:25" s="6" customFormat="1" x14ac:dyDescent="0.35">
      <c r="A138" s="6" t="s">
        <v>25</v>
      </c>
      <c r="B138" s="7"/>
      <c r="C138" s="6">
        <v>510943</v>
      </c>
      <c r="D138" s="6" t="s">
        <v>749</v>
      </c>
      <c r="E138" s="6">
        <v>1</v>
      </c>
      <c r="F138" s="6">
        <v>10</v>
      </c>
      <c r="G138" s="6" t="s">
        <v>210</v>
      </c>
      <c r="H138" s="6">
        <v>12</v>
      </c>
      <c r="I138" s="8">
        <v>85.933882569444407</v>
      </c>
      <c r="J138" s="8">
        <v>114.06437159722201</v>
      </c>
      <c r="K138" s="6" t="s">
        <v>29</v>
      </c>
      <c r="L138" s="6" t="s">
        <v>546</v>
      </c>
      <c r="M138" s="9">
        <v>43801</v>
      </c>
      <c r="O138" s="6">
        <v>10</v>
      </c>
      <c r="P138" s="6" t="s">
        <v>4277</v>
      </c>
      <c r="R138" s="6" t="s">
        <v>750</v>
      </c>
      <c r="S138" s="6">
        <v>62</v>
      </c>
      <c r="T138" s="6">
        <v>73.5</v>
      </c>
      <c r="U138" s="10">
        <f t="shared" si="4"/>
        <v>67.75</v>
      </c>
      <c r="V138" s="6">
        <v>5.5</v>
      </c>
      <c r="W138" s="8">
        <v>0.84544609605073984</v>
      </c>
      <c r="X138" s="8">
        <v>5.9924041767120357</v>
      </c>
      <c r="Y138" s="8">
        <f t="shared" si="5"/>
        <v>-0.77116459169388296</v>
      </c>
    </row>
    <row r="139" spans="1:25" s="6" customFormat="1" x14ac:dyDescent="0.35">
      <c r="A139" s="6" t="s">
        <v>25</v>
      </c>
      <c r="B139" s="6" t="s">
        <v>795</v>
      </c>
      <c r="D139" s="6" t="s">
        <v>789</v>
      </c>
      <c r="E139" s="6">
        <v>2</v>
      </c>
      <c r="F139" s="6">
        <v>17</v>
      </c>
      <c r="G139" s="6" t="s">
        <v>272</v>
      </c>
      <c r="I139" s="8">
        <v>86.641082222222195</v>
      </c>
      <c r="J139" s="8">
        <v>113.166453680556</v>
      </c>
      <c r="K139" s="6" t="s">
        <v>29</v>
      </c>
      <c r="L139" s="6" t="s">
        <v>546</v>
      </c>
      <c r="M139" s="9">
        <v>43822</v>
      </c>
      <c r="O139" s="6">
        <v>13</v>
      </c>
      <c r="P139" s="6" t="s">
        <v>4294</v>
      </c>
      <c r="R139" s="6">
        <v>0</v>
      </c>
      <c r="S139" s="6">
        <v>0</v>
      </c>
      <c r="T139" s="6">
        <v>10</v>
      </c>
      <c r="U139" s="10">
        <f t="shared" si="4"/>
        <v>5</v>
      </c>
      <c r="V139" s="30"/>
      <c r="W139" s="8">
        <v>-7.9361170722007737</v>
      </c>
      <c r="X139" s="8">
        <v>-62.25497217178345</v>
      </c>
      <c r="Y139" s="8">
        <f t="shared" si="5"/>
        <v>1.2339644058227393</v>
      </c>
    </row>
    <row r="140" spans="1:25" s="6" customFormat="1" x14ac:dyDescent="0.35">
      <c r="A140" s="6" t="s">
        <v>25</v>
      </c>
      <c r="B140" s="6" t="s">
        <v>796</v>
      </c>
      <c r="D140" s="6" t="s">
        <v>789</v>
      </c>
      <c r="E140" s="6">
        <v>2</v>
      </c>
      <c r="F140" s="6">
        <v>17</v>
      </c>
      <c r="G140" s="6" t="s">
        <v>272</v>
      </c>
      <c r="I140" s="8">
        <v>86.641082222222195</v>
      </c>
      <c r="J140" s="8">
        <v>113.166453680556</v>
      </c>
      <c r="K140" s="6" t="s">
        <v>29</v>
      </c>
      <c r="L140" s="6" t="s">
        <v>546</v>
      </c>
      <c r="M140" s="9">
        <v>43822</v>
      </c>
      <c r="O140" s="6">
        <v>13</v>
      </c>
      <c r="P140" s="6" t="s">
        <v>4294</v>
      </c>
      <c r="R140" s="6">
        <v>10</v>
      </c>
      <c r="S140" s="6">
        <v>10</v>
      </c>
      <c r="T140" s="6">
        <v>20</v>
      </c>
      <c r="U140" s="10">
        <f t="shared" si="4"/>
        <v>15</v>
      </c>
      <c r="V140" s="30"/>
      <c r="W140" s="8">
        <v>-4.179701880073547</v>
      </c>
      <c r="X140" s="8">
        <v>-32.985706043243404</v>
      </c>
      <c r="Y140" s="8">
        <f t="shared" si="5"/>
        <v>0.45190899734497236</v>
      </c>
    </row>
    <row r="141" spans="1:25" s="6" customFormat="1" x14ac:dyDescent="0.35">
      <c r="A141" s="6" t="s">
        <v>25</v>
      </c>
      <c r="B141" s="6" t="s">
        <v>797</v>
      </c>
      <c r="D141" s="6" t="s">
        <v>789</v>
      </c>
      <c r="E141" s="6">
        <v>2</v>
      </c>
      <c r="F141" s="6">
        <v>17</v>
      </c>
      <c r="G141" s="6" t="s">
        <v>272</v>
      </c>
      <c r="I141" s="8">
        <v>86.641082222222195</v>
      </c>
      <c r="J141" s="8">
        <v>113.166453680556</v>
      </c>
      <c r="K141" s="6" t="s">
        <v>29</v>
      </c>
      <c r="L141" s="6" t="s">
        <v>546</v>
      </c>
      <c r="M141" s="9">
        <v>43822</v>
      </c>
      <c r="O141" s="6">
        <v>13</v>
      </c>
      <c r="P141" s="6" t="s">
        <v>4294</v>
      </c>
      <c r="R141" s="6">
        <v>20</v>
      </c>
      <c r="S141" s="6">
        <v>20</v>
      </c>
      <c r="T141" s="6">
        <v>30</v>
      </c>
      <c r="U141" s="10">
        <f t="shared" si="4"/>
        <v>25</v>
      </c>
      <c r="V141" s="30"/>
      <c r="W141" s="8">
        <v>-5.4898640299797075</v>
      </c>
      <c r="X141" s="8">
        <v>-42.25164270401001</v>
      </c>
      <c r="Y141" s="8">
        <f t="shared" si="5"/>
        <v>1.6672695358276499</v>
      </c>
    </row>
    <row r="142" spans="1:25" s="6" customFormat="1" x14ac:dyDescent="0.35">
      <c r="A142" s="6" t="s">
        <v>25</v>
      </c>
      <c r="B142" s="6" t="s">
        <v>798</v>
      </c>
      <c r="D142" s="6" t="s">
        <v>789</v>
      </c>
      <c r="E142" s="6">
        <v>2</v>
      </c>
      <c r="F142" s="6">
        <v>17</v>
      </c>
      <c r="G142" s="6" t="s">
        <v>272</v>
      </c>
      <c r="I142" s="8">
        <v>86.641082222222195</v>
      </c>
      <c r="J142" s="8">
        <v>113.166453680556</v>
      </c>
      <c r="K142" s="6" t="s">
        <v>29</v>
      </c>
      <c r="L142" s="6" t="s">
        <v>546</v>
      </c>
      <c r="M142" s="9">
        <v>43822</v>
      </c>
      <c r="O142" s="6">
        <v>13</v>
      </c>
      <c r="P142" s="6" t="s">
        <v>4294</v>
      </c>
      <c r="R142" s="6">
        <v>30</v>
      </c>
      <c r="S142" s="6">
        <v>30</v>
      </c>
      <c r="T142" s="6">
        <v>40</v>
      </c>
      <c r="U142" s="10">
        <f t="shared" si="4"/>
        <v>35</v>
      </c>
      <c r="V142" s="30"/>
      <c r="W142" s="8">
        <v>-4.8376169301033025</v>
      </c>
      <c r="X142" s="8">
        <v>-37.646933841705327</v>
      </c>
      <c r="Y142" s="8">
        <f t="shared" si="5"/>
        <v>1.0540015991210936</v>
      </c>
    </row>
    <row r="143" spans="1:25" s="6" customFormat="1" x14ac:dyDescent="0.35">
      <c r="A143" s="6" t="s">
        <v>25</v>
      </c>
      <c r="B143" s="6" t="s">
        <v>799</v>
      </c>
      <c r="D143" s="6" t="s">
        <v>789</v>
      </c>
      <c r="E143" s="6">
        <v>2</v>
      </c>
      <c r="F143" s="6">
        <v>17</v>
      </c>
      <c r="G143" s="6" t="s">
        <v>272</v>
      </c>
      <c r="I143" s="8">
        <v>86.641082222222195</v>
      </c>
      <c r="J143" s="8">
        <v>113.166453680556</v>
      </c>
      <c r="K143" s="6" t="s">
        <v>29</v>
      </c>
      <c r="L143" s="6" t="s">
        <v>546</v>
      </c>
      <c r="M143" s="9">
        <v>43822</v>
      </c>
      <c r="O143" s="6">
        <v>13</v>
      </c>
      <c r="P143" s="6" t="s">
        <v>4294</v>
      </c>
      <c r="R143" s="6">
        <v>40</v>
      </c>
      <c r="S143" s="6">
        <v>40</v>
      </c>
      <c r="T143" s="6">
        <v>50</v>
      </c>
      <c r="U143" s="10">
        <f t="shared" si="4"/>
        <v>45</v>
      </c>
      <c r="V143" s="30"/>
      <c r="W143" s="8">
        <v>0.62047368615865706</v>
      </c>
      <c r="X143" s="8">
        <v>5.3707594223022461</v>
      </c>
      <c r="Y143" s="8">
        <f t="shared" si="5"/>
        <v>0.40696993303298967</v>
      </c>
    </row>
    <row r="144" spans="1:25" s="6" customFormat="1" x14ac:dyDescent="0.35">
      <c r="A144" s="6" t="s">
        <v>25</v>
      </c>
      <c r="B144" s="6" t="s">
        <v>800</v>
      </c>
      <c r="D144" s="6" t="s">
        <v>789</v>
      </c>
      <c r="E144" s="6">
        <v>2</v>
      </c>
      <c r="F144" s="6">
        <v>17</v>
      </c>
      <c r="G144" s="6" t="s">
        <v>272</v>
      </c>
      <c r="I144" s="8">
        <v>86.641082222222195</v>
      </c>
      <c r="J144" s="8">
        <v>113.166453680556</v>
      </c>
      <c r="K144" s="6" t="s">
        <v>29</v>
      </c>
      <c r="L144" s="6" t="s">
        <v>546</v>
      </c>
      <c r="M144" s="9">
        <v>43822</v>
      </c>
      <c r="O144" s="6">
        <v>13</v>
      </c>
      <c r="P144" s="6" t="s">
        <v>4294</v>
      </c>
      <c r="R144" s="6">
        <v>50</v>
      </c>
      <c r="S144" s="6">
        <v>50</v>
      </c>
      <c r="T144" s="6">
        <v>60</v>
      </c>
      <c r="U144" s="10">
        <f t="shared" si="4"/>
        <v>55</v>
      </c>
      <c r="V144" s="30"/>
      <c r="W144" s="8">
        <v>0.75570721763372406</v>
      </c>
      <c r="X144" s="8">
        <v>6.6648044948577878</v>
      </c>
      <c r="Y144" s="8">
        <f t="shared" si="5"/>
        <v>0.61914675378799533</v>
      </c>
    </row>
    <row r="145" spans="1:25" s="6" customFormat="1" x14ac:dyDescent="0.35">
      <c r="A145" s="6" t="s">
        <v>25</v>
      </c>
      <c r="B145" s="6" t="s">
        <v>801</v>
      </c>
      <c r="D145" s="6" t="s">
        <v>789</v>
      </c>
      <c r="E145" s="6">
        <v>2</v>
      </c>
      <c r="F145" s="6">
        <v>17</v>
      </c>
      <c r="G145" s="6" t="s">
        <v>272</v>
      </c>
      <c r="I145" s="8">
        <v>86.641082222222195</v>
      </c>
      <c r="J145" s="8">
        <v>113.166453680556</v>
      </c>
      <c r="K145" s="6" t="s">
        <v>29</v>
      </c>
      <c r="L145" s="6" t="s">
        <v>546</v>
      </c>
      <c r="M145" s="9">
        <v>43822</v>
      </c>
      <c r="O145" s="6">
        <v>13</v>
      </c>
      <c r="P145" s="6" t="s">
        <v>4294</v>
      </c>
      <c r="R145" s="6">
        <v>60</v>
      </c>
      <c r="S145" s="6">
        <v>60</v>
      </c>
      <c r="T145" s="6">
        <v>70</v>
      </c>
      <c r="U145" s="10">
        <f t="shared" si="4"/>
        <v>65</v>
      </c>
      <c r="V145" s="30"/>
      <c r="W145" s="8">
        <v>0.62928481143712967</v>
      </c>
      <c r="X145" s="8">
        <v>5.349043605804443</v>
      </c>
      <c r="Y145" s="8">
        <f t="shared" si="5"/>
        <v>0.31476511430740572</v>
      </c>
    </row>
    <row r="146" spans="1:25" s="6" customFormat="1" x14ac:dyDescent="0.35">
      <c r="A146" s="6" t="s">
        <v>25</v>
      </c>
      <c r="B146" s="7"/>
      <c r="D146" s="6" t="s">
        <v>807</v>
      </c>
      <c r="E146" s="6">
        <v>2</v>
      </c>
      <c r="F146" s="6">
        <v>17</v>
      </c>
      <c r="G146" s="6" t="s">
        <v>272</v>
      </c>
      <c r="I146" s="8">
        <v>86.626447986111103</v>
      </c>
      <c r="J146" s="8">
        <v>114.979117013889</v>
      </c>
      <c r="K146" s="6" t="s">
        <v>29</v>
      </c>
      <c r="L146" s="6" t="s">
        <v>546</v>
      </c>
      <c r="M146" s="9">
        <v>43824</v>
      </c>
      <c r="O146" s="6">
        <v>13</v>
      </c>
      <c r="P146" s="6" t="s">
        <v>4281</v>
      </c>
      <c r="S146" s="6">
        <v>0</v>
      </c>
      <c r="T146" s="6">
        <v>10</v>
      </c>
      <c r="U146" s="10">
        <f t="shared" si="4"/>
        <v>5</v>
      </c>
      <c r="V146" s="31">
        <v>0.5</v>
      </c>
      <c r="W146" s="8">
        <v>-4.5087057084560396</v>
      </c>
      <c r="X146" s="8">
        <v>-35.770803579711917</v>
      </c>
      <c r="Y146" s="8">
        <f t="shared" si="5"/>
        <v>0.29884208793639999</v>
      </c>
    </row>
    <row r="147" spans="1:25" s="6" customFormat="1" x14ac:dyDescent="0.35">
      <c r="A147" s="6" t="s">
        <v>25</v>
      </c>
      <c r="B147" s="7"/>
      <c r="D147" s="6" t="s">
        <v>808</v>
      </c>
      <c r="E147" s="6">
        <v>2</v>
      </c>
      <c r="F147" s="6">
        <v>17</v>
      </c>
      <c r="G147" s="6" t="s">
        <v>272</v>
      </c>
      <c r="I147" s="8">
        <v>86.626447986111103</v>
      </c>
      <c r="J147" s="8">
        <v>114.979117013889</v>
      </c>
      <c r="K147" s="6" t="s">
        <v>29</v>
      </c>
      <c r="L147" s="6" t="s">
        <v>546</v>
      </c>
      <c r="M147" s="9">
        <v>43824</v>
      </c>
      <c r="O147" s="6">
        <v>13</v>
      </c>
      <c r="P147" s="6" t="s">
        <v>4281</v>
      </c>
      <c r="S147" s="6">
        <v>10</v>
      </c>
      <c r="T147" s="6">
        <v>20</v>
      </c>
      <c r="U147" s="10">
        <f t="shared" si="4"/>
        <v>15</v>
      </c>
      <c r="V147" s="31">
        <v>0.1</v>
      </c>
      <c r="W147" s="8">
        <v>-0.4244502829134465</v>
      </c>
      <c r="X147" s="8">
        <v>-3.864791949176789</v>
      </c>
      <c r="Y147" s="8">
        <f t="shared" si="5"/>
        <v>-0.46918968586921705</v>
      </c>
    </row>
    <row r="148" spans="1:25" s="6" customFormat="1" x14ac:dyDescent="0.35">
      <c r="A148" s="6" t="s">
        <v>25</v>
      </c>
      <c r="B148" s="7"/>
      <c r="D148" s="6" t="s">
        <v>809</v>
      </c>
      <c r="E148" s="6">
        <v>2</v>
      </c>
      <c r="F148" s="6">
        <v>17</v>
      </c>
      <c r="G148" s="6" t="s">
        <v>272</v>
      </c>
      <c r="I148" s="8">
        <v>86.626447986111103</v>
      </c>
      <c r="J148" s="8">
        <v>114.979117013889</v>
      </c>
      <c r="K148" s="6" t="s">
        <v>29</v>
      </c>
      <c r="L148" s="6" t="s">
        <v>546</v>
      </c>
      <c r="M148" s="9">
        <v>43824</v>
      </c>
      <c r="O148" s="6">
        <v>13</v>
      </c>
      <c r="P148" s="6" t="s">
        <v>4281</v>
      </c>
      <c r="S148" s="6">
        <v>20</v>
      </c>
      <c r="T148" s="6">
        <v>30</v>
      </c>
      <c r="U148" s="10">
        <f t="shared" si="4"/>
        <v>25</v>
      </c>
      <c r="V148" s="31">
        <v>0.8</v>
      </c>
      <c r="W148" s="8">
        <v>0.3871653164505961</v>
      </c>
      <c r="X148" s="8">
        <v>3.7956298919677733</v>
      </c>
      <c r="Y148" s="8">
        <f t="shared" si="5"/>
        <v>0.69830736036300456</v>
      </c>
    </row>
    <row r="149" spans="1:25" s="6" customFormat="1" x14ac:dyDescent="0.35">
      <c r="A149" s="6" t="s">
        <v>25</v>
      </c>
      <c r="B149" s="7"/>
      <c r="D149" s="6" t="s">
        <v>810</v>
      </c>
      <c r="E149" s="6">
        <v>2</v>
      </c>
      <c r="F149" s="6">
        <v>17</v>
      </c>
      <c r="G149" s="6" t="s">
        <v>272</v>
      </c>
      <c r="I149" s="8">
        <v>86.626447986111103</v>
      </c>
      <c r="J149" s="8">
        <v>114.979117013889</v>
      </c>
      <c r="K149" s="6" t="s">
        <v>29</v>
      </c>
      <c r="L149" s="6" t="s">
        <v>546</v>
      </c>
      <c r="M149" s="9">
        <v>43824</v>
      </c>
      <c r="O149" s="6">
        <v>13</v>
      </c>
      <c r="P149" s="6" t="s">
        <v>4281</v>
      </c>
      <c r="S149" s="6">
        <v>30</v>
      </c>
      <c r="T149" s="6">
        <v>40</v>
      </c>
      <c r="U149" s="10">
        <f t="shared" si="4"/>
        <v>35</v>
      </c>
      <c r="V149" s="31">
        <v>0.4</v>
      </c>
      <c r="W149" s="8">
        <v>0.74321113257408122</v>
      </c>
      <c r="X149" s="8">
        <v>5.5995265022277829</v>
      </c>
      <c r="Y149" s="8">
        <f t="shared" si="5"/>
        <v>-0.34616255836486687</v>
      </c>
    </row>
    <row r="150" spans="1:25" s="6" customFormat="1" x14ac:dyDescent="0.35">
      <c r="A150" s="6" t="s">
        <v>25</v>
      </c>
      <c r="B150" s="7"/>
      <c r="D150" s="6" t="s">
        <v>811</v>
      </c>
      <c r="E150" s="6">
        <v>2</v>
      </c>
      <c r="F150" s="6">
        <v>17</v>
      </c>
      <c r="G150" s="6" t="s">
        <v>272</v>
      </c>
      <c r="I150" s="8">
        <v>86.626447986111103</v>
      </c>
      <c r="J150" s="8">
        <v>114.979117013889</v>
      </c>
      <c r="K150" s="6" t="s">
        <v>29</v>
      </c>
      <c r="L150" s="6" t="s">
        <v>546</v>
      </c>
      <c r="M150" s="9">
        <v>43824</v>
      </c>
      <c r="O150" s="6">
        <v>13</v>
      </c>
      <c r="P150" s="6" t="s">
        <v>4281</v>
      </c>
      <c r="S150" s="6">
        <v>40</v>
      </c>
      <c r="T150" s="6">
        <v>50</v>
      </c>
      <c r="U150" s="10">
        <f t="shared" si="4"/>
        <v>45</v>
      </c>
      <c r="V150" s="31">
        <v>4.2</v>
      </c>
      <c r="W150" s="8">
        <v>0.61564213632345188</v>
      </c>
      <c r="X150" s="8">
        <v>5.4413851753234859</v>
      </c>
      <c r="Y150" s="8">
        <f t="shared" si="5"/>
        <v>0.5162480847358708</v>
      </c>
    </row>
    <row r="151" spans="1:25" s="6" customFormat="1" x14ac:dyDescent="0.35">
      <c r="A151" s="6" t="s">
        <v>25</v>
      </c>
      <c r="B151" s="7"/>
      <c r="D151" s="6" t="s">
        <v>812</v>
      </c>
      <c r="E151" s="6">
        <v>2</v>
      </c>
      <c r="F151" s="6">
        <v>17</v>
      </c>
      <c r="G151" s="6" t="s">
        <v>272</v>
      </c>
      <c r="I151" s="8">
        <v>86.626447986111103</v>
      </c>
      <c r="J151" s="8">
        <v>114.979117013889</v>
      </c>
      <c r="K151" s="6" t="s">
        <v>29</v>
      </c>
      <c r="L151" s="6" t="s">
        <v>546</v>
      </c>
      <c r="M151" s="9">
        <v>43824</v>
      </c>
      <c r="O151" s="6">
        <v>13</v>
      </c>
      <c r="P151" s="6" t="s">
        <v>4281</v>
      </c>
      <c r="S151" s="6">
        <v>50</v>
      </c>
      <c r="T151" s="6">
        <v>60</v>
      </c>
      <c r="U151" s="10">
        <f t="shared" si="4"/>
        <v>55</v>
      </c>
      <c r="V151" s="31">
        <v>5.0999999999999996</v>
      </c>
      <c r="W151" s="8">
        <v>0.71805889080762886</v>
      </c>
      <c r="X151" s="8">
        <v>5.8327135826110839</v>
      </c>
      <c r="Y151" s="8">
        <f t="shared" si="5"/>
        <v>8.8242456150052995E-2</v>
      </c>
    </row>
    <row r="152" spans="1:25" s="6" customFormat="1" x14ac:dyDescent="0.35">
      <c r="A152" s="6" t="s">
        <v>25</v>
      </c>
      <c r="B152" s="7"/>
      <c r="D152" s="6" t="s">
        <v>813</v>
      </c>
      <c r="E152" s="6">
        <v>2</v>
      </c>
      <c r="F152" s="6">
        <v>17</v>
      </c>
      <c r="G152" s="6" t="s">
        <v>272</v>
      </c>
      <c r="I152" s="8">
        <v>86.626447986111103</v>
      </c>
      <c r="J152" s="8">
        <v>114.979117013889</v>
      </c>
      <c r="K152" s="6" t="s">
        <v>29</v>
      </c>
      <c r="L152" s="6" t="s">
        <v>546</v>
      </c>
      <c r="M152" s="9">
        <v>43824</v>
      </c>
      <c r="O152" s="6">
        <v>13</v>
      </c>
      <c r="P152" s="6" t="s">
        <v>4281</v>
      </c>
      <c r="S152" s="6">
        <v>60</v>
      </c>
      <c r="T152" s="6">
        <v>70</v>
      </c>
      <c r="U152" s="10">
        <f t="shared" si="4"/>
        <v>65</v>
      </c>
      <c r="V152" s="31">
        <v>5.5</v>
      </c>
      <c r="W152" s="8">
        <v>0.49942504470348381</v>
      </c>
      <c r="X152" s="8">
        <v>3.9058505035400386</v>
      </c>
      <c r="Y152" s="8">
        <f t="shared" si="5"/>
        <v>-8.9549854087831893E-2</v>
      </c>
    </row>
    <row r="153" spans="1:25" s="6" customFormat="1" x14ac:dyDescent="0.35">
      <c r="A153" s="6" t="s">
        <v>25</v>
      </c>
      <c r="B153" s="6" t="s">
        <v>806</v>
      </c>
      <c r="D153" s="6" t="s">
        <v>789</v>
      </c>
      <c r="E153" s="6">
        <v>2</v>
      </c>
      <c r="F153" s="6">
        <v>17</v>
      </c>
      <c r="G153" s="6" t="s">
        <v>272</v>
      </c>
      <c r="I153" s="8">
        <v>86.626447986111103</v>
      </c>
      <c r="J153" s="8">
        <v>114.979117013889</v>
      </c>
      <c r="K153" s="6" t="s">
        <v>29</v>
      </c>
      <c r="L153" s="6" t="s">
        <v>546</v>
      </c>
      <c r="M153" s="9">
        <v>43824</v>
      </c>
      <c r="O153" s="6">
        <v>13</v>
      </c>
      <c r="P153" s="6" t="s">
        <v>4281</v>
      </c>
      <c r="R153" s="6">
        <v>70</v>
      </c>
      <c r="S153" s="6">
        <v>70</v>
      </c>
      <c r="T153" s="6">
        <v>80</v>
      </c>
      <c r="U153" s="10">
        <f t="shared" si="4"/>
        <v>75</v>
      </c>
      <c r="V153" s="30"/>
      <c r="W153" s="8">
        <v>0.52351400321721997</v>
      </c>
      <c r="X153" s="8">
        <v>4.6879655933380135</v>
      </c>
      <c r="Y153" s="8">
        <f t="shared" si="5"/>
        <v>0.49985356760025379</v>
      </c>
    </row>
    <row r="154" spans="1:25" s="6" customFormat="1" x14ac:dyDescent="0.35">
      <c r="A154" s="6" t="s">
        <v>25</v>
      </c>
      <c r="B154" s="7"/>
      <c r="D154" s="6" t="s">
        <v>814</v>
      </c>
      <c r="E154" s="6">
        <v>2</v>
      </c>
      <c r="F154" s="6">
        <v>17</v>
      </c>
      <c r="G154" s="6" t="s">
        <v>272</v>
      </c>
      <c r="I154" s="8">
        <v>86.626447986111103</v>
      </c>
      <c r="J154" s="8">
        <v>114.979117013889</v>
      </c>
      <c r="K154" s="6" t="s">
        <v>29</v>
      </c>
      <c r="L154" s="6" t="s">
        <v>546</v>
      </c>
      <c r="M154" s="9">
        <v>43824</v>
      </c>
      <c r="O154" s="6">
        <v>13</v>
      </c>
      <c r="P154" s="6" t="s">
        <v>4281</v>
      </c>
      <c r="S154" s="6">
        <v>80</v>
      </c>
      <c r="T154" s="6">
        <v>92</v>
      </c>
      <c r="U154" s="10">
        <f t="shared" si="4"/>
        <v>86</v>
      </c>
      <c r="V154" s="31">
        <v>5.5</v>
      </c>
      <c r="W154" s="8">
        <v>8.3070921517163721E-2</v>
      </c>
      <c r="X154" s="8">
        <v>1.0942003732681274</v>
      </c>
      <c r="Y154" s="8">
        <f t="shared" si="5"/>
        <v>0.42963300113081759</v>
      </c>
    </row>
    <row r="155" spans="1:25" s="6" customFormat="1" x14ac:dyDescent="0.35">
      <c r="A155" s="6" t="s">
        <v>25</v>
      </c>
      <c r="B155" s="7"/>
      <c r="D155" s="6" t="s">
        <v>816</v>
      </c>
      <c r="E155" s="6">
        <v>2</v>
      </c>
      <c r="F155" s="6">
        <v>18</v>
      </c>
      <c r="G155" s="6" t="s">
        <v>272</v>
      </c>
      <c r="I155" s="8">
        <v>86.8240929166667</v>
      </c>
      <c r="J155" s="8">
        <v>116.572940347222</v>
      </c>
      <c r="K155" s="6" t="s">
        <v>29</v>
      </c>
      <c r="L155" s="6" t="s">
        <v>546</v>
      </c>
      <c r="M155" s="9">
        <v>43832</v>
      </c>
      <c r="O155" s="6">
        <v>14</v>
      </c>
      <c r="P155" s="6" t="s">
        <v>4302</v>
      </c>
      <c r="S155" s="6">
        <v>0</v>
      </c>
      <c r="T155" s="6">
        <v>10</v>
      </c>
      <c r="U155" s="10">
        <f t="shared" si="4"/>
        <v>5</v>
      </c>
      <c r="V155" s="6">
        <v>0.5</v>
      </c>
      <c r="W155" s="8">
        <v>-8.2584200733184812</v>
      </c>
      <c r="X155" s="8">
        <v>-63.555062789916988</v>
      </c>
      <c r="Y155" s="8">
        <f t="shared" si="5"/>
        <v>2.5122977966308611</v>
      </c>
    </row>
    <row r="156" spans="1:25" s="6" customFormat="1" x14ac:dyDescent="0.35">
      <c r="A156" s="6" t="s">
        <v>25</v>
      </c>
      <c r="B156" s="7"/>
      <c r="D156" s="6" t="s">
        <v>817</v>
      </c>
      <c r="E156" s="6">
        <v>2</v>
      </c>
      <c r="F156" s="6">
        <v>18</v>
      </c>
      <c r="G156" s="6" t="s">
        <v>272</v>
      </c>
      <c r="I156" s="8">
        <v>86.8240929166667</v>
      </c>
      <c r="J156" s="8">
        <v>116.572940347222</v>
      </c>
      <c r="K156" s="6" t="s">
        <v>29</v>
      </c>
      <c r="L156" s="6" t="s">
        <v>546</v>
      </c>
      <c r="M156" s="9">
        <v>43832</v>
      </c>
      <c r="O156" s="6">
        <v>14</v>
      </c>
      <c r="P156" s="6" t="s">
        <v>4302</v>
      </c>
      <c r="S156" s="6">
        <v>10</v>
      </c>
      <c r="T156" s="6">
        <v>20</v>
      </c>
      <c r="U156" s="10">
        <f t="shared" si="4"/>
        <v>15</v>
      </c>
      <c r="V156" s="6">
        <v>0.1</v>
      </c>
      <c r="W156" s="8">
        <v>-5.1245955636978149</v>
      </c>
      <c r="X156" s="8">
        <v>-39.588480224609377</v>
      </c>
      <c r="Y156" s="8">
        <f t="shared" si="5"/>
        <v>1.4082842849731421</v>
      </c>
    </row>
    <row r="157" spans="1:25" s="6" customFormat="1" x14ac:dyDescent="0.35">
      <c r="A157" s="6" t="s">
        <v>25</v>
      </c>
      <c r="B157" s="7"/>
      <c r="D157" s="6" t="s">
        <v>818</v>
      </c>
      <c r="E157" s="6">
        <v>2</v>
      </c>
      <c r="F157" s="6">
        <v>18</v>
      </c>
      <c r="G157" s="6" t="s">
        <v>272</v>
      </c>
      <c r="I157" s="8">
        <v>86.8240929166667</v>
      </c>
      <c r="J157" s="8">
        <v>116.572940347222</v>
      </c>
      <c r="K157" s="6" t="s">
        <v>29</v>
      </c>
      <c r="L157" s="6" t="s">
        <v>546</v>
      </c>
      <c r="M157" s="9">
        <v>43832</v>
      </c>
      <c r="O157" s="6">
        <v>14</v>
      </c>
      <c r="P157" s="6" t="s">
        <v>4302</v>
      </c>
      <c r="S157" s="6">
        <v>20</v>
      </c>
      <c r="T157" s="6">
        <v>30</v>
      </c>
      <c r="U157" s="10">
        <f t="shared" si="4"/>
        <v>25</v>
      </c>
      <c r="V157" s="6">
        <v>0.8</v>
      </c>
      <c r="W157" s="8">
        <v>-6.5064331720352175</v>
      </c>
      <c r="X157" s="8">
        <v>-48.317877082824708</v>
      </c>
      <c r="Y157" s="8">
        <f t="shared" si="5"/>
        <v>3.7335882934570321</v>
      </c>
    </row>
    <row r="158" spans="1:25" s="6" customFormat="1" x14ac:dyDescent="0.35">
      <c r="A158" s="6" t="s">
        <v>25</v>
      </c>
      <c r="B158" s="7"/>
      <c r="D158" s="6" t="s">
        <v>819</v>
      </c>
      <c r="E158" s="6">
        <v>2</v>
      </c>
      <c r="F158" s="6">
        <v>18</v>
      </c>
      <c r="G158" s="6" t="s">
        <v>272</v>
      </c>
      <c r="I158" s="8">
        <v>86.8240929166667</v>
      </c>
      <c r="J158" s="8">
        <v>116.572940347222</v>
      </c>
      <c r="K158" s="6" t="s">
        <v>29</v>
      </c>
      <c r="L158" s="6" t="s">
        <v>546</v>
      </c>
      <c r="M158" s="9">
        <v>43832</v>
      </c>
      <c r="O158" s="6">
        <v>14</v>
      </c>
      <c r="P158" s="6" t="s">
        <v>4302</v>
      </c>
      <c r="S158" s="6">
        <v>30</v>
      </c>
      <c r="T158" s="6">
        <v>40</v>
      </c>
      <c r="U158" s="10">
        <f t="shared" si="4"/>
        <v>35</v>
      </c>
      <c r="V158" s="6">
        <v>3.8</v>
      </c>
      <c r="W158" s="8">
        <v>-7.8130384443283072</v>
      </c>
      <c r="X158" s="8">
        <v>-59.034518814086915</v>
      </c>
      <c r="Y158" s="8">
        <f t="shared" si="5"/>
        <v>3.469788740539542</v>
      </c>
    </row>
    <row r="159" spans="1:25" s="6" customFormat="1" x14ac:dyDescent="0.35">
      <c r="A159" s="6" t="s">
        <v>25</v>
      </c>
      <c r="B159" s="7"/>
      <c r="D159" s="6" t="s">
        <v>820</v>
      </c>
      <c r="E159" s="6">
        <v>2</v>
      </c>
      <c r="F159" s="6">
        <v>18</v>
      </c>
      <c r="G159" s="6" t="s">
        <v>272</v>
      </c>
      <c r="I159" s="8">
        <v>86.8240929166667</v>
      </c>
      <c r="J159" s="8">
        <v>116.572940347222</v>
      </c>
      <c r="K159" s="6" t="s">
        <v>29</v>
      </c>
      <c r="L159" s="6" t="s">
        <v>546</v>
      </c>
      <c r="M159" s="9">
        <v>43832</v>
      </c>
      <c r="O159" s="6">
        <v>14</v>
      </c>
      <c r="P159" s="6" t="s">
        <v>4302</v>
      </c>
      <c r="S159" s="6">
        <v>40</v>
      </c>
      <c r="T159" s="6">
        <v>50</v>
      </c>
      <c r="U159" s="10">
        <f t="shared" si="4"/>
        <v>45</v>
      </c>
      <c r="V159" s="6">
        <v>3.4</v>
      </c>
      <c r="W159" s="8">
        <v>-3.7781566260337835</v>
      </c>
      <c r="X159" s="8">
        <v>-28.138656749725342</v>
      </c>
      <c r="Y159" s="8">
        <f t="shared" si="5"/>
        <v>2.086596258544926</v>
      </c>
    </row>
    <row r="160" spans="1:25" s="6" customFormat="1" x14ac:dyDescent="0.35">
      <c r="A160" s="6" t="s">
        <v>25</v>
      </c>
      <c r="B160" s="7"/>
      <c r="D160" s="6" t="s">
        <v>821</v>
      </c>
      <c r="E160" s="6">
        <v>2</v>
      </c>
      <c r="F160" s="6">
        <v>18</v>
      </c>
      <c r="G160" s="6" t="s">
        <v>272</v>
      </c>
      <c r="I160" s="8">
        <v>86.8240929166667</v>
      </c>
      <c r="J160" s="8">
        <v>116.572940347222</v>
      </c>
      <c r="K160" s="6" t="s">
        <v>29</v>
      </c>
      <c r="L160" s="6" t="s">
        <v>546</v>
      </c>
      <c r="M160" s="9">
        <v>43832</v>
      </c>
      <c r="O160" s="6">
        <v>14</v>
      </c>
      <c r="P160" s="6" t="s">
        <v>4302</v>
      </c>
      <c r="S160" s="6">
        <v>50</v>
      </c>
      <c r="T160" s="6">
        <v>60</v>
      </c>
      <c r="U160" s="10">
        <f t="shared" si="4"/>
        <v>55</v>
      </c>
      <c r="V160" s="6">
        <v>4.4000000000000004</v>
      </c>
      <c r="W160" s="8">
        <v>0.58013483350276962</v>
      </c>
      <c r="X160" s="8">
        <v>5.5713226547241206</v>
      </c>
      <c r="Y160" s="8">
        <f t="shared" si="5"/>
        <v>0.93024398670196362</v>
      </c>
    </row>
    <row r="161" spans="1:25" s="6" customFormat="1" x14ac:dyDescent="0.35">
      <c r="A161" s="6" t="s">
        <v>25</v>
      </c>
      <c r="B161" s="7"/>
      <c r="D161" s="6" t="s">
        <v>822</v>
      </c>
      <c r="E161" s="6">
        <v>2</v>
      </c>
      <c r="F161" s="6">
        <v>18</v>
      </c>
      <c r="G161" s="6" t="s">
        <v>272</v>
      </c>
      <c r="I161" s="8">
        <v>86.8240929166667</v>
      </c>
      <c r="J161" s="8">
        <v>116.572940347222</v>
      </c>
      <c r="K161" s="6" t="s">
        <v>29</v>
      </c>
      <c r="L161" s="6" t="s">
        <v>546</v>
      </c>
      <c r="M161" s="9">
        <v>43832</v>
      </c>
      <c r="O161" s="6">
        <v>14</v>
      </c>
      <c r="P161" s="6" t="s">
        <v>4302</v>
      </c>
      <c r="S161" s="6">
        <v>60</v>
      </c>
      <c r="T161" s="6">
        <v>70</v>
      </c>
      <c r="U161" s="10">
        <f t="shared" si="4"/>
        <v>65</v>
      </c>
      <c r="V161" s="6">
        <v>5.4</v>
      </c>
      <c r="W161" s="8">
        <v>0.37906479589939091</v>
      </c>
      <c r="X161" s="8">
        <v>4.111809058189392</v>
      </c>
      <c r="Y161" s="8">
        <f t="shared" si="5"/>
        <v>1.0792906909942648</v>
      </c>
    </row>
    <row r="162" spans="1:25" s="6" customFormat="1" x14ac:dyDescent="0.35">
      <c r="A162" s="6" t="s">
        <v>25</v>
      </c>
      <c r="B162" s="7"/>
      <c r="D162" s="6" t="s">
        <v>823</v>
      </c>
      <c r="E162" s="6">
        <v>2</v>
      </c>
      <c r="F162" s="6">
        <v>18</v>
      </c>
      <c r="G162" s="6" t="s">
        <v>272</v>
      </c>
      <c r="I162" s="8">
        <v>86.8240929166667</v>
      </c>
      <c r="J162" s="8">
        <v>116.572940347222</v>
      </c>
      <c r="K162" s="6" t="s">
        <v>29</v>
      </c>
      <c r="L162" s="6" t="s">
        <v>546</v>
      </c>
      <c r="M162" s="9">
        <v>43832</v>
      </c>
      <c r="O162" s="6">
        <v>14</v>
      </c>
      <c r="P162" s="6" t="s">
        <v>4302</v>
      </c>
      <c r="S162" s="6">
        <v>70</v>
      </c>
      <c r="T162" s="6">
        <v>82</v>
      </c>
      <c r="U162" s="10">
        <f t="shared" si="4"/>
        <v>76</v>
      </c>
      <c r="V162" s="6">
        <v>6.1</v>
      </c>
      <c r="W162" s="8">
        <v>-0.63225653754472733</v>
      </c>
      <c r="X162" s="8">
        <v>-4.3573744654655453</v>
      </c>
      <c r="Y162" s="8">
        <f t="shared" si="5"/>
        <v>0.70067783489227331</v>
      </c>
    </row>
    <row r="163" spans="1:25" s="6" customFormat="1" x14ac:dyDescent="0.35">
      <c r="A163" s="6" t="s">
        <v>25</v>
      </c>
      <c r="B163" s="7"/>
      <c r="D163" s="6" t="s">
        <v>824</v>
      </c>
      <c r="E163" s="6">
        <v>2</v>
      </c>
      <c r="F163" s="6">
        <v>18</v>
      </c>
      <c r="G163" s="6" t="s">
        <v>272</v>
      </c>
      <c r="I163" s="8">
        <v>86.8240929166667</v>
      </c>
      <c r="J163" s="8">
        <v>116.572940347222</v>
      </c>
      <c r="K163" s="6" t="s">
        <v>29</v>
      </c>
      <c r="L163" s="6" t="s">
        <v>546</v>
      </c>
      <c r="M163" s="9">
        <v>43832</v>
      </c>
      <c r="O163" s="6">
        <v>14</v>
      </c>
      <c r="P163" s="6" t="s">
        <v>4302</v>
      </c>
      <c r="S163" s="6">
        <v>82</v>
      </c>
      <c r="T163" s="6">
        <v>92</v>
      </c>
      <c r="U163" s="10">
        <f t="shared" si="4"/>
        <v>87</v>
      </c>
      <c r="V163" s="6">
        <v>4.8</v>
      </c>
      <c r="W163" s="8">
        <v>-0.82251190969944044</v>
      </c>
      <c r="X163" s="8">
        <v>-1.9674591398239136</v>
      </c>
      <c r="Y163" s="8">
        <f t="shared" si="5"/>
        <v>4.6126361377716094</v>
      </c>
    </row>
    <row r="164" spans="1:25" s="6" customFormat="1" x14ac:dyDescent="0.35">
      <c r="A164" s="6" t="s">
        <v>25</v>
      </c>
      <c r="B164" s="7"/>
      <c r="D164" s="6" t="s">
        <v>825</v>
      </c>
      <c r="E164" s="6">
        <v>2</v>
      </c>
      <c r="F164" s="6">
        <v>18</v>
      </c>
      <c r="G164" s="6" t="s">
        <v>272</v>
      </c>
      <c r="I164" s="8">
        <v>86.8240929166667</v>
      </c>
      <c r="J164" s="8">
        <v>116.572940347222</v>
      </c>
      <c r="K164" s="6" t="s">
        <v>29</v>
      </c>
      <c r="L164" s="6" t="s">
        <v>546</v>
      </c>
      <c r="M164" s="9">
        <v>43832</v>
      </c>
      <c r="O164" s="6">
        <v>14</v>
      </c>
      <c r="P164" s="6" t="s">
        <v>4302</v>
      </c>
      <c r="S164" s="6">
        <v>92</v>
      </c>
      <c r="T164" s="6">
        <v>104</v>
      </c>
      <c r="U164" s="10">
        <f t="shared" si="4"/>
        <v>98</v>
      </c>
      <c r="V164" s="6">
        <v>5.7</v>
      </c>
      <c r="W164" s="8">
        <v>3.2043377909995639E-2</v>
      </c>
      <c r="X164" s="8">
        <v>0.22374151954650862</v>
      </c>
      <c r="Y164" s="8">
        <f t="shared" si="5"/>
        <v>-3.2605503733456498E-2</v>
      </c>
    </row>
    <row r="165" spans="1:25" s="6" customFormat="1" x14ac:dyDescent="0.35">
      <c r="A165" s="6" t="s">
        <v>25</v>
      </c>
      <c r="B165" s="7" t="s">
        <v>869</v>
      </c>
      <c r="D165" s="6" t="s">
        <v>870</v>
      </c>
      <c r="E165" s="6">
        <v>2</v>
      </c>
      <c r="F165" s="6">
        <v>20</v>
      </c>
      <c r="G165" s="6" t="s">
        <v>210</v>
      </c>
      <c r="I165" s="8">
        <v>87.337473819444398</v>
      </c>
      <c r="J165" s="8">
        <v>107.081499861111</v>
      </c>
      <c r="K165" s="6" t="s">
        <v>29</v>
      </c>
      <c r="L165" s="6" t="s">
        <v>546</v>
      </c>
      <c r="M165" s="9">
        <v>43843</v>
      </c>
      <c r="O165" s="6">
        <v>16</v>
      </c>
      <c r="P165" s="6" t="s">
        <v>4308</v>
      </c>
      <c r="R165" s="10"/>
      <c r="S165" s="10">
        <v>0</v>
      </c>
      <c r="T165" s="10">
        <v>10</v>
      </c>
      <c r="U165" s="10">
        <f t="shared" si="4"/>
        <v>5</v>
      </c>
      <c r="V165" s="11">
        <v>5.0999999999999996</v>
      </c>
      <c r="W165" s="8">
        <v>-4.9911356513023382</v>
      </c>
      <c r="X165" s="8">
        <v>-39.42065802001953</v>
      </c>
      <c r="Y165" s="8">
        <f t="shared" si="5"/>
        <v>0.50842719039917483</v>
      </c>
    </row>
    <row r="166" spans="1:25" s="6" customFormat="1" x14ac:dyDescent="0.35">
      <c r="A166" s="6" t="s">
        <v>25</v>
      </c>
      <c r="B166" s="7" t="s">
        <v>867</v>
      </c>
      <c r="D166" s="6" t="s">
        <v>868</v>
      </c>
      <c r="E166" s="6">
        <v>2</v>
      </c>
      <c r="F166" s="6">
        <v>20</v>
      </c>
      <c r="G166" s="6" t="s">
        <v>210</v>
      </c>
      <c r="I166" s="8">
        <v>87.337473819444398</v>
      </c>
      <c r="J166" s="8">
        <v>107.081499861111</v>
      </c>
      <c r="K166" s="6" t="s">
        <v>29</v>
      </c>
      <c r="L166" s="6" t="s">
        <v>546</v>
      </c>
      <c r="M166" s="9">
        <v>43843</v>
      </c>
      <c r="O166" s="6">
        <v>16</v>
      </c>
      <c r="P166" s="6" t="s">
        <v>4308</v>
      </c>
      <c r="R166" s="10"/>
      <c r="S166" s="10">
        <v>10</v>
      </c>
      <c r="T166" s="10">
        <v>20</v>
      </c>
      <c r="U166" s="10">
        <f t="shared" si="4"/>
        <v>15</v>
      </c>
      <c r="V166" s="11">
        <v>3.3</v>
      </c>
      <c r="W166" s="8">
        <v>-4.2565833621025098</v>
      </c>
      <c r="X166" s="8">
        <v>-33.36057511138916</v>
      </c>
      <c r="Y166" s="8">
        <f t="shared" si="5"/>
        <v>0.69209178543091809</v>
      </c>
    </row>
    <row r="167" spans="1:25" s="6" customFormat="1" x14ac:dyDescent="0.35">
      <c r="A167" s="6" t="s">
        <v>25</v>
      </c>
      <c r="B167" s="7" t="s">
        <v>865</v>
      </c>
      <c r="D167" s="6" t="s">
        <v>866</v>
      </c>
      <c r="E167" s="6">
        <v>2</v>
      </c>
      <c r="F167" s="6">
        <v>20</v>
      </c>
      <c r="G167" s="6" t="s">
        <v>210</v>
      </c>
      <c r="I167" s="8">
        <v>87.337473819444398</v>
      </c>
      <c r="J167" s="8">
        <v>107.081499861111</v>
      </c>
      <c r="K167" s="6" t="s">
        <v>29</v>
      </c>
      <c r="L167" s="6" t="s">
        <v>546</v>
      </c>
      <c r="M167" s="9">
        <v>43843</v>
      </c>
      <c r="O167" s="6">
        <v>16</v>
      </c>
      <c r="P167" s="6" t="s">
        <v>4308</v>
      </c>
      <c r="R167" s="10"/>
      <c r="S167" s="10">
        <v>20</v>
      </c>
      <c r="T167" s="10">
        <v>30</v>
      </c>
      <c r="U167" s="10">
        <f t="shared" si="4"/>
        <v>25</v>
      </c>
      <c r="V167" s="11">
        <v>2.4</v>
      </c>
      <c r="W167" s="8">
        <v>-4.6787369071006779</v>
      </c>
      <c r="X167" s="8">
        <v>-35.376296037673953</v>
      </c>
      <c r="Y167" s="8">
        <f t="shared" si="5"/>
        <v>2.0535992191314705</v>
      </c>
    </row>
    <row r="168" spans="1:25" s="6" customFormat="1" x14ac:dyDescent="0.35">
      <c r="A168" s="6" t="s">
        <v>25</v>
      </c>
      <c r="B168" s="7" t="s">
        <v>863</v>
      </c>
      <c r="D168" s="6" t="s">
        <v>864</v>
      </c>
      <c r="E168" s="6">
        <v>2</v>
      </c>
      <c r="F168" s="6">
        <v>20</v>
      </c>
      <c r="G168" s="6" t="s">
        <v>210</v>
      </c>
      <c r="I168" s="8">
        <v>87.337473819444398</v>
      </c>
      <c r="J168" s="8">
        <v>107.081499861111</v>
      </c>
      <c r="K168" s="6" t="s">
        <v>29</v>
      </c>
      <c r="L168" s="6" t="s">
        <v>546</v>
      </c>
      <c r="M168" s="9">
        <v>43843</v>
      </c>
      <c r="O168" s="6">
        <v>16</v>
      </c>
      <c r="P168" s="6" t="s">
        <v>4308</v>
      </c>
      <c r="R168" s="10"/>
      <c r="S168" s="10">
        <v>30</v>
      </c>
      <c r="T168" s="10">
        <v>40</v>
      </c>
      <c r="U168" s="10">
        <f t="shared" si="4"/>
        <v>35</v>
      </c>
      <c r="V168" s="11">
        <v>0.8</v>
      </c>
      <c r="W168" s="8">
        <v>-6.6068320736408239</v>
      </c>
      <c r="X168" s="8">
        <v>-46.945481948852532</v>
      </c>
      <c r="Y168" s="8">
        <f t="shared" si="5"/>
        <v>5.9091746402740597</v>
      </c>
    </row>
    <row r="169" spans="1:25" s="6" customFormat="1" x14ac:dyDescent="0.35">
      <c r="A169" s="6" t="s">
        <v>25</v>
      </c>
      <c r="B169" s="7" t="s">
        <v>871</v>
      </c>
      <c r="D169" s="6" t="s">
        <v>872</v>
      </c>
      <c r="E169" s="6">
        <v>2</v>
      </c>
      <c r="F169" s="6">
        <v>20</v>
      </c>
      <c r="G169" s="6" t="s">
        <v>210</v>
      </c>
      <c r="I169" s="8">
        <v>87.337473819444398</v>
      </c>
      <c r="J169" s="8">
        <v>107.081499861111</v>
      </c>
      <c r="K169" s="6" t="s">
        <v>29</v>
      </c>
      <c r="L169" s="6" t="s">
        <v>546</v>
      </c>
      <c r="M169" s="9">
        <v>43843</v>
      </c>
      <c r="O169" s="6">
        <v>16</v>
      </c>
      <c r="P169" s="6" t="s">
        <v>4308</v>
      </c>
      <c r="R169" s="10"/>
      <c r="S169" s="10">
        <v>40</v>
      </c>
      <c r="T169" s="10">
        <v>50</v>
      </c>
      <c r="U169" s="10">
        <f t="shared" si="4"/>
        <v>45</v>
      </c>
      <c r="V169" s="11">
        <v>4.5</v>
      </c>
      <c r="W169" s="8">
        <v>-6.3831932067871104</v>
      </c>
      <c r="X169" s="8">
        <v>-47.557089567565924</v>
      </c>
      <c r="Y169" s="8">
        <f t="shared" si="5"/>
        <v>3.5084560867309591</v>
      </c>
    </row>
    <row r="170" spans="1:25" s="6" customFormat="1" x14ac:dyDescent="0.35">
      <c r="A170" s="6" t="s">
        <v>25</v>
      </c>
      <c r="B170" s="7" t="s">
        <v>849</v>
      </c>
      <c r="D170" s="6" t="s">
        <v>850</v>
      </c>
      <c r="E170" s="6">
        <v>2</v>
      </c>
      <c r="F170" s="6">
        <v>20</v>
      </c>
      <c r="G170" s="6" t="s">
        <v>210</v>
      </c>
      <c r="I170" s="8">
        <v>87.337473819444398</v>
      </c>
      <c r="J170" s="8">
        <v>107.081499861111</v>
      </c>
      <c r="K170" s="6" t="s">
        <v>29</v>
      </c>
      <c r="L170" s="6" t="s">
        <v>546</v>
      </c>
      <c r="M170" s="9">
        <v>43843</v>
      </c>
      <c r="O170" s="6">
        <v>16</v>
      </c>
      <c r="P170" s="6" t="s">
        <v>4308</v>
      </c>
      <c r="R170" s="10"/>
      <c r="S170" s="10">
        <v>50</v>
      </c>
      <c r="T170" s="10">
        <v>60</v>
      </c>
      <c r="U170" s="10">
        <f t="shared" si="4"/>
        <v>55</v>
      </c>
      <c r="V170" s="11">
        <v>0</v>
      </c>
      <c r="W170" s="8">
        <v>-4.5279526710510263</v>
      </c>
      <c r="X170" s="8">
        <v>-34.903572692871094</v>
      </c>
      <c r="Y170" s="8">
        <f t="shared" si="5"/>
        <v>1.3200486755371159</v>
      </c>
    </row>
    <row r="171" spans="1:25" s="6" customFormat="1" x14ac:dyDescent="0.35">
      <c r="A171" s="6" t="s">
        <v>25</v>
      </c>
      <c r="B171" s="7" t="s">
        <v>855</v>
      </c>
      <c r="D171" s="6" t="s">
        <v>856</v>
      </c>
      <c r="E171" s="6">
        <v>2</v>
      </c>
      <c r="F171" s="6">
        <v>20</v>
      </c>
      <c r="G171" s="6" t="s">
        <v>210</v>
      </c>
      <c r="I171" s="8">
        <v>87.337473819444398</v>
      </c>
      <c r="J171" s="8">
        <v>107.081499861111</v>
      </c>
      <c r="K171" s="6" t="s">
        <v>29</v>
      </c>
      <c r="L171" s="6" t="s">
        <v>546</v>
      </c>
      <c r="M171" s="9">
        <v>43843</v>
      </c>
      <c r="O171" s="6">
        <v>16</v>
      </c>
      <c r="P171" s="6" t="s">
        <v>4308</v>
      </c>
      <c r="R171" s="10"/>
      <c r="S171" s="10">
        <v>60</v>
      </c>
      <c r="T171" s="10">
        <v>70</v>
      </c>
      <c r="U171" s="10">
        <f t="shared" si="4"/>
        <v>65</v>
      </c>
      <c r="V171" s="11">
        <v>0</v>
      </c>
      <c r="W171" s="8">
        <v>-4.058103626203537</v>
      </c>
      <c r="X171" s="8">
        <v>-31.180339813232422</v>
      </c>
      <c r="Y171" s="8">
        <f t="shared" si="5"/>
        <v>1.2844891963958744</v>
      </c>
    </row>
    <row r="172" spans="1:25" s="6" customFormat="1" x14ac:dyDescent="0.35">
      <c r="A172" s="6" t="s">
        <v>25</v>
      </c>
      <c r="B172" s="7" t="s">
        <v>851</v>
      </c>
      <c r="D172" s="6" t="s">
        <v>852</v>
      </c>
      <c r="E172" s="6">
        <v>2</v>
      </c>
      <c r="F172" s="6">
        <v>20</v>
      </c>
      <c r="G172" s="6" t="s">
        <v>210</v>
      </c>
      <c r="I172" s="8">
        <v>87.337473819444398</v>
      </c>
      <c r="J172" s="8">
        <v>107.081499861111</v>
      </c>
      <c r="K172" s="6" t="s">
        <v>29</v>
      </c>
      <c r="L172" s="6" t="s">
        <v>546</v>
      </c>
      <c r="M172" s="9">
        <v>43843</v>
      </c>
      <c r="O172" s="6">
        <v>16</v>
      </c>
      <c r="P172" s="6" t="s">
        <v>4308</v>
      </c>
      <c r="R172" s="10"/>
      <c r="S172" s="10">
        <v>70</v>
      </c>
      <c r="T172" s="10">
        <v>80</v>
      </c>
      <c r="U172" s="10">
        <f t="shared" si="4"/>
        <v>75</v>
      </c>
      <c r="V172" s="11">
        <v>0</v>
      </c>
      <c r="W172" s="8">
        <v>-3.7048726081848149</v>
      </c>
      <c r="X172" s="8">
        <v>-27.592865180969238</v>
      </c>
      <c r="Y172" s="8">
        <f t="shared" si="5"/>
        <v>2.0461156845092816</v>
      </c>
    </row>
    <row r="173" spans="1:25" s="6" customFormat="1" x14ac:dyDescent="0.35">
      <c r="A173" s="6" t="s">
        <v>25</v>
      </c>
      <c r="B173" s="7" t="s">
        <v>853</v>
      </c>
      <c r="D173" s="6" t="s">
        <v>854</v>
      </c>
      <c r="E173" s="6">
        <v>2</v>
      </c>
      <c r="F173" s="6">
        <v>20</v>
      </c>
      <c r="G173" s="6" t="s">
        <v>210</v>
      </c>
      <c r="I173" s="8">
        <v>87.337473819444398</v>
      </c>
      <c r="J173" s="8">
        <v>107.081499861111</v>
      </c>
      <c r="K173" s="6" t="s">
        <v>29</v>
      </c>
      <c r="L173" s="6" t="s">
        <v>546</v>
      </c>
      <c r="M173" s="9">
        <v>43843</v>
      </c>
      <c r="O173" s="6">
        <v>16</v>
      </c>
      <c r="P173" s="6" t="s">
        <v>4308</v>
      </c>
      <c r="R173" s="10"/>
      <c r="S173" s="10">
        <v>80</v>
      </c>
      <c r="T173" s="10">
        <v>90</v>
      </c>
      <c r="U173" s="10">
        <f t="shared" si="4"/>
        <v>85</v>
      </c>
      <c r="V173" s="11">
        <v>0</v>
      </c>
      <c r="W173" s="8">
        <v>-0.53029427672624618</v>
      </c>
      <c r="X173" s="8">
        <v>-2.7898264694213868</v>
      </c>
      <c r="Y173" s="8">
        <f t="shared" si="5"/>
        <v>1.4525277443885827</v>
      </c>
    </row>
    <row r="174" spans="1:25" s="6" customFormat="1" x14ac:dyDescent="0.35">
      <c r="A174" s="6" t="s">
        <v>25</v>
      </c>
      <c r="B174" s="7" t="s">
        <v>861</v>
      </c>
      <c r="D174" s="6" t="s">
        <v>862</v>
      </c>
      <c r="E174" s="6">
        <v>2</v>
      </c>
      <c r="F174" s="6">
        <v>20</v>
      </c>
      <c r="G174" s="6" t="s">
        <v>210</v>
      </c>
      <c r="I174" s="8">
        <v>87.337473819444398</v>
      </c>
      <c r="J174" s="8">
        <v>107.081499861111</v>
      </c>
      <c r="K174" s="6" t="s">
        <v>29</v>
      </c>
      <c r="L174" s="6" t="s">
        <v>546</v>
      </c>
      <c r="M174" s="9">
        <v>43843</v>
      </c>
      <c r="O174" s="6">
        <v>16</v>
      </c>
      <c r="P174" s="6" t="s">
        <v>4308</v>
      </c>
      <c r="R174" s="10"/>
      <c r="S174" s="10">
        <v>90</v>
      </c>
      <c r="T174" s="10">
        <v>100</v>
      </c>
      <c r="U174" s="10">
        <f t="shared" si="4"/>
        <v>95</v>
      </c>
      <c r="V174" s="11">
        <v>0.3</v>
      </c>
      <c r="W174" s="8">
        <v>0.23469412919282942</v>
      </c>
      <c r="X174" s="8">
        <v>3.1097677000761035</v>
      </c>
      <c r="Y174" s="8">
        <f t="shared" si="5"/>
        <v>1.2322146665334681</v>
      </c>
    </row>
    <row r="175" spans="1:25" s="6" customFormat="1" x14ac:dyDescent="0.35">
      <c r="A175" s="6" t="s">
        <v>25</v>
      </c>
      <c r="B175" s="7" t="s">
        <v>859</v>
      </c>
      <c r="D175" s="6" t="s">
        <v>860</v>
      </c>
      <c r="E175" s="6">
        <v>2</v>
      </c>
      <c r="F175" s="6">
        <v>20</v>
      </c>
      <c r="G175" s="6" t="s">
        <v>210</v>
      </c>
      <c r="I175" s="8">
        <v>87.337473819444398</v>
      </c>
      <c r="J175" s="8">
        <v>107.081499861111</v>
      </c>
      <c r="K175" s="6" t="s">
        <v>29</v>
      </c>
      <c r="L175" s="6" t="s">
        <v>546</v>
      </c>
      <c r="M175" s="9">
        <v>43843</v>
      </c>
      <c r="O175" s="6">
        <v>16</v>
      </c>
      <c r="P175" s="6" t="s">
        <v>4308</v>
      </c>
      <c r="R175" s="10"/>
      <c r="S175" s="10">
        <v>100</v>
      </c>
      <c r="T175" s="10">
        <v>110</v>
      </c>
      <c r="U175" s="10">
        <f t="shared" si="4"/>
        <v>105</v>
      </c>
      <c r="V175" s="11">
        <v>0.1</v>
      </c>
      <c r="W175" s="8">
        <v>8.6103206010162775E-2</v>
      </c>
      <c r="X175" s="8">
        <v>1.4614724401235581</v>
      </c>
      <c r="Y175" s="8">
        <f t="shared" si="5"/>
        <v>0.77264679204225595</v>
      </c>
    </row>
    <row r="176" spans="1:25" s="6" customFormat="1" x14ac:dyDescent="0.35">
      <c r="A176" s="6" t="s">
        <v>25</v>
      </c>
      <c r="B176" s="7" t="s">
        <v>857</v>
      </c>
      <c r="D176" s="6" t="s">
        <v>858</v>
      </c>
      <c r="E176" s="6">
        <v>2</v>
      </c>
      <c r="F176" s="6">
        <v>20</v>
      </c>
      <c r="G176" s="6" t="s">
        <v>210</v>
      </c>
      <c r="I176" s="8">
        <v>87.337473819444398</v>
      </c>
      <c r="J176" s="8">
        <v>107.081499861111</v>
      </c>
      <c r="K176" s="6" t="s">
        <v>29</v>
      </c>
      <c r="L176" s="6" t="s">
        <v>546</v>
      </c>
      <c r="M176" s="9">
        <v>43843</v>
      </c>
      <c r="O176" s="6">
        <v>16</v>
      </c>
      <c r="P176" s="6" t="s">
        <v>4308</v>
      </c>
      <c r="R176" s="10"/>
      <c r="S176" s="10">
        <v>110</v>
      </c>
      <c r="T176" s="10">
        <v>120</v>
      </c>
      <c r="U176" s="10">
        <f t="shared" si="4"/>
        <v>115</v>
      </c>
      <c r="V176" s="11">
        <v>0</v>
      </c>
      <c r="W176" s="8">
        <v>-9.4491479026898695E-2</v>
      </c>
      <c r="X176" s="8">
        <v>2.0565166950225828</v>
      </c>
      <c r="Y176" s="8">
        <f t="shared" si="5"/>
        <v>2.8124485272377724</v>
      </c>
    </row>
    <row r="177" spans="1:25" s="6" customFormat="1" ht="14.25" customHeight="1" x14ac:dyDescent="0.35">
      <c r="A177" s="6" t="s">
        <v>25</v>
      </c>
      <c r="B177" s="7"/>
      <c r="D177" s="6" t="s">
        <v>948</v>
      </c>
      <c r="E177" s="6">
        <v>2</v>
      </c>
      <c r="F177" s="6">
        <v>22</v>
      </c>
      <c r="G177" s="6" t="s">
        <v>210</v>
      </c>
      <c r="I177" s="8">
        <v>87.445388611111099</v>
      </c>
      <c r="J177" s="8">
        <v>95.6823715972222</v>
      </c>
      <c r="K177" s="6" t="s">
        <v>29</v>
      </c>
      <c r="L177" s="6" t="s">
        <v>546</v>
      </c>
      <c r="M177" s="9">
        <v>43857</v>
      </c>
      <c r="O177" s="6">
        <v>18</v>
      </c>
      <c r="P177" s="6" t="s">
        <v>4256</v>
      </c>
      <c r="S177" s="6">
        <v>0</v>
      </c>
      <c r="T177" s="6">
        <v>10</v>
      </c>
      <c r="U177" s="10">
        <f t="shared" si="4"/>
        <v>5</v>
      </c>
      <c r="V177" s="6">
        <v>0</v>
      </c>
      <c r="W177" s="8">
        <v>-5.9079416083335881</v>
      </c>
      <c r="X177" s="8">
        <v>-45.687453854370119</v>
      </c>
      <c r="Y177" s="8">
        <f t="shared" si="5"/>
        <v>1.5760790122985853</v>
      </c>
    </row>
    <row r="178" spans="1:25" s="6" customFormat="1" x14ac:dyDescent="0.35">
      <c r="A178" s="6" t="s">
        <v>25</v>
      </c>
      <c r="B178" s="7"/>
      <c r="D178" s="6" t="s">
        <v>949</v>
      </c>
      <c r="E178" s="6">
        <v>2</v>
      </c>
      <c r="F178" s="6">
        <v>22</v>
      </c>
      <c r="G178" s="6" t="s">
        <v>210</v>
      </c>
      <c r="I178" s="8">
        <v>87.445388611111099</v>
      </c>
      <c r="J178" s="8">
        <v>95.6823715972222</v>
      </c>
      <c r="K178" s="6" t="s">
        <v>29</v>
      </c>
      <c r="L178" s="6" t="s">
        <v>546</v>
      </c>
      <c r="M178" s="9">
        <v>43857</v>
      </c>
      <c r="O178" s="6">
        <v>18</v>
      </c>
      <c r="P178" s="6" t="s">
        <v>4256</v>
      </c>
      <c r="S178" s="6">
        <v>10</v>
      </c>
      <c r="T178" s="6">
        <v>20</v>
      </c>
      <c r="U178" s="10">
        <f t="shared" si="4"/>
        <v>15</v>
      </c>
      <c r="V178" s="6">
        <v>0</v>
      </c>
      <c r="W178" s="8">
        <v>-5.8988409738540666</v>
      </c>
      <c r="X178" s="8">
        <v>-44.817357232666019</v>
      </c>
      <c r="Y178" s="8">
        <f t="shared" si="5"/>
        <v>2.3733705581665134</v>
      </c>
    </row>
    <row r="179" spans="1:25" s="6" customFormat="1" x14ac:dyDescent="0.35">
      <c r="A179" s="6" t="s">
        <v>25</v>
      </c>
      <c r="B179" s="7"/>
      <c r="D179" s="6" t="s">
        <v>950</v>
      </c>
      <c r="E179" s="6">
        <v>2</v>
      </c>
      <c r="F179" s="6">
        <v>22</v>
      </c>
      <c r="G179" s="6" t="s">
        <v>210</v>
      </c>
      <c r="I179" s="8">
        <v>87.445388611111099</v>
      </c>
      <c r="J179" s="8">
        <v>95.6823715972222</v>
      </c>
      <c r="K179" s="6" t="s">
        <v>29</v>
      </c>
      <c r="L179" s="6" t="s">
        <v>546</v>
      </c>
      <c r="M179" s="9">
        <v>43857</v>
      </c>
      <c r="O179" s="6">
        <v>18</v>
      </c>
      <c r="P179" s="6" t="s">
        <v>4256</v>
      </c>
      <c r="S179" s="6">
        <v>20</v>
      </c>
      <c r="T179" s="6">
        <v>30</v>
      </c>
      <c r="U179" s="10">
        <f t="shared" si="4"/>
        <v>25</v>
      </c>
      <c r="V179" s="6">
        <v>0</v>
      </c>
      <c r="W179" s="8">
        <v>-5.7838402156829849</v>
      </c>
      <c r="X179" s="8">
        <v>-44.361900952911377</v>
      </c>
      <c r="Y179" s="8">
        <f t="shared" si="5"/>
        <v>1.9088207725525024</v>
      </c>
    </row>
    <row r="180" spans="1:25" s="6" customFormat="1" x14ac:dyDescent="0.35">
      <c r="A180" s="6" t="s">
        <v>25</v>
      </c>
      <c r="B180" s="7"/>
      <c r="D180" s="6" t="s">
        <v>951</v>
      </c>
      <c r="E180" s="6">
        <v>2</v>
      </c>
      <c r="F180" s="6">
        <v>22</v>
      </c>
      <c r="G180" s="6" t="s">
        <v>210</v>
      </c>
      <c r="I180" s="8">
        <v>87.445388611111099</v>
      </c>
      <c r="J180" s="8">
        <v>95.6823715972222</v>
      </c>
      <c r="K180" s="6" t="s">
        <v>29</v>
      </c>
      <c r="L180" s="6" t="s">
        <v>546</v>
      </c>
      <c r="M180" s="9">
        <v>43857</v>
      </c>
      <c r="O180" s="6">
        <v>18</v>
      </c>
      <c r="P180" s="6" t="s">
        <v>4256</v>
      </c>
      <c r="S180" s="6">
        <v>30</v>
      </c>
      <c r="T180" s="6">
        <v>40</v>
      </c>
      <c r="U180" s="10">
        <f t="shared" si="4"/>
        <v>35</v>
      </c>
      <c r="V180" s="6">
        <v>0</v>
      </c>
      <c r="W180" s="8">
        <v>-5.3164651327133186</v>
      </c>
      <c r="X180" s="8">
        <v>-40.499288259124754</v>
      </c>
      <c r="Y180" s="8">
        <f t="shared" si="5"/>
        <v>2.0324328025817948</v>
      </c>
    </row>
    <row r="181" spans="1:25" s="6" customFormat="1" x14ac:dyDescent="0.35">
      <c r="A181" s="6" t="s">
        <v>25</v>
      </c>
      <c r="B181" s="7"/>
      <c r="D181" s="6" t="s">
        <v>952</v>
      </c>
      <c r="E181" s="6">
        <v>2</v>
      </c>
      <c r="F181" s="6">
        <v>22</v>
      </c>
      <c r="G181" s="6" t="s">
        <v>210</v>
      </c>
      <c r="I181" s="8">
        <v>87.445388611111099</v>
      </c>
      <c r="J181" s="8">
        <v>95.6823715972222</v>
      </c>
      <c r="K181" s="6" t="s">
        <v>29</v>
      </c>
      <c r="L181" s="6" t="s">
        <v>546</v>
      </c>
      <c r="M181" s="9">
        <v>43857</v>
      </c>
      <c r="O181" s="6">
        <v>18</v>
      </c>
      <c r="P181" s="6" t="s">
        <v>4256</v>
      </c>
      <c r="S181" s="6">
        <v>40</v>
      </c>
      <c r="T181" s="6">
        <v>50</v>
      </c>
      <c r="U181" s="10">
        <f t="shared" si="4"/>
        <v>45</v>
      </c>
      <c r="V181" s="6">
        <v>0</v>
      </c>
      <c r="W181" s="8">
        <v>-5.2272233753204356</v>
      </c>
      <c r="X181" s="8">
        <v>-39.340265908813478</v>
      </c>
      <c r="Y181" s="8">
        <f t="shared" si="5"/>
        <v>2.4775210937500063</v>
      </c>
    </row>
    <row r="182" spans="1:25" s="6" customFormat="1" x14ac:dyDescent="0.35">
      <c r="A182" s="6" t="s">
        <v>25</v>
      </c>
      <c r="B182" s="7"/>
      <c r="D182" s="6" t="s">
        <v>953</v>
      </c>
      <c r="E182" s="6">
        <v>2</v>
      </c>
      <c r="F182" s="6">
        <v>22</v>
      </c>
      <c r="G182" s="6" t="s">
        <v>210</v>
      </c>
      <c r="I182" s="8">
        <v>87.445388611111099</v>
      </c>
      <c r="J182" s="8">
        <v>95.6823715972222</v>
      </c>
      <c r="K182" s="6" t="s">
        <v>29</v>
      </c>
      <c r="L182" s="6" t="s">
        <v>546</v>
      </c>
      <c r="M182" s="9">
        <v>43857</v>
      </c>
      <c r="O182" s="6">
        <v>18</v>
      </c>
      <c r="P182" s="6" t="s">
        <v>4256</v>
      </c>
      <c r="S182" s="6">
        <v>50</v>
      </c>
      <c r="T182" s="6">
        <v>60</v>
      </c>
      <c r="U182" s="10">
        <f t="shared" si="4"/>
        <v>55</v>
      </c>
      <c r="V182" s="6">
        <v>0.5</v>
      </c>
      <c r="W182" s="8">
        <v>-4.9503961973190318</v>
      </c>
      <c r="X182" s="8">
        <v>-36.960096528625492</v>
      </c>
      <c r="Y182" s="8">
        <f t="shared" si="5"/>
        <v>2.6430730499267625</v>
      </c>
    </row>
    <row r="183" spans="1:25" s="6" customFormat="1" x14ac:dyDescent="0.35">
      <c r="A183" s="6" t="s">
        <v>25</v>
      </c>
      <c r="B183" s="7"/>
      <c r="D183" s="6" t="s">
        <v>954</v>
      </c>
      <c r="E183" s="6">
        <v>2</v>
      </c>
      <c r="F183" s="6">
        <v>22</v>
      </c>
      <c r="G183" s="6" t="s">
        <v>210</v>
      </c>
      <c r="I183" s="8">
        <v>87.445388611111099</v>
      </c>
      <c r="J183" s="8">
        <v>95.6823715972222</v>
      </c>
      <c r="K183" s="6" t="s">
        <v>29</v>
      </c>
      <c r="L183" s="6" t="s">
        <v>546</v>
      </c>
      <c r="M183" s="9">
        <v>43857</v>
      </c>
      <c r="O183" s="6">
        <v>18</v>
      </c>
      <c r="P183" s="6" t="s">
        <v>4256</v>
      </c>
      <c r="S183" s="6">
        <v>60</v>
      </c>
      <c r="T183" s="6">
        <v>70</v>
      </c>
      <c r="U183" s="10">
        <f t="shared" si="4"/>
        <v>65</v>
      </c>
      <c r="V183" s="6">
        <v>0.4</v>
      </c>
      <c r="W183" s="8">
        <v>-4.2594579248428346</v>
      </c>
      <c r="X183" s="8">
        <v>-31.991214864349367</v>
      </c>
      <c r="Y183" s="8">
        <f t="shared" si="5"/>
        <v>2.0844485343933101</v>
      </c>
    </row>
    <row r="184" spans="1:25" s="6" customFormat="1" x14ac:dyDescent="0.35">
      <c r="A184" s="6" t="s">
        <v>25</v>
      </c>
      <c r="B184" s="7"/>
      <c r="D184" s="6" t="s">
        <v>955</v>
      </c>
      <c r="E184" s="6">
        <v>2</v>
      </c>
      <c r="F184" s="6">
        <v>22</v>
      </c>
      <c r="G184" s="6" t="s">
        <v>210</v>
      </c>
      <c r="I184" s="8">
        <v>87.445388611111099</v>
      </c>
      <c r="J184" s="8">
        <v>95.6823715972222</v>
      </c>
      <c r="K184" s="6" t="s">
        <v>29</v>
      </c>
      <c r="L184" s="6" t="s">
        <v>546</v>
      </c>
      <c r="M184" s="9">
        <v>43857</v>
      </c>
      <c r="O184" s="6">
        <v>18</v>
      </c>
      <c r="P184" s="6" t="s">
        <v>4256</v>
      </c>
      <c r="S184" s="6">
        <v>70</v>
      </c>
      <c r="T184" s="6">
        <v>80</v>
      </c>
      <c r="U184" s="10">
        <f t="shared" si="4"/>
        <v>75</v>
      </c>
      <c r="V184" s="6">
        <v>1</v>
      </c>
      <c r="W184" s="8">
        <v>-3.0471015291213992</v>
      </c>
      <c r="X184" s="8">
        <v>-23.319338187789917</v>
      </c>
      <c r="Y184" s="8">
        <f t="shared" si="5"/>
        <v>1.0574740451812765</v>
      </c>
    </row>
    <row r="185" spans="1:25" s="6" customFormat="1" x14ac:dyDescent="0.35">
      <c r="A185" s="6" t="s">
        <v>25</v>
      </c>
      <c r="B185" s="7"/>
      <c r="D185" s="6" t="s">
        <v>956</v>
      </c>
      <c r="E185" s="6">
        <v>2</v>
      </c>
      <c r="F185" s="6">
        <v>22</v>
      </c>
      <c r="G185" s="6" t="s">
        <v>210</v>
      </c>
      <c r="I185" s="8">
        <v>87.445388611111099</v>
      </c>
      <c r="J185" s="8">
        <v>95.6823715972222</v>
      </c>
      <c r="K185" s="6" t="s">
        <v>29</v>
      </c>
      <c r="L185" s="6" t="s">
        <v>546</v>
      </c>
      <c r="M185" s="9">
        <v>43857</v>
      </c>
      <c r="O185" s="6">
        <v>18</v>
      </c>
      <c r="P185" s="6" t="s">
        <v>4256</v>
      </c>
      <c r="S185" s="6">
        <v>80</v>
      </c>
      <c r="T185" s="6">
        <v>90</v>
      </c>
      <c r="U185" s="10">
        <f t="shared" si="4"/>
        <v>85</v>
      </c>
      <c r="V185" s="6">
        <v>1.2</v>
      </c>
      <c r="W185" s="8">
        <v>-2.026615220189095</v>
      </c>
      <c r="X185" s="8">
        <v>-15.001739238357544</v>
      </c>
      <c r="Y185" s="8">
        <f t="shared" si="5"/>
        <v>1.211182523155216</v>
      </c>
    </row>
    <row r="186" spans="1:25" s="6" customFormat="1" x14ac:dyDescent="0.35">
      <c r="A186" s="6" t="s">
        <v>25</v>
      </c>
      <c r="B186" s="7"/>
      <c r="D186" s="6" t="s">
        <v>957</v>
      </c>
      <c r="E186" s="6">
        <v>2</v>
      </c>
      <c r="F186" s="6">
        <v>22</v>
      </c>
      <c r="G186" s="6" t="s">
        <v>210</v>
      </c>
      <c r="I186" s="8">
        <v>87.445388611111099</v>
      </c>
      <c r="J186" s="8">
        <v>95.6823715972222</v>
      </c>
      <c r="K186" s="6" t="s">
        <v>29</v>
      </c>
      <c r="L186" s="6" t="s">
        <v>546</v>
      </c>
      <c r="M186" s="9">
        <v>43857</v>
      </c>
      <c r="O186" s="6">
        <v>18</v>
      </c>
      <c r="P186" s="6" t="s">
        <v>4256</v>
      </c>
      <c r="S186" s="6">
        <v>90</v>
      </c>
      <c r="T186" s="6">
        <v>100</v>
      </c>
      <c r="U186" s="10">
        <f t="shared" si="4"/>
        <v>95</v>
      </c>
      <c r="V186" s="6">
        <v>1.6</v>
      </c>
      <c r="W186" s="8">
        <v>-1.1014012031555174</v>
      </c>
      <c r="X186" s="8">
        <v>-8.3731892772674552</v>
      </c>
      <c r="Y186" s="8">
        <f t="shared" si="5"/>
        <v>0.43802034797668377</v>
      </c>
    </row>
    <row r="187" spans="1:25" s="6" customFormat="1" x14ac:dyDescent="0.35">
      <c r="A187" s="6" t="s">
        <v>25</v>
      </c>
      <c r="B187" s="7"/>
      <c r="D187" s="6" t="s">
        <v>958</v>
      </c>
      <c r="E187" s="6">
        <v>2</v>
      </c>
      <c r="F187" s="6">
        <v>22</v>
      </c>
      <c r="G187" s="6" t="s">
        <v>210</v>
      </c>
      <c r="I187" s="8">
        <v>87.445388611111099</v>
      </c>
      <c r="J187" s="8">
        <v>95.6823715972222</v>
      </c>
      <c r="K187" s="6" t="s">
        <v>29</v>
      </c>
      <c r="L187" s="6" t="s">
        <v>546</v>
      </c>
      <c r="M187" s="9">
        <v>43857</v>
      </c>
      <c r="O187" s="6">
        <v>18</v>
      </c>
      <c r="P187" s="6" t="s">
        <v>4256</v>
      </c>
      <c r="S187" s="6">
        <v>100</v>
      </c>
      <c r="T187" s="6">
        <v>110</v>
      </c>
      <c r="U187" s="10">
        <f t="shared" si="4"/>
        <v>105</v>
      </c>
      <c r="V187" s="6">
        <v>3</v>
      </c>
      <c r="W187" s="8">
        <v>-0.20141188983991717</v>
      </c>
      <c r="X187" s="8">
        <v>-0.59399325952529869</v>
      </c>
      <c r="Y187" s="8">
        <f t="shared" si="5"/>
        <v>1.0173018591940388</v>
      </c>
    </row>
    <row r="188" spans="1:25" s="6" customFormat="1" x14ac:dyDescent="0.35">
      <c r="A188" s="6" t="s">
        <v>25</v>
      </c>
      <c r="B188" s="7"/>
      <c r="D188" s="6" t="s">
        <v>959</v>
      </c>
      <c r="E188" s="6">
        <v>2</v>
      </c>
      <c r="F188" s="6">
        <v>22</v>
      </c>
      <c r="G188" s="6" t="s">
        <v>210</v>
      </c>
      <c r="I188" s="8">
        <v>87.445388611111099</v>
      </c>
      <c r="J188" s="8">
        <v>95.6823715972222</v>
      </c>
      <c r="K188" s="6" t="s">
        <v>29</v>
      </c>
      <c r="L188" s="6" t="s">
        <v>546</v>
      </c>
      <c r="M188" s="9">
        <v>43857</v>
      </c>
      <c r="O188" s="6">
        <v>18</v>
      </c>
      <c r="P188" s="6" t="s">
        <v>4256</v>
      </c>
      <c r="S188" s="6">
        <v>110</v>
      </c>
      <c r="T188" s="6">
        <v>120</v>
      </c>
      <c r="U188" s="10">
        <f t="shared" si="4"/>
        <v>115</v>
      </c>
      <c r="V188" s="6">
        <v>5.0999999999999996</v>
      </c>
      <c r="W188" s="8">
        <v>0.56462647241354003</v>
      </c>
      <c r="X188" s="8">
        <v>5.2151453460693364</v>
      </c>
      <c r="Y188" s="8">
        <f t="shared" si="5"/>
        <v>0.69813356676101623</v>
      </c>
    </row>
    <row r="189" spans="1:25" s="6" customFormat="1" x14ac:dyDescent="0.35">
      <c r="A189" s="6" t="s">
        <v>25</v>
      </c>
      <c r="B189" s="7"/>
      <c r="D189" s="6" t="s">
        <v>960</v>
      </c>
      <c r="E189" s="6">
        <v>2</v>
      </c>
      <c r="F189" s="6">
        <v>22</v>
      </c>
      <c r="G189" s="6" t="s">
        <v>210</v>
      </c>
      <c r="I189" s="8">
        <v>87.445388611111099</v>
      </c>
      <c r="J189" s="8">
        <v>95.6823715972222</v>
      </c>
      <c r="K189" s="6" t="s">
        <v>29</v>
      </c>
      <c r="L189" s="6" t="s">
        <v>546</v>
      </c>
      <c r="M189" s="9">
        <v>43857</v>
      </c>
      <c r="O189" s="6">
        <v>18</v>
      </c>
      <c r="P189" s="6" t="s">
        <v>4256</v>
      </c>
      <c r="S189" s="6">
        <v>120</v>
      </c>
      <c r="T189" s="6">
        <v>130</v>
      </c>
      <c r="U189" s="10">
        <f t="shared" si="4"/>
        <v>125</v>
      </c>
      <c r="V189" s="6">
        <v>4.8</v>
      </c>
      <c r="W189" s="8">
        <v>0.38266136240959131</v>
      </c>
      <c r="X189" s="8">
        <v>3.774451543235779</v>
      </c>
      <c r="Y189" s="8">
        <f t="shared" si="5"/>
        <v>0.71316064395904855</v>
      </c>
    </row>
    <row r="190" spans="1:25" s="6" customFormat="1" x14ac:dyDescent="0.35">
      <c r="A190" s="6" t="s">
        <v>25</v>
      </c>
      <c r="B190" s="7"/>
      <c r="D190" s="6" t="s">
        <v>961</v>
      </c>
      <c r="E190" s="6">
        <v>2</v>
      </c>
      <c r="F190" s="6">
        <v>22</v>
      </c>
      <c r="G190" s="6" t="s">
        <v>210</v>
      </c>
      <c r="I190" s="8">
        <v>87.445388611111099</v>
      </c>
      <c r="J190" s="8">
        <v>95.6823715972222</v>
      </c>
      <c r="K190" s="6" t="s">
        <v>29</v>
      </c>
      <c r="L190" s="6" t="s">
        <v>546</v>
      </c>
      <c r="M190" s="9">
        <v>43857</v>
      </c>
      <c r="O190" s="6">
        <v>18</v>
      </c>
      <c r="P190" s="6" t="s">
        <v>4256</v>
      </c>
      <c r="S190" s="6">
        <v>131</v>
      </c>
      <c r="T190" s="6">
        <v>142</v>
      </c>
      <c r="U190" s="10">
        <f t="shared" si="4"/>
        <v>136.5</v>
      </c>
      <c r="V190" s="6">
        <v>4.5999999999999996</v>
      </c>
      <c r="W190" s="8">
        <v>2.1011216920614396E-2</v>
      </c>
      <c r="X190" s="8">
        <v>0.92910892963409419</v>
      </c>
      <c r="Y190" s="8">
        <f t="shared" si="5"/>
        <v>0.76101919426917908</v>
      </c>
    </row>
    <row r="191" spans="1:25" s="6" customFormat="1" x14ac:dyDescent="0.35">
      <c r="A191" s="6" t="s">
        <v>25</v>
      </c>
      <c r="B191" s="7"/>
      <c r="D191" s="6" t="s">
        <v>962</v>
      </c>
      <c r="E191" s="6">
        <v>2</v>
      </c>
      <c r="F191" s="6">
        <v>22</v>
      </c>
      <c r="G191" s="6" t="s">
        <v>210</v>
      </c>
      <c r="I191" s="8">
        <v>87.445388611111099</v>
      </c>
      <c r="J191" s="8">
        <v>95.6823715972222</v>
      </c>
      <c r="K191" s="6" t="s">
        <v>29</v>
      </c>
      <c r="L191" s="6" t="s">
        <v>546</v>
      </c>
      <c r="M191" s="9">
        <v>43857</v>
      </c>
      <c r="O191" s="6">
        <v>18</v>
      </c>
      <c r="P191" s="6" t="s">
        <v>4256</v>
      </c>
      <c r="S191" s="6">
        <v>142</v>
      </c>
      <c r="T191" s="6">
        <v>153</v>
      </c>
      <c r="U191" s="10">
        <f t="shared" si="4"/>
        <v>147.5</v>
      </c>
      <c r="V191" s="6">
        <v>5.7</v>
      </c>
      <c r="W191" s="8">
        <v>-0.35123281355500191</v>
      </c>
      <c r="X191" s="8">
        <v>-1.7743184781074519</v>
      </c>
      <c r="Y191" s="8">
        <f t="shared" si="5"/>
        <v>1.0355440303325634</v>
      </c>
    </row>
    <row r="192" spans="1:25" s="6" customFormat="1" x14ac:dyDescent="0.35">
      <c r="A192" s="6" t="s">
        <v>25</v>
      </c>
      <c r="B192" s="7"/>
      <c r="D192" s="6" t="s">
        <v>1025</v>
      </c>
      <c r="E192" s="6">
        <v>2</v>
      </c>
      <c r="F192" s="6">
        <v>23</v>
      </c>
      <c r="G192" s="6" t="s">
        <v>272</v>
      </c>
      <c r="I192" s="8">
        <v>87.641897638888906</v>
      </c>
      <c r="J192" s="8">
        <v>93.798568611111094</v>
      </c>
      <c r="K192" s="6" t="s">
        <v>29</v>
      </c>
      <c r="L192" s="6" t="s">
        <v>546</v>
      </c>
      <c r="M192" s="9">
        <v>43868</v>
      </c>
      <c r="O192" s="6">
        <v>19</v>
      </c>
      <c r="P192" s="6" t="s">
        <v>4277</v>
      </c>
      <c r="S192" s="6">
        <v>0</v>
      </c>
      <c r="T192" s="6">
        <v>10</v>
      </c>
      <c r="U192" s="10">
        <f t="shared" si="4"/>
        <v>5</v>
      </c>
      <c r="W192" s="8">
        <v>-8.2839884165573139</v>
      </c>
      <c r="X192" s="8">
        <v>-62.350342659759519</v>
      </c>
      <c r="Y192" s="8">
        <f t="shared" si="5"/>
        <v>3.9215646726989917</v>
      </c>
    </row>
    <row r="193" spans="1:25" s="6" customFormat="1" x14ac:dyDescent="0.35">
      <c r="A193" s="6" t="s">
        <v>25</v>
      </c>
      <c r="B193" s="7"/>
      <c r="D193" s="6" t="s">
        <v>1026</v>
      </c>
      <c r="E193" s="6">
        <v>2</v>
      </c>
      <c r="F193" s="6">
        <v>23</v>
      </c>
      <c r="G193" s="6" t="s">
        <v>272</v>
      </c>
      <c r="I193" s="8">
        <v>87.641897638888906</v>
      </c>
      <c r="J193" s="8">
        <v>93.798568611111094</v>
      </c>
      <c r="K193" s="6" t="s">
        <v>29</v>
      </c>
      <c r="L193" s="6" t="s">
        <v>546</v>
      </c>
      <c r="M193" s="9">
        <v>43868</v>
      </c>
      <c r="O193" s="6">
        <v>19</v>
      </c>
      <c r="P193" s="6" t="s">
        <v>4277</v>
      </c>
      <c r="S193" s="6">
        <v>80</v>
      </c>
      <c r="T193" s="6">
        <v>90</v>
      </c>
      <c r="U193" s="10">
        <f t="shared" si="4"/>
        <v>85</v>
      </c>
      <c r="V193" s="6">
        <v>5.8</v>
      </c>
      <c r="W193" s="8">
        <v>-5.2689900830983773E-2</v>
      </c>
      <c r="X193" s="8">
        <v>0.21771564903259294</v>
      </c>
      <c r="Y193" s="8">
        <f t="shared" si="5"/>
        <v>0.63923485568046312</v>
      </c>
    </row>
    <row r="194" spans="1:25" s="6" customFormat="1" x14ac:dyDescent="0.35">
      <c r="A194" s="6" t="s">
        <v>25</v>
      </c>
      <c r="B194" s="7"/>
      <c r="D194" s="6" t="s">
        <v>1027</v>
      </c>
      <c r="E194" s="6">
        <v>2</v>
      </c>
      <c r="F194" s="6">
        <v>23</v>
      </c>
      <c r="G194" s="6" t="s">
        <v>272</v>
      </c>
      <c r="I194" s="8">
        <v>87.641897638888906</v>
      </c>
      <c r="J194" s="8">
        <v>93.798568611111094</v>
      </c>
      <c r="K194" s="6" t="s">
        <v>29</v>
      </c>
      <c r="L194" s="6" t="s">
        <v>546</v>
      </c>
      <c r="M194" s="9">
        <v>43868</v>
      </c>
      <c r="O194" s="6">
        <v>19</v>
      </c>
      <c r="P194" s="6" t="s">
        <v>4277</v>
      </c>
      <c r="S194" s="6">
        <v>90</v>
      </c>
      <c r="T194" s="6">
        <v>101</v>
      </c>
      <c r="U194" s="10">
        <f t="shared" ref="U194:U257" si="6">AVERAGE(S194:T194)</f>
        <v>95.5</v>
      </c>
      <c r="V194" s="6">
        <v>4.5</v>
      </c>
      <c r="W194" s="8">
        <v>-0.15245204727411318</v>
      </c>
      <c r="X194" s="8">
        <v>-0.32566341934203996</v>
      </c>
      <c r="Y194" s="8">
        <f t="shared" ref="Y194:Y257" si="7">X194-(8*W194)</f>
        <v>0.89395295885086545</v>
      </c>
    </row>
    <row r="195" spans="1:25" s="6" customFormat="1" x14ac:dyDescent="0.35">
      <c r="A195" s="6" t="s">
        <v>25</v>
      </c>
      <c r="B195" s="7"/>
      <c r="D195" s="6" t="s">
        <v>1028</v>
      </c>
      <c r="E195" s="6">
        <v>2</v>
      </c>
      <c r="F195" s="6">
        <v>23</v>
      </c>
      <c r="G195" s="6" t="s">
        <v>272</v>
      </c>
      <c r="I195" s="8">
        <v>87.641897638888906</v>
      </c>
      <c r="J195" s="8">
        <v>93.798568611111094</v>
      </c>
      <c r="K195" s="6" t="s">
        <v>29</v>
      </c>
      <c r="L195" s="6" t="s">
        <v>546</v>
      </c>
      <c r="M195" s="9">
        <v>43868</v>
      </c>
      <c r="O195" s="6">
        <v>19</v>
      </c>
      <c r="P195" s="6" t="s">
        <v>4277</v>
      </c>
      <c r="S195" s="6">
        <v>101</v>
      </c>
      <c r="T195" s="6">
        <v>112</v>
      </c>
      <c r="U195" s="10">
        <f t="shared" si="6"/>
        <v>106.5</v>
      </c>
      <c r="V195" s="6">
        <v>4.0999999999999996</v>
      </c>
      <c r="W195" s="8">
        <v>-0.29087632124185542</v>
      </c>
      <c r="X195" s="8">
        <v>-1.1625821290969842</v>
      </c>
      <c r="Y195" s="8">
        <f t="shared" si="7"/>
        <v>1.1644284408378591</v>
      </c>
    </row>
    <row r="196" spans="1:25" s="6" customFormat="1" x14ac:dyDescent="0.35">
      <c r="A196" s="6" t="s">
        <v>25</v>
      </c>
      <c r="B196" s="7"/>
      <c r="D196" s="6" t="s">
        <v>1029</v>
      </c>
      <c r="E196" s="6">
        <v>2</v>
      </c>
      <c r="F196" s="6">
        <v>23</v>
      </c>
      <c r="G196" s="6" t="s">
        <v>272</v>
      </c>
      <c r="I196" s="8">
        <v>87.641897638888906</v>
      </c>
      <c r="J196" s="8">
        <v>93.798568611111094</v>
      </c>
      <c r="K196" s="6" t="s">
        <v>29</v>
      </c>
      <c r="L196" s="6" t="s">
        <v>546</v>
      </c>
      <c r="M196" s="9">
        <v>43868</v>
      </c>
      <c r="O196" s="6">
        <v>19</v>
      </c>
      <c r="P196" s="6" t="s">
        <v>4277</v>
      </c>
      <c r="S196" s="6">
        <v>112</v>
      </c>
      <c r="T196" s="6">
        <v>125</v>
      </c>
      <c r="U196" s="10">
        <f t="shared" si="6"/>
        <v>118.5</v>
      </c>
      <c r="V196" s="6">
        <v>4.9000000000000004</v>
      </c>
      <c r="W196" s="8">
        <v>-0.22160692952632899</v>
      </c>
      <c r="X196" s="8">
        <v>-1.0696690011978138</v>
      </c>
      <c r="Y196" s="8">
        <f t="shared" si="7"/>
        <v>0.70318643501281808</v>
      </c>
    </row>
    <row r="197" spans="1:25" s="6" customFormat="1" x14ac:dyDescent="0.35">
      <c r="A197" s="6" t="s">
        <v>25</v>
      </c>
      <c r="B197" s="7"/>
      <c r="D197" s="6" t="s">
        <v>1133</v>
      </c>
      <c r="E197" s="6">
        <v>3</v>
      </c>
      <c r="F197" s="6">
        <v>32</v>
      </c>
      <c r="G197" s="6" t="s">
        <v>272</v>
      </c>
      <c r="I197" s="8">
        <v>86.899737916666695</v>
      </c>
      <c r="J197" s="8">
        <v>12.90849375</v>
      </c>
      <c r="K197" s="6" t="s">
        <v>29</v>
      </c>
      <c r="L197" s="6" t="s">
        <v>546</v>
      </c>
      <c r="M197" s="9">
        <v>43906</v>
      </c>
      <c r="O197" s="6">
        <v>25</v>
      </c>
      <c r="P197" s="6" t="s">
        <v>4258</v>
      </c>
      <c r="S197" s="6">
        <v>0</v>
      </c>
      <c r="T197" s="6">
        <v>10</v>
      </c>
      <c r="U197" s="10">
        <f t="shared" si="6"/>
        <v>5</v>
      </c>
      <c r="V197" s="6">
        <v>0.3</v>
      </c>
      <c r="W197" s="8">
        <v>-6.9670442352294923</v>
      </c>
      <c r="X197" s="8">
        <v>-52.90213577270508</v>
      </c>
      <c r="Y197" s="8">
        <f t="shared" si="7"/>
        <v>2.8342181091308589</v>
      </c>
    </row>
    <row r="198" spans="1:25" s="6" customFormat="1" x14ac:dyDescent="0.35">
      <c r="A198" s="6" t="s">
        <v>25</v>
      </c>
      <c r="B198" s="7"/>
      <c r="D198" s="6" t="s">
        <v>1134</v>
      </c>
      <c r="E198" s="6">
        <v>3</v>
      </c>
      <c r="F198" s="6">
        <v>32</v>
      </c>
      <c r="G198" s="6" t="s">
        <v>272</v>
      </c>
      <c r="I198" s="8">
        <v>86.899737916666695</v>
      </c>
      <c r="J198" s="8">
        <v>12.90849375</v>
      </c>
      <c r="K198" s="6" t="s">
        <v>29</v>
      </c>
      <c r="L198" s="6" t="s">
        <v>546</v>
      </c>
      <c r="M198" s="9">
        <v>43906</v>
      </c>
      <c r="O198" s="6">
        <v>25</v>
      </c>
      <c r="P198" s="6" t="s">
        <v>4258</v>
      </c>
      <c r="S198" s="6">
        <v>10</v>
      </c>
      <c r="T198" s="6">
        <v>20</v>
      </c>
      <c r="U198" s="10">
        <f t="shared" si="6"/>
        <v>15</v>
      </c>
      <c r="V198" s="6">
        <v>0.1</v>
      </c>
      <c r="W198" s="8">
        <v>-3.8178028335571295</v>
      </c>
      <c r="X198" s="8">
        <v>-28.542946758270261</v>
      </c>
      <c r="Y198" s="8">
        <f t="shared" si="7"/>
        <v>1.9994759101867743</v>
      </c>
    </row>
    <row r="199" spans="1:25" s="6" customFormat="1" x14ac:dyDescent="0.35">
      <c r="A199" s="6" t="s">
        <v>25</v>
      </c>
      <c r="B199" s="7"/>
      <c r="D199" s="6" t="s">
        <v>1135</v>
      </c>
      <c r="E199" s="6">
        <v>3</v>
      </c>
      <c r="F199" s="6">
        <v>32</v>
      </c>
      <c r="G199" s="6" t="s">
        <v>272</v>
      </c>
      <c r="I199" s="8">
        <v>86.899737916666695</v>
      </c>
      <c r="J199" s="8">
        <v>12.90849375</v>
      </c>
      <c r="K199" s="6" t="s">
        <v>29</v>
      </c>
      <c r="L199" s="6" t="s">
        <v>546</v>
      </c>
      <c r="M199" s="9">
        <v>43906</v>
      </c>
      <c r="O199" s="6">
        <v>25</v>
      </c>
      <c r="P199" s="6" t="s">
        <v>4258</v>
      </c>
      <c r="S199" s="6">
        <v>20</v>
      </c>
      <c r="T199" s="6">
        <v>30</v>
      </c>
      <c r="U199" s="10">
        <f t="shared" si="6"/>
        <v>25</v>
      </c>
      <c r="V199" s="6">
        <v>1.3</v>
      </c>
      <c r="W199" s="8">
        <v>-5.323338012695312</v>
      </c>
      <c r="X199" s="8">
        <v>-39.485479888916018</v>
      </c>
      <c r="Y199" s="8">
        <f t="shared" si="7"/>
        <v>3.1012242126464784</v>
      </c>
    </row>
    <row r="200" spans="1:25" s="6" customFormat="1" x14ac:dyDescent="0.35">
      <c r="A200" s="6" t="s">
        <v>25</v>
      </c>
      <c r="B200" s="7"/>
      <c r="D200" s="6" t="s">
        <v>1136</v>
      </c>
      <c r="E200" s="6">
        <v>3</v>
      </c>
      <c r="F200" s="6">
        <v>32</v>
      </c>
      <c r="G200" s="6" t="s">
        <v>272</v>
      </c>
      <c r="I200" s="8">
        <v>86.899737916666695</v>
      </c>
      <c r="J200" s="8">
        <v>12.90849375</v>
      </c>
      <c r="K200" s="6" t="s">
        <v>29</v>
      </c>
      <c r="L200" s="6" t="s">
        <v>546</v>
      </c>
      <c r="M200" s="9">
        <v>43906</v>
      </c>
      <c r="O200" s="6">
        <v>25</v>
      </c>
      <c r="P200" s="6" t="s">
        <v>4258</v>
      </c>
      <c r="S200" s="6">
        <v>30</v>
      </c>
      <c r="T200" s="6">
        <v>40</v>
      </c>
      <c r="U200" s="10">
        <f t="shared" si="6"/>
        <v>35</v>
      </c>
      <c r="V200" s="6">
        <v>1.1000000000000001</v>
      </c>
      <c r="W200" s="8">
        <v>-5.6721097717285156</v>
      </c>
      <c r="X200" s="8">
        <v>-42.324638481140127</v>
      </c>
      <c r="Y200" s="8">
        <f t="shared" si="7"/>
        <v>3.0522396926879978</v>
      </c>
    </row>
    <row r="201" spans="1:25" s="6" customFormat="1" x14ac:dyDescent="0.35">
      <c r="A201" s="6" t="s">
        <v>25</v>
      </c>
      <c r="B201" s="7"/>
      <c r="D201" s="6" t="s">
        <v>1137</v>
      </c>
      <c r="E201" s="6">
        <v>3</v>
      </c>
      <c r="F201" s="6">
        <v>32</v>
      </c>
      <c r="G201" s="6" t="s">
        <v>272</v>
      </c>
      <c r="I201" s="8">
        <v>86.899737916666695</v>
      </c>
      <c r="J201" s="8">
        <v>12.90849375</v>
      </c>
      <c r="K201" s="6" t="s">
        <v>29</v>
      </c>
      <c r="L201" s="6" t="s">
        <v>546</v>
      </c>
      <c r="M201" s="9">
        <v>43906</v>
      </c>
      <c r="O201" s="6">
        <v>25</v>
      </c>
      <c r="P201" s="6" t="s">
        <v>4258</v>
      </c>
      <c r="S201" s="6">
        <v>40</v>
      </c>
      <c r="T201" s="6">
        <v>50</v>
      </c>
      <c r="U201" s="10">
        <f t="shared" si="6"/>
        <v>45</v>
      </c>
      <c r="V201" s="6">
        <v>0.9</v>
      </c>
      <c r="W201" s="8">
        <v>-5.3407277374267581</v>
      </c>
      <c r="X201" s="8">
        <v>-40.121047019958496</v>
      </c>
      <c r="Y201" s="8">
        <f t="shared" si="7"/>
        <v>2.6047748794555687</v>
      </c>
    </row>
    <row r="202" spans="1:25" s="6" customFormat="1" x14ac:dyDescent="0.35">
      <c r="A202" s="6" t="s">
        <v>25</v>
      </c>
      <c r="B202" s="7"/>
      <c r="D202" s="6" t="s">
        <v>1138</v>
      </c>
      <c r="E202" s="6">
        <v>3</v>
      </c>
      <c r="F202" s="6">
        <v>32</v>
      </c>
      <c r="G202" s="6" t="s">
        <v>272</v>
      </c>
      <c r="I202" s="8">
        <v>86.899737916666695</v>
      </c>
      <c r="J202" s="8">
        <v>12.90849375</v>
      </c>
      <c r="K202" s="6" t="s">
        <v>29</v>
      </c>
      <c r="L202" s="6" t="s">
        <v>546</v>
      </c>
      <c r="M202" s="9">
        <v>43906</v>
      </c>
      <c r="O202" s="6">
        <v>25</v>
      </c>
      <c r="P202" s="6" t="s">
        <v>4258</v>
      </c>
      <c r="S202" s="6">
        <v>50</v>
      </c>
      <c r="T202" s="6">
        <v>60</v>
      </c>
      <c r="U202" s="10">
        <f t="shared" si="6"/>
        <v>55</v>
      </c>
      <c r="V202" s="6">
        <v>2.8</v>
      </c>
      <c r="W202" s="8">
        <v>-1.0250397270043692</v>
      </c>
      <c r="X202" s="8">
        <v>-7.1063754059076309</v>
      </c>
      <c r="Y202" s="8">
        <f t="shared" si="7"/>
        <v>1.0939424101273225</v>
      </c>
    </row>
    <row r="203" spans="1:25" s="6" customFormat="1" x14ac:dyDescent="0.35">
      <c r="A203" s="6" t="s">
        <v>25</v>
      </c>
      <c r="B203" s="7"/>
      <c r="D203" s="6" t="s">
        <v>1139</v>
      </c>
      <c r="E203" s="6">
        <v>3</v>
      </c>
      <c r="F203" s="6">
        <v>32</v>
      </c>
      <c r="G203" s="6" t="s">
        <v>272</v>
      </c>
      <c r="I203" s="8">
        <v>86.899737916666695</v>
      </c>
      <c r="J203" s="8">
        <v>12.90849375</v>
      </c>
      <c r="K203" s="6" t="s">
        <v>29</v>
      </c>
      <c r="L203" s="6" t="s">
        <v>546</v>
      </c>
      <c r="M203" s="9">
        <v>43906</v>
      </c>
      <c r="O203" s="6">
        <v>25</v>
      </c>
      <c r="P203" s="6" t="s">
        <v>4258</v>
      </c>
      <c r="S203" s="6">
        <v>60</v>
      </c>
      <c r="T203" s="6">
        <v>70</v>
      </c>
      <c r="U203" s="10">
        <f t="shared" si="6"/>
        <v>65</v>
      </c>
      <c r="V203" s="6">
        <v>4.3</v>
      </c>
      <c r="W203" s="8">
        <v>0.69630065155029297</v>
      </c>
      <c r="X203" s="8">
        <v>6.1190917205810544</v>
      </c>
      <c r="Y203" s="8">
        <f t="shared" si="7"/>
        <v>0.54868650817871067</v>
      </c>
    </row>
    <row r="204" spans="1:25" s="6" customFormat="1" x14ac:dyDescent="0.35">
      <c r="A204" s="6" t="s">
        <v>25</v>
      </c>
      <c r="B204" s="7"/>
      <c r="D204" s="6" t="s">
        <v>1140</v>
      </c>
      <c r="E204" s="6">
        <v>3</v>
      </c>
      <c r="F204" s="6">
        <v>32</v>
      </c>
      <c r="G204" s="6" t="s">
        <v>272</v>
      </c>
      <c r="I204" s="8">
        <v>86.899737916666695</v>
      </c>
      <c r="J204" s="8">
        <v>12.90849375</v>
      </c>
      <c r="K204" s="6" t="s">
        <v>29</v>
      </c>
      <c r="L204" s="6" t="s">
        <v>546</v>
      </c>
      <c r="M204" s="9">
        <v>43906</v>
      </c>
      <c r="O204" s="6">
        <v>25</v>
      </c>
      <c r="P204" s="6" t="s">
        <v>4258</v>
      </c>
      <c r="S204" s="6">
        <v>70</v>
      </c>
      <c r="T204" s="6">
        <v>80</v>
      </c>
      <c r="U204" s="10">
        <f t="shared" si="6"/>
        <v>75</v>
      </c>
      <c r="V204" s="6">
        <v>4.2</v>
      </c>
      <c r="W204" s="8">
        <v>0.6555852432250977</v>
      </c>
      <c r="X204" s="8">
        <v>5.6912199783325192</v>
      </c>
      <c r="Y204" s="8">
        <f t="shared" si="7"/>
        <v>0.44653803253173763</v>
      </c>
    </row>
    <row r="205" spans="1:25" s="6" customFormat="1" x14ac:dyDescent="0.35">
      <c r="A205" s="6" t="s">
        <v>25</v>
      </c>
      <c r="B205" s="7"/>
      <c r="D205" s="6" t="s">
        <v>1141</v>
      </c>
      <c r="E205" s="6">
        <v>3</v>
      </c>
      <c r="F205" s="6">
        <v>32</v>
      </c>
      <c r="G205" s="6" t="s">
        <v>272</v>
      </c>
      <c r="I205" s="8">
        <v>86.899737916666695</v>
      </c>
      <c r="J205" s="8">
        <v>12.90849375</v>
      </c>
      <c r="K205" s="6" t="s">
        <v>29</v>
      </c>
      <c r="L205" s="6" t="s">
        <v>546</v>
      </c>
      <c r="M205" s="9">
        <v>43906</v>
      </c>
      <c r="O205" s="6">
        <v>25</v>
      </c>
      <c r="P205" s="6" t="s">
        <v>4258</v>
      </c>
      <c r="S205" s="6">
        <v>80</v>
      </c>
      <c r="T205" s="6">
        <v>90</v>
      </c>
      <c r="U205" s="10">
        <f t="shared" si="6"/>
        <v>85</v>
      </c>
      <c r="V205" s="6">
        <v>5</v>
      </c>
      <c r="W205" s="8">
        <v>0.17539463758766694</v>
      </c>
      <c r="X205" s="8">
        <v>2.8426615786552434</v>
      </c>
      <c r="Y205" s="8">
        <f t="shared" si="7"/>
        <v>1.4395044779539079</v>
      </c>
    </row>
    <row r="206" spans="1:25" s="6" customFormat="1" x14ac:dyDescent="0.35">
      <c r="A206" s="6" t="s">
        <v>25</v>
      </c>
      <c r="B206" s="7"/>
      <c r="D206" s="6" t="s">
        <v>1142</v>
      </c>
      <c r="E206" s="6">
        <v>3</v>
      </c>
      <c r="F206" s="6">
        <v>32</v>
      </c>
      <c r="G206" s="6" t="s">
        <v>272</v>
      </c>
      <c r="I206" s="8">
        <v>86.899737916666695</v>
      </c>
      <c r="J206" s="8">
        <v>12.90849375</v>
      </c>
      <c r="K206" s="6" t="s">
        <v>29</v>
      </c>
      <c r="L206" s="6" t="s">
        <v>546</v>
      </c>
      <c r="M206" s="9">
        <v>43906</v>
      </c>
      <c r="O206" s="6">
        <v>25</v>
      </c>
      <c r="P206" s="6" t="s">
        <v>4258</v>
      </c>
      <c r="S206" s="6">
        <v>90</v>
      </c>
      <c r="T206" s="6">
        <v>100</v>
      </c>
      <c r="U206" s="10">
        <f t="shared" si="6"/>
        <v>95</v>
      </c>
      <c r="V206" s="6">
        <v>3.8</v>
      </c>
      <c r="W206" s="8">
        <v>0.10142766168266515</v>
      </c>
      <c r="X206" s="8">
        <v>1.7467783951759337</v>
      </c>
      <c r="Y206" s="8">
        <f t="shared" si="7"/>
        <v>0.9353571017146125</v>
      </c>
    </row>
    <row r="207" spans="1:25" s="6" customFormat="1" x14ac:dyDescent="0.35">
      <c r="A207" s="6" t="s">
        <v>25</v>
      </c>
      <c r="B207" s="7"/>
      <c r="D207" s="6" t="s">
        <v>1143</v>
      </c>
      <c r="E207" s="6">
        <v>3</v>
      </c>
      <c r="F207" s="6">
        <v>32</v>
      </c>
      <c r="G207" s="6" t="s">
        <v>272</v>
      </c>
      <c r="I207" s="8">
        <v>86.899737916666695</v>
      </c>
      <c r="J207" s="8">
        <v>12.90849375</v>
      </c>
      <c r="K207" s="6" t="s">
        <v>29</v>
      </c>
      <c r="L207" s="6" t="s">
        <v>546</v>
      </c>
      <c r="M207" s="9">
        <v>43906</v>
      </c>
      <c r="O207" s="6">
        <v>25</v>
      </c>
      <c r="P207" s="6" t="s">
        <v>4258</v>
      </c>
      <c r="S207" s="6">
        <v>100</v>
      </c>
      <c r="T207" s="6">
        <v>110</v>
      </c>
      <c r="U207" s="10">
        <f t="shared" si="6"/>
        <v>105</v>
      </c>
      <c r="V207" s="6">
        <v>6</v>
      </c>
      <c r="W207" s="8">
        <v>-0.35185461807996044</v>
      </c>
      <c r="X207" s="8">
        <v>-1.1948248004913327</v>
      </c>
      <c r="Y207" s="8">
        <f t="shared" si="7"/>
        <v>1.6200121441483508</v>
      </c>
    </row>
    <row r="208" spans="1:25" s="6" customFormat="1" x14ac:dyDescent="0.35">
      <c r="A208" s="6" t="s">
        <v>25</v>
      </c>
      <c r="B208" s="7"/>
      <c r="D208" s="6" t="s">
        <v>1144</v>
      </c>
      <c r="E208" s="6">
        <v>3</v>
      </c>
      <c r="F208" s="6">
        <v>32</v>
      </c>
      <c r="G208" s="6" t="s">
        <v>272</v>
      </c>
      <c r="I208" s="8">
        <v>86.899737916666695</v>
      </c>
      <c r="J208" s="8">
        <v>12.90849375</v>
      </c>
      <c r="K208" s="6" t="s">
        <v>29</v>
      </c>
      <c r="L208" s="6" t="s">
        <v>546</v>
      </c>
      <c r="M208" s="9">
        <v>43906</v>
      </c>
      <c r="O208" s="6">
        <v>25</v>
      </c>
      <c r="P208" s="6" t="s">
        <v>4258</v>
      </c>
      <c r="S208" s="6">
        <v>110</v>
      </c>
      <c r="T208" s="6">
        <v>120</v>
      </c>
      <c r="U208" s="10">
        <f t="shared" si="6"/>
        <v>115</v>
      </c>
      <c r="V208" s="6">
        <v>5.5</v>
      </c>
      <c r="W208" s="8">
        <v>-0.29819860434234152</v>
      </c>
      <c r="X208" s="8">
        <v>-1.9293737888336178</v>
      </c>
      <c r="Y208" s="8">
        <f t="shared" si="7"/>
        <v>0.45621504590511441</v>
      </c>
    </row>
    <row r="209" spans="1:25" s="6" customFormat="1" x14ac:dyDescent="0.35">
      <c r="A209" s="6" t="s">
        <v>25</v>
      </c>
      <c r="B209" s="7"/>
      <c r="D209" s="6" t="s">
        <v>1145</v>
      </c>
      <c r="E209" s="6">
        <v>3</v>
      </c>
      <c r="F209" s="6">
        <v>32</v>
      </c>
      <c r="G209" s="6" t="s">
        <v>272</v>
      </c>
      <c r="I209" s="8">
        <v>86.899737916666695</v>
      </c>
      <c r="J209" s="8">
        <v>12.90849375</v>
      </c>
      <c r="K209" s="6" t="s">
        <v>29</v>
      </c>
      <c r="L209" s="6" t="s">
        <v>546</v>
      </c>
      <c r="M209" s="9">
        <v>43906</v>
      </c>
      <c r="O209" s="6">
        <v>25</v>
      </c>
      <c r="P209" s="6" t="s">
        <v>4258</v>
      </c>
      <c r="S209" s="6">
        <v>120</v>
      </c>
      <c r="T209" s="6">
        <v>130</v>
      </c>
      <c r="U209" s="10">
        <f t="shared" si="6"/>
        <v>125</v>
      </c>
      <c r="V209" s="6">
        <v>5.3</v>
      </c>
      <c r="W209" s="8">
        <v>-0.29500841220915264</v>
      </c>
      <c r="X209" s="8">
        <v>-2.0673928880691519</v>
      </c>
      <c r="Y209" s="8">
        <f t="shared" si="7"/>
        <v>0.29267440960406921</v>
      </c>
    </row>
    <row r="210" spans="1:25" s="6" customFormat="1" x14ac:dyDescent="0.35">
      <c r="A210" s="6" t="s">
        <v>25</v>
      </c>
      <c r="B210" s="7"/>
      <c r="D210" s="6" t="s">
        <v>1146</v>
      </c>
      <c r="E210" s="6">
        <v>3</v>
      </c>
      <c r="F210" s="6">
        <v>32</v>
      </c>
      <c r="G210" s="6" t="s">
        <v>272</v>
      </c>
      <c r="I210" s="8">
        <v>86.899737916666695</v>
      </c>
      <c r="J210" s="8">
        <v>12.90849375</v>
      </c>
      <c r="K210" s="6" t="s">
        <v>29</v>
      </c>
      <c r="L210" s="6" t="s">
        <v>546</v>
      </c>
      <c r="M210" s="9">
        <v>43906</v>
      </c>
      <c r="O210" s="6">
        <v>25</v>
      </c>
      <c r="P210" s="6" t="s">
        <v>4258</v>
      </c>
      <c r="S210" s="6">
        <v>130</v>
      </c>
      <c r="T210" s="6">
        <v>140</v>
      </c>
      <c r="U210" s="10">
        <f t="shared" si="6"/>
        <v>135</v>
      </c>
      <c r="V210" s="6">
        <v>5.2</v>
      </c>
      <c r="W210" s="8">
        <v>-5.0704918746650417E-2</v>
      </c>
      <c r="X210" s="8">
        <v>0.13569210052490235</v>
      </c>
      <c r="Y210" s="8">
        <f t="shared" si="7"/>
        <v>0.54133145049810572</v>
      </c>
    </row>
    <row r="211" spans="1:25" s="6" customFormat="1" x14ac:dyDescent="0.35">
      <c r="A211" s="6" t="s">
        <v>25</v>
      </c>
      <c r="B211" s="7"/>
      <c r="D211" s="6" t="s">
        <v>1147</v>
      </c>
      <c r="E211" s="6">
        <v>3</v>
      </c>
      <c r="F211" s="6">
        <v>32</v>
      </c>
      <c r="G211" s="6" t="s">
        <v>272</v>
      </c>
      <c r="I211" s="8">
        <v>86.899737916666695</v>
      </c>
      <c r="J211" s="8">
        <v>12.90849375</v>
      </c>
      <c r="K211" s="6" t="s">
        <v>29</v>
      </c>
      <c r="L211" s="6" t="s">
        <v>546</v>
      </c>
      <c r="M211" s="9">
        <v>43906</v>
      </c>
      <c r="O211" s="6">
        <v>25</v>
      </c>
      <c r="P211" s="6" t="s">
        <v>4258</v>
      </c>
      <c r="S211" s="6">
        <v>140</v>
      </c>
      <c r="T211" s="6">
        <v>156</v>
      </c>
      <c r="U211" s="10">
        <f t="shared" si="6"/>
        <v>148</v>
      </c>
      <c r="V211" s="6">
        <v>5.6</v>
      </c>
      <c r="W211" s="8">
        <v>0.29611659379601485</v>
      </c>
      <c r="X211" s="8">
        <v>2.7463432121276874</v>
      </c>
      <c r="Y211" s="8">
        <f t="shared" si="7"/>
        <v>0.37741046175956861</v>
      </c>
    </row>
    <row r="212" spans="1:25" s="6" customFormat="1" x14ac:dyDescent="0.35">
      <c r="A212" s="6" t="s">
        <v>25</v>
      </c>
      <c r="B212" s="7"/>
      <c r="D212" s="6" t="s">
        <v>1200</v>
      </c>
      <c r="E212" s="6">
        <v>3</v>
      </c>
      <c r="F212" s="6">
        <v>33</v>
      </c>
      <c r="G212" s="6" t="s">
        <v>210</v>
      </c>
      <c r="I212" s="8">
        <v>86.189197986111097</v>
      </c>
      <c r="J212" s="8">
        <v>15.473053055555599</v>
      </c>
      <c r="K212" s="6" t="s">
        <v>29</v>
      </c>
      <c r="L212" s="6" t="s">
        <v>546</v>
      </c>
      <c r="M212" s="9">
        <v>43914</v>
      </c>
      <c r="O212" s="6">
        <v>26</v>
      </c>
      <c r="P212" s="6" t="s">
        <v>4352</v>
      </c>
      <c r="S212" s="6">
        <v>0</v>
      </c>
      <c r="T212" s="6">
        <v>10</v>
      </c>
      <c r="U212" s="10">
        <f t="shared" si="6"/>
        <v>5</v>
      </c>
      <c r="V212" s="6">
        <v>0</v>
      </c>
      <c r="W212" s="8">
        <v>-5.689063742256165</v>
      </c>
      <c r="X212" s="8">
        <v>-45.440210540771481</v>
      </c>
      <c r="Y212" s="8">
        <f t="shared" si="7"/>
        <v>7.2299397277838295E-2</v>
      </c>
    </row>
    <row r="213" spans="1:25" s="6" customFormat="1" x14ac:dyDescent="0.35">
      <c r="A213" s="6" t="s">
        <v>25</v>
      </c>
      <c r="B213" s="7"/>
      <c r="D213" s="6" t="s">
        <v>1201</v>
      </c>
      <c r="E213" s="6">
        <v>3</v>
      </c>
      <c r="F213" s="6">
        <v>33</v>
      </c>
      <c r="G213" s="6" t="s">
        <v>210</v>
      </c>
      <c r="I213" s="8">
        <v>86.189197986111097</v>
      </c>
      <c r="J213" s="8">
        <v>15.473053055555599</v>
      </c>
      <c r="K213" s="6" t="s">
        <v>29</v>
      </c>
      <c r="L213" s="6" t="s">
        <v>546</v>
      </c>
      <c r="M213" s="9">
        <v>43914</v>
      </c>
      <c r="O213" s="6">
        <v>26</v>
      </c>
      <c r="P213" s="6" t="s">
        <v>4352</v>
      </c>
      <c r="S213" s="6">
        <v>10</v>
      </c>
      <c r="T213" s="6">
        <v>20</v>
      </c>
      <c r="U213" s="10">
        <f t="shared" si="6"/>
        <v>15</v>
      </c>
      <c r="V213" s="6">
        <v>0</v>
      </c>
      <c r="W213" s="8">
        <v>-5.9231715651512156</v>
      </c>
      <c r="X213" s="8">
        <v>-46.018434082031249</v>
      </c>
      <c r="Y213" s="8">
        <f t="shared" si="7"/>
        <v>1.366938439178476</v>
      </c>
    </row>
    <row r="214" spans="1:25" s="6" customFormat="1" x14ac:dyDescent="0.35">
      <c r="A214" s="6" t="s">
        <v>25</v>
      </c>
      <c r="B214" s="7"/>
      <c r="D214" s="6" t="s">
        <v>1202</v>
      </c>
      <c r="E214" s="6">
        <v>3</v>
      </c>
      <c r="F214" s="6">
        <v>33</v>
      </c>
      <c r="G214" s="6" t="s">
        <v>210</v>
      </c>
      <c r="I214" s="8">
        <v>86.189197986111097</v>
      </c>
      <c r="J214" s="8">
        <v>15.473053055555599</v>
      </c>
      <c r="K214" s="6" t="s">
        <v>29</v>
      </c>
      <c r="L214" s="6" t="s">
        <v>546</v>
      </c>
      <c r="M214" s="9">
        <v>43914</v>
      </c>
      <c r="O214" s="6">
        <v>26</v>
      </c>
      <c r="P214" s="6" t="s">
        <v>4352</v>
      </c>
      <c r="S214" s="6">
        <v>20</v>
      </c>
      <c r="T214" s="6">
        <v>30</v>
      </c>
      <c r="U214" s="10">
        <f t="shared" si="6"/>
        <v>25</v>
      </c>
      <c r="V214" s="6">
        <v>0</v>
      </c>
      <c r="W214" s="8">
        <v>-5.9410283142089853</v>
      </c>
      <c r="X214" s="8">
        <v>-46.381501483917233</v>
      </c>
      <c r="Y214" s="8">
        <f t="shared" si="7"/>
        <v>1.1467250297546485</v>
      </c>
    </row>
    <row r="215" spans="1:25" s="6" customFormat="1" x14ac:dyDescent="0.35">
      <c r="A215" s="6" t="s">
        <v>25</v>
      </c>
      <c r="B215" s="7"/>
      <c r="D215" s="6" t="s">
        <v>1203</v>
      </c>
      <c r="E215" s="6">
        <v>3</v>
      </c>
      <c r="F215" s="6">
        <v>33</v>
      </c>
      <c r="G215" s="6" t="s">
        <v>210</v>
      </c>
      <c r="I215" s="8">
        <v>86.189197986111097</v>
      </c>
      <c r="J215" s="8">
        <v>15.473053055555599</v>
      </c>
      <c r="K215" s="6" t="s">
        <v>29</v>
      </c>
      <c r="L215" s="6" t="s">
        <v>546</v>
      </c>
      <c r="M215" s="9">
        <v>43914</v>
      </c>
      <c r="O215" s="6">
        <v>26</v>
      </c>
      <c r="P215" s="6" t="s">
        <v>4352</v>
      </c>
      <c r="S215" s="6">
        <v>30</v>
      </c>
      <c r="T215" s="6">
        <v>40</v>
      </c>
      <c r="U215" s="10">
        <f t="shared" si="6"/>
        <v>35</v>
      </c>
      <c r="V215" s="6">
        <v>0</v>
      </c>
      <c r="W215" s="8">
        <v>-5.6719386440277102</v>
      </c>
      <c r="X215" s="8">
        <v>-43.9382264175415</v>
      </c>
      <c r="Y215" s="8">
        <f t="shared" si="7"/>
        <v>1.4372827346801813</v>
      </c>
    </row>
    <row r="216" spans="1:25" s="6" customFormat="1" x14ac:dyDescent="0.35">
      <c r="A216" s="6" t="s">
        <v>25</v>
      </c>
      <c r="B216" s="7"/>
      <c r="D216" s="6" t="s">
        <v>1204</v>
      </c>
      <c r="E216" s="6">
        <v>3</v>
      </c>
      <c r="F216" s="6">
        <v>33</v>
      </c>
      <c r="G216" s="6" t="s">
        <v>210</v>
      </c>
      <c r="I216" s="8">
        <v>86.189197986111097</v>
      </c>
      <c r="J216" s="8">
        <v>15.473053055555599</v>
      </c>
      <c r="K216" s="6" t="s">
        <v>29</v>
      </c>
      <c r="L216" s="6" t="s">
        <v>546</v>
      </c>
      <c r="M216" s="9">
        <v>43914</v>
      </c>
      <c r="O216" s="6">
        <v>26</v>
      </c>
      <c r="P216" s="6" t="s">
        <v>4352</v>
      </c>
      <c r="S216" s="6">
        <v>40</v>
      </c>
      <c r="T216" s="6">
        <v>50</v>
      </c>
      <c r="U216" s="10">
        <f t="shared" si="6"/>
        <v>45</v>
      </c>
      <c r="V216" s="6">
        <v>0.2</v>
      </c>
      <c r="W216" s="8">
        <v>-5.1397513290405277</v>
      </c>
      <c r="X216" s="8">
        <v>-39.636335914611813</v>
      </c>
      <c r="Y216" s="8">
        <f t="shared" si="7"/>
        <v>1.4816747177124086</v>
      </c>
    </row>
    <row r="217" spans="1:25" s="6" customFormat="1" x14ac:dyDescent="0.35">
      <c r="A217" s="6" t="s">
        <v>25</v>
      </c>
      <c r="B217" s="7"/>
      <c r="D217" s="6" t="s">
        <v>1205</v>
      </c>
      <c r="E217" s="6">
        <v>3</v>
      </c>
      <c r="F217" s="6">
        <v>33</v>
      </c>
      <c r="G217" s="6" t="s">
        <v>210</v>
      </c>
      <c r="I217" s="8">
        <v>86.189197986111097</v>
      </c>
      <c r="J217" s="8">
        <v>15.473053055555599</v>
      </c>
      <c r="K217" s="6" t="s">
        <v>29</v>
      </c>
      <c r="L217" s="6" t="s">
        <v>546</v>
      </c>
      <c r="M217" s="9">
        <v>43914</v>
      </c>
      <c r="O217" s="6">
        <v>26</v>
      </c>
      <c r="P217" s="6" t="s">
        <v>4352</v>
      </c>
      <c r="S217" s="6">
        <v>50</v>
      </c>
      <c r="T217" s="6">
        <v>60</v>
      </c>
      <c r="U217" s="10">
        <f t="shared" si="6"/>
        <v>55</v>
      </c>
      <c r="V217" s="6">
        <v>0.5</v>
      </c>
      <c r="W217" s="8">
        <v>-4.621206283187866</v>
      </c>
      <c r="X217" s="8">
        <v>-34.32253936767578</v>
      </c>
      <c r="Y217" s="8">
        <f t="shared" si="7"/>
        <v>2.6471108978271474</v>
      </c>
    </row>
    <row r="218" spans="1:25" s="6" customFormat="1" x14ac:dyDescent="0.35">
      <c r="A218" s="6" t="s">
        <v>25</v>
      </c>
      <c r="B218" s="7"/>
      <c r="D218" s="6" t="s">
        <v>1206</v>
      </c>
      <c r="E218" s="6">
        <v>3</v>
      </c>
      <c r="F218" s="6">
        <v>33</v>
      </c>
      <c r="G218" s="6" t="s">
        <v>210</v>
      </c>
      <c r="I218" s="8">
        <v>86.189197986111097</v>
      </c>
      <c r="J218" s="8">
        <v>15.473053055555599</v>
      </c>
      <c r="K218" s="6" t="s">
        <v>29</v>
      </c>
      <c r="L218" s="6" t="s">
        <v>546</v>
      </c>
      <c r="M218" s="9">
        <v>43914</v>
      </c>
      <c r="O218" s="6">
        <v>26</v>
      </c>
      <c r="P218" s="6" t="s">
        <v>4352</v>
      </c>
      <c r="S218" s="6">
        <v>60</v>
      </c>
      <c r="T218" s="6">
        <v>70</v>
      </c>
      <c r="U218" s="10">
        <f t="shared" si="6"/>
        <v>65</v>
      </c>
      <c r="V218" s="6">
        <v>1.1000000000000001</v>
      </c>
      <c r="W218" s="8">
        <v>-4.0577096372604373</v>
      </c>
      <c r="X218" s="8">
        <v>-31.396446308135985</v>
      </c>
      <c r="Y218" s="8">
        <f t="shared" si="7"/>
        <v>1.0652307899475133</v>
      </c>
    </row>
    <row r="219" spans="1:25" s="6" customFormat="1" x14ac:dyDescent="0.35">
      <c r="A219" s="6" t="s">
        <v>25</v>
      </c>
      <c r="B219" s="7"/>
      <c r="D219" s="6" t="s">
        <v>1207</v>
      </c>
      <c r="E219" s="6">
        <v>3</v>
      </c>
      <c r="F219" s="6">
        <v>33</v>
      </c>
      <c r="G219" s="6" t="s">
        <v>210</v>
      </c>
      <c r="I219" s="8">
        <v>86.189197986111097</v>
      </c>
      <c r="J219" s="8">
        <v>15.473053055555599</v>
      </c>
      <c r="K219" s="6" t="s">
        <v>29</v>
      </c>
      <c r="L219" s="6" t="s">
        <v>546</v>
      </c>
      <c r="M219" s="9">
        <v>43914</v>
      </c>
      <c r="O219" s="6">
        <v>26</v>
      </c>
      <c r="P219" s="6" t="s">
        <v>4352</v>
      </c>
      <c r="S219" s="6">
        <v>70</v>
      </c>
      <c r="T219" s="6">
        <v>80</v>
      </c>
      <c r="U219" s="10">
        <f t="shared" si="6"/>
        <v>75</v>
      </c>
      <c r="V219" s="6">
        <v>1.2</v>
      </c>
      <c r="W219" s="8">
        <v>-3.6711267798900606</v>
      </c>
      <c r="X219" s="8">
        <v>-28.193772178649901</v>
      </c>
      <c r="Y219" s="8">
        <f t="shared" si="7"/>
        <v>1.175242060470584</v>
      </c>
    </row>
    <row r="220" spans="1:25" s="6" customFormat="1" x14ac:dyDescent="0.35">
      <c r="A220" s="6" t="s">
        <v>25</v>
      </c>
      <c r="B220" s="7"/>
      <c r="D220" s="6" t="s">
        <v>1208</v>
      </c>
      <c r="E220" s="6">
        <v>3</v>
      </c>
      <c r="F220" s="6">
        <v>33</v>
      </c>
      <c r="G220" s="6" t="s">
        <v>210</v>
      </c>
      <c r="I220" s="8">
        <v>86.189197986111097</v>
      </c>
      <c r="J220" s="8">
        <v>15.473053055555599</v>
      </c>
      <c r="K220" s="6" t="s">
        <v>29</v>
      </c>
      <c r="L220" s="6" t="s">
        <v>546</v>
      </c>
      <c r="M220" s="9">
        <v>43914</v>
      </c>
      <c r="O220" s="6">
        <v>26</v>
      </c>
      <c r="P220" s="6" t="s">
        <v>4352</v>
      </c>
      <c r="S220" s="6">
        <v>80</v>
      </c>
      <c r="T220" s="6">
        <v>88</v>
      </c>
      <c r="U220" s="10">
        <f t="shared" si="6"/>
        <v>84</v>
      </c>
      <c r="V220" s="6">
        <v>1.1000000000000001</v>
      </c>
      <c r="W220" s="8">
        <v>-3.7826010812282562</v>
      </c>
      <c r="X220" s="8">
        <v>-29.566475919723509</v>
      </c>
      <c r="Y220" s="8">
        <f t="shared" si="7"/>
        <v>0.69433273010254126</v>
      </c>
    </row>
    <row r="221" spans="1:25" s="6" customFormat="1" x14ac:dyDescent="0.35">
      <c r="A221" s="6" t="s">
        <v>25</v>
      </c>
      <c r="B221" s="7"/>
      <c r="D221" s="6" t="s">
        <v>1209</v>
      </c>
      <c r="E221" s="6">
        <v>3</v>
      </c>
      <c r="F221" s="6">
        <v>33</v>
      </c>
      <c r="G221" s="6" t="s">
        <v>210</v>
      </c>
      <c r="I221" s="8">
        <v>86.189197986111097</v>
      </c>
      <c r="J221" s="8">
        <v>15.473053055555599</v>
      </c>
      <c r="K221" s="6" t="s">
        <v>29</v>
      </c>
      <c r="L221" s="6" t="s">
        <v>546</v>
      </c>
      <c r="M221" s="9">
        <v>43914</v>
      </c>
      <c r="O221" s="6">
        <v>26</v>
      </c>
      <c r="P221" s="6" t="s">
        <v>4352</v>
      </c>
      <c r="S221" s="6">
        <v>88</v>
      </c>
      <c r="T221" s="6">
        <v>96</v>
      </c>
      <c r="U221" s="10">
        <f t="shared" si="6"/>
        <v>92</v>
      </c>
      <c r="V221" s="6">
        <v>0.9</v>
      </c>
      <c r="W221" s="8">
        <v>-3.7321273952484129</v>
      </c>
      <c r="X221" s="8">
        <v>-29.267555980682371</v>
      </c>
      <c r="Y221" s="8">
        <f t="shared" si="7"/>
        <v>0.58946318130493225</v>
      </c>
    </row>
    <row r="222" spans="1:25" s="6" customFormat="1" x14ac:dyDescent="0.35">
      <c r="A222" s="6" t="s">
        <v>25</v>
      </c>
      <c r="B222" s="7"/>
      <c r="D222" s="6" t="s">
        <v>1210</v>
      </c>
      <c r="E222" s="6">
        <v>3</v>
      </c>
      <c r="F222" s="6">
        <v>33</v>
      </c>
      <c r="G222" s="6" t="s">
        <v>210</v>
      </c>
      <c r="I222" s="8">
        <v>86.189197986111097</v>
      </c>
      <c r="J222" s="8">
        <v>15.473053055555599</v>
      </c>
      <c r="K222" s="6" t="s">
        <v>29</v>
      </c>
      <c r="L222" s="6" t="s">
        <v>546</v>
      </c>
      <c r="M222" s="9">
        <v>43914</v>
      </c>
      <c r="O222" s="6">
        <v>26</v>
      </c>
      <c r="P222" s="6" t="s">
        <v>4352</v>
      </c>
      <c r="S222" s="6">
        <v>96</v>
      </c>
      <c r="T222" s="6">
        <v>106</v>
      </c>
      <c r="U222" s="10">
        <f t="shared" si="6"/>
        <v>101</v>
      </c>
      <c r="V222" s="6">
        <v>1.2</v>
      </c>
      <c r="W222" s="8">
        <v>-3.0237881308555603</v>
      </c>
      <c r="X222" s="8">
        <v>-23.225139646530153</v>
      </c>
      <c r="Y222" s="8">
        <f t="shared" si="7"/>
        <v>0.96516540031432996</v>
      </c>
    </row>
    <row r="223" spans="1:25" s="6" customFormat="1" x14ac:dyDescent="0.35">
      <c r="A223" s="6" t="s">
        <v>25</v>
      </c>
      <c r="B223" s="7"/>
      <c r="D223" s="6" t="s">
        <v>1211</v>
      </c>
      <c r="E223" s="6">
        <v>3</v>
      </c>
      <c r="F223" s="6">
        <v>33</v>
      </c>
      <c r="G223" s="6" t="s">
        <v>210</v>
      </c>
      <c r="I223" s="8">
        <v>86.189197986111097</v>
      </c>
      <c r="J223" s="8">
        <v>15.473053055555599</v>
      </c>
      <c r="K223" s="6" t="s">
        <v>29</v>
      </c>
      <c r="L223" s="6" t="s">
        <v>546</v>
      </c>
      <c r="M223" s="9">
        <v>43914</v>
      </c>
      <c r="O223" s="6">
        <v>26</v>
      </c>
      <c r="P223" s="6" t="s">
        <v>4352</v>
      </c>
      <c r="S223" s="6">
        <v>106</v>
      </c>
      <c r="T223" s="6">
        <v>116</v>
      </c>
      <c r="U223" s="10">
        <f t="shared" si="6"/>
        <v>111</v>
      </c>
      <c r="V223" s="6">
        <v>1.4</v>
      </c>
      <c r="W223" s="8">
        <v>-1.9395460669517515</v>
      </c>
      <c r="X223" s="8">
        <v>-13.911396883964539</v>
      </c>
      <c r="Y223" s="8">
        <f t="shared" si="7"/>
        <v>1.604971651649473</v>
      </c>
    </row>
    <row r="224" spans="1:25" s="6" customFormat="1" x14ac:dyDescent="0.35">
      <c r="A224" s="6" t="s">
        <v>25</v>
      </c>
      <c r="B224" s="7"/>
      <c r="D224" s="6" t="s">
        <v>1212</v>
      </c>
      <c r="E224" s="6">
        <v>3</v>
      </c>
      <c r="F224" s="6">
        <v>33</v>
      </c>
      <c r="G224" s="6" t="s">
        <v>210</v>
      </c>
      <c r="I224" s="8">
        <v>86.189197986111097</v>
      </c>
      <c r="J224" s="8">
        <v>15.473053055555599</v>
      </c>
      <c r="K224" s="6" t="s">
        <v>29</v>
      </c>
      <c r="L224" s="6" t="s">
        <v>546</v>
      </c>
      <c r="M224" s="9">
        <v>43914</v>
      </c>
      <c r="O224" s="6">
        <v>26</v>
      </c>
      <c r="P224" s="6" t="s">
        <v>4352</v>
      </c>
      <c r="S224" s="6">
        <v>116</v>
      </c>
      <c r="T224" s="6">
        <v>126</v>
      </c>
      <c r="U224" s="10">
        <f t="shared" si="6"/>
        <v>121</v>
      </c>
      <c r="V224" s="6">
        <v>1.9</v>
      </c>
      <c r="W224" s="8">
        <v>-0.79963520396947896</v>
      </c>
      <c r="X224" s="8">
        <v>-6.2879630098454653</v>
      </c>
      <c r="Y224" s="8">
        <f t="shared" si="7"/>
        <v>0.10911862191036636</v>
      </c>
    </row>
    <row r="225" spans="1:25" s="6" customFormat="1" x14ac:dyDescent="0.35">
      <c r="A225" s="6" t="s">
        <v>25</v>
      </c>
      <c r="B225" s="7"/>
      <c r="D225" s="6" t="s">
        <v>1213</v>
      </c>
      <c r="E225" s="6">
        <v>3</v>
      </c>
      <c r="F225" s="6">
        <v>33</v>
      </c>
      <c r="G225" s="6" t="s">
        <v>210</v>
      </c>
      <c r="I225" s="8">
        <v>86.189197986111097</v>
      </c>
      <c r="J225" s="8">
        <v>15.473053055555599</v>
      </c>
      <c r="K225" s="6" t="s">
        <v>29</v>
      </c>
      <c r="L225" s="6" t="s">
        <v>546</v>
      </c>
      <c r="M225" s="9">
        <v>43914</v>
      </c>
      <c r="O225" s="6">
        <v>26</v>
      </c>
      <c r="P225" s="6" t="s">
        <v>4352</v>
      </c>
      <c r="S225" s="6">
        <v>126</v>
      </c>
      <c r="T225" s="6">
        <v>136</v>
      </c>
      <c r="U225" s="10">
        <f t="shared" si="6"/>
        <v>131</v>
      </c>
      <c r="V225" s="6">
        <v>-99</v>
      </c>
      <c r="W225" s="8">
        <v>1.0936264247179031</v>
      </c>
      <c r="X225" s="8">
        <v>8.009632387161254</v>
      </c>
      <c r="Y225" s="8">
        <f t="shared" si="7"/>
        <v>-0.73937901058197042</v>
      </c>
    </row>
    <row r="226" spans="1:25" s="6" customFormat="1" x14ac:dyDescent="0.35">
      <c r="A226" s="6" t="s">
        <v>25</v>
      </c>
      <c r="B226" s="7"/>
      <c r="D226" s="6" t="s">
        <v>1214</v>
      </c>
      <c r="E226" s="6">
        <v>3</v>
      </c>
      <c r="F226" s="6">
        <v>33</v>
      </c>
      <c r="G226" s="6" t="s">
        <v>210</v>
      </c>
      <c r="I226" s="8">
        <v>86.189197986111097</v>
      </c>
      <c r="J226" s="8">
        <v>15.473053055555599</v>
      </c>
      <c r="K226" s="6" t="s">
        <v>29</v>
      </c>
      <c r="L226" s="6" t="s">
        <v>546</v>
      </c>
      <c r="M226" s="9">
        <v>43914</v>
      </c>
      <c r="O226" s="6">
        <v>26</v>
      </c>
      <c r="P226" s="6" t="s">
        <v>4352</v>
      </c>
      <c r="S226" s="6">
        <v>136</v>
      </c>
      <c r="T226" s="6">
        <v>146</v>
      </c>
      <c r="U226" s="10">
        <f t="shared" si="6"/>
        <v>141</v>
      </c>
      <c r="V226" s="6">
        <v>4</v>
      </c>
      <c r="W226" s="8">
        <v>0.63277025209665283</v>
      </c>
      <c r="X226" s="8">
        <v>4.8602906799316408</v>
      </c>
      <c r="Y226" s="8">
        <f t="shared" si="7"/>
        <v>-0.20187133684158187</v>
      </c>
    </row>
    <row r="227" spans="1:25" s="6" customFormat="1" x14ac:dyDescent="0.35">
      <c r="A227" s="6" t="s">
        <v>25</v>
      </c>
      <c r="B227" s="7"/>
      <c r="D227" s="6" t="s">
        <v>1215</v>
      </c>
      <c r="E227" s="6">
        <v>3</v>
      </c>
      <c r="F227" s="6">
        <v>33</v>
      </c>
      <c r="G227" s="6" t="s">
        <v>210</v>
      </c>
      <c r="I227" s="8">
        <v>86.189197986111097</v>
      </c>
      <c r="J227" s="8">
        <v>15.473053055555599</v>
      </c>
      <c r="K227" s="6" t="s">
        <v>29</v>
      </c>
      <c r="L227" s="6" t="s">
        <v>546</v>
      </c>
      <c r="M227" s="9">
        <v>43914</v>
      </c>
      <c r="O227" s="6">
        <v>26</v>
      </c>
      <c r="P227" s="6" t="s">
        <v>4352</v>
      </c>
      <c r="S227" s="6">
        <v>146</v>
      </c>
      <c r="T227" s="6">
        <v>156</v>
      </c>
      <c r="U227" s="10">
        <f t="shared" si="6"/>
        <v>151</v>
      </c>
      <c r="V227" s="6">
        <v>4.3</v>
      </c>
      <c r="W227" s="8">
        <v>0.28056497045159373</v>
      </c>
      <c r="X227" s="8">
        <v>1.1266525354385375</v>
      </c>
      <c r="Y227" s="8">
        <f t="shared" si="7"/>
        <v>-1.1178672281742124</v>
      </c>
    </row>
    <row r="228" spans="1:25" s="6" customFormat="1" x14ac:dyDescent="0.35">
      <c r="A228" s="6" t="s">
        <v>25</v>
      </c>
      <c r="B228" s="7"/>
      <c r="D228" s="6" t="s">
        <v>1216</v>
      </c>
      <c r="E228" s="6">
        <v>3</v>
      </c>
      <c r="F228" s="6">
        <v>33</v>
      </c>
      <c r="G228" s="6" t="s">
        <v>210</v>
      </c>
      <c r="I228" s="8">
        <v>86.189197986111097</v>
      </c>
      <c r="J228" s="8">
        <v>15.473053055555599</v>
      </c>
      <c r="K228" s="6" t="s">
        <v>29</v>
      </c>
      <c r="L228" s="6" t="s">
        <v>546</v>
      </c>
      <c r="M228" s="9">
        <v>43914</v>
      </c>
      <c r="O228" s="6">
        <v>26</v>
      </c>
      <c r="P228" s="6" t="s">
        <v>4352</v>
      </c>
      <c r="S228" s="6">
        <v>166</v>
      </c>
      <c r="T228" s="6">
        <v>176</v>
      </c>
      <c r="U228" s="10">
        <f t="shared" si="6"/>
        <v>171</v>
      </c>
      <c r="V228" s="6">
        <v>-99</v>
      </c>
      <c r="W228" s="8">
        <v>-0.18900069650709622</v>
      </c>
      <c r="X228" s="8">
        <v>-1.9395887918472281</v>
      </c>
      <c r="Y228" s="8">
        <f t="shared" si="7"/>
        <v>-0.42758321979045832</v>
      </c>
    </row>
    <row r="229" spans="1:25" s="6" customFormat="1" x14ac:dyDescent="0.35">
      <c r="A229" s="6" t="s">
        <v>25</v>
      </c>
      <c r="B229" s="7"/>
      <c r="D229" s="6" t="s">
        <v>1217</v>
      </c>
      <c r="E229" s="6">
        <v>3</v>
      </c>
      <c r="F229" s="6">
        <v>33</v>
      </c>
      <c r="G229" s="6" t="s">
        <v>210</v>
      </c>
      <c r="I229" s="8">
        <v>86.189197986111097</v>
      </c>
      <c r="J229" s="8">
        <v>15.473053055555599</v>
      </c>
      <c r="K229" s="6" t="s">
        <v>29</v>
      </c>
      <c r="L229" s="6" t="s">
        <v>546</v>
      </c>
      <c r="M229" s="9">
        <v>43914</v>
      </c>
      <c r="O229" s="6">
        <v>26</v>
      </c>
      <c r="P229" s="6" t="s">
        <v>4352</v>
      </c>
      <c r="S229" s="6">
        <v>176</v>
      </c>
      <c r="T229" s="6">
        <v>186</v>
      </c>
      <c r="U229" s="10">
        <f t="shared" si="6"/>
        <v>181</v>
      </c>
      <c r="V229" s="6">
        <v>4.5999999999999996</v>
      </c>
      <c r="W229" s="8">
        <v>-4.3860317488014618E-2</v>
      </c>
      <c r="X229" s="8">
        <v>-0.79560110664367678</v>
      </c>
      <c r="Y229" s="8">
        <f t="shared" si="7"/>
        <v>-0.44471856673955984</v>
      </c>
    </row>
    <row r="230" spans="1:25" s="6" customFormat="1" x14ac:dyDescent="0.35">
      <c r="A230" s="6" t="s">
        <v>25</v>
      </c>
      <c r="B230" s="7"/>
      <c r="D230" s="6" t="s">
        <v>1218</v>
      </c>
      <c r="E230" s="6">
        <v>3</v>
      </c>
      <c r="F230" s="6">
        <v>33</v>
      </c>
      <c r="G230" s="6" t="s">
        <v>210</v>
      </c>
      <c r="I230" s="8">
        <v>86.189197986111097</v>
      </c>
      <c r="J230" s="8">
        <v>15.473053055555599</v>
      </c>
      <c r="K230" s="6" t="s">
        <v>29</v>
      </c>
      <c r="L230" s="6" t="s">
        <v>546</v>
      </c>
      <c r="M230" s="9">
        <v>43914</v>
      </c>
      <c r="O230" s="6">
        <v>26</v>
      </c>
      <c r="P230" s="6" t="s">
        <v>4352</v>
      </c>
      <c r="S230" s="6">
        <v>186</v>
      </c>
      <c r="T230" s="6">
        <v>196</v>
      </c>
      <c r="U230" s="10">
        <f t="shared" si="6"/>
        <v>191</v>
      </c>
      <c r="V230" s="6">
        <v>5.0999999999999996</v>
      </c>
      <c r="W230" s="8">
        <v>0.26017106525897971</v>
      </c>
      <c r="X230" s="8">
        <v>0.80485367488861081</v>
      </c>
      <c r="Y230" s="8">
        <f t="shared" si="7"/>
        <v>-1.2765148471832268</v>
      </c>
    </row>
    <row r="231" spans="1:25" s="6" customFormat="1" x14ac:dyDescent="0.35">
      <c r="A231" s="6" t="s">
        <v>25</v>
      </c>
      <c r="B231" s="7"/>
      <c r="D231" s="6" t="s">
        <v>1219</v>
      </c>
      <c r="E231" s="6">
        <v>3</v>
      </c>
      <c r="F231" s="6">
        <v>33</v>
      </c>
      <c r="G231" s="6" t="s">
        <v>210</v>
      </c>
      <c r="I231" s="8">
        <v>86.189197986111097</v>
      </c>
      <c r="J231" s="8">
        <v>15.473053055555599</v>
      </c>
      <c r="K231" s="6" t="s">
        <v>29</v>
      </c>
      <c r="L231" s="6" t="s">
        <v>546</v>
      </c>
      <c r="M231" s="9">
        <v>43914</v>
      </c>
      <c r="O231" s="6">
        <v>26</v>
      </c>
      <c r="P231" s="6" t="s">
        <v>4352</v>
      </c>
      <c r="S231" s="6">
        <v>196</v>
      </c>
      <c r="T231" s="6">
        <v>206</v>
      </c>
      <c r="U231" s="10">
        <f t="shared" si="6"/>
        <v>201</v>
      </c>
      <c r="V231" s="6">
        <v>7.5</v>
      </c>
      <c r="W231" s="8">
        <v>0.42557109909057589</v>
      </c>
      <c r="X231" s="8">
        <v>2.1146598014831559</v>
      </c>
      <c r="Y231" s="8">
        <f t="shared" si="7"/>
        <v>-1.2899089912414512</v>
      </c>
    </row>
    <row r="232" spans="1:25" s="6" customFormat="1" x14ac:dyDescent="0.35">
      <c r="A232" s="6" t="s">
        <v>25</v>
      </c>
      <c r="B232" s="7" t="s">
        <v>1322</v>
      </c>
      <c r="D232" s="6" t="s">
        <v>1323</v>
      </c>
      <c r="E232" s="6">
        <v>3</v>
      </c>
      <c r="F232" s="6">
        <v>36</v>
      </c>
      <c r="G232" s="6" t="s">
        <v>210</v>
      </c>
      <c r="I232" s="8">
        <v>84.295218194444402</v>
      </c>
      <c r="J232" s="8">
        <v>14.935208263888899</v>
      </c>
      <c r="K232" s="6" t="s">
        <v>29</v>
      </c>
      <c r="L232" s="6" t="s">
        <v>546</v>
      </c>
      <c r="M232" s="9">
        <v>43934</v>
      </c>
      <c r="O232" s="6">
        <v>29</v>
      </c>
      <c r="P232" s="6" t="s">
        <v>4354</v>
      </c>
      <c r="R232" s="10"/>
      <c r="S232" s="10">
        <v>0</v>
      </c>
      <c r="T232" s="10">
        <v>10</v>
      </c>
      <c r="U232" s="10">
        <f t="shared" si="6"/>
        <v>5</v>
      </c>
      <c r="V232" s="11">
        <v>0.1</v>
      </c>
      <c r="W232" s="8">
        <v>-4.2763963514328003</v>
      </c>
      <c r="X232" s="8">
        <v>-33.716824806213381</v>
      </c>
      <c r="Y232" s="8">
        <f t="shared" si="7"/>
        <v>0.49434600524902095</v>
      </c>
    </row>
    <row r="233" spans="1:25" s="6" customFormat="1" x14ac:dyDescent="0.35">
      <c r="A233" s="6" t="s">
        <v>25</v>
      </c>
      <c r="B233" s="7" t="s">
        <v>1324</v>
      </c>
      <c r="D233" s="6" t="s">
        <v>1325</v>
      </c>
      <c r="E233" s="6">
        <v>3</v>
      </c>
      <c r="F233" s="6">
        <v>36</v>
      </c>
      <c r="G233" s="6" t="s">
        <v>210</v>
      </c>
      <c r="I233" s="8">
        <v>84.295218194444402</v>
      </c>
      <c r="J233" s="8">
        <v>14.935208263888899</v>
      </c>
      <c r="K233" s="6" t="s">
        <v>29</v>
      </c>
      <c r="L233" s="6" t="s">
        <v>546</v>
      </c>
      <c r="M233" s="9">
        <v>43934</v>
      </c>
      <c r="O233" s="6">
        <v>29</v>
      </c>
      <c r="P233" s="6" t="s">
        <v>4354</v>
      </c>
      <c r="R233" s="10"/>
      <c r="S233" s="10">
        <v>10</v>
      </c>
      <c r="T233" s="10">
        <v>20</v>
      </c>
      <c r="U233" s="10">
        <f t="shared" si="6"/>
        <v>15</v>
      </c>
      <c r="V233" s="11">
        <v>0.1</v>
      </c>
      <c r="W233" s="8">
        <v>-4.1445221477508545</v>
      </c>
      <c r="X233" s="8">
        <v>-31.885477119445799</v>
      </c>
      <c r="Y233" s="8">
        <f t="shared" si="7"/>
        <v>1.270700062561037</v>
      </c>
    </row>
    <row r="234" spans="1:25" s="6" customFormat="1" x14ac:dyDescent="0.35">
      <c r="A234" s="6" t="s">
        <v>25</v>
      </c>
      <c r="B234" s="7" t="s">
        <v>1326</v>
      </c>
      <c r="D234" s="6" t="s">
        <v>1327</v>
      </c>
      <c r="E234" s="6">
        <v>3</v>
      </c>
      <c r="F234" s="6">
        <v>36</v>
      </c>
      <c r="G234" s="6" t="s">
        <v>210</v>
      </c>
      <c r="I234" s="8">
        <v>84.295218194444402</v>
      </c>
      <c r="J234" s="8">
        <v>14.935208263888899</v>
      </c>
      <c r="K234" s="6" t="s">
        <v>29</v>
      </c>
      <c r="L234" s="6" t="s">
        <v>546</v>
      </c>
      <c r="M234" s="9">
        <v>43934</v>
      </c>
      <c r="O234" s="6">
        <v>29</v>
      </c>
      <c r="P234" s="6" t="s">
        <v>4354</v>
      </c>
      <c r="R234" s="10"/>
      <c r="S234" s="10">
        <v>20</v>
      </c>
      <c r="T234" s="10">
        <v>30</v>
      </c>
      <c r="U234" s="10">
        <f t="shared" si="6"/>
        <v>25</v>
      </c>
      <c r="V234" s="11">
        <v>0.5</v>
      </c>
      <c r="W234" s="8">
        <v>-5.0370535903930671</v>
      </c>
      <c r="X234" s="8">
        <v>-37.586180847167967</v>
      </c>
      <c r="Y234" s="8">
        <f t="shared" si="7"/>
        <v>2.7102478759765702</v>
      </c>
    </row>
    <row r="235" spans="1:25" s="6" customFormat="1" x14ac:dyDescent="0.35">
      <c r="A235" s="6" t="s">
        <v>25</v>
      </c>
      <c r="B235" s="7" t="s">
        <v>1328</v>
      </c>
      <c r="D235" s="6" t="s">
        <v>1329</v>
      </c>
      <c r="E235" s="6">
        <v>3</v>
      </c>
      <c r="F235" s="6">
        <v>36</v>
      </c>
      <c r="G235" s="6" t="s">
        <v>210</v>
      </c>
      <c r="I235" s="8">
        <v>84.295218194444402</v>
      </c>
      <c r="J235" s="8">
        <v>14.935208263888899</v>
      </c>
      <c r="K235" s="6" t="s">
        <v>29</v>
      </c>
      <c r="L235" s="6" t="s">
        <v>546</v>
      </c>
      <c r="M235" s="9">
        <v>43934</v>
      </c>
      <c r="O235" s="6">
        <v>29</v>
      </c>
      <c r="P235" s="6" t="s">
        <v>4354</v>
      </c>
      <c r="R235" s="10"/>
      <c r="S235" s="10">
        <v>30</v>
      </c>
      <c r="T235" s="10">
        <v>40</v>
      </c>
      <c r="U235" s="10">
        <f t="shared" si="6"/>
        <v>35</v>
      </c>
      <c r="V235" s="11">
        <v>1.3</v>
      </c>
      <c r="W235" s="8">
        <v>-4.6164875632286071</v>
      </c>
      <c r="X235" s="8">
        <v>-34.694053588867185</v>
      </c>
      <c r="Y235" s="8">
        <f t="shared" si="7"/>
        <v>2.2378469169616722</v>
      </c>
    </row>
    <row r="236" spans="1:25" s="6" customFormat="1" x14ac:dyDescent="0.35">
      <c r="A236" s="6" t="s">
        <v>25</v>
      </c>
      <c r="B236" s="7" t="s">
        <v>1330</v>
      </c>
      <c r="D236" s="6" t="s">
        <v>1331</v>
      </c>
      <c r="E236" s="6">
        <v>3</v>
      </c>
      <c r="F236" s="6">
        <v>36</v>
      </c>
      <c r="G236" s="6" t="s">
        <v>210</v>
      </c>
      <c r="I236" s="8">
        <v>84.295218194444402</v>
      </c>
      <c r="J236" s="8">
        <v>14.935208263888899</v>
      </c>
      <c r="K236" s="6" t="s">
        <v>29</v>
      </c>
      <c r="L236" s="6" t="s">
        <v>546</v>
      </c>
      <c r="M236" s="9">
        <v>43934</v>
      </c>
      <c r="O236" s="6">
        <v>29</v>
      </c>
      <c r="P236" s="6" t="s">
        <v>4354</v>
      </c>
      <c r="R236" s="10"/>
      <c r="S236" s="10">
        <v>40</v>
      </c>
      <c r="T236" s="10">
        <v>50</v>
      </c>
      <c r="U236" s="10">
        <f t="shared" si="6"/>
        <v>45</v>
      </c>
      <c r="V236" s="11">
        <v>0.8</v>
      </c>
      <c r="W236" s="8">
        <v>-3.3869139808177953</v>
      </c>
      <c r="X236" s="8">
        <v>-26.340765579223632</v>
      </c>
      <c r="Y236" s="8">
        <f t="shared" si="7"/>
        <v>0.7545462673187302</v>
      </c>
    </row>
    <row r="237" spans="1:25" s="6" customFormat="1" x14ac:dyDescent="0.35">
      <c r="A237" s="6" t="s">
        <v>25</v>
      </c>
      <c r="B237" s="7" t="s">
        <v>1332</v>
      </c>
      <c r="D237" s="6" t="s">
        <v>1333</v>
      </c>
      <c r="E237" s="6">
        <v>3</v>
      </c>
      <c r="F237" s="6">
        <v>36</v>
      </c>
      <c r="G237" s="6" t="s">
        <v>210</v>
      </c>
      <c r="I237" s="8">
        <v>84.295218194444402</v>
      </c>
      <c r="J237" s="8">
        <v>14.935208263888899</v>
      </c>
      <c r="K237" s="6" t="s">
        <v>29</v>
      </c>
      <c r="L237" s="6" t="s">
        <v>546</v>
      </c>
      <c r="M237" s="9">
        <v>43934</v>
      </c>
      <c r="O237" s="6">
        <v>29</v>
      </c>
      <c r="P237" s="6" t="s">
        <v>4354</v>
      </c>
      <c r="R237" s="10"/>
      <c r="S237" s="10">
        <v>50</v>
      </c>
      <c r="T237" s="10">
        <v>60</v>
      </c>
      <c r="U237" s="10">
        <f t="shared" si="6"/>
        <v>55</v>
      </c>
      <c r="V237" s="11">
        <v>0.9</v>
      </c>
      <c r="W237" s="8">
        <v>-3.6952553405761721</v>
      </c>
      <c r="X237" s="8">
        <v>-27.422758989334103</v>
      </c>
      <c r="Y237" s="8">
        <f t="shared" si="7"/>
        <v>2.1392837352752743</v>
      </c>
    </row>
    <row r="238" spans="1:25" s="6" customFormat="1" x14ac:dyDescent="0.35">
      <c r="A238" s="6" t="s">
        <v>25</v>
      </c>
      <c r="B238" s="7" t="s">
        <v>1334</v>
      </c>
      <c r="D238" s="6" t="s">
        <v>1335</v>
      </c>
      <c r="E238" s="6">
        <v>3</v>
      </c>
      <c r="F238" s="6">
        <v>36</v>
      </c>
      <c r="G238" s="6" t="s">
        <v>210</v>
      </c>
      <c r="I238" s="8">
        <v>84.295218194444402</v>
      </c>
      <c r="J238" s="8">
        <v>14.935208263888899</v>
      </c>
      <c r="K238" s="6" t="s">
        <v>29</v>
      </c>
      <c r="L238" s="6" t="s">
        <v>546</v>
      </c>
      <c r="M238" s="9">
        <v>43934</v>
      </c>
      <c r="O238" s="6">
        <v>29</v>
      </c>
      <c r="P238" s="6" t="s">
        <v>4354</v>
      </c>
      <c r="R238" s="10"/>
      <c r="S238" s="10">
        <v>60</v>
      </c>
      <c r="T238" s="10">
        <v>70</v>
      </c>
      <c r="U238" s="10">
        <f t="shared" si="6"/>
        <v>65</v>
      </c>
      <c r="V238" s="11">
        <v>1.3</v>
      </c>
      <c r="W238" s="8">
        <v>-4.1384878840446477</v>
      </c>
      <c r="X238" s="8">
        <v>-30.743727836608887</v>
      </c>
      <c r="Y238" s="8">
        <f t="shared" si="7"/>
        <v>2.364175235748295</v>
      </c>
    </row>
    <row r="239" spans="1:25" s="6" customFormat="1" x14ac:dyDescent="0.35">
      <c r="A239" s="6" t="s">
        <v>25</v>
      </c>
      <c r="B239" s="7" t="s">
        <v>1336</v>
      </c>
      <c r="D239" s="6" t="s">
        <v>1337</v>
      </c>
      <c r="E239" s="6">
        <v>3</v>
      </c>
      <c r="F239" s="6">
        <v>36</v>
      </c>
      <c r="G239" s="6" t="s">
        <v>210</v>
      </c>
      <c r="I239" s="8">
        <v>84.295218194444402</v>
      </c>
      <c r="J239" s="8">
        <v>14.935208263888899</v>
      </c>
      <c r="K239" s="6" t="s">
        <v>29</v>
      </c>
      <c r="L239" s="6" t="s">
        <v>546</v>
      </c>
      <c r="M239" s="9">
        <v>43934</v>
      </c>
      <c r="O239" s="6">
        <v>29</v>
      </c>
      <c r="P239" s="6" t="s">
        <v>4354</v>
      </c>
      <c r="R239" s="10"/>
      <c r="S239" s="10">
        <v>70</v>
      </c>
      <c r="T239" s="10">
        <v>80</v>
      </c>
      <c r="U239" s="10">
        <f t="shared" si="6"/>
        <v>75</v>
      </c>
      <c r="V239" s="11">
        <v>4.0999999999999996</v>
      </c>
      <c r="W239" s="8">
        <v>0.50816744050383544</v>
      </c>
      <c r="X239" s="8">
        <v>5.1537030529975896</v>
      </c>
      <c r="Y239" s="8">
        <f t="shared" si="7"/>
        <v>1.088363528966906</v>
      </c>
    </row>
    <row r="240" spans="1:25" s="6" customFormat="1" x14ac:dyDescent="0.35">
      <c r="A240" s="6" t="s">
        <v>25</v>
      </c>
      <c r="B240" s="7" t="s">
        <v>1338</v>
      </c>
      <c r="D240" s="6" t="s">
        <v>1339</v>
      </c>
      <c r="E240" s="6">
        <v>3</v>
      </c>
      <c r="F240" s="6">
        <v>36</v>
      </c>
      <c r="G240" s="6" t="s">
        <v>210</v>
      </c>
      <c r="I240" s="8">
        <v>84.295218194444402</v>
      </c>
      <c r="J240" s="8">
        <v>14.935208263888899</v>
      </c>
      <c r="K240" s="6" t="s">
        <v>29</v>
      </c>
      <c r="L240" s="6" t="s">
        <v>546</v>
      </c>
      <c r="M240" s="9">
        <v>43934</v>
      </c>
      <c r="O240" s="6">
        <v>29</v>
      </c>
      <c r="P240" s="6" t="s">
        <v>4354</v>
      </c>
      <c r="R240" s="10"/>
      <c r="S240" s="10">
        <v>80</v>
      </c>
      <c r="T240" s="10">
        <v>90</v>
      </c>
      <c r="U240" s="10">
        <f t="shared" si="6"/>
        <v>85</v>
      </c>
      <c r="V240" s="11">
        <v>4.2</v>
      </c>
      <c r="W240" s="8">
        <v>0.73401901981830608</v>
      </c>
      <c r="X240" s="8">
        <v>6.5288597065210343</v>
      </c>
      <c r="Y240" s="8">
        <f t="shared" si="7"/>
        <v>0.65670754797458564</v>
      </c>
    </row>
    <row r="241" spans="1:25" s="6" customFormat="1" x14ac:dyDescent="0.35">
      <c r="A241" s="6" t="s">
        <v>25</v>
      </c>
      <c r="B241" s="7" t="s">
        <v>1340</v>
      </c>
      <c r="D241" s="6" t="s">
        <v>1341</v>
      </c>
      <c r="E241" s="6">
        <v>3</v>
      </c>
      <c r="F241" s="6">
        <v>36</v>
      </c>
      <c r="G241" s="6" t="s">
        <v>210</v>
      </c>
      <c r="I241" s="8">
        <v>84.295218194444402</v>
      </c>
      <c r="J241" s="8">
        <v>14.935208263888899</v>
      </c>
      <c r="K241" s="6" t="s">
        <v>29</v>
      </c>
      <c r="L241" s="6" t="s">
        <v>546</v>
      </c>
      <c r="M241" s="9">
        <v>43934</v>
      </c>
      <c r="O241" s="6">
        <v>29</v>
      </c>
      <c r="P241" s="6" t="s">
        <v>4354</v>
      </c>
      <c r="R241" s="10"/>
      <c r="S241" s="10">
        <v>90</v>
      </c>
      <c r="T241" s="10">
        <v>100</v>
      </c>
      <c r="U241" s="10">
        <f t="shared" si="6"/>
        <v>95</v>
      </c>
      <c r="V241" s="11">
        <v>4.0999999999999996</v>
      </c>
      <c r="W241" s="8">
        <v>0.21858462583869698</v>
      </c>
      <c r="X241" s="8">
        <v>2.3131898593902593</v>
      </c>
      <c r="Y241" s="8">
        <f t="shared" si="7"/>
        <v>0.56451285268068352</v>
      </c>
    </row>
    <row r="242" spans="1:25" s="6" customFormat="1" x14ac:dyDescent="0.35">
      <c r="A242" s="6" t="s">
        <v>25</v>
      </c>
      <c r="B242" s="7" t="s">
        <v>1342</v>
      </c>
      <c r="D242" s="6" t="s">
        <v>1343</v>
      </c>
      <c r="E242" s="6">
        <v>3</v>
      </c>
      <c r="F242" s="6">
        <v>36</v>
      </c>
      <c r="G242" s="6" t="s">
        <v>210</v>
      </c>
      <c r="I242" s="8">
        <v>84.295218194444402</v>
      </c>
      <c r="J242" s="8">
        <v>14.935208263888899</v>
      </c>
      <c r="K242" s="6" t="s">
        <v>29</v>
      </c>
      <c r="L242" s="6" t="s">
        <v>546</v>
      </c>
      <c r="M242" s="9">
        <v>43934</v>
      </c>
      <c r="O242" s="6">
        <v>29</v>
      </c>
      <c r="P242" s="6" t="s">
        <v>4354</v>
      </c>
      <c r="R242" s="10"/>
      <c r="S242" s="10">
        <v>100</v>
      </c>
      <c r="T242" s="10">
        <v>110</v>
      </c>
      <c r="U242" s="10">
        <f t="shared" si="6"/>
        <v>105</v>
      </c>
      <c r="V242" s="11">
        <v>3.9</v>
      </c>
      <c r="W242" s="8">
        <v>1.7834105678275435E-2</v>
      </c>
      <c r="X242" s="8">
        <v>1.123782846927643</v>
      </c>
      <c r="Y242" s="8">
        <f t="shared" si="7"/>
        <v>0.98111000150143945</v>
      </c>
    </row>
    <row r="243" spans="1:25" s="6" customFormat="1" x14ac:dyDescent="0.35">
      <c r="A243" s="6" t="s">
        <v>25</v>
      </c>
      <c r="B243" s="7" t="s">
        <v>1344</v>
      </c>
      <c r="D243" s="6" t="s">
        <v>1345</v>
      </c>
      <c r="E243" s="6">
        <v>3</v>
      </c>
      <c r="F243" s="6">
        <v>36</v>
      </c>
      <c r="G243" s="6" t="s">
        <v>210</v>
      </c>
      <c r="I243" s="8">
        <v>84.295218194444402</v>
      </c>
      <c r="J243" s="8">
        <v>14.935208263888899</v>
      </c>
      <c r="K243" s="6" t="s">
        <v>29</v>
      </c>
      <c r="L243" s="6" t="s">
        <v>546</v>
      </c>
      <c r="M243" s="9">
        <v>43934</v>
      </c>
      <c r="O243" s="6">
        <v>29</v>
      </c>
      <c r="P243" s="6" t="s">
        <v>4354</v>
      </c>
      <c r="R243" s="10"/>
      <c r="S243" s="10">
        <v>110</v>
      </c>
      <c r="T243" s="10">
        <v>120</v>
      </c>
      <c r="U243" s="10">
        <f t="shared" si="6"/>
        <v>115</v>
      </c>
      <c r="V243" s="11">
        <v>3.9</v>
      </c>
      <c r="W243" s="8">
        <v>-0.17549057253599182</v>
      </c>
      <c r="X243" s="8">
        <v>-1.0481873083114628</v>
      </c>
      <c r="Y243" s="8">
        <f t="shared" si="7"/>
        <v>0.35573727197647176</v>
      </c>
    </row>
    <row r="244" spans="1:25" s="6" customFormat="1" x14ac:dyDescent="0.35">
      <c r="A244" s="6" t="s">
        <v>25</v>
      </c>
      <c r="B244" s="7" t="s">
        <v>1346</v>
      </c>
      <c r="D244" s="6" t="s">
        <v>1347</v>
      </c>
      <c r="E244" s="6">
        <v>3</v>
      </c>
      <c r="F244" s="6">
        <v>36</v>
      </c>
      <c r="G244" s="6" t="s">
        <v>210</v>
      </c>
      <c r="I244" s="8">
        <v>84.295218194444402</v>
      </c>
      <c r="J244" s="8">
        <v>14.935208263888899</v>
      </c>
      <c r="K244" s="6" t="s">
        <v>29</v>
      </c>
      <c r="L244" s="6" t="s">
        <v>546</v>
      </c>
      <c r="M244" s="9">
        <v>43934</v>
      </c>
      <c r="O244" s="6">
        <v>29</v>
      </c>
      <c r="P244" s="6" t="s">
        <v>4354</v>
      </c>
      <c r="R244" s="10"/>
      <c r="S244" s="10">
        <v>120</v>
      </c>
      <c r="T244" s="10">
        <v>130</v>
      </c>
      <c r="U244" s="10">
        <f t="shared" si="6"/>
        <v>125</v>
      </c>
      <c r="V244" s="11">
        <v>4.7</v>
      </c>
      <c r="W244" s="8">
        <v>-0.21797950216531747</v>
      </c>
      <c r="X244" s="8">
        <v>-1.4359396389722825</v>
      </c>
      <c r="Y244" s="8">
        <f t="shared" si="7"/>
        <v>0.30789637835025729</v>
      </c>
    </row>
    <row r="245" spans="1:25" s="6" customFormat="1" x14ac:dyDescent="0.35">
      <c r="A245" s="6" t="s">
        <v>25</v>
      </c>
      <c r="B245" s="7" t="s">
        <v>1348</v>
      </c>
      <c r="D245" s="6" t="s">
        <v>1349</v>
      </c>
      <c r="E245" s="6">
        <v>3</v>
      </c>
      <c r="F245" s="6">
        <v>36</v>
      </c>
      <c r="G245" s="6" t="s">
        <v>210</v>
      </c>
      <c r="I245" s="8">
        <v>84.295218194444402</v>
      </c>
      <c r="J245" s="8">
        <v>14.935208263888899</v>
      </c>
      <c r="K245" s="6" t="s">
        <v>29</v>
      </c>
      <c r="L245" s="6" t="s">
        <v>546</v>
      </c>
      <c r="M245" s="9">
        <v>43934</v>
      </c>
      <c r="O245" s="6">
        <v>29</v>
      </c>
      <c r="P245" s="6" t="s">
        <v>4354</v>
      </c>
      <c r="R245" s="10"/>
      <c r="S245" s="10">
        <v>130</v>
      </c>
      <c r="T245" s="10">
        <v>140</v>
      </c>
      <c r="U245" s="10">
        <f t="shared" si="6"/>
        <v>135</v>
      </c>
      <c r="V245" s="11">
        <v>4.2</v>
      </c>
      <c r="W245" s="8">
        <v>-8.0169706159830045E-2</v>
      </c>
      <c r="X245" s="8">
        <v>-0.48048511153459583</v>
      </c>
      <c r="Y245" s="8">
        <f t="shared" si="7"/>
        <v>0.16087253774404453</v>
      </c>
    </row>
    <row r="246" spans="1:25" s="6" customFormat="1" x14ac:dyDescent="0.35">
      <c r="A246" s="6" t="s">
        <v>25</v>
      </c>
      <c r="B246" s="7" t="s">
        <v>1350</v>
      </c>
      <c r="D246" s="6" t="s">
        <v>1351</v>
      </c>
      <c r="E246" s="6">
        <v>3</v>
      </c>
      <c r="F246" s="6">
        <v>36</v>
      </c>
      <c r="G246" s="6" t="s">
        <v>210</v>
      </c>
      <c r="I246" s="8">
        <v>84.295218194444402</v>
      </c>
      <c r="J246" s="8">
        <v>14.935208263888899</v>
      </c>
      <c r="K246" s="6" t="s">
        <v>29</v>
      </c>
      <c r="L246" s="6" t="s">
        <v>546</v>
      </c>
      <c r="M246" s="9">
        <v>43934</v>
      </c>
      <c r="O246" s="6">
        <v>29</v>
      </c>
      <c r="P246" s="6" t="s">
        <v>4354</v>
      </c>
      <c r="R246" s="10"/>
      <c r="S246" s="10">
        <v>140</v>
      </c>
      <c r="T246" s="10">
        <v>150</v>
      </c>
      <c r="U246" s="10">
        <f t="shared" si="6"/>
        <v>145</v>
      </c>
      <c r="V246" s="11">
        <v>4.7</v>
      </c>
      <c r="W246" s="8">
        <v>0.32083228794336316</v>
      </c>
      <c r="X246" s="8">
        <v>2.8422784616947179</v>
      </c>
      <c r="Y246" s="8">
        <f t="shared" si="7"/>
        <v>0.2756201581478126</v>
      </c>
    </row>
    <row r="247" spans="1:25" s="6" customFormat="1" x14ac:dyDescent="0.35">
      <c r="A247" s="6" t="s">
        <v>25</v>
      </c>
      <c r="B247" s="7" t="s">
        <v>1352</v>
      </c>
      <c r="D247" s="6" t="s">
        <v>1353</v>
      </c>
      <c r="E247" s="6">
        <v>3</v>
      </c>
      <c r="F247" s="6">
        <v>36</v>
      </c>
      <c r="G247" s="6" t="s">
        <v>210</v>
      </c>
      <c r="I247" s="8">
        <v>84.295218194444402</v>
      </c>
      <c r="J247" s="8">
        <v>14.935208263888899</v>
      </c>
      <c r="K247" s="6" t="s">
        <v>29</v>
      </c>
      <c r="L247" s="6" t="s">
        <v>546</v>
      </c>
      <c r="M247" s="9">
        <v>43934</v>
      </c>
      <c r="O247" s="6">
        <v>29</v>
      </c>
      <c r="P247" s="6" t="s">
        <v>4354</v>
      </c>
      <c r="R247" s="10"/>
      <c r="S247" s="10">
        <v>150</v>
      </c>
      <c r="T247" s="10">
        <v>160</v>
      </c>
      <c r="U247" s="10">
        <f t="shared" si="6"/>
        <v>155</v>
      </c>
      <c r="V247" s="11">
        <v>4.0999999999999996</v>
      </c>
      <c r="W247" s="8">
        <v>0.527800434103608</v>
      </c>
      <c r="X247" s="8">
        <v>4.7945862483978274</v>
      </c>
      <c r="Y247" s="8">
        <f t="shared" si="7"/>
        <v>0.57218277556896346</v>
      </c>
    </row>
    <row r="248" spans="1:25" s="6" customFormat="1" x14ac:dyDescent="0.35">
      <c r="A248" s="6" t="s">
        <v>25</v>
      </c>
      <c r="B248" s="7" t="s">
        <v>1354</v>
      </c>
      <c r="D248" s="6" t="s">
        <v>1355</v>
      </c>
      <c r="E248" s="6">
        <v>3</v>
      </c>
      <c r="F248" s="6">
        <v>36</v>
      </c>
      <c r="G248" s="6" t="s">
        <v>210</v>
      </c>
      <c r="I248" s="8">
        <v>84.295218194444402</v>
      </c>
      <c r="J248" s="8">
        <v>14.935208263888899</v>
      </c>
      <c r="K248" s="6" t="s">
        <v>29</v>
      </c>
      <c r="L248" s="6" t="s">
        <v>546</v>
      </c>
      <c r="M248" s="9">
        <v>43934</v>
      </c>
      <c r="O248" s="6">
        <v>29</v>
      </c>
      <c r="P248" s="6" t="s">
        <v>4354</v>
      </c>
      <c r="R248" s="10"/>
      <c r="S248" s="10">
        <v>160</v>
      </c>
      <c r="T248" s="10">
        <v>170</v>
      </c>
      <c r="U248" s="10">
        <f t="shared" si="6"/>
        <v>165</v>
      </c>
      <c r="V248" s="11">
        <v>5.2</v>
      </c>
      <c r="W248" s="8">
        <v>1.1324170448541639</v>
      </c>
      <c r="X248" s="8">
        <v>9.0989003705978391</v>
      </c>
      <c r="Y248" s="8">
        <f t="shared" si="7"/>
        <v>3.9564011764527507E-2</v>
      </c>
    </row>
    <row r="249" spans="1:25" s="6" customFormat="1" x14ac:dyDescent="0.35">
      <c r="A249" s="6" t="s">
        <v>25</v>
      </c>
      <c r="B249" s="6" t="s">
        <v>1402</v>
      </c>
      <c r="D249" s="6" t="s">
        <v>1403</v>
      </c>
      <c r="E249" s="6">
        <v>3</v>
      </c>
      <c r="F249" s="6">
        <v>37</v>
      </c>
      <c r="G249" s="6" t="s">
        <v>272</v>
      </c>
      <c r="I249" s="8">
        <v>84.126440069444399</v>
      </c>
      <c r="J249" s="8">
        <v>15.9185540277778</v>
      </c>
      <c r="K249" s="6" t="s">
        <v>29</v>
      </c>
      <c r="L249" s="6" t="s">
        <v>546</v>
      </c>
      <c r="M249" s="9">
        <v>43943</v>
      </c>
      <c r="O249" s="6">
        <v>30</v>
      </c>
      <c r="P249" s="6" t="s">
        <v>4365</v>
      </c>
      <c r="R249" s="6">
        <v>0</v>
      </c>
      <c r="S249" s="6">
        <v>0</v>
      </c>
      <c r="T249" s="6">
        <v>10</v>
      </c>
      <c r="U249" s="10">
        <f t="shared" si="6"/>
        <v>5</v>
      </c>
      <c r="V249" s="6">
        <v>0.1</v>
      </c>
      <c r="W249" s="8">
        <v>-3.6553133301258089</v>
      </c>
      <c r="X249" s="8">
        <v>-28.323920055389404</v>
      </c>
      <c r="Y249" s="8">
        <f t="shared" si="7"/>
        <v>0.91858658561706719</v>
      </c>
    </row>
    <row r="250" spans="1:25" s="6" customFormat="1" x14ac:dyDescent="0.35">
      <c r="A250" s="6" t="s">
        <v>25</v>
      </c>
      <c r="B250" s="6" t="s">
        <v>1404</v>
      </c>
      <c r="D250" s="6" t="s">
        <v>1403</v>
      </c>
      <c r="E250" s="6">
        <v>3</v>
      </c>
      <c r="F250" s="6">
        <v>37</v>
      </c>
      <c r="G250" s="6" t="s">
        <v>272</v>
      </c>
      <c r="I250" s="8">
        <v>84.126440069444399</v>
      </c>
      <c r="J250" s="8">
        <v>15.9185540277778</v>
      </c>
      <c r="K250" s="6" t="s">
        <v>29</v>
      </c>
      <c r="L250" s="6" t="s">
        <v>546</v>
      </c>
      <c r="M250" s="9">
        <v>43943</v>
      </c>
      <c r="O250" s="6">
        <v>30</v>
      </c>
      <c r="P250" s="6" t="s">
        <v>4365</v>
      </c>
      <c r="R250" s="6">
        <v>10</v>
      </c>
      <c r="S250" s="6">
        <v>10</v>
      </c>
      <c r="T250" s="6">
        <v>20</v>
      </c>
      <c r="U250" s="10">
        <f t="shared" si="6"/>
        <v>15</v>
      </c>
      <c r="V250" s="6">
        <v>0.2</v>
      </c>
      <c r="W250" s="8">
        <v>-3.1780684186935426</v>
      </c>
      <c r="X250" s="8">
        <v>-25.335348266601567</v>
      </c>
      <c r="Y250" s="8">
        <f t="shared" si="7"/>
        <v>8.91990829467737E-2</v>
      </c>
    </row>
    <row r="251" spans="1:25" s="6" customFormat="1" x14ac:dyDescent="0.35">
      <c r="A251" s="6" t="s">
        <v>25</v>
      </c>
      <c r="B251" s="6" t="s">
        <v>1405</v>
      </c>
      <c r="D251" s="6" t="s">
        <v>1403</v>
      </c>
      <c r="E251" s="6">
        <v>3</v>
      </c>
      <c r="F251" s="6">
        <v>37</v>
      </c>
      <c r="G251" s="6" t="s">
        <v>272</v>
      </c>
      <c r="I251" s="8">
        <v>84.126440069444399</v>
      </c>
      <c r="J251" s="8">
        <v>15.9185540277778</v>
      </c>
      <c r="K251" s="6" t="s">
        <v>29</v>
      </c>
      <c r="L251" s="6" t="s">
        <v>546</v>
      </c>
      <c r="M251" s="9">
        <v>43943</v>
      </c>
      <c r="O251" s="6">
        <v>30</v>
      </c>
      <c r="P251" s="6" t="s">
        <v>4365</v>
      </c>
      <c r="R251" s="6">
        <v>20</v>
      </c>
      <c r="S251" s="6">
        <v>20</v>
      </c>
      <c r="T251" s="6">
        <v>30</v>
      </c>
      <c r="U251" s="10">
        <f t="shared" si="6"/>
        <v>25</v>
      </c>
      <c r="V251" s="6">
        <v>0.4</v>
      </c>
      <c r="W251" s="8">
        <v>-3.0341171776771545</v>
      </c>
      <c r="X251" s="8">
        <v>-23.123018138885499</v>
      </c>
      <c r="Y251" s="8">
        <f t="shared" si="7"/>
        <v>1.1499192825317373</v>
      </c>
    </row>
    <row r="252" spans="1:25" s="6" customFormat="1" x14ac:dyDescent="0.35">
      <c r="A252" s="6" t="s">
        <v>25</v>
      </c>
      <c r="B252" s="6" t="s">
        <v>1406</v>
      </c>
      <c r="D252" s="6" t="s">
        <v>1403</v>
      </c>
      <c r="E252" s="6">
        <v>3</v>
      </c>
      <c r="F252" s="6">
        <v>37</v>
      </c>
      <c r="G252" s="6" t="s">
        <v>272</v>
      </c>
      <c r="I252" s="8">
        <v>84.126440069444399</v>
      </c>
      <c r="J252" s="8">
        <v>15.9185540277778</v>
      </c>
      <c r="K252" s="6" t="s">
        <v>29</v>
      </c>
      <c r="L252" s="6" t="s">
        <v>546</v>
      </c>
      <c r="M252" s="9">
        <v>43943</v>
      </c>
      <c r="O252" s="6">
        <v>30</v>
      </c>
      <c r="P252" s="6" t="s">
        <v>4365</v>
      </c>
      <c r="R252" s="6">
        <v>30</v>
      </c>
      <c r="S252" s="6">
        <v>30</v>
      </c>
      <c r="T252" s="6">
        <v>40</v>
      </c>
      <c r="U252" s="10">
        <f t="shared" si="6"/>
        <v>35</v>
      </c>
      <c r="V252" s="6">
        <v>0.6</v>
      </c>
      <c r="W252" s="8">
        <v>-2.8998798963546752</v>
      </c>
      <c r="X252" s="8">
        <v>-22.365469181060792</v>
      </c>
      <c r="Y252" s="8">
        <f t="shared" si="7"/>
        <v>0.83356998977660979</v>
      </c>
    </row>
    <row r="253" spans="1:25" s="6" customFormat="1" x14ac:dyDescent="0.35">
      <c r="A253" s="6" t="s">
        <v>25</v>
      </c>
      <c r="B253" s="6" t="s">
        <v>1407</v>
      </c>
      <c r="D253" s="6" t="s">
        <v>1403</v>
      </c>
      <c r="E253" s="6">
        <v>3</v>
      </c>
      <c r="F253" s="6">
        <v>37</v>
      </c>
      <c r="G253" s="6" t="s">
        <v>272</v>
      </c>
      <c r="I253" s="8">
        <v>84.126440069444399</v>
      </c>
      <c r="J253" s="8">
        <v>15.9185540277778</v>
      </c>
      <c r="K253" s="6" t="s">
        <v>29</v>
      </c>
      <c r="L253" s="6" t="s">
        <v>546</v>
      </c>
      <c r="M253" s="9">
        <v>43943</v>
      </c>
      <c r="O253" s="6">
        <v>30</v>
      </c>
      <c r="P253" s="6" t="s">
        <v>4365</v>
      </c>
      <c r="R253" s="6">
        <v>40</v>
      </c>
      <c r="S253" s="6">
        <v>40</v>
      </c>
      <c r="T253" s="6">
        <v>50</v>
      </c>
      <c r="U253" s="10">
        <f t="shared" si="6"/>
        <v>45</v>
      </c>
      <c r="V253" s="6">
        <v>1</v>
      </c>
      <c r="W253" s="8">
        <v>-2.5559519710063938</v>
      </c>
      <c r="X253" s="8">
        <v>-19.641545238494874</v>
      </c>
      <c r="Y253" s="8">
        <f t="shared" si="7"/>
        <v>0.80607052955627623</v>
      </c>
    </row>
    <row r="254" spans="1:25" s="6" customFormat="1" x14ac:dyDescent="0.35">
      <c r="A254" s="6" t="s">
        <v>25</v>
      </c>
      <c r="B254" s="6" t="s">
        <v>1408</v>
      </c>
      <c r="D254" s="6" t="s">
        <v>1403</v>
      </c>
      <c r="E254" s="6">
        <v>3</v>
      </c>
      <c r="F254" s="6">
        <v>37</v>
      </c>
      <c r="G254" s="6" t="s">
        <v>272</v>
      </c>
      <c r="I254" s="8">
        <v>84.126440069444399</v>
      </c>
      <c r="J254" s="8">
        <v>15.9185540277778</v>
      </c>
      <c r="K254" s="6" t="s">
        <v>29</v>
      </c>
      <c r="L254" s="6" t="s">
        <v>546</v>
      </c>
      <c r="M254" s="9">
        <v>43943</v>
      </c>
      <c r="O254" s="6">
        <v>30</v>
      </c>
      <c r="P254" s="6" t="s">
        <v>4365</v>
      </c>
      <c r="R254" s="6">
        <v>50</v>
      </c>
      <c r="S254" s="6">
        <v>50</v>
      </c>
      <c r="T254" s="6">
        <v>60</v>
      </c>
      <c r="U254" s="10">
        <f t="shared" si="6"/>
        <v>55</v>
      </c>
      <c r="V254" s="6">
        <v>2.6</v>
      </c>
      <c r="W254" s="8">
        <v>-0.7430697203993798</v>
      </c>
      <c r="X254" s="8">
        <v>-5.6324425439834593</v>
      </c>
      <c r="Y254" s="8">
        <f t="shared" si="7"/>
        <v>0.31211521921157903</v>
      </c>
    </row>
    <row r="255" spans="1:25" s="6" customFormat="1" x14ac:dyDescent="0.35">
      <c r="A255" s="6" t="s">
        <v>25</v>
      </c>
      <c r="B255" s="6" t="s">
        <v>1409</v>
      </c>
      <c r="D255" s="6" t="s">
        <v>1403</v>
      </c>
      <c r="E255" s="6">
        <v>3</v>
      </c>
      <c r="F255" s="6">
        <v>37</v>
      </c>
      <c r="G255" s="6" t="s">
        <v>272</v>
      </c>
      <c r="I255" s="8">
        <v>84.126440069444399</v>
      </c>
      <c r="J255" s="8">
        <v>15.9185540277778</v>
      </c>
      <c r="K255" s="6" t="s">
        <v>29</v>
      </c>
      <c r="L255" s="6" t="s">
        <v>546</v>
      </c>
      <c r="M255" s="9">
        <v>43943</v>
      </c>
      <c r="O255" s="6">
        <v>30</v>
      </c>
      <c r="P255" s="6" t="s">
        <v>4365</v>
      </c>
      <c r="R255" s="6">
        <v>60</v>
      </c>
      <c r="S255" s="6">
        <v>60</v>
      </c>
      <c r="T255" s="6">
        <v>70</v>
      </c>
      <c r="U255" s="10">
        <f t="shared" si="6"/>
        <v>65</v>
      </c>
      <c r="V255" s="6">
        <v>4.4000000000000004</v>
      </c>
      <c r="W255" s="8">
        <v>0.60255763088464709</v>
      </c>
      <c r="X255" s="8">
        <v>4.3884707698822041</v>
      </c>
      <c r="Y255" s="8">
        <f t="shared" si="7"/>
        <v>-0.43199027719497263</v>
      </c>
    </row>
    <row r="256" spans="1:25" s="6" customFormat="1" x14ac:dyDescent="0.35">
      <c r="A256" s="6" t="s">
        <v>25</v>
      </c>
      <c r="B256" s="6" t="s">
        <v>1410</v>
      </c>
      <c r="D256" s="6" t="s">
        <v>1403</v>
      </c>
      <c r="E256" s="6">
        <v>3</v>
      </c>
      <c r="F256" s="6">
        <v>37</v>
      </c>
      <c r="G256" s="6" t="s">
        <v>272</v>
      </c>
      <c r="I256" s="8">
        <v>84.126440069444399</v>
      </c>
      <c r="J256" s="8">
        <v>15.9185540277778</v>
      </c>
      <c r="K256" s="6" t="s">
        <v>29</v>
      </c>
      <c r="L256" s="6" t="s">
        <v>546</v>
      </c>
      <c r="M256" s="9">
        <v>43943</v>
      </c>
      <c r="O256" s="6">
        <v>30</v>
      </c>
      <c r="P256" s="6" t="s">
        <v>4365</v>
      </c>
      <c r="R256" s="6">
        <v>70</v>
      </c>
      <c r="S256" s="6">
        <v>70</v>
      </c>
      <c r="T256" s="6">
        <v>80</v>
      </c>
      <c r="U256" s="10">
        <f t="shared" si="6"/>
        <v>75</v>
      </c>
      <c r="V256" s="6">
        <v>4.8</v>
      </c>
      <c r="W256" s="8">
        <v>0.72027081595659304</v>
      </c>
      <c r="X256" s="8">
        <v>5.8322329845428476</v>
      </c>
      <c r="Y256" s="8">
        <f t="shared" si="7"/>
        <v>7.0066456890103268E-2</v>
      </c>
    </row>
    <row r="257" spans="1:25" s="6" customFormat="1" x14ac:dyDescent="0.35">
      <c r="A257" s="6" t="s">
        <v>25</v>
      </c>
      <c r="B257" s="6" t="s">
        <v>1411</v>
      </c>
      <c r="D257" s="6" t="s">
        <v>1403</v>
      </c>
      <c r="E257" s="6">
        <v>3</v>
      </c>
      <c r="F257" s="6">
        <v>37</v>
      </c>
      <c r="G257" s="6" t="s">
        <v>272</v>
      </c>
      <c r="I257" s="8">
        <v>84.126440069444399</v>
      </c>
      <c r="J257" s="8">
        <v>15.9185540277778</v>
      </c>
      <c r="K257" s="6" t="s">
        <v>29</v>
      </c>
      <c r="L257" s="6" t="s">
        <v>546</v>
      </c>
      <c r="M257" s="9">
        <v>43943</v>
      </c>
      <c r="O257" s="6">
        <v>30</v>
      </c>
      <c r="P257" s="6" t="s">
        <v>4365</v>
      </c>
      <c r="R257" s="6">
        <v>80</v>
      </c>
      <c r="S257" s="6">
        <v>80</v>
      </c>
      <c r="T257" s="6">
        <v>90</v>
      </c>
      <c r="U257" s="10">
        <f t="shared" si="6"/>
        <v>85</v>
      </c>
      <c r="V257" s="6">
        <v>0.4</v>
      </c>
      <c r="W257" s="8">
        <v>0.3787942794442179</v>
      </c>
      <c r="X257" s="8">
        <v>3.526013229370117</v>
      </c>
      <c r="Y257" s="8">
        <f t="shared" si="7"/>
        <v>0.49565899381637379</v>
      </c>
    </row>
    <row r="258" spans="1:25" s="6" customFormat="1" x14ac:dyDescent="0.35">
      <c r="A258" s="6" t="s">
        <v>25</v>
      </c>
      <c r="B258" s="6" t="s">
        <v>1412</v>
      </c>
      <c r="D258" s="6" t="s">
        <v>1403</v>
      </c>
      <c r="E258" s="6">
        <v>3</v>
      </c>
      <c r="F258" s="6">
        <v>37</v>
      </c>
      <c r="G258" s="6" t="s">
        <v>272</v>
      </c>
      <c r="I258" s="8">
        <v>84.126440069444399</v>
      </c>
      <c r="J258" s="8">
        <v>15.9185540277778</v>
      </c>
      <c r="K258" s="6" t="s">
        <v>29</v>
      </c>
      <c r="L258" s="6" t="s">
        <v>546</v>
      </c>
      <c r="M258" s="9">
        <v>43943</v>
      </c>
      <c r="O258" s="6">
        <v>30</v>
      </c>
      <c r="P258" s="6" t="s">
        <v>4365</v>
      </c>
      <c r="R258" s="6">
        <v>90</v>
      </c>
      <c r="S258" s="6">
        <v>90</v>
      </c>
      <c r="T258" s="6">
        <v>100</v>
      </c>
      <c r="U258" s="10">
        <f t="shared" ref="U258:U321" si="8">AVERAGE(S258:T258)</f>
        <v>95</v>
      </c>
      <c r="V258" s="6">
        <v>3.8</v>
      </c>
      <c r="W258" s="8">
        <v>3.8988540352880421E-2</v>
      </c>
      <c r="X258" s="8">
        <v>0.75028291988372819</v>
      </c>
      <c r="Y258" s="8">
        <f t="shared" ref="Y258:Y321" si="9">X258-(8*W258)</f>
        <v>0.43837459706068482</v>
      </c>
    </row>
    <row r="259" spans="1:25" s="6" customFormat="1" x14ac:dyDescent="0.35">
      <c r="A259" s="6" t="s">
        <v>25</v>
      </c>
      <c r="B259" s="6" t="s">
        <v>1413</v>
      </c>
      <c r="D259" s="6" t="s">
        <v>1403</v>
      </c>
      <c r="E259" s="6">
        <v>3</v>
      </c>
      <c r="F259" s="6">
        <v>37</v>
      </c>
      <c r="G259" s="6" t="s">
        <v>272</v>
      </c>
      <c r="I259" s="8">
        <v>84.126440069444399</v>
      </c>
      <c r="J259" s="8">
        <v>15.9185540277778</v>
      </c>
      <c r="K259" s="6" t="s">
        <v>29</v>
      </c>
      <c r="L259" s="6" t="s">
        <v>546</v>
      </c>
      <c r="M259" s="9">
        <v>43943</v>
      </c>
      <c r="O259" s="6">
        <v>30</v>
      </c>
      <c r="P259" s="6" t="s">
        <v>4365</v>
      </c>
      <c r="R259" s="6">
        <v>100</v>
      </c>
      <c r="S259" s="6">
        <v>100</v>
      </c>
      <c r="T259" s="6">
        <v>110</v>
      </c>
      <c r="U259" s="10">
        <f t="shared" si="8"/>
        <v>105</v>
      </c>
      <c r="V259" s="6">
        <v>5.2</v>
      </c>
      <c r="W259" s="8">
        <v>-0.10925254902839676</v>
      </c>
      <c r="X259" s="8">
        <v>-0.99538868603110287</v>
      </c>
      <c r="Y259" s="8">
        <f t="shared" si="9"/>
        <v>-0.12136829380392877</v>
      </c>
    </row>
    <row r="260" spans="1:25" s="6" customFormat="1" x14ac:dyDescent="0.35">
      <c r="A260" s="6" t="s">
        <v>25</v>
      </c>
      <c r="B260" s="6" t="s">
        <v>1414</v>
      </c>
      <c r="D260" s="6" t="s">
        <v>1403</v>
      </c>
      <c r="E260" s="6">
        <v>3</v>
      </c>
      <c r="F260" s="6">
        <v>37</v>
      </c>
      <c r="G260" s="6" t="s">
        <v>272</v>
      </c>
      <c r="I260" s="8">
        <v>84.126440069444399</v>
      </c>
      <c r="J260" s="8">
        <v>15.9185540277778</v>
      </c>
      <c r="K260" s="6" t="s">
        <v>29</v>
      </c>
      <c r="L260" s="6" t="s">
        <v>546</v>
      </c>
      <c r="M260" s="9">
        <v>43943</v>
      </c>
      <c r="O260" s="6">
        <v>30</v>
      </c>
      <c r="P260" s="6" t="s">
        <v>4365</v>
      </c>
      <c r="R260" s="6">
        <v>110</v>
      </c>
      <c r="S260" s="6">
        <v>110</v>
      </c>
      <c r="T260" s="6">
        <v>120</v>
      </c>
      <c r="U260" s="10">
        <f t="shared" si="8"/>
        <v>115</v>
      </c>
      <c r="V260" s="6">
        <v>4.7</v>
      </c>
      <c r="W260" s="8">
        <v>-0.12042603262364888</v>
      </c>
      <c r="X260" s="8">
        <v>0.11791342306137038</v>
      </c>
      <c r="Y260" s="8">
        <f t="shared" si="9"/>
        <v>1.0813216840505615</v>
      </c>
    </row>
    <row r="261" spans="1:25" s="6" customFormat="1" x14ac:dyDescent="0.35">
      <c r="A261" s="6" t="s">
        <v>25</v>
      </c>
      <c r="B261" s="6" t="s">
        <v>1415</v>
      </c>
      <c r="D261" s="6" t="s">
        <v>1403</v>
      </c>
      <c r="E261" s="6">
        <v>3</v>
      </c>
      <c r="F261" s="6">
        <v>37</v>
      </c>
      <c r="G261" s="6" t="s">
        <v>272</v>
      </c>
      <c r="I261" s="8">
        <v>84.126440069444399</v>
      </c>
      <c r="J261" s="8">
        <v>15.9185540277778</v>
      </c>
      <c r="K261" s="6" t="s">
        <v>29</v>
      </c>
      <c r="L261" s="6" t="s">
        <v>546</v>
      </c>
      <c r="M261" s="9">
        <v>43943</v>
      </c>
      <c r="O261" s="6">
        <v>30</v>
      </c>
      <c r="P261" s="6" t="s">
        <v>4365</v>
      </c>
      <c r="R261" s="6">
        <v>120</v>
      </c>
      <c r="S261" s="6">
        <v>120</v>
      </c>
      <c r="T261" s="6">
        <v>130</v>
      </c>
      <c r="U261" s="10">
        <f t="shared" si="8"/>
        <v>125</v>
      </c>
      <c r="V261" s="6">
        <v>4.5999999999999996</v>
      </c>
      <c r="W261" s="8">
        <v>8.2677910858393169E-2</v>
      </c>
      <c r="X261" s="8">
        <v>1.031610270023346</v>
      </c>
      <c r="Y261" s="8">
        <f t="shared" si="9"/>
        <v>0.37018698315620069</v>
      </c>
    </row>
    <row r="262" spans="1:25" s="6" customFormat="1" x14ac:dyDescent="0.35">
      <c r="A262" s="6" t="s">
        <v>25</v>
      </c>
      <c r="B262" s="6" t="s">
        <v>1416</v>
      </c>
      <c r="D262" s="6" t="s">
        <v>1403</v>
      </c>
      <c r="E262" s="6">
        <v>3</v>
      </c>
      <c r="F262" s="6">
        <v>37</v>
      </c>
      <c r="G262" s="6" t="s">
        <v>272</v>
      </c>
      <c r="I262" s="8">
        <v>84.126440069444399</v>
      </c>
      <c r="J262" s="8">
        <v>15.9185540277778</v>
      </c>
      <c r="K262" s="6" t="s">
        <v>29</v>
      </c>
      <c r="L262" s="6" t="s">
        <v>546</v>
      </c>
      <c r="M262" s="9">
        <v>43943</v>
      </c>
      <c r="O262" s="6">
        <v>30</v>
      </c>
      <c r="P262" s="6" t="s">
        <v>4365</v>
      </c>
      <c r="R262" s="6">
        <v>130</v>
      </c>
      <c r="S262" s="6">
        <v>130</v>
      </c>
      <c r="T262" s="6">
        <v>140</v>
      </c>
      <c r="U262" s="10">
        <f t="shared" si="8"/>
        <v>135</v>
      </c>
      <c r="V262" s="6">
        <v>4.7</v>
      </c>
      <c r="W262" s="8">
        <v>0.23351658404767509</v>
      </c>
      <c r="X262" s="8">
        <v>2.0442931442260743</v>
      </c>
      <c r="Y262" s="8">
        <f t="shared" si="9"/>
        <v>0.17616047184467365</v>
      </c>
    </row>
    <row r="263" spans="1:25" s="6" customFormat="1" x14ac:dyDescent="0.35">
      <c r="A263" s="6" t="s">
        <v>25</v>
      </c>
      <c r="B263" s="6" t="s">
        <v>1417</v>
      </c>
      <c r="D263" s="6" t="s">
        <v>1403</v>
      </c>
      <c r="E263" s="6">
        <v>3</v>
      </c>
      <c r="F263" s="6">
        <v>37</v>
      </c>
      <c r="G263" s="6" t="s">
        <v>272</v>
      </c>
      <c r="I263" s="8">
        <v>84.126440069444399</v>
      </c>
      <c r="J263" s="8">
        <v>15.9185540277778</v>
      </c>
      <c r="K263" s="6" t="s">
        <v>29</v>
      </c>
      <c r="L263" s="6" t="s">
        <v>546</v>
      </c>
      <c r="M263" s="9">
        <v>43943</v>
      </c>
      <c r="O263" s="6">
        <v>30</v>
      </c>
      <c r="P263" s="6" t="s">
        <v>4365</v>
      </c>
      <c r="R263" s="6">
        <v>140</v>
      </c>
      <c r="S263" s="6">
        <v>140</v>
      </c>
      <c r="T263" s="6">
        <v>150</v>
      </c>
      <c r="U263" s="10">
        <f t="shared" si="8"/>
        <v>145</v>
      </c>
      <c r="V263" s="6">
        <v>5.2</v>
      </c>
      <c r="W263" s="8">
        <v>0.65708859153985966</v>
      </c>
      <c r="X263" s="8">
        <v>5.8620622997283922</v>
      </c>
      <c r="Y263" s="8">
        <f t="shared" si="9"/>
        <v>0.60535356740951496</v>
      </c>
    </row>
    <row r="264" spans="1:25" s="6" customFormat="1" x14ac:dyDescent="0.35">
      <c r="A264" s="6" t="s">
        <v>25</v>
      </c>
      <c r="B264" s="6" t="s">
        <v>1418</v>
      </c>
      <c r="D264" s="6" t="s">
        <v>1403</v>
      </c>
      <c r="E264" s="6">
        <v>3</v>
      </c>
      <c r="F264" s="6">
        <v>37</v>
      </c>
      <c r="G264" s="6" t="s">
        <v>272</v>
      </c>
      <c r="I264" s="8">
        <v>84.126440069444399</v>
      </c>
      <c r="J264" s="8">
        <v>15.9185540277778</v>
      </c>
      <c r="K264" s="6" t="s">
        <v>29</v>
      </c>
      <c r="L264" s="6" t="s">
        <v>546</v>
      </c>
      <c r="M264" s="9">
        <v>43943</v>
      </c>
      <c r="O264" s="6">
        <v>30</v>
      </c>
      <c r="P264" s="6" t="s">
        <v>4365</v>
      </c>
      <c r="R264" s="6">
        <v>150</v>
      </c>
      <c r="S264" s="6">
        <v>150</v>
      </c>
      <c r="T264" s="6">
        <v>160</v>
      </c>
      <c r="U264" s="10">
        <f t="shared" si="8"/>
        <v>155</v>
      </c>
      <c r="V264" s="6">
        <v>5.7</v>
      </c>
      <c r="W264" s="8">
        <v>1.024164707446098</v>
      </c>
      <c r="X264" s="8">
        <v>8.585543792724609</v>
      </c>
      <c r="Y264" s="8">
        <f t="shared" si="9"/>
        <v>0.392226133155825</v>
      </c>
    </row>
    <row r="265" spans="1:25" s="6" customFormat="1" x14ac:dyDescent="0.35">
      <c r="A265" s="6" t="s">
        <v>25</v>
      </c>
      <c r="B265" s="6" t="s">
        <v>1419</v>
      </c>
      <c r="D265" s="6" t="s">
        <v>1403</v>
      </c>
      <c r="E265" s="6">
        <v>3</v>
      </c>
      <c r="F265" s="6">
        <v>37</v>
      </c>
      <c r="G265" s="6" t="s">
        <v>272</v>
      </c>
      <c r="I265" s="8">
        <v>84.126440069444399</v>
      </c>
      <c r="J265" s="8">
        <v>15.9185540277778</v>
      </c>
      <c r="K265" s="6" t="s">
        <v>29</v>
      </c>
      <c r="L265" s="6" t="s">
        <v>546</v>
      </c>
      <c r="M265" s="9">
        <v>43943</v>
      </c>
      <c r="O265" s="6">
        <v>30</v>
      </c>
      <c r="P265" s="6" t="s">
        <v>4365</v>
      </c>
      <c r="R265" s="6">
        <v>160</v>
      </c>
      <c r="S265" s="6">
        <v>160</v>
      </c>
      <c r="T265" s="6">
        <v>170</v>
      </c>
      <c r="U265" s="10">
        <f t="shared" si="8"/>
        <v>165</v>
      </c>
      <c r="V265" s="6">
        <v>5.2</v>
      </c>
      <c r="W265" s="8">
        <v>0.76743116560578351</v>
      </c>
      <c r="X265" s="8">
        <v>6.6932211720943453</v>
      </c>
      <c r="Y265" s="8">
        <f t="shared" si="9"/>
        <v>0.55377184724807726</v>
      </c>
    </row>
    <row r="266" spans="1:25" s="6" customFormat="1" x14ac:dyDescent="0.35">
      <c r="A266" s="6" t="s">
        <v>25</v>
      </c>
      <c r="B266" s="6" t="s">
        <v>1420</v>
      </c>
      <c r="D266" s="6" t="s">
        <v>1403</v>
      </c>
      <c r="E266" s="6">
        <v>3</v>
      </c>
      <c r="F266" s="6">
        <v>37</v>
      </c>
      <c r="G266" s="6" t="s">
        <v>272</v>
      </c>
      <c r="I266" s="8">
        <v>84.126440069444399</v>
      </c>
      <c r="J266" s="8">
        <v>15.9185540277778</v>
      </c>
      <c r="K266" s="6" t="s">
        <v>29</v>
      </c>
      <c r="L266" s="6" t="s">
        <v>546</v>
      </c>
      <c r="M266" s="9">
        <v>43943</v>
      </c>
      <c r="O266" s="6">
        <v>30</v>
      </c>
      <c r="P266" s="6" t="s">
        <v>4365</v>
      </c>
      <c r="R266" s="6">
        <v>170</v>
      </c>
      <c r="S266" s="6">
        <v>170</v>
      </c>
      <c r="T266" s="6">
        <v>187</v>
      </c>
      <c r="U266" s="10">
        <f t="shared" si="8"/>
        <v>178.5</v>
      </c>
      <c r="V266" s="6">
        <v>5.6</v>
      </c>
      <c r="W266" s="8">
        <v>1.2632686300277709</v>
      </c>
      <c r="X266" s="8">
        <v>9.7279291987419114</v>
      </c>
      <c r="Y266" s="8">
        <f t="shared" si="9"/>
        <v>-0.37821984148025578</v>
      </c>
    </row>
    <row r="267" spans="1:25" s="6" customFormat="1" x14ac:dyDescent="0.35">
      <c r="A267" s="6" t="s">
        <v>25</v>
      </c>
      <c r="B267" s="6" t="s">
        <v>1525</v>
      </c>
      <c r="D267" s="6" t="s">
        <v>3333</v>
      </c>
      <c r="E267" s="6">
        <v>3</v>
      </c>
      <c r="F267" s="6">
        <v>38</v>
      </c>
      <c r="G267" s="6" t="s">
        <v>210</v>
      </c>
      <c r="I267" s="8">
        <v>83.938997847222197</v>
      </c>
      <c r="J267" s="8">
        <v>15.6730686111111</v>
      </c>
      <c r="K267" s="6" t="s">
        <v>29</v>
      </c>
      <c r="L267" s="6" t="s">
        <v>546</v>
      </c>
      <c r="M267" s="9">
        <v>43948</v>
      </c>
      <c r="O267" s="6">
        <v>31</v>
      </c>
      <c r="P267" s="6" t="s">
        <v>4251</v>
      </c>
      <c r="R267" s="6">
        <v>0</v>
      </c>
      <c r="S267" s="6">
        <v>0</v>
      </c>
      <c r="T267" s="6">
        <v>10</v>
      </c>
      <c r="U267" s="10">
        <f t="shared" si="8"/>
        <v>5</v>
      </c>
      <c r="V267" s="6">
        <v>0</v>
      </c>
      <c r="W267" s="8">
        <v>-4.1035965213775638</v>
      </c>
      <c r="X267" s="8">
        <v>-31.622806674957275</v>
      </c>
      <c r="Y267" s="8">
        <f t="shared" si="9"/>
        <v>1.2059654960632358</v>
      </c>
    </row>
    <row r="268" spans="1:25" s="6" customFormat="1" x14ac:dyDescent="0.35">
      <c r="A268" s="6" t="s">
        <v>25</v>
      </c>
      <c r="B268" s="6" t="s">
        <v>1526</v>
      </c>
      <c r="D268" s="6" t="s">
        <v>3333</v>
      </c>
      <c r="E268" s="6">
        <v>3</v>
      </c>
      <c r="F268" s="6">
        <v>38</v>
      </c>
      <c r="G268" s="6" t="s">
        <v>210</v>
      </c>
      <c r="I268" s="8">
        <v>83.938997847222197</v>
      </c>
      <c r="J268" s="8">
        <v>15.6730686111111</v>
      </c>
      <c r="K268" s="6" t="s">
        <v>29</v>
      </c>
      <c r="L268" s="6" t="s">
        <v>546</v>
      </c>
      <c r="M268" s="9">
        <v>43948</v>
      </c>
      <c r="O268" s="6">
        <v>31</v>
      </c>
      <c r="P268" s="6" t="s">
        <v>4251</v>
      </c>
      <c r="R268" s="6">
        <v>10</v>
      </c>
      <c r="S268" s="6">
        <v>10</v>
      </c>
      <c r="T268" s="6">
        <v>20</v>
      </c>
      <c r="U268" s="10">
        <f t="shared" si="8"/>
        <v>15</v>
      </c>
      <c r="V268" s="6">
        <v>0</v>
      </c>
      <c r="W268" s="8">
        <v>-3.8485951766967776</v>
      </c>
      <c r="X268" s="8">
        <v>-29.859514636993406</v>
      </c>
      <c r="Y268" s="8">
        <f t="shared" si="9"/>
        <v>0.92924677658081478</v>
      </c>
    </row>
    <row r="269" spans="1:25" s="6" customFormat="1" x14ac:dyDescent="0.35">
      <c r="A269" s="6" t="s">
        <v>25</v>
      </c>
      <c r="B269" s="6" t="s">
        <v>1527</v>
      </c>
      <c r="D269" s="6" t="s">
        <v>3333</v>
      </c>
      <c r="E269" s="6">
        <v>3</v>
      </c>
      <c r="F269" s="6">
        <v>38</v>
      </c>
      <c r="G269" s="6" t="s">
        <v>210</v>
      </c>
      <c r="I269" s="8">
        <v>83.938997847222197</v>
      </c>
      <c r="J269" s="8">
        <v>15.6730686111111</v>
      </c>
      <c r="K269" s="6" t="s">
        <v>29</v>
      </c>
      <c r="L269" s="6" t="s">
        <v>546</v>
      </c>
      <c r="M269" s="9">
        <v>43948</v>
      </c>
      <c r="O269" s="6">
        <v>31</v>
      </c>
      <c r="P269" s="6" t="s">
        <v>4251</v>
      </c>
      <c r="R269" s="6">
        <v>20</v>
      </c>
      <c r="S269" s="6">
        <v>20</v>
      </c>
      <c r="T269" s="6">
        <v>30</v>
      </c>
      <c r="U269" s="10">
        <f t="shared" si="8"/>
        <v>25</v>
      </c>
      <c r="V269" s="6">
        <v>0.1</v>
      </c>
      <c r="W269" s="8">
        <v>-4.2762709937095646</v>
      </c>
      <c r="X269" s="8">
        <v>-33.06537826156616</v>
      </c>
      <c r="Y269" s="8">
        <f t="shared" si="9"/>
        <v>1.1447896881103574</v>
      </c>
    </row>
    <row r="270" spans="1:25" s="6" customFormat="1" x14ac:dyDescent="0.35">
      <c r="A270" s="6" t="s">
        <v>25</v>
      </c>
      <c r="B270" s="6" t="s">
        <v>1528</v>
      </c>
      <c r="D270" s="6" t="s">
        <v>3333</v>
      </c>
      <c r="E270" s="6">
        <v>3</v>
      </c>
      <c r="F270" s="6">
        <v>38</v>
      </c>
      <c r="G270" s="6" t="s">
        <v>210</v>
      </c>
      <c r="I270" s="8">
        <v>83.938997847222197</v>
      </c>
      <c r="J270" s="8">
        <v>15.6730686111111</v>
      </c>
      <c r="K270" s="6" t="s">
        <v>29</v>
      </c>
      <c r="L270" s="6" t="s">
        <v>546</v>
      </c>
      <c r="M270" s="9">
        <v>43948</v>
      </c>
      <c r="O270" s="6">
        <v>31</v>
      </c>
      <c r="P270" s="6" t="s">
        <v>4251</v>
      </c>
      <c r="R270" s="6">
        <v>30</v>
      </c>
      <c r="S270" s="6">
        <v>30</v>
      </c>
      <c r="T270" s="6">
        <v>40</v>
      </c>
      <c r="U270" s="10">
        <f t="shared" si="8"/>
        <v>35</v>
      </c>
      <c r="V270" s="6">
        <v>0.5</v>
      </c>
      <c r="W270" s="8">
        <v>-4.1607681069374083</v>
      </c>
      <c r="X270" s="8">
        <v>-31.689251758575438</v>
      </c>
      <c r="Y270" s="8">
        <f t="shared" si="9"/>
        <v>1.5968930969238286</v>
      </c>
    </row>
    <row r="271" spans="1:25" s="6" customFormat="1" x14ac:dyDescent="0.35">
      <c r="A271" s="6" t="s">
        <v>25</v>
      </c>
      <c r="B271" s="6" t="s">
        <v>1529</v>
      </c>
      <c r="D271" s="6" t="s">
        <v>3333</v>
      </c>
      <c r="E271" s="6">
        <v>3</v>
      </c>
      <c r="F271" s="6">
        <v>38</v>
      </c>
      <c r="G271" s="6" t="s">
        <v>210</v>
      </c>
      <c r="I271" s="8">
        <v>83.938997847222197</v>
      </c>
      <c r="J271" s="8">
        <v>15.6730686111111</v>
      </c>
      <c r="K271" s="6" t="s">
        <v>29</v>
      </c>
      <c r="L271" s="6" t="s">
        <v>546</v>
      </c>
      <c r="M271" s="9">
        <v>43948</v>
      </c>
      <c r="O271" s="6">
        <v>31</v>
      </c>
      <c r="P271" s="6" t="s">
        <v>4251</v>
      </c>
      <c r="R271" s="6">
        <v>40</v>
      </c>
      <c r="S271" s="6">
        <v>40</v>
      </c>
      <c r="T271" s="6">
        <v>50</v>
      </c>
      <c r="U271" s="10">
        <f t="shared" si="8"/>
        <v>45</v>
      </c>
      <c r="V271" s="6">
        <v>0.2</v>
      </c>
      <c r="W271" s="8">
        <v>-3.5340790936946873</v>
      </c>
      <c r="X271" s="8">
        <v>-27.246485042572022</v>
      </c>
      <c r="Y271" s="8">
        <f t="shared" si="9"/>
        <v>1.0261477069854763</v>
      </c>
    </row>
    <row r="272" spans="1:25" s="6" customFormat="1" x14ac:dyDescent="0.35">
      <c r="A272" s="6" t="s">
        <v>25</v>
      </c>
      <c r="B272" s="6" t="s">
        <v>1530</v>
      </c>
      <c r="D272" s="6" t="s">
        <v>3333</v>
      </c>
      <c r="E272" s="6">
        <v>3</v>
      </c>
      <c r="F272" s="6">
        <v>38</v>
      </c>
      <c r="G272" s="6" t="s">
        <v>210</v>
      </c>
      <c r="I272" s="8">
        <v>83.938997847222197</v>
      </c>
      <c r="J272" s="8">
        <v>15.6730686111111</v>
      </c>
      <c r="K272" s="6" t="s">
        <v>29</v>
      </c>
      <c r="L272" s="6" t="s">
        <v>546</v>
      </c>
      <c r="M272" s="9">
        <v>43948</v>
      </c>
      <c r="O272" s="6">
        <v>31</v>
      </c>
      <c r="P272" s="6" t="s">
        <v>4251</v>
      </c>
      <c r="R272" s="6">
        <v>50</v>
      </c>
      <c r="S272" s="6">
        <v>50</v>
      </c>
      <c r="T272" s="6">
        <v>60</v>
      </c>
      <c r="U272" s="10">
        <f t="shared" si="8"/>
        <v>55</v>
      </c>
      <c r="V272" s="6">
        <v>0.2</v>
      </c>
      <c r="W272" s="8">
        <v>-3.6477017555236815</v>
      </c>
      <c r="X272" s="8">
        <v>-28.69203434562683</v>
      </c>
      <c r="Y272" s="8">
        <f t="shared" si="9"/>
        <v>0.48957969856262196</v>
      </c>
    </row>
    <row r="273" spans="1:25" s="6" customFormat="1" x14ac:dyDescent="0.35">
      <c r="A273" s="6" t="s">
        <v>25</v>
      </c>
      <c r="B273" s="6" t="s">
        <v>1531</v>
      </c>
      <c r="D273" s="6" t="s">
        <v>3333</v>
      </c>
      <c r="E273" s="6">
        <v>3</v>
      </c>
      <c r="F273" s="6">
        <v>38</v>
      </c>
      <c r="G273" s="6" t="s">
        <v>210</v>
      </c>
      <c r="I273" s="8">
        <v>83.938997847222197</v>
      </c>
      <c r="J273" s="8">
        <v>15.6730686111111</v>
      </c>
      <c r="K273" s="6" t="s">
        <v>29</v>
      </c>
      <c r="L273" s="6" t="s">
        <v>546</v>
      </c>
      <c r="M273" s="9">
        <v>43948</v>
      </c>
      <c r="O273" s="6">
        <v>31</v>
      </c>
      <c r="P273" s="6" t="s">
        <v>4251</v>
      </c>
      <c r="R273" s="6">
        <v>60</v>
      </c>
      <c r="S273" s="6">
        <v>60</v>
      </c>
      <c r="T273" s="6">
        <v>70</v>
      </c>
      <c r="U273" s="10">
        <f t="shared" si="8"/>
        <v>65</v>
      </c>
      <c r="V273" s="6">
        <v>2.7</v>
      </c>
      <c r="W273" s="8">
        <v>-4.245602265357971</v>
      </c>
      <c r="X273" s="8">
        <v>-32.445603481292721</v>
      </c>
      <c r="Y273" s="8">
        <f t="shared" si="9"/>
        <v>1.5192146415710468</v>
      </c>
    </row>
    <row r="274" spans="1:25" s="6" customFormat="1" x14ac:dyDescent="0.35">
      <c r="A274" s="6" t="s">
        <v>25</v>
      </c>
      <c r="B274" s="6" t="s">
        <v>1532</v>
      </c>
      <c r="D274" s="6" t="s">
        <v>3333</v>
      </c>
      <c r="E274" s="6">
        <v>3</v>
      </c>
      <c r="F274" s="6">
        <v>38</v>
      </c>
      <c r="G274" s="6" t="s">
        <v>210</v>
      </c>
      <c r="I274" s="8">
        <v>83.938997847222197</v>
      </c>
      <c r="J274" s="8">
        <v>15.6730686111111</v>
      </c>
      <c r="K274" s="6" t="s">
        <v>29</v>
      </c>
      <c r="L274" s="6" t="s">
        <v>546</v>
      </c>
      <c r="M274" s="9">
        <v>43948</v>
      </c>
      <c r="O274" s="6">
        <v>31</v>
      </c>
      <c r="P274" s="6" t="s">
        <v>4251</v>
      </c>
      <c r="R274" s="6">
        <v>70</v>
      </c>
      <c r="S274" s="6">
        <v>70</v>
      </c>
      <c r="T274" s="6">
        <v>80</v>
      </c>
      <c r="U274" s="10">
        <f t="shared" si="8"/>
        <v>75</v>
      </c>
      <c r="V274" s="6">
        <v>4</v>
      </c>
      <c r="W274" s="8">
        <v>-1.0711844511329831E-2</v>
      </c>
      <c r="X274" s="8">
        <v>-0.46262239578366326</v>
      </c>
      <c r="Y274" s="8">
        <f t="shared" si="9"/>
        <v>-0.37692763969302462</v>
      </c>
    </row>
    <row r="275" spans="1:25" s="6" customFormat="1" x14ac:dyDescent="0.35">
      <c r="A275" s="6" t="s">
        <v>25</v>
      </c>
      <c r="B275" s="6" t="s">
        <v>1533</v>
      </c>
      <c r="D275" s="6" t="s">
        <v>3333</v>
      </c>
      <c r="E275" s="6">
        <v>3</v>
      </c>
      <c r="F275" s="6">
        <v>38</v>
      </c>
      <c r="G275" s="6" t="s">
        <v>210</v>
      </c>
      <c r="I275" s="8">
        <v>83.938997847222197</v>
      </c>
      <c r="J275" s="8">
        <v>15.6730686111111</v>
      </c>
      <c r="K275" s="6" t="s">
        <v>29</v>
      </c>
      <c r="L275" s="6" t="s">
        <v>546</v>
      </c>
      <c r="M275" s="9">
        <v>43948</v>
      </c>
      <c r="O275" s="6">
        <v>31</v>
      </c>
      <c r="P275" s="6" t="s">
        <v>4251</v>
      </c>
      <c r="R275" s="6">
        <v>80</v>
      </c>
      <c r="S275" s="6">
        <v>80</v>
      </c>
      <c r="T275" s="6">
        <v>90</v>
      </c>
      <c r="U275" s="10">
        <f t="shared" si="8"/>
        <v>85</v>
      </c>
      <c r="V275" s="6">
        <v>4.3</v>
      </c>
      <c r="W275" s="8">
        <v>0.84141718322038694</v>
      </c>
      <c r="X275" s="8">
        <v>6.4424164404869089</v>
      </c>
      <c r="Y275" s="8">
        <f t="shared" si="9"/>
        <v>-0.28892102527618668</v>
      </c>
    </row>
    <row r="276" spans="1:25" s="6" customFormat="1" x14ac:dyDescent="0.35">
      <c r="A276" s="6" t="s">
        <v>25</v>
      </c>
      <c r="B276" s="6" t="s">
        <v>1534</v>
      </c>
      <c r="D276" s="6" t="s">
        <v>3333</v>
      </c>
      <c r="E276" s="6">
        <v>3</v>
      </c>
      <c r="F276" s="6">
        <v>38</v>
      </c>
      <c r="G276" s="6" t="s">
        <v>210</v>
      </c>
      <c r="I276" s="8">
        <v>83.938997847222197</v>
      </c>
      <c r="J276" s="8">
        <v>15.6730686111111</v>
      </c>
      <c r="K276" s="6" t="s">
        <v>29</v>
      </c>
      <c r="L276" s="6" t="s">
        <v>546</v>
      </c>
      <c r="M276" s="9">
        <v>43948</v>
      </c>
      <c r="O276" s="6">
        <v>31</v>
      </c>
      <c r="P276" s="6" t="s">
        <v>4251</v>
      </c>
      <c r="R276" s="6">
        <v>90</v>
      </c>
      <c r="S276" s="6">
        <v>90</v>
      </c>
      <c r="T276" s="6">
        <v>100</v>
      </c>
      <c r="U276" s="10">
        <f t="shared" si="8"/>
        <v>95</v>
      </c>
      <c r="V276" s="6">
        <v>4.0999999999999996</v>
      </c>
      <c r="W276" s="8">
        <v>0.39634359472990022</v>
      </c>
      <c r="X276" s="8">
        <v>3.3473005893230439</v>
      </c>
      <c r="Y276" s="8">
        <f t="shared" si="9"/>
        <v>0.17655183148384213</v>
      </c>
    </row>
    <row r="277" spans="1:25" s="6" customFormat="1" x14ac:dyDescent="0.35">
      <c r="A277" s="6" t="s">
        <v>25</v>
      </c>
      <c r="B277" s="6" t="s">
        <v>1535</v>
      </c>
      <c r="D277" s="6" t="s">
        <v>3333</v>
      </c>
      <c r="E277" s="6">
        <v>3</v>
      </c>
      <c r="F277" s="6">
        <v>38</v>
      </c>
      <c r="G277" s="6" t="s">
        <v>210</v>
      </c>
      <c r="I277" s="8">
        <v>83.938997847222197</v>
      </c>
      <c r="J277" s="8">
        <v>15.6730686111111</v>
      </c>
      <c r="K277" s="6" t="s">
        <v>29</v>
      </c>
      <c r="L277" s="6" t="s">
        <v>546</v>
      </c>
      <c r="M277" s="9">
        <v>43948</v>
      </c>
      <c r="O277" s="6">
        <v>31</v>
      </c>
      <c r="P277" s="6" t="s">
        <v>4251</v>
      </c>
      <c r="R277" s="6">
        <v>100</v>
      </c>
      <c r="S277" s="6">
        <v>100</v>
      </c>
      <c r="T277" s="6">
        <v>110</v>
      </c>
      <c r="U277" s="10">
        <f t="shared" si="8"/>
        <v>105</v>
      </c>
      <c r="V277" s="6">
        <v>4</v>
      </c>
      <c r="W277" s="8">
        <v>0.13304304239898906</v>
      </c>
      <c r="X277" s="8">
        <v>1.0714992113113402</v>
      </c>
      <c r="Y277" s="8">
        <f t="shared" si="9"/>
        <v>7.1548721194276688E-3</v>
      </c>
    </row>
    <row r="278" spans="1:25" s="6" customFormat="1" x14ac:dyDescent="0.35">
      <c r="A278" s="6" t="s">
        <v>25</v>
      </c>
      <c r="B278" s="6" t="s">
        <v>1536</v>
      </c>
      <c r="D278" s="6" t="s">
        <v>3333</v>
      </c>
      <c r="E278" s="6">
        <v>3</v>
      </c>
      <c r="F278" s="6">
        <v>38</v>
      </c>
      <c r="G278" s="6" t="s">
        <v>210</v>
      </c>
      <c r="I278" s="8">
        <v>83.938997847222197</v>
      </c>
      <c r="J278" s="8">
        <v>15.6730686111111</v>
      </c>
      <c r="K278" s="6" t="s">
        <v>29</v>
      </c>
      <c r="L278" s="6" t="s">
        <v>546</v>
      </c>
      <c r="M278" s="9">
        <v>43948</v>
      </c>
      <c r="O278" s="6">
        <v>31</v>
      </c>
      <c r="P278" s="6" t="s">
        <v>4251</v>
      </c>
      <c r="R278" s="6">
        <v>110</v>
      </c>
      <c r="S278" s="6">
        <v>110</v>
      </c>
      <c r="T278" s="6">
        <v>120</v>
      </c>
      <c r="U278" s="10">
        <f t="shared" si="8"/>
        <v>115</v>
      </c>
      <c r="V278" s="6">
        <v>5.0999999999999996</v>
      </c>
      <c r="W278" s="8">
        <v>-1.0925250581502917</v>
      </c>
      <c r="X278" s="8">
        <v>-3.9875868005752562</v>
      </c>
      <c r="Y278" s="8">
        <f t="shared" si="9"/>
        <v>4.7526136646270771</v>
      </c>
    </row>
    <row r="279" spans="1:25" s="6" customFormat="1" x14ac:dyDescent="0.35">
      <c r="A279" s="6" t="s">
        <v>25</v>
      </c>
      <c r="B279" s="6" t="s">
        <v>1537</v>
      </c>
      <c r="D279" s="6" t="s">
        <v>3333</v>
      </c>
      <c r="E279" s="6">
        <v>3</v>
      </c>
      <c r="F279" s="6">
        <v>38</v>
      </c>
      <c r="G279" s="6" t="s">
        <v>210</v>
      </c>
      <c r="I279" s="8">
        <v>83.938997847222197</v>
      </c>
      <c r="J279" s="8">
        <v>15.6730686111111</v>
      </c>
      <c r="K279" s="6" t="s">
        <v>29</v>
      </c>
      <c r="L279" s="6" t="s">
        <v>546</v>
      </c>
      <c r="M279" s="9">
        <v>43948</v>
      </c>
      <c r="O279" s="6">
        <v>31</v>
      </c>
      <c r="P279" s="6" t="s">
        <v>4251</v>
      </c>
      <c r="R279" s="6">
        <v>120</v>
      </c>
      <c r="S279" s="6">
        <v>120</v>
      </c>
      <c r="T279" s="6">
        <v>130</v>
      </c>
      <c r="U279" s="10">
        <f t="shared" si="8"/>
        <v>125</v>
      </c>
      <c r="V279" s="6">
        <v>4.4000000000000004</v>
      </c>
      <c r="W279" s="8">
        <v>-0.10030991984903814</v>
      </c>
      <c r="X279" s="8">
        <v>-0.660599427640438</v>
      </c>
      <c r="Y279" s="8">
        <f t="shared" si="9"/>
        <v>0.14187993115186714</v>
      </c>
    </row>
    <row r="280" spans="1:25" s="6" customFormat="1" x14ac:dyDescent="0.35">
      <c r="A280" s="6" t="s">
        <v>25</v>
      </c>
      <c r="B280" s="6" t="s">
        <v>1538</v>
      </c>
      <c r="D280" s="6" t="s">
        <v>3333</v>
      </c>
      <c r="E280" s="6">
        <v>3</v>
      </c>
      <c r="F280" s="6">
        <v>38</v>
      </c>
      <c r="G280" s="6" t="s">
        <v>210</v>
      </c>
      <c r="I280" s="8">
        <v>83.938997847222197</v>
      </c>
      <c r="J280" s="8">
        <v>15.6730686111111</v>
      </c>
      <c r="K280" s="6" t="s">
        <v>29</v>
      </c>
      <c r="L280" s="6" t="s">
        <v>546</v>
      </c>
      <c r="M280" s="9">
        <v>43948</v>
      </c>
      <c r="O280" s="6">
        <v>31</v>
      </c>
      <c r="P280" s="6" t="s">
        <v>4251</v>
      </c>
      <c r="R280" s="6">
        <v>130</v>
      </c>
      <c r="S280" s="6">
        <v>130</v>
      </c>
      <c r="T280" s="6">
        <v>140</v>
      </c>
      <c r="U280" s="10">
        <f t="shared" si="8"/>
        <v>135</v>
      </c>
      <c r="V280" s="6">
        <v>4.3</v>
      </c>
      <c r="W280" s="8">
        <v>4.8405736664193372E-2</v>
      </c>
      <c r="X280" s="8">
        <v>1.0287228220701212</v>
      </c>
      <c r="Y280" s="8">
        <f t="shared" si="9"/>
        <v>0.64147692875657425</v>
      </c>
    </row>
    <row r="281" spans="1:25" s="6" customFormat="1" x14ac:dyDescent="0.35">
      <c r="A281" s="6" t="s">
        <v>25</v>
      </c>
      <c r="B281" s="6" t="s">
        <v>1539</v>
      </c>
      <c r="D281" s="6" t="s">
        <v>3333</v>
      </c>
      <c r="E281" s="6">
        <v>3</v>
      </c>
      <c r="F281" s="6">
        <v>38</v>
      </c>
      <c r="G281" s="6" t="s">
        <v>210</v>
      </c>
      <c r="I281" s="8">
        <v>83.938997847222197</v>
      </c>
      <c r="J281" s="8">
        <v>15.6730686111111</v>
      </c>
      <c r="K281" s="6" t="s">
        <v>29</v>
      </c>
      <c r="L281" s="6" t="s">
        <v>546</v>
      </c>
      <c r="M281" s="9">
        <v>43948</v>
      </c>
      <c r="O281" s="6">
        <v>31</v>
      </c>
      <c r="P281" s="6" t="s">
        <v>4251</v>
      </c>
      <c r="R281" s="6">
        <v>140</v>
      </c>
      <c r="S281" s="6">
        <v>140</v>
      </c>
      <c r="T281" s="6">
        <v>150</v>
      </c>
      <c r="U281" s="10">
        <f t="shared" si="8"/>
        <v>145</v>
      </c>
      <c r="V281" s="6">
        <v>4.5999999999999996</v>
      </c>
      <c r="W281" s="8">
        <v>0.38597728827595723</v>
      </c>
      <c r="X281" s="8">
        <v>3.6678391444683083</v>
      </c>
      <c r="Y281" s="8">
        <f t="shared" si="9"/>
        <v>0.58002083826065043</v>
      </c>
    </row>
    <row r="282" spans="1:25" s="6" customFormat="1" x14ac:dyDescent="0.35">
      <c r="A282" s="6" t="s">
        <v>25</v>
      </c>
      <c r="B282" s="6" t="s">
        <v>1540</v>
      </c>
      <c r="D282" s="6" t="s">
        <v>3333</v>
      </c>
      <c r="E282" s="6">
        <v>3</v>
      </c>
      <c r="F282" s="6">
        <v>38</v>
      </c>
      <c r="G282" s="6" t="s">
        <v>210</v>
      </c>
      <c r="I282" s="8">
        <v>83.938997847222197</v>
      </c>
      <c r="J282" s="8">
        <v>15.6730686111111</v>
      </c>
      <c r="K282" s="6" t="s">
        <v>29</v>
      </c>
      <c r="L282" s="6" t="s">
        <v>546</v>
      </c>
      <c r="M282" s="9">
        <v>43948</v>
      </c>
      <c r="O282" s="6">
        <v>31</v>
      </c>
      <c r="P282" s="6" t="s">
        <v>4251</v>
      </c>
      <c r="R282" s="6">
        <v>150</v>
      </c>
      <c r="S282" s="6">
        <v>150</v>
      </c>
      <c r="T282" s="6">
        <v>161</v>
      </c>
      <c r="U282" s="10">
        <f t="shared" si="8"/>
        <v>155.5</v>
      </c>
      <c r="V282" s="6">
        <v>4.5</v>
      </c>
      <c r="W282" s="8">
        <v>0.72419832462072353</v>
      </c>
      <c r="X282" s="8">
        <v>5.7803764438629148</v>
      </c>
      <c r="Y282" s="8">
        <f t="shared" si="9"/>
        <v>-1.3210153102873434E-2</v>
      </c>
    </row>
    <row r="283" spans="1:25" s="6" customFormat="1" x14ac:dyDescent="0.35">
      <c r="A283" s="6" t="s">
        <v>25</v>
      </c>
      <c r="B283" s="6" t="s">
        <v>1541</v>
      </c>
      <c r="D283" s="6" t="s">
        <v>3333</v>
      </c>
      <c r="E283" s="6">
        <v>3</v>
      </c>
      <c r="F283" s="6">
        <v>38</v>
      </c>
      <c r="G283" s="6" t="s">
        <v>210</v>
      </c>
      <c r="I283" s="8">
        <v>83.938997847222197</v>
      </c>
      <c r="J283" s="8">
        <v>15.6730686111111</v>
      </c>
      <c r="K283" s="6" t="s">
        <v>29</v>
      </c>
      <c r="L283" s="6" t="s">
        <v>546</v>
      </c>
      <c r="M283" s="9">
        <v>43948</v>
      </c>
      <c r="O283" s="6">
        <v>31</v>
      </c>
      <c r="P283" s="6" t="s">
        <v>4251</v>
      </c>
      <c r="R283" s="6">
        <v>161</v>
      </c>
      <c r="S283" s="6">
        <v>161</v>
      </c>
      <c r="T283" s="6">
        <v>172</v>
      </c>
      <c r="U283" s="10">
        <f t="shared" si="8"/>
        <v>166.5</v>
      </c>
      <c r="V283" s="6">
        <v>6.4</v>
      </c>
      <c r="W283" s="8">
        <v>1.4340920838117597</v>
      </c>
      <c r="X283" s="8">
        <v>12.200183382034302</v>
      </c>
      <c r="Y283" s="8">
        <f t="shared" si="9"/>
        <v>0.72744671154022456</v>
      </c>
    </row>
    <row r="284" spans="1:25" s="6" customFormat="1" x14ac:dyDescent="0.35">
      <c r="A284" s="6" t="s">
        <v>25</v>
      </c>
      <c r="B284" s="6" t="s">
        <v>1561</v>
      </c>
      <c r="D284" s="6" t="s">
        <v>1562</v>
      </c>
      <c r="E284" s="6">
        <v>3</v>
      </c>
      <c r="F284" s="6">
        <v>38</v>
      </c>
      <c r="G284" s="6" t="s">
        <v>1563</v>
      </c>
      <c r="I284" s="8">
        <v>83.933978541666704</v>
      </c>
      <c r="J284" s="8">
        <v>17.471342499999999</v>
      </c>
      <c r="K284" s="6" t="s">
        <v>29</v>
      </c>
      <c r="L284" s="6" t="s">
        <v>546</v>
      </c>
      <c r="M284" s="9">
        <v>43951</v>
      </c>
      <c r="O284" s="6">
        <v>31</v>
      </c>
      <c r="P284" s="6" t="s">
        <v>4373</v>
      </c>
      <c r="R284" s="6">
        <v>0</v>
      </c>
      <c r="S284" s="6">
        <v>0</v>
      </c>
      <c r="T284" s="6">
        <v>10</v>
      </c>
      <c r="U284" s="10">
        <f t="shared" si="8"/>
        <v>5</v>
      </c>
      <c r="V284" s="6">
        <v>0.1</v>
      </c>
      <c r="W284" s="8">
        <v>-6.0429377850055701</v>
      </c>
      <c r="X284" s="8">
        <v>-48.765893754959109</v>
      </c>
      <c r="Y284" s="8">
        <f t="shared" si="9"/>
        <v>-0.42239147491454787</v>
      </c>
    </row>
    <row r="285" spans="1:25" s="6" customFormat="1" x14ac:dyDescent="0.35">
      <c r="A285" s="6" t="s">
        <v>25</v>
      </c>
      <c r="B285" s="6" t="s">
        <v>1564</v>
      </c>
      <c r="D285" s="6" t="s">
        <v>1562</v>
      </c>
      <c r="E285" s="6">
        <v>3</v>
      </c>
      <c r="F285" s="6">
        <v>38</v>
      </c>
      <c r="G285" s="6" t="s">
        <v>1563</v>
      </c>
      <c r="I285" s="8">
        <v>83.933978541666704</v>
      </c>
      <c r="J285" s="8">
        <v>17.471342499999999</v>
      </c>
      <c r="K285" s="6" t="s">
        <v>29</v>
      </c>
      <c r="L285" s="6" t="s">
        <v>546</v>
      </c>
      <c r="M285" s="9">
        <v>43951</v>
      </c>
      <c r="O285" s="6">
        <v>31</v>
      </c>
      <c r="P285" s="6" t="s">
        <v>4373</v>
      </c>
      <c r="R285" s="6">
        <v>10</v>
      </c>
      <c r="S285" s="6">
        <v>10</v>
      </c>
      <c r="T285" s="6">
        <v>20</v>
      </c>
      <c r="U285" s="10">
        <f t="shared" si="8"/>
        <v>15</v>
      </c>
      <c r="V285" s="6">
        <v>0</v>
      </c>
      <c r="W285" s="8">
        <v>-6.5738337899208075</v>
      </c>
      <c r="X285" s="8">
        <v>-51.295428323745725</v>
      </c>
      <c r="Y285" s="8">
        <f t="shared" si="9"/>
        <v>1.2952419956207351</v>
      </c>
    </row>
    <row r="286" spans="1:25" s="6" customFormat="1" x14ac:dyDescent="0.35">
      <c r="A286" s="6" t="s">
        <v>25</v>
      </c>
      <c r="B286" s="6" t="s">
        <v>1565</v>
      </c>
      <c r="D286" s="6" t="s">
        <v>1562</v>
      </c>
      <c r="E286" s="6">
        <v>3</v>
      </c>
      <c r="F286" s="6">
        <v>38</v>
      </c>
      <c r="G286" s="6" t="s">
        <v>1563</v>
      </c>
      <c r="I286" s="8">
        <v>83.933978541666704</v>
      </c>
      <c r="J286" s="8">
        <v>17.471342499999999</v>
      </c>
      <c r="K286" s="6" t="s">
        <v>29</v>
      </c>
      <c r="L286" s="6" t="s">
        <v>546</v>
      </c>
      <c r="M286" s="9">
        <v>43951</v>
      </c>
      <c r="O286" s="6">
        <v>31</v>
      </c>
      <c r="P286" s="6" t="s">
        <v>4373</v>
      </c>
      <c r="R286" s="6">
        <v>20</v>
      </c>
      <c r="S286" s="6">
        <v>20</v>
      </c>
      <c r="T286" s="6">
        <v>30</v>
      </c>
      <c r="U286" s="10">
        <f t="shared" si="8"/>
        <v>25</v>
      </c>
      <c r="V286" s="6">
        <v>0.8</v>
      </c>
      <c r="W286" s="8">
        <v>-5.0390615986347189</v>
      </c>
      <c r="X286" s="8">
        <v>-38.58904036903381</v>
      </c>
      <c r="Y286" s="8">
        <f t="shared" si="9"/>
        <v>1.7234524200439409</v>
      </c>
    </row>
    <row r="287" spans="1:25" s="6" customFormat="1" x14ac:dyDescent="0.35">
      <c r="A287" s="6" t="s">
        <v>25</v>
      </c>
      <c r="B287" s="6" t="s">
        <v>1566</v>
      </c>
      <c r="D287" s="6" t="s">
        <v>1562</v>
      </c>
      <c r="E287" s="6">
        <v>3</v>
      </c>
      <c r="F287" s="6">
        <v>38</v>
      </c>
      <c r="G287" s="6" t="s">
        <v>1563</v>
      </c>
      <c r="I287" s="8">
        <v>83.933978541666704</v>
      </c>
      <c r="J287" s="8">
        <v>17.471342499999999</v>
      </c>
      <c r="K287" s="6" t="s">
        <v>29</v>
      </c>
      <c r="L287" s="6" t="s">
        <v>546</v>
      </c>
      <c r="M287" s="9">
        <v>43951</v>
      </c>
      <c r="O287" s="6">
        <v>31</v>
      </c>
      <c r="P287" s="6" t="s">
        <v>4373</v>
      </c>
      <c r="R287" s="6">
        <v>30</v>
      </c>
      <c r="S287" s="6">
        <v>30</v>
      </c>
      <c r="T287" s="6">
        <v>40</v>
      </c>
      <c r="U287" s="10">
        <f t="shared" si="8"/>
        <v>35</v>
      </c>
      <c r="V287" s="6">
        <v>1.2</v>
      </c>
      <c r="W287" s="8">
        <v>-3.7144119847059254</v>
      </c>
      <c r="X287" s="8">
        <v>-28.598429109573363</v>
      </c>
      <c r="Y287" s="8">
        <f t="shared" si="9"/>
        <v>1.1168667680740398</v>
      </c>
    </row>
    <row r="288" spans="1:25" s="6" customFormat="1" x14ac:dyDescent="0.35">
      <c r="A288" s="6" t="s">
        <v>25</v>
      </c>
      <c r="B288" s="6" t="s">
        <v>1567</v>
      </c>
      <c r="D288" s="6" t="s">
        <v>1562</v>
      </c>
      <c r="E288" s="6">
        <v>3</v>
      </c>
      <c r="F288" s="6">
        <v>38</v>
      </c>
      <c r="G288" s="6" t="s">
        <v>1563</v>
      </c>
      <c r="I288" s="8">
        <v>83.933978541666704</v>
      </c>
      <c r="J288" s="8">
        <v>17.471342499999999</v>
      </c>
      <c r="K288" s="6" t="s">
        <v>29</v>
      </c>
      <c r="L288" s="6" t="s">
        <v>546</v>
      </c>
      <c r="M288" s="9">
        <v>43951</v>
      </c>
      <c r="O288" s="6">
        <v>31</v>
      </c>
      <c r="P288" s="6" t="s">
        <v>4373</v>
      </c>
      <c r="R288" s="6">
        <v>40</v>
      </c>
      <c r="S288" s="6">
        <v>40</v>
      </c>
      <c r="T288" s="6">
        <v>50</v>
      </c>
      <c r="U288" s="10">
        <f t="shared" si="8"/>
        <v>45</v>
      </c>
      <c r="V288" s="6">
        <v>1.2</v>
      </c>
      <c r="W288" s="8">
        <v>-3.4284687034130101</v>
      </c>
      <c r="X288" s="8">
        <v>-26.345447143554686</v>
      </c>
      <c r="Y288" s="8">
        <f t="shared" si="9"/>
        <v>1.0823024837493946</v>
      </c>
    </row>
    <row r="289" spans="1:25" s="6" customFormat="1" x14ac:dyDescent="0.35">
      <c r="A289" s="6" t="s">
        <v>25</v>
      </c>
      <c r="B289" s="6" t="s">
        <v>1568</v>
      </c>
      <c r="D289" s="6" t="s">
        <v>1562</v>
      </c>
      <c r="E289" s="6">
        <v>3</v>
      </c>
      <c r="F289" s="6">
        <v>38</v>
      </c>
      <c r="G289" s="6" t="s">
        <v>1563</v>
      </c>
      <c r="I289" s="8">
        <v>83.933978541666704</v>
      </c>
      <c r="J289" s="8">
        <v>17.471342499999999</v>
      </c>
      <c r="K289" s="6" t="s">
        <v>29</v>
      </c>
      <c r="L289" s="6" t="s">
        <v>546</v>
      </c>
      <c r="M289" s="9">
        <v>43951</v>
      </c>
      <c r="O289" s="6">
        <v>31</v>
      </c>
      <c r="P289" s="6" t="s">
        <v>4373</v>
      </c>
      <c r="R289" s="6">
        <v>50</v>
      </c>
      <c r="S289" s="6">
        <v>50</v>
      </c>
      <c r="T289" s="6">
        <v>60</v>
      </c>
      <c r="U289" s="10">
        <f t="shared" si="8"/>
        <v>55</v>
      </c>
      <c r="V289" s="6">
        <v>5.2</v>
      </c>
      <c r="W289" s="8">
        <v>3.8401500574685277E-2</v>
      </c>
      <c r="X289" s="8">
        <v>0.21752678333222833</v>
      </c>
      <c r="Y289" s="8">
        <f t="shared" si="9"/>
        <v>-8.9685221265253884E-2</v>
      </c>
    </row>
    <row r="290" spans="1:25" s="6" customFormat="1" x14ac:dyDescent="0.35">
      <c r="A290" s="6" t="s">
        <v>25</v>
      </c>
      <c r="B290" s="6" t="s">
        <v>1569</v>
      </c>
      <c r="D290" s="6" t="s">
        <v>1562</v>
      </c>
      <c r="E290" s="6">
        <v>3</v>
      </c>
      <c r="F290" s="6">
        <v>38</v>
      </c>
      <c r="G290" s="6" t="s">
        <v>1563</v>
      </c>
      <c r="I290" s="8">
        <v>83.933978541666704</v>
      </c>
      <c r="J290" s="8">
        <v>17.471342499999999</v>
      </c>
      <c r="K290" s="6" t="s">
        <v>29</v>
      </c>
      <c r="L290" s="6" t="s">
        <v>546</v>
      </c>
      <c r="M290" s="9">
        <v>43951</v>
      </c>
      <c r="O290" s="6">
        <v>31</v>
      </c>
      <c r="P290" s="6" t="s">
        <v>4373</v>
      </c>
      <c r="R290" s="6">
        <v>60</v>
      </c>
      <c r="S290" s="6">
        <v>60</v>
      </c>
      <c r="T290" s="6">
        <v>70</v>
      </c>
      <c r="U290" s="10">
        <f t="shared" si="8"/>
        <v>65</v>
      </c>
      <c r="V290" s="6">
        <v>4.8</v>
      </c>
      <c r="W290" s="8">
        <v>-0.49624577855467794</v>
      </c>
      <c r="X290" s="8">
        <v>-3.6171543111801148</v>
      </c>
      <c r="Y290" s="8">
        <f t="shared" si="9"/>
        <v>0.35281191725730876</v>
      </c>
    </row>
    <row r="291" spans="1:25" s="6" customFormat="1" x14ac:dyDescent="0.35">
      <c r="A291" s="6" t="s">
        <v>25</v>
      </c>
      <c r="B291" s="6" t="s">
        <v>1570</v>
      </c>
      <c r="D291" s="6" t="s">
        <v>1562</v>
      </c>
      <c r="E291" s="6">
        <v>3</v>
      </c>
      <c r="F291" s="6">
        <v>38</v>
      </c>
      <c r="G291" s="6" t="s">
        <v>1563</v>
      </c>
      <c r="I291" s="8">
        <v>83.933978541666704</v>
      </c>
      <c r="J291" s="8">
        <v>17.471342499999999</v>
      </c>
      <c r="K291" s="6" t="s">
        <v>29</v>
      </c>
      <c r="L291" s="6" t="s">
        <v>546</v>
      </c>
      <c r="M291" s="9">
        <v>43951</v>
      </c>
      <c r="O291" s="6">
        <v>31</v>
      </c>
      <c r="P291" s="6" t="s">
        <v>4373</v>
      </c>
      <c r="R291" s="6">
        <v>70</v>
      </c>
      <c r="S291" s="6">
        <v>70</v>
      </c>
      <c r="T291" s="6">
        <v>80</v>
      </c>
      <c r="U291" s="10">
        <f t="shared" si="8"/>
        <v>75</v>
      </c>
      <c r="V291" s="6">
        <v>5.7</v>
      </c>
      <c r="W291" s="8">
        <v>-0.89462917423248256</v>
      </c>
      <c r="X291" s="8">
        <v>-5.9666251418590557</v>
      </c>
      <c r="Y291" s="8">
        <f t="shared" si="9"/>
        <v>1.1904082520008048</v>
      </c>
    </row>
    <row r="292" spans="1:25" s="6" customFormat="1" x14ac:dyDescent="0.35">
      <c r="A292" s="6" t="s">
        <v>25</v>
      </c>
      <c r="B292" s="6" t="s">
        <v>1571</v>
      </c>
      <c r="D292" s="6" t="s">
        <v>1562</v>
      </c>
      <c r="E292" s="6">
        <v>3</v>
      </c>
      <c r="F292" s="6">
        <v>38</v>
      </c>
      <c r="G292" s="6" t="s">
        <v>1563</v>
      </c>
      <c r="I292" s="8">
        <v>83.933978541666704</v>
      </c>
      <c r="J292" s="8">
        <v>17.471342499999999</v>
      </c>
      <c r="K292" s="6" t="s">
        <v>29</v>
      </c>
      <c r="L292" s="6" t="s">
        <v>546</v>
      </c>
      <c r="M292" s="9">
        <v>43951</v>
      </c>
      <c r="O292" s="6">
        <v>31</v>
      </c>
      <c r="P292" s="6" t="s">
        <v>4373</v>
      </c>
      <c r="R292" s="6">
        <v>80</v>
      </c>
      <c r="S292" s="6">
        <v>80</v>
      </c>
      <c r="T292" s="6">
        <v>90</v>
      </c>
      <c r="U292" s="10">
        <f t="shared" si="8"/>
        <v>85</v>
      </c>
      <c r="V292" s="6">
        <v>5.5</v>
      </c>
      <c r="W292" s="8">
        <v>-1.3863636408448217</v>
      </c>
      <c r="X292" s="8">
        <v>-10.768032530784605</v>
      </c>
      <c r="Y292" s="8">
        <f t="shared" si="9"/>
        <v>0.32287659597396789</v>
      </c>
    </row>
    <row r="293" spans="1:25" s="6" customFormat="1" x14ac:dyDescent="0.35">
      <c r="A293" s="6" t="s">
        <v>25</v>
      </c>
      <c r="B293" s="6" t="s">
        <v>1572</v>
      </c>
      <c r="D293" s="6" t="s">
        <v>1562</v>
      </c>
      <c r="E293" s="6">
        <v>3</v>
      </c>
      <c r="F293" s="6">
        <v>38</v>
      </c>
      <c r="G293" s="6" t="s">
        <v>1563</v>
      </c>
      <c r="I293" s="8">
        <v>83.933978541666704</v>
      </c>
      <c r="J293" s="8">
        <v>17.471342499999999</v>
      </c>
      <c r="K293" s="6" t="s">
        <v>29</v>
      </c>
      <c r="L293" s="6" t="s">
        <v>546</v>
      </c>
      <c r="M293" s="9">
        <v>43951</v>
      </c>
      <c r="O293" s="6">
        <v>31</v>
      </c>
      <c r="P293" s="6" t="s">
        <v>4373</v>
      </c>
      <c r="R293" s="6">
        <v>90</v>
      </c>
      <c r="S293" s="6">
        <v>90</v>
      </c>
      <c r="T293" s="6">
        <v>100</v>
      </c>
      <c r="U293" s="10">
        <f t="shared" si="8"/>
        <v>95</v>
      </c>
      <c r="V293" s="6">
        <v>4.8</v>
      </c>
      <c r="W293" s="8">
        <v>-1.6658117322325703</v>
      </c>
      <c r="X293" s="8">
        <v>-13.371871840000153</v>
      </c>
      <c r="Y293" s="8">
        <f t="shared" si="9"/>
        <v>-4.5377982139591211E-2</v>
      </c>
    </row>
    <row r="294" spans="1:25" s="6" customFormat="1" x14ac:dyDescent="0.35">
      <c r="A294" s="6" t="s">
        <v>25</v>
      </c>
      <c r="B294" s="6" t="s">
        <v>1573</v>
      </c>
      <c r="D294" s="6" t="s">
        <v>1562</v>
      </c>
      <c r="E294" s="6">
        <v>3</v>
      </c>
      <c r="F294" s="6">
        <v>38</v>
      </c>
      <c r="G294" s="6" t="s">
        <v>1563</v>
      </c>
      <c r="I294" s="8">
        <v>83.933978541666704</v>
      </c>
      <c r="J294" s="8">
        <v>17.471342499999999</v>
      </c>
      <c r="K294" s="6" t="s">
        <v>29</v>
      </c>
      <c r="L294" s="6" t="s">
        <v>546</v>
      </c>
      <c r="M294" s="9">
        <v>43951</v>
      </c>
      <c r="O294" s="6">
        <v>31</v>
      </c>
      <c r="P294" s="6" t="s">
        <v>4373</v>
      </c>
      <c r="R294" s="6">
        <v>100</v>
      </c>
      <c r="S294" s="6">
        <v>100</v>
      </c>
      <c r="T294" s="6">
        <v>111</v>
      </c>
      <c r="U294" s="10">
        <f t="shared" si="8"/>
        <v>105.5</v>
      </c>
      <c r="V294" s="6">
        <v>3.9</v>
      </c>
      <c r="W294" s="8">
        <v>-1.7751289467215536</v>
      </c>
      <c r="X294" s="8">
        <v>-13.734113301753997</v>
      </c>
      <c r="Y294" s="8">
        <f t="shared" si="9"/>
        <v>0.46691827201843239</v>
      </c>
    </row>
    <row r="295" spans="1:25" s="6" customFormat="1" x14ac:dyDescent="0.35">
      <c r="A295" s="6" t="s">
        <v>25</v>
      </c>
      <c r="B295" s="6" t="s">
        <v>1574</v>
      </c>
      <c r="D295" s="6" t="s">
        <v>1562</v>
      </c>
      <c r="E295" s="6">
        <v>3</v>
      </c>
      <c r="F295" s="6">
        <v>38</v>
      </c>
      <c r="G295" s="6" t="s">
        <v>1563</v>
      </c>
      <c r="I295" s="8">
        <v>83.933978541666704</v>
      </c>
      <c r="J295" s="8">
        <v>17.471342499999999</v>
      </c>
      <c r="K295" s="6" t="s">
        <v>29</v>
      </c>
      <c r="L295" s="6" t="s">
        <v>546</v>
      </c>
      <c r="M295" s="9">
        <v>43951</v>
      </c>
      <c r="O295" s="6">
        <v>31</v>
      </c>
      <c r="P295" s="6" t="s">
        <v>4373</v>
      </c>
      <c r="R295" s="6">
        <v>111</v>
      </c>
      <c r="S295" s="6">
        <v>111</v>
      </c>
      <c r="T295" s="6">
        <v>121</v>
      </c>
      <c r="U295" s="10">
        <f t="shared" si="8"/>
        <v>116</v>
      </c>
      <c r="V295" s="6">
        <v>3.5</v>
      </c>
      <c r="W295" s="8">
        <v>-1.0942649794936181</v>
      </c>
      <c r="X295" s="8">
        <v>-8.2793221889019026</v>
      </c>
      <c r="Y295" s="8">
        <f t="shared" si="9"/>
        <v>0.4747976470470423</v>
      </c>
    </row>
    <row r="296" spans="1:25" s="6" customFormat="1" x14ac:dyDescent="0.35">
      <c r="A296" s="6" t="s">
        <v>25</v>
      </c>
      <c r="B296" s="6" t="s">
        <v>1575</v>
      </c>
      <c r="D296" s="6" t="s">
        <v>1562</v>
      </c>
      <c r="E296" s="6">
        <v>3</v>
      </c>
      <c r="F296" s="6">
        <v>38</v>
      </c>
      <c r="G296" s="6" t="s">
        <v>1563</v>
      </c>
      <c r="I296" s="8">
        <v>83.933978541666704</v>
      </c>
      <c r="J296" s="8">
        <v>17.471342499999999</v>
      </c>
      <c r="K296" s="6" t="s">
        <v>29</v>
      </c>
      <c r="L296" s="6" t="s">
        <v>546</v>
      </c>
      <c r="M296" s="9">
        <v>43951</v>
      </c>
      <c r="O296" s="6">
        <v>31</v>
      </c>
      <c r="P296" s="6" t="s">
        <v>4373</v>
      </c>
      <c r="R296" s="6">
        <v>121</v>
      </c>
      <c r="S296" s="6">
        <v>121</v>
      </c>
      <c r="T296" s="6">
        <v>131</v>
      </c>
      <c r="U296" s="10">
        <f t="shared" si="8"/>
        <v>126</v>
      </c>
      <c r="V296" s="6">
        <v>2.9</v>
      </c>
      <c r="W296" s="8">
        <v>-0.28130208852887145</v>
      </c>
      <c r="X296" s="8">
        <v>-2.0180684978961949</v>
      </c>
      <c r="Y296" s="8">
        <f t="shared" si="9"/>
        <v>0.23234821033477671</v>
      </c>
    </row>
    <row r="297" spans="1:25" s="6" customFormat="1" x14ac:dyDescent="0.35">
      <c r="A297" s="6" t="s">
        <v>25</v>
      </c>
      <c r="B297" s="6" t="s">
        <v>1576</v>
      </c>
      <c r="D297" s="6" t="s">
        <v>1562</v>
      </c>
      <c r="E297" s="6">
        <v>3</v>
      </c>
      <c r="F297" s="6">
        <v>38</v>
      </c>
      <c r="G297" s="6" t="s">
        <v>1563</v>
      </c>
      <c r="I297" s="8">
        <v>83.933978541666704</v>
      </c>
      <c r="J297" s="8">
        <v>17.471342499999999</v>
      </c>
      <c r="K297" s="6" t="s">
        <v>29</v>
      </c>
      <c r="L297" s="6" t="s">
        <v>546</v>
      </c>
      <c r="M297" s="9">
        <v>43951</v>
      </c>
      <c r="O297" s="6">
        <v>31</v>
      </c>
      <c r="P297" s="6" t="s">
        <v>4373</v>
      </c>
      <c r="R297" s="6">
        <v>131</v>
      </c>
      <c r="S297" s="6">
        <v>131</v>
      </c>
      <c r="T297" s="6">
        <v>141</v>
      </c>
      <c r="U297" s="10">
        <f t="shared" si="8"/>
        <v>136</v>
      </c>
      <c r="V297" s="6">
        <v>3</v>
      </c>
      <c r="W297" s="8">
        <v>-0.24593264961242653</v>
      </c>
      <c r="X297" s="8">
        <v>-1.6769638592004774</v>
      </c>
      <c r="Y297" s="8">
        <f t="shared" si="9"/>
        <v>0.29049733769893482</v>
      </c>
    </row>
    <row r="298" spans="1:25" s="6" customFormat="1" x14ac:dyDescent="0.35">
      <c r="A298" s="6" t="s">
        <v>25</v>
      </c>
      <c r="B298" s="6" t="s">
        <v>1577</v>
      </c>
      <c r="D298" s="6" t="s">
        <v>1562</v>
      </c>
      <c r="E298" s="6">
        <v>3</v>
      </c>
      <c r="F298" s="6">
        <v>38</v>
      </c>
      <c r="G298" s="6" t="s">
        <v>1563</v>
      </c>
      <c r="I298" s="8">
        <v>83.933978541666704</v>
      </c>
      <c r="J298" s="8">
        <v>17.471342499999999</v>
      </c>
      <c r="K298" s="6" t="s">
        <v>29</v>
      </c>
      <c r="L298" s="6" t="s">
        <v>546</v>
      </c>
      <c r="M298" s="9">
        <v>43951</v>
      </c>
      <c r="O298" s="6">
        <v>31</v>
      </c>
      <c r="P298" s="6" t="s">
        <v>4373</v>
      </c>
      <c r="R298" s="6">
        <v>141</v>
      </c>
      <c r="S298" s="6">
        <v>141</v>
      </c>
      <c r="T298" s="6">
        <v>151</v>
      </c>
      <c r="U298" s="10">
        <f t="shared" si="8"/>
        <v>146</v>
      </c>
      <c r="V298" s="6">
        <v>3.4</v>
      </c>
      <c r="W298" s="8">
        <v>0.16139148085415372</v>
      </c>
      <c r="X298" s="8">
        <v>1.4663522281944754</v>
      </c>
      <c r="Y298" s="8">
        <f t="shared" si="9"/>
        <v>0.17522038136124563</v>
      </c>
    </row>
    <row r="299" spans="1:25" s="6" customFormat="1" x14ac:dyDescent="0.35">
      <c r="A299" s="6" t="s">
        <v>25</v>
      </c>
      <c r="B299" s="6" t="s">
        <v>1578</v>
      </c>
      <c r="D299" s="6" t="s">
        <v>1562</v>
      </c>
      <c r="E299" s="6">
        <v>3</v>
      </c>
      <c r="F299" s="6">
        <v>38</v>
      </c>
      <c r="G299" s="6" t="s">
        <v>1563</v>
      </c>
      <c r="I299" s="8">
        <v>83.933978541666704</v>
      </c>
      <c r="J299" s="8">
        <v>17.471342499999999</v>
      </c>
      <c r="K299" s="6" t="s">
        <v>29</v>
      </c>
      <c r="L299" s="6" t="s">
        <v>546</v>
      </c>
      <c r="M299" s="9">
        <v>43951</v>
      </c>
      <c r="O299" s="6">
        <v>31</v>
      </c>
      <c r="P299" s="6" t="s">
        <v>4373</v>
      </c>
      <c r="R299" s="6">
        <v>151</v>
      </c>
      <c r="S299" s="6">
        <v>151</v>
      </c>
      <c r="T299" s="6">
        <v>161</v>
      </c>
      <c r="U299" s="10">
        <f t="shared" si="8"/>
        <v>156</v>
      </c>
      <c r="V299" s="6">
        <v>4</v>
      </c>
      <c r="W299" s="8">
        <v>-5.2906594356894904E-2</v>
      </c>
      <c r="X299" s="8">
        <v>-0.77357858031988169</v>
      </c>
      <c r="Y299" s="8">
        <f t="shared" si="9"/>
        <v>-0.35032582546472246</v>
      </c>
    </row>
    <row r="300" spans="1:25" s="6" customFormat="1" x14ac:dyDescent="0.35">
      <c r="A300" s="6" t="s">
        <v>25</v>
      </c>
      <c r="B300" s="6" t="s">
        <v>1579</v>
      </c>
      <c r="D300" s="6" t="s">
        <v>1562</v>
      </c>
      <c r="E300" s="6">
        <v>3</v>
      </c>
      <c r="F300" s="6">
        <v>38</v>
      </c>
      <c r="G300" s="6" t="s">
        <v>1563</v>
      </c>
      <c r="I300" s="8">
        <v>83.933978541666704</v>
      </c>
      <c r="J300" s="8">
        <v>17.471342499999999</v>
      </c>
      <c r="K300" s="6" t="s">
        <v>29</v>
      </c>
      <c r="L300" s="6" t="s">
        <v>546</v>
      </c>
      <c r="M300" s="9">
        <v>43951</v>
      </c>
      <c r="O300" s="6">
        <v>31</v>
      </c>
      <c r="P300" s="6" t="s">
        <v>4373</v>
      </c>
      <c r="R300" s="6">
        <v>161</v>
      </c>
      <c r="S300" s="6">
        <v>161</v>
      </c>
      <c r="T300" s="6">
        <v>171</v>
      </c>
      <c r="U300" s="10">
        <f t="shared" si="8"/>
        <v>166</v>
      </c>
      <c r="V300" s="6">
        <v>4.4000000000000004</v>
      </c>
      <c r="W300" s="8">
        <v>-0.20335263968110112</v>
      </c>
      <c r="X300" s="8">
        <v>-1.1926891236305237</v>
      </c>
      <c r="Y300" s="8">
        <f t="shared" si="9"/>
        <v>0.43413199381828527</v>
      </c>
    </row>
    <row r="301" spans="1:25" s="6" customFormat="1" x14ac:dyDescent="0.35">
      <c r="A301" s="6" t="s">
        <v>25</v>
      </c>
      <c r="B301" s="6" t="s">
        <v>1580</v>
      </c>
      <c r="D301" s="6" t="s">
        <v>1562</v>
      </c>
      <c r="E301" s="6">
        <v>3</v>
      </c>
      <c r="F301" s="6">
        <v>38</v>
      </c>
      <c r="G301" s="6" t="s">
        <v>1563</v>
      </c>
      <c r="I301" s="8">
        <v>83.933978541666704</v>
      </c>
      <c r="J301" s="8">
        <v>17.471342499999999</v>
      </c>
      <c r="K301" s="6" t="s">
        <v>29</v>
      </c>
      <c r="L301" s="6" t="s">
        <v>546</v>
      </c>
      <c r="M301" s="9">
        <v>43951</v>
      </c>
      <c r="O301" s="6">
        <v>31</v>
      </c>
      <c r="P301" s="6" t="s">
        <v>4373</v>
      </c>
      <c r="R301" s="6">
        <v>171</v>
      </c>
      <c r="S301" s="6">
        <v>171</v>
      </c>
      <c r="T301" s="6">
        <v>181</v>
      </c>
      <c r="U301" s="10">
        <f t="shared" si="8"/>
        <v>176</v>
      </c>
      <c r="V301" s="6">
        <v>5.5</v>
      </c>
      <c r="W301" s="8">
        <v>-0.13956105876565</v>
      </c>
      <c r="X301" s="8">
        <v>-0.87538101983070349</v>
      </c>
      <c r="Y301" s="8">
        <f t="shared" si="9"/>
        <v>0.24110745029449654</v>
      </c>
    </row>
    <row r="302" spans="1:25" s="6" customFormat="1" x14ac:dyDescent="0.35">
      <c r="A302" s="6" t="s">
        <v>25</v>
      </c>
      <c r="B302" s="6" t="s">
        <v>1581</v>
      </c>
      <c r="D302" s="6" t="s">
        <v>1562</v>
      </c>
      <c r="E302" s="6">
        <v>3</v>
      </c>
      <c r="F302" s="6">
        <v>38</v>
      </c>
      <c r="G302" s="6" t="s">
        <v>1563</v>
      </c>
      <c r="I302" s="8">
        <v>83.933978541666704</v>
      </c>
      <c r="J302" s="8">
        <v>17.471342499999999</v>
      </c>
      <c r="K302" s="6" t="s">
        <v>29</v>
      </c>
      <c r="L302" s="6" t="s">
        <v>546</v>
      </c>
      <c r="M302" s="9">
        <v>43951</v>
      </c>
      <c r="O302" s="6">
        <v>31</v>
      </c>
      <c r="P302" s="6" t="s">
        <v>4373</v>
      </c>
      <c r="R302" s="6">
        <v>181</v>
      </c>
      <c r="S302" s="6">
        <v>181</v>
      </c>
      <c r="T302" s="6">
        <v>191</v>
      </c>
      <c r="U302" s="10">
        <f t="shared" si="8"/>
        <v>186</v>
      </c>
      <c r="V302" s="6">
        <v>5.2</v>
      </c>
      <c r="W302" s="8">
        <v>0.28823290141820912</v>
      </c>
      <c r="X302" s="8">
        <v>2.5154360799789433</v>
      </c>
      <c r="Y302" s="8">
        <f t="shared" si="9"/>
        <v>0.20957286863327029</v>
      </c>
    </row>
    <row r="303" spans="1:25" s="6" customFormat="1" x14ac:dyDescent="0.35">
      <c r="A303" s="6" t="s">
        <v>25</v>
      </c>
      <c r="B303" s="6" t="s">
        <v>1582</v>
      </c>
      <c r="D303" s="6" t="s">
        <v>1562</v>
      </c>
      <c r="E303" s="6">
        <v>3</v>
      </c>
      <c r="F303" s="6">
        <v>38</v>
      </c>
      <c r="G303" s="6" t="s">
        <v>1563</v>
      </c>
      <c r="I303" s="8">
        <v>83.933978541666704</v>
      </c>
      <c r="J303" s="8">
        <v>17.471342499999999</v>
      </c>
      <c r="K303" s="6" t="s">
        <v>29</v>
      </c>
      <c r="L303" s="6" t="s">
        <v>546</v>
      </c>
      <c r="M303" s="9">
        <v>43951</v>
      </c>
      <c r="O303" s="6">
        <v>31</v>
      </c>
      <c r="P303" s="6" t="s">
        <v>4373</v>
      </c>
      <c r="R303" s="6">
        <v>191</v>
      </c>
      <c r="S303" s="6">
        <v>191</v>
      </c>
      <c r="T303" s="6">
        <v>203</v>
      </c>
      <c r="U303" s="10">
        <f t="shared" si="8"/>
        <v>197</v>
      </c>
      <c r="V303" s="6">
        <v>6.1</v>
      </c>
      <c r="W303" s="8">
        <v>0.57587760534286536</v>
      </c>
      <c r="X303" s="8">
        <v>4.9153060812950153</v>
      </c>
      <c r="Y303" s="8">
        <f t="shared" si="9"/>
        <v>0.30828523855209244</v>
      </c>
    </row>
    <row r="304" spans="1:25" s="6" customFormat="1" x14ac:dyDescent="0.35">
      <c r="A304" s="6" t="s">
        <v>25</v>
      </c>
      <c r="B304" s="6" t="s">
        <v>1583</v>
      </c>
      <c r="D304" s="6" t="s">
        <v>1562</v>
      </c>
      <c r="E304" s="6">
        <v>3</v>
      </c>
      <c r="F304" s="6">
        <v>38</v>
      </c>
      <c r="G304" s="6" t="s">
        <v>1563</v>
      </c>
      <c r="I304" s="8">
        <v>83.933978541666704</v>
      </c>
      <c r="J304" s="8">
        <v>17.471342499999999</v>
      </c>
      <c r="K304" s="6" t="s">
        <v>29</v>
      </c>
      <c r="L304" s="6" t="s">
        <v>546</v>
      </c>
      <c r="M304" s="9">
        <v>43951</v>
      </c>
      <c r="O304" s="6">
        <v>31</v>
      </c>
      <c r="P304" s="6" t="s">
        <v>4373</v>
      </c>
      <c r="R304" s="6">
        <v>203</v>
      </c>
      <c r="S304" s="6">
        <v>203</v>
      </c>
      <c r="T304" s="6">
        <v>215</v>
      </c>
      <c r="U304" s="10">
        <f t="shared" si="8"/>
        <v>209</v>
      </c>
      <c r="V304" s="6">
        <v>6.1</v>
      </c>
      <c r="W304" s="8">
        <v>1.1684033017396929</v>
      </c>
      <c r="X304" s="8">
        <v>9.5417736034393315</v>
      </c>
      <c r="Y304" s="8">
        <f t="shared" si="9"/>
        <v>0.19454718952178851</v>
      </c>
    </row>
    <row r="305" spans="1:25" s="6" customFormat="1" x14ac:dyDescent="0.35">
      <c r="A305" s="6" t="s">
        <v>25</v>
      </c>
      <c r="B305" s="6" t="s">
        <v>1593</v>
      </c>
      <c r="D305" s="6" t="s">
        <v>3334</v>
      </c>
      <c r="E305" s="6">
        <v>3</v>
      </c>
      <c r="F305" s="6">
        <v>39</v>
      </c>
      <c r="G305" s="6" t="s">
        <v>210</v>
      </c>
      <c r="I305" s="8">
        <v>83.907985999999994</v>
      </c>
      <c r="J305" s="8">
        <v>18.352126999999999</v>
      </c>
      <c r="K305" s="6" t="s">
        <v>29</v>
      </c>
      <c r="L305" s="6" t="s">
        <v>546</v>
      </c>
      <c r="M305" s="9">
        <v>43955</v>
      </c>
      <c r="O305" s="6">
        <v>32</v>
      </c>
      <c r="P305" s="6" t="s">
        <v>4374</v>
      </c>
      <c r="R305" s="6">
        <v>0</v>
      </c>
      <c r="S305" s="6">
        <v>0</v>
      </c>
      <c r="T305" s="6">
        <v>10</v>
      </c>
      <c r="U305" s="10">
        <f t="shared" si="8"/>
        <v>5</v>
      </c>
      <c r="V305" s="6">
        <v>0</v>
      </c>
      <c r="W305" s="8">
        <v>-5.2405024646759033</v>
      </c>
      <c r="X305" s="8">
        <v>-42.925711441040036</v>
      </c>
      <c r="Y305" s="8">
        <f t="shared" si="9"/>
        <v>-1.0016917236328098</v>
      </c>
    </row>
    <row r="306" spans="1:25" s="6" customFormat="1" x14ac:dyDescent="0.35">
      <c r="A306" s="6" t="s">
        <v>25</v>
      </c>
      <c r="B306" s="6" t="s">
        <v>1594</v>
      </c>
      <c r="D306" s="6" t="s">
        <v>3334</v>
      </c>
      <c r="E306" s="6">
        <v>3</v>
      </c>
      <c r="F306" s="6">
        <v>39</v>
      </c>
      <c r="G306" s="6" t="s">
        <v>210</v>
      </c>
      <c r="I306" s="8">
        <v>83.907985999999994</v>
      </c>
      <c r="J306" s="8">
        <v>18.352126999999999</v>
      </c>
      <c r="K306" s="6" t="s">
        <v>29</v>
      </c>
      <c r="L306" s="6" t="s">
        <v>546</v>
      </c>
      <c r="M306" s="9">
        <v>43955</v>
      </c>
      <c r="O306" s="6">
        <v>32</v>
      </c>
      <c r="P306" s="6" t="s">
        <v>4374</v>
      </c>
      <c r="R306" s="6">
        <v>10</v>
      </c>
      <c r="S306" s="6">
        <v>10</v>
      </c>
      <c r="T306" s="6">
        <v>20</v>
      </c>
      <c r="U306" s="10">
        <f t="shared" si="8"/>
        <v>15</v>
      </c>
      <c r="V306" s="6">
        <v>0</v>
      </c>
      <c r="W306" s="8">
        <v>-5.9858206649780277</v>
      </c>
      <c r="X306" s="8">
        <v>-47.174068664550781</v>
      </c>
      <c r="Y306" s="8">
        <f t="shared" si="9"/>
        <v>0.71249665527344064</v>
      </c>
    </row>
    <row r="307" spans="1:25" s="6" customFormat="1" x14ac:dyDescent="0.35">
      <c r="A307" s="6" t="s">
        <v>25</v>
      </c>
      <c r="B307" s="6" t="s">
        <v>1595</v>
      </c>
      <c r="D307" s="6" t="s">
        <v>3334</v>
      </c>
      <c r="E307" s="6">
        <v>3</v>
      </c>
      <c r="F307" s="6">
        <v>39</v>
      </c>
      <c r="G307" s="6" t="s">
        <v>210</v>
      </c>
      <c r="I307" s="8">
        <v>83.907985999999994</v>
      </c>
      <c r="J307" s="8">
        <v>18.352126999999999</v>
      </c>
      <c r="K307" s="6" t="s">
        <v>29</v>
      </c>
      <c r="L307" s="6" t="s">
        <v>546</v>
      </c>
      <c r="M307" s="9">
        <v>43955</v>
      </c>
      <c r="O307" s="6">
        <v>32</v>
      </c>
      <c r="P307" s="6" t="s">
        <v>4374</v>
      </c>
      <c r="R307" s="6">
        <v>20</v>
      </c>
      <c r="S307" s="6">
        <v>20</v>
      </c>
      <c r="T307" s="6">
        <v>30</v>
      </c>
      <c r="U307" s="10">
        <f t="shared" si="8"/>
        <v>25</v>
      </c>
      <c r="V307" s="6">
        <v>0</v>
      </c>
      <c r="W307" s="8">
        <v>-6.2912580963134781</v>
      </c>
      <c r="X307" s="8">
        <v>-49.069723442077638</v>
      </c>
      <c r="Y307" s="8">
        <f t="shared" si="9"/>
        <v>1.2603413284301865</v>
      </c>
    </row>
    <row r="308" spans="1:25" s="6" customFormat="1" x14ac:dyDescent="0.35">
      <c r="A308" s="6" t="s">
        <v>25</v>
      </c>
      <c r="B308" s="6" t="s">
        <v>1596</v>
      </c>
      <c r="D308" s="6" t="s">
        <v>3334</v>
      </c>
      <c r="E308" s="6">
        <v>3</v>
      </c>
      <c r="F308" s="6">
        <v>39</v>
      </c>
      <c r="G308" s="6" t="s">
        <v>210</v>
      </c>
      <c r="I308" s="8">
        <v>83.907985999999994</v>
      </c>
      <c r="J308" s="8">
        <v>18.352126999999999</v>
      </c>
      <c r="K308" s="6" t="s">
        <v>29</v>
      </c>
      <c r="L308" s="6" t="s">
        <v>546</v>
      </c>
      <c r="M308" s="9">
        <v>43955</v>
      </c>
      <c r="O308" s="6">
        <v>32</v>
      </c>
      <c r="P308" s="6" t="s">
        <v>4374</v>
      </c>
      <c r="R308" s="6">
        <v>30</v>
      </c>
      <c r="S308" s="6">
        <v>30</v>
      </c>
      <c r="T308" s="6">
        <v>40</v>
      </c>
      <c r="U308" s="10">
        <f t="shared" si="8"/>
        <v>35</v>
      </c>
      <c r="V308" s="6">
        <v>0</v>
      </c>
      <c r="W308" s="8">
        <v>-6.4305654235839862</v>
      </c>
      <c r="X308" s="8">
        <v>-49.545155246734616</v>
      </c>
      <c r="Y308" s="8">
        <f t="shared" si="9"/>
        <v>1.8993681419372734</v>
      </c>
    </row>
    <row r="309" spans="1:25" s="6" customFormat="1" x14ac:dyDescent="0.35">
      <c r="A309" s="6" t="s">
        <v>25</v>
      </c>
      <c r="B309" s="6" t="s">
        <v>1597</v>
      </c>
      <c r="D309" s="6" t="s">
        <v>3334</v>
      </c>
      <c r="E309" s="6">
        <v>3</v>
      </c>
      <c r="F309" s="6">
        <v>39</v>
      </c>
      <c r="G309" s="6" t="s">
        <v>210</v>
      </c>
      <c r="I309" s="8">
        <v>83.907985999999994</v>
      </c>
      <c r="J309" s="8">
        <v>18.352126999999999</v>
      </c>
      <c r="K309" s="6" t="s">
        <v>29</v>
      </c>
      <c r="L309" s="6" t="s">
        <v>546</v>
      </c>
      <c r="M309" s="9">
        <v>43955</v>
      </c>
      <c r="O309" s="6">
        <v>32</v>
      </c>
      <c r="P309" s="6" t="s">
        <v>4374</v>
      </c>
      <c r="R309" s="6">
        <v>40</v>
      </c>
      <c r="S309" s="6">
        <v>40</v>
      </c>
      <c r="T309" s="6">
        <v>50</v>
      </c>
      <c r="U309" s="10">
        <f t="shared" si="8"/>
        <v>45</v>
      </c>
      <c r="V309" s="6">
        <v>0.1</v>
      </c>
      <c r="W309" s="8">
        <v>-4.9921729293823249</v>
      </c>
      <c r="X309" s="8">
        <v>-38.599180561065673</v>
      </c>
      <c r="Y309" s="8">
        <f t="shared" si="9"/>
        <v>1.3382028739929268</v>
      </c>
    </row>
    <row r="310" spans="1:25" s="6" customFormat="1" x14ac:dyDescent="0.35">
      <c r="A310" s="6" t="s">
        <v>25</v>
      </c>
      <c r="B310" s="6" t="s">
        <v>1598</v>
      </c>
      <c r="D310" s="6" t="s">
        <v>3334</v>
      </c>
      <c r="E310" s="6">
        <v>3</v>
      </c>
      <c r="F310" s="6">
        <v>39</v>
      </c>
      <c r="G310" s="6" t="s">
        <v>210</v>
      </c>
      <c r="I310" s="8">
        <v>83.907985999999994</v>
      </c>
      <c r="J310" s="8">
        <v>18.352126999999999</v>
      </c>
      <c r="K310" s="6" t="s">
        <v>29</v>
      </c>
      <c r="L310" s="6" t="s">
        <v>546</v>
      </c>
      <c r="M310" s="9">
        <v>43955</v>
      </c>
      <c r="O310" s="6">
        <v>32</v>
      </c>
      <c r="P310" s="6" t="s">
        <v>4374</v>
      </c>
      <c r="R310" s="6">
        <v>50</v>
      </c>
      <c r="S310" s="6">
        <v>50</v>
      </c>
      <c r="T310" s="6">
        <v>60</v>
      </c>
      <c r="U310" s="10">
        <f t="shared" si="8"/>
        <v>55</v>
      </c>
      <c r="V310" s="6">
        <v>0.9</v>
      </c>
      <c r="W310" s="8">
        <v>-3.8280000091552737</v>
      </c>
      <c r="X310" s="8">
        <v>-29.245139631271361</v>
      </c>
      <c r="Y310" s="8">
        <f t="shared" si="9"/>
        <v>1.3788604419708292</v>
      </c>
    </row>
    <row r="311" spans="1:25" s="6" customFormat="1" x14ac:dyDescent="0.35">
      <c r="A311" s="6" t="s">
        <v>25</v>
      </c>
      <c r="B311" s="6" t="s">
        <v>1599</v>
      </c>
      <c r="D311" s="6" t="s">
        <v>3334</v>
      </c>
      <c r="E311" s="6">
        <v>3</v>
      </c>
      <c r="F311" s="6">
        <v>39</v>
      </c>
      <c r="G311" s="6" t="s">
        <v>210</v>
      </c>
      <c r="I311" s="8">
        <v>83.907985999999994</v>
      </c>
      <c r="J311" s="8">
        <v>18.352126999999999</v>
      </c>
      <c r="K311" s="6" t="s">
        <v>29</v>
      </c>
      <c r="L311" s="6" t="s">
        <v>546</v>
      </c>
      <c r="M311" s="9">
        <v>43955</v>
      </c>
      <c r="O311" s="6">
        <v>32</v>
      </c>
      <c r="P311" s="6" t="s">
        <v>4374</v>
      </c>
      <c r="R311" s="6">
        <v>60</v>
      </c>
      <c r="S311" s="6">
        <v>60</v>
      </c>
      <c r="T311" s="6">
        <v>70</v>
      </c>
      <c r="U311" s="10">
        <f t="shared" si="8"/>
        <v>65</v>
      </c>
      <c r="V311" s="6">
        <v>0.7</v>
      </c>
      <c r="W311" s="8">
        <v>-3.6980154052734373</v>
      </c>
      <c r="X311" s="8">
        <v>-28.286905811309815</v>
      </c>
      <c r="Y311" s="8">
        <f t="shared" si="9"/>
        <v>1.2972174308776836</v>
      </c>
    </row>
    <row r="312" spans="1:25" s="6" customFormat="1" x14ac:dyDescent="0.35">
      <c r="A312" s="6" t="s">
        <v>25</v>
      </c>
      <c r="B312" s="6" t="s">
        <v>1600</v>
      </c>
      <c r="D312" s="6" t="s">
        <v>3334</v>
      </c>
      <c r="E312" s="6">
        <v>3</v>
      </c>
      <c r="F312" s="6">
        <v>39</v>
      </c>
      <c r="G312" s="6" t="s">
        <v>210</v>
      </c>
      <c r="I312" s="8">
        <v>83.907985999999994</v>
      </c>
      <c r="J312" s="8">
        <v>18.352126999999999</v>
      </c>
      <c r="K312" s="6" t="s">
        <v>29</v>
      </c>
      <c r="L312" s="6" t="s">
        <v>546</v>
      </c>
      <c r="M312" s="9">
        <v>43955</v>
      </c>
      <c r="O312" s="6">
        <v>32</v>
      </c>
      <c r="P312" s="6" t="s">
        <v>4374</v>
      </c>
      <c r="R312" s="6">
        <v>70</v>
      </c>
      <c r="S312" s="6">
        <v>70</v>
      </c>
      <c r="T312" s="6">
        <v>80</v>
      </c>
      <c r="U312" s="10">
        <f t="shared" si="8"/>
        <v>75</v>
      </c>
      <c r="V312" s="6">
        <v>1.1399999999999999</v>
      </c>
      <c r="W312" s="8">
        <v>-3.7309650512695316</v>
      </c>
      <c r="X312" s="8">
        <v>-29.040103246688844</v>
      </c>
      <c r="Y312" s="8">
        <f t="shared" si="9"/>
        <v>0.80761716346740897</v>
      </c>
    </row>
    <row r="313" spans="1:25" s="6" customFormat="1" x14ac:dyDescent="0.35">
      <c r="A313" s="6" t="s">
        <v>25</v>
      </c>
      <c r="B313" s="6" t="s">
        <v>1601</v>
      </c>
      <c r="D313" s="6" t="s">
        <v>3334</v>
      </c>
      <c r="E313" s="6">
        <v>3</v>
      </c>
      <c r="F313" s="6">
        <v>39</v>
      </c>
      <c r="G313" s="6" t="s">
        <v>210</v>
      </c>
      <c r="I313" s="8">
        <v>83.907985999999994</v>
      </c>
      <c r="J313" s="8">
        <v>18.352126999999999</v>
      </c>
      <c r="K313" s="6" t="s">
        <v>29</v>
      </c>
      <c r="L313" s="6" t="s">
        <v>546</v>
      </c>
      <c r="M313" s="9">
        <v>43955</v>
      </c>
      <c r="O313" s="6">
        <v>32</v>
      </c>
      <c r="P313" s="6" t="s">
        <v>4374</v>
      </c>
      <c r="R313" s="6">
        <v>80</v>
      </c>
      <c r="S313" s="6">
        <v>80</v>
      </c>
      <c r="T313" s="6">
        <v>90</v>
      </c>
      <c r="U313" s="10">
        <f t="shared" si="8"/>
        <v>85</v>
      </c>
      <c r="V313" s="6">
        <v>0.9</v>
      </c>
      <c r="W313" s="8">
        <v>-3.6734536148071295</v>
      </c>
      <c r="X313" s="8">
        <v>-28.423352741241455</v>
      </c>
      <c r="Y313" s="8">
        <f t="shared" si="9"/>
        <v>0.96427617721558079</v>
      </c>
    </row>
    <row r="314" spans="1:25" s="6" customFormat="1" x14ac:dyDescent="0.35">
      <c r="A314" s="6" t="s">
        <v>25</v>
      </c>
      <c r="B314" s="6" t="s">
        <v>1602</v>
      </c>
      <c r="D314" s="6" t="s">
        <v>3334</v>
      </c>
      <c r="E314" s="6">
        <v>3</v>
      </c>
      <c r="F314" s="6">
        <v>39</v>
      </c>
      <c r="G314" s="6" t="s">
        <v>210</v>
      </c>
      <c r="I314" s="8">
        <v>83.907985999999994</v>
      </c>
      <c r="J314" s="8">
        <v>18.352126999999999</v>
      </c>
      <c r="K314" s="6" t="s">
        <v>29</v>
      </c>
      <c r="L314" s="6" t="s">
        <v>546</v>
      </c>
      <c r="M314" s="9">
        <v>43955</v>
      </c>
      <c r="O314" s="6">
        <v>32</v>
      </c>
      <c r="P314" s="6" t="s">
        <v>4374</v>
      </c>
      <c r="R314" s="6">
        <v>90</v>
      </c>
      <c r="S314" s="6">
        <v>90</v>
      </c>
      <c r="T314" s="6">
        <v>100</v>
      </c>
      <c r="U314" s="10">
        <f t="shared" si="8"/>
        <v>95</v>
      </c>
      <c r="V314" s="6">
        <v>1.5</v>
      </c>
      <c r="W314" s="8">
        <v>-3.980082822418213</v>
      </c>
      <c r="X314" s="8">
        <v>-30.593686511993408</v>
      </c>
      <c r="Y314" s="8">
        <f t="shared" si="9"/>
        <v>1.2469760673522963</v>
      </c>
    </row>
    <row r="315" spans="1:25" s="6" customFormat="1" x14ac:dyDescent="0.35">
      <c r="A315" s="6" t="s">
        <v>25</v>
      </c>
      <c r="B315" s="6" t="s">
        <v>1603</v>
      </c>
      <c r="D315" s="6" t="s">
        <v>3334</v>
      </c>
      <c r="E315" s="6">
        <v>3</v>
      </c>
      <c r="F315" s="6">
        <v>39</v>
      </c>
      <c r="G315" s="6" t="s">
        <v>210</v>
      </c>
      <c r="I315" s="8">
        <v>83.907985999999994</v>
      </c>
      <c r="J315" s="8">
        <v>18.352126999999999</v>
      </c>
      <c r="K315" s="6" t="s">
        <v>29</v>
      </c>
      <c r="L315" s="6" t="s">
        <v>546</v>
      </c>
      <c r="M315" s="9">
        <v>43955</v>
      </c>
      <c r="O315" s="6">
        <v>32</v>
      </c>
      <c r="P315" s="6" t="s">
        <v>4374</v>
      </c>
      <c r="R315" s="6">
        <v>100</v>
      </c>
      <c r="S315" s="6">
        <v>100</v>
      </c>
      <c r="T315" s="6">
        <v>110</v>
      </c>
      <c r="U315" s="10">
        <f t="shared" si="8"/>
        <v>105</v>
      </c>
      <c r="V315" s="6">
        <v>1.1000000000000001</v>
      </c>
      <c r="W315" s="8">
        <v>-3.9741181732177737</v>
      </c>
      <c r="X315" s="8">
        <v>-30.815024375915527</v>
      </c>
      <c r="Y315" s="8">
        <f t="shared" si="9"/>
        <v>0.97792100982666241</v>
      </c>
    </row>
    <row r="316" spans="1:25" s="6" customFormat="1" x14ac:dyDescent="0.35">
      <c r="A316" s="6" t="s">
        <v>25</v>
      </c>
      <c r="B316" s="6" t="s">
        <v>1604</v>
      </c>
      <c r="D316" s="6" t="s">
        <v>3334</v>
      </c>
      <c r="E316" s="6">
        <v>3</v>
      </c>
      <c r="F316" s="6">
        <v>39</v>
      </c>
      <c r="G316" s="6" t="s">
        <v>210</v>
      </c>
      <c r="I316" s="8">
        <v>83.907985999999994</v>
      </c>
      <c r="J316" s="8">
        <v>18.352126999999999</v>
      </c>
      <c r="K316" s="6" t="s">
        <v>29</v>
      </c>
      <c r="L316" s="6" t="s">
        <v>546</v>
      </c>
      <c r="M316" s="9">
        <v>43955</v>
      </c>
      <c r="O316" s="6">
        <v>32</v>
      </c>
      <c r="P316" s="6" t="s">
        <v>4374</v>
      </c>
      <c r="R316" s="6">
        <v>110</v>
      </c>
      <c r="S316" s="6">
        <v>110</v>
      </c>
      <c r="T316" s="6">
        <v>120</v>
      </c>
      <c r="U316" s="10">
        <f t="shared" si="8"/>
        <v>115</v>
      </c>
      <c r="V316" s="6">
        <v>1.6</v>
      </c>
      <c r="W316" s="8">
        <v>-3.4253836647033693</v>
      </c>
      <c r="X316" s="8">
        <v>-26.264373987197875</v>
      </c>
      <c r="Y316" s="8">
        <f t="shared" si="9"/>
        <v>1.1386953304290799</v>
      </c>
    </row>
    <row r="317" spans="1:25" s="6" customFormat="1" x14ac:dyDescent="0.35">
      <c r="A317" s="6" t="s">
        <v>25</v>
      </c>
      <c r="B317" s="6" t="s">
        <v>1605</v>
      </c>
      <c r="D317" s="6" t="s">
        <v>3334</v>
      </c>
      <c r="E317" s="6">
        <v>3</v>
      </c>
      <c r="F317" s="6">
        <v>39</v>
      </c>
      <c r="G317" s="6" t="s">
        <v>210</v>
      </c>
      <c r="I317" s="8">
        <v>83.907985999999994</v>
      </c>
      <c r="J317" s="8">
        <v>18.352126999999999</v>
      </c>
      <c r="K317" s="6" t="s">
        <v>29</v>
      </c>
      <c r="L317" s="6" t="s">
        <v>546</v>
      </c>
      <c r="M317" s="9">
        <v>43955</v>
      </c>
      <c r="O317" s="6">
        <v>32</v>
      </c>
      <c r="P317" s="6" t="s">
        <v>4374</v>
      </c>
      <c r="R317" s="6">
        <v>120</v>
      </c>
      <c r="S317" s="6">
        <v>120</v>
      </c>
      <c r="T317" s="6">
        <v>130</v>
      </c>
      <c r="U317" s="10">
        <f t="shared" si="8"/>
        <v>125</v>
      </c>
      <c r="V317" s="6">
        <v>1.5</v>
      </c>
      <c r="W317" s="8">
        <v>-3.4633030105590823</v>
      </c>
      <c r="X317" s="8">
        <v>-26.572802457809448</v>
      </c>
      <c r="Y317" s="8">
        <f t="shared" si="9"/>
        <v>1.13362162666321</v>
      </c>
    </row>
    <row r="318" spans="1:25" s="6" customFormat="1" x14ac:dyDescent="0.35">
      <c r="A318" s="6" t="s">
        <v>25</v>
      </c>
      <c r="B318" s="6" t="s">
        <v>1606</v>
      </c>
      <c r="D318" s="6" t="s">
        <v>3334</v>
      </c>
      <c r="E318" s="6">
        <v>3</v>
      </c>
      <c r="F318" s="6">
        <v>39</v>
      </c>
      <c r="G318" s="6" t="s">
        <v>210</v>
      </c>
      <c r="I318" s="8">
        <v>83.907985999999994</v>
      </c>
      <c r="J318" s="8">
        <v>18.352126999999999</v>
      </c>
      <c r="K318" s="6" t="s">
        <v>29</v>
      </c>
      <c r="L318" s="6" t="s">
        <v>546</v>
      </c>
      <c r="M318" s="9">
        <v>43955</v>
      </c>
      <c r="O318" s="6">
        <v>32</v>
      </c>
      <c r="P318" s="6" t="s">
        <v>4374</v>
      </c>
      <c r="R318" s="6">
        <v>130</v>
      </c>
      <c r="S318" s="6">
        <v>130</v>
      </c>
      <c r="T318" s="6">
        <v>140</v>
      </c>
      <c r="U318" s="10">
        <f t="shared" si="8"/>
        <v>135</v>
      </c>
      <c r="V318" s="6">
        <v>1.6</v>
      </c>
      <c r="W318" s="8">
        <v>-3.3119897412300108</v>
      </c>
      <c r="X318" s="8">
        <v>-25.8860205078125</v>
      </c>
      <c r="Y318" s="8">
        <f t="shared" si="9"/>
        <v>0.60989742202758634</v>
      </c>
    </row>
    <row r="319" spans="1:25" s="6" customFormat="1" x14ac:dyDescent="0.35">
      <c r="A319" s="6" t="s">
        <v>25</v>
      </c>
      <c r="B319" s="6" t="s">
        <v>1607</v>
      </c>
      <c r="D319" s="6" t="s">
        <v>3334</v>
      </c>
      <c r="E319" s="6">
        <v>3</v>
      </c>
      <c r="F319" s="6">
        <v>39</v>
      </c>
      <c r="G319" s="6" t="s">
        <v>210</v>
      </c>
      <c r="I319" s="8">
        <v>83.907985999999994</v>
      </c>
      <c r="J319" s="8">
        <v>18.352126999999999</v>
      </c>
      <c r="K319" s="6" t="s">
        <v>29</v>
      </c>
      <c r="L319" s="6" t="s">
        <v>546</v>
      </c>
      <c r="M319" s="9">
        <v>43955</v>
      </c>
      <c r="O319" s="6">
        <v>32</v>
      </c>
      <c r="P319" s="6" t="s">
        <v>4374</v>
      </c>
      <c r="R319" s="6">
        <v>140</v>
      </c>
      <c r="S319" s="6">
        <v>140</v>
      </c>
      <c r="T319" s="6">
        <v>150</v>
      </c>
      <c r="U319" s="10">
        <f t="shared" si="8"/>
        <v>145</v>
      </c>
      <c r="V319" s="6">
        <v>2.2000000000000002</v>
      </c>
      <c r="W319" s="8">
        <v>-3.1990173827648158</v>
      </c>
      <c r="X319" s="8">
        <v>-24.738910140991212</v>
      </c>
      <c r="Y319" s="8">
        <f t="shared" si="9"/>
        <v>0.85322892112731452</v>
      </c>
    </row>
    <row r="320" spans="1:25" s="6" customFormat="1" x14ac:dyDescent="0.35">
      <c r="A320" s="6" t="s">
        <v>25</v>
      </c>
      <c r="B320" s="6" t="s">
        <v>1608</v>
      </c>
      <c r="D320" s="6" t="s">
        <v>3334</v>
      </c>
      <c r="E320" s="6">
        <v>3</v>
      </c>
      <c r="F320" s="6">
        <v>39</v>
      </c>
      <c r="G320" s="6" t="s">
        <v>210</v>
      </c>
      <c r="I320" s="8">
        <v>83.907985999999994</v>
      </c>
      <c r="J320" s="8">
        <v>18.352126999999999</v>
      </c>
      <c r="K320" s="6" t="s">
        <v>29</v>
      </c>
      <c r="L320" s="6" t="s">
        <v>546</v>
      </c>
      <c r="M320" s="9">
        <v>43955</v>
      </c>
      <c r="O320" s="6">
        <v>32</v>
      </c>
      <c r="P320" s="6" t="s">
        <v>4374</v>
      </c>
      <c r="R320" s="6">
        <v>150</v>
      </c>
      <c r="S320" s="6">
        <v>150</v>
      </c>
      <c r="T320" s="6">
        <v>160</v>
      </c>
      <c r="U320" s="10">
        <f t="shared" si="8"/>
        <v>155</v>
      </c>
      <c r="V320" s="6">
        <v>1.6</v>
      </c>
      <c r="W320" s="8">
        <v>-3.7807063137531283</v>
      </c>
      <c r="X320" s="8">
        <v>-29.241790771484379</v>
      </c>
      <c r="Y320" s="8">
        <f t="shared" si="9"/>
        <v>1.0038597385406476</v>
      </c>
    </row>
    <row r="321" spans="1:25" s="6" customFormat="1" x14ac:dyDescent="0.35">
      <c r="A321" s="6" t="s">
        <v>25</v>
      </c>
      <c r="B321" s="6" t="s">
        <v>1609</v>
      </c>
      <c r="D321" s="6" t="s">
        <v>3334</v>
      </c>
      <c r="E321" s="6">
        <v>3</v>
      </c>
      <c r="F321" s="6">
        <v>39</v>
      </c>
      <c r="G321" s="6" t="s">
        <v>210</v>
      </c>
      <c r="I321" s="8">
        <v>83.907985999999994</v>
      </c>
      <c r="J321" s="8">
        <v>18.352126999999999</v>
      </c>
      <c r="K321" s="6" t="s">
        <v>29</v>
      </c>
      <c r="L321" s="6" t="s">
        <v>546</v>
      </c>
      <c r="M321" s="9">
        <v>43955</v>
      </c>
      <c r="O321" s="6">
        <v>32</v>
      </c>
      <c r="P321" s="6" t="s">
        <v>4374</v>
      </c>
      <c r="R321" s="6">
        <v>160</v>
      </c>
      <c r="S321" s="6">
        <v>160</v>
      </c>
      <c r="T321" s="6">
        <v>170</v>
      </c>
      <c r="U321" s="10">
        <f t="shared" si="8"/>
        <v>165</v>
      </c>
      <c r="V321" s="6">
        <v>1.7</v>
      </c>
      <c r="W321" s="8">
        <v>-3.707600378894806</v>
      </c>
      <c r="X321" s="8">
        <v>-28.751237487792967</v>
      </c>
      <c r="Y321" s="8">
        <f t="shared" si="9"/>
        <v>0.90956554336548123</v>
      </c>
    </row>
    <row r="322" spans="1:25" s="6" customFormat="1" x14ac:dyDescent="0.35">
      <c r="A322" s="6" t="s">
        <v>25</v>
      </c>
      <c r="B322" s="6" t="s">
        <v>1610</v>
      </c>
      <c r="D322" s="6" t="s">
        <v>3334</v>
      </c>
      <c r="E322" s="6">
        <v>3</v>
      </c>
      <c r="F322" s="6">
        <v>39</v>
      </c>
      <c r="G322" s="6" t="s">
        <v>210</v>
      </c>
      <c r="I322" s="8">
        <v>83.907985999999994</v>
      </c>
      <c r="J322" s="8">
        <v>18.352126999999999</v>
      </c>
      <c r="K322" s="6" t="s">
        <v>29</v>
      </c>
      <c r="L322" s="6" t="s">
        <v>546</v>
      </c>
      <c r="M322" s="9">
        <v>43955</v>
      </c>
      <c r="O322" s="6">
        <v>32</v>
      </c>
      <c r="P322" s="6" t="s">
        <v>4374</v>
      </c>
      <c r="R322" s="6">
        <v>170</v>
      </c>
      <c r="S322" s="6">
        <v>170</v>
      </c>
      <c r="T322" s="6">
        <v>180</v>
      </c>
      <c r="U322" s="10">
        <f t="shared" ref="U322:U385" si="10">AVERAGE(S322:T322)</f>
        <v>175</v>
      </c>
      <c r="V322" s="6">
        <v>2.1</v>
      </c>
      <c r="W322" s="8">
        <v>-2.7899547623634335</v>
      </c>
      <c r="X322" s="8">
        <v>-21.09764549255371</v>
      </c>
      <c r="Y322" s="8">
        <f t="shared" ref="Y322:Y385" si="11">X322-(8*W322)</f>
        <v>1.2219926063537585</v>
      </c>
    </row>
    <row r="323" spans="1:25" s="6" customFormat="1" x14ac:dyDescent="0.35">
      <c r="A323" s="6" t="s">
        <v>25</v>
      </c>
      <c r="B323" s="6" t="s">
        <v>1611</v>
      </c>
      <c r="D323" s="6" t="s">
        <v>3334</v>
      </c>
      <c r="E323" s="6">
        <v>3</v>
      </c>
      <c r="F323" s="6">
        <v>39</v>
      </c>
      <c r="G323" s="6" t="s">
        <v>210</v>
      </c>
      <c r="I323" s="8">
        <v>83.907985999999994</v>
      </c>
      <c r="J323" s="8">
        <v>18.352126999999999</v>
      </c>
      <c r="K323" s="6" t="s">
        <v>29</v>
      </c>
      <c r="L323" s="6" t="s">
        <v>546</v>
      </c>
      <c r="M323" s="9">
        <v>43955</v>
      </c>
      <c r="O323" s="6">
        <v>32</v>
      </c>
      <c r="P323" s="6" t="s">
        <v>4374</v>
      </c>
      <c r="R323" s="6">
        <v>180</v>
      </c>
      <c r="S323" s="6">
        <v>180</v>
      </c>
      <c r="T323" s="6">
        <v>190</v>
      </c>
      <c r="U323" s="10">
        <f t="shared" si="10"/>
        <v>185</v>
      </c>
      <c r="V323" s="6">
        <v>3.2</v>
      </c>
      <c r="W323" s="8">
        <v>-1.2547572063446044</v>
      </c>
      <c r="X323" s="8">
        <v>-9.4619642257690426</v>
      </c>
      <c r="Y323" s="8">
        <f t="shared" si="11"/>
        <v>0.5760934249877927</v>
      </c>
    </row>
    <row r="324" spans="1:25" s="6" customFormat="1" x14ac:dyDescent="0.35">
      <c r="A324" s="6" t="s">
        <v>25</v>
      </c>
      <c r="B324" s="6" t="s">
        <v>1612</v>
      </c>
      <c r="D324" s="6" t="s">
        <v>3334</v>
      </c>
      <c r="E324" s="6">
        <v>3</v>
      </c>
      <c r="F324" s="6">
        <v>39</v>
      </c>
      <c r="G324" s="6" t="s">
        <v>210</v>
      </c>
      <c r="I324" s="8">
        <v>83.907985999999994</v>
      </c>
      <c r="J324" s="8">
        <v>18.352126999999999</v>
      </c>
      <c r="K324" s="6" t="s">
        <v>29</v>
      </c>
      <c r="L324" s="6" t="s">
        <v>546</v>
      </c>
      <c r="M324" s="9">
        <v>43955</v>
      </c>
      <c r="O324" s="6">
        <v>32</v>
      </c>
      <c r="P324" s="6" t="s">
        <v>4374</v>
      </c>
      <c r="R324" s="6">
        <v>190</v>
      </c>
      <c r="S324" s="6">
        <v>190</v>
      </c>
      <c r="T324" s="6">
        <v>200</v>
      </c>
      <c r="U324" s="10">
        <f t="shared" si="10"/>
        <v>195</v>
      </c>
      <c r="V324" s="6">
        <v>4</v>
      </c>
      <c r="W324" s="8">
        <v>-0.67297081371545786</v>
      </c>
      <c r="X324" s="8">
        <v>-5.4092607212066648</v>
      </c>
      <c r="Y324" s="8">
        <f t="shared" si="11"/>
        <v>-2.5494211483001905E-2</v>
      </c>
    </row>
    <row r="325" spans="1:25" s="6" customFormat="1" x14ac:dyDescent="0.35">
      <c r="A325" s="6" t="s">
        <v>25</v>
      </c>
      <c r="B325" s="6" t="s">
        <v>1613</v>
      </c>
      <c r="D325" s="6" t="s">
        <v>3334</v>
      </c>
      <c r="E325" s="6">
        <v>3</v>
      </c>
      <c r="F325" s="6">
        <v>39</v>
      </c>
      <c r="G325" s="6" t="s">
        <v>210</v>
      </c>
      <c r="I325" s="8">
        <v>83.907985999999994</v>
      </c>
      <c r="J325" s="8">
        <v>18.352126999999999</v>
      </c>
      <c r="K325" s="6" t="s">
        <v>29</v>
      </c>
      <c r="L325" s="6" t="s">
        <v>546</v>
      </c>
      <c r="M325" s="9">
        <v>43955</v>
      </c>
      <c r="O325" s="6">
        <v>32</v>
      </c>
      <c r="P325" s="6" t="s">
        <v>4374</v>
      </c>
      <c r="R325" s="6">
        <v>200</v>
      </c>
      <c r="S325" s="6">
        <v>200</v>
      </c>
      <c r="T325" s="6">
        <v>210</v>
      </c>
      <c r="U325" s="10">
        <f t="shared" si="10"/>
        <v>205</v>
      </c>
      <c r="V325" s="6">
        <v>4.5</v>
      </c>
      <c r="W325" s="8">
        <v>8.9392231799660105E-3</v>
      </c>
      <c r="X325" s="8">
        <v>0.38378118455410037</v>
      </c>
      <c r="Y325" s="8">
        <f t="shared" si="11"/>
        <v>0.31226739911437229</v>
      </c>
    </row>
    <row r="326" spans="1:25" s="6" customFormat="1" x14ac:dyDescent="0.35">
      <c r="A326" s="6" t="s">
        <v>25</v>
      </c>
      <c r="B326" s="6" t="s">
        <v>1614</v>
      </c>
      <c r="D326" s="6" t="s">
        <v>3334</v>
      </c>
      <c r="E326" s="6">
        <v>3</v>
      </c>
      <c r="F326" s="6">
        <v>39</v>
      </c>
      <c r="G326" s="6" t="s">
        <v>210</v>
      </c>
      <c r="I326" s="8">
        <v>83.907985999999994</v>
      </c>
      <c r="J326" s="8">
        <v>18.352126999999999</v>
      </c>
      <c r="K326" s="6" t="s">
        <v>29</v>
      </c>
      <c r="L326" s="6" t="s">
        <v>546</v>
      </c>
      <c r="M326" s="9">
        <v>43955</v>
      </c>
      <c r="O326" s="6">
        <v>32</v>
      </c>
      <c r="P326" s="6" t="s">
        <v>4374</v>
      </c>
      <c r="R326" s="6">
        <v>210</v>
      </c>
      <c r="S326" s="6">
        <v>210</v>
      </c>
      <c r="T326" s="6">
        <v>220</v>
      </c>
      <c r="U326" s="10">
        <f t="shared" si="10"/>
        <v>215</v>
      </c>
      <c r="V326" s="6">
        <v>4.5</v>
      </c>
      <c r="W326" s="8">
        <v>0.13128040759116391</v>
      </c>
      <c r="X326" s="8">
        <v>1.3774546575546269</v>
      </c>
      <c r="Y326" s="8">
        <f t="shared" si="11"/>
        <v>0.32721139682531564</v>
      </c>
    </row>
    <row r="327" spans="1:25" s="6" customFormat="1" x14ac:dyDescent="0.35">
      <c r="A327" s="6" t="s">
        <v>25</v>
      </c>
      <c r="B327" s="6" t="s">
        <v>1615</v>
      </c>
      <c r="D327" s="6" t="s">
        <v>3334</v>
      </c>
      <c r="E327" s="6">
        <v>3</v>
      </c>
      <c r="F327" s="6">
        <v>39</v>
      </c>
      <c r="G327" s="6" t="s">
        <v>210</v>
      </c>
      <c r="I327" s="8">
        <v>83.907985999999994</v>
      </c>
      <c r="J327" s="8">
        <v>18.352126999999999</v>
      </c>
      <c r="K327" s="6" t="s">
        <v>29</v>
      </c>
      <c r="L327" s="6" t="s">
        <v>546</v>
      </c>
      <c r="M327" s="9">
        <v>43955</v>
      </c>
      <c r="O327" s="6">
        <v>32</v>
      </c>
      <c r="P327" s="6" t="s">
        <v>4374</v>
      </c>
      <c r="R327" s="6">
        <v>230</v>
      </c>
      <c r="S327" s="6">
        <v>220</v>
      </c>
      <c r="T327" s="6">
        <v>230</v>
      </c>
      <c r="U327" s="10">
        <f t="shared" si="10"/>
        <v>225</v>
      </c>
      <c r="V327" s="6">
        <v>4.4000000000000004</v>
      </c>
      <c r="W327" s="8">
        <v>0.44270571509599643</v>
      </c>
      <c r="X327" s="8">
        <v>3.3352518033981324</v>
      </c>
      <c r="Y327" s="8">
        <f t="shared" si="11"/>
        <v>-0.20639391736983903</v>
      </c>
    </row>
    <row r="328" spans="1:25" s="6" customFormat="1" x14ac:dyDescent="0.35">
      <c r="A328" s="6" t="s">
        <v>25</v>
      </c>
      <c r="B328" s="6" t="s">
        <v>1616</v>
      </c>
      <c r="D328" s="6" t="s">
        <v>3334</v>
      </c>
      <c r="E328" s="6">
        <v>3</v>
      </c>
      <c r="F328" s="6">
        <v>39</v>
      </c>
      <c r="G328" s="6" t="s">
        <v>210</v>
      </c>
      <c r="I328" s="8">
        <v>83.907985999999994</v>
      </c>
      <c r="J328" s="8">
        <v>18.352126999999999</v>
      </c>
      <c r="K328" s="6" t="s">
        <v>29</v>
      </c>
      <c r="L328" s="6" t="s">
        <v>546</v>
      </c>
      <c r="M328" s="9">
        <v>43955</v>
      </c>
      <c r="O328" s="6">
        <v>32</v>
      </c>
      <c r="P328" s="6" t="s">
        <v>4374</v>
      </c>
      <c r="S328" s="6">
        <v>230</v>
      </c>
      <c r="T328" s="6">
        <v>242</v>
      </c>
      <c r="U328" s="10">
        <f t="shared" si="10"/>
        <v>236</v>
      </c>
      <c r="V328" s="6">
        <v>5.5</v>
      </c>
      <c r="W328" s="8">
        <v>1.0657190407276154</v>
      </c>
      <c r="X328" s="8">
        <v>8.4892485046386721</v>
      </c>
      <c r="Y328" s="8">
        <f t="shared" si="11"/>
        <v>-3.6503821182250817E-2</v>
      </c>
    </row>
    <row r="329" spans="1:25" s="6" customFormat="1" x14ac:dyDescent="0.35">
      <c r="A329" s="6" t="s">
        <v>25</v>
      </c>
      <c r="B329" s="6" t="s">
        <v>1617</v>
      </c>
      <c r="D329" s="6" t="s">
        <v>3334</v>
      </c>
      <c r="E329" s="6">
        <v>3</v>
      </c>
      <c r="F329" s="6">
        <v>39</v>
      </c>
      <c r="G329" s="6" t="s">
        <v>210</v>
      </c>
      <c r="I329" s="8">
        <v>83.907985999999994</v>
      </c>
      <c r="J329" s="8">
        <v>18.352126999999999</v>
      </c>
      <c r="K329" s="6" t="s">
        <v>29</v>
      </c>
      <c r="L329" s="6" t="s">
        <v>546</v>
      </c>
      <c r="M329" s="9">
        <v>43955</v>
      </c>
      <c r="O329" s="6">
        <v>32</v>
      </c>
      <c r="P329" s="6" t="s">
        <v>4374</v>
      </c>
      <c r="R329" s="6">
        <v>242</v>
      </c>
      <c r="S329" s="6">
        <v>242</v>
      </c>
      <c r="T329" s="6">
        <v>259</v>
      </c>
      <c r="U329" s="10">
        <f t="shared" si="10"/>
        <v>250.5</v>
      </c>
      <c r="V329" s="6">
        <v>5.0999999999999996</v>
      </c>
      <c r="W329" s="8">
        <v>1.4448763323783869</v>
      </c>
      <c r="X329" s="8">
        <v>11.576089248657226</v>
      </c>
      <c r="Y329" s="8">
        <f t="shared" si="11"/>
        <v>1.7078589630131091E-2</v>
      </c>
    </row>
    <row r="330" spans="1:25" s="6" customFormat="1" x14ac:dyDescent="0.35">
      <c r="A330" s="6" t="s">
        <v>25</v>
      </c>
      <c r="B330" s="7" t="s">
        <v>1823</v>
      </c>
      <c r="D330" s="6" t="s">
        <v>1824</v>
      </c>
      <c r="E330" s="6">
        <v>4</v>
      </c>
      <c r="F330" s="6">
        <v>45</v>
      </c>
      <c r="G330" s="6" t="s">
        <v>546</v>
      </c>
      <c r="I330" s="8">
        <v>81.7891400694444</v>
      </c>
      <c r="J330" s="8">
        <v>8.92411722222222</v>
      </c>
      <c r="K330" s="6" t="s">
        <v>29</v>
      </c>
      <c r="L330" s="6" t="s">
        <v>546</v>
      </c>
      <c r="M330" s="9">
        <v>44012</v>
      </c>
      <c r="O330" s="6">
        <v>40</v>
      </c>
      <c r="P330" s="6" t="s">
        <v>4406</v>
      </c>
      <c r="R330" s="10" t="s">
        <v>1683</v>
      </c>
      <c r="S330" s="10">
        <v>0</v>
      </c>
      <c r="T330" s="10">
        <v>5</v>
      </c>
      <c r="U330" s="10">
        <f t="shared" si="10"/>
        <v>2.5</v>
      </c>
      <c r="V330" s="11"/>
      <c r="W330" s="8">
        <v>-10.690566375923156</v>
      </c>
      <c r="X330" s="8">
        <v>-82.438265472412098</v>
      </c>
      <c r="Y330" s="8">
        <f t="shared" si="11"/>
        <v>3.0862655349731511</v>
      </c>
    </row>
    <row r="331" spans="1:25" s="6" customFormat="1" x14ac:dyDescent="0.35">
      <c r="A331" s="6" t="s">
        <v>25</v>
      </c>
      <c r="B331" s="7" t="s">
        <v>1815</v>
      </c>
      <c r="D331" s="6" t="s">
        <v>1816</v>
      </c>
      <c r="E331" s="6">
        <v>4</v>
      </c>
      <c r="F331" s="6">
        <v>45</v>
      </c>
      <c r="G331" s="6" t="s">
        <v>546</v>
      </c>
      <c r="I331" s="8">
        <v>81.7891400694444</v>
      </c>
      <c r="J331" s="8">
        <v>8.92411722222222</v>
      </c>
      <c r="K331" s="6" t="s">
        <v>29</v>
      </c>
      <c r="L331" s="6" t="s">
        <v>546</v>
      </c>
      <c r="M331" s="9">
        <v>44012</v>
      </c>
      <c r="O331" s="6">
        <v>40</v>
      </c>
      <c r="P331" s="6" t="s">
        <v>4406</v>
      </c>
      <c r="R331" s="10" t="s">
        <v>1817</v>
      </c>
      <c r="S331" s="10">
        <v>9</v>
      </c>
      <c r="T331" s="10">
        <v>14</v>
      </c>
      <c r="U331" s="10">
        <f t="shared" si="10"/>
        <v>11.5</v>
      </c>
      <c r="V331" s="11"/>
      <c r="W331" s="8">
        <v>-9.2262857467651358</v>
      </c>
      <c r="X331" s="8">
        <v>-71.211079170227052</v>
      </c>
      <c r="Y331" s="8">
        <f t="shared" si="11"/>
        <v>2.5992068038940346</v>
      </c>
    </row>
    <row r="332" spans="1:25" s="6" customFormat="1" x14ac:dyDescent="0.35">
      <c r="A332" s="6" t="s">
        <v>25</v>
      </c>
      <c r="B332" s="7" t="s">
        <v>1803</v>
      </c>
      <c r="D332" s="6" t="s">
        <v>1804</v>
      </c>
      <c r="E332" s="6">
        <v>4</v>
      </c>
      <c r="F332" s="6">
        <v>45</v>
      </c>
      <c r="G332" s="6" t="s">
        <v>546</v>
      </c>
      <c r="I332" s="8">
        <v>81.7891400694444</v>
      </c>
      <c r="J332" s="8">
        <v>8.92411722222222</v>
      </c>
      <c r="K332" s="6" t="s">
        <v>29</v>
      </c>
      <c r="L332" s="6" t="s">
        <v>546</v>
      </c>
      <c r="M332" s="9">
        <v>44012</v>
      </c>
      <c r="O332" s="6">
        <v>40</v>
      </c>
      <c r="P332" s="6" t="s">
        <v>4406</v>
      </c>
      <c r="R332" s="10" t="s">
        <v>1805</v>
      </c>
      <c r="S332" s="10">
        <v>14</v>
      </c>
      <c r="T332" s="10">
        <v>19</v>
      </c>
      <c r="U332" s="10">
        <f t="shared" si="10"/>
        <v>16.5</v>
      </c>
      <c r="V332" s="11"/>
      <c r="W332" s="8">
        <v>-9.1936010767936693</v>
      </c>
      <c r="X332" s="8">
        <v>-70.437038269042972</v>
      </c>
      <c r="Y332" s="8">
        <f t="shared" si="11"/>
        <v>3.1117703453063825</v>
      </c>
    </row>
    <row r="333" spans="1:25" s="6" customFormat="1" x14ac:dyDescent="0.35">
      <c r="A333" s="6" t="s">
        <v>25</v>
      </c>
      <c r="B333" s="7" t="s">
        <v>1825</v>
      </c>
      <c r="D333" s="6" t="s">
        <v>1826</v>
      </c>
      <c r="E333" s="6">
        <v>4</v>
      </c>
      <c r="F333" s="6">
        <v>45</v>
      </c>
      <c r="G333" s="6" t="s">
        <v>546</v>
      </c>
      <c r="I333" s="8">
        <v>81.7891400694444</v>
      </c>
      <c r="J333" s="8">
        <v>8.92411722222222</v>
      </c>
      <c r="K333" s="6" t="s">
        <v>29</v>
      </c>
      <c r="L333" s="6" t="s">
        <v>546</v>
      </c>
      <c r="M333" s="9">
        <v>44012</v>
      </c>
      <c r="O333" s="6">
        <v>40</v>
      </c>
      <c r="P333" s="6" t="s">
        <v>4406</v>
      </c>
      <c r="R333" s="10" t="s">
        <v>1827</v>
      </c>
      <c r="S333" s="10">
        <v>19</v>
      </c>
      <c r="T333" s="10">
        <v>24</v>
      </c>
      <c r="U333" s="10">
        <f t="shared" si="10"/>
        <v>21.5</v>
      </c>
      <c r="V333" s="11"/>
      <c r="W333" s="8">
        <v>-8.8625796539306645</v>
      </c>
      <c r="X333" s="8">
        <v>-68.175235031127926</v>
      </c>
      <c r="Y333" s="8">
        <f t="shared" si="11"/>
        <v>2.7254022003173901</v>
      </c>
    </row>
    <row r="334" spans="1:25" s="6" customFormat="1" x14ac:dyDescent="0.35">
      <c r="A334" s="6" t="s">
        <v>25</v>
      </c>
      <c r="B334" s="7" t="s">
        <v>1809</v>
      </c>
      <c r="D334" s="6" t="s">
        <v>1810</v>
      </c>
      <c r="E334" s="6">
        <v>4</v>
      </c>
      <c r="F334" s="6">
        <v>45</v>
      </c>
      <c r="G334" s="6" t="s">
        <v>546</v>
      </c>
      <c r="I334" s="8">
        <v>81.7891400694444</v>
      </c>
      <c r="J334" s="8">
        <v>8.92411722222222</v>
      </c>
      <c r="K334" s="6" t="s">
        <v>29</v>
      </c>
      <c r="L334" s="6" t="s">
        <v>546</v>
      </c>
      <c r="M334" s="9">
        <v>44012</v>
      </c>
      <c r="O334" s="6">
        <v>40</v>
      </c>
      <c r="P334" s="6" t="s">
        <v>4406</v>
      </c>
      <c r="R334" s="10" t="s">
        <v>1811</v>
      </c>
      <c r="S334" s="10">
        <v>24</v>
      </c>
      <c r="T334" s="10">
        <v>29</v>
      </c>
      <c r="U334" s="10">
        <f t="shared" si="10"/>
        <v>26.5</v>
      </c>
      <c r="V334" s="11"/>
      <c r="W334" s="8">
        <v>-7.1032555605888366</v>
      </c>
      <c r="X334" s="8">
        <v>-55.882552864074704</v>
      </c>
      <c r="Y334" s="8">
        <f t="shared" si="11"/>
        <v>0.94349162063598868</v>
      </c>
    </row>
    <row r="335" spans="1:25" s="6" customFormat="1" x14ac:dyDescent="0.35">
      <c r="A335" s="6" t="s">
        <v>25</v>
      </c>
      <c r="B335" s="7" t="s">
        <v>1828</v>
      </c>
      <c r="D335" s="6" t="s">
        <v>1829</v>
      </c>
      <c r="E335" s="6">
        <v>4</v>
      </c>
      <c r="F335" s="6">
        <v>45</v>
      </c>
      <c r="G335" s="6" t="s">
        <v>546</v>
      </c>
      <c r="I335" s="8">
        <v>81.7891400694444</v>
      </c>
      <c r="J335" s="8">
        <v>8.92411722222222</v>
      </c>
      <c r="K335" s="6" t="s">
        <v>29</v>
      </c>
      <c r="L335" s="6" t="s">
        <v>546</v>
      </c>
      <c r="M335" s="9">
        <v>44012</v>
      </c>
      <c r="O335" s="6">
        <v>40</v>
      </c>
      <c r="P335" s="6" t="s">
        <v>4406</v>
      </c>
      <c r="R335" s="10" t="s">
        <v>1830</v>
      </c>
      <c r="S335" s="10">
        <v>29</v>
      </c>
      <c r="T335" s="10">
        <v>34</v>
      </c>
      <c r="U335" s="10">
        <f t="shared" si="10"/>
        <v>31.5</v>
      </c>
      <c r="V335" s="11"/>
      <c r="W335" s="8">
        <v>-5.3081027371406551</v>
      </c>
      <c r="X335" s="8">
        <v>-41.380745624542236</v>
      </c>
      <c r="Y335" s="8">
        <f t="shared" si="11"/>
        <v>1.0840762725830047</v>
      </c>
    </row>
    <row r="336" spans="1:25" s="6" customFormat="1" x14ac:dyDescent="0.35">
      <c r="A336" s="6" t="s">
        <v>25</v>
      </c>
      <c r="B336" s="7" t="s">
        <v>1818</v>
      </c>
      <c r="D336" s="6" t="s">
        <v>1819</v>
      </c>
      <c r="E336" s="6">
        <v>4</v>
      </c>
      <c r="F336" s="6">
        <v>45</v>
      </c>
      <c r="G336" s="6" t="s">
        <v>546</v>
      </c>
      <c r="I336" s="8">
        <v>81.7891400694444</v>
      </c>
      <c r="J336" s="8">
        <v>8.92411722222222</v>
      </c>
      <c r="K336" s="6" t="s">
        <v>29</v>
      </c>
      <c r="L336" s="6" t="s">
        <v>546</v>
      </c>
      <c r="M336" s="9">
        <v>44012</v>
      </c>
      <c r="O336" s="6">
        <v>40</v>
      </c>
      <c r="P336" s="6" t="s">
        <v>4406</v>
      </c>
      <c r="R336" s="10" t="s">
        <v>1820</v>
      </c>
      <c r="S336" s="10">
        <v>34</v>
      </c>
      <c r="T336" s="10">
        <v>39</v>
      </c>
      <c r="U336" s="10">
        <f t="shared" si="10"/>
        <v>36.5</v>
      </c>
      <c r="V336" s="11"/>
      <c r="W336" s="8">
        <v>-4.9588408519744878</v>
      </c>
      <c r="X336" s="8">
        <v>-40.551637691497803</v>
      </c>
      <c r="Y336" s="8">
        <f t="shared" si="11"/>
        <v>-0.88091087570190041</v>
      </c>
    </row>
    <row r="337" spans="1:25" s="6" customFormat="1" x14ac:dyDescent="0.35">
      <c r="A337" s="6" t="s">
        <v>25</v>
      </c>
      <c r="B337" s="7" t="s">
        <v>1806</v>
      </c>
      <c r="D337" s="6" t="s">
        <v>1807</v>
      </c>
      <c r="E337" s="6">
        <v>4</v>
      </c>
      <c r="F337" s="6">
        <v>45</v>
      </c>
      <c r="G337" s="6" t="s">
        <v>546</v>
      </c>
      <c r="I337" s="8">
        <v>81.7891400694444</v>
      </c>
      <c r="J337" s="8">
        <v>8.92411722222222</v>
      </c>
      <c r="K337" s="6" t="s">
        <v>29</v>
      </c>
      <c r="L337" s="6" t="s">
        <v>546</v>
      </c>
      <c r="M337" s="9">
        <v>44012</v>
      </c>
      <c r="O337" s="6">
        <v>40</v>
      </c>
      <c r="P337" s="6" t="s">
        <v>4406</v>
      </c>
      <c r="R337" s="10" t="s">
        <v>1808</v>
      </c>
      <c r="S337" s="10">
        <v>39</v>
      </c>
      <c r="T337" s="10">
        <v>44</v>
      </c>
      <c r="U337" s="10">
        <f t="shared" si="10"/>
        <v>41.5</v>
      </c>
      <c r="V337" s="11"/>
      <c r="W337" s="8">
        <v>-4.9636914677619934</v>
      </c>
      <c r="X337" s="8">
        <v>-39.426866437911983</v>
      </c>
      <c r="Y337" s="8">
        <f t="shared" si="11"/>
        <v>0.28266530418396485</v>
      </c>
    </row>
    <row r="338" spans="1:25" s="6" customFormat="1" x14ac:dyDescent="0.35">
      <c r="A338" s="6" t="s">
        <v>25</v>
      </c>
      <c r="B338" s="7" t="s">
        <v>1812</v>
      </c>
      <c r="D338" s="6" t="s">
        <v>1813</v>
      </c>
      <c r="E338" s="6">
        <v>4</v>
      </c>
      <c r="F338" s="6">
        <v>45</v>
      </c>
      <c r="G338" s="6" t="s">
        <v>546</v>
      </c>
      <c r="I338" s="8">
        <v>81.7891400694444</v>
      </c>
      <c r="J338" s="8">
        <v>8.92411722222222</v>
      </c>
      <c r="K338" s="6" t="s">
        <v>29</v>
      </c>
      <c r="L338" s="6" t="s">
        <v>546</v>
      </c>
      <c r="M338" s="9">
        <v>44012</v>
      </c>
      <c r="O338" s="6">
        <v>40</v>
      </c>
      <c r="P338" s="6" t="s">
        <v>4406</v>
      </c>
      <c r="R338" s="10" t="s">
        <v>1814</v>
      </c>
      <c r="S338" s="10">
        <v>44</v>
      </c>
      <c r="T338" s="10">
        <v>49</v>
      </c>
      <c r="U338" s="10">
        <f t="shared" si="10"/>
        <v>46.5</v>
      </c>
      <c r="V338" s="11"/>
      <c r="W338" s="8">
        <v>-5.0198392698287968</v>
      </c>
      <c r="X338" s="8">
        <v>-40.047309589385989</v>
      </c>
      <c r="Y338" s="8">
        <f t="shared" si="11"/>
        <v>0.11140456924438524</v>
      </c>
    </row>
    <row r="339" spans="1:25" s="6" customFormat="1" x14ac:dyDescent="0.35">
      <c r="A339" s="6" t="s">
        <v>25</v>
      </c>
      <c r="B339" s="7" t="s">
        <v>1831</v>
      </c>
      <c r="D339" s="6" t="s">
        <v>1832</v>
      </c>
      <c r="E339" s="6">
        <v>4</v>
      </c>
      <c r="F339" s="6">
        <v>45</v>
      </c>
      <c r="G339" s="6" t="s">
        <v>546</v>
      </c>
      <c r="I339" s="8">
        <v>81.7891400694444</v>
      </c>
      <c r="J339" s="8">
        <v>8.92411722222222</v>
      </c>
      <c r="K339" s="6" t="s">
        <v>29</v>
      </c>
      <c r="L339" s="6" t="s">
        <v>546</v>
      </c>
      <c r="M339" s="9">
        <v>44012</v>
      </c>
      <c r="O339" s="6">
        <v>40</v>
      </c>
      <c r="P339" s="6" t="s">
        <v>4406</v>
      </c>
      <c r="R339" s="10" t="s">
        <v>1833</v>
      </c>
      <c r="S339" s="10">
        <v>54</v>
      </c>
      <c r="T339" s="10">
        <v>59</v>
      </c>
      <c r="U339" s="10">
        <f t="shared" si="10"/>
        <v>56.5</v>
      </c>
      <c r="V339" s="11"/>
      <c r="W339" s="8">
        <v>-5.2336333457946784</v>
      </c>
      <c r="X339" s="8">
        <v>-40.276393802642815</v>
      </c>
      <c r="Y339" s="8">
        <f t="shared" si="11"/>
        <v>1.5926729637146124</v>
      </c>
    </row>
    <row r="340" spans="1:25" s="6" customFormat="1" x14ac:dyDescent="0.35">
      <c r="A340" s="6" t="s">
        <v>25</v>
      </c>
      <c r="B340" s="7" t="s">
        <v>1843</v>
      </c>
      <c r="D340" s="6" t="s">
        <v>1844</v>
      </c>
      <c r="E340" s="6">
        <v>4</v>
      </c>
      <c r="F340" s="6">
        <v>45</v>
      </c>
      <c r="G340" s="6" t="s">
        <v>546</v>
      </c>
      <c r="I340" s="8">
        <v>81.7891400694444</v>
      </c>
      <c r="J340" s="8">
        <v>8.92411722222222</v>
      </c>
      <c r="K340" s="6" t="s">
        <v>29</v>
      </c>
      <c r="L340" s="6" t="s">
        <v>546</v>
      </c>
      <c r="M340" s="9">
        <v>44012</v>
      </c>
      <c r="O340" s="6">
        <v>40</v>
      </c>
      <c r="P340" s="6" t="s">
        <v>4406</v>
      </c>
      <c r="R340" s="10" t="s">
        <v>1845</v>
      </c>
      <c r="S340" s="10">
        <v>59</v>
      </c>
      <c r="T340" s="10">
        <v>64</v>
      </c>
      <c r="U340" s="10">
        <f t="shared" si="10"/>
        <v>61.5</v>
      </c>
      <c r="V340" s="11"/>
      <c r="W340" s="8">
        <v>-5.1682314540863041</v>
      </c>
      <c r="X340" s="8">
        <v>-41.049667053222656</v>
      </c>
      <c r="Y340" s="8">
        <f t="shared" si="11"/>
        <v>0.2961845794677771</v>
      </c>
    </row>
    <row r="341" spans="1:25" s="6" customFormat="1" x14ac:dyDescent="0.35">
      <c r="A341" s="6" t="s">
        <v>25</v>
      </c>
      <c r="B341" s="7" t="s">
        <v>1794</v>
      </c>
      <c r="D341" s="6" t="s">
        <v>1795</v>
      </c>
      <c r="E341" s="6">
        <v>4</v>
      </c>
      <c r="F341" s="6">
        <v>45</v>
      </c>
      <c r="G341" s="6" t="s">
        <v>546</v>
      </c>
      <c r="I341" s="8">
        <v>81.7891400694444</v>
      </c>
      <c r="J341" s="8">
        <v>8.92411722222222</v>
      </c>
      <c r="K341" s="6" t="s">
        <v>29</v>
      </c>
      <c r="L341" s="6" t="s">
        <v>546</v>
      </c>
      <c r="M341" s="9">
        <v>44012</v>
      </c>
      <c r="O341" s="6">
        <v>40</v>
      </c>
      <c r="P341" s="6" t="s">
        <v>4406</v>
      </c>
      <c r="R341" s="10" t="s">
        <v>1796</v>
      </c>
      <c r="S341" s="10">
        <v>64</v>
      </c>
      <c r="T341" s="10">
        <v>69</v>
      </c>
      <c r="U341" s="10">
        <f t="shared" si="10"/>
        <v>66.5</v>
      </c>
      <c r="V341" s="11"/>
      <c r="W341" s="8">
        <v>-5.3402275595188149</v>
      </c>
      <c r="X341" s="8">
        <v>-41.078607913970941</v>
      </c>
      <c r="Y341" s="8">
        <f t="shared" si="11"/>
        <v>1.6432125621795777</v>
      </c>
    </row>
    <row r="342" spans="1:25" s="6" customFormat="1" x14ac:dyDescent="0.35">
      <c r="A342" s="6" t="s">
        <v>25</v>
      </c>
      <c r="B342" s="7" t="s">
        <v>1800</v>
      </c>
      <c r="D342" s="6" t="s">
        <v>1801</v>
      </c>
      <c r="E342" s="6">
        <v>4</v>
      </c>
      <c r="F342" s="6">
        <v>45</v>
      </c>
      <c r="G342" s="6" t="s">
        <v>546</v>
      </c>
      <c r="I342" s="8">
        <v>81.7891400694444</v>
      </c>
      <c r="J342" s="8">
        <v>8.92411722222222</v>
      </c>
      <c r="K342" s="6" t="s">
        <v>29</v>
      </c>
      <c r="L342" s="6" t="s">
        <v>546</v>
      </c>
      <c r="M342" s="9">
        <v>44012</v>
      </c>
      <c r="O342" s="6">
        <v>40</v>
      </c>
      <c r="P342" s="6" t="s">
        <v>4406</v>
      </c>
      <c r="R342" s="10" t="s">
        <v>1802</v>
      </c>
      <c r="S342" s="10">
        <v>69</v>
      </c>
      <c r="T342" s="10">
        <v>74</v>
      </c>
      <c r="U342" s="10">
        <f t="shared" si="10"/>
        <v>71.5</v>
      </c>
      <c r="V342" s="11"/>
      <c r="W342" s="8">
        <v>-5.4024456746101386</v>
      </c>
      <c r="X342" s="8">
        <v>-43.28871069335937</v>
      </c>
      <c r="Y342" s="8">
        <f t="shared" si="11"/>
        <v>-6.9145296478261287E-2</v>
      </c>
    </row>
    <row r="343" spans="1:25" s="6" customFormat="1" x14ac:dyDescent="0.35">
      <c r="A343" s="6" t="s">
        <v>25</v>
      </c>
      <c r="B343" s="7" t="s">
        <v>1797</v>
      </c>
      <c r="D343" s="6" t="s">
        <v>1798</v>
      </c>
      <c r="E343" s="6">
        <v>4</v>
      </c>
      <c r="F343" s="6">
        <v>45</v>
      </c>
      <c r="G343" s="6" t="s">
        <v>546</v>
      </c>
      <c r="I343" s="8">
        <v>81.7891400694444</v>
      </c>
      <c r="J343" s="8">
        <v>8.92411722222222</v>
      </c>
      <c r="K343" s="6" t="s">
        <v>29</v>
      </c>
      <c r="L343" s="6" t="s">
        <v>546</v>
      </c>
      <c r="M343" s="9">
        <v>44012</v>
      </c>
      <c r="O343" s="6">
        <v>40</v>
      </c>
      <c r="P343" s="6" t="s">
        <v>4406</v>
      </c>
      <c r="R343" s="10" t="s">
        <v>1799</v>
      </c>
      <c r="S343" s="10">
        <v>74</v>
      </c>
      <c r="T343" s="10">
        <v>79</v>
      </c>
      <c r="U343" s="10">
        <f t="shared" si="10"/>
        <v>76.5</v>
      </c>
      <c r="V343" s="11"/>
      <c r="W343" s="8">
        <v>-5.6491936902523054</v>
      </c>
      <c r="X343" s="8">
        <v>-43.666880031585691</v>
      </c>
      <c r="Y343" s="8">
        <f t="shared" si="11"/>
        <v>1.5266694904327522</v>
      </c>
    </row>
    <row r="344" spans="1:25" s="6" customFormat="1" x14ac:dyDescent="0.35">
      <c r="A344" s="6" t="s">
        <v>25</v>
      </c>
      <c r="B344" s="7" t="s">
        <v>1791</v>
      </c>
      <c r="D344" s="6" t="s">
        <v>1792</v>
      </c>
      <c r="E344" s="6">
        <v>4</v>
      </c>
      <c r="F344" s="6">
        <v>45</v>
      </c>
      <c r="G344" s="6" t="s">
        <v>546</v>
      </c>
      <c r="I344" s="8">
        <v>81.7891400694444</v>
      </c>
      <c r="J344" s="8">
        <v>8.92411722222222</v>
      </c>
      <c r="K344" s="6" t="s">
        <v>29</v>
      </c>
      <c r="L344" s="6" t="s">
        <v>546</v>
      </c>
      <c r="M344" s="9">
        <v>44012</v>
      </c>
      <c r="O344" s="6">
        <v>40</v>
      </c>
      <c r="P344" s="6" t="s">
        <v>4406</v>
      </c>
      <c r="R344" s="10" t="s">
        <v>1793</v>
      </c>
      <c r="S344" s="10">
        <v>79</v>
      </c>
      <c r="T344" s="10">
        <v>84</v>
      </c>
      <c r="U344" s="10">
        <f t="shared" si="10"/>
        <v>81.5</v>
      </c>
      <c r="V344" s="11"/>
      <c r="W344" s="8">
        <v>-5.7743524709701539</v>
      </c>
      <c r="X344" s="8">
        <v>-44.285920627593988</v>
      </c>
      <c r="Y344" s="8">
        <f t="shared" si="11"/>
        <v>1.908899140167243</v>
      </c>
    </row>
    <row r="345" spans="1:25" s="6" customFormat="1" x14ac:dyDescent="0.35">
      <c r="A345" s="6" t="s">
        <v>25</v>
      </c>
      <c r="B345" s="7" t="s">
        <v>1840</v>
      </c>
      <c r="D345" s="6" t="s">
        <v>1841</v>
      </c>
      <c r="E345" s="6">
        <v>4</v>
      </c>
      <c r="F345" s="6">
        <v>45</v>
      </c>
      <c r="G345" s="6" t="s">
        <v>546</v>
      </c>
      <c r="I345" s="8">
        <v>81.7891400694444</v>
      </c>
      <c r="J345" s="8">
        <v>8.92411722222222</v>
      </c>
      <c r="K345" s="6" t="s">
        <v>29</v>
      </c>
      <c r="L345" s="6" t="s">
        <v>546</v>
      </c>
      <c r="M345" s="9">
        <v>44012</v>
      </c>
      <c r="O345" s="6">
        <v>40</v>
      </c>
      <c r="P345" s="6" t="s">
        <v>4406</v>
      </c>
      <c r="R345" s="10" t="s">
        <v>1842</v>
      </c>
      <c r="S345" s="10">
        <v>84</v>
      </c>
      <c r="T345" s="10">
        <v>89</v>
      </c>
      <c r="U345" s="10">
        <f t="shared" si="10"/>
        <v>86.5</v>
      </c>
      <c r="V345" s="11"/>
      <c r="W345" s="8">
        <v>-6.0007020597457892</v>
      </c>
      <c r="X345" s="8">
        <v>-46.804502614339192</v>
      </c>
      <c r="Y345" s="8">
        <f t="shared" si="11"/>
        <v>1.2011138636271212</v>
      </c>
    </row>
    <row r="346" spans="1:25" s="6" customFormat="1" x14ac:dyDescent="0.35">
      <c r="A346" s="6" t="s">
        <v>25</v>
      </c>
      <c r="B346" s="7" t="s">
        <v>1846</v>
      </c>
      <c r="D346" s="6" t="s">
        <v>1847</v>
      </c>
      <c r="E346" s="6">
        <v>4</v>
      </c>
      <c r="F346" s="6">
        <v>45</v>
      </c>
      <c r="G346" s="6" t="s">
        <v>546</v>
      </c>
      <c r="I346" s="8">
        <v>81.7891400694444</v>
      </c>
      <c r="J346" s="8">
        <v>8.92411722222222</v>
      </c>
      <c r="K346" s="6" t="s">
        <v>29</v>
      </c>
      <c r="L346" s="6" t="s">
        <v>546</v>
      </c>
      <c r="M346" s="9">
        <v>44012</v>
      </c>
      <c r="O346" s="6">
        <v>40</v>
      </c>
      <c r="P346" s="6" t="s">
        <v>4406</v>
      </c>
      <c r="R346" s="10" t="s">
        <v>1848</v>
      </c>
      <c r="S346" s="10">
        <v>89</v>
      </c>
      <c r="T346" s="10">
        <v>94</v>
      </c>
      <c r="U346" s="10">
        <f t="shared" si="10"/>
        <v>91.5</v>
      </c>
      <c r="V346" s="11"/>
      <c r="W346" s="8">
        <v>-6.2861457640647895</v>
      </c>
      <c r="X346" s="8">
        <v>-48.957598312377932</v>
      </c>
      <c r="Y346" s="8">
        <f t="shared" si="11"/>
        <v>1.3315678001403839</v>
      </c>
    </row>
    <row r="347" spans="1:25" s="6" customFormat="1" x14ac:dyDescent="0.35">
      <c r="A347" s="6" t="s">
        <v>25</v>
      </c>
      <c r="B347" s="7" t="s">
        <v>1834</v>
      </c>
      <c r="D347" s="6" t="s">
        <v>1835</v>
      </c>
      <c r="E347" s="6">
        <v>4</v>
      </c>
      <c r="F347" s="6">
        <v>45</v>
      </c>
      <c r="G347" s="6" t="s">
        <v>546</v>
      </c>
      <c r="I347" s="8">
        <v>81.7891400694444</v>
      </c>
      <c r="J347" s="8">
        <v>8.92411722222222</v>
      </c>
      <c r="K347" s="6" t="s">
        <v>29</v>
      </c>
      <c r="L347" s="6" t="s">
        <v>546</v>
      </c>
      <c r="M347" s="9">
        <v>44012</v>
      </c>
      <c r="O347" s="6">
        <v>40</v>
      </c>
      <c r="P347" s="6" t="s">
        <v>4406</v>
      </c>
      <c r="R347" s="10" t="s">
        <v>1836</v>
      </c>
      <c r="S347" s="10">
        <v>94</v>
      </c>
      <c r="T347" s="10">
        <v>99</v>
      </c>
      <c r="U347" s="10">
        <f t="shared" si="10"/>
        <v>96.5</v>
      </c>
      <c r="V347" s="11"/>
      <c r="W347" s="8">
        <v>-6.5165878812789924</v>
      </c>
      <c r="X347" s="8">
        <v>-50.285937885284426</v>
      </c>
      <c r="Y347" s="8">
        <f t="shared" si="11"/>
        <v>1.846765164947513</v>
      </c>
    </row>
    <row r="348" spans="1:25" s="6" customFormat="1" x14ac:dyDescent="0.35">
      <c r="A348" s="6" t="s">
        <v>25</v>
      </c>
      <c r="B348" s="7" t="s">
        <v>1875</v>
      </c>
      <c r="D348" s="6" t="s">
        <v>1876</v>
      </c>
      <c r="E348" s="6">
        <v>4</v>
      </c>
      <c r="F348" s="6">
        <v>45</v>
      </c>
      <c r="G348" s="6" t="s">
        <v>546</v>
      </c>
      <c r="I348" s="8">
        <v>81.7891400694444</v>
      </c>
      <c r="J348" s="8">
        <v>8.92411722222222</v>
      </c>
      <c r="K348" s="6" t="s">
        <v>29</v>
      </c>
      <c r="L348" s="6" t="s">
        <v>546</v>
      </c>
      <c r="M348" s="9">
        <v>44012</v>
      </c>
      <c r="O348" s="6">
        <v>40</v>
      </c>
      <c r="P348" s="6" t="s">
        <v>4406</v>
      </c>
      <c r="R348" s="10" t="s">
        <v>1877</v>
      </c>
      <c r="S348" s="10">
        <v>99</v>
      </c>
      <c r="T348" s="10">
        <v>104</v>
      </c>
      <c r="U348" s="10">
        <f t="shared" si="10"/>
        <v>101.5</v>
      </c>
      <c r="V348" s="11"/>
      <c r="W348" s="8">
        <v>-6.6188150463104254</v>
      </c>
      <c r="X348" s="8">
        <v>-50.081868888854977</v>
      </c>
      <c r="Y348" s="8">
        <f t="shared" si="11"/>
        <v>2.8686514816284259</v>
      </c>
    </row>
    <row r="349" spans="1:25" s="6" customFormat="1" x14ac:dyDescent="0.35">
      <c r="A349" s="6" t="s">
        <v>25</v>
      </c>
      <c r="B349" s="7" t="s">
        <v>1861</v>
      </c>
      <c r="D349" s="6" t="s">
        <v>1862</v>
      </c>
      <c r="E349" s="6">
        <v>4</v>
      </c>
      <c r="F349" s="6">
        <v>45</v>
      </c>
      <c r="G349" s="6" t="s">
        <v>546</v>
      </c>
      <c r="I349" s="8">
        <v>81.7891400694444</v>
      </c>
      <c r="J349" s="8">
        <v>8.92411722222222</v>
      </c>
      <c r="K349" s="6" t="s">
        <v>29</v>
      </c>
      <c r="L349" s="6" t="s">
        <v>546</v>
      </c>
      <c r="M349" s="9">
        <v>44012</v>
      </c>
      <c r="O349" s="6">
        <v>40</v>
      </c>
      <c r="P349" s="6" t="s">
        <v>4406</v>
      </c>
      <c r="R349" s="10" t="s">
        <v>1863</v>
      </c>
      <c r="S349" s="10">
        <v>104</v>
      </c>
      <c r="T349" s="10">
        <v>109</v>
      </c>
      <c r="U349" s="10">
        <f t="shared" si="10"/>
        <v>106.5</v>
      </c>
      <c r="V349" s="11"/>
      <c r="W349" s="8">
        <v>-6.8570916261672972</v>
      </c>
      <c r="X349" s="8">
        <v>-51.939747528076168</v>
      </c>
      <c r="Y349" s="8">
        <f t="shared" si="11"/>
        <v>2.9169854812622091</v>
      </c>
    </row>
    <row r="350" spans="1:25" s="6" customFormat="1" x14ac:dyDescent="0.35">
      <c r="A350" s="6" t="s">
        <v>25</v>
      </c>
      <c r="B350" s="7" t="s">
        <v>1864</v>
      </c>
      <c r="D350" s="6" t="s">
        <v>1865</v>
      </c>
      <c r="E350" s="6">
        <v>4</v>
      </c>
      <c r="F350" s="6">
        <v>45</v>
      </c>
      <c r="G350" s="6" t="s">
        <v>546</v>
      </c>
      <c r="I350" s="8">
        <v>81.7891400694444</v>
      </c>
      <c r="J350" s="8">
        <v>8.92411722222222</v>
      </c>
      <c r="K350" s="6" t="s">
        <v>29</v>
      </c>
      <c r="L350" s="6" t="s">
        <v>546</v>
      </c>
      <c r="M350" s="9">
        <v>44012</v>
      </c>
      <c r="O350" s="6">
        <v>40</v>
      </c>
      <c r="P350" s="6" t="s">
        <v>4406</v>
      </c>
      <c r="R350" s="10" t="s">
        <v>1866</v>
      </c>
      <c r="S350" s="10">
        <v>109</v>
      </c>
      <c r="T350" s="10">
        <v>114</v>
      </c>
      <c r="U350" s="10">
        <f t="shared" si="10"/>
        <v>111.5</v>
      </c>
      <c r="V350" s="11"/>
      <c r="W350" s="8">
        <v>-7.1215427069664017</v>
      </c>
      <c r="X350" s="8">
        <v>-52.906793365478514</v>
      </c>
      <c r="Y350" s="8">
        <f t="shared" si="11"/>
        <v>4.0655482902526998</v>
      </c>
    </row>
    <row r="351" spans="1:25" s="6" customFormat="1" x14ac:dyDescent="0.35">
      <c r="A351" s="6" t="s">
        <v>25</v>
      </c>
      <c r="B351" s="7" t="s">
        <v>1867</v>
      </c>
      <c r="D351" s="6" t="s">
        <v>1868</v>
      </c>
      <c r="E351" s="6">
        <v>4</v>
      </c>
      <c r="F351" s="6">
        <v>45</v>
      </c>
      <c r="G351" s="6" t="s">
        <v>546</v>
      </c>
      <c r="I351" s="8">
        <v>81.7891400694444</v>
      </c>
      <c r="J351" s="8">
        <v>8.92411722222222</v>
      </c>
      <c r="K351" s="6" t="s">
        <v>29</v>
      </c>
      <c r="L351" s="6" t="s">
        <v>546</v>
      </c>
      <c r="M351" s="9">
        <v>44012</v>
      </c>
      <c r="O351" s="6">
        <v>40</v>
      </c>
      <c r="P351" s="6" t="s">
        <v>4406</v>
      </c>
      <c r="R351" s="10" t="s">
        <v>1869</v>
      </c>
      <c r="S351" s="10">
        <v>114</v>
      </c>
      <c r="T351" s="10">
        <v>119</v>
      </c>
      <c r="U351" s="10">
        <f t="shared" si="10"/>
        <v>116.5</v>
      </c>
      <c r="V351" s="11"/>
      <c r="W351" s="8">
        <v>-7.5919201478958129</v>
      </c>
      <c r="X351" s="8">
        <v>-56.941454154968262</v>
      </c>
      <c r="Y351" s="8">
        <f t="shared" si="11"/>
        <v>3.793907028198241</v>
      </c>
    </row>
    <row r="352" spans="1:25" s="6" customFormat="1" x14ac:dyDescent="0.35">
      <c r="A352" s="6" t="s">
        <v>25</v>
      </c>
      <c r="B352" s="7" t="s">
        <v>1837</v>
      </c>
      <c r="D352" s="6" t="s">
        <v>1838</v>
      </c>
      <c r="E352" s="6">
        <v>4</v>
      </c>
      <c r="F352" s="6">
        <v>45</v>
      </c>
      <c r="G352" s="6" t="s">
        <v>546</v>
      </c>
      <c r="I352" s="8">
        <v>81.7891400694444</v>
      </c>
      <c r="J352" s="8">
        <v>8.92411722222222</v>
      </c>
      <c r="K352" s="6" t="s">
        <v>29</v>
      </c>
      <c r="L352" s="6" t="s">
        <v>546</v>
      </c>
      <c r="M352" s="9">
        <v>44012</v>
      </c>
      <c r="O352" s="6">
        <v>40</v>
      </c>
      <c r="P352" s="6" t="s">
        <v>4406</v>
      </c>
      <c r="R352" s="10" t="s">
        <v>1839</v>
      </c>
      <c r="S352" s="10">
        <v>119</v>
      </c>
      <c r="T352" s="10">
        <v>124</v>
      </c>
      <c r="U352" s="10">
        <f t="shared" si="10"/>
        <v>121.5</v>
      </c>
      <c r="V352" s="11"/>
      <c r="W352" s="8">
        <v>-8.1837502977371237</v>
      </c>
      <c r="X352" s="8">
        <v>-60.614413299560539</v>
      </c>
      <c r="Y352" s="8">
        <f t="shared" si="11"/>
        <v>4.8555890823364507</v>
      </c>
    </row>
    <row r="353" spans="1:25" s="6" customFormat="1" x14ac:dyDescent="0.35">
      <c r="A353" s="6" t="s">
        <v>25</v>
      </c>
      <c r="B353" s="7" t="s">
        <v>1873</v>
      </c>
      <c r="D353" s="6" t="s">
        <v>1874</v>
      </c>
      <c r="E353" s="6">
        <v>4</v>
      </c>
      <c r="F353" s="6">
        <v>45</v>
      </c>
      <c r="G353" s="6" t="s">
        <v>546</v>
      </c>
      <c r="I353" s="8">
        <v>81.7891400694444</v>
      </c>
      <c r="J353" s="8">
        <v>8.92411722222222</v>
      </c>
      <c r="K353" s="6" t="s">
        <v>29</v>
      </c>
      <c r="L353" s="6" t="s">
        <v>546</v>
      </c>
      <c r="M353" s="9">
        <v>44012</v>
      </c>
      <c r="O353" s="6">
        <v>40</v>
      </c>
      <c r="P353" s="6" t="s">
        <v>4406</v>
      </c>
      <c r="R353" s="10"/>
      <c r="S353" s="10">
        <v>124</v>
      </c>
      <c r="T353" s="10">
        <v>129</v>
      </c>
      <c r="U353" s="10">
        <f t="shared" si="10"/>
        <v>126.5</v>
      </c>
      <c r="V353" s="11"/>
      <c r="W353" s="8">
        <v>-7.4191860032081616</v>
      </c>
      <c r="X353" s="8">
        <v>-55.493095558166502</v>
      </c>
      <c r="Y353" s="8">
        <f t="shared" si="11"/>
        <v>3.8603924674987908</v>
      </c>
    </row>
    <row r="354" spans="1:25" s="6" customFormat="1" x14ac:dyDescent="0.35">
      <c r="A354" s="6" t="s">
        <v>25</v>
      </c>
      <c r="B354" s="7" t="s">
        <v>1870</v>
      </c>
      <c r="D354" s="6" t="s">
        <v>1871</v>
      </c>
      <c r="E354" s="6">
        <v>4</v>
      </c>
      <c r="F354" s="6">
        <v>45</v>
      </c>
      <c r="G354" s="6" t="s">
        <v>546</v>
      </c>
      <c r="I354" s="8">
        <v>81.7891400694444</v>
      </c>
      <c r="J354" s="8">
        <v>8.92411722222222</v>
      </c>
      <c r="K354" s="6" t="s">
        <v>29</v>
      </c>
      <c r="L354" s="6" t="s">
        <v>546</v>
      </c>
      <c r="M354" s="9">
        <v>44012</v>
      </c>
      <c r="O354" s="6">
        <v>40</v>
      </c>
      <c r="P354" s="6" t="s">
        <v>4406</v>
      </c>
      <c r="R354" s="10" t="s">
        <v>1872</v>
      </c>
      <c r="S354" s="10">
        <v>129</v>
      </c>
      <c r="T354" s="10">
        <v>134</v>
      </c>
      <c r="U354" s="10">
        <f t="shared" si="10"/>
        <v>131.5</v>
      </c>
      <c r="V354" s="11"/>
      <c r="W354" s="8">
        <v>-7.1367210879325871</v>
      </c>
      <c r="X354" s="8">
        <v>-54.925575347900391</v>
      </c>
      <c r="Y354" s="8">
        <f t="shared" si="11"/>
        <v>2.1681933555603052</v>
      </c>
    </row>
    <row r="355" spans="1:25" s="6" customFormat="1" x14ac:dyDescent="0.35">
      <c r="A355" s="6" t="s">
        <v>25</v>
      </c>
      <c r="B355" s="7" t="s">
        <v>1878</v>
      </c>
      <c r="D355" s="6" t="s">
        <v>1879</v>
      </c>
      <c r="E355" s="6">
        <v>4</v>
      </c>
      <c r="F355" s="6">
        <v>45</v>
      </c>
      <c r="G355" s="6" t="s">
        <v>546</v>
      </c>
      <c r="I355" s="8">
        <v>81.7891400694444</v>
      </c>
      <c r="J355" s="8">
        <v>8.92411722222222</v>
      </c>
      <c r="K355" s="6" t="s">
        <v>29</v>
      </c>
      <c r="L355" s="6" t="s">
        <v>546</v>
      </c>
      <c r="M355" s="9">
        <v>44012</v>
      </c>
      <c r="O355" s="6">
        <v>40</v>
      </c>
      <c r="P355" s="6" t="s">
        <v>4406</v>
      </c>
      <c r="R355" s="10" t="s">
        <v>1880</v>
      </c>
      <c r="S355" s="10">
        <v>134</v>
      </c>
      <c r="T355" s="10">
        <v>139</v>
      </c>
      <c r="U355" s="10">
        <f t="shared" si="10"/>
        <v>136.5</v>
      </c>
      <c r="V355" s="11"/>
      <c r="W355" s="8">
        <v>-6.9047866752624518</v>
      </c>
      <c r="X355" s="8">
        <v>-52.73763751220703</v>
      </c>
      <c r="Y355" s="8">
        <f t="shared" si="11"/>
        <v>2.5006558898925846</v>
      </c>
    </row>
    <row r="356" spans="1:25" s="6" customFormat="1" x14ac:dyDescent="0.35">
      <c r="A356" s="6" t="s">
        <v>25</v>
      </c>
      <c r="B356" s="7" t="s">
        <v>1858</v>
      </c>
      <c r="D356" s="6" t="s">
        <v>1859</v>
      </c>
      <c r="E356" s="6">
        <v>4</v>
      </c>
      <c r="F356" s="6">
        <v>45</v>
      </c>
      <c r="G356" s="6" t="s">
        <v>546</v>
      </c>
      <c r="I356" s="8">
        <v>81.7891400694444</v>
      </c>
      <c r="J356" s="8">
        <v>8.92411722222222</v>
      </c>
      <c r="K356" s="6" t="s">
        <v>29</v>
      </c>
      <c r="L356" s="6" t="s">
        <v>546</v>
      </c>
      <c r="M356" s="9">
        <v>44012</v>
      </c>
      <c r="O356" s="6">
        <v>40</v>
      </c>
      <c r="P356" s="6" t="s">
        <v>4406</v>
      </c>
      <c r="R356" s="10" t="s">
        <v>1860</v>
      </c>
      <c r="S356" s="10">
        <v>139</v>
      </c>
      <c r="T356" s="10">
        <v>144</v>
      </c>
      <c r="U356" s="10">
        <f t="shared" si="10"/>
        <v>141.5</v>
      </c>
      <c r="V356" s="11"/>
      <c r="W356" s="8">
        <v>-6.3124732336997997</v>
      </c>
      <c r="X356" s="8">
        <v>-47.932121856689456</v>
      </c>
      <c r="Y356" s="8">
        <f t="shared" si="11"/>
        <v>2.5676640129089421</v>
      </c>
    </row>
    <row r="357" spans="1:25" s="6" customFormat="1" x14ac:dyDescent="0.35">
      <c r="A357" s="6" t="s">
        <v>25</v>
      </c>
      <c r="B357" s="7" t="s">
        <v>1855</v>
      </c>
      <c r="D357" s="6" t="s">
        <v>1856</v>
      </c>
      <c r="E357" s="6">
        <v>4</v>
      </c>
      <c r="F357" s="6">
        <v>45</v>
      </c>
      <c r="G357" s="6" t="s">
        <v>546</v>
      </c>
      <c r="I357" s="8">
        <v>81.7891400694444</v>
      </c>
      <c r="J357" s="8">
        <v>8.92411722222222</v>
      </c>
      <c r="K357" s="6" t="s">
        <v>29</v>
      </c>
      <c r="L357" s="6" t="s">
        <v>546</v>
      </c>
      <c r="M357" s="9">
        <v>44012</v>
      </c>
      <c r="O357" s="6">
        <v>40</v>
      </c>
      <c r="P357" s="6" t="s">
        <v>4406</v>
      </c>
      <c r="R357" s="10" t="s">
        <v>1857</v>
      </c>
      <c r="S357" s="10">
        <v>144</v>
      </c>
      <c r="T357" s="10">
        <v>149</v>
      </c>
      <c r="U357" s="10">
        <f t="shared" si="10"/>
        <v>146.5</v>
      </c>
      <c r="V357" s="11"/>
      <c r="W357" s="8">
        <v>-6.4296519069671634</v>
      </c>
      <c r="X357" s="8">
        <v>-49.417112907409667</v>
      </c>
      <c r="Y357" s="8">
        <f t="shared" si="11"/>
        <v>2.0201023483276401</v>
      </c>
    </row>
    <row r="358" spans="1:25" s="6" customFormat="1" x14ac:dyDescent="0.35">
      <c r="A358" s="6" t="s">
        <v>25</v>
      </c>
      <c r="B358" s="7" t="s">
        <v>1893</v>
      </c>
      <c r="D358" s="6" t="s">
        <v>1894</v>
      </c>
      <c r="E358" s="6">
        <v>4</v>
      </c>
      <c r="F358" s="6">
        <v>45</v>
      </c>
      <c r="G358" s="6" t="s">
        <v>546</v>
      </c>
      <c r="I358" s="8">
        <v>81.7891400694444</v>
      </c>
      <c r="J358" s="8">
        <v>8.92411722222222</v>
      </c>
      <c r="K358" s="6" t="s">
        <v>29</v>
      </c>
      <c r="L358" s="6" t="s">
        <v>546</v>
      </c>
      <c r="M358" s="9">
        <v>44012</v>
      </c>
      <c r="O358" s="6">
        <v>40</v>
      </c>
      <c r="P358" s="6" t="s">
        <v>4406</v>
      </c>
      <c r="R358" s="10" t="s">
        <v>1895</v>
      </c>
      <c r="S358" s="10">
        <v>149</v>
      </c>
      <c r="T358" s="10">
        <v>154</v>
      </c>
      <c r="U358" s="10">
        <f t="shared" si="10"/>
        <v>151.5</v>
      </c>
      <c r="V358" s="11"/>
      <c r="W358" s="8">
        <v>-6.8259279718399046</v>
      </c>
      <c r="X358" s="8">
        <v>-52.548798980712888</v>
      </c>
      <c r="Y358" s="8">
        <f t="shared" si="11"/>
        <v>2.0586247940063487</v>
      </c>
    </row>
    <row r="359" spans="1:25" s="6" customFormat="1" x14ac:dyDescent="0.35">
      <c r="A359" s="6" t="s">
        <v>25</v>
      </c>
      <c r="B359" s="7" t="s">
        <v>1890</v>
      </c>
      <c r="D359" s="6" t="s">
        <v>1891</v>
      </c>
      <c r="E359" s="6">
        <v>4</v>
      </c>
      <c r="F359" s="6">
        <v>45</v>
      </c>
      <c r="G359" s="6" t="s">
        <v>546</v>
      </c>
      <c r="I359" s="8">
        <v>81.7891400694444</v>
      </c>
      <c r="J359" s="8">
        <v>8.92411722222222</v>
      </c>
      <c r="K359" s="6" t="s">
        <v>29</v>
      </c>
      <c r="L359" s="6" t="s">
        <v>546</v>
      </c>
      <c r="M359" s="9">
        <v>44012</v>
      </c>
      <c r="O359" s="6">
        <v>40</v>
      </c>
      <c r="P359" s="6" t="s">
        <v>4406</v>
      </c>
      <c r="R359" s="10" t="s">
        <v>1892</v>
      </c>
      <c r="S359" s="10">
        <v>154</v>
      </c>
      <c r="T359" s="10">
        <v>159</v>
      </c>
      <c r="U359" s="10">
        <f t="shared" si="10"/>
        <v>156.5</v>
      </c>
      <c r="V359" s="11"/>
      <c r="W359" s="8">
        <v>-6.1847785577774044</v>
      </c>
      <c r="X359" s="8">
        <v>-47.25902183532714</v>
      </c>
      <c r="Y359" s="8">
        <f t="shared" si="11"/>
        <v>2.2192066268920954</v>
      </c>
    </row>
    <row r="360" spans="1:25" s="6" customFormat="1" x14ac:dyDescent="0.35">
      <c r="A360" s="6" t="s">
        <v>25</v>
      </c>
      <c r="B360" s="7" t="s">
        <v>1884</v>
      </c>
      <c r="D360" s="6" t="s">
        <v>1885</v>
      </c>
      <c r="E360" s="6">
        <v>4</v>
      </c>
      <c r="F360" s="6">
        <v>45</v>
      </c>
      <c r="G360" s="6" t="s">
        <v>546</v>
      </c>
      <c r="I360" s="8">
        <v>81.7891400694444</v>
      </c>
      <c r="J360" s="8">
        <v>8.92411722222222</v>
      </c>
      <c r="K360" s="6" t="s">
        <v>29</v>
      </c>
      <c r="L360" s="6" t="s">
        <v>546</v>
      </c>
      <c r="M360" s="9">
        <v>44012</v>
      </c>
      <c r="O360" s="6">
        <v>40</v>
      </c>
      <c r="P360" s="6" t="s">
        <v>4406</v>
      </c>
      <c r="R360" s="10" t="s">
        <v>1886</v>
      </c>
      <c r="S360" s="10">
        <v>159</v>
      </c>
      <c r="T360" s="10">
        <v>164</v>
      </c>
      <c r="U360" s="10">
        <f t="shared" si="10"/>
        <v>161.5</v>
      </c>
      <c r="V360" s="11"/>
      <c r="W360" s="8">
        <v>-1.2030357990264893</v>
      </c>
      <c r="X360" s="8">
        <v>-8.7253384876251214</v>
      </c>
      <c r="Y360" s="8">
        <f t="shared" si="11"/>
        <v>0.89894790458679275</v>
      </c>
    </row>
    <row r="361" spans="1:25" s="6" customFormat="1" x14ac:dyDescent="0.35">
      <c r="A361" s="6" t="s">
        <v>25</v>
      </c>
      <c r="B361" s="7" t="s">
        <v>1887</v>
      </c>
      <c r="D361" s="6" t="s">
        <v>1888</v>
      </c>
      <c r="E361" s="6">
        <v>4</v>
      </c>
      <c r="F361" s="6">
        <v>45</v>
      </c>
      <c r="G361" s="6" t="s">
        <v>546</v>
      </c>
      <c r="I361" s="8">
        <v>81.7891400694444</v>
      </c>
      <c r="J361" s="8">
        <v>8.92411722222222</v>
      </c>
      <c r="K361" s="6" t="s">
        <v>29</v>
      </c>
      <c r="L361" s="6" t="s">
        <v>546</v>
      </c>
      <c r="M361" s="9">
        <v>44012</v>
      </c>
      <c r="O361" s="6">
        <v>40</v>
      </c>
      <c r="P361" s="6" t="s">
        <v>4406</v>
      </c>
      <c r="R361" s="10" t="s">
        <v>1889</v>
      </c>
      <c r="S361" s="10">
        <v>164</v>
      </c>
      <c r="T361" s="10">
        <v>169</v>
      </c>
      <c r="U361" s="10">
        <f t="shared" si="10"/>
        <v>166.5</v>
      </c>
      <c r="V361" s="11"/>
      <c r="W361" s="8">
        <v>-2.4066195144653322</v>
      </c>
      <c r="X361" s="8">
        <v>-17.406193714141843</v>
      </c>
      <c r="Y361" s="8">
        <f t="shared" si="11"/>
        <v>1.8467624015808148</v>
      </c>
    </row>
    <row r="362" spans="1:25" s="6" customFormat="1" x14ac:dyDescent="0.35">
      <c r="A362" s="6" t="s">
        <v>25</v>
      </c>
      <c r="B362" s="7" t="s">
        <v>1899</v>
      </c>
      <c r="D362" s="6" t="s">
        <v>1900</v>
      </c>
      <c r="E362" s="6">
        <v>4</v>
      </c>
      <c r="F362" s="6">
        <v>45</v>
      </c>
      <c r="G362" s="6" t="s">
        <v>546</v>
      </c>
      <c r="I362" s="8">
        <v>81.7891400694444</v>
      </c>
      <c r="J362" s="8">
        <v>8.92411722222222</v>
      </c>
      <c r="K362" s="6" t="s">
        <v>29</v>
      </c>
      <c r="L362" s="6" t="s">
        <v>546</v>
      </c>
      <c r="M362" s="9">
        <v>44012</v>
      </c>
      <c r="O362" s="6">
        <v>40</v>
      </c>
      <c r="P362" s="6" t="s">
        <v>4406</v>
      </c>
      <c r="R362" s="10" t="s">
        <v>1901</v>
      </c>
      <c r="S362" s="10">
        <v>169</v>
      </c>
      <c r="T362" s="10">
        <v>175</v>
      </c>
      <c r="U362" s="10">
        <f t="shared" si="10"/>
        <v>172</v>
      </c>
      <c r="V362" s="11"/>
      <c r="W362" s="8">
        <v>-2.3909555511474609</v>
      </c>
      <c r="X362" s="8">
        <v>-17.679275665283203</v>
      </c>
      <c r="Y362" s="8">
        <f t="shared" si="11"/>
        <v>1.4483687438964843</v>
      </c>
    </row>
    <row r="363" spans="1:25" s="6" customFormat="1" x14ac:dyDescent="0.35">
      <c r="A363" s="6" t="s">
        <v>25</v>
      </c>
      <c r="B363" s="7" t="s">
        <v>1881</v>
      </c>
      <c r="D363" s="6" t="s">
        <v>1882</v>
      </c>
      <c r="E363" s="6">
        <v>4</v>
      </c>
      <c r="F363" s="6">
        <v>45</v>
      </c>
      <c r="G363" s="6" t="s">
        <v>546</v>
      </c>
      <c r="I363" s="8">
        <v>81.7891400694444</v>
      </c>
      <c r="J363" s="8">
        <v>8.92411722222222</v>
      </c>
      <c r="K363" s="6" t="s">
        <v>29</v>
      </c>
      <c r="L363" s="6" t="s">
        <v>546</v>
      </c>
      <c r="M363" s="9">
        <v>44012</v>
      </c>
      <c r="O363" s="6">
        <v>40</v>
      </c>
      <c r="P363" s="6" t="s">
        <v>4406</v>
      </c>
      <c r="R363" s="10" t="s">
        <v>1883</v>
      </c>
      <c r="S363" s="10">
        <v>175</v>
      </c>
      <c r="T363" s="10">
        <v>180</v>
      </c>
      <c r="U363" s="10">
        <f t="shared" si="10"/>
        <v>177.5</v>
      </c>
      <c r="V363" s="11"/>
      <c r="W363" s="8">
        <v>-3.2508710203170761</v>
      </c>
      <c r="X363" s="8">
        <v>-24.559535942077638</v>
      </c>
      <c r="Y363" s="8">
        <f t="shared" si="11"/>
        <v>1.4474322204589711</v>
      </c>
    </row>
    <row r="364" spans="1:25" s="6" customFormat="1" x14ac:dyDescent="0.35">
      <c r="A364" s="6" t="s">
        <v>25</v>
      </c>
      <c r="B364" s="7" t="s">
        <v>1896</v>
      </c>
      <c r="D364" s="6" t="s">
        <v>1897</v>
      </c>
      <c r="E364" s="6">
        <v>4</v>
      </c>
      <c r="F364" s="6">
        <v>45</v>
      </c>
      <c r="G364" s="6" t="s">
        <v>546</v>
      </c>
      <c r="I364" s="8">
        <v>81.7891400694444</v>
      </c>
      <c r="J364" s="8">
        <v>8.92411722222222</v>
      </c>
      <c r="K364" s="6" t="s">
        <v>29</v>
      </c>
      <c r="L364" s="6" t="s">
        <v>546</v>
      </c>
      <c r="M364" s="9">
        <v>44012</v>
      </c>
      <c r="O364" s="6">
        <v>40</v>
      </c>
      <c r="P364" s="6" t="s">
        <v>4406</v>
      </c>
      <c r="R364" s="10" t="s">
        <v>1898</v>
      </c>
      <c r="S364" s="10">
        <v>180</v>
      </c>
      <c r="T364" s="10">
        <v>185</v>
      </c>
      <c r="U364" s="10">
        <f t="shared" si="10"/>
        <v>182.5</v>
      </c>
      <c r="V364" s="11"/>
      <c r="W364" s="8">
        <v>-2.566716329574585</v>
      </c>
      <c r="X364" s="8">
        <v>-19.229920501708985</v>
      </c>
      <c r="Y364" s="8">
        <f t="shared" si="11"/>
        <v>1.3038101348876943</v>
      </c>
    </row>
    <row r="365" spans="1:25" s="6" customFormat="1" x14ac:dyDescent="0.35">
      <c r="A365" s="6" t="s">
        <v>25</v>
      </c>
      <c r="B365" s="7" t="s">
        <v>1911</v>
      </c>
      <c r="D365" s="6" t="s">
        <v>1912</v>
      </c>
      <c r="E365" s="6">
        <v>4</v>
      </c>
      <c r="F365" s="6">
        <v>45</v>
      </c>
      <c r="G365" s="6" t="s">
        <v>546</v>
      </c>
      <c r="I365" s="8">
        <v>81.7891400694444</v>
      </c>
      <c r="J365" s="8">
        <v>8.92411722222222</v>
      </c>
      <c r="K365" s="6" t="s">
        <v>29</v>
      </c>
      <c r="L365" s="6" t="s">
        <v>546</v>
      </c>
      <c r="M365" s="9">
        <v>44012</v>
      </c>
      <c r="O365" s="6">
        <v>40</v>
      </c>
      <c r="P365" s="6" t="s">
        <v>4406</v>
      </c>
      <c r="R365" s="10" t="s">
        <v>1913</v>
      </c>
      <c r="S365" s="10">
        <v>185</v>
      </c>
      <c r="T365" s="10">
        <v>190</v>
      </c>
      <c r="U365" s="10">
        <f t="shared" si="10"/>
        <v>187.5</v>
      </c>
      <c r="V365" s="11"/>
      <c r="W365" s="8">
        <v>6.7002214431762699E-2</v>
      </c>
      <c r="X365" s="8">
        <v>1.125976939201355</v>
      </c>
      <c r="Y365" s="8">
        <f t="shared" si="11"/>
        <v>0.5899592237472534</v>
      </c>
    </row>
    <row r="366" spans="1:25" s="6" customFormat="1" x14ac:dyDescent="0.35">
      <c r="A366" s="6" t="s">
        <v>25</v>
      </c>
      <c r="B366" s="7" t="s">
        <v>1905</v>
      </c>
      <c r="D366" s="6" t="s">
        <v>1906</v>
      </c>
      <c r="E366" s="6">
        <v>4</v>
      </c>
      <c r="F366" s="6">
        <v>45</v>
      </c>
      <c r="G366" s="6" t="s">
        <v>546</v>
      </c>
      <c r="I366" s="8">
        <v>81.7891400694444</v>
      </c>
      <c r="J366" s="8">
        <v>8.92411722222222</v>
      </c>
      <c r="K366" s="6" t="s">
        <v>29</v>
      </c>
      <c r="L366" s="6" t="s">
        <v>546</v>
      </c>
      <c r="M366" s="9">
        <v>44012</v>
      </c>
      <c r="O366" s="6">
        <v>40</v>
      </c>
      <c r="P366" s="6" t="s">
        <v>4406</v>
      </c>
      <c r="R366" s="10" t="s">
        <v>1907</v>
      </c>
      <c r="S366" s="10">
        <v>190</v>
      </c>
      <c r="T366" s="10">
        <v>195</v>
      </c>
      <c r="U366" s="10">
        <f t="shared" si="10"/>
        <v>192.5</v>
      </c>
      <c r="V366" s="11"/>
      <c r="W366" s="8">
        <v>-1.2632137050628645</v>
      </c>
      <c r="X366" s="8">
        <v>-8.7971359252929684</v>
      </c>
      <c r="Y366" s="8">
        <f t="shared" si="11"/>
        <v>1.3085737152099473</v>
      </c>
    </row>
    <row r="367" spans="1:25" s="6" customFormat="1" x14ac:dyDescent="0.35">
      <c r="A367" s="6" t="s">
        <v>25</v>
      </c>
      <c r="B367" s="7" t="s">
        <v>1849</v>
      </c>
      <c r="D367" s="6" t="s">
        <v>1850</v>
      </c>
      <c r="E367" s="6">
        <v>4</v>
      </c>
      <c r="F367" s="6">
        <v>45</v>
      </c>
      <c r="G367" s="6" t="s">
        <v>546</v>
      </c>
      <c r="I367" s="8">
        <v>81.7891400694444</v>
      </c>
      <c r="J367" s="8">
        <v>8.92411722222222</v>
      </c>
      <c r="K367" s="6" t="s">
        <v>29</v>
      </c>
      <c r="L367" s="6" t="s">
        <v>546</v>
      </c>
      <c r="M367" s="9">
        <v>44012</v>
      </c>
      <c r="O367" s="6">
        <v>40</v>
      </c>
      <c r="P367" s="6" t="s">
        <v>4406</v>
      </c>
      <c r="R367" s="10" t="s">
        <v>1851</v>
      </c>
      <c r="S367" s="10">
        <v>195</v>
      </c>
      <c r="T367" s="10">
        <v>200</v>
      </c>
      <c r="U367" s="10">
        <f t="shared" si="10"/>
        <v>197.5</v>
      </c>
      <c r="V367" s="11"/>
      <c r="W367" s="8">
        <v>-2.5799326173782355</v>
      </c>
      <c r="X367" s="8">
        <v>-19.838873130798341</v>
      </c>
      <c r="Y367" s="8">
        <f t="shared" si="11"/>
        <v>0.80058780822754372</v>
      </c>
    </row>
    <row r="368" spans="1:25" s="6" customFormat="1" x14ac:dyDescent="0.35">
      <c r="A368" s="6" t="s">
        <v>25</v>
      </c>
      <c r="B368" s="7" t="s">
        <v>1902</v>
      </c>
      <c r="D368" s="6" t="s">
        <v>1903</v>
      </c>
      <c r="E368" s="6">
        <v>4</v>
      </c>
      <c r="F368" s="6">
        <v>45</v>
      </c>
      <c r="G368" s="6" t="s">
        <v>546</v>
      </c>
      <c r="I368" s="8">
        <v>81.7891400694444</v>
      </c>
      <c r="J368" s="8">
        <v>8.92411722222222</v>
      </c>
      <c r="K368" s="6" t="s">
        <v>29</v>
      </c>
      <c r="L368" s="6" t="s">
        <v>546</v>
      </c>
      <c r="M368" s="9">
        <v>44012</v>
      </c>
      <c r="O368" s="6">
        <v>40</v>
      </c>
      <c r="P368" s="6" t="s">
        <v>4406</v>
      </c>
      <c r="R368" s="10" t="s">
        <v>1904</v>
      </c>
      <c r="S368" s="10">
        <v>200</v>
      </c>
      <c r="T368" s="10">
        <v>205</v>
      </c>
      <c r="U368" s="10">
        <f t="shared" si="10"/>
        <v>202.5</v>
      </c>
      <c r="V368" s="11"/>
      <c r="W368" s="8">
        <v>1.0715102653503419</v>
      </c>
      <c r="X368" s="8">
        <v>8.8730507469177251</v>
      </c>
      <c r="Y368" s="8">
        <f t="shared" si="11"/>
        <v>0.30096862411499004</v>
      </c>
    </row>
    <row r="369" spans="1:25" s="6" customFormat="1" x14ac:dyDescent="0.35">
      <c r="A369" s="6" t="s">
        <v>25</v>
      </c>
      <c r="B369" s="7" t="s">
        <v>1908</v>
      </c>
      <c r="D369" s="6" t="s">
        <v>1909</v>
      </c>
      <c r="E369" s="6">
        <v>4</v>
      </c>
      <c r="F369" s="6">
        <v>45</v>
      </c>
      <c r="G369" s="6" t="s">
        <v>546</v>
      </c>
      <c r="I369" s="8">
        <v>81.7891400694444</v>
      </c>
      <c r="J369" s="8">
        <v>8.92411722222222</v>
      </c>
      <c r="K369" s="6" t="s">
        <v>29</v>
      </c>
      <c r="L369" s="6" t="s">
        <v>546</v>
      </c>
      <c r="M369" s="9">
        <v>44012</v>
      </c>
      <c r="O369" s="6">
        <v>40</v>
      </c>
      <c r="P369" s="6" t="s">
        <v>4406</v>
      </c>
      <c r="R369" s="10" t="s">
        <v>1910</v>
      </c>
      <c r="S369" s="10">
        <v>205</v>
      </c>
      <c r="T369" s="10">
        <v>210</v>
      </c>
      <c r="U369" s="10">
        <f t="shared" si="10"/>
        <v>207.5</v>
      </c>
      <c r="V369" s="11"/>
      <c r="W369" s="8">
        <v>0.84750535202026189</v>
      </c>
      <c r="X369" s="8">
        <v>7.2209297561645505</v>
      </c>
      <c r="Y369" s="8">
        <f t="shared" si="11"/>
        <v>0.44088694000245532</v>
      </c>
    </row>
    <row r="370" spans="1:25" s="6" customFormat="1" x14ac:dyDescent="0.35">
      <c r="A370" s="6" t="s">
        <v>25</v>
      </c>
      <c r="B370" s="7" t="s">
        <v>1852</v>
      </c>
      <c r="D370" s="6" t="s">
        <v>1853</v>
      </c>
      <c r="E370" s="6">
        <v>4</v>
      </c>
      <c r="F370" s="6">
        <v>45</v>
      </c>
      <c r="G370" s="6" t="s">
        <v>546</v>
      </c>
      <c r="I370" s="8">
        <v>81.7891400694444</v>
      </c>
      <c r="J370" s="8">
        <v>8.92411722222222</v>
      </c>
      <c r="K370" s="6" t="s">
        <v>29</v>
      </c>
      <c r="L370" s="6" t="s">
        <v>546</v>
      </c>
      <c r="M370" s="9">
        <v>44012</v>
      </c>
      <c r="O370" s="6">
        <v>40</v>
      </c>
      <c r="P370" s="6" t="s">
        <v>4406</v>
      </c>
      <c r="R370" s="10" t="s">
        <v>1854</v>
      </c>
      <c r="S370" s="10">
        <v>210</v>
      </c>
      <c r="T370" s="10">
        <v>215</v>
      </c>
      <c r="U370" s="10">
        <f t="shared" si="10"/>
        <v>212.5</v>
      </c>
      <c r="V370" s="11"/>
      <c r="W370" s="8">
        <v>-2.5999897918701178</v>
      </c>
      <c r="X370" s="8">
        <v>-19.380480472564695</v>
      </c>
      <c r="Y370" s="8">
        <f t="shared" si="11"/>
        <v>1.4194378623962471</v>
      </c>
    </row>
    <row r="371" spans="1:25" s="6" customFormat="1" x14ac:dyDescent="0.35">
      <c r="A371" s="6" t="s">
        <v>25</v>
      </c>
      <c r="B371" s="7" t="s">
        <v>2066</v>
      </c>
      <c r="D371" s="6" t="s">
        <v>2067</v>
      </c>
      <c r="E371" s="6">
        <v>4</v>
      </c>
      <c r="F371" s="6">
        <v>48</v>
      </c>
      <c r="G371" s="6" t="s">
        <v>546</v>
      </c>
      <c r="I371" s="8">
        <v>80.754295347222197</v>
      </c>
      <c r="J371" s="8">
        <v>-0.488818958333333</v>
      </c>
      <c r="K371" s="6" t="s">
        <v>29</v>
      </c>
      <c r="L371" s="6" t="s">
        <v>546</v>
      </c>
      <c r="M371" s="9">
        <v>44032</v>
      </c>
      <c r="O371" s="6">
        <v>43</v>
      </c>
      <c r="P371" s="6" t="s">
        <v>4403</v>
      </c>
      <c r="R371" s="10" t="s">
        <v>1683</v>
      </c>
      <c r="S371" s="10">
        <v>0</v>
      </c>
      <c r="T371" s="10">
        <v>5</v>
      </c>
      <c r="U371" s="10">
        <f t="shared" si="10"/>
        <v>2.5</v>
      </c>
      <c r="V371" s="11"/>
      <c r="W371" s="8">
        <v>-4.4525648389816288</v>
      </c>
      <c r="X371" s="8">
        <v>-35.638878081130983</v>
      </c>
      <c r="Y371" s="8">
        <f t="shared" si="11"/>
        <v>-1.8359369277952453E-2</v>
      </c>
    </row>
    <row r="372" spans="1:25" s="6" customFormat="1" x14ac:dyDescent="0.35">
      <c r="A372" s="6" t="s">
        <v>25</v>
      </c>
      <c r="B372" s="7" t="s">
        <v>2061</v>
      </c>
      <c r="D372" s="6" t="s">
        <v>2062</v>
      </c>
      <c r="E372" s="6">
        <v>4</v>
      </c>
      <c r="F372" s="6">
        <v>48</v>
      </c>
      <c r="G372" s="6" t="s">
        <v>546</v>
      </c>
      <c r="I372" s="8">
        <v>80.754295347222197</v>
      </c>
      <c r="J372" s="8">
        <v>-0.488818958333333</v>
      </c>
      <c r="K372" s="6" t="s">
        <v>29</v>
      </c>
      <c r="L372" s="6" t="s">
        <v>546</v>
      </c>
      <c r="M372" s="9">
        <v>44032</v>
      </c>
      <c r="O372" s="6">
        <v>43</v>
      </c>
      <c r="P372" s="6" t="s">
        <v>4403</v>
      </c>
      <c r="R372" s="10" t="s">
        <v>1719</v>
      </c>
      <c r="S372" s="10">
        <v>5</v>
      </c>
      <c r="T372" s="10">
        <v>10</v>
      </c>
      <c r="U372" s="10">
        <f t="shared" si="10"/>
        <v>7.5</v>
      </c>
      <c r="V372" s="11"/>
      <c r="W372" s="8">
        <v>-4.5829228626251233</v>
      </c>
      <c r="X372" s="8">
        <v>-35.083179211425772</v>
      </c>
      <c r="Y372" s="8">
        <f t="shared" si="11"/>
        <v>1.5802036895752138</v>
      </c>
    </row>
    <row r="373" spans="1:25" s="6" customFormat="1" x14ac:dyDescent="0.35">
      <c r="A373" s="6" t="s">
        <v>25</v>
      </c>
      <c r="B373" s="7" t="s">
        <v>2078</v>
      </c>
      <c r="D373" s="6" t="s">
        <v>2079</v>
      </c>
      <c r="E373" s="6">
        <v>4</v>
      </c>
      <c r="F373" s="6">
        <v>48</v>
      </c>
      <c r="G373" s="6" t="s">
        <v>546</v>
      </c>
      <c r="I373" s="8">
        <v>80.754295347222197</v>
      </c>
      <c r="J373" s="8">
        <v>-0.488818958333333</v>
      </c>
      <c r="K373" s="6" t="s">
        <v>29</v>
      </c>
      <c r="L373" s="6" t="s">
        <v>546</v>
      </c>
      <c r="M373" s="9">
        <v>44032</v>
      </c>
      <c r="O373" s="6">
        <v>43</v>
      </c>
      <c r="P373" s="6" t="s">
        <v>4403</v>
      </c>
      <c r="R373" s="10" t="s">
        <v>2005</v>
      </c>
      <c r="S373" s="10">
        <v>10</v>
      </c>
      <c r="T373" s="10">
        <v>15</v>
      </c>
      <c r="U373" s="10">
        <f t="shared" si="10"/>
        <v>12.5</v>
      </c>
      <c r="V373" s="11"/>
      <c r="W373" s="8">
        <v>-4.6904693363189702</v>
      </c>
      <c r="X373" s="8">
        <v>-36.284075534820552</v>
      </c>
      <c r="Y373" s="8">
        <f t="shared" si="11"/>
        <v>1.2396791557312099</v>
      </c>
    </row>
    <row r="374" spans="1:25" s="6" customFormat="1" x14ac:dyDescent="0.35">
      <c r="A374" s="6" t="s">
        <v>25</v>
      </c>
      <c r="B374" s="7" t="s">
        <v>2100</v>
      </c>
      <c r="D374" s="6" t="s">
        <v>2101</v>
      </c>
      <c r="E374" s="6">
        <v>4</v>
      </c>
      <c r="F374" s="6">
        <v>48</v>
      </c>
      <c r="G374" s="6" t="s">
        <v>546</v>
      </c>
      <c r="I374" s="8">
        <v>80.754295347222197</v>
      </c>
      <c r="J374" s="8">
        <v>-0.488818958333333</v>
      </c>
      <c r="K374" s="6" t="s">
        <v>29</v>
      </c>
      <c r="L374" s="6" t="s">
        <v>546</v>
      </c>
      <c r="M374" s="9">
        <v>44032</v>
      </c>
      <c r="O374" s="6">
        <v>43</v>
      </c>
      <c r="P374" s="6" t="s">
        <v>4403</v>
      </c>
      <c r="R374" s="10" t="s">
        <v>2002</v>
      </c>
      <c r="S374" s="10">
        <v>15</v>
      </c>
      <c r="T374" s="10">
        <v>20</v>
      </c>
      <c r="U374" s="10">
        <f t="shared" si="10"/>
        <v>17.5</v>
      </c>
      <c r="V374" s="11"/>
      <c r="W374" s="8">
        <v>-4.7862550443649292</v>
      </c>
      <c r="X374" s="8">
        <v>-37.14543683776855</v>
      </c>
      <c r="Y374" s="8">
        <f t="shared" si="11"/>
        <v>1.1446035171508839</v>
      </c>
    </row>
    <row r="375" spans="1:25" s="6" customFormat="1" x14ac:dyDescent="0.35">
      <c r="A375" s="6" t="s">
        <v>25</v>
      </c>
      <c r="B375" s="7" t="s">
        <v>2098</v>
      </c>
      <c r="D375" s="6" t="s">
        <v>2099</v>
      </c>
      <c r="E375" s="6">
        <v>4</v>
      </c>
      <c r="F375" s="6">
        <v>48</v>
      </c>
      <c r="G375" s="6" t="s">
        <v>546</v>
      </c>
      <c r="I375" s="8">
        <v>80.754295347222197</v>
      </c>
      <c r="J375" s="8">
        <v>-0.488818958333333</v>
      </c>
      <c r="K375" s="6" t="s">
        <v>29</v>
      </c>
      <c r="L375" s="6" t="s">
        <v>546</v>
      </c>
      <c r="M375" s="9">
        <v>44032</v>
      </c>
      <c r="O375" s="6">
        <v>43</v>
      </c>
      <c r="P375" s="6" t="s">
        <v>4403</v>
      </c>
      <c r="R375" s="10" t="s">
        <v>1999</v>
      </c>
      <c r="S375" s="10">
        <v>20</v>
      </c>
      <c r="T375" s="10">
        <v>25</v>
      </c>
      <c r="U375" s="10">
        <f t="shared" si="10"/>
        <v>22.5</v>
      </c>
      <c r="V375" s="11"/>
      <c r="W375" s="8">
        <v>-4.801194608116151</v>
      </c>
      <c r="X375" s="8">
        <v>-36.86352964172363</v>
      </c>
      <c r="Y375" s="8">
        <f t="shared" si="11"/>
        <v>1.5460272232055772</v>
      </c>
    </row>
    <row r="376" spans="1:25" s="6" customFormat="1" x14ac:dyDescent="0.35">
      <c r="A376" s="6" t="s">
        <v>25</v>
      </c>
      <c r="B376" s="7" t="s">
        <v>2073</v>
      </c>
      <c r="D376" s="6" t="s">
        <v>2074</v>
      </c>
      <c r="E376" s="6">
        <v>4</v>
      </c>
      <c r="F376" s="6">
        <v>48</v>
      </c>
      <c r="G376" s="6" t="s">
        <v>546</v>
      </c>
      <c r="I376" s="8">
        <v>80.754295347222197</v>
      </c>
      <c r="J376" s="8">
        <v>-0.488818958333333</v>
      </c>
      <c r="K376" s="6" t="s">
        <v>29</v>
      </c>
      <c r="L376" s="6" t="s">
        <v>546</v>
      </c>
      <c r="M376" s="9">
        <v>44032</v>
      </c>
      <c r="O376" s="6">
        <v>43</v>
      </c>
      <c r="P376" s="6" t="s">
        <v>4403</v>
      </c>
      <c r="R376" s="10" t="s">
        <v>1979</v>
      </c>
      <c r="S376" s="10">
        <v>25</v>
      </c>
      <c r="T376" s="10">
        <v>30</v>
      </c>
      <c r="U376" s="10">
        <f t="shared" si="10"/>
        <v>27.5</v>
      </c>
      <c r="V376" s="11"/>
      <c r="W376" s="8">
        <v>-4.6174062221527103</v>
      </c>
      <c r="X376" s="8">
        <v>-35.306530368804928</v>
      </c>
      <c r="Y376" s="8">
        <f t="shared" si="11"/>
        <v>1.6327194084167544</v>
      </c>
    </row>
    <row r="377" spans="1:25" s="6" customFormat="1" x14ac:dyDescent="0.35">
      <c r="A377" s="6" t="s">
        <v>25</v>
      </c>
      <c r="B377" s="7" t="s">
        <v>2068</v>
      </c>
      <c r="D377" s="6" t="s">
        <v>2069</v>
      </c>
      <c r="E377" s="6">
        <v>4</v>
      </c>
      <c r="F377" s="6">
        <v>48</v>
      </c>
      <c r="G377" s="6" t="s">
        <v>546</v>
      </c>
      <c r="I377" s="8">
        <v>80.754295347222197</v>
      </c>
      <c r="J377" s="8">
        <v>-0.488818958333333</v>
      </c>
      <c r="K377" s="6" t="s">
        <v>29</v>
      </c>
      <c r="L377" s="6" t="s">
        <v>546</v>
      </c>
      <c r="M377" s="9">
        <v>44032</v>
      </c>
      <c r="O377" s="6">
        <v>43</v>
      </c>
      <c r="P377" s="6" t="s">
        <v>4403</v>
      </c>
      <c r="R377" s="10" t="s">
        <v>1982</v>
      </c>
      <c r="S377" s="10">
        <v>30</v>
      </c>
      <c r="T377" s="10">
        <v>35</v>
      </c>
      <c r="U377" s="10">
        <f t="shared" si="10"/>
        <v>32.5</v>
      </c>
      <c r="V377" s="11"/>
      <c r="W377" s="8">
        <v>-4.3846578777313239</v>
      </c>
      <c r="X377" s="8">
        <v>-33.964325836181636</v>
      </c>
      <c r="Y377" s="8">
        <f t="shared" si="11"/>
        <v>1.1129371856689545</v>
      </c>
    </row>
    <row r="378" spans="1:25" s="6" customFormat="1" x14ac:dyDescent="0.35">
      <c r="A378" s="6" t="s">
        <v>25</v>
      </c>
      <c r="B378" s="7" t="s">
        <v>2086</v>
      </c>
      <c r="D378" s="6" t="s">
        <v>2087</v>
      </c>
      <c r="E378" s="6">
        <v>4</v>
      </c>
      <c r="F378" s="6">
        <v>48</v>
      </c>
      <c r="G378" s="6" t="s">
        <v>546</v>
      </c>
      <c r="I378" s="8">
        <v>80.754295347222197</v>
      </c>
      <c r="J378" s="8">
        <v>-0.488818958333333</v>
      </c>
      <c r="K378" s="6" t="s">
        <v>29</v>
      </c>
      <c r="L378" s="6" t="s">
        <v>546</v>
      </c>
      <c r="M378" s="9">
        <v>44032</v>
      </c>
      <c r="O378" s="6">
        <v>43</v>
      </c>
      <c r="P378" s="6" t="s">
        <v>4403</v>
      </c>
      <c r="R378" s="10" t="s">
        <v>2088</v>
      </c>
      <c r="S378" s="10">
        <v>35</v>
      </c>
      <c r="T378" s="10">
        <v>39</v>
      </c>
      <c r="U378" s="10">
        <f t="shared" si="10"/>
        <v>37</v>
      </c>
      <c r="V378" s="11"/>
      <c r="W378" s="8">
        <v>-4.2431950996398928</v>
      </c>
      <c r="X378" s="8">
        <v>-32.697530105590815</v>
      </c>
      <c r="Y378" s="8">
        <f t="shared" si="11"/>
        <v>1.2480306915283279</v>
      </c>
    </row>
    <row r="379" spans="1:25" s="6" customFormat="1" x14ac:dyDescent="0.35">
      <c r="A379" s="6" t="s">
        <v>25</v>
      </c>
      <c r="B379" s="7" t="s">
        <v>2063</v>
      </c>
      <c r="D379" s="6" t="s">
        <v>2064</v>
      </c>
      <c r="E379" s="6">
        <v>4</v>
      </c>
      <c r="F379" s="6">
        <v>48</v>
      </c>
      <c r="G379" s="6" t="s">
        <v>546</v>
      </c>
      <c r="I379" s="8">
        <v>80.754295347222197</v>
      </c>
      <c r="J379" s="8">
        <v>-0.488818958333333</v>
      </c>
      <c r="K379" s="6" t="s">
        <v>29</v>
      </c>
      <c r="L379" s="6" t="s">
        <v>546</v>
      </c>
      <c r="M379" s="9">
        <v>44032</v>
      </c>
      <c r="O379" s="6">
        <v>43</v>
      </c>
      <c r="P379" s="6" t="s">
        <v>4403</v>
      </c>
      <c r="R379" s="10" t="s">
        <v>2065</v>
      </c>
      <c r="S379" s="10">
        <v>39</v>
      </c>
      <c r="T379" s="10">
        <v>45</v>
      </c>
      <c r="U379" s="10">
        <f t="shared" si="10"/>
        <v>42</v>
      </c>
      <c r="V379" s="11"/>
      <c r="W379" s="8">
        <v>-4.0829459801673895</v>
      </c>
      <c r="X379" s="8">
        <v>-31.81111690406799</v>
      </c>
      <c r="Y379" s="8">
        <f t="shared" si="11"/>
        <v>0.85245093727112575</v>
      </c>
    </row>
    <row r="380" spans="1:25" s="6" customFormat="1" x14ac:dyDescent="0.35">
      <c r="A380" s="6" t="s">
        <v>25</v>
      </c>
      <c r="B380" s="7" t="s">
        <v>2080</v>
      </c>
      <c r="D380" s="6" t="s">
        <v>2081</v>
      </c>
      <c r="E380" s="6">
        <v>4</v>
      </c>
      <c r="F380" s="6">
        <v>48</v>
      </c>
      <c r="G380" s="6" t="s">
        <v>546</v>
      </c>
      <c r="I380" s="8">
        <v>80.754295347222197</v>
      </c>
      <c r="J380" s="8">
        <v>-0.488818958333333</v>
      </c>
      <c r="K380" s="6" t="s">
        <v>29</v>
      </c>
      <c r="L380" s="6" t="s">
        <v>546</v>
      </c>
      <c r="M380" s="9">
        <v>44032</v>
      </c>
      <c r="O380" s="6">
        <v>43</v>
      </c>
      <c r="P380" s="6" t="s">
        <v>4403</v>
      </c>
      <c r="R380" s="10" t="s">
        <v>2082</v>
      </c>
      <c r="S380" s="10">
        <v>45</v>
      </c>
      <c r="T380" s="10">
        <v>50</v>
      </c>
      <c r="U380" s="10">
        <f t="shared" si="10"/>
        <v>47.5</v>
      </c>
      <c r="V380" s="11"/>
      <c r="W380" s="8">
        <v>-3.6945811832427986</v>
      </c>
      <c r="X380" s="8">
        <v>-28.318438880920411</v>
      </c>
      <c r="Y380" s="8">
        <f t="shared" si="11"/>
        <v>1.238210585021978</v>
      </c>
    </row>
    <row r="381" spans="1:25" s="6" customFormat="1" x14ac:dyDescent="0.35">
      <c r="A381" s="6" t="s">
        <v>25</v>
      </c>
      <c r="B381" s="7" t="s">
        <v>2102</v>
      </c>
      <c r="D381" s="6" t="s">
        <v>2103</v>
      </c>
      <c r="E381" s="6">
        <v>4</v>
      </c>
      <c r="F381" s="6">
        <v>48</v>
      </c>
      <c r="G381" s="6" t="s">
        <v>546</v>
      </c>
      <c r="I381" s="8">
        <v>80.754295347222197</v>
      </c>
      <c r="J381" s="8">
        <v>-0.488818958333333</v>
      </c>
      <c r="K381" s="6" t="s">
        <v>29</v>
      </c>
      <c r="L381" s="6" t="s">
        <v>546</v>
      </c>
      <c r="M381" s="9">
        <v>44032</v>
      </c>
      <c r="O381" s="6">
        <v>43</v>
      </c>
      <c r="P381" s="6" t="s">
        <v>4403</v>
      </c>
      <c r="R381" s="10" t="s">
        <v>2104</v>
      </c>
      <c r="S381" s="10">
        <v>50</v>
      </c>
      <c r="T381" s="10">
        <v>55</v>
      </c>
      <c r="U381" s="10">
        <f t="shared" si="10"/>
        <v>52.5</v>
      </c>
      <c r="V381" s="11"/>
      <c r="W381" s="8">
        <v>-3.377826572799683</v>
      </c>
      <c r="X381" s="8">
        <v>-25.827045537567134</v>
      </c>
      <c r="Y381" s="8">
        <f t="shared" si="11"/>
        <v>1.1955670448303302</v>
      </c>
    </row>
    <row r="382" spans="1:25" s="6" customFormat="1" x14ac:dyDescent="0.35">
      <c r="A382" s="6" t="s">
        <v>25</v>
      </c>
      <c r="B382" s="7" t="s">
        <v>2120</v>
      </c>
      <c r="D382" s="6" t="s">
        <v>2121</v>
      </c>
      <c r="E382" s="6">
        <v>4</v>
      </c>
      <c r="F382" s="6">
        <v>48</v>
      </c>
      <c r="G382" s="6" t="s">
        <v>546</v>
      </c>
      <c r="I382" s="8">
        <v>80.754295347222197</v>
      </c>
      <c r="J382" s="8">
        <v>-0.488818958333333</v>
      </c>
      <c r="K382" s="6" t="s">
        <v>29</v>
      </c>
      <c r="L382" s="6" t="s">
        <v>546</v>
      </c>
      <c r="M382" s="9">
        <v>44032</v>
      </c>
      <c r="O382" s="6">
        <v>43</v>
      </c>
      <c r="P382" s="6" t="s">
        <v>4403</v>
      </c>
      <c r="R382" s="10" t="s">
        <v>2122</v>
      </c>
      <c r="S382" s="10">
        <v>55</v>
      </c>
      <c r="T382" s="10">
        <v>60</v>
      </c>
      <c r="U382" s="10">
        <f t="shared" si="10"/>
        <v>57.5</v>
      </c>
      <c r="V382" s="11"/>
      <c r="W382" s="8">
        <v>-3.1335355212688447</v>
      </c>
      <c r="X382" s="8">
        <v>-22.930991773605346</v>
      </c>
      <c r="Y382" s="8">
        <f t="shared" si="11"/>
        <v>2.137292396545412</v>
      </c>
    </row>
    <row r="383" spans="1:25" s="6" customFormat="1" x14ac:dyDescent="0.35">
      <c r="A383" s="6" t="s">
        <v>25</v>
      </c>
      <c r="B383" s="7" t="s">
        <v>2095</v>
      </c>
      <c r="D383" s="6" t="s">
        <v>2096</v>
      </c>
      <c r="E383" s="6">
        <v>4</v>
      </c>
      <c r="F383" s="6">
        <v>48</v>
      </c>
      <c r="G383" s="6" t="s">
        <v>546</v>
      </c>
      <c r="I383" s="8">
        <v>80.754295347222197</v>
      </c>
      <c r="J383" s="8">
        <v>-0.488818958333333</v>
      </c>
      <c r="K383" s="6" t="s">
        <v>29</v>
      </c>
      <c r="L383" s="6" t="s">
        <v>546</v>
      </c>
      <c r="M383" s="9">
        <v>44032</v>
      </c>
      <c r="O383" s="6">
        <v>43</v>
      </c>
      <c r="P383" s="6" t="s">
        <v>4403</v>
      </c>
      <c r="R383" s="10" t="s">
        <v>2097</v>
      </c>
      <c r="S383" s="10">
        <v>60</v>
      </c>
      <c r="T383" s="10">
        <v>65</v>
      </c>
      <c r="U383" s="10">
        <f t="shared" si="10"/>
        <v>62.5</v>
      </c>
      <c r="V383" s="11"/>
      <c r="W383" s="8">
        <v>-3.1285181831359865</v>
      </c>
      <c r="X383" s="8">
        <v>-24.382479867553712</v>
      </c>
      <c r="Y383" s="8">
        <f t="shared" si="11"/>
        <v>0.64566559753417962</v>
      </c>
    </row>
    <row r="384" spans="1:25" s="6" customFormat="1" x14ac:dyDescent="0.35">
      <c r="A384" s="6" t="s">
        <v>25</v>
      </c>
      <c r="B384" s="7" t="s">
        <v>2161</v>
      </c>
      <c r="D384" s="6" t="s">
        <v>2162</v>
      </c>
      <c r="E384" s="6">
        <v>4</v>
      </c>
      <c r="F384" s="6">
        <v>48</v>
      </c>
      <c r="G384" s="6" t="s">
        <v>546</v>
      </c>
      <c r="I384" s="8">
        <v>80.754295347222197</v>
      </c>
      <c r="J384" s="8">
        <v>-0.488818958333333</v>
      </c>
      <c r="K384" s="6" t="s">
        <v>29</v>
      </c>
      <c r="L384" s="6" t="s">
        <v>546</v>
      </c>
      <c r="M384" s="9">
        <v>44032</v>
      </c>
      <c r="O384" s="6">
        <v>43</v>
      </c>
      <c r="P384" s="6" t="s">
        <v>4403</v>
      </c>
      <c r="R384" s="10" t="s">
        <v>2163</v>
      </c>
      <c r="S384" s="10">
        <v>65</v>
      </c>
      <c r="T384" s="10">
        <v>70</v>
      </c>
      <c r="U384" s="10">
        <f t="shared" si="10"/>
        <v>67.5</v>
      </c>
      <c r="V384" s="11"/>
      <c r="W384" s="8">
        <v>-3.3539262083053591</v>
      </c>
      <c r="X384" s="8">
        <v>-25.795531488418579</v>
      </c>
      <c r="Y384" s="8">
        <f t="shared" si="11"/>
        <v>1.0358781780242943</v>
      </c>
    </row>
    <row r="385" spans="1:26" s="6" customFormat="1" x14ac:dyDescent="0.35">
      <c r="A385" s="6" t="s">
        <v>25</v>
      </c>
      <c r="B385" s="7" t="s">
        <v>2117</v>
      </c>
      <c r="D385" s="6" t="s">
        <v>2118</v>
      </c>
      <c r="E385" s="6">
        <v>4</v>
      </c>
      <c r="F385" s="6">
        <v>48</v>
      </c>
      <c r="G385" s="6" t="s">
        <v>546</v>
      </c>
      <c r="I385" s="8">
        <v>80.754295347222197</v>
      </c>
      <c r="J385" s="8">
        <v>-0.488818958333333</v>
      </c>
      <c r="K385" s="6" t="s">
        <v>29</v>
      </c>
      <c r="L385" s="6" t="s">
        <v>546</v>
      </c>
      <c r="M385" s="9">
        <v>44032</v>
      </c>
      <c r="O385" s="6">
        <v>43</v>
      </c>
      <c r="P385" s="6" t="s">
        <v>4403</v>
      </c>
      <c r="R385" s="10" t="s">
        <v>2119</v>
      </c>
      <c r="S385" s="10">
        <v>70</v>
      </c>
      <c r="T385" s="10">
        <v>75</v>
      </c>
      <c r="U385" s="10">
        <f t="shared" si="10"/>
        <v>72.5</v>
      </c>
      <c r="V385" s="11"/>
      <c r="W385" s="8">
        <v>-3.4159958490371714</v>
      </c>
      <c r="X385" s="8">
        <v>-26.158174684143066</v>
      </c>
      <c r="Y385" s="8">
        <f t="shared" si="11"/>
        <v>1.1697921081543043</v>
      </c>
    </row>
    <row r="386" spans="1:26" s="6" customFormat="1" x14ac:dyDescent="0.35">
      <c r="A386" s="6" t="s">
        <v>25</v>
      </c>
      <c r="B386" s="7" t="s">
        <v>2058</v>
      </c>
      <c r="D386" s="6" t="s">
        <v>2059</v>
      </c>
      <c r="E386" s="6">
        <v>4</v>
      </c>
      <c r="F386" s="6">
        <v>48</v>
      </c>
      <c r="G386" s="6" t="s">
        <v>546</v>
      </c>
      <c r="I386" s="8">
        <v>80.754295347222197</v>
      </c>
      <c r="J386" s="8">
        <v>-0.488818958333333</v>
      </c>
      <c r="K386" s="6" t="s">
        <v>29</v>
      </c>
      <c r="L386" s="6" t="s">
        <v>546</v>
      </c>
      <c r="M386" s="9">
        <v>44032</v>
      </c>
      <c r="O386" s="6">
        <v>43</v>
      </c>
      <c r="P386" s="6" t="s">
        <v>4403</v>
      </c>
      <c r="R386" s="10" t="s">
        <v>2060</v>
      </c>
      <c r="S386" s="10">
        <v>75</v>
      </c>
      <c r="T386" s="10">
        <v>80</v>
      </c>
      <c r="U386" s="10">
        <f t="shared" ref="U386:U413" si="12">AVERAGE(S386:T386)</f>
        <v>77.5</v>
      </c>
      <c r="V386" s="11"/>
      <c r="W386" s="8">
        <v>-3.3855677490711216</v>
      </c>
      <c r="X386" s="8">
        <v>-26.093419940948486</v>
      </c>
      <c r="Y386" s="8">
        <f t="shared" ref="Y386:Y413" si="13">X386-(8*W386)</f>
        <v>0.99112205162048639</v>
      </c>
    </row>
    <row r="387" spans="1:26" s="6" customFormat="1" x14ac:dyDescent="0.35">
      <c r="A387" s="6" t="s">
        <v>25</v>
      </c>
      <c r="B387" s="7" t="s">
        <v>2055</v>
      </c>
      <c r="D387" s="6" t="s">
        <v>2056</v>
      </c>
      <c r="E387" s="6">
        <v>4</v>
      </c>
      <c r="F387" s="6">
        <v>48</v>
      </c>
      <c r="G387" s="6" t="s">
        <v>546</v>
      </c>
      <c r="I387" s="8">
        <v>80.754295347222197</v>
      </c>
      <c r="J387" s="8">
        <v>-0.488818958333333</v>
      </c>
      <c r="K387" s="6" t="s">
        <v>29</v>
      </c>
      <c r="L387" s="6" t="s">
        <v>546</v>
      </c>
      <c r="M387" s="9">
        <v>44032</v>
      </c>
      <c r="O387" s="6">
        <v>43</v>
      </c>
      <c r="P387" s="6" t="s">
        <v>4403</v>
      </c>
      <c r="R387" s="10" t="s">
        <v>2057</v>
      </c>
      <c r="S387" s="10">
        <v>80</v>
      </c>
      <c r="T387" s="10">
        <v>85</v>
      </c>
      <c r="U387" s="10">
        <f t="shared" si="12"/>
        <v>82.5</v>
      </c>
      <c r="V387" s="11"/>
      <c r="W387" s="8">
        <v>-3.0150084360122684</v>
      </c>
      <c r="X387" s="8">
        <v>-24.246252632141115</v>
      </c>
      <c r="Y387" s="8">
        <f t="shared" si="13"/>
        <v>-0.12618514404296732</v>
      </c>
    </row>
    <row r="388" spans="1:26" s="6" customFormat="1" x14ac:dyDescent="0.35">
      <c r="A388" s="6" t="s">
        <v>25</v>
      </c>
      <c r="B388" s="7" t="s">
        <v>2089</v>
      </c>
      <c r="D388" s="6" t="s">
        <v>2090</v>
      </c>
      <c r="E388" s="6">
        <v>4</v>
      </c>
      <c r="F388" s="6">
        <v>48</v>
      </c>
      <c r="G388" s="6" t="s">
        <v>546</v>
      </c>
      <c r="I388" s="8">
        <v>80.754295347222197</v>
      </c>
      <c r="J388" s="8">
        <v>-0.488818958333333</v>
      </c>
      <c r="K388" s="6" t="s">
        <v>29</v>
      </c>
      <c r="L388" s="6" t="s">
        <v>546</v>
      </c>
      <c r="M388" s="9">
        <v>44032</v>
      </c>
      <c r="O388" s="6">
        <v>43</v>
      </c>
      <c r="P388" s="6" t="s">
        <v>4403</v>
      </c>
      <c r="R388" s="10" t="s">
        <v>2091</v>
      </c>
      <c r="S388" s="10">
        <v>85</v>
      </c>
      <c r="T388" s="10">
        <v>90</v>
      </c>
      <c r="U388" s="10">
        <f t="shared" si="12"/>
        <v>87.5</v>
      </c>
      <c r="V388" s="11"/>
      <c r="W388" s="8">
        <v>-2.4474301994323735</v>
      </c>
      <c r="X388" s="8">
        <v>-18.973312252044678</v>
      </c>
      <c r="Y388" s="8">
        <f t="shared" si="13"/>
        <v>0.60612934341430957</v>
      </c>
    </row>
    <row r="389" spans="1:26" s="6" customFormat="1" x14ac:dyDescent="0.35">
      <c r="A389" s="6" t="s">
        <v>25</v>
      </c>
      <c r="B389" s="7" t="s">
        <v>2129</v>
      </c>
      <c r="D389" s="6" t="s">
        <v>2130</v>
      </c>
      <c r="E389" s="6">
        <v>4</v>
      </c>
      <c r="F389" s="6">
        <v>48</v>
      </c>
      <c r="G389" s="6" t="s">
        <v>546</v>
      </c>
      <c r="I389" s="8">
        <v>80.754295347222197</v>
      </c>
      <c r="J389" s="8">
        <v>-0.488818958333333</v>
      </c>
      <c r="K389" s="6" t="s">
        <v>29</v>
      </c>
      <c r="L389" s="6" t="s">
        <v>546</v>
      </c>
      <c r="M389" s="9">
        <v>44032</v>
      </c>
      <c r="O389" s="6">
        <v>43</v>
      </c>
      <c r="P389" s="6" t="s">
        <v>4403</v>
      </c>
      <c r="R389" s="10" t="s">
        <v>2131</v>
      </c>
      <c r="S389" s="10">
        <v>90</v>
      </c>
      <c r="T389" s="10">
        <v>95</v>
      </c>
      <c r="U389" s="10">
        <f t="shared" si="12"/>
        <v>92.5</v>
      </c>
      <c r="V389" s="11"/>
      <c r="W389" s="8">
        <v>-1.907821376562119</v>
      </c>
      <c r="X389" s="8">
        <v>-13.730305028915405</v>
      </c>
      <c r="Y389" s="8">
        <f t="shared" si="13"/>
        <v>1.5322659835815475</v>
      </c>
    </row>
    <row r="390" spans="1:26" s="6" customFormat="1" x14ac:dyDescent="0.35">
      <c r="A390" s="6" t="s">
        <v>25</v>
      </c>
      <c r="B390" s="7" t="s">
        <v>2105</v>
      </c>
      <c r="D390" s="6" t="s">
        <v>2106</v>
      </c>
      <c r="E390" s="6">
        <v>4</v>
      </c>
      <c r="F390" s="6">
        <v>48</v>
      </c>
      <c r="G390" s="6" t="s">
        <v>546</v>
      </c>
      <c r="I390" s="8">
        <v>80.754295347222197</v>
      </c>
      <c r="J390" s="8">
        <v>-0.488818958333333</v>
      </c>
      <c r="K390" s="6" t="s">
        <v>29</v>
      </c>
      <c r="L390" s="6" t="s">
        <v>546</v>
      </c>
      <c r="M390" s="9">
        <v>44032</v>
      </c>
      <c r="O390" s="6">
        <v>43</v>
      </c>
      <c r="P390" s="6" t="s">
        <v>4403</v>
      </c>
      <c r="R390" s="10" t="s">
        <v>2107</v>
      </c>
      <c r="S390" s="10">
        <v>95</v>
      </c>
      <c r="T390" s="10">
        <v>100</v>
      </c>
      <c r="U390" s="10">
        <f t="shared" si="12"/>
        <v>97.5</v>
      </c>
      <c r="V390" s="11"/>
      <c r="W390" s="8">
        <v>-2.1781229375839239</v>
      </c>
      <c r="X390" s="8">
        <v>-16.481512651062012</v>
      </c>
      <c r="Y390" s="8">
        <f t="shared" si="13"/>
        <v>0.94347084960937977</v>
      </c>
    </row>
    <row r="391" spans="1:26" s="13" customFormat="1" x14ac:dyDescent="0.35">
      <c r="A391" s="6" t="s">
        <v>25</v>
      </c>
      <c r="B391" s="7" t="s">
        <v>2108</v>
      </c>
      <c r="C391" s="6"/>
      <c r="D391" s="6" t="s">
        <v>2109</v>
      </c>
      <c r="E391" s="6">
        <v>4</v>
      </c>
      <c r="F391" s="6">
        <v>48</v>
      </c>
      <c r="G391" s="6" t="s">
        <v>546</v>
      </c>
      <c r="H391" s="6"/>
      <c r="I391" s="8">
        <v>80.754295347222197</v>
      </c>
      <c r="J391" s="8">
        <v>-0.488818958333333</v>
      </c>
      <c r="K391" s="6" t="s">
        <v>29</v>
      </c>
      <c r="L391" s="6" t="s">
        <v>546</v>
      </c>
      <c r="M391" s="9">
        <v>44032</v>
      </c>
      <c r="N391" s="6"/>
      <c r="O391" s="6">
        <v>43</v>
      </c>
      <c r="P391" s="6" t="s">
        <v>4403</v>
      </c>
      <c r="Q391" s="6"/>
      <c r="R391" s="10" t="s">
        <v>2110</v>
      </c>
      <c r="S391" s="10">
        <v>100</v>
      </c>
      <c r="T391" s="10">
        <v>105</v>
      </c>
      <c r="U391" s="10">
        <f t="shared" si="12"/>
        <v>102.5</v>
      </c>
      <c r="V391" s="11"/>
      <c r="W391" s="8">
        <v>-2.0821137365341187</v>
      </c>
      <c r="X391" s="8">
        <v>-15.794802710151673</v>
      </c>
      <c r="Y391" s="8">
        <f t="shared" si="13"/>
        <v>0.86210718212127624</v>
      </c>
      <c r="Z391" s="6"/>
    </row>
    <row r="392" spans="1:26" s="13" customFormat="1" x14ac:dyDescent="0.35">
      <c r="A392" s="6" t="s">
        <v>25</v>
      </c>
      <c r="B392" s="7" t="s">
        <v>2114</v>
      </c>
      <c r="C392" s="6"/>
      <c r="D392" s="6" t="s">
        <v>2115</v>
      </c>
      <c r="E392" s="6">
        <v>4</v>
      </c>
      <c r="F392" s="6">
        <v>48</v>
      </c>
      <c r="G392" s="6" t="s">
        <v>546</v>
      </c>
      <c r="H392" s="6"/>
      <c r="I392" s="8">
        <v>80.754295347222197</v>
      </c>
      <c r="J392" s="8">
        <v>-0.488818958333333</v>
      </c>
      <c r="K392" s="6" t="s">
        <v>29</v>
      </c>
      <c r="L392" s="6" t="s">
        <v>546</v>
      </c>
      <c r="M392" s="9">
        <v>44032</v>
      </c>
      <c r="N392" s="6"/>
      <c r="O392" s="6">
        <v>43</v>
      </c>
      <c r="P392" s="6" t="s">
        <v>4403</v>
      </c>
      <c r="Q392" s="6"/>
      <c r="R392" s="10" t="s">
        <v>2116</v>
      </c>
      <c r="S392" s="10">
        <v>105</v>
      </c>
      <c r="T392" s="10">
        <v>110</v>
      </c>
      <c r="U392" s="10">
        <f t="shared" si="12"/>
        <v>107.5</v>
      </c>
      <c r="V392" s="11"/>
      <c r="W392" s="8">
        <v>-2.0047699121475224</v>
      </c>
      <c r="X392" s="8">
        <v>-14.981993898963928</v>
      </c>
      <c r="Y392" s="8">
        <f t="shared" si="13"/>
        <v>1.0561653982162511</v>
      </c>
      <c r="Z392" s="6"/>
    </row>
    <row r="393" spans="1:26" s="13" customFormat="1" x14ac:dyDescent="0.35">
      <c r="A393" s="6" t="s">
        <v>25</v>
      </c>
      <c r="B393" s="7" t="s">
        <v>2075</v>
      </c>
      <c r="C393" s="6"/>
      <c r="D393" s="6" t="s">
        <v>2076</v>
      </c>
      <c r="E393" s="6">
        <v>4</v>
      </c>
      <c r="F393" s="6">
        <v>48</v>
      </c>
      <c r="G393" s="6" t="s">
        <v>546</v>
      </c>
      <c r="H393" s="6"/>
      <c r="I393" s="8">
        <v>80.754295347222197</v>
      </c>
      <c r="J393" s="8">
        <v>-0.488818958333333</v>
      </c>
      <c r="K393" s="6" t="s">
        <v>29</v>
      </c>
      <c r="L393" s="6" t="s">
        <v>546</v>
      </c>
      <c r="M393" s="9">
        <v>44032</v>
      </c>
      <c r="N393" s="6"/>
      <c r="O393" s="6">
        <v>43</v>
      </c>
      <c r="P393" s="6" t="s">
        <v>4403</v>
      </c>
      <c r="Q393" s="6"/>
      <c r="R393" s="10" t="s">
        <v>2077</v>
      </c>
      <c r="S393" s="10">
        <v>110</v>
      </c>
      <c r="T393" s="10">
        <v>115</v>
      </c>
      <c r="U393" s="10">
        <f t="shared" si="12"/>
        <v>112.5</v>
      </c>
      <c r="V393" s="11"/>
      <c r="W393" s="8">
        <v>-1.6631458018302923</v>
      </c>
      <c r="X393" s="8">
        <v>-11.956790755271912</v>
      </c>
      <c r="Y393" s="8">
        <f t="shared" si="13"/>
        <v>1.3483756593704257</v>
      </c>
      <c r="Z393" s="6"/>
    </row>
    <row r="394" spans="1:26" s="13" customFormat="1" x14ac:dyDescent="0.35">
      <c r="A394" s="6" t="s">
        <v>25</v>
      </c>
      <c r="B394" s="7" t="s">
        <v>2070</v>
      </c>
      <c r="C394" s="6"/>
      <c r="D394" s="6" t="s">
        <v>2071</v>
      </c>
      <c r="E394" s="6">
        <v>4</v>
      </c>
      <c r="F394" s="6">
        <v>48</v>
      </c>
      <c r="G394" s="6" t="s">
        <v>546</v>
      </c>
      <c r="H394" s="6"/>
      <c r="I394" s="8">
        <v>80.754295347222197</v>
      </c>
      <c r="J394" s="8">
        <v>-0.488818958333333</v>
      </c>
      <c r="K394" s="6" t="s">
        <v>29</v>
      </c>
      <c r="L394" s="6" t="s">
        <v>546</v>
      </c>
      <c r="M394" s="9">
        <v>44032</v>
      </c>
      <c r="N394" s="6"/>
      <c r="O394" s="6">
        <v>43</v>
      </c>
      <c r="P394" s="6" t="s">
        <v>4403</v>
      </c>
      <c r="Q394" s="6"/>
      <c r="R394" s="10" t="s">
        <v>2072</v>
      </c>
      <c r="S394" s="10">
        <v>115</v>
      </c>
      <c r="T394" s="10">
        <v>120</v>
      </c>
      <c r="U394" s="10">
        <f t="shared" si="12"/>
        <v>117.5</v>
      </c>
      <c r="V394" s="11"/>
      <c r="W394" s="8">
        <v>-1.4746751006126404</v>
      </c>
      <c r="X394" s="8">
        <v>-11.352610090255737</v>
      </c>
      <c r="Y394" s="8">
        <f t="shared" si="13"/>
        <v>0.44479071464538578</v>
      </c>
      <c r="Z394" s="6"/>
    </row>
    <row r="395" spans="1:26" s="13" customFormat="1" x14ac:dyDescent="0.35">
      <c r="A395" s="6" t="s">
        <v>25</v>
      </c>
      <c r="B395" s="7" t="s">
        <v>2092</v>
      </c>
      <c r="C395" s="6"/>
      <c r="D395" s="6" t="s">
        <v>2093</v>
      </c>
      <c r="E395" s="6">
        <v>4</v>
      </c>
      <c r="F395" s="6">
        <v>48</v>
      </c>
      <c r="G395" s="6" t="s">
        <v>546</v>
      </c>
      <c r="H395" s="6"/>
      <c r="I395" s="8">
        <v>80.754295347222197</v>
      </c>
      <c r="J395" s="8">
        <v>-0.488818958333333</v>
      </c>
      <c r="K395" s="6" t="s">
        <v>29</v>
      </c>
      <c r="L395" s="6" t="s">
        <v>546</v>
      </c>
      <c r="M395" s="9">
        <v>44032</v>
      </c>
      <c r="N395" s="6"/>
      <c r="O395" s="6">
        <v>43</v>
      </c>
      <c r="P395" s="6" t="s">
        <v>4403</v>
      </c>
      <c r="Q395" s="6"/>
      <c r="R395" s="10" t="s">
        <v>2094</v>
      </c>
      <c r="S395" s="10">
        <v>120</v>
      </c>
      <c r="T395" s="10">
        <v>125</v>
      </c>
      <c r="U395" s="10">
        <f t="shared" si="12"/>
        <v>122.5</v>
      </c>
      <c r="V395" s="11"/>
      <c r="W395" s="8">
        <v>-1.9176022304534917</v>
      </c>
      <c r="X395" s="8">
        <v>-14.813483164405824</v>
      </c>
      <c r="Y395" s="8">
        <f t="shared" si="13"/>
        <v>0.52733467922210941</v>
      </c>
      <c r="Z395" s="6"/>
    </row>
    <row r="396" spans="1:26" s="13" customFormat="1" x14ac:dyDescent="0.35">
      <c r="A396" s="6" t="s">
        <v>25</v>
      </c>
      <c r="B396" s="7" t="s">
        <v>2132</v>
      </c>
      <c r="C396" s="6"/>
      <c r="D396" s="6" t="s">
        <v>2133</v>
      </c>
      <c r="E396" s="6">
        <v>4</v>
      </c>
      <c r="F396" s="6">
        <v>48</v>
      </c>
      <c r="G396" s="6" t="s">
        <v>546</v>
      </c>
      <c r="H396" s="6"/>
      <c r="I396" s="8">
        <v>80.754295347222197</v>
      </c>
      <c r="J396" s="8">
        <v>-0.488818958333333</v>
      </c>
      <c r="K396" s="6" t="s">
        <v>29</v>
      </c>
      <c r="L396" s="6" t="s">
        <v>546</v>
      </c>
      <c r="M396" s="9">
        <v>44032</v>
      </c>
      <c r="N396" s="6"/>
      <c r="O396" s="6">
        <v>43</v>
      </c>
      <c r="P396" s="6" t="s">
        <v>4403</v>
      </c>
      <c r="Q396" s="6"/>
      <c r="R396" s="10" t="s">
        <v>2134</v>
      </c>
      <c r="S396" s="10">
        <v>125</v>
      </c>
      <c r="T396" s="10">
        <v>130</v>
      </c>
      <c r="U396" s="10">
        <f t="shared" si="12"/>
        <v>127.5</v>
      </c>
      <c r="V396" s="11"/>
      <c r="W396" s="8">
        <v>-2.5818069698810575</v>
      </c>
      <c r="X396" s="8">
        <v>-19.436798449516296</v>
      </c>
      <c r="Y396" s="8">
        <f t="shared" si="13"/>
        <v>1.2176573095321643</v>
      </c>
      <c r="Z396" s="6"/>
    </row>
    <row r="397" spans="1:26" s="13" customFormat="1" x14ac:dyDescent="0.35">
      <c r="A397" s="6" t="s">
        <v>25</v>
      </c>
      <c r="B397" s="7" t="s">
        <v>2149</v>
      </c>
      <c r="C397" s="6"/>
      <c r="D397" s="6" t="s">
        <v>2150</v>
      </c>
      <c r="E397" s="6">
        <v>4</v>
      </c>
      <c r="F397" s="6">
        <v>48</v>
      </c>
      <c r="G397" s="6" t="s">
        <v>546</v>
      </c>
      <c r="H397" s="6"/>
      <c r="I397" s="8">
        <v>80.754295347222197</v>
      </c>
      <c r="J397" s="8">
        <v>-0.488818958333333</v>
      </c>
      <c r="K397" s="6" t="s">
        <v>29</v>
      </c>
      <c r="L397" s="6" t="s">
        <v>546</v>
      </c>
      <c r="M397" s="9">
        <v>44032</v>
      </c>
      <c r="N397" s="6"/>
      <c r="O397" s="6">
        <v>43</v>
      </c>
      <c r="P397" s="6" t="s">
        <v>4403</v>
      </c>
      <c r="Q397" s="6"/>
      <c r="R397" s="10" t="s">
        <v>2151</v>
      </c>
      <c r="S397" s="10">
        <v>130</v>
      </c>
      <c r="T397" s="10">
        <v>135</v>
      </c>
      <c r="U397" s="10">
        <f t="shared" si="12"/>
        <v>132.5</v>
      </c>
      <c r="V397" s="11"/>
      <c r="W397" s="8">
        <v>-5.1166669842004779</v>
      </c>
      <c r="X397" s="8">
        <v>-40.173906728744498</v>
      </c>
      <c r="Y397" s="8">
        <f t="shared" si="13"/>
        <v>0.75942914485932533</v>
      </c>
      <c r="Z397" s="6"/>
    </row>
    <row r="398" spans="1:26" s="13" customFormat="1" x14ac:dyDescent="0.35">
      <c r="A398" s="6" t="s">
        <v>25</v>
      </c>
      <c r="B398" s="7" t="s">
        <v>2083</v>
      </c>
      <c r="C398" s="6"/>
      <c r="D398" s="6" t="s">
        <v>2084</v>
      </c>
      <c r="E398" s="6">
        <v>4</v>
      </c>
      <c r="F398" s="6">
        <v>48</v>
      </c>
      <c r="G398" s="6" t="s">
        <v>546</v>
      </c>
      <c r="H398" s="6"/>
      <c r="I398" s="8">
        <v>80.754295347222197</v>
      </c>
      <c r="J398" s="8">
        <v>-0.488818958333333</v>
      </c>
      <c r="K398" s="6" t="s">
        <v>29</v>
      </c>
      <c r="L398" s="6" t="s">
        <v>546</v>
      </c>
      <c r="M398" s="9">
        <v>44032</v>
      </c>
      <c r="N398" s="6"/>
      <c r="O398" s="6">
        <v>43</v>
      </c>
      <c r="P398" s="6" t="s">
        <v>4403</v>
      </c>
      <c r="Q398" s="6"/>
      <c r="R398" s="10" t="s">
        <v>2085</v>
      </c>
      <c r="S398" s="10">
        <v>135</v>
      </c>
      <c r="T398" s="10">
        <v>140</v>
      </c>
      <c r="U398" s="10">
        <f t="shared" si="12"/>
        <v>137.5</v>
      </c>
      <c r="V398" s="11"/>
      <c r="W398" s="8">
        <v>-6.7821773345947269</v>
      </c>
      <c r="X398" s="8">
        <v>-53.486570880889886</v>
      </c>
      <c r="Y398" s="8">
        <f t="shared" si="13"/>
        <v>0.77084779586792962</v>
      </c>
      <c r="Z398" s="6"/>
    </row>
    <row r="399" spans="1:26" s="13" customFormat="1" x14ac:dyDescent="0.35">
      <c r="A399" s="6" t="s">
        <v>25</v>
      </c>
      <c r="B399" s="7" t="s">
        <v>2111</v>
      </c>
      <c r="C399" s="6"/>
      <c r="D399" s="6" t="s">
        <v>2112</v>
      </c>
      <c r="E399" s="6">
        <v>4</v>
      </c>
      <c r="F399" s="6">
        <v>48</v>
      </c>
      <c r="G399" s="6" t="s">
        <v>546</v>
      </c>
      <c r="H399" s="6"/>
      <c r="I399" s="8">
        <v>80.754295347222197</v>
      </c>
      <c r="J399" s="8">
        <v>-0.488818958333333</v>
      </c>
      <c r="K399" s="6" t="s">
        <v>29</v>
      </c>
      <c r="L399" s="6" t="s">
        <v>546</v>
      </c>
      <c r="M399" s="9">
        <v>44032</v>
      </c>
      <c r="N399" s="6"/>
      <c r="O399" s="6">
        <v>43</v>
      </c>
      <c r="P399" s="6" t="s">
        <v>4403</v>
      </c>
      <c r="Q399" s="6"/>
      <c r="R399" s="10" t="s">
        <v>2113</v>
      </c>
      <c r="S399" s="10">
        <v>140</v>
      </c>
      <c r="T399" s="10">
        <v>145</v>
      </c>
      <c r="U399" s="10">
        <f t="shared" si="12"/>
        <v>142.5</v>
      </c>
      <c r="V399" s="11"/>
      <c r="W399" s="8">
        <v>-5.2834217285156253</v>
      </c>
      <c r="X399" s="8">
        <v>-42.107446996307367</v>
      </c>
      <c r="Y399" s="8">
        <f t="shared" si="13"/>
        <v>0.15992683181763567</v>
      </c>
      <c r="Z399" s="6"/>
    </row>
    <row r="400" spans="1:26" s="13" customFormat="1" x14ac:dyDescent="0.35">
      <c r="A400" s="6" t="s">
        <v>25</v>
      </c>
      <c r="B400" s="7" t="s">
        <v>2052</v>
      </c>
      <c r="C400" s="6"/>
      <c r="D400" s="6" t="s">
        <v>2053</v>
      </c>
      <c r="E400" s="6">
        <v>4</v>
      </c>
      <c r="F400" s="6">
        <v>48</v>
      </c>
      <c r="G400" s="6" t="s">
        <v>546</v>
      </c>
      <c r="H400" s="6"/>
      <c r="I400" s="8">
        <v>80.754295347222197</v>
      </c>
      <c r="J400" s="8">
        <v>-0.488818958333333</v>
      </c>
      <c r="K400" s="6" t="s">
        <v>29</v>
      </c>
      <c r="L400" s="6" t="s">
        <v>546</v>
      </c>
      <c r="M400" s="9">
        <v>44032</v>
      </c>
      <c r="N400" s="6"/>
      <c r="O400" s="6">
        <v>43</v>
      </c>
      <c r="P400" s="6" t="s">
        <v>4403</v>
      </c>
      <c r="Q400" s="6"/>
      <c r="R400" s="10" t="s">
        <v>2054</v>
      </c>
      <c r="S400" s="10">
        <v>145</v>
      </c>
      <c r="T400" s="10">
        <v>148</v>
      </c>
      <c r="U400" s="10">
        <f t="shared" si="12"/>
        <v>146.5</v>
      </c>
      <c r="V400" s="11"/>
      <c r="W400" s="8">
        <v>-4.5759615271568306</v>
      </c>
      <c r="X400" s="8">
        <v>-35.932391220092768</v>
      </c>
      <c r="Y400" s="8">
        <f t="shared" si="13"/>
        <v>0.67530099716187664</v>
      </c>
      <c r="Z400" s="6"/>
    </row>
    <row r="401" spans="1:26" s="13" customFormat="1" x14ac:dyDescent="0.35">
      <c r="A401" s="6" t="s">
        <v>25</v>
      </c>
      <c r="B401" s="7" t="s">
        <v>2049</v>
      </c>
      <c r="C401" s="6"/>
      <c r="D401" s="6" t="s">
        <v>2050</v>
      </c>
      <c r="E401" s="6">
        <v>4</v>
      </c>
      <c r="F401" s="6">
        <v>48</v>
      </c>
      <c r="G401" s="6" t="s">
        <v>546</v>
      </c>
      <c r="H401" s="6"/>
      <c r="I401" s="8">
        <v>80.754295347222197</v>
      </c>
      <c r="J401" s="8">
        <v>-0.488818958333333</v>
      </c>
      <c r="K401" s="6" t="s">
        <v>29</v>
      </c>
      <c r="L401" s="6" t="s">
        <v>546</v>
      </c>
      <c r="M401" s="9">
        <v>44032</v>
      </c>
      <c r="N401" s="6"/>
      <c r="O401" s="6">
        <v>43</v>
      </c>
      <c r="P401" s="6" t="s">
        <v>4403</v>
      </c>
      <c r="Q401" s="6"/>
      <c r="R401" s="10" t="s">
        <v>2051</v>
      </c>
      <c r="S401" s="10">
        <v>148</v>
      </c>
      <c r="T401" s="10">
        <v>153</v>
      </c>
      <c r="U401" s="10">
        <f t="shared" si="12"/>
        <v>150.5</v>
      </c>
      <c r="V401" s="11"/>
      <c r="W401" s="8">
        <v>-4.6788336685180667</v>
      </c>
      <c r="X401" s="8">
        <v>-35.113993194580075</v>
      </c>
      <c r="Y401" s="8">
        <f t="shared" si="13"/>
        <v>2.3166761535644582</v>
      </c>
      <c r="Z401" s="6"/>
    </row>
    <row r="402" spans="1:26" s="13" customFormat="1" x14ac:dyDescent="0.35">
      <c r="A402" s="6" t="s">
        <v>25</v>
      </c>
      <c r="B402" s="7" t="s">
        <v>2123</v>
      </c>
      <c r="C402" s="6"/>
      <c r="D402" s="6" t="s">
        <v>2124</v>
      </c>
      <c r="E402" s="6">
        <v>4</v>
      </c>
      <c r="F402" s="6">
        <v>48</v>
      </c>
      <c r="G402" s="6" t="s">
        <v>546</v>
      </c>
      <c r="H402" s="6"/>
      <c r="I402" s="8">
        <v>80.754295347222197</v>
      </c>
      <c r="J402" s="8">
        <v>-0.488818958333333</v>
      </c>
      <c r="K402" s="6" t="s">
        <v>29</v>
      </c>
      <c r="L402" s="6" t="s">
        <v>546</v>
      </c>
      <c r="M402" s="9">
        <v>44032</v>
      </c>
      <c r="N402" s="6"/>
      <c r="O402" s="6">
        <v>43</v>
      </c>
      <c r="P402" s="6" t="s">
        <v>4403</v>
      </c>
      <c r="Q402" s="6"/>
      <c r="R402" s="10" t="s">
        <v>2125</v>
      </c>
      <c r="S402" s="10">
        <v>153</v>
      </c>
      <c r="T402" s="10">
        <v>160</v>
      </c>
      <c r="U402" s="10">
        <f t="shared" si="12"/>
        <v>156.5</v>
      </c>
      <c r="V402" s="11"/>
      <c r="W402" s="8">
        <v>-5.2008943667411804</v>
      </c>
      <c r="X402" s="8">
        <v>-37.481903285980223</v>
      </c>
      <c r="Y402" s="8">
        <f t="shared" si="13"/>
        <v>4.1252516479492201</v>
      </c>
      <c r="Z402" s="6"/>
    </row>
    <row r="403" spans="1:26" s="13" customFormat="1" x14ac:dyDescent="0.35">
      <c r="A403" s="6" t="s">
        <v>25</v>
      </c>
      <c r="B403" s="7" t="s">
        <v>2152</v>
      </c>
      <c r="C403" s="6"/>
      <c r="D403" s="6" t="s">
        <v>2153</v>
      </c>
      <c r="E403" s="6">
        <v>4</v>
      </c>
      <c r="F403" s="6">
        <v>48</v>
      </c>
      <c r="G403" s="6" t="s">
        <v>546</v>
      </c>
      <c r="H403" s="6"/>
      <c r="I403" s="8">
        <v>80.754295347222197</v>
      </c>
      <c r="J403" s="8">
        <v>-0.488818958333333</v>
      </c>
      <c r="K403" s="6" t="s">
        <v>29</v>
      </c>
      <c r="L403" s="6" t="s">
        <v>546</v>
      </c>
      <c r="M403" s="9">
        <v>44032</v>
      </c>
      <c r="N403" s="6"/>
      <c r="O403" s="6">
        <v>43</v>
      </c>
      <c r="P403" s="6" t="s">
        <v>4403</v>
      </c>
      <c r="Q403" s="6"/>
      <c r="R403" s="10" t="s">
        <v>2154</v>
      </c>
      <c r="S403" s="10">
        <v>160</v>
      </c>
      <c r="T403" s="10">
        <v>163</v>
      </c>
      <c r="U403" s="10">
        <f t="shared" si="12"/>
        <v>161.5</v>
      </c>
      <c r="V403" s="11"/>
      <c r="W403" s="8">
        <v>-4.7768730171918872</v>
      </c>
      <c r="X403" s="8">
        <v>-35.626918470382691</v>
      </c>
      <c r="Y403" s="8">
        <f t="shared" si="13"/>
        <v>2.5880656671524065</v>
      </c>
      <c r="Z403" s="6"/>
    </row>
    <row r="404" spans="1:26" s="13" customFormat="1" x14ac:dyDescent="0.35">
      <c r="A404" s="6" t="s">
        <v>25</v>
      </c>
      <c r="B404" s="7" t="s">
        <v>2144</v>
      </c>
      <c r="C404" s="6"/>
      <c r="D404" s="6" t="s">
        <v>2145</v>
      </c>
      <c r="E404" s="6">
        <v>4</v>
      </c>
      <c r="F404" s="6">
        <v>48</v>
      </c>
      <c r="G404" s="6" t="s">
        <v>546</v>
      </c>
      <c r="H404" s="6"/>
      <c r="I404" s="8">
        <v>80.754295347222197</v>
      </c>
      <c r="J404" s="8">
        <v>-0.488818958333333</v>
      </c>
      <c r="K404" s="6" t="s">
        <v>29</v>
      </c>
      <c r="L404" s="6" t="s">
        <v>546</v>
      </c>
      <c r="M404" s="9">
        <v>44032</v>
      </c>
      <c r="N404" s="6"/>
      <c r="O404" s="6">
        <v>43</v>
      </c>
      <c r="P404" s="6" t="s">
        <v>4403</v>
      </c>
      <c r="Q404" s="6"/>
      <c r="R404" s="10" t="s">
        <v>1736</v>
      </c>
      <c r="S404" s="10">
        <v>163</v>
      </c>
      <c r="T404" s="10">
        <v>168</v>
      </c>
      <c r="U404" s="10">
        <f t="shared" si="12"/>
        <v>165.5</v>
      </c>
      <c r="V404" s="11"/>
      <c r="W404" s="8">
        <v>-4.3878616710901266</v>
      </c>
      <c r="X404" s="8">
        <v>-32.726824914932251</v>
      </c>
      <c r="Y404" s="8">
        <f t="shared" si="13"/>
        <v>2.3760684537887613</v>
      </c>
      <c r="Z404" s="6"/>
    </row>
    <row r="405" spans="1:26" s="13" customFormat="1" x14ac:dyDescent="0.35">
      <c r="A405" s="6" t="s">
        <v>25</v>
      </c>
      <c r="B405" s="7" t="s">
        <v>2135</v>
      </c>
      <c r="C405" s="6"/>
      <c r="D405" s="6" t="s">
        <v>2136</v>
      </c>
      <c r="E405" s="6">
        <v>4</v>
      </c>
      <c r="F405" s="6">
        <v>48</v>
      </c>
      <c r="G405" s="6" t="s">
        <v>546</v>
      </c>
      <c r="H405" s="6"/>
      <c r="I405" s="8">
        <v>80.754295347222197</v>
      </c>
      <c r="J405" s="8">
        <v>-0.488818958333333</v>
      </c>
      <c r="K405" s="6" t="s">
        <v>29</v>
      </c>
      <c r="L405" s="6" t="s">
        <v>546</v>
      </c>
      <c r="M405" s="9">
        <v>44032</v>
      </c>
      <c r="N405" s="6"/>
      <c r="O405" s="6">
        <v>43</v>
      </c>
      <c r="P405" s="6" t="s">
        <v>4403</v>
      </c>
      <c r="Q405" s="6"/>
      <c r="R405" s="10" t="s">
        <v>2137</v>
      </c>
      <c r="S405" s="10">
        <v>168</v>
      </c>
      <c r="T405" s="10">
        <v>173</v>
      </c>
      <c r="U405" s="10">
        <f t="shared" si="12"/>
        <v>170.5</v>
      </c>
      <c r="V405" s="11"/>
      <c r="W405" s="8">
        <v>-4.6056551566123964</v>
      </c>
      <c r="X405" s="8">
        <v>-35.774659936904911</v>
      </c>
      <c r="Y405" s="8">
        <f t="shared" si="13"/>
        <v>1.0705813159942608</v>
      </c>
      <c r="Z405" s="6"/>
    </row>
    <row r="406" spans="1:26" s="13" customFormat="1" x14ac:dyDescent="0.35">
      <c r="A406" s="6" t="s">
        <v>25</v>
      </c>
      <c r="B406" s="7" t="s">
        <v>2138</v>
      </c>
      <c r="C406" s="6"/>
      <c r="D406" s="6" t="s">
        <v>2139</v>
      </c>
      <c r="E406" s="6">
        <v>4</v>
      </c>
      <c r="F406" s="6">
        <v>48</v>
      </c>
      <c r="G406" s="6" t="s">
        <v>546</v>
      </c>
      <c r="H406" s="6"/>
      <c r="I406" s="8">
        <v>80.754295347222197</v>
      </c>
      <c r="J406" s="8">
        <v>-0.488818958333333</v>
      </c>
      <c r="K406" s="6" t="s">
        <v>29</v>
      </c>
      <c r="L406" s="6" t="s">
        <v>546</v>
      </c>
      <c r="M406" s="9">
        <v>44032</v>
      </c>
      <c r="N406" s="6"/>
      <c r="O406" s="6">
        <v>43</v>
      </c>
      <c r="P406" s="6" t="s">
        <v>4403</v>
      </c>
      <c r="Q406" s="6"/>
      <c r="R406" s="10" t="s">
        <v>2140</v>
      </c>
      <c r="S406" s="10">
        <v>173</v>
      </c>
      <c r="T406" s="10">
        <v>178</v>
      </c>
      <c r="U406" s="10">
        <f t="shared" si="12"/>
        <v>175.5</v>
      </c>
      <c r="V406" s="11"/>
      <c r="W406" s="8">
        <v>-2.5953085374236107</v>
      </c>
      <c r="X406" s="8">
        <v>-19.668728132247924</v>
      </c>
      <c r="Y406" s="8">
        <f t="shared" si="13"/>
        <v>1.093740167140961</v>
      </c>
      <c r="Z406" s="6"/>
    </row>
    <row r="407" spans="1:26" s="13" customFormat="1" x14ac:dyDescent="0.35">
      <c r="A407" s="6" t="s">
        <v>25</v>
      </c>
      <c r="B407" s="7" t="s">
        <v>2141</v>
      </c>
      <c r="C407" s="6"/>
      <c r="D407" s="6" t="s">
        <v>2142</v>
      </c>
      <c r="E407" s="6">
        <v>4</v>
      </c>
      <c r="F407" s="6">
        <v>48</v>
      </c>
      <c r="G407" s="6" t="s">
        <v>546</v>
      </c>
      <c r="H407" s="6"/>
      <c r="I407" s="8">
        <v>80.754295347222197</v>
      </c>
      <c r="J407" s="8">
        <v>-0.488818958333333</v>
      </c>
      <c r="K407" s="6" t="s">
        <v>29</v>
      </c>
      <c r="L407" s="6" t="s">
        <v>546</v>
      </c>
      <c r="M407" s="9">
        <v>44032</v>
      </c>
      <c r="N407" s="6"/>
      <c r="O407" s="6">
        <v>43</v>
      </c>
      <c r="P407" s="6" t="s">
        <v>4403</v>
      </c>
      <c r="Q407" s="6"/>
      <c r="R407" s="10" t="s">
        <v>2143</v>
      </c>
      <c r="S407" s="10">
        <v>178</v>
      </c>
      <c r="T407" s="10">
        <v>183</v>
      </c>
      <c r="U407" s="10">
        <f t="shared" si="12"/>
        <v>180.5</v>
      </c>
      <c r="V407" s="11"/>
      <c r="W407" s="8">
        <v>-0.77245413848757782</v>
      </c>
      <c r="X407" s="8">
        <v>-5.9752675175666807</v>
      </c>
      <c r="Y407" s="8">
        <f t="shared" si="13"/>
        <v>0.20436559033394186</v>
      </c>
      <c r="Z407" s="6"/>
    </row>
    <row r="408" spans="1:26" s="13" customFormat="1" x14ac:dyDescent="0.35">
      <c r="A408" s="6" t="s">
        <v>25</v>
      </c>
      <c r="B408" s="7" t="s">
        <v>2146</v>
      </c>
      <c r="C408" s="6"/>
      <c r="D408" s="6" t="s">
        <v>2147</v>
      </c>
      <c r="E408" s="6">
        <v>4</v>
      </c>
      <c r="F408" s="6">
        <v>48</v>
      </c>
      <c r="G408" s="6" t="s">
        <v>546</v>
      </c>
      <c r="H408" s="6"/>
      <c r="I408" s="8">
        <v>80.754295347222197</v>
      </c>
      <c r="J408" s="8">
        <v>-0.488818958333333</v>
      </c>
      <c r="K408" s="6" t="s">
        <v>29</v>
      </c>
      <c r="L408" s="6" t="s">
        <v>546</v>
      </c>
      <c r="M408" s="9">
        <v>44032</v>
      </c>
      <c r="N408" s="6"/>
      <c r="O408" s="6">
        <v>43</v>
      </c>
      <c r="P408" s="6" t="s">
        <v>4403</v>
      </c>
      <c r="Q408" s="6"/>
      <c r="R408" s="10" t="s">
        <v>2148</v>
      </c>
      <c r="S408" s="10">
        <v>183</v>
      </c>
      <c r="T408" s="10">
        <v>188</v>
      </c>
      <c r="U408" s="10">
        <f t="shared" si="12"/>
        <v>185.5</v>
      </c>
      <c r="V408" s="11"/>
      <c r="W408" s="8">
        <v>-0.3698263479173185</v>
      </c>
      <c r="X408" s="8">
        <v>-2.680679186582565</v>
      </c>
      <c r="Y408" s="8">
        <f t="shared" si="13"/>
        <v>0.277931596755983</v>
      </c>
      <c r="Z408" s="6"/>
    </row>
    <row r="409" spans="1:26" s="13" customFormat="1" x14ac:dyDescent="0.35">
      <c r="A409" s="6" t="s">
        <v>25</v>
      </c>
      <c r="B409" s="7" t="s">
        <v>2164</v>
      </c>
      <c r="C409" s="6"/>
      <c r="D409" s="6" t="s">
        <v>2165</v>
      </c>
      <c r="E409" s="6">
        <v>4</v>
      </c>
      <c r="F409" s="6">
        <v>48</v>
      </c>
      <c r="G409" s="6" t="s">
        <v>546</v>
      </c>
      <c r="H409" s="6"/>
      <c r="I409" s="8">
        <v>80.754295347222197</v>
      </c>
      <c r="J409" s="8">
        <v>-0.488818958333333</v>
      </c>
      <c r="K409" s="6" t="s">
        <v>29</v>
      </c>
      <c r="L409" s="6" t="s">
        <v>546</v>
      </c>
      <c r="M409" s="9">
        <v>44032</v>
      </c>
      <c r="N409" s="6"/>
      <c r="O409" s="6">
        <v>43</v>
      </c>
      <c r="P409" s="6" t="s">
        <v>4403</v>
      </c>
      <c r="Q409" s="6"/>
      <c r="R409" s="10" t="s">
        <v>2166</v>
      </c>
      <c r="S409" s="10">
        <v>193</v>
      </c>
      <c r="T409" s="10">
        <v>198</v>
      </c>
      <c r="U409" s="10">
        <f t="shared" si="12"/>
        <v>195.5</v>
      </c>
      <c r="V409" s="11"/>
      <c r="W409" s="8">
        <v>2.7226406556368026E-2</v>
      </c>
      <c r="X409" s="8">
        <v>0.79416143655776972</v>
      </c>
      <c r="Y409" s="8">
        <f t="shared" si="13"/>
        <v>0.57635018410682548</v>
      </c>
      <c r="Z409" s="6"/>
    </row>
    <row r="410" spans="1:26" s="13" customFormat="1" x14ac:dyDescent="0.35">
      <c r="A410" s="6" t="s">
        <v>25</v>
      </c>
      <c r="B410" s="7" t="s">
        <v>2155</v>
      </c>
      <c r="C410" s="6"/>
      <c r="D410" s="6" t="s">
        <v>2156</v>
      </c>
      <c r="E410" s="6">
        <v>4</v>
      </c>
      <c r="F410" s="6">
        <v>48</v>
      </c>
      <c r="G410" s="6" t="s">
        <v>546</v>
      </c>
      <c r="H410" s="6"/>
      <c r="I410" s="8">
        <v>80.754295347222197</v>
      </c>
      <c r="J410" s="8">
        <v>-0.488818958333333</v>
      </c>
      <c r="K410" s="6" t="s">
        <v>29</v>
      </c>
      <c r="L410" s="6" t="s">
        <v>546</v>
      </c>
      <c r="M410" s="9">
        <v>44032</v>
      </c>
      <c r="N410" s="6"/>
      <c r="O410" s="6">
        <v>43</v>
      </c>
      <c r="P410" s="6" t="s">
        <v>4403</v>
      </c>
      <c r="Q410" s="6"/>
      <c r="R410" s="10" t="s">
        <v>2157</v>
      </c>
      <c r="S410" s="10">
        <v>198</v>
      </c>
      <c r="T410" s="10">
        <v>203</v>
      </c>
      <c r="U410" s="10">
        <f t="shared" si="12"/>
        <v>200.5</v>
      </c>
      <c r="V410" s="11"/>
      <c r="W410" s="8">
        <v>0.16718348762616517</v>
      </c>
      <c r="X410" s="8">
        <v>2.1504252775907515</v>
      </c>
      <c r="Y410" s="8">
        <f t="shared" si="13"/>
        <v>0.81295737658143019</v>
      </c>
      <c r="Z410" s="6"/>
    </row>
    <row r="411" spans="1:26" s="13" customFormat="1" x14ac:dyDescent="0.35">
      <c r="A411" s="6" t="s">
        <v>25</v>
      </c>
      <c r="B411" s="7" t="s">
        <v>2126</v>
      </c>
      <c r="C411" s="6"/>
      <c r="D411" s="6" t="s">
        <v>2127</v>
      </c>
      <c r="E411" s="6">
        <v>4</v>
      </c>
      <c r="F411" s="6">
        <v>48</v>
      </c>
      <c r="G411" s="6" t="s">
        <v>546</v>
      </c>
      <c r="H411" s="6"/>
      <c r="I411" s="8">
        <v>80.754295347222197</v>
      </c>
      <c r="J411" s="8">
        <v>-0.488818958333333</v>
      </c>
      <c r="K411" s="6" t="s">
        <v>29</v>
      </c>
      <c r="L411" s="6" t="s">
        <v>546</v>
      </c>
      <c r="M411" s="9">
        <v>44032</v>
      </c>
      <c r="N411" s="6"/>
      <c r="O411" s="6">
        <v>43</v>
      </c>
      <c r="P411" s="6" t="s">
        <v>4403</v>
      </c>
      <c r="Q411" s="6"/>
      <c r="R411" s="10" t="s">
        <v>2128</v>
      </c>
      <c r="S411" s="10">
        <v>203</v>
      </c>
      <c r="T411" s="10">
        <v>208</v>
      </c>
      <c r="U411" s="10">
        <f t="shared" si="12"/>
        <v>205.5</v>
      </c>
      <c r="V411" s="11"/>
      <c r="W411" s="8">
        <v>0.36629645338654521</v>
      </c>
      <c r="X411" s="8">
        <v>4.2653193782642482</v>
      </c>
      <c r="Y411" s="8">
        <f t="shared" si="13"/>
        <v>1.3349477511718866</v>
      </c>
      <c r="Z411" s="6"/>
    </row>
    <row r="412" spans="1:26" s="13" customFormat="1" x14ac:dyDescent="0.35">
      <c r="A412" s="6" t="s">
        <v>25</v>
      </c>
      <c r="B412" s="7" t="s">
        <v>2158</v>
      </c>
      <c r="C412" s="6"/>
      <c r="D412" s="6" t="s">
        <v>2159</v>
      </c>
      <c r="E412" s="6">
        <v>4</v>
      </c>
      <c r="F412" s="6">
        <v>48</v>
      </c>
      <c r="G412" s="6" t="s">
        <v>546</v>
      </c>
      <c r="H412" s="6"/>
      <c r="I412" s="8">
        <v>80.754295347222197</v>
      </c>
      <c r="J412" s="8">
        <v>-0.488818958333333</v>
      </c>
      <c r="K412" s="6" t="s">
        <v>29</v>
      </c>
      <c r="L412" s="6" t="s">
        <v>546</v>
      </c>
      <c r="M412" s="9">
        <v>44032</v>
      </c>
      <c r="N412" s="6"/>
      <c r="O412" s="6">
        <v>43</v>
      </c>
      <c r="P412" s="6" t="s">
        <v>4403</v>
      </c>
      <c r="Q412" s="6"/>
      <c r="R412" s="10" t="s">
        <v>2160</v>
      </c>
      <c r="S412" s="10">
        <v>208</v>
      </c>
      <c r="T412" s="10">
        <v>213</v>
      </c>
      <c r="U412" s="10">
        <f t="shared" si="12"/>
        <v>210.5</v>
      </c>
      <c r="V412" s="11"/>
      <c r="W412" s="8">
        <v>0.58999998397231113</v>
      </c>
      <c r="X412" s="8">
        <v>5.6104993782043469</v>
      </c>
      <c r="Y412" s="8">
        <f t="shared" si="13"/>
        <v>0.89049950642585785</v>
      </c>
      <c r="Z412" s="6"/>
    </row>
    <row r="413" spans="1:26" s="13" customFormat="1" x14ac:dyDescent="0.35">
      <c r="A413" s="6" t="s">
        <v>25</v>
      </c>
      <c r="B413" s="7" t="s">
        <v>2207</v>
      </c>
      <c r="C413" s="6"/>
      <c r="D413" s="6" t="s">
        <v>2208</v>
      </c>
      <c r="E413" s="6">
        <v>4</v>
      </c>
      <c r="F413" s="6">
        <v>48</v>
      </c>
      <c r="G413" s="6" t="s">
        <v>546</v>
      </c>
      <c r="H413" s="6"/>
      <c r="I413" s="8">
        <v>80.477765486111096</v>
      </c>
      <c r="J413" s="8">
        <v>-0.53689541666666696</v>
      </c>
      <c r="K413" s="6" t="s">
        <v>29</v>
      </c>
      <c r="L413" s="6" t="s">
        <v>546</v>
      </c>
      <c r="M413" s="9">
        <v>44034</v>
      </c>
      <c r="N413" s="6"/>
      <c r="O413" s="6">
        <v>43</v>
      </c>
      <c r="P413" s="6" t="s">
        <v>4415</v>
      </c>
      <c r="Q413" s="6"/>
      <c r="R413" s="10" t="s">
        <v>2209</v>
      </c>
      <c r="S413" s="10">
        <v>188</v>
      </c>
      <c r="T413" s="10">
        <v>193</v>
      </c>
      <c r="U413" s="10">
        <f t="shared" si="12"/>
        <v>190.5</v>
      </c>
      <c r="V413" s="11"/>
      <c r="W413" s="8">
        <v>-0.16036709180474326</v>
      </c>
      <c r="X413" s="8">
        <v>-0.30798417687416108</v>
      </c>
      <c r="Y413" s="8">
        <f t="shared" si="13"/>
        <v>0.97495255756378496</v>
      </c>
      <c r="Z413" s="6"/>
    </row>
  </sheetData>
  <sortState ref="A2:Z413">
    <sortCondition ref="M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712F-B632-4FB3-B3D1-45E1DBD7A095}">
  <dimension ref="A1:Z632"/>
  <sheetViews>
    <sheetView zoomScale="85" zoomScaleNormal="85" workbookViewId="0"/>
  </sheetViews>
  <sheetFormatPr defaultRowHeight="14.5" x14ac:dyDescent="0.35"/>
  <cols>
    <col min="1" max="1" width="7.7265625" bestFit="1" customWidth="1"/>
    <col min="2" max="3" width="17" bestFit="1" customWidth="1"/>
    <col min="4" max="4" width="48.26953125" bestFit="1" customWidth="1"/>
    <col min="5" max="5" width="3.81640625" bestFit="1" customWidth="1"/>
    <col min="6" max="6" width="6" bestFit="1" customWidth="1"/>
    <col min="7" max="7" width="15.36328125" bestFit="1" customWidth="1"/>
    <col min="8" max="8" width="18.6328125" bestFit="1" customWidth="1"/>
    <col min="9" max="9" width="7.90625" bestFit="1" customWidth="1"/>
    <col min="10" max="10" width="9.36328125" bestFit="1" customWidth="1"/>
    <col min="11" max="11" width="10.90625" bestFit="1" customWidth="1"/>
    <col min="12" max="12" width="8.26953125" bestFit="1" customWidth="1"/>
    <col min="13" max="13" width="13.54296875" bestFit="1" customWidth="1"/>
    <col min="14" max="14" width="5.1796875" bestFit="1" customWidth="1"/>
    <col min="15" max="15" width="14" bestFit="1" customWidth="1"/>
    <col min="16" max="16" width="9.08984375" bestFit="1" customWidth="1"/>
    <col min="17" max="17" width="15.81640625" bestFit="1" customWidth="1"/>
    <col min="18" max="18" width="17.26953125" bestFit="1" customWidth="1"/>
    <col min="19" max="19" width="11.7265625" bestFit="1" customWidth="1"/>
    <col min="20" max="20" width="8" bestFit="1" customWidth="1"/>
    <col min="21" max="22" width="12" bestFit="1" customWidth="1"/>
    <col min="23" max="23" width="6" bestFit="1" customWidth="1"/>
    <col min="24" max="24" width="7" bestFit="1" customWidth="1"/>
    <col min="25" max="25" width="8.54296875" bestFit="1" customWidth="1"/>
    <col min="26" max="26" width="19.36328125" bestFit="1" customWidth="1"/>
  </cols>
  <sheetData>
    <row r="1" spans="1:2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4449</v>
      </c>
      <c r="M1" s="2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1" t="s">
        <v>20</v>
      </c>
      <c r="W1" s="5" t="s">
        <v>21</v>
      </c>
      <c r="X1" s="5" t="s">
        <v>22</v>
      </c>
      <c r="Y1" s="5" t="s">
        <v>23</v>
      </c>
      <c r="Z1" s="1" t="s">
        <v>24</v>
      </c>
    </row>
    <row r="2" spans="1:26" s="6" customFormat="1" x14ac:dyDescent="0.35">
      <c r="A2" s="6" t="s">
        <v>25</v>
      </c>
      <c r="B2" s="7"/>
      <c r="C2" s="6">
        <v>510211</v>
      </c>
      <c r="D2" s="6" t="s">
        <v>201</v>
      </c>
      <c r="E2" s="6">
        <v>1</v>
      </c>
      <c r="F2" s="6">
        <v>5</v>
      </c>
      <c r="G2" s="6" t="s">
        <v>202</v>
      </c>
      <c r="H2" s="6">
        <v>9</v>
      </c>
      <c r="I2" s="8">
        <v>85.587483888888897</v>
      </c>
      <c r="J2" s="8">
        <v>126.139427777778</v>
      </c>
      <c r="K2" s="6" t="s">
        <v>29</v>
      </c>
      <c r="L2" s="6" t="s">
        <v>335</v>
      </c>
      <c r="M2" s="9">
        <v>43766</v>
      </c>
      <c r="O2" s="6">
        <v>5</v>
      </c>
      <c r="P2" s="6" t="s">
        <v>4251</v>
      </c>
      <c r="R2" s="6" t="s">
        <v>203</v>
      </c>
      <c r="S2" s="6">
        <v>0</v>
      </c>
      <c r="T2" s="6">
        <v>5</v>
      </c>
      <c r="U2" s="10">
        <f t="shared" ref="U2:U65" si="0">AVERAGE(S2:T2)</f>
        <v>2.5</v>
      </c>
      <c r="V2" s="6">
        <v>10.6</v>
      </c>
      <c r="W2" s="8">
        <v>-2.4553351804733281</v>
      </c>
      <c r="X2" s="8">
        <v>-19.268064376640321</v>
      </c>
      <c r="Y2" s="8">
        <f t="shared" ref="Y2:Y65" si="1">X2-(8*W2)</f>
        <v>0.37461706714630338</v>
      </c>
    </row>
    <row r="3" spans="1:26" s="6" customFormat="1" x14ac:dyDescent="0.35">
      <c r="A3" s="6" t="s">
        <v>25</v>
      </c>
      <c r="B3" s="7" t="s">
        <v>242</v>
      </c>
      <c r="C3" s="6">
        <v>510280</v>
      </c>
      <c r="D3" s="6" t="s">
        <v>243</v>
      </c>
      <c r="E3" s="6">
        <v>1</v>
      </c>
      <c r="F3" s="6">
        <v>5</v>
      </c>
      <c r="G3" s="6" t="s">
        <v>179</v>
      </c>
      <c r="I3" s="8">
        <v>85.726575763888903</v>
      </c>
      <c r="J3" s="8">
        <v>124.264683611111</v>
      </c>
      <c r="K3" s="6" t="s">
        <v>29</v>
      </c>
      <c r="L3" s="6" t="s">
        <v>335</v>
      </c>
      <c r="M3" s="9">
        <v>43768</v>
      </c>
      <c r="O3" s="6">
        <v>5</v>
      </c>
      <c r="P3" s="6" t="s">
        <v>4252</v>
      </c>
      <c r="Q3" s="6">
        <v>-6.13</v>
      </c>
      <c r="R3" s="10"/>
      <c r="S3" s="10">
        <v>0</v>
      </c>
      <c r="T3" s="10">
        <v>5</v>
      </c>
      <c r="U3" s="10">
        <f t="shared" si="0"/>
        <v>2.5</v>
      </c>
      <c r="V3" s="6">
        <v>7.4</v>
      </c>
      <c r="W3" s="8">
        <v>-0.24091682289242766</v>
      </c>
      <c r="X3" s="8">
        <v>-2.5154734134674075</v>
      </c>
      <c r="Y3" s="8">
        <f t="shared" si="1"/>
        <v>-0.5881388303279862</v>
      </c>
    </row>
    <row r="4" spans="1:26" s="6" customFormat="1" x14ac:dyDescent="0.35">
      <c r="A4" s="6" t="s">
        <v>25</v>
      </c>
      <c r="B4" s="7"/>
      <c r="D4" s="6" t="s">
        <v>1175</v>
      </c>
      <c r="E4" s="6">
        <v>3</v>
      </c>
      <c r="F4" s="6">
        <v>32</v>
      </c>
      <c r="G4" s="6" t="s">
        <v>202</v>
      </c>
      <c r="I4" s="8">
        <v>86.257643333333306</v>
      </c>
      <c r="J4" s="8">
        <v>15.261599722222201</v>
      </c>
      <c r="K4" s="6" t="s">
        <v>29</v>
      </c>
      <c r="L4" s="6" t="s">
        <v>335</v>
      </c>
      <c r="M4" s="9">
        <v>43911</v>
      </c>
      <c r="O4" s="6">
        <v>25</v>
      </c>
      <c r="P4" s="6" t="s">
        <v>4351</v>
      </c>
      <c r="S4" s="6">
        <v>0</v>
      </c>
      <c r="T4" s="6">
        <v>5</v>
      </c>
      <c r="U4" s="10">
        <f t="shared" si="0"/>
        <v>2.5</v>
      </c>
      <c r="V4" s="6">
        <v>7.8</v>
      </c>
      <c r="W4" s="8">
        <v>-5.7094304860687268</v>
      </c>
      <c r="X4" s="8">
        <v>-46.820627160644527</v>
      </c>
      <c r="Y4" s="8">
        <f t="shared" si="1"/>
        <v>-1.1451832720947124</v>
      </c>
    </row>
    <row r="5" spans="1:26" s="6" customFormat="1" x14ac:dyDescent="0.35">
      <c r="A5" s="6" t="s">
        <v>25</v>
      </c>
      <c r="B5" s="6" t="s">
        <v>1239</v>
      </c>
      <c r="D5" s="6" t="s">
        <v>1240</v>
      </c>
      <c r="E5" s="6">
        <v>3</v>
      </c>
      <c r="F5" s="6">
        <v>34</v>
      </c>
      <c r="G5" s="6" t="s">
        <v>202</v>
      </c>
      <c r="I5" s="8">
        <v>84.533711805555598</v>
      </c>
      <c r="J5" s="8">
        <v>14.277858402777801</v>
      </c>
      <c r="K5" s="6" t="s">
        <v>29</v>
      </c>
      <c r="L5" s="6" t="s">
        <v>335</v>
      </c>
      <c r="M5" s="9">
        <v>43927</v>
      </c>
      <c r="O5" s="6">
        <v>28</v>
      </c>
      <c r="P5" s="6" t="s">
        <v>4359</v>
      </c>
      <c r="R5" s="6">
        <v>0</v>
      </c>
      <c r="S5" s="6">
        <v>0</v>
      </c>
      <c r="T5" s="6">
        <v>5</v>
      </c>
      <c r="U5" s="10">
        <f t="shared" si="0"/>
        <v>2.5</v>
      </c>
      <c r="V5" s="6">
        <v>6.2</v>
      </c>
      <c r="W5" s="8">
        <v>-2.078482134914398</v>
      </c>
      <c r="X5" s="8">
        <v>-19.223417736053463</v>
      </c>
      <c r="Y5" s="8">
        <f t="shared" si="1"/>
        <v>-2.5955606567382787</v>
      </c>
    </row>
    <row r="6" spans="1:26" s="6" customFormat="1" x14ac:dyDescent="0.35">
      <c r="A6" s="6" t="s">
        <v>25</v>
      </c>
      <c r="B6" s="7" t="s">
        <v>1480</v>
      </c>
      <c r="D6" s="6" t="s">
        <v>1481</v>
      </c>
      <c r="E6" s="6">
        <v>3</v>
      </c>
      <c r="F6" s="6">
        <v>37</v>
      </c>
      <c r="G6" s="6" t="s">
        <v>28</v>
      </c>
      <c r="I6" s="8">
        <v>83.999093333333306</v>
      </c>
      <c r="J6" s="8">
        <v>15.6102103472222</v>
      </c>
      <c r="K6" s="6" t="s">
        <v>29</v>
      </c>
      <c r="L6" s="6" t="s">
        <v>335</v>
      </c>
      <c r="M6" s="9">
        <v>43946</v>
      </c>
      <c r="O6" s="6">
        <v>30</v>
      </c>
      <c r="P6" s="6" t="s">
        <v>4265</v>
      </c>
      <c r="R6" s="10"/>
      <c r="S6" s="10">
        <v>0</v>
      </c>
      <c r="T6" s="10">
        <v>5</v>
      </c>
      <c r="U6" s="10">
        <f t="shared" si="0"/>
        <v>2.5</v>
      </c>
      <c r="V6" s="11">
        <v>5.4</v>
      </c>
      <c r="W6" s="8">
        <v>-8.6111202239990234</v>
      </c>
      <c r="X6" s="8">
        <v>-67.636764335632321</v>
      </c>
      <c r="Y6" s="8">
        <f t="shared" si="1"/>
        <v>1.2521974563598661</v>
      </c>
    </row>
    <row r="7" spans="1:26" s="6" customFormat="1" x14ac:dyDescent="0.35">
      <c r="A7" s="6" t="s">
        <v>25</v>
      </c>
      <c r="B7" s="7"/>
      <c r="D7" s="6" t="s">
        <v>1542</v>
      </c>
      <c r="E7" s="6">
        <v>3</v>
      </c>
      <c r="F7" s="6">
        <v>38</v>
      </c>
      <c r="G7" s="6" t="s">
        <v>202</v>
      </c>
      <c r="I7" s="8">
        <v>83.938997847222197</v>
      </c>
      <c r="J7" s="8">
        <v>15.6730686111111</v>
      </c>
      <c r="K7" s="6" t="s">
        <v>29</v>
      </c>
      <c r="L7" s="6" t="s">
        <v>335</v>
      </c>
      <c r="M7" s="9">
        <v>43948</v>
      </c>
      <c r="O7" s="6">
        <v>31</v>
      </c>
      <c r="P7" s="6" t="s">
        <v>4251</v>
      </c>
      <c r="S7" s="6">
        <v>0</v>
      </c>
      <c r="T7" s="6">
        <v>5</v>
      </c>
      <c r="U7" s="10">
        <f t="shared" si="0"/>
        <v>2.5</v>
      </c>
      <c r="V7" s="6">
        <v>6.1</v>
      </c>
      <c r="W7" s="8">
        <v>-1.4380177685737614</v>
      </c>
      <c r="X7" s="8">
        <v>-15.60770375289917</v>
      </c>
      <c r="Y7" s="8">
        <f t="shared" si="1"/>
        <v>-4.1035616043090783</v>
      </c>
    </row>
    <row r="8" spans="1:26" s="6" customFormat="1" x14ac:dyDescent="0.35">
      <c r="A8" s="6" t="s">
        <v>25</v>
      </c>
      <c r="B8" s="6" t="s">
        <v>1618</v>
      </c>
      <c r="D8" s="6" t="s">
        <v>1619</v>
      </c>
      <c r="E8" s="6">
        <v>3</v>
      </c>
      <c r="F8" s="6">
        <v>39</v>
      </c>
      <c r="G8" s="6" t="s">
        <v>202</v>
      </c>
      <c r="I8" s="8">
        <v>83.907985999999994</v>
      </c>
      <c r="J8" s="8">
        <v>18.352126999999999</v>
      </c>
      <c r="K8" s="6" t="s">
        <v>29</v>
      </c>
      <c r="L8" s="6" t="s">
        <v>335</v>
      </c>
      <c r="M8" s="9">
        <v>43955</v>
      </c>
      <c r="O8" s="6">
        <v>32</v>
      </c>
      <c r="P8" s="6" t="s">
        <v>4374</v>
      </c>
      <c r="R8" s="6">
        <v>0</v>
      </c>
      <c r="S8" s="6">
        <v>0</v>
      </c>
      <c r="T8" s="6">
        <v>5</v>
      </c>
      <c r="U8" s="10">
        <f t="shared" si="0"/>
        <v>2.5</v>
      </c>
      <c r="V8" s="6">
        <v>6</v>
      </c>
      <c r="W8" s="8">
        <v>-1.9045971343517305</v>
      </c>
      <c r="X8" s="8">
        <v>-19.17640312194824</v>
      </c>
      <c r="Y8" s="8">
        <f t="shared" si="1"/>
        <v>-3.9396260471343965</v>
      </c>
    </row>
    <row r="9" spans="1:26" s="6" customFormat="1" x14ac:dyDescent="0.35">
      <c r="A9" s="6" t="s">
        <v>25</v>
      </c>
      <c r="B9" s="7" t="s">
        <v>1681</v>
      </c>
      <c r="D9" s="6" t="s">
        <v>1682</v>
      </c>
      <c r="E9" s="6">
        <v>4</v>
      </c>
      <c r="F9" s="6">
        <v>44</v>
      </c>
      <c r="G9" s="6" t="s">
        <v>335</v>
      </c>
      <c r="I9" s="8">
        <v>81.975306180555606</v>
      </c>
      <c r="J9" s="8">
        <v>9.2425022222222193</v>
      </c>
      <c r="K9" s="6" t="s">
        <v>29</v>
      </c>
      <c r="L9" s="6" t="s">
        <v>335</v>
      </c>
      <c r="M9" s="9">
        <v>44004</v>
      </c>
      <c r="O9" s="6">
        <v>39</v>
      </c>
      <c r="P9" s="6" t="s">
        <v>4405</v>
      </c>
      <c r="R9" s="10" t="s">
        <v>1683</v>
      </c>
      <c r="S9" s="10">
        <v>0</v>
      </c>
      <c r="T9" s="10">
        <v>5</v>
      </c>
      <c r="U9" s="10">
        <f t="shared" si="0"/>
        <v>2.5</v>
      </c>
      <c r="V9" s="11"/>
      <c r="W9" s="8">
        <v>-17.450118047714234</v>
      </c>
      <c r="X9" s="8">
        <v>-132.19019616699219</v>
      </c>
      <c r="Y9" s="8">
        <f t="shared" si="1"/>
        <v>7.4107482147216786</v>
      </c>
    </row>
    <row r="10" spans="1:26" s="6" customFormat="1" x14ac:dyDescent="0.35">
      <c r="A10" s="6" t="s">
        <v>25</v>
      </c>
      <c r="B10" s="7" t="s">
        <v>36</v>
      </c>
      <c r="D10" s="6" t="s">
        <v>37</v>
      </c>
      <c r="E10" s="6">
        <v>1</v>
      </c>
      <c r="F10" s="6">
        <v>1</v>
      </c>
      <c r="G10" s="6" t="s">
        <v>28</v>
      </c>
      <c r="I10" s="8">
        <v>85.144790624999999</v>
      </c>
      <c r="J10" s="8">
        <v>133.79209895833301</v>
      </c>
      <c r="K10" s="6" t="s">
        <v>29</v>
      </c>
      <c r="L10" s="6" t="s">
        <v>335</v>
      </c>
      <c r="M10" s="9">
        <v>43741</v>
      </c>
      <c r="O10" s="6">
        <v>1</v>
      </c>
      <c r="P10" s="6" t="s">
        <v>4242</v>
      </c>
      <c r="R10" s="10"/>
      <c r="S10" s="10">
        <v>0</v>
      </c>
      <c r="T10" s="10">
        <v>10</v>
      </c>
      <c r="U10" s="10">
        <f t="shared" si="0"/>
        <v>5</v>
      </c>
      <c r="V10" s="30"/>
      <c r="W10" s="8">
        <v>-4.2837162017822266</v>
      </c>
      <c r="X10" s="8">
        <v>-32.932406082153321</v>
      </c>
      <c r="Y10" s="8">
        <f t="shared" si="1"/>
        <v>1.3373235321044916</v>
      </c>
    </row>
    <row r="11" spans="1:26" s="6" customFormat="1" x14ac:dyDescent="0.35">
      <c r="A11" s="6" t="s">
        <v>25</v>
      </c>
      <c r="B11" s="7"/>
      <c r="D11" s="6" t="s">
        <v>46</v>
      </c>
      <c r="E11" s="6">
        <v>1</v>
      </c>
      <c r="F11" s="6">
        <v>1</v>
      </c>
      <c r="G11" s="6" t="s">
        <v>28</v>
      </c>
      <c r="I11" s="8">
        <v>85.099701597222193</v>
      </c>
      <c r="J11" s="8">
        <v>133.789371527778</v>
      </c>
      <c r="K11" s="6" t="s">
        <v>29</v>
      </c>
      <c r="L11" s="6" t="s">
        <v>335</v>
      </c>
      <c r="M11" s="9">
        <v>43743</v>
      </c>
      <c r="O11" s="6">
        <v>1</v>
      </c>
      <c r="P11" s="6" t="s">
        <v>4243</v>
      </c>
      <c r="S11" s="6">
        <v>0</v>
      </c>
      <c r="T11" s="6">
        <v>10</v>
      </c>
      <c r="U11" s="10">
        <f t="shared" si="0"/>
        <v>5</v>
      </c>
      <c r="V11" s="30"/>
      <c r="W11" s="8">
        <v>-5.0546222634887705</v>
      </c>
      <c r="X11" s="8">
        <v>-39.570289764404293</v>
      </c>
      <c r="Y11" s="8">
        <f t="shared" si="1"/>
        <v>0.86668834350587076</v>
      </c>
    </row>
    <row r="12" spans="1:26" s="6" customFormat="1" x14ac:dyDescent="0.35">
      <c r="A12" s="6" t="s">
        <v>25</v>
      </c>
      <c r="B12" s="7"/>
      <c r="D12" s="6" t="s">
        <v>47</v>
      </c>
      <c r="E12" s="6">
        <v>1</v>
      </c>
      <c r="F12" s="6">
        <v>1</v>
      </c>
      <c r="G12" s="6" t="s">
        <v>28</v>
      </c>
      <c r="I12" s="8">
        <v>85.099701597222193</v>
      </c>
      <c r="J12" s="8">
        <v>133.789371527778</v>
      </c>
      <c r="K12" s="6" t="s">
        <v>29</v>
      </c>
      <c r="L12" s="6" t="s">
        <v>335</v>
      </c>
      <c r="M12" s="9">
        <v>43743</v>
      </c>
      <c r="O12" s="6">
        <v>1</v>
      </c>
      <c r="P12" s="6" t="s">
        <v>4243</v>
      </c>
      <c r="S12" s="6">
        <v>0</v>
      </c>
      <c r="T12" s="6">
        <v>10</v>
      </c>
      <c r="U12" s="10">
        <f t="shared" si="0"/>
        <v>5</v>
      </c>
      <c r="V12" s="30"/>
      <c r="W12" s="8">
        <v>-4.3573673616027833</v>
      </c>
      <c r="X12" s="8">
        <v>-33.25143970489502</v>
      </c>
      <c r="Y12" s="8">
        <f t="shared" si="1"/>
        <v>1.607499187927246</v>
      </c>
    </row>
    <row r="13" spans="1:26" s="6" customFormat="1" x14ac:dyDescent="0.35">
      <c r="A13" s="6" t="s">
        <v>25</v>
      </c>
      <c r="B13" s="6" t="s">
        <v>48</v>
      </c>
      <c r="D13" s="6" t="s">
        <v>49</v>
      </c>
      <c r="E13" s="6">
        <v>1</v>
      </c>
      <c r="F13" s="6">
        <v>1</v>
      </c>
      <c r="G13" s="6" t="s">
        <v>4466</v>
      </c>
      <c r="I13" s="8">
        <v>84.908087777777794</v>
      </c>
      <c r="J13" s="8">
        <v>135.908380208333</v>
      </c>
      <c r="K13" s="6" t="s">
        <v>29</v>
      </c>
      <c r="L13" s="6" t="s">
        <v>335</v>
      </c>
      <c r="M13" s="9">
        <v>43747</v>
      </c>
      <c r="O13" s="6">
        <v>2</v>
      </c>
      <c r="P13" s="6" t="s">
        <v>4244</v>
      </c>
      <c r="R13" s="6">
        <v>0</v>
      </c>
      <c r="S13" s="6">
        <v>0</v>
      </c>
      <c r="T13" s="6">
        <v>10</v>
      </c>
      <c r="U13" s="10">
        <f t="shared" si="0"/>
        <v>5</v>
      </c>
      <c r="V13" s="30"/>
      <c r="W13" s="8">
        <v>-5.0611176494280494</v>
      </c>
      <c r="X13" s="8">
        <v>-39.810881086985269</v>
      </c>
      <c r="Y13" s="8">
        <f t="shared" si="1"/>
        <v>0.67806010843912645</v>
      </c>
    </row>
    <row r="14" spans="1:26" s="6" customFormat="1" x14ac:dyDescent="0.35">
      <c r="A14" s="6" t="s">
        <v>25</v>
      </c>
      <c r="B14" s="7"/>
      <c r="D14" s="6" t="s">
        <v>56</v>
      </c>
      <c r="E14" s="6">
        <v>1</v>
      </c>
      <c r="F14" s="6">
        <v>1</v>
      </c>
      <c r="G14" s="6" t="s">
        <v>4466</v>
      </c>
      <c r="I14" s="8">
        <v>84.908087777777794</v>
      </c>
      <c r="J14" s="8">
        <v>135.908380208333</v>
      </c>
      <c r="K14" s="6" t="s">
        <v>29</v>
      </c>
      <c r="L14" s="6" t="s">
        <v>335</v>
      </c>
      <c r="M14" s="9">
        <v>43747</v>
      </c>
      <c r="O14" s="6">
        <v>2</v>
      </c>
      <c r="P14" s="6" t="s">
        <v>4244</v>
      </c>
      <c r="S14" s="6">
        <v>0</v>
      </c>
      <c r="T14" s="6">
        <v>10</v>
      </c>
      <c r="U14" s="10">
        <f t="shared" si="0"/>
        <v>5</v>
      </c>
      <c r="V14" s="30"/>
      <c r="W14" s="8">
        <v>-4.673436317100526</v>
      </c>
      <c r="X14" s="8">
        <v>-36.002122789382938</v>
      </c>
      <c r="Y14" s="8">
        <f t="shared" si="1"/>
        <v>1.3853677474212702</v>
      </c>
    </row>
    <row r="15" spans="1:26" s="6" customFormat="1" x14ac:dyDescent="0.35">
      <c r="A15" s="6" t="s">
        <v>25</v>
      </c>
      <c r="B15" s="6" t="s">
        <v>61</v>
      </c>
      <c r="C15" s="6">
        <v>510035</v>
      </c>
      <c r="D15" s="6" t="s">
        <v>62</v>
      </c>
      <c r="E15" s="6">
        <v>1</v>
      </c>
      <c r="F15" s="6">
        <v>2</v>
      </c>
      <c r="G15" s="6" t="s">
        <v>63</v>
      </c>
      <c r="I15" s="8">
        <v>84.770107638888902</v>
      </c>
      <c r="J15" s="8">
        <v>134.47681993055599</v>
      </c>
      <c r="K15" s="6" t="s">
        <v>29</v>
      </c>
      <c r="L15" s="6" t="s">
        <v>335</v>
      </c>
      <c r="M15" s="9">
        <v>43752</v>
      </c>
      <c r="O15" s="6">
        <v>3</v>
      </c>
      <c r="P15" s="6" t="s">
        <v>4246</v>
      </c>
      <c r="R15" s="6" t="s">
        <v>64</v>
      </c>
      <c r="S15" s="6">
        <v>0</v>
      </c>
      <c r="T15" s="6">
        <v>10</v>
      </c>
      <c r="U15" s="10">
        <f t="shared" si="0"/>
        <v>5</v>
      </c>
      <c r="V15" s="6">
        <v>6.2</v>
      </c>
      <c r="W15" s="8">
        <v>0.36466421204805399</v>
      </c>
      <c r="X15" s="8">
        <v>5.4302038135528568</v>
      </c>
      <c r="Y15" s="8">
        <f t="shared" si="1"/>
        <v>2.5128901171684248</v>
      </c>
    </row>
    <row r="16" spans="1:26" s="6" customFormat="1" x14ac:dyDescent="0.35">
      <c r="A16" s="6" t="s">
        <v>25</v>
      </c>
      <c r="B16" s="6" t="s">
        <v>91</v>
      </c>
      <c r="C16" s="6">
        <v>510057</v>
      </c>
      <c r="D16" s="6" t="s">
        <v>92</v>
      </c>
      <c r="E16" s="6">
        <v>1</v>
      </c>
      <c r="F16" s="6">
        <v>2</v>
      </c>
      <c r="G16" s="6" t="s">
        <v>63</v>
      </c>
      <c r="I16" s="8">
        <v>84.770107638888902</v>
      </c>
      <c r="J16" s="8">
        <v>134.47681993055599</v>
      </c>
      <c r="K16" s="6" t="s">
        <v>29</v>
      </c>
      <c r="L16" s="6" t="s">
        <v>335</v>
      </c>
      <c r="M16" s="9">
        <v>43752</v>
      </c>
      <c r="O16" s="6">
        <v>3</v>
      </c>
      <c r="P16" s="6" t="s">
        <v>4246</v>
      </c>
      <c r="R16" s="6" t="s">
        <v>64</v>
      </c>
      <c r="S16" s="6">
        <v>0</v>
      </c>
      <c r="T16" s="6">
        <v>10</v>
      </c>
      <c r="U16" s="10">
        <f t="shared" si="0"/>
        <v>5</v>
      </c>
      <c r="V16" s="6">
        <v>7</v>
      </c>
      <c r="W16" s="8">
        <v>-3.1577192207336431</v>
      </c>
      <c r="X16" s="8">
        <v>-24.152954673767088</v>
      </c>
      <c r="Y16" s="8">
        <f t="shared" si="1"/>
        <v>1.108799092102057</v>
      </c>
    </row>
    <row r="17" spans="1:25" s="6" customFormat="1" x14ac:dyDescent="0.35">
      <c r="A17" s="6" t="s">
        <v>25</v>
      </c>
      <c r="B17" s="6" t="s">
        <v>105</v>
      </c>
      <c r="C17" s="6">
        <v>510085</v>
      </c>
      <c r="D17" s="6" t="s">
        <v>106</v>
      </c>
      <c r="E17" s="6">
        <v>1</v>
      </c>
      <c r="F17" s="6">
        <v>2</v>
      </c>
      <c r="G17" s="6" t="s">
        <v>107</v>
      </c>
      <c r="I17" s="8">
        <v>84.8243581944444</v>
      </c>
      <c r="J17" s="8">
        <v>133.1380825</v>
      </c>
      <c r="K17" s="6" t="s">
        <v>29</v>
      </c>
      <c r="L17" s="6" t="s">
        <v>335</v>
      </c>
      <c r="M17" s="9">
        <v>43756</v>
      </c>
      <c r="O17" s="6">
        <v>3</v>
      </c>
      <c r="P17" s="6" t="s">
        <v>4247</v>
      </c>
      <c r="R17" s="6" t="s">
        <v>64</v>
      </c>
      <c r="S17" s="6">
        <v>0</v>
      </c>
      <c r="T17" s="6">
        <v>10</v>
      </c>
      <c r="U17" s="10">
        <f t="shared" si="0"/>
        <v>5</v>
      </c>
      <c r="V17" s="6">
        <v>8.6</v>
      </c>
      <c r="W17" s="8">
        <v>-2.7498560806274415</v>
      </c>
      <c r="X17" s="8">
        <v>-21.58897963142395</v>
      </c>
      <c r="Y17" s="8">
        <f t="shared" si="1"/>
        <v>0.40986901359558203</v>
      </c>
    </row>
    <row r="18" spans="1:25" s="6" customFormat="1" x14ac:dyDescent="0.35">
      <c r="A18" s="6" t="s">
        <v>25</v>
      </c>
      <c r="B18" s="6" t="s">
        <v>114</v>
      </c>
      <c r="C18" s="6">
        <v>510089</v>
      </c>
      <c r="D18" s="6" t="s">
        <v>115</v>
      </c>
      <c r="E18" s="6">
        <v>1</v>
      </c>
      <c r="F18" s="6">
        <v>2</v>
      </c>
      <c r="G18" s="6" t="s">
        <v>107</v>
      </c>
      <c r="I18" s="8">
        <v>84.8243581944444</v>
      </c>
      <c r="J18" s="8">
        <v>133.1380825</v>
      </c>
      <c r="K18" s="6" t="s">
        <v>29</v>
      </c>
      <c r="L18" s="6" t="s">
        <v>335</v>
      </c>
      <c r="M18" s="9">
        <v>43756</v>
      </c>
      <c r="O18" s="6">
        <v>3</v>
      </c>
      <c r="P18" s="6" t="s">
        <v>4247</v>
      </c>
      <c r="R18" s="6" t="s">
        <v>64</v>
      </c>
      <c r="S18" s="6">
        <v>0</v>
      </c>
      <c r="T18" s="6">
        <v>10</v>
      </c>
      <c r="U18" s="10">
        <f t="shared" si="0"/>
        <v>5</v>
      </c>
      <c r="V18" s="6">
        <v>8.6</v>
      </c>
      <c r="W18" s="8">
        <v>-11.181551385498047</v>
      </c>
      <c r="X18" s="8">
        <v>-84.252583648681636</v>
      </c>
      <c r="Y18" s="8">
        <f t="shared" si="1"/>
        <v>5.1998274353027369</v>
      </c>
    </row>
    <row r="19" spans="1:25" s="6" customFormat="1" x14ac:dyDescent="0.35">
      <c r="A19" s="6" t="s">
        <v>25</v>
      </c>
      <c r="B19" s="6" t="s">
        <v>124</v>
      </c>
      <c r="C19" s="6">
        <v>510095</v>
      </c>
      <c r="D19" s="6" t="s">
        <v>125</v>
      </c>
      <c r="E19" s="6">
        <v>1</v>
      </c>
      <c r="F19" s="6">
        <v>2</v>
      </c>
      <c r="G19" s="6" t="s">
        <v>107</v>
      </c>
      <c r="I19" s="8">
        <v>84.8243581944444</v>
      </c>
      <c r="J19" s="8">
        <v>133.1380825</v>
      </c>
      <c r="K19" s="6" t="s">
        <v>29</v>
      </c>
      <c r="L19" s="6" t="s">
        <v>335</v>
      </c>
      <c r="M19" s="9">
        <v>43756</v>
      </c>
      <c r="O19" s="6">
        <v>3</v>
      </c>
      <c r="P19" s="6" t="s">
        <v>4247</v>
      </c>
      <c r="R19" s="6" t="s">
        <v>64</v>
      </c>
      <c r="S19" s="6">
        <v>0</v>
      </c>
      <c r="T19" s="6">
        <v>10</v>
      </c>
      <c r="U19" s="10">
        <f t="shared" si="0"/>
        <v>5</v>
      </c>
      <c r="V19" s="6">
        <v>8</v>
      </c>
      <c r="W19" s="8">
        <v>-1.59002861366272</v>
      </c>
      <c r="X19" s="8">
        <v>-12.425722684860229</v>
      </c>
      <c r="Y19" s="8">
        <f t="shared" si="1"/>
        <v>0.29450622444153041</v>
      </c>
    </row>
    <row r="20" spans="1:25" s="6" customFormat="1" x14ac:dyDescent="0.35">
      <c r="A20" s="6" t="s">
        <v>25</v>
      </c>
      <c r="B20" s="6" t="s">
        <v>129</v>
      </c>
      <c r="C20" s="6">
        <v>510098</v>
      </c>
      <c r="D20" s="6" t="s">
        <v>130</v>
      </c>
      <c r="E20" s="6">
        <v>1</v>
      </c>
      <c r="F20" s="6">
        <v>2</v>
      </c>
      <c r="G20" s="6" t="s">
        <v>107</v>
      </c>
      <c r="I20" s="8">
        <v>84.8243581944444</v>
      </c>
      <c r="J20" s="8">
        <v>133.1380825</v>
      </c>
      <c r="K20" s="6" t="s">
        <v>29</v>
      </c>
      <c r="L20" s="6" t="s">
        <v>335</v>
      </c>
      <c r="M20" s="9">
        <v>43756</v>
      </c>
      <c r="O20" s="6">
        <v>3</v>
      </c>
      <c r="P20" s="6" t="s">
        <v>4247</v>
      </c>
      <c r="R20" s="6" t="s">
        <v>64</v>
      </c>
      <c r="S20" s="6">
        <v>0</v>
      </c>
      <c r="T20" s="6">
        <v>10</v>
      </c>
      <c r="U20" s="10">
        <f t="shared" si="0"/>
        <v>5</v>
      </c>
      <c r="V20" s="6">
        <v>5.4</v>
      </c>
      <c r="W20" s="8">
        <v>-12.870231317138671</v>
      </c>
      <c r="X20" s="8">
        <v>-96.674850646972658</v>
      </c>
      <c r="Y20" s="8">
        <f t="shared" si="1"/>
        <v>6.2869998901367126</v>
      </c>
    </row>
    <row r="21" spans="1:25" s="6" customFormat="1" x14ac:dyDescent="0.35">
      <c r="A21" s="6" t="s">
        <v>25</v>
      </c>
      <c r="B21" s="6" t="s">
        <v>136</v>
      </c>
      <c r="C21" s="6">
        <v>510109</v>
      </c>
      <c r="D21" s="6" t="s">
        <v>130</v>
      </c>
      <c r="E21" s="6">
        <v>1</v>
      </c>
      <c r="F21" s="6">
        <v>2</v>
      </c>
      <c r="G21" s="6" t="s">
        <v>107</v>
      </c>
      <c r="I21" s="8">
        <v>84.8243581944444</v>
      </c>
      <c r="J21" s="8">
        <v>133.1380825</v>
      </c>
      <c r="K21" s="6" t="s">
        <v>29</v>
      </c>
      <c r="L21" s="6" t="s">
        <v>335</v>
      </c>
      <c r="M21" s="9">
        <v>43756</v>
      </c>
      <c r="O21" s="6">
        <v>3</v>
      </c>
      <c r="P21" s="6" t="s">
        <v>4247</v>
      </c>
      <c r="R21" s="6" t="s">
        <v>64</v>
      </c>
      <c r="S21" s="6">
        <v>0</v>
      </c>
      <c r="T21" s="6">
        <v>10</v>
      </c>
      <c r="U21" s="10">
        <f t="shared" si="0"/>
        <v>5</v>
      </c>
      <c r="V21" s="6">
        <v>3.7</v>
      </c>
      <c r="W21" s="8">
        <v>-10.1019612118721</v>
      </c>
      <c r="X21" s="8">
        <v>-77.16741384201049</v>
      </c>
      <c r="Y21" s="8">
        <f t="shared" si="1"/>
        <v>3.6482758529663073</v>
      </c>
    </row>
    <row r="22" spans="1:25" s="6" customFormat="1" x14ac:dyDescent="0.35">
      <c r="A22" s="6" t="s">
        <v>25</v>
      </c>
      <c r="B22" s="6" t="s">
        <v>143</v>
      </c>
      <c r="C22" s="6">
        <v>510113</v>
      </c>
      <c r="D22" s="6" t="s">
        <v>130</v>
      </c>
      <c r="E22" s="6">
        <v>1</v>
      </c>
      <c r="F22" s="6">
        <v>2</v>
      </c>
      <c r="G22" s="6" t="s">
        <v>107</v>
      </c>
      <c r="I22" s="8">
        <v>84.8243581944444</v>
      </c>
      <c r="J22" s="8">
        <v>133.1380825</v>
      </c>
      <c r="K22" s="6" t="s">
        <v>29</v>
      </c>
      <c r="L22" s="6" t="s">
        <v>335</v>
      </c>
      <c r="M22" s="9">
        <v>43756</v>
      </c>
      <c r="O22" s="6">
        <v>3</v>
      </c>
      <c r="P22" s="6" t="s">
        <v>4247</v>
      </c>
      <c r="R22" s="6" t="s">
        <v>64</v>
      </c>
      <c r="S22" s="6">
        <v>0</v>
      </c>
      <c r="T22" s="6">
        <v>10</v>
      </c>
      <c r="U22" s="10">
        <f t="shared" si="0"/>
        <v>5</v>
      </c>
      <c r="V22" s="6">
        <v>8.8000000000000007</v>
      </c>
      <c r="W22" s="8">
        <v>-0.12590021206736562</v>
      </c>
      <c r="X22" s="8">
        <v>-1.8282734068393709</v>
      </c>
      <c r="Y22" s="8">
        <f t="shared" si="1"/>
        <v>-0.8210717103004459</v>
      </c>
    </row>
    <row r="23" spans="1:25" s="6" customFormat="1" x14ac:dyDescent="0.35">
      <c r="A23" s="6" t="s">
        <v>25</v>
      </c>
      <c r="B23" s="6" t="s">
        <v>151</v>
      </c>
      <c r="C23" s="6">
        <v>510153</v>
      </c>
      <c r="D23" s="6" t="s">
        <v>152</v>
      </c>
      <c r="E23" s="6">
        <v>1</v>
      </c>
      <c r="F23" s="6">
        <v>3</v>
      </c>
      <c r="G23" s="6" t="s">
        <v>153</v>
      </c>
      <c r="I23" s="8">
        <v>85.348898888888897</v>
      </c>
      <c r="J23" s="8">
        <v>129.88336361111101</v>
      </c>
      <c r="K23" s="6" t="s">
        <v>29</v>
      </c>
      <c r="L23" s="6" t="s">
        <v>335</v>
      </c>
      <c r="M23" s="9">
        <v>43761</v>
      </c>
      <c r="O23" s="6">
        <v>4</v>
      </c>
      <c r="P23" s="6" t="s">
        <v>4248</v>
      </c>
      <c r="R23" s="6" t="s">
        <v>64</v>
      </c>
      <c r="S23" s="6">
        <v>0</v>
      </c>
      <c r="T23" s="6">
        <v>10</v>
      </c>
      <c r="U23" s="10">
        <f t="shared" si="0"/>
        <v>5</v>
      </c>
      <c r="V23" s="6">
        <v>5.6</v>
      </c>
      <c r="W23" s="8">
        <v>-5.1415718735933318</v>
      </c>
      <c r="X23" s="8">
        <v>-42.128601903533934</v>
      </c>
      <c r="Y23" s="8">
        <f t="shared" si="1"/>
        <v>-0.99602691478727934</v>
      </c>
    </row>
    <row r="24" spans="1:25" s="6" customFormat="1" x14ac:dyDescent="0.35">
      <c r="A24" s="6" t="s">
        <v>25</v>
      </c>
      <c r="B24" s="7"/>
      <c r="C24" s="6">
        <v>510167</v>
      </c>
      <c r="D24" s="6" t="s">
        <v>178</v>
      </c>
      <c r="E24" s="6">
        <v>1</v>
      </c>
      <c r="F24" s="6">
        <v>4</v>
      </c>
      <c r="G24" s="6" t="s">
        <v>179</v>
      </c>
      <c r="H24" s="6">
        <v>8</v>
      </c>
      <c r="I24" s="8">
        <v>85.406511180555597</v>
      </c>
      <c r="J24" s="8">
        <v>128.89254722222199</v>
      </c>
      <c r="K24" s="6" t="s">
        <v>29</v>
      </c>
      <c r="L24" s="6" t="s">
        <v>335</v>
      </c>
      <c r="M24" s="9">
        <v>43762</v>
      </c>
      <c r="O24" s="6">
        <v>4</v>
      </c>
      <c r="P24" s="6" t="s">
        <v>4249</v>
      </c>
      <c r="S24" s="6">
        <v>0</v>
      </c>
      <c r="T24" s="6">
        <v>10</v>
      </c>
      <c r="U24" s="10">
        <f t="shared" si="0"/>
        <v>5</v>
      </c>
      <c r="V24" s="6">
        <v>7.6</v>
      </c>
      <c r="W24" s="8">
        <v>-2.6598197258710861</v>
      </c>
      <c r="X24" s="8">
        <v>-18.441027037525174</v>
      </c>
      <c r="Y24" s="8">
        <f t="shared" si="1"/>
        <v>2.8375307694435143</v>
      </c>
    </row>
    <row r="25" spans="1:25" s="6" customFormat="1" x14ac:dyDescent="0.35">
      <c r="A25" s="6" t="s">
        <v>25</v>
      </c>
      <c r="B25" s="7"/>
      <c r="C25" s="6">
        <v>510411</v>
      </c>
      <c r="D25" s="6" t="s">
        <v>344</v>
      </c>
      <c r="E25" s="6">
        <v>1</v>
      </c>
      <c r="F25" s="6">
        <v>6</v>
      </c>
      <c r="G25" s="6" t="s">
        <v>345</v>
      </c>
      <c r="H25" s="6">
        <v>18</v>
      </c>
      <c r="I25" s="8">
        <v>85.9187781944444</v>
      </c>
      <c r="J25" s="8">
        <v>117.45457173611101</v>
      </c>
      <c r="K25" s="6" t="s">
        <v>29</v>
      </c>
      <c r="L25" s="6" t="s">
        <v>335</v>
      </c>
      <c r="M25" s="9">
        <v>43775</v>
      </c>
      <c r="O25" s="6">
        <v>6</v>
      </c>
      <c r="P25" s="6" t="s">
        <v>4256</v>
      </c>
      <c r="R25" s="6" t="s">
        <v>64</v>
      </c>
      <c r="S25" s="6">
        <v>0</v>
      </c>
      <c r="T25" s="6">
        <v>10</v>
      </c>
      <c r="U25" s="10">
        <f t="shared" si="0"/>
        <v>5</v>
      </c>
      <c r="V25" s="6">
        <v>6.3</v>
      </c>
      <c r="W25" s="8">
        <v>-2.3824332152366638</v>
      </c>
      <c r="X25" s="8">
        <v>-18.529459533691405</v>
      </c>
      <c r="Y25" s="8">
        <f t="shared" si="1"/>
        <v>0.53000618820190581</v>
      </c>
    </row>
    <row r="26" spans="1:25" s="6" customFormat="1" x14ac:dyDescent="0.35">
      <c r="A26" s="6" t="s">
        <v>25</v>
      </c>
      <c r="B26" s="7"/>
      <c r="C26" s="6">
        <v>510420</v>
      </c>
      <c r="D26" s="6" t="s">
        <v>354</v>
      </c>
      <c r="E26" s="6">
        <v>1</v>
      </c>
      <c r="F26" s="6">
        <v>6</v>
      </c>
      <c r="G26" s="6" t="s">
        <v>179</v>
      </c>
      <c r="H26" s="6">
        <v>7</v>
      </c>
      <c r="I26" s="8">
        <v>85.917653888888907</v>
      </c>
      <c r="J26" s="8">
        <v>116.64332493055601</v>
      </c>
      <c r="K26" s="6" t="s">
        <v>29</v>
      </c>
      <c r="L26" s="6" t="s">
        <v>335</v>
      </c>
      <c r="M26" s="9">
        <v>43776</v>
      </c>
      <c r="O26" s="6">
        <v>6</v>
      </c>
      <c r="P26" s="6" t="s">
        <v>4257</v>
      </c>
      <c r="R26" s="6" t="s">
        <v>64</v>
      </c>
      <c r="S26" s="6">
        <v>0</v>
      </c>
      <c r="T26" s="6">
        <v>10</v>
      </c>
      <c r="U26" s="10">
        <f t="shared" si="0"/>
        <v>5</v>
      </c>
      <c r="V26" s="6">
        <v>5.5</v>
      </c>
      <c r="W26" s="8">
        <v>-1.0643846802234647</v>
      </c>
      <c r="X26" s="8">
        <v>-6.7328532966613768</v>
      </c>
      <c r="Y26" s="8">
        <f t="shared" si="1"/>
        <v>1.7822241451263405</v>
      </c>
    </row>
    <row r="27" spans="1:25" s="6" customFormat="1" x14ac:dyDescent="0.35">
      <c r="A27" s="6" t="s">
        <v>25</v>
      </c>
      <c r="B27" s="7"/>
      <c r="C27" s="6">
        <v>510509</v>
      </c>
      <c r="D27" s="6" t="s">
        <v>377</v>
      </c>
      <c r="E27" s="6">
        <v>1</v>
      </c>
      <c r="F27" s="6">
        <v>7</v>
      </c>
      <c r="G27" s="6" t="s">
        <v>202</v>
      </c>
      <c r="H27" s="6">
        <v>9</v>
      </c>
      <c r="I27" s="8">
        <v>85.915187361111094</v>
      </c>
      <c r="J27" s="8">
        <v>116.660135</v>
      </c>
      <c r="K27" s="6" t="s">
        <v>29</v>
      </c>
      <c r="L27" s="6" t="s">
        <v>335</v>
      </c>
      <c r="M27" s="9">
        <v>43780</v>
      </c>
      <c r="O27" s="6">
        <v>7</v>
      </c>
      <c r="P27" s="6" t="s">
        <v>4259</v>
      </c>
      <c r="R27" s="6" t="s">
        <v>64</v>
      </c>
      <c r="S27" s="6">
        <v>0</v>
      </c>
      <c r="T27" s="6">
        <v>10</v>
      </c>
      <c r="U27" s="10">
        <f t="shared" si="0"/>
        <v>5</v>
      </c>
      <c r="V27" s="6">
        <v>7.5</v>
      </c>
      <c r="W27" s="8">
        <v>-4.0145954532623298</v>
      </c>
      <c r="X27" s="8">
        <v>-32.282085399627682</v>
      </c>
      <c r="Y27" s="8">
        <f t="shared" si="1"/>
        <v>-0.16532177352904398</v>
      </c>
    </row>
    <row r="28" spans="1:25" s="6" customFormat="1" x14ac:dyDescent="0.35">
      <c r="A28" s="6" t="s">
        <v>25</v>
      </c>
      <c r="B28" s="7" t="s">
        <v>420</v>
      </c>
      <c r="C28" s="6">
        <v>510586</v>
      </c>
      <c r="D28" s="6" t="s">
        <v>421</v>
      </c>
      <c r="E28" s="6">
        <v>1</v>
      </c>
      <c r="F28" s="6">
        <v>7</v>
      </c>
      <c r="G28" s="6" t="s">
        <v>179</v>
      </c>
      <c r="I28" s="8">
        <v>86.1718883333333</v>
      </c>
      <c r="J28" s="8">
        <v>118.24158284722201</v>
      </c>
      <c r="K28" s="6" t="s">
        <v>29</v>
      </c>
      <c r="L28" s="6" t="s">
        <v>335</v>
      </c>
      <c r="M28" s="9">
        <v>43783</v>
      </c>
      <c r="O28" s="6">
        <v>7</v>
      </c>
      <c r="P28" s="6" t="s">
        <v>4248</v>
      </c>
      <c r="Q28" s="8">
        <v>-6.35</v>
      </c>
      <c r="R28" s="10" t="s">
        <v>422</v>
      </c>
      <c r="S28" s="10">
        <v>0</v>
      </c>
      <c r="T28" s="10">
        <v>10</v>
      </c>
      <c r="U28" s="10">
        <f t="shared" si="0"/>
        <v>5</v>
      </c>
      <c r="V28" s="6">
        <v>6.1</v>
      </c>
      <c r="W28" s="8">
        <v>-1.1872953195169567</v>
      </c>
      <c r="X28" s="8">
        <v>-8.7001789560318006</v>
      </c>
      <c r="Y28" s="8">
        <f t="shared" si="1"/>
        <v>0.7981836001038527</v>
      </c>
    </row>
    <row r="29" spans="1:25" s="6" customFormat="1" x14ac:dyDescent="0.35">
      <c r="A29" s="6" t="s">
        <v>25</v>
      </c>
      <c r="B29" s="7" t="s">
        <v>455</v>
      </c>
      <c r="C29" s="6">
        <v>510643</v>
      </c>
      <c r="D29" s="6" t="s">
        <v>456</v>
      </c>
      <c r="E29" s="6">
        <v>1</v>
      </c>
      <c r="F29" s="6">
        <v>7</v>
      </c>
      <c r="G29" s="6" t="s">
        <v>179</v>
      </c>
      <c r="I29" s="8">
        <v>86.191348333333295</v>
      </c>
      <c r="J29" s="8">
        <v>118.623774583333</v>
      </c>
      <c r="K29" s="6" t="s">
        <v>29</v>
      </c>
      <c r="L29" s="6" t="s">
        <v>335</v>
      </c>
      <c r="M29" s="9">
        <v>43784</v>
      </c>
      <c r="O29" s="6">
        <v>7</v>
      </c>
      <c r="P29" s="6" t="s">
        <v>4260</v>
      </c>
      <c r="Q29" s="8">
        <v>-8.9</v>
      </c>
      <c r="R29" s="10" t="s">
        <v>422</v>
      </c>
      <c r="S29" s="10">
        <v>0</v>
      </c>
      <c r="T29" s="10">
        <v>10</v>
      </c>
      <c r="U29" s="10">
        <f t="shared" si="0"/>
        <v>5</v>
      </c>
      <c r="V29" s="6">
        <v>0.1</v>
      </c>
      <c r="W29" s="8">
        <v>-6.0917515594482428</v>
      </c>
      <c r="X29" s="8">
        <v>-46.377056671142576</v>
      </c>
      <c r="Y29" s="8">
        <f t="shared" si="1"/>
        <v>2.3569558044433663</v>
      </c>
    </row>
    <row r="30" spans="1:25" s="6" customFormat="1" x14ac:dyDescent="0.35">
      <c r="A30" s="6" t="s">
        <v>25</v>
      </c>
      <c r="B30" s="7" t="s">
        <v>486</v>
      </c>
      <c r="C30" s="6">
        <v>510672</v>
      </c>
      <c r="D30" s="6" t="s">
        <v>487</v>
      </c>
      <c r="E30" s="6">
        <v>1</v>
      </c>
      <c r="F30" s="6">
        <v>8</v>
      </c>
      <c r="G30" s="6" t="s">
        <v>202</v>
      </c>
      <c r="I30" s="8">
        <v>85.829729583333304</v>
      </c>
      <c r="J30" s="8">
        <v>120.62869888888901</v>
      </c>
      <c r="K30" s="6" t="s">
        <v>29</v>
      </c>
      <c r="L30" s="6" t="s">
        <v>335</v>
      </c>
      <c r="M30" s="9">
        <v>43787</v>
      </c>
      <c r="O30" s="6">
        <v>8</v>
      </c>
      <c r="P30" s="6" t="s">
        <v>4263</v>
      </c>
      <c r="Q30" s="8">
        <v>-5.8</v>
      </c>
      <c r="R30" s="10" t="s">
        <v>422</v>
      </c>
      <c r="S30" s="10">
        <v>0</v>
      </c>
      <c r="T30" s="10">
        <v>10</v>
      </c>
      <c r="U30" s="10">
        <f t="shared" si="0"/>
        <v>5</v>
      </c>
      <c r="V30" s="6">
        <v>6</v>
      </c>
      <c r="W30" s="8">
        <v>-6.0056913136138919</v>
      </c>
      <c r="X30" s="8">
        <v>-46.932632494903558</v>
      </c>
      <c r="Y30" s="8">
        <f t="shared" si="1"/>
        <v>1.1128980140075768</v>
      </c>
    </row>
    <row r="31" spans="1:25" s="6" customFormat="1" x14ac:dyDescent="0.35">
      <c r="A31" s="6" t="s">
        <v>25</v>
      </c>
      <c r="B31" s="7" t="s">
        <v>497</v>
      </c>
      <c r="C31" s="6">
        <v>510677</v>
      </c>
      <c r="D31" s="6" t="s">
        <v>498</v>
      </c>
      <c r="E31" s="6">
        <v>1</v>
      </c>
      <c r="F31" s="6">
        <v>8</v>
      </c>
      <c r="G31" s="6" t="s">
        <v>179</v>
      </c>
      <c r="I31" s="8">
        <v>85.788680208333304</v>
      </c>
      <c r="J31" s="8">
        <v>120.807478194444</v>
      </c>
      <c r="K31" s="6" t="s">
        <v>29</v>
      </c>
      <c r="L31" s="6" t="s">
        <v>335</v>
      </c>
      <c r="M31" s="9">
        <v>43788</v>
      </c>
      <c r="O31" s="6">
        <v>8</v>
      </c>
      <c r="P31" s="6" t="s">
        <v>4264</v>
      </c>
      <c r="Q31" s="8">
        <v>-6.2666666666666666</v>
      </c>
      <c r="R31" s="10" t="s">
        <v>422</v>
      </c>
      <c r="S31" s="10">
        <v>0</v>
      </c>
      <c r="T31" s="10">
        <v>10</v>
      </c>
      <c r="U31" s="10">
        <f t="shared" si="0"/>
        <v>5</v>
      </c>
      <c r="V31" s="6">
        <v>6.1</v>
      </c>
      <c r="W31" s="8">
        <v>-1.1915258343658448</v>
      </c>
      <c r="X31" s="8">
        <v>-9.525246726760864</v>
      </c>
      <c r="Y31" s="8">
        <f t="shared" si="1"/>
        <v>6.9599481658944029E-3</v>
      </c>
    </row>
    <row r="32" spans="1:25" s="6" customFormat="1" x14ac:dyDescent="0.35">
      <c r="A32" s="6" t="s">
        <v>25</v>
      </c>
      <c r="B32" s="7" t="s">
        <v>605</v>
      </c>
      <c r="C32" s="6">
        <v>510734</v>
      </c>
      <c r="D32" s="6" t="s">
        <v>606</v>
      </c>
      <c r="E32" s="6">
        <v>1</v>
      </c>
      <c r="F32" s="6">
        <v>9</v>
      </c>
      <c r="G32" s="6" t="s">
        <v>202</v>
      </c>
      <c r="I32" s="8">
        <v>86.047909722222201</v>
      </c>
      <c r="J32" s="8">
        <v>120.497726180556</v>
      </c>
      <c r="K32" s="6" t="s">
        <v>29</v>
      </c>
      <c r="L32" s="6" t="s">
        <v>335</v>
      </c>
      <c r="M32" s="9">
        <v>43794</v>
      </c>
      <c r="O32" s="6">
        <v>9</v>
      </c>
      <c r="P32" s="6" t="s">
        <v>4270</v>
      </c>
      <c r="Q32" s="8">
        <v>-8.9</v>
      </c>
      <c r="R32" s="10" t="s">
        <v>64</v>
      </c>
      <c r="S32" s="10">
        <v>0</v>
      </c>
      <c r="T32" s="10">
        <v>10</v>
      </c>
      <c r="U32" s="10">
        <f t="shared" si="0"/>
        <v>5</v>
      </c>
      <c r="V32" s="11">
        <v>5.6</v>
      </c>
      <c r="W32" s="8">
        <v>-2.9458334699630742</v>
      </c>
      <c r="X32" s="8">
        <v>-24.637205187034606</v>
      </c>
      <c r="Y32" s="8">
        <f t="shared" si="1"/>
        <v>-1.070537427330013</v>
      </c>
    </row>
    <row r="33" spans="1:25" s="6" customFormat="1" x14ac:dyDescent="0.35">
      <c r="A33" s="6" t="s">
        <v>25</v>
      </c>
      <c r="B33" s="7" t="s">
        <v>654</v>
      </c>
      <c r="C33" s="6">
        <v>510777</v>
      </c>
      <c r="D33" s="6" t="s">
        <v>655</v>
      </c>
      <c r="E33" s="6">
        <v>1</v>
      </c>
      <c r="F33" s="6">
        <v>9</v>
      </c>
      <c r="G33" s="6" t="s">
        <v>179</v>
      </c>
      <c r="I33" s="8">
        <v>86.158515138888902</v>
      </c>
      <c r="J33" s="8">
        <v>117.89724090277799</v>
      </c>
      <c r="K33" s="6" t="s">
        <v>29</v>
      </c>
      <c r="L33" s="6" t="s">
        <v>335</v>
      </c>
      <c r="M33" s="9">
        <v>43796</v>
      </c>
      <c r="O33" s="6">
        <v>9</v>
      </c>
      <c r="P33" s="6" t="s">
        <v>4272</v>
      </c>
      <c r="Q33" s="8">
        <v>-11.700000000000001</v>
      </c>
      <c r="R33" s="10" t="s">
        <v>64</v>
      </c>
      <c r="S33" s="10">
        <v>0</v>
      </c>
      <c r="T33" s="10">
        <v>10</v>
      </c>
      <c r="U33" s="10">
        <f t="shared" si="0"/>
        <v>5</v>
      </c>
      <c r="V33" s="11">
        <v>5.3</v>
      </c>
      <c r="W33" s="8">
        <v>-0.763541579246521</v>
      </c>
      <c r="X33" s="8">
        <v>-5.5080523290634158</v>
      </c>
      <c r="Y33" s="8">
        <f t="shared" si="1"/>
        <v>0.60028030490875217</v>
      </c>
    </row>
    <row r="34" spans="1:25" s="6" customFormat="1" x14ac:dyDescent="0.35">
      <c r="A34" s="6" t="s">
        <v>25</v>
      </c>
      <c r="B34" s="7"/>
      <c r="C34" s="6">
        <v>510945</v>
      </c>
      <c r="D34" s="6" t="s">
        <v>747</v>
      </c>
      <c r="E34" s="6">
        <v>1</v>
      </c>
      <c r="F34" s="6">
        <v>10</v>
      </c>
      <c r="G34" s="6" t="s">
        <v>202</v>
      </c>
      <c r="H34" s="6">
        <v>7.6</v>
      </c>
      <c r="I34" s="8">
        <v>85.933882569444407</v>
      </c>
      <c r="J34" s="8">
        <v>114.06437159722201</v>
      </c>
      <c r="K34" s="6" t="s">
        <v>29</v>
      </c>
      <c r="L34" s="6" t="s">
        <v>335</v>
      </c>
      <c r="M34" s="9">
        <v>43801</v>
      </c>
      <c r="O34" s="6">
        <v>10</v>
      </c>
      <c r="P34" s="6" t="s">
        <v>4277</v>
      </c>
      <c r="R34" s="6" t="s">
        <v>64</v>
      </c>
      <c r="S34" s="6">
        <v>0</v>
      </c>
      <c r="T34" s="6">
        <v>10</v>
      </c>
      <c r="U34" s="10">
        <f t="shared" si="0"/>
        <v>5</v>
      </c>
      <c r="V34" s="6">
        <v>5.3</v>
      </c>
      <c r="W34" s="8">
        <v>-1.4482838597893665E-2</v>
      </c>
      <c r="X34" s="8">
        <v>-1.6035538144111625</v>
      </c>
      <c r="Y34" s="8">
        <f t="shared" si="1"/>
        <v>-1.4876911056280131</v>
      </c>
    </row>
    <row r="35" spans="1:25" s="6" customFormat="1" x14ac:dyDescent="0.35">
      <c r="A35" s="6" t="s">
        <v>25</v>
      </c>
      <c r="B35" s="6" t="s">
        <v>757</v>
      </c>
      <c r="C35" s="6">
        <v>511029</v>
      </c>
      <c r="D35" s="6" t="s">
        <v>758</v>
      </c>
      <c r="E35" s="6">
        <v>1</v>
      </c>
      <c r="F35" s="6">
        <v>10</v>
      </c>
      <c r="G35" s="6" t="s">
        <v>179</v>
      </c>
      <c r="I35" s="8">
        <v>86.106434930555594</v>
      </c>
      <c r="J35" s="8">
        <v>118.771893680556</v>
      </c>
      <c r="K35" s="6" t="s">
        <v>29</v>
      </c>
      <c r="L35" s="6" t="s">
        <v>335</v>
      </c>
      <c r="M35" s="9">
        <v>43803</v>
      </c>
      <c r="O35" s="6">
        <v>10</v>
      </c>
      <c r="P35" s="6" t="s">
        <v>4278</v>
      </c>
      <c r="R35" s="6" t="s">
        <v>759</v>
      </c>
      <c r="S35" s="6">
        <v>0</v>
      </c>
      <c r="T35" s="6">
        <v>10</v>
      </c>
      <c r="U35" s="10">
        <f t="shared" si="0"/>
        <v>5</v>
      </c>
      <c r="V35" s="6">
        <v>2.4</v>
      </c>
      <c r="W35" s="8">
        <v>-1.0174513670873639</v>
      </c>
      <c r="X35" s="8">
        <v>-9.0294616050720222</v>
      </c>
      <c r="Y35" s="8">
        <f t="shared" si="1"/>
        <v>-0.88985066837311066</v>
      </c>
    </row>
    <row r="36" spans="1:25" s="6" customFormat="1" x14ac:dyDescent="0.35">
      <c r="A36" s="6" t="s">
        <v>25</v>
      </c>
      <c r="B36" s="7"/>
      <c r="C36" s="6">
        <v>511054</v>
      </c>
      <c r="D36" s="6" t="s">
        <v>772</v>
      </c>
      <c r="E36" s="6">
        <v>1</v>
      </c>
      <c r="F36" s="6">
        <v>10</v>
      </c>
      <c r="G36" s="6" t="s">
        <v>345</v>
      </c>
      <c r="H36" s="6">
        <v>22</v>
      </c>
      <c r="I36" s="8">
        <v>86.141995833333297</v>
      </c>
      <c r="J36" s="8">
        <v>122.240208541667</v>
      </c>
      <c r="K36" s="6" t="s">
        <v>29</v>
      </c>
      <c r="L36" s="6" t="s">
        <v>335</v>
      </c>
      <c r="M36" s="9">
        <v>43805</v>
      </c>
      <c r="O36" s="6">
        <v>10</v>
      </c>
      <c r="P36" s="6" t="s">
        <v>4280</v>
      </c>
      <c r="R36" s="6" t="s">
        <v>759</v>
      </c>
      <c r="S36" s="6">
        <v>0</v>
      </c>
      <c r="T36" s="6">
        <v>10</v>
      </c>
      <c r="U36" s="10">
        <f t="shared" si="0"/>
        <v>5</v>
      </c>
      <c r="V36" s="6">
        <v>0.2</v>
      </c>
      <c r="W36" s="8">
        <v>-4.6566015440940856</v>
      </c>
      <c r="X36" s="8">
        <v>-35.821781702041626</v>
      </c>
      <c r="Y36" s="8">
        <f t="shared" si="1"/>
        <v>1.4310306507110582</v>
      </c>
    </row>
    <row r="37" spans="1:25" s="6" customFormat="1" x14ac:dyDescent="0.35">
      <c r="A37" s="6" t="s">
        <v>25</v>
      </c>
      <c r="B37" s="6" t="s">
        <v>778</v>
      </c>
      <c r="D37" s="6" t="s">
        <v>779</v>
      </c>
      <c r="E37" s="6">
        <v>1</v>
      </c>
      <c r="F37" s="6">
        <v>11</v>
      </c>
      <c r="G37" s="6" t="s">
        <v>179</v>
      </c>
      <c r="I37" s="8">
        <v>86.506581944444406</v>
      </c>
      <c r="J37" s="8">
        <v>120.985913333333</v>
      </c>
      <c r="K37" s="6" t="s">
        <v>29</v>
      </c>
      <c r="L37" s="6" t="s">
        <v>335</v>
      </c>
      <c r="M37" s="9">
        <v>43809</v>
      </c>
      <c r="O37" s="6">
        <v>11</v>
      </c>
      <c r="P37" s="6" t="s">
        <v>4284</v>
      </c>
      <c r="R37" s="6">
        <v>0</v>
      </c>
      <c r="S37" s="6">
        <v>0</v>
      </c>
      <c r="T37" s="6">
        <v>10</v>
      </c>
      <c r="U37" s="10">
        <f t="shared" si="0"/>
        <v>5</v>
      </c>
      <c r="V37" s="6">
        <v>6.9</v>
      </c>
      <c r="W37" s="8">
        <v>6.2196739642508839E-2</v>
      </c>
      <c r="X37" s="8">
        <v>-0.51185487484931969</v>
      </c>
      <c r="Y37" s="8">
        <f t="shared" si="1"/>
        <v>-1.0094287919893903</v>
      </c>
    </row>
    <row r="38" spans="1:25" s="6" customFormat="1" x14ac:dyDescent="0.35">
      <c r="A38" s="6" t="s">
        <v>25</v>
      </c>
      <c r="B38" s="6" t="s">
        <v>788</v>
      </c>
      <c r="D38" s="6" t="s">
        <v>789</v>
      </c>
      <c r="E38" s="6">
        <v>2</v>
      </c>
      <c r="F38" s="6">
        <v>17</v>
      </c>
      <c r="G38" s="6" t="s">
        <v>202</v>
      </c>
      <c r="I38" s="8">
        <v>86.641082222222195</v>
      </c>
      <c r="J38" s="8">
        <v>113.166453680556</v>
      </c>
      <c r="K38" s="6" t="s">
        <v>29</v>
      </c>
      <c r="L38" s="6" t="s">
        <v>335</v>
      </c>
      <c r="M38" s="9">
        <v>43822</v>
      </c>
      <c r="O38" s="6">
        <v>13</v>
      </c>
      <c r="P38" s="6" t="s">
        <v>4294</v>
      </c>
      <c r="R38" s="6">
        <v>0</v>
      </c>
      <c r="S38" s="6">
        <v>0</v>
      </c>
      <c r="T38" s="6">
        <v>10</v>
      </c>
      <c r="U38" s="10">
        <f t="shared" si="0"/>
        <v>5</v>
      </c>
      <c r="V38" s="6">
        <v>5</v>
      </c>
      <c r="W38" s="8">
        <v>-3.4426701181888579</v>
      </c>
      <c r="X38" s="8">
        <v>-28.229901266098022</v>
      </c>
      <c r="Y38" s="8">
        <f t="shared" si="1"/>
        <v>-0.68854032058715831</v>
      </c>
    </row>
    <row r="39" spans="1:25" s="6" customFormat="1" x14ac:dyDescent="0.35">
      <c r="A39" s="6" t="s">
        <v>25</v>
      </c>
      <c r="B39" s="7"/>
      <c r="D39" s="6" t="s">
        <v>842</v>
      </c>
      <c r="E39" s="6">
        <v>2</v>
      </c>
      <c r="F39" s="6">
        <v>19</v>
      </c>
      <c r="G39" s="6" t="s">
        <v>202</v>
      </c>
      <c r="I39" s="8">
        <v>87.103055694444393</v>
      </c>
      <c r="J39" s="8">
        <v>115.160686597222</v>
      </c>
      <c r="K39" s="6" t="s">
        <v>29</v>
      </c>
      <c r="L39" s="6" t="s">
        <v>335</v>
      </c>
      <c r="M39" s="9">
        <v>43836</v>
      </c>
      <c r="O39" s="6">
        <v>15</v>
      </c>
      <c r="P39" s="6" t="s">
        <v>4271</v>
      </c>
      <c r="S39" s="6">
        <v>0</v>
      </c>
      <c r="T39" s="6">
        <v>10</v>
      </c>
      <c r="U39" s="10">
        <f t="shared" si="0"/>
        <v>5</v>
      </c>
      <c r="V39" s="6">
        <v>7.8</v>
      </c>
      <c r="W39" s="8">
        <v>-6.7278392742157003</v>
      </c>
      <c r="X39" s="8">
        <v>-52.288089332580562</v>
      </c>
      <c r="Y39" s="8">
        <f t="shared" si="1"/>
        <v>1.5346248611450406</v>
      </c>
    </row>
    <row r="40" spans="1:25" s="6" customFormat="1" x14ac:dyDescent="0.35">
      <c r="A40" s="6" t="s">
        <v>25</v>
      </c>
      <c r="B40" s="6" t="s">
        <v>883</v>
      </c>
      <c r="D40" s="6" t="s">
        <v>884</v>
      </c>
      <c r="E40" s="6">
        <v>2</v>
      </c>
      <c r="F40" s="6">
        <v>20</v>
      </c>
      <c r="G40" s="6" t="s">
        <v>57</v>
      </c>
      <c r="I40" s="8">
        <v>86.603676041666702</v>
      </c>
      <c r="J40" s="8">
        <v>116.411907777778</v>
      </c>
      <c r="K40" s="6" t="s">
        <v>29</v>
      </c>
      <c r="L40" s="6" t="s">
        <v>335</v>
      </c>
      <c r="M40" s="9">
        <v>43846</v>
      </c>
      <c r="O40" s="6">
        <v>16</v>
      </c>
      <c r="P40" s="6" t="s">
        <v>4311</v>
      </c>
      <c r="R40" s="6">
        <v>0</v>
      </c>
      <c r="S40" s="6">
        <v>0</v>
      </c>
      <c r="T40" s="6">
        <v>10</v>
      </c>
      <c r="U40" s="10">
        <f t="shared" si="0"/>
        <v>5</v>
      </c>
      <c r="V40" s="6">
        <v>4.2</v>
      </c>
      <c r="W40" s="8">
        <v>0.8484078314602379</v>
      </c>
      <c r="X40" s="8">
        <v>6.9226636825084693</v>
      </c>
      <c r="Y40" s="8">
        <f t="shared" si="1"/>
        <v>0.13540103082656607</v>
      </c>
    </row>
    <row r="41" spans="1:25" s="6" customFormat="1" x14ac:dyDescent="0.35">
      <c r="A41" s="6" t="s">
        <v>25</v>
      </c>
      <c r="B41" s="7" t="s">
        <v>915</v>
      </c>
      <c r="D41" s="6" t="s">
        <v>916</v>
      </c>
      <c r="E41" s="6">
        <v>2</v>
      </c>
      <c r="F41" s="6">
        <v>21</v>
      </c>
      <c r="G41" s="6" t="s">
        <v>202</v>
      </c>
      <c r="I41" s="8">
        <v>87.451079583333296</v>
      </c>
      <c r="J41" s="8">
        <v>97.375985347222198</v>
      </c>
      <c r="K41" s="6" t="s">
        <v>29</v>
      </c>
      <c r="L41" s="6" t="s">
        <v>335</v>
      </c>
      <c r="M41" s="9">
        <v>43850</v>
      </c>
      <c r="O41" s="6">
        <v>17</v>
      </c>
      <c r="P41" s="6" t="s">
        <v>4314</v>
      </c>
      <c r="R41" s="10"/>
      <c r="S41" s="10">
        <v>0</v>
      </c>
      <c r="T41" s="10">
        <v>10</v>
      </c>
      <c r="U41" s="10">
        <f t="shared" si="0"/>
        <v>5</v>
      </c>
      <c r="V41" s="11">
        <v>6.5</v>
      </c>
      <c r="W41" s="8">
        <v>-1.6039753601455686</v>
      </c>
      <c r="X41" s="8">
        <v>-13.923559502124787</v>
      </c>
      <c r="Y41" s="8">
        <f t="shared" si="1"/>
        <v>-1.0917566209602381</v>
      </c>
    </row>
    <row r="42" spans="1:25" s="6" customFormat="1" x14ac:dyDescent="0.35">
      <c r="A42" s="6" t="s">
        <v>25</v>
      </c>
      <c r="B42" s="7"/>
      <c r="D42" s="6" t="s">
        <v>996</v>
      </c>
      <c r="E42" s="6">
        <v>2</v>
      </c>
      <c r="F42" s="6">
        <v>23</v>
      </c>
      <c r="G42" s="6" t="s">
        <v>202</v>
      </c>
      <c r="I42" s="8">
        <v>87.352736041666702</v>
      </c>
      <c r="J42" s="8">
        <v>94.772103819444396</v>
      </c>
      <c r="K42" s="6" t="s">
        <v>29</v>
      </c>
      <c r="L42" s="6" t="s">
        <v>335</v>
      </c>
      <c r="M42" s="9">
        <v>43864</v>
      </c>
      <c r="O42" s="6">
        <v>19</v>
      </c>
      <c r="P42" s="6" t="s">
        <v>4322</v>
      </c>
      <c r="S42" s="6">
        <v>0</v>
      </c>
      <c r="T42" s="6">
        <v>10</v>
      </c>
      <c r="U42" s="10">
        <f t="shared" si="0"/>
        <v>5</v>
      </c>
      <c r="V42" s="6">
        <v>5.3</v>
      </c>
      <c r="W42" s="8">
        <v>-1.8963263038635254</v>
      </c>
      <c r="X42" s="8">
        <v>-14.665141983032228</v>
      </c>
      <c r="Y42" s="8">
        <f t="shared" si="1"/>
        <v>0.505468447875975</v>
      </c>
    </row>
    <row r="43" spans="1:25" s="6" customFormat="1" x14ac:dyDescent="0.35">
      <c r="A43" s="6" t="s">
        <v>25</v>
      </c>
      <c r="B43" s="7"/>
      <c r="D43" s="6" t="s">
        <v>1032</v>
      </c>
      <c r="E43" s="6">
        <v>2</v>
      </c>
      <c r="F43" s="6">
        <v>24</v>
      </c>
      <c r="G43" s="6" t="s">
        <v>57</v>
      </c>
      <c r="I43" s="8">
        <v>87.882876180555598</v>
      </c>
      <c r="J43" s="8">
        <v>87.424340833333304</v>
      </c>
      <c r="K43" s="6" t="s">
        <v>29</v>
      </c>
      <c r="L43" s="6" t="s">
        <v>335</v>
      </c>
      <c r="M43" s="9">
        <v>43873</v>
      </c>
      <c r="O43" s="6">
        <v>20</v>
      </c>
      <c r="P43" s="6" t="s">
        <v>4313</v>
      </c>
      <c r="S43" s="6">
        <v>0</v>
      </c>
      <c r="T43" s="6">
        <v>10</v>
      </c>
      <c r="U43" s="10">
        <f t="shared" si="0"/>
        <v>5</v>
      </c>
      <c r="V43" s="30"/>
      <c r="W43" s="8">
        <v>-5.4637184638023379</v>
      </c>
      <c r="X43" s="8">
        <v>-40.748498699188232</v>
      </c>
      <c r="Y43" s="8">
        <f t="shared" si="1"/>
        <v>2.9612490112304712</v>
      </c>
    </row>
    <row r="44" spans="1:25" s="6" customFormat="1" x14ac:dyDescent="0.35">
      <c r="A44" s="6" t="s">
        <v>25</v>
      </c>
      <c r="B44" s="7"/>
      <c r="D44" s="6" t="s">
        <v>1082</v>
      </c>
      <c r="E44" s="6">
        <v>3</v>
      </c>
      <c r="F44" s="6">
        <v>31</v>
      </c>
      <c r="G44" s="6" t="s">
        <v>179</v>
      </c>
      <c r="I44" s="8">
        <v>87.889566388888895</v>
      </c>
      <c r="J44" s="8">
        <v>24.107920208333301</v>
      </c>
      <c r="K44" s="6" t="s">
        <v>29</v>
      </c>
      <c r="L44" s="6" t="s">
        <v>335</v>
      </c>
      <c r="M44" s="9">
        <v>43899</v>
      </c>
      <c r="O44" s="6">
        <v>24</v>
      </c>
      <c r="P44" s="6" t="s">
        <v>4343</v>
      </c>
      <c r="S44" s="6">
        <v>0</v>
      </c>
      <c r="T44" s="6">
        <v>10</v>
      </c>
      <c r="U44" s="10">
        <f t="shared" si="0"/>
        <v>5</v>
      </c>
      <c r="V44" s="6">
        <v>5.4</v>
      </c>
      <c r="W44" s="8">
        <v>-2.650490047988892</v>
      </c>
      <c r="X44" s="8">
        <v>-22.38780714035034</v>
      </c>
      <c r="Y44" s="8">
        <f t="shared" si="1"/>
        <v>-1.1838867564392039</v>
      </c>
    </row>
    <row r="45" spans="1:25" s="6" customFormat="1" x14ac:dyDescent="0.35">
      <c r="A45" s="6" t="s">
        <v>25</v>
      </c>
      <c r="B45" s="7"/>
      <c r="D45" s="6" t="s">
        <v>1097</v>
      </c>
      <c r="E45" s="6">
        <v>3</v>
      </c>
      <c r="F45" s="6">
        <v>31</v>
      </c>
      <c r="G45" s="6" t="s">
        <v>345</v>
      </c>
      <c r="I45" s="8">
        <v>87.660309999999996</v>
      </c>
      <c r="J45" s="8">
        <v>24.286057569444399</v>
      </c>
      <c r="K45" s="6" t="s">
        <v>29</v>
      </c>
      <c r="L45" s="6" t="s">
        <v>335</v>
      </c>
      <c r="M45" s="9">
        <v>43901</v>
      </c>
      <c r="O45" s="6">
        <v>24</v>
      </c>
      <c r="P45" s="6" t="s">
        <v>4345</v>
      </c>
      <c r="S45" s="6">
        <v>0</v>
      </c>
      <c r="T45" s="6">
        <v>10</v>
      </c>
      <c r="U45" s="10">
        <f t="shared" si="0"/>
        <v>5</v>
      </c>
      <c r="V45" s="6">
        <v>4.4000000000000004</v>
      </c>
      <c r="W45" s="8">
        <v>0.20864352159500155</v>
      </c>
      <c r="X45" s="8">
        <v>0.55879443454742428</v>
      </c>
      <c r="Y45" s="8">
        <f t="shared" si="1"/>
        <v>-1.1103537382125881</v>
      </c>
    </row>
    <row r="46" spans="1:25" s="6" customFormat="1" x14ac:dyDescent="0.35">
      <c r="A46" s="6" t="s">
        <v>25</v>
      </c>
      <c r="B46" s="7"/>
      <c r="D46" s="6" t="s">
        <v>1156</v>
      </c>
      <c r="E46" s="6">
        <v>3</v>
      </c>
      <c r="F46" s="6">
        <v>32</v>
      </c>
      <c r="G46" s="6" t="s">
        <v>179</v>
      </c>
      <c r="I46" s="8">
        <v>86.339075833333297</v>
      </c>
      <c r="J46" s="8">
        <v>14.7309175</v>
      </c>
      <c r="K46" s="6" t="s">
        <v>29</v>
      </c>
      <c r="L46" s="6" t="s">
        <v>335</v>
      </c>
      <c r="M46" s="9">
        <v>43910</v>
      </c>
      <c r="O46" s="6">
        <v>25</v>
      </c>
      <c r="P46" s="6" t="s">
        <v>4350</v>
      </c>
      <c r="S46" s="6">
        <v>0</v>
      </c>
      <c r="T46" s="6">
        <v>10</v>
      </c>
      <c r="U46" s="10">
        <f t="shared" si="0"/>
        <v>5</v>
      </c>
      <c r="V46" s="6">
        <v>4.8</v>
      </c>
      <c r="W46" s="8">
        <v>-1.1990366361856457</v>
      </c>
      <c r="X46" s="8">
        <v>-11.004680786132813</v>
      </c>
      <c r="Y46" s="8">
        <f t="shared" si="1"/>
        <v>-1.412387696647647</v>
      </c>
    </row>
    <row r="47" spans="1:25" s="6" customFormat="1" x14ac:dyDescent="0.35">
      <c r="A47" s="6" t="s">
        <v>25</v>
      </c>
      <c r="B47" s="6" t="s">
        <v>1290</v>
      </c>
      <c r="D47" s="6" t="s">
        <v>1291</v>
      </c>
      <c r="E47" s="6">
        <v>3</v>
      </c>
      <c r="F47" s="6">
        <v>35</v>
      </c>
      <c r="G47" s="6" t="s">
        <v>345</v>
      </c>
      <c r="I47" s="8">
        <v>84.322834374999999</v>
      </c>
      <c r="J47" s="8">
        <v>14.725811041666701</v>
      </c>
      <c r="K47" s="6" t="s">
        <v>29</v>
      </c>
      <c r="L47" s="6" t="s">
        <v>335</v>
      </c>
      <c r="M47" s="9">
        <v>43931</v>
      </c>
      <c r="O47" s="6">
        <v>28</v>
      </c>
      <c r="P47" s="6" t="s">
        <v>4362</v>
      </c>
      <c r="R47" s="6">
        <v>0</v>
      </c>
      <c r="S47" s="6">
        <v>0</v>
      </c>
      <c r="T47" s="6">
        <v>10</v>
      </c>
      <c r="U47" s="10">
        <f t="shared" si="0"/>
        <v>5</v>
      </c>
      <c r="V47" s="6">
        <v>4.4000000000000004</v>
      </c>
      <c r="W47" s="8">
        <v>-0.4035621675312519</v>
      </c>
      <c r="X47" s="8">
        <v>-4.6784298655986785</v>
      </c>
      <c r="Y47" s="8">
        <f t="shared" si="1"/>
        <v>-1.4499325253486632</v>
      </c>
    </row>
    <row r="48" spans="1:25" s="6" customFormat="1" x14ac:dyDescent="0.35">
      <c r="A48" s="6" t="s">
        <v>25</v>
      </c>
      <c r="B48" s="7" t="s">
        <v>1394</v>
      </c>
      <c r="D48" s="6" t="s">
        <v>1395</v>
      </c>
      <c r="E48" s="6">
        <v>3</v>
      </c>
      <c r="F48" s="6">
        <v>36</v>
      </c>
      <c r="G48" s="6" t="s">
        <v>202</v>
      </c>
      <c r="I48" s="8">
        <v>84.322932986111098</v>
      </c>
      <c r="J48" s="8">
        <v>13.874112986111101</v>
      </c>
      <c r="K48" s="6" t="s">
        <v>29</v>
      </c>
      <c r="L48" s="6" t="s">
        <v>335</v>
      </c>
      <c r="M48" s="9">
        <v>43936</v>
      </c>
      <c r="O48" s="6">
        <v>29</v>
      </c>
      <c r="P48" s="6" t="s">
        <v>4363</v>
      </c>
      <c r="R48" s="10"/>
      <c r="S48" s="10">
        <v>0</v>
      </c>
      <c r="T48" s="10">
        <v>10</v>
      </c>
      <c r="U48" s="10">
        <f t="shared" si="0"/>
        <v>5</v>
      </c>
      <c r="V48" s="11">
        <v>0.8</v>
      </c>
      <c r="W48" s="8">
        <v>-4.4142491370201116</v>
      </c>
      <c r="X48" s="8">
        <v>-34.839426834106447</v>
      </c>
      <c r="Y48" s="8">
        <f t="shared" si="1"/>
        <v>0.47456626205444508</v>
      </c>
    </row>
    <row r="49" spans="1:26" s="6" customFormat="1" x14ac:dyDescent="0.35">
      <c r="A49" s="6" t="s">
        <v>25</v>
      </c>
      <c r="B49" s="7" t="s">
        <v>1438</v>
      </c>
      <c r="D49" s="6" t="s">
        <v>1439</v>
      </c>
      <c r="E49" s="6">
        <v>3</v>
      </c>
      <c r="F49" s="6">
        <v>37</v>
      </c>
      <c r="G49" s="6" t="s">
        <v>28</v>
      </c>
      <c r="I49" s="8">
        <v>83.999093333333306</v>
      </c>
      <c r="J49" s="8">
        <v>15.6102103472222</v>
      </c>
      <c r="K49" s="6" t="s">
        <v>29</v>
      </c>
      <c r="L49" s="6" t="s">
        <v>335</v>
      </c>
      <c r="M49" s="9">
        <v>43946</v>
      </c>
      <c r="O49" s="6">
        <v>30</v>
      </c>
      <c r="P49" s="6" t="s">
        <v>4265</v>
      </c>
      <c r="R49" s="10"/>
      <c r="S49" s="10">
        <v>0</v>
      </c>
      <c r="T49" s="10">
        <v>10</v>
      </c>
      <c r="U49" s="10">
        <f t="shared" si="0"/>
        <v>5</v>
      </c>
      <c r="V49" s="11">
        <v>2.6</v>
      </c>
      <c r="W49" s="8">
        <v>-2.9945336899757389</v>
      </c>
      <c r="X49" s="8">
        <v>-22.009508826828004</v>
      </c>
      <c r="Y49" s="8">
        <f t="shared" si="1"/>
        <v>1.9467606929779073</v>
      </c>
    </row>
    <row r="50" spans="1:26" s="6" customFormat="1" x14ac:dyDescent="0.35">
      <c r="A50" s="6" t="s">
        <v>25</v>
      </c>
      <c r="B50" s="6" t="s">
        <v>1758</v>
      </c>
      <c r="D50" s="6" t="s">
        <v>1759</v>
      </c>
      <c r="E50" s="6">
        <v>4</v>
      </c>
      <c r="F50" s="6">
        <v>44</v>
      </c>
      <c r="I50" s="8">
        <v>81.975306180555606</v>
      </c>
      <c r="J50" s="8">
        <v>9.2425022222222193</v>
      </c>
      <c r="K50" s="6" t="s">
        <v>29</v>
      </c>
      <c r="L50" s="29" t="s">
        <v>335</v>
      </c>
      <c r="M50" s="9">
        <v>44004</v>
      </c>
      <c r="O50" s="6">
        <v>39</v>
      </c>
      <c r="P50" s="6" t="s">
        <v>4405</v>
      </c>
      <c r="S50" s="6">
        <v>0</v>
      </c>
      <c r="T50" s="6">
        <v>10</v>
      </c>
      <c r="U50" s="10">
        <f t="shared" si="0"/>
        <v>5</v>
      </c>
      <c r="V50" s="15">
        <v>0.9</v>
      </c>
      <c r="W50" s="8">
        <v>-8.5684833435058589</v>
      </c>
      <c r="X50" s="8">
        <v>-66.712718936920169</v>
      </c>
      <c r="Y50" s="8">
        <f t="shared" si="1"/>
        <v>1.8351478111267028</v>
      </c>
      <c r="Z50" s="6" t="s">
        <v>1760</v>
      </c>
    </row>
    <row r="51" spans="1:26" s="6" customFormat="1" x14ac:dyDescent="0.35">
      <c r="A51" s="6" t="s">
        <v>25</v>
      </c>
      <c r="B51" s="6" t="s">
        <v>1916</v>
      </c>
      <c r="D51" s="6" t="s">
        <v>1917</v>
      </c>
      <c r="E51" s="6">
        <v>4</v>
      </c>
      <c r="F51" s="6">
        <v>46</v>
      </c>
      <c r="I51" s="8">
        <v>81.685643263888906</v>
      </c>
      <c r="J51" s="8">
        <v>5.3733415277777796</v>
      </c>
      <c r="K51" s="6" t="s">
        <v>29</v>
      </c>
      <c r="L51" s="29" t="s">
        <v>335</v>
      </c>
      <c r="M51" s="9">
        <v>44018</v>
      </c>
      <c r="O51" s="6">
        <v>41</v>
      </c>
      <c r="P51" s="6" t="s">
        <v>4413</v>
      </c>
      <c r="S51" s="6">
        <v>0</v>
      </c>
      <c r="T51" s="6">
        <v>10</v>
      </c>
      <c r="U51" s="10">
        <f t="shared" si="0"/>
        <v>5</v>
      </c>
      <c r="V51" s="15">
        <v>1.5</v>
      </c>
      <c r="W51" s="8">
        <v>-5.9335767546176914</v>
      </c>
      <c r="X51" s="8">
        <v>-47.2158844795227</v>
      </c>
      <c r="Y51" s="8">
        <f t="shared" si="1"/>
        <v>0.25272955741883152</v>
      </c>
      <c r="Z51" s="6" t="s">
        <v>1760</v>
      </c>
    </row>
    <row r="52" spans="1:26" s="6" customFormat="1" x14ac:dyDescent="0.35">
      <c r="A52" s="6" t="s">
        <v>25</v>
      </c>
      <c r="B52" s="6" t="s">
        <v>1948</v>
      </c>
      <c r="D52" s="6" t="s">
        <v>1949</v>
      </c>
      <c r="E52" s="6">
        <v>4</v>
      </c>
      <c r="F52" s="6">
        <v>47</v>
      </c>
      <c r="I52" s="8">
        <v>81.417819374999993</v>
      </c>
      <c r="J52" s="8">
        <v>0.28587430555555599</v>
      </c>
      <c r="K52" s="6" t="s">
        <v>29</v>
      </c>
      <c r="L52" s="29" t="s">
        <v>335</v>
      </c>
      <c r="M52" s="9">
        <v>44025</v>
      </c>
      <c r="O52" s="6">
        <v>42</v>
      </c>
      <c r="P52" s="6" t="s">
        <v>4403</v>
      </c>
      <c r="S52" s="6">
        <v>0</v>
      </c>
      <c r="T52" s="6">
        <v>10</v>
      </c>
      <c r="U52" s="10">
        <f t="shared" si="0"/>
        <v>5</v>
      </c>
      <c r="V52" s="15">
        <v>2</v>
      </c>
      <c r="W52" s="8">
        <v>-2.9054937379360202</v>
      </c>
      <c r="X52" s="8">
        <v>-21.483474206924438</v>
      </c>
      <c r="Y52" s="8">
        <f t="shared" si="1"/>
        <v>1.7604756965637236</v>
      </c>
      <c r="Z52" s="6" t="s">
        <v>1760</v>
      </c>
    </row>
    <row r="53" spans="1:26" s="6" customFormat="1" x14ac:dyDescent="0.35">
      <c r="A53" s="6" t="s">
        <v>25</v>
      </c>
      <c r="B53" s="6" t="s">
        <v>2167</v>
      </c>
      <c r="D53" s="6" t="s">
        <v>2168</v>
      </c>
      <c r="E53" s="6">
        <v>4</v>
      </c>
      <c r="F53" s="6">
        <v>48</v>
      </c>
      <c r="I53" s="8">
        <v>80.754295347222197</v>
      </c>
      <c r="J53" s="8">
        <v>-0.488818958333333</v>
      </c>
      <c r="K53" s="6" t="s">
        <v>29</v>
      </c>
      <c r="L53" s="29" t="s">
        <v>335</v>
      </c>
      <c r="M53" s="9">
        <v>44032</v>
      </c>
      <c r="O53" s="6">
        <v>43</v>
      </c>
      <c r="P53" s="6" t="s">
        <v>4403</v>
      </c>
      <c r="S53" s="6">
        <v>0</v>
      </c>
      <c r="T53" s="6">
        <v>10</v>
      </c>
      <c r="U53" s="10">
        <f t="shared" si="0"/>
        <v>5</v>
      </c>
      <c r="V53" s="15">
        <v>1.5</v>
      </c>
      <c r="W53" s="8">
        <v>0.36245420373916654</v>
      </c>
      <c r="X53" s="8">
        <v>2.5655406853675844</v>
      </c>
      <c r="Y53" s="8">
        <f t="shared" si="1"/>
        <v>-0.33409294454574789</v>
      </c>
      <c r="Z53" s="6" t="s">
        <v>1760</v>
      </c>
    </row>
    <row r="54" spans="1:26" s="6" customFormat="1" x14ac:dyDescent="0.35">
      <c r="A54" s="6" t="s">
        <v>25</v>
      </c>
      <c r="B54" s="6" t="s">
        <v>2258</v>
      </c>
      <c r="D54" s="6" t="s">
        <v>2259</v>
      </c>
      <c r="E54" s="6">
        <v>4</v>
      </c>
      <c r="F54" s="6">
        <v>49</v>
      </c>
      <c r="I54" s="8">
        <v>79.191449375000005</v>
      </c>
      <c r="J54" s="8">
        <v>-2.6081078472222199</v>
      </c>
      <c r="K54" s="6" t="s">
        <v>29</v>
      </c>
      <c r="L54" s="29" t="s">
        <v>335</v>
      </c>
      <c r="M54" s="9">
        <v>44041</v>
      </c>
      <c r="O54" s="6">
        <v>44</v>
      </c>
      <c r="P54" s="6" t="s">
        <v>4421</v>
      </c>
      <c r="S54" s="6">
        <v>0</v>
      </c>
      <c r="T54" s="6">
        <v>10</v>
      </c>
      <c r="U54" s="10">
        <f t="shared" si="0"/>
        <v>5</v>
      </c>
      <c r="V54" s="15">
        <v>1.1000000000000001</v>
      </c>
      <c r="W54" s="8">
        <v>0.81948229316472987</v>
      </c>
      <c r="X54" s="8">
        <v>6.3070068886756907</v>
      </c>
      <c r="Y54" s="8">
        <f t="shared" si="1"/>
        <v>-0.24885145664214825</v>
      </c>
      <c r="Z54" s="6" t="s">
        <v>1760</v>
      </c>
    </row>
    <row r="55" spans="1:26" s="6" customFormat="1" x14ac:dyDescent="0.35">
      <c r="A55" s="6" t="s">
        <v>25</v>
      </c>
      <c r="B55" s="6" t="s">
        <v>2309</v>
      </c>
      <c r="D55" s="6" t="s">
        <v>2310</v>
      </c>
      <c r="E55" s="6">
        <v>5</v>
      </c>
      <c r="F55" s="6">
        <v>59</v>
      </c>
      <c r="I55" s="8">
        <v>88.299658402777794</v>
      </c>
      <c r="J55" s="8">
        <v>114.11509069444401</v>
      </c>
      <c r="K55" s="6" t="s">
        <v>29</v>
      </c>
      <c r="L55" s="29" t="s">
        <v>335</v>
      </c>
      <c r="M55" s="9">
        <v>44074</v>
      </c>
      <c r="O55" s="6">
        <v>50</v>
      </c>
      <c r="P55" s="6" t="s">
        <v>4396</v>
      </c>
      <c r="S55" s="6">
        <v>0</v>
      </c>
      <c r="T55" s="6">
        <v>10</v>
      </c>
      <c r="U55" s="10">
        <f t="shared" si="0"/>
        <v>5</v>
      </c>
      <c r="V55" s="15">
        <v>2.6</v>
      </c>
      <c r="W55" s="8">
        <v>0.68363178920745815</v>
      </c>
      <c r="X55" s="8">
        <v>5.387434023475647</v>
      </c>
      <c r="Y55" s="8">
        <f t="shared" si="1"/>
        <v>-8.1620290184018174E-2</v>
      </c>
      <c r="Z55" s="6" t="s">
        <v>1760</v>
      </c>
    </row>
    <row r="56" spans="1:26" s="6" customFormat="1" x14ac:dyDescent="0.35">
      <c r="A56" s="6" t="s">
        <v>25</v>
      </c>
      <c r="B56" s="6" t="s">
        <v>2376</v>
      </c>
      <c r="D56" s="6" t="s">
        <v>2377</v>
      </c>
      <c r="E56" s="6">
        <v>5</v>
      </c>
      <c r="F56" s="6">
        <v>61</v>
      </c>
      <c r="I56" s="8">
        <v>88.700402291666705</v>
      </c>
      <c r="J56" s="8">
        <v>111.973632708333</v>
      </c>
      <c r="K56" s="6" t="s">
        <v>29</v>
      </c>
      <c r="L56" s="29" t="s">
        <v>335</v>
      </c>
      <c r="M56" s="9">
        <v>44081</v>
      </c>
      <c r="O56" s="6">
        <v>51</v>
      </c>
      <c r="P56" s="6" t="s">
        <v>4434</v>
      </c>
      <c r="S56" s="6">
        <v>0</v>
      </c>
      <c r="T56" s="6">
        <v>10</v>
      </c>
      <c r="U56" s="10">
        <f t="shared" si="0"/>
        <v>5</v>
      </c>
      <c r="V56" s="15">
        <v>0.7</v>
      </c>
      <c r="W56" s="8">
        <v>-0.32769956411480911</v>
      </c>
      <c r="X56" s="8">
        <v>-2.3467788492202772</v>
      </c>
      <c r="Y56" s="8">
        <f t="shared" si="1"/>
        <v>0.2748176636981956</v>
      </c>
      <c r="Z56" s="6" t="s">
        <v>1760</v>
      </c>
    </row>
    <row r="57" spans="1:26" s="6" customFormat="1" x14ac:dyDescent="0.35">
      <c r="A57" s="6" t="s">
        <v>25</v>
      </c>
      <c r="B57" s="6" t="s">
        <v>2484</v>
      </c>
      <c r="D57" s="6" t="s">
        <v>2485</v>
      </c>
      <c r="E57" s="6">
        <v>5</v>
      </c>
      <c r="F57" s="6">
        <v>61</v>
      </c>
      <c r="I57" s="8">
        <v>89.023700416666699</v>
      </c>
      <c r="J57" s="8">
        <v>102.473466597222</v>
      </c>
      <c r="K57" s="6" t="s">
        <v>29</v>
      </c>
      <c r="L57" s="29" t="s">
        <v>335</v>
      </c>
      <c r="M57" s="9">
        <v>44088</v>
      </c>
      <c r="O57" s="6">
        <v>52</v>
      </c>
      <c r="P57" s="6" t="s">
        <v>4394</v>
      </c>
      <c r="S57" s="6">
        <v>0</v>
      </c>
      <c r="T57" s="6">
        <v>10.5</v>
      </c>
      <c r="U57" s="10">
        <f t="shared" si="0"/>
        <v>5.25</v>
      </c>
      <c r="V57" s="15">
        <v>0.6</v>
      </c>
      <c r="W57" s="8">
        <v>-1.549546630651355</v>
      </c>
      <c r="X57" s="8">
        <v>-12.9000032497406</v>
      </c>
      <c r="Y57" s="8">
        <f t="shared" si="1"/>
        <v>-0.5036302045297596</v>
      </c>
      <c r="Z57" s="6" t="s">
        <v>1760</v>
      </c>
    </row>
    <row r="58" spans="1:26" s="6" customFormat="1" x14ac:dyDescent="0.35">
      <c r="A58" s="6" t="s">
        <v>25</v>
      </c>
      <c r="B58" s="7" t="s">
        <v>265</v>
      </c>
      <c r="D58" s="6" t="s">
        <v>266</v>
      </c>
      <c r="E58" s="6">
        <v>1</v>
      </c>
      <c r="F58" s="6">
        <v>5</v>
      </c>
      <c r="G58" s="6" t="s">
        <v>179</v>
      </c>
      <c r="I58" s="8">
        <v>85.859204791666698</v>
      </c>
      <c r="J58" s="8">
        <v>122.400430694444</v>
      </c>
      <c r="K58" s="7" t="s">
        <v>29</v>
      </c>
      <c r="L58" s="6" t="s">
        <v>335</v>
      </c>
      <c r="M58" s="9">
        <v>43771</v>
      </c>
      <c r="O58" s="6">
        <v>5</v>
      </c>
      <c r="P58" s="6" t="s">
        <v>4254</v>
      </c>
      <c r="R58" s="10"/>
      <c r="S58" s="10">
        <v>0</v>
      </c>
      <c r="T58" s="10">
        <v>11</v>
      </c>
      <c r="U58" s="10">
        <f t="shared" si="0"/>
        <v>5.5</v>
      </c>
      <c r="V58" s="6">
        <v>0.2</v>
      </c>
      <c r="W58" s="8">
        <v>-5.9478245307922375</v>
      </c>
      <c r="X58" s="8">
        <v>-45.413395599365238</v>
      </c>
      <c r="Y58" s="8">
        <f t="shared" si="1"/>
        <v>2.1692006469726621</v>
      </c>
    </row>
    <row r="59" spans="1:26" s="6" customFormat="1" x14ac:dyDescent="0.35">
      <c r="A59" s="6" t="s">
        <v>25</v>
      </c>
      <c r="B59" s="6" t="s">
        <v>71</v>
      </c>
      <c r="C59" s="6">
        <v>510039</v>
      </c>
      <c r="D59" s="6" t="s">
        <v>72</v>
      </c>
      <c r="E59" s="6">
        <v>1</v>
      </c>
      <c r="F59" s="6">
        <v>2</v>
      </c>
      <c r="G59" s="6" t="s">
        <v>63</v>
      </c>
      <c r="I59" s="8">
        <v>84.770107638888902</v>
      </c>
      <c r="J59" s="8">
        <v>134.47681993055599</v>
      </c>
      <c r="K59" s="6" t="s">
        <v>29</v>
      </c>
      <c r="L59" s="6" t="s">
        <v>335</v>
      </c>
      <c r="M59" s="9">
        <v>43752</v>
      </c>
      <c r="O59" s="6">
        <v>3</v>
      </c>
      <c r="P59" s="6" t="s">
        <v>4246</v>
      </c>
      <c r="R59" s="6" t="s">
        <v>73</v>
      </c>
      <c r="S59" s="6">
        <v>0</v>
      </c>
      <c r="T59" s="6">
        <v>12</v>
      </c>
      <c r="U59" s="10">
        <f t="shared" si="0"/>
        <v>6</v>
      </c>
      <c r="V59" s="6">
        <v>6.8</v>
      </c>
      <c r="W59" s="8">
        <v>0.364278190255165</v>
      </c>
      <c r="X59" s="8">
        <v>3.0710392689704897</v>
      </c>
      <c r="Y59" s="8">
        <f t="shared" si="1"/>
        <v>0.15681374692916972</v>
      </c>
    </row>
    <row r="60" spans="1:26" s="6" customFormat="1" x14ac:dyDescent="0.35">
      <c r="A60" s="6" t="s">
        <v>25</v>
      </c>
      <c r="B60" s="6" t="s">
        <v>76</v>
      </c>
      <c r="C60" s="6">
        <v>510041</v>
      </c>
      <c r="D60" s="6" t="s">
        <v>77</v>
      </c>
      <c r="E60" s="6">
        <v>1</v>
      </c>
      <c r="F60" s="6">
        <v>2</v>
      </c>
      <c r="G60" s="6" t="s">
        <v>63</v>
      </c>
      <c r="I60" s="8">
        <v>84.770107638888902</v>
      </c>
      <c r="J60" s="8">
        <v>134.47681993055599</v>
      </c>
      <c r="K60" s="6" t="s">
        <v>29</v>
      </c>
      <c r="L60" s="6" t="s">
        <v>335</v>
      </c>
      <c r="M60" s="9">
        <v>43752</v>
      </c>
      <c r="O60" s="6">
        <v>3</v>
      </c>
      <c r="P60" s="6" t="s">
        <v>4246</v>
      </c>
      <c r="R60" s="6" t="s">
        <v>78</v>
      </c>
      <c r="S60" s="6">
        <v>0</v>
      </c>
      <c r="T60" s="6">
        <v>13.5</v>
      </c>
      <c r="U60" s="10">
        <f t="shared" si="0"/>
        <v>6.75</v>
      </c>
      <c r="V60" s="6">
        <v>0.1</v>
      </c>
      <c r="W60" s="8">
        <v>-1.8585682516098019</v>
      </c>
      <c r="X60" s="8">
        <v>-15.266206773757935</v>
      </c>
      <c r="Y60" s="8">
        <f t="shared" si="1"/>
        <v>-0.39766076087951951</v>
      </c>
    </row>
    <row r="61" spans="1:26" s="6" customFormat="1" x14ac:dyDescent="0.35">
      <c r="A61" s="6" t="s">
        <v>25</v>
      </c>
      <c r="B61" s="7"/>
      <c r="C61" s="6">
        <v>510212</v>
      </c>
      <c r="D61" s="6" t="s">
        <v>201</v>
      </c>
      <c r="E61" s="6">
        <v>1</v>
      </c>
      <c r="F61" s="6">
        <v>5</v>
      </c>
      <c r="G61" s="6" t="s">
        <v>202</v>
      </c>
      <c r="H61" s="6">
        <v>9</v>
      </c>
      <c r="I61" s="8">
        <v>85.587483888888897</v>
      </c>
      <c r="J61" s="8">
        <v>126.139427777778</v>
      </c>
      <c r="K61" s="6" t="s">
        <v>29</v>
      </c>
      <c r="L61" s="6" t="s">
        <v>335</v>
      </c>
      <c r="M61" s="9">
        <v>43766</v>
      </c>
      <c r="O61" s="6">
        <v>5</v>
      </c>
      <c r="P61" s="6" t="s">
        <v>4251</v>
      </c>
      <c r="R61" s="6" t="s">
        <v>204</v>
      </c>
      <c r="S61" s="6">
        <v>5</v>
      </c>
      <c r="T61" s="6">
        <v>10</v>
      </c>
      <c r="U61" s="10">
        <f t="shared" si="0"/>
        <v>7.5</v>
      </c>
      <c r="V61" s="6">
        <v>8</v>
      </c>
      <c r="W61" s="8">
        <v>-0.88132902271747593</v>
      </c>
      <c r="X61" s="8">
        <v>-6.2668435342788689</v>
      </c>
      <c r="Y61" s="8">
        <f t="shared" si="1"/>
        <v>0.78378864746093857</v>
      </c>
    </row>
    <row r="62" spans="1:26" s="6" customFormat="1" x14ac:dyDescent="0.35">
      <c r="A62" s="6" t="s">
        <v>25</v>
      </c>
      <c r="B62" s="7" t="s">
        <v>244</v>
      </c>
      <c r="C62" s="6">
        <v>510281</v>
      </c>
      <c r="D62" s="6" t="s">
        <v>245</v>
      </c>
      <c r="E62" s="6">
        <v>1</v>
      </c>
      <c r="F62" s="6">
        <v>5</v>
      </c>
      <c r="G62" s="6" t="s">
        <v>179</v>
      </c>
      <c r="I62" s="8">
        <v>85.726575763888903</v>
      </c>
      <c r="J62" s="8">
        <v>124.264683611111</v>
      </c>
      <c r="K62" s="6" t="s">
        <v>29</v>
      </c>
      <c r="L62" s="6" t="s">
        <v>335</v>
      </c>
      <c r="M62" s="9">
        <v>43768</v>
      </c>
      <c r="O62" s="6">
        <v>5</v>
      </c>
      <c r="P62" s="6" t="s">
        <v>4252</v>
      </c>
      <c r="Q62" s="6">
        <v>-5.5</v>
      </c>
      <c r="R62" s="10"/>
      <c r="S62" s="10">
        <v>5</v>
      </c>
      <c r="T62" s="10">
        <v>10</v>
      </c>
      <c r="U62" s="10">
        <f t="shared" si="0"/>
        <v>7.5</v>
      </c>
      <c r="V62" s="6">
        <v>6.1</v>
      </c>
      <c r="W62" s="8">
        <v>-0.83127270923852936</v>
      </c>
      <c r="X62" s="8">
        <v>-5.726554048061371</v>
      </c>
      <c r="Y62" s="8">
        <f t="shared" si="1"/>
        <v>0.92362762584686386</v>
      </c>
    </row>
    <row r="63" spans="1:26" s="6" customFormat="1" x14ac:dyDescent="0.35">
      <c r="A63" s="6" t="s">
        <v>25</v>
      </c>
      <c r="B63" s="7"/>
      <c r="C63" s="6">
        <v>510531</v>
      </c>
      <c r="D63" s="6" t="s">
        <v>409</v>
      </c>
      <c r="E63" s="6">
        <v>1</v>
      </c>
      <c r="F63" s="6">
        <v>7</v>
      </c>
      <c r="G63" s="6" t="s">
        <v>345</v>
      </c>
      <c r="H63" s="6">
        <v>10</v>
      </c>
      <c r="I63" s="8">
        <v>86.116053611111099</v>
      </c>
      <c r="J63" s="8">
        <v>117.978438125</v>
      </c>
      <c r="K63" s="6" t="s">
        <v>29</v>
      </c>
      <c r="L63" s="6" t="s">
        <v>335</v>
      </c>
      <c r="M63" s="9">
        <v>43782</v>
      </c>
      <c r="O63" s="6">
        <v>7</v>
      </c>
      <c r="P63" s="6" t="s">
        <v>4254</v>
      </c>
      <c r="R63" s="6" t="s">
        <v>410</v>
      </c>
      <c r="S63" s="6">
        <v>0</v>
      </c>
      <c r="T63" s="6">
        <v>15</v>
      </c>
      <c r="U63" s="10">
        <f t="shared" si="0"/>
        <v>7.5</v>
      </c>
      <c r="V63" s="6">
        <v>2.7</v>
      </c>
      <c r="W63" s="8">
        <v>-3.9272911485672006</v>
      </c>
      <c r="X63" s="8">
        <v>-30.441711792755125</v>
      </c>
      <c r="Y63" s="8">
        <f t="shared" si="1"/>
        <v>0.97661739578247975</v>
      </c>
    </row>
    <row r="64" spans="1:26" s="6" customFormat="1" x14ac:dyDescent="0.35">
      <c r="A64" s="6" t="s">
        <v>25</v>
      </c>
      <c r="B64" s="7"/>
      <c r="D64" s="6" t="s">
        <v>1176</v>
      </c>
      <c r="E64" s="6">
        <v>3</v>
      </c>
      <c r="F64" s="6">
        <v>32</v>
      </c>
      <c r="G64" s="6" t="s">
        <v>202</v>
      </c>
      <c r="I64" s="8">
        <v>86.257643333333306</v>
      </c>
      <c r="J64" s="8">
        <v>15.261599722222201</v>
      </c>
      <c r="K64" s="6" t="s">
        <v>29</v>
      </c>
      <c r="L64" s="6" t="s">
        <v>335</v>
      </c>
      <c r="M64" s="9">
        <v>43911</v>
      </c>
      <c r="O64" s="6">
        <v>25</v>
      </c>
      <c r="P64" s="6" t="s">
        <v>4351</v>
      </c>
      <c r="S64" s="6">
        <v>5</v>
      </c>
      <c r="T64" s="6">
        <v>10</v>
      </c>
      <c r="U64" s="10">
        <f t="shared" si="0"/>
        <v>7.5</v>
      </c>
      <c r="V64" s="6">
        <v>3.6</v>
      </c>
      <c r="W64" s="8">
        <v>-3.6289937656974796</v>
      </c>
      <c r="X64" s="8">
        <v>-28.114122972106934</v>
      </c>
      <c r="Y64" s="8">
        <f t="shared" si="1"/>
        <v>0.91782715347290278</v>
      </c>
    </row>
    <row r="65" spans="1:25" s="6" customFormat="1" x14ac:dyDescent="0.35">
      <c r="A65" s="6" t="s">
        <v>25</v>
      </c>
      <c r="B65" s="6" t="s">
        <v>1241</v>
      </c>
      <c r="D65" s="6" t="s">
        <v>1240</v>
      </c>
      <c r="E65" s="6">
        <v>3</v>
      </c>
      <c r="F65" s="6">
        <v>34</v>
      </c>
      <c r="G65" s="6" t="s">
        <v>202</v>
      </c>
      <c r="I65" s="8">
        <v>84.533711805555598</v>
      </c>
      <c r="J65" s="8">
        <v>14.277858402777801</v>
      </c>
      <c r="K65" s="6" t="s">
        <v>29</v>
      </c>
      <c r="L65" s="6" t="s">
        <v>335</v>
      </c>
      <c r="M65" s="9">
        <v>43927</v>
      </c>
      <c r="O65" s="6">
        <v>28</v>
      </c>
      <c r="P65" s="6" t="s">
        <v>4359</v>
      </c>
      <c r="R65" s="6">
        <v>5</v>
      </c>
      <c r="S65" s="6">
        <v>5</v>
      </c>
      <c r="T65" s="6">
        <v>10</v>
      </c>
      <c r="U65" s="10">
        <f t="shared" si="0"/>
        <v>7.5</v>
      </c>
      <c r="V65" s="6">
        <v>4.7</v>
      </c>
      <c r="W65" s="8">
        <v>-1.8808735317945482</v>
      </c>
      <c r="X65" s="8">
        <v>-14.646994300842284</v>
      </c>
      <c r="Y65" s="8">
        <f t="shared" si="1"/>
        <v>0.39999395351410172</v>
      </c>
    </row>
    <row r="66" spans="1:25" s="6" customFormat="1" x14ac:dyDescent="0.35">
      <c r="A66" s="6" t="s">
        <v>25</v>
      </c>
      <c r="B66" s="7" t="s">
        <v>1482</v>
      </c>
      <c r="D66" s="6" t="s">
        <v>1483</v>
      </c>
      <c r="E66" s="6">
        <v>3</v>
      </c>
      <c r="F66" s="6">
        <v>37</v>
      </c>
      <c r="G66" s="6" t="s">
        <v>28</v>
      </c>
      <c r="I66" s="8">
        <v>83.999093333333306</v>
      </c>
      <c r="J66" s="8">
        <v>15.6102103472222</v>
      </c>
      <c r="K66" s="6" t="s">
        <v>29</v>
      </c>
      <c r="L66" s="6" t="s">
        <v>335</v>
      </c>
      <c r="M66" s="9">
        <v>43946</v>
      </c>
      <c r="O66" s="6">
        <v>30</v>
      </c>
      <c r="P66" s="6" t="s">
        <v>4265</v>
      </c>
      <c r="R66" s="10"/>
      <c r="S66" s="10">
        <v>5</v>
      </c>
      <c r="T66" s="10">
        <v>10</v>
      </c>
      <c r="U66" s="10">
        <f t="shared" ref="U66:U129" si="2">AVERAGE(S66:T66)</f>
        <v>7.5</v>
      </c>
      <c r="V66" s="11">
        <v>3.9</v>
      </c>
      <c r="W66" s="8">
        <v>-3.2278001308441162</v>
      </c>
      <c r="X66" s="8">
        <v>-24.891163015365599</v>
      </c>
      <c r="Y66" s="8">
        <f t="shared" ref="Y66:Y129" si="3">X66-(8*W66)</f>
        <v>0.93123803138733052</v>
      </c>
    </row>
    <row r="67" spans="1:25" s="6" customFormat="1" x14ac:dyDescent="0.35">
      <c r="A67" s="6" t="s">
        <v>25</v>
      </c>
      <c r="B67" s="7"/>
      <c r="D67" s="6" t="s">
        <v>1543</v>
      </c>
      <c r="E67" s="6">
        <v>3</v>
      </c>
      <c r="F67" s="6">
        <v>38</v>
      </c>
      <c r="G67" s="6" t="s">
        <v>202</v>
      </c>
      <c r="I67" s="8">
        <v>83.938997847222197</v>
      </c>
      <c r="J67" s="8">
        <v>15.6730686111111</v>
      </c>
      <c r="K67" s="6" t="s">
        <v>29</v>
      </c>
      <c r="L67" s="6" t="s">
        <v>335</v>
      </c>
      <c r="M67" s="9">
        <v>43948</v>
      </c>
      <c r="O67" s="6">
        <v>31</v>
      </c>
      <c r="P67" s="6" t="s">
        <v>4251</v>
      </c>
      <c r="S67" s="6">
        <v>5</v>
      </c>
      <c r="T67" s="6">
        <v>10</v>
      </c>
      <c r="U67" s="10">
        <f t="shared" si="2"/>
        <v>7.5</v>
      </c>
      <c r="V67" s="6">
        <v>4.8</v>
      </c>
      <c r="W67" s="8">
        <v>-0.78195188595056597</v>
      </c>
      <c r="X67" s="8">
        <v>-6.3416571916580198</v>
      </c>
      <c r="Y67" s="8">
        <f t="shared" si="3"/>
        <v>-8.6042104053491997E-2</v>
      </c>
    </row>
    <row r="68" spans="1:25" s="6" customFormat="1" x14ac:dyDescent="0.35">
      <c r="A68" s="6" t="s">
        <v>25</v>
      </c>
      <c r="B68" s="6" t="s">
        <v>1620</v>
      </c>
      <c r="D68" s="6" t="s">
        <v>1619</v>
      </c>
      <c r="E68" s="6">
        <v>3</v>
      </c>
      <c r="F68" s="6">
        <v>39</v>
      </c>
      <c r="G68" s="6" t="s">
        <v>202</v>
      </c>
      <c r="I68" s="8">
        <v>83.907985999999994</v>
      </c>
      <c r="J68" s="8">
        <v>18.352126999999999</v>
      </c>
      <c r="K68" s="6" t="s">
        <v>29</v>
      </c>
      <c r="L68" s="6" t="s">
        <v>335</v>
      </c>
      <c r="M68" s="9">
        <v>43955</v>
      </c>
      <c r="O68" s="6">
        <v>32</v>
      </c>
      <c r="P68" s="6" t="s">
        <v>4374</v>
      </c>
      <c r="R68" s="6">
        <v>5</v>
      </c>
      <c r="S68" s="6">
        <v>5</v>
      </c>
      <c r="T68" s="6">
        <v>10</v>
      </c>
      <c r="U68" s="10">
        <f t="shared" si="2"/>
        <v>7.5</v>
      </c>
      <c r="V68" s="6">
        <v>3.7</v>
      </c>
      <c r="W68" s="8">
        <v>-0.72398934817314164</v>
      </c>
      <c r="X68" s="8">
        <v>-5.4612915134429949</v>
      </c>
      <c r="Y68" s="8">
        <f t="shared" si="3"/>
        <v>0.33062327194213825</v>
      </c>
    </row>
    <row r="69" spans="1:25" s="6" customFormat="1" x14ac:dyDescent="0.35">
      <c r="A69" s="6" t="s">
        <v>25</v>
      </c>
      <c r="B69" s="7" t="s">
        <v>1717</v>
      </c>
      <c r="D69" s="6" t="s">
        <v>1718</v>
      </c>
      <c r="E69" s="6">
        <v>4</v>
      </c>
      <c r="F69" s="6">
        <v>44</v>
      </c>
      <c r="G69" s="6" t="s">
        <v>335</v>
      </c>
      <c r="I69" s="8">
        <v>81.975306180555606</v>
      </c>
      <c r="J69" s="8">
        <v>9.2425022222222193</v>
      </c>
      <c r="K69" s="6" t="s">
        <v>29</v>
      </c>
      <c r="L69" s="6" t="s">
        <v>335</v>
      </c>
      <c r="M69" s="9">
        <v>44004</v>
      </c>
      <c r="O69" s="6">
        <v>39</v>
      </c>
      <c r="P69" s="6" t="s">
        <v>4405</v>
      </c>
      <c r="R69" s="10" t="s">
        <v>1719</v>
      </c>
      <c r="S69" s="10">
        <v>5</v>
      </c>
      <c r="T69" s="10">
        <v>10</v>
      </c>
      <c r="U69" s="10">
        <f t="shared" si="2"/>
        <v>7.5</v>
      </c>
      <c r="V69" s="11"/>
      <c r="W69" s="8">
        <v>-12.752406325569154</v>
      </c>
      <c r="X69" s="8">
        <v>-100.19981449890136</v>
      </c>
      <c r="Y69" s="8">
        <f t="shared" si="3"/>
        <v>1.8194361056518744</v>
      </c>
    </row>
    <row r="70" spans="1:25" s="6" customFormat="1" x14ac:dyDescent="0.35">
      <c r="A70" s="6" t="s">
        <v>25</v>
      </c>
      <c r="B70" s="7" t="s">
        <v>2239</v>
      </c>
      <c r="D70" s="6" t="s">
        <v>2240</v>
      </c>
      <c r="E70" s="6">
        <v>4</v>
      </c>
      <c r="F70" s="6">
        <v>49</v>
      </c>
      <c r="G70" s="6" t="s">
        <v>335</v>
      </c>
      <c r="I70" s="8">
        <v>79.191449375000005</v>
      </c>
      <c r="J70" s="8">
        <v>-2.6081078472222199</v>
      </c>
      <c r="K70" s="6" t="s">
        <v>29</v>
      </c>
      <c r="L70" s="6" t="s">
        <v>335</v>
      </c>
      <c r="M70" s="9">
        <v>44041</v>
      </c>
      <c r="O70" s="6">
        <v>44</v>
      </c>
      <c r="P70" s="6" t="s">
        <v>4421</v>
      </c>
      <c r="R70" s="10" t="s">
        <v>2032</v>
      </c>
      <c r="S70" s="10">
        <v>5</v>
      </c>
      <c r="T70" s="10">
        <v>10</v>
      </c>
      <c r="U70" s="10">
        <f t="shared" si="2"/>
        <v>7.5</v>
      </c>
      <c r="V70" s="11"/>
      <c r="W70" s="8">
        <v>1.261518983316422</v>
      </c>
      <c r="X70" s="8">
        <v>8.3871043243408199</v>
      </c>
      <c r="Y70" s="8">
        <f t="shared" si="3"/>
        <v>-1.705047542190556</v>
      </c>
    </row>
    <row r="71" spans="1:25" s="6" customFormat="1" x14ac:dyDescent="0.35">
      <c r="A71" s="6" t="s">
        <v>25</v>
      </c>
      <c r="B71" s="7" t="s">
        <v>1699</v>
      </c>
      <c r="D71" s="6" t="s">
        <v>1700</v>
      </c>
      <c r="E71" s="6">
        <v>4</v>
      </c>
      <c r="F71" s="6">
        <v>44</v>
      </c>
      <c r="G71" s="6" t="s">
        <v>335</v>
      </c>
      <c r="I71" s="8">
        <v>81.975306180555606</v>
      </c>
      <c r="J71" s="8">
        <v>9.2425022222222193</v>
      </c>
      <c r="K71" s="6" t="s">
        <v>29</v>
      </c>
      <c r="L71" s="6" t="s">
        <v>335</v>
      </c>
      <c r="M71" s="9">
        <v>44004</v>
      </c>
      <c r="O71" s="6">
        <v>39</v>
      </c>
      <c r="P71" s="6" t="s">
        <v>4405</v>
      </c>
      <c r="R71" s="10" t="s">
        <v>1701</v>
      </c>
      <c r="S71" s="10">
        <v>10</v>
      </c>
      <c r="T71" s="10">
        <v>15</v>
      </c>
      <c r="U71" s="10">
        <f t="shared" si="2"/>
        <v>12.5</v>
      </c>
      <c r="V71" s="11"/>
      <c r="W71" s="8">
        <v>-4.2253500046634676</v>
      </c>
      <c r="X71" s="8">
        <v>-32.977875343322751</v>
      </c>
      <c r="Y71" s="8">
        <f t="shared" si="3"/>
        <v>0.82492469398498969</v>
      </c>
    </row>
    <row r="72" spans="1:25" s="6" customFormat="1" x14ac:dyDescent="0.35">
      <c r="A72" s="6" t="s">
        <v>25</v>
      </c>
      <c r="B72" s="7" t="s">
        <v>2245</v>
      </c>
      <c r="D72" s="6" t="s">
        <v>2246</v>
      </c>
      <c r="E72" s="6">
        <v>4</v>
      </c>
      <c r="F72" s="6">
        <v>49</v>
      </c>
      <c r="G72" s="6" t="s">
        <v>335</v>
      </c>
      <c r="I72" s="8">
        <v>79.191449375000005</v>
      </c>
      <c r="J72" s="8">
        <v>-2.6081078472222199</v>
      </c>
      <c r="K72" s="6" t="s">
        <v>29</v>
      </c>
      <c r="L72" s="6" t="s">
        <v>335</v>
      </c>
      <c r="M72" s="9">
        <v>44041</v>
      </c>
      <c r="O72" s="6">
        <v>44</v>
      </c>
      <c r="P72" s="6" t="s">
        <v>4421</v>
      </c>
      <c r="R72" s="10" t="s">
        <v>2005</v>
      </c>
      <c r="S72" s="10">
        <v>10</v>
      </c>
      <c r="T72" s="10">
        <v>15</v>
      </c>
      <c r="U72" s="10">
        <f t="shared" si="2"/>
        <v>12.5</v>
      </c>
      <c r="V72" s="11"/>
      <c r="W72" s="8">
        <v>1.2553505444049839</v>
      </c>
      <c r="X72" s="8">
        <v>9.4728514041900631</v>
      </c>
      <c r="Y72" s="8">
        <f t="shared" si="3"/>
        <v>-0.56995295104980848</v>
      </c>
    </row>
    <row r="73" spans="1:25" s="6" customFormat="1" x14ac:dyDescent="0.35">
      <c r="A73" s="6" t="s">
        <v>25</v>
      </c>
      <c r="B73" s="7" t="s">
        <v>502</v>
      </c>
      <c r="C73" s="6">
        <v>510678</v>
      </c>
      <c r="D73" s="6" t="s">
        <v>503</v>
      </c>
      <c r="E73" s="6">
        <v>1</v>
      </c>
      <c r="F73" s="6">
        <v>8</v>
      </c>
      <c r="G73" s="6" t="s">
        <v>179</v>
      </c>
      <c r="I73" s="8">
        <v>85.788680208333304</v>
      </c>
      <c r="J73" s="8">
        <v>120.807478194444</v>
      </c>
      <c r="K73" s="6" t="s">
        <v>29</v>
      </c>
      <c r="L73" s="6" t="s">
        <v>335</v>
      </c>
      <c r="M73" s="9">
        <v>43788</v>
      </c>
      <c r="O73" s="6">
        <v>8</v>
      </c>
      <c r="P73" s="6" t="s">
        <v>4264</v>
      </c>
      <c r="Q73" s="8">
        <v>-5.4499999999999993</v>
      </c>
      <c r="R73" s="10" t="s">
        <v>504</v>
      </c>
      <c r="S73" s="10">
        <v>10</v>
      </c>
      <c r="T73" s="10">
        <v>17.5</v>
      </c>
      <c r="U73" s="10">
        <f t="shared" si="2"/>
        <v>13.75</v>
      </c>
      <c r="V73" s="6">
        <v>4</v>
      </c>
      <c r="W73" s="8">
        <v>-2.3961139773864746</v>
      </c>
      <c r="X73" s="8">
        <v>-17.684685740447996</v>
      </c>
      <c r="Y73" s="8">
        <f t="shared" si="3"/>
        <v>1.4842260786438004</v>
      </c>
    </row>
    <row r="74" spans="1:25" s="6" customFormat="1" x14ac:dyDescent="0.35">
      <c r="A74" s="6" t="s">
        <v>25</v>
      </c>
      <c r="B74" s="7" t="s">
        <v>38</v>
      </c>
      <c r="D74" s="6" t="s">
        <v>39</v>
      </c>
      <c r="E74" s="6">
        <v>1</v>
      </c>
      <c r="F74" s="6">
        <v>1</v>
      </c>
      <c r="G74" s="6" t="s">
        <v>28</v>
      </c>
      <c r="I74" s="8">
        <v>85.144790624999999</v>
      </c>
      <c r="J74" s="8">
        <v>133.79209895833301</v>
      </c>
      <c r="K74" s="6" t="s">
        <v>29</v>
      </c>
      <c r="L74" s="6" t="s">
        <v>335</v>
      </c>
      <c r="M74" s="9">
        <v>43741</v>
      </c>
      <c r="O74" s="6">
        <v>1</v>
      </c>
      <c r="P74" s="6" t="s">
        <v>4242</v>
      </c>
      <c r="R74" s="10"/>
      <c r="S74" s="10">
        <v>10</v>
      </c>
      <c r="T74" s="10">
        <v>20</v>
      </c>
      <c r="U74" s="10">
        <f t="shared" si="2"/>
        <v>15</v>
      </c>
      <c r="V74" s="30"/>
      <c r="W74" s="8">
        <v>-4.8361034393310556</v>
      </c>
      <c r="X74" s="8">
        <v>-35.87792022705078</v>
      </c>
      <c r="Y74" s="8">
        <f t="shared" si="3"/>
        <v>2.8109072875976651</v>
      </c>
    </row>
    <row r="75" spans="1:25" s="6" customFormat="1" x14ac:dyDescent="0.35">
      <c r="A75" s="6" t="s">
        <v>25</v>
      </c>
      <c r="B75" s="6" t="s">
        <v>51</v>
      </c>
      <c r="D75" s="6" t="s">
        <v>49</v>
      </c>
      <c r="E75" s="6">
        <v>1</v>
      </c>
      <c r="F75" s="6">
        <v>1</v>
      </c>
      <c r="G75" s="6" t="s">
        <v>4466</v>
      </c>
      <c r="I75" s="8">
        <v>84.908087777777794</v>
      </c>
      <c r="J75" s="8">
        <v>135.908380208333</v>
      </c>
      <c r="K75" s="6" t="s">
        <v>29</v>
      </c>
      <c r="L75" s="6" t="s">
        <v>335</v>
      </c>
      <c r="M75" s="9">
        <v>43747</v>
      </c>
      <c r="O75" s="6">
        <v>2</v>
      </c>
      <c r="P75" s="6" t="s">
        <v>4244</v>
      </c>
      <c r="R75" s="6">
        <v>10</v>
      </c>
      <c r="S75" s="6">
        <v>10</v>
      </c>
      <c r="T75" s="6">
        <v>20</v>
      </c>
      <c r="U75" s="10">
        <f t="shared" si="2"/>
        <v>15</v>
      </c>
      <c r="V75" s="30"/>
      <c r="W75" s="8">
        <v>-3.4949455609798434</v>
      </c>
      <c r="X75" s="8">
        <v>-26.491822105407714</v>
      </c>
      <c r="Y75" s="8">
        <f t="shared" si="3"/>
        <v>1.4677423824310338</v>
      </c>
    </row>
    <row r="76" spans="1:25" s="6" customFormat="1" x14ac:dyDescent="0.35">
      <c r="A76" s="6" t="s">
        <v>25</v>
      </c>
      <c r="B76" s="6" t="s">
        <v>65</v>
      </c>
      <c r="C76" s="6">
        <v>510036</v>
      </c>
      <c r="D76" s="6" t="s">
        <v>62</v>
      </c>
      <c r="E76" s="6">
        <v>1</v>
      </c>
      <c r="F76" s="6">
        <v>2</v>
      </c>
      <c r="G76" s="6" t="s">
        <v>63</v>
      </c>
      <c r="I76" s="8">
        <v>84.770107638888902</v>
      </c>
      <c r="J76" s="8">
        <v>134.47681993055599</v>
      </c>
      <c r="K76" s="6" t="s">
        <v>29</v>
      </c>
      <c r="L76" s="6" t="s">
        <v>335</v>
      </c>
      <c r="M76" s="9">
        <v>43752</v>
      </c>
      <c r="O76" s="6">
        <v>3</v>
      </c>
      <c r="P76" s="6" t="s">
        <v>4246</v>
      </c>
      <c r="R76" s="6" t="s">
        <v>66</v>
      </c>
      <c r="S76" s="6">
        <v>10</v>
      </c>
      <c r="T76" s="6">
        <v>20</v>
      </c>
      <c r="U76" s="10">
        <f t="shared" si="2"/>
        <v>15</v>
      </c>
      <c r="V76" s="6">
        <v>7.6</v>
      </c>
      <c r="W76" s="8">
        <v>0.15197142027318455</v>
      </c>
      <c r="X76" s="8">
        <v>2.0339510569572448</v>
      </c>
      <c r="Y76" s="8">
        <f t="shared" si="3"/>
        <v>0.81817969477176833</v>
      </c>
    </row>
    <row r="77" spans="1:25" s="6" customFormat="1" x14ac:dyDescent="0.35">
      <c r="A77" s="6" t="s">
        <v>25</v>
      </c>
      <c r="B77" s="6" t="s">
        <v>108</v>
      </c>
      <c r="C77" s="6">
        <v>510086</v>
      </c>
      <c r="D77" s="6" t="s">
        <v>106</v>
      </c>
      <c r="E77" s="6">
        <v>1</v>
      </c>
      <c r="F77" s="6">
        <v>2</v>
      </c>
      <c r="G77" s="6" t="s">
        <v>107</v>
      </c>
      <c r="I77" s="8">
        <v>84.8243581944444</v>
      </c>
      <c r="J77" s="8">
        <v>133.1380825</v>
      </c>
      <c r="K77" s="6" t="s">
        <v>29</v>
      </c>
      <c r="L77" s="6" t="s">
        <v>335</v>
      </c>
      <c r="M77" s="9">
        <v>43756</v>
      </c>
      <c r="O77" s="6">
        <v>3</v>
      </c>
      <c r="P77" s="6" t="s">
        <v>4247</v>
      </c>
      <c r="R77" s="6" t="s">
        <v>109</v>
      </c>
      <c r="S77" s="6">
        <v>10</v>
      </c>
      <c r="T77" s="6">
        <v>20</v>
      </c>
      <c r="U77" s="10">
        <f t="shared" si="2"/>
        <v>15</v>
      </c>
      <c r="V77" s="6">
        <v>6.3</v>
      </c>
      <c r="W77" s="8">
        <v>-2.6487737937927252</v>
      </c>
      <c r="X77" s="8">
        <v>-21.526246559143065</v>
      </c>
      <c r="Y77" s="8">
        <f t="shared" si="3"/>
        <v>-0.33605620880126352</v>
      </c>
    </row>
    <row r="78" spans="1:25" s="6" customFormat="1" x14ac:dyDescent="0.35">
      <c r="A78" s="6" t="s">
        <v>25</v>
      </c>
      <c r="B78" s="6" t="s">
        <v>116</v>
      </c>
      <c r="C78" s="6">
        <v>510090</v>
      </c>
      <c r="D78" s="6" t="s">
        <v>115</v>
      </c>
      <c r="E78" s="6">
        <v>1</v>
      </c>
      <c r="F78" s="6">
        <v>2</v>
      </c>
      <c r="G78" s="6" t="s">
        <v>107</v>
      </c>
      <c r="I78" s="8">
        <v>84.8243581944444</v>
      </c>
      <c r="J78" s="8">
        <v>133.1380825</v>
      </c>
      <c r="K78" s="6" t="s">
        <v>29</v>
      </c>
      <c r="L78" s="6" t="s">
        <v>335</v>
      </c>
      <c r="M78" s="9">
        <v>43756</v>
      </c>
      <c r="O78" s="6">
        <v>3</v>
      </c>
      <c r="P78" s="6" t="s">
        <v>4247</v>
      </c>
      <c r="R78" s="6" t="s">
        <v>109</v>
      </c>
      <c r="S78" s="6">
        <v>10</v>
      </c>
      <c r="T78" s="6">
        <v>20</v>
      </c>
      <c r="U78" s="10">
        <f t="shared" si="2"/>
        <v>15</v>
      </c>
      <c r="V78" s="6">
        <v>6.2</v>
      </c>
      <c r="W78" s="8">
        <v>-4.1604870849609377</v>
      </c>
      <c r="X78" s="8">
        <v>-31.131747138977051</v>
      </c>
      <c r="Y78" s="8">
        <f t="shared" si="3"/>
        <v>2.1521495407104503</v>
      </c>
    </row>
    <row r="79" spans="1:25" s="6" customFormat="1" x14ac:dyDescent="0.35">
      <c r="A79" s="6" t="s">
        <v>25</v>
      </c>
      <c r="B79" s="6" t="s">
        <v>126</v>
      </c>
      <c r="C79" s="6">
        <v>510096</v>
      </c>
      <c r="D79" s="6" t="s">
        <v>125</v>
      </c>
      <c r="E79" s="6">
        <v>1</v>
      </c>
      <c r="F79" s="6">
        <v>2</v>
      </c>
      <c r="G79" s="6" t="s">
        <v>107</v>
      </c>
      <c r="I79" s="8">
        <v>84.8243581944444</v>
      </c>
      <c r="J79" s="8">
        <v>133.1380825</v>
      </c>
      <c r="K79" s="6" t="s">
        <v>29</v>
      </c>
      <c r="L79" s="6" t="s">
        <v>335</v>
      </c>
      <c r="M79" s="9">
        <v>43756</v>
      </c>
      <c r="O79" s="6">
        <v>3</v>
      </c>
      <c r="P79" s="6" t="s">
        <v>4247</v>
      </c>
      <c r="R79" s="6" t="s">
        <v>109</v>
      </c>
      <c r="S79" s="6">
        <v>10</v>
      </c>
      <c r="T79" s="6">
        <v>20</v>
      </c>
      <c r="U79" s="10">
        <f t="shared" si="2"/>
        <v>15</v>
      </c>
      <c r="V79" s="6">
        <v>4.0999999999999996</v>
      </c>
      <c r="W79" s="8">
        <v>-2.6127402854919439</v>
      </c>
      <c r="X79" s="8">
        <v>-20.507969882965089</v>
      </c>
      <c r="Y79" s="8">
        <f t="shared" si="3"/>
        <v>0.39395240097046269</v>
      </c>
    </row>
    <row r="80" spans="1:25" s="6" customFormat="1" x14ac:dyDescent="0.35">
      <c r="A80" s="6" t="s">
        <v>25</v>
      </c>
      <c r="B80" s="6" t="s">
        <v>131</v>
      </c>
      <c r="C80" s="6">
        <v>510099</v>
      </c>
      <c r="D80" s="6" t="s">
        <v>130</v>
      </c>
      <c r="E80" s="6">
        <v>1</v>
      </c>
      <c r="F80" s="6">
        <v>2</v>
      </c>
      <c r="G80" s="6" t="s">
        <v>107</v>
      </c>
      <c r="I80" s="8">
        <v>84.8243581944444</v>
      </c>
      <c r="J80" s="8">
        <v>133.1380825</v>
      </c>
      <c r="K80" s="6" t="s">
        <v>29</v>
      </c>
      <c r="L80" s="6" t="s">
        <v>335</v>
      </c>
      <c r="M80" s="9">
        <v>43756</v>
      </c>
      <c r="O80" s="6">
        <v>3</v>
      </c>
      <c r="P80" s="6" t="s">
        <v>4247</v>
      </c>
      <c r="R80" s="6" t="s">
        <v>109</v>
      </c>
      <c r="S80" s="6">
        <v>10</v>
      </c>
      <c r="T80" s="6">
        <v>20</v>
      </c>
      <c r="U80" s="10">
        <f t="shared" si="2"/>
        <v>15</v>
      </c>
      <c r="V80" s="6">
        <v>4.7</v>
      </c>
      <c r="W80" s="8">
        <v>-9.5982738192558266</v>
      </c>
      <c r="X80" s="8">
        <v>-72.932364829254141</v>
      </c>
      <c r="Y80" s="8">
        <f t="shared" si="3"/>
        <v>3.8538257247924719</v>
      </c>
    </row>
    <row r="81" spans="1:25" s="6" customFormat="1" x14ac:dyDescent="0.35">
      <c r="A81" s="6" t="s">
        <v>25</v>
      </c>
      <c r="B81" s="6" t="s">
        <v>137</v>
      </c>
      <c r="C81" s="6">
        <v>510110</v>
      </c>
      <c r="D81" s="6" t="s">
        <v>130</v>
      </c>
      <c r="E81" s="6">
        <v>1</v>
      </c>
      <c r="F81" s="6">
        <v>2</v>
      </c>
      <c r="G81" s="6" t="s">
        <v>107</v>
      </c>
      <c r="I81" s="8">
        <v>84.8243581944444</v>
      </c>
      <c r="J81" s="8">
        <v>133.1380825</v>
      </c>
      <c r="K81" s="6" t="s">
        <v>29</v>
      </c>
      <c r="L81" s="6" t="s">
        <v>335</v>
      </c>
      <c r="M81" s="9">
        <v>43756</v>
      </c>
      <c r="O81" s="6">
        <v>3</v>
      </c>
      <c r="P81" s="6" t="s">
        <v>4247</v>
      </c>
      <c r="R81" s="6" t="s">
        <v>138</v>
      </c>
      <c r="S81" s="6">
        <v>10</v>
      </c>
      <c r="T81" s="6">
        <v>20</v>
      </c>
      <c r="U81" s="10">
        <f t="shared" si="2"/>
        <v>15</v>
      </c>
      <c r="V81" s="6">
        <v>4.2</v>
      </c>
      <c r="W81" s="8">
        <v>-8.8945795643806473</v>
      </c>
      <c r="X81" s="8">
        <v>-66.444868512725833</v>
      </c>
      <c r="Y81" s="8">
        <f t="shared" si="3"/>
        <v>4.7117680023193458</v>
      </c>
    </row>
    <row r="82" spans="1:25" s="6" customFormat="1" x14ac:dyDescent="0.35">
      <c r="A82" s="6" t="s">
        <v>25</v>
      </c>
      <c r="B82" s="6" t="s">
        <v>144</v>
      </c>
      <c r="C82" s="6">
        <v>510114</v>
      </c>
      <c r="D82" s="6" t="s">
        <v>130</v>
      </c>
      <c r="E82" s="6">
        <v>1</v>
      </c>
      <c r="F82" s="6">
        <v>2</v>
      </c>
      <c r="G82" s="6" t="s">
        <v>107</v>
      </c>
      <c r="I82" s="8">
        <v>84.8243581944444</v>
      </c>
      <c r="J82" s="8">
        <v>133.1380825</v>
      </c>
      <c r="K82" s="6" t="s">
        <v>29</v>
      </c>
      <c r="L82" s="6" t="s">
        <v>335</v>
      </c>
      <c r="M82" s="9">
        <v>43756</v>
      </c>
      <c r="O82" s="6">
        <v>3</v>
      </c>
      <c r="P82" s="6" t="s">
        <v>4247</v>
      </c>
      <c r="R82" s="6" t="s">
        <v>109</v>
      </c>
      <c r="S82" s="6">
        <v>10</v>
      </c>
      <c r="T82" s="6">
        <v>20</v>
      </c>
      <c r="U82" s="10">
        <f t="shared" si="2"/>
        <v>15</v>
      </c>
      <c r="V82" s="6">
        <v>7.1</v>
      </c>
      <c r="W82" s="8">
        <v>0.13860396296232946</v>
      </c>
      <c r="X82" s="8">
        <v>-1.559410331583023</v>
      </c>
      <c r="Y82" s="8">
        <f t="shared" si="3"/>
        <v>-2.6682420352816587</v>
      </c>
    </row>
    <row r="83" spans="1:25" s="6" customFormat="1" x14ac:dyDescent="0.35">
      <c r="A83" s="6" t="s">
        <v>25</v>
      </c>
      <c r="B83" s="6" t="s">
        <v>154</v>
      </c>
      <c r="C83" s="6">
        <v>510154</v>
      </c>
      <c r="D83" s="6" t="s">
        <v>152</v>
      </c>
      <c r="E83" s="6">
        <v>1</v>
      </c>
      <c r="F83" s="6">
        <v>3</v>
      </c>
      <c r="G83" s="6" t="s">
        <v>153</v>
      </c>
      <c r="I83" s="8">
        <v>85.348898888888897</v>
      </c>
      <c r="J83" s="8">
        <v>129.88336361111101</v>
      </c>
      <c r="K83" s="6" t="s">
        <v>29</v>
      </c>
      <c r="L83" s="6" t="s">
        <v>335</v>
      </c>
      <c r="M83" s="9">
        <v>43761</v>
      </c>
      <c r="O83" s="6">
        <v>4</v>
      </c>
      <c r="P83" s="6" t="s">
        <v>4248</v>
      </c>
      <c r="R83" s="6" t="s">
        <v>138</v>
      </c>
      <c r="S83" s="6">
        <v>10</v>
      </c>
      <c r="T83" s="6">
        <v>20</v>
      </c>
      <c r="U83" s="10">
        <f t="shared" si="2"/>
        <v>15</v>
      </c>
      <c r="V83" s="6">
        <v>0.7</v>
      </c>
      <c r="W83" s="8">
        <v>-4.6903988467931752</v>
      </c>
      <c r="X83" s="8">
        <v>-37.674556609725947</v>
      </c>
      <c r="Y83" s="8">
        <f t="shared" si="3"/>
        <v>-0.15136583538054538</v>
      </c>
    </row>
    <row r="84" spans="1:25" s="6" customFormat="1" x14ac:dyDescent="0.35">
      <c r="A84" s="6" t="s">
        <v>25</v>
      </c>
      <c r="B84" s="7"/>
      <c r="C84" s="6">
        <v>510168</v>
      </c>
      <c r="D84" s="6" t="s">
        <v>178</v>
      </c>
      <c r="E84" s="6">
        <v>1</v>
      </c>
      <c r="F84" s="6">
        <v>4</v>
      </c>
      <c r="G84" s="6" t="s">
        <v>179</v>
      </c>
      <c r="H84" s="6">
        <v>8</v>
      </c>
      <c r="I84" s="8">
        <v>85.406511180555597</v>
      </c>
      <c r="J84" s="8">
        <v>128.89254722222199</v>
      </c>
      <c r="K84" s="6" t="s">
        <v>29</v>
      </c>
      <c r="L84" s="6" t="s">
        <v>335</v>
      </c>
      <c r="M84" s="9">
        <v>43762</v>
      </c>
      <c r="O84" s="6">
        <v>4</v>
      </c>
      <c r="P84" s="6" t="s">
        <v>4249</v>
      </c>
      <c r="S84" s="6">
        <v>10</v>
      </c>
      <c r="T84" s="6">
        <v>20</v>
      </c>
      <c r="U84" s="10">
        <f t="shared" si="2"/>
        <v>15</v>
      </c>
      <c r="V84" s="6">
        <v>4.9000000000000004</v>
      </c>
      <c r="W84" s="8">
        <v>-2.2899503834247588</v>
      </c>
      <c r="X84" s="8">
        <v>-15.658707599544524</v>
      </c>
      <c r="Y84" s="8">
        <f t="shared" si="3"/>
        <v>2.6608954678535461</v>
      </c>
    </row>
    <row r="85" spans="1:25" s="6" customFormat="1" x14ac:dyDescent="0.35">
      <c r="A85" s="6" t="s">
        <v>25</v>
      </c>
      <c r="B85" s="7" t="s">
        <v>250</v>
      </c>
      <c r="C85" s="6">
        <v>510282</v>
      </c>
      <c r="D85" s="6" t="s">
        <v>251</v>
      </c>
      <c r="E85" s="6">
        <v>1</v>
      </c>
      <c r="F85" s="6">
        <v>5</v>
      </c>
      <c r="G85" s="6" t="s">
        <v>179</v>
      </c>
      <c r="I85" s="8">
        <v>85.726575763888903</v>
      </c>
      <c r="J85" s="8">
        <v>124.264683611111</v>
      </c>
      <c r="K85" s="6" t="s">
        <v>29</v>
      </c>
      <c r="L85" s="6" t="s">
        <v>335</v>
      </c>
      <c r="M85" s="9">
        <v>43768</v>
      </c>
      <c r="O85" s="6">
        <v>5</v>
      </c>
      <c r="P85" s="6" t="s">
        <v>4252</v>
      </c>
      <c r="Q85" s="6">
        <v>-4.51</v>
      </c>
      <c r="R85" s="10"/>
      <c r="S85" s="10">
        <v>10</v>
      </c>
      <c r="T85" s="10">
        <v>20</v>
      </c>
      <c r="U85" s="10">
        <f t="shared" si="2"/>
        <v>15</v>
      </c>
      <c r="V85" s="6">
        <v>4.3</v>
      </c>
      <c r="W85" s="8">
        <v>-2.3643742787837985</v>
      </c>
      <c r="X85" s="8">
        <v>-17.135993766784665</v>
      </c>
      <c r="Y85" s="8">
        <f t="shared" si="3"/>
        <v>1.7790004634857226</v>
      </c>
    </row>
    <row r="86" spans="1:25" s="6" customFormat="1" x14ac:dyDescent="0.35">
      <c r="A86" s="6" t="s">
        <v>25</v>
      </c>
      <c r="B86" s="7"/>
      <c r="C86" s="6">
        <v>510412</v>
      </c>
      <c r="D86" s="6" t="s">
        <v>344</v>
      </c>
      <c r="E86" s="6">
        <v>1</v>
      </c>
      <c r="F86" s="6">
        <v>6</v>
      </c>
      <c r="G86" s="6" t="s">
        <v>345</v>
      </c>
      <c r="H86" s="6">
        <v>18</v>
      </c>
      <c r="I86" s="8">
        <v>85.9187781944444</v>
      </c>
      <c r="J86" s="8">
        <v>117.45457173611101</v>
      </c>
      <c r="K86" s="6" t="s">
        <v>29</v>
      </c>
      <c r="L86" s="6" t="s">
        <v>335</v>
      </c>
      <c r="M86" s="9">
        <v>43775</v>
      </c>
      <c r="O86" s="6">
        <v>6</v>
      </c>
      <c r="P86" s="6" t="s">
        <v>4256</v>
      </c>
      <c r="R86" s="6" t="s">
        <v>66</v>
      </c>
      <c r="S86" s="6">
        <v>10</v>
      </c>
      <c r="T86" s="6">
        <v>20</v>
      </c>
      <c r="U86" s="10">
        <f t="shared" si="2"/>
        <v>15</v>
      </c>
      <c r="V86" s="6">
        <v>5.5</v>
      </c>
      <c r="W86" s="8">
        <v>-0.70530308125019137</v>
      </c>
      <c r="X86" s="8">
        <v>-5.4305435943603513</v>
      </c>
      <c r="Y86" s="8">
        <f t="shared" si="3"/>
        <v>0.21188105564117965</v>
      </c>
    </row>
    <row r="87" spans="1:25" s="6" customFormat="1" x14ac:dyDescent="0.35">
      <c r="A87" s="6" t="s">
        <v>25</v>
      </c>
      <c r="B87" s="7"/>
      <c r="C87" s="6">
        <v>510421</v>
      </c>
      <c r="D87" s="6" t="s">
        <v>354</v>
      </c>
      <c r="E87" s="6">
        <v>1</v>
      </c>
      <c r="F87" s="6">
        <v>6</v>
      </c>
      <c r="G87" s="6" t="s">
        <v>179</v>
      </c>
      <c r="H87" s="6">
        <v>7</v>
      </c>
      <c r="I87" s="8">
        <v>85.917653888888907</v>
      </c>
      <c r="J87" s="8">
        <v>116.64332493055601</v>
      </c>
      <c r="K87" s="6" t="s">
        <v>29</v>
      </c>
      <c r="L87" s="6" t="s">
        <v>335</v>
      </c>
      <c r="M87" s="9">
        <v>43776</v>
      </c>
      <c r="O87" s="6">
        <v>6</v>
      </c>
      <c r="P87" s="6" t="s">
        <v>4257</v>
      </c>
      <c r="R87" s="6" t="s">
        <v>66</v>
      </c>
      <c r="S87" s="6">
        <v>10</v>
      </c>
      <c r="T87" s="6">
        <v>20</v>
      </c>
      <c r="U87" s="10">
        <f t="shared" si="2"/>
        <v>15</v>
      </c>
      <c r="V87" s="6">
        <v>4.3</v>
      </c>
      <c r="W87" s="8">
        <v>-2.5771507598876955</v>
      </c>
      <c r="X87" s="8">
        <v>-18.693501305007935</v>
      </c>
      <c r="Y87" s="8">
        <f t="shared" si="3"/>
        <v>1.9237047740936291</v>
      </c>
    </row>
    <row r="88" spans="1:25" s="6" customFormat="1" x14ac:dyDescent="0.35">
      <c r="A88" s="6" t="s">
        <v>25</v>
      </c>
      <c r="B88" s="7"/>
      <c r="C88" s="6">
        <v>510510</v>
      </c>
      <c r="D88" s="6" t="s">
        <v>377</v>
      </c>
      <c r="E88" s="6">
        <v>1</v>
      </c>
      <c r="F88" s="6">
        <v>7</v>
      </c>
      <c r="G88" s="6" t="s">
        <v>202</v>
      </c>
      <c r="H88" s="6">
        <v>9</v>
      </c>
      <c r="I88" s="8">
        <v>85.915187361111094</v>
      </c>
      <c r="J88" s="8">
        <v>116.660135</v>
      </c>
      <c r="K88" s="6" t="s">
        <v>29</v>
      </c>
      <c r="L88" s="6" t="s">
        <v>335</v>
      </c>
      <c r="M88" s="9">
        <v>43780</v>
      </c>
      <c r="O88" s="6">
        <v>7</v>
      </c>
      <c r="P88" s="6" t="s">
        <v>4259</v>
      </c>
      <c r="R88" s="6" t="s">
        <v>109</v>
      </c>
      <c r="S88" s="6">
        <v>10</v>
      </c>
      <c r="T88" s="6">
        <v>20</v>
      </c>
      <c r="U88" s="10">
        <f t="shared" si="2"/>
        <v>15</v>
      </c>
      <c r="V88" s="6">
        <v>5.4</v>
      </c>
      <c r="W88" s="8">
        <v>-1.3527526688575746</v>
      </c>
      <c r="X88" s="8">
        <v>-10.334767413139343</v>
      </c>
      <c r="Y88" s="8">
        <f t="shared" si="3"/>
        <v>0.48725393772125436</v>
      </c>
    </row>
    <row r="89" spans="1:25" s="6" customFormat="1" x14ac:dyDescent="0.35">
      <c r="A89" s="6" t="s">
        <v>25</v>
      </c>
      <c r="B89" s="7" t="s">
        <v>429</v>
      </c>
      <c r="C89" s="6">
        <v>510587</v>
      </c>
      <c r="D89" s="6" t="s">
        <v>430</v>
      </c>
      <c r="E89" s="6">
        <v>1</v>
      </c>
      <c r="F89" s="6">
        <v>7</v>
      </c>
      <c r="G89" s="6" t="s">
        <v>179</v>
      </c>
      <c r="I89" s="8">
        <v>86.1718883333333</v>
      </c>
      <c r="J89" s="8">
        <v>118.24158284722201</v>
      </c>
      <c r="K89" s="6" t="s">
        <v>29</v>
      </c>
      <c r="L89" s="6" t="s">
        <v>335</v>
      </c>
      <c r="M89" s="9">
        <v>43783</v>
      </c>
      <c r="O89" s="6">
        <v>7</v>
      </c>
      <c r="P89" s="6" t="s">
        <v>4248</v>
      </c>
      <c r="Q89" s="8">
        <v>-5.5333333333333341</v>
      </c>
      <c r="R89" s="10" t="s">
        <v>109</v>
      </c>
      <c r="S89" s="10">
        <v>10</v>
      </c>
      <c r="T89" s="10">
        <v>20</v>
      </c>
      <c r="U89" s="10">
        <f t="shared" si="2"/>
        <v>15</v>
      </c>
      <c r="V89" s="6">
        <v>3.3</v>
      </c>
      <c r="W89" s="8">
        <v>-3.0089028963565827</v>
      </c>
      <c r="X89" s="8">
        <v>-21.844005692481993</v>
      </c>
      <c r="Y89" s="8">
        <f t="shared" si="3"/>
        <v>2.2272174783706689</v>
      </c>
    </row>
    <row r="90" spans="1:25" s="6" customFormat="1" x14ac:dyDescent="0.35">
      <c r="A90" s="6" t="s">
        <v>25</v>
      </c>
      <c r="B90" s="7" t="s">
        <v>453</v>
      </c>
      <c r="C90" s="6">
        <v>510626</v>
      </c>
      <c r="D90" s="6" t="s">
        <v>454</v>
      </c>
      <c r="E90" s="6">
        <v>1</v>
      </c>
      <c r="F90" s="6">
        <v>7</v>
      </c>
      <c r="G90" s="6" t="s">
        <v>179</v>
      </c>
      <c r="I90" s="8">
        <v>86.191348333333295</v>
      </c>
      <c r="J90" s="8">
        <v>118.623774583333</v>
      </c>
      <c r="K90" s="6" t="s">
        <v>29</v>
      </c>
      <c r="L90" s="6" t="s">
        <v>335</v>
      </c>
      <c r="M90" s="9">
        <v>43784</v>
      </c>
      <c r="O90" s="6">
        <v>7</v>
      </c>
      <c r="P90" s="6" t="s">
        <v>4260</v>
      </c>
      <c r="Q90" s="8">
        <v>-7.7666666666666657</v>
      </c>
      <c r="R90" s="10" t="s">
        <v>109</v>
      </c>
      <c r="S90" s="10">
        <v>10</v>
      </c>
      <c r="T90" s="10">
        <v>20</v>
      </c>
      <c r="U90" s="10">
        <f t="shared" si="2"/>
        <v>15</v>
      </c>
      <c r="V90" s="6">
        <v>0.1</v>
      </c>
      <c r="W90" s="8">
        <v>-5.7262965762138371</v>
      </c>
      <c r="X90" s="8">
        <v>-43.416944984436036</v>
      </c>
      <c r="Y90" s="8">
        <f t="shared" si="3"/>
        <v>2.3934276252746614</v>
      </c>
    </row>
    <row r="91" spans="1:25" s="6" customFormat="1" x14ac:dyDescent="0.35">
      <c r="A91" s="6" t="s">
        <v>25</v>
      </c>
      <c r="B91" s="7" t="s">
        <v>495</v>
      </c>
      <c r="C91" s="6">
        <v>510673</v>
      </c>
      <c r="D91" s="6" t="s">
        <v>496</v>
      </c>
      <c r="E91" s="6">
        <v>1</v>
      </c>
      <c r="F91" s="6">
        <v>8</v>
      </c>
      <c r="G91" s="6" t="s">
        <v>202</v>
      </c>
      <c r="I91" s="8">
        <v>85.829729583333304</v>
      </c>
      <c r="J91" s="8">
        <v>120.62869888888901</v>
      </c>
      <c r="K91" s="6" t="s">
        <v>29</v>
      </c>
      <c r="L91" s="6" t="s">
        <v>335</v>
      </c>
      <c r="M91" s="9">
        <v>43787</v>
      </c>
      <c r="O91" s="6">
        <v>8</v>
      </c>
      <c r="P91" s="6" t="s">
        <v>4263</v>
      </c>
      <c r="Q91" s="8">
        <v>-4.8</v>
      </c>
      <c r="R91" s="10" t="s">
        <v>109</v>
      </c>
      <c r="S91" s="10">
        <v>10</v>
      </c>
      <c r="T91" s="10">
        <v>20</v>
      </c>
      <c r="U91" s="10">
        <f t="shared" si="2"/>
        <v>15</v>
      </c>
      <c r="V91" s="6">
        <v>4.8</v>
      </c>
      <c r="W91" s="8">
        <v>-1.7685017141494748</v>
      </c>
      <c r="X91" s="8">
        <v>-13.617832814369201</v>
      </c>
      <c r="Y91" s="8">
        <f t="shared" si="3"/>
        <v>0.5301808988265968</v>
      </c>
    </row>
    <row r="92" spans="1:25" s="6" customFormat="1" x14ac:dyDescent="0.35">
      <c r="A92" s="6" t="s">
        <v>25</v>
      </c>
      <c r="B92" s="7" t="s">
        <v>609</v>
      </c>
      <c r="C92" s="6">
        <v>510735</v>
      </c>
      <c r="D92" s="6" t="s">
        <v>610</v>
      </c>
      <c r="E92" s="6">
        <v>1</v>
      </c>
      <c r="F92" s="6">
        <v>9</v>
      </c>
      <c r="G92" s="6" t="s">
        <v>202</v>
      </c>
      <c r="I92" s="8">
        <v>86.047909722222201</v>
      </c>
      <c r="J92" s="8">
        <v>120.497726180556</v>
      </c>
      <c r="K92" s="6" t="s">
        <v>29</v>
      </c>
      <c r="L92" s="6" t="s">
        <v>335</v>
      </c>
      <c r="M92" s="9">
        <v>43794</v>
      </c>
      <c r="O92" s="6">
        <v>9</v>
      </c>
      <c r="P92" s="6" t="s">
        <v>4270</v>
      </c>
      <c r="Q92" s="8">
        <v>-7.0333333333333341</v>
      </c>
      <c r="R92" s="10" t="s">
        <v>66</v>
      </c>
      <c r="S92" s="10">
        <v>10</v>
      </c>
      <c r="T92" s="10">
        <v>20</v>
      </c>
      <c r="U92" s="10">
        <f t="shared" si="2"/>
        <v>15</v>
      </c>
      <c r="V92" s="11">
        <v>4.2</v>
      </c>
      <c r="W92" s="8">
        <v>0.11816988470018835</v>
      </c>
      <c r="X92" s="8">
        <v>-0.31090283961296089</v>
      </c>
      <c r="Y92" s="8">
        <f t="shared" si="3"/>
        <v>-1.2562619172144678</v>
      </c>
    </row>
    <row r="93" spans="1:25" s="6" customFormat="1" x14ac:dyDescent="0.35">
      <c r="A93" s="6" t="s">
        <v>25</v>
      </c>
      <c r="B93" s="7" t="s">
        <v>666</v>
      </c>
      <c r="C93" s="6">
        <v>510778</v>
      </c>
      <c r="D93" s="6" t="s">
        <v>667</v>
      </c>
      <c r="E93" s="6">
        <v>1</v>
      </c>
      <c r="F93" s="6">
        <v>9</v>
      </c>
      <c r="G93" s="6" t="s">
        <v>179</v>
      </c>
      <c r="I93" s="8">
        <v>86.158515138888902</v>
      </c>
      <c r="J93" s="8">
        <v>117.89724090277799</v>
      </c>
      <c r="K93" s="6" t="s">
        <v>29</v>
      </c>
      <c r="L93" s="6" t="s">
        <v>335</v>
      </c>
      <c r="M93" s="9">
        <v>43796</v>
      </c>
      <c r="O93" s="6">
        <v>9</v>
      </c>
      <c r="P93" s="6" t="s">
        <v>4272</v>
      </c>
      <c r="Q93" s="8">
        <v>-10.6</v>
      </c>
      <c r="R93" s="10" t="s">
        <v>138</v>
      </c>
      <c r="S93" s="10">
        <v>10</v>
      </c>
      <c r="T93" s="10">
        <v>20</v>
      </c>
      <c r="U93" s="10">
        <f t="shared" si="2"/>
        <v>15</v>
      </c>
      <c r="V93" s="11">
        <v>5.5</v>
      </c>
      <c r="W93" s="8">
        <v>-2.163780689239502</v>
      </c>
      <c r="X93" s="8">
        <v>-16.426574987411499</v>
      </c>
      <c r="Y93" s="8">
        <f t="shared" si="3"/>
        <v>0.88367052650451683</v>
      </c>
    </row>
    <row r="94" spans="1:25" s="6" customFormat="1" x14ac:dyDescent="0.35">
      <c r="A94" s="6" t="s">
        <v>25</v>
      </c>
      <c r="B94" s="7"/>
      <c r="C94" s="6">
        <v>510946</v>
      </c>
      <c r="D94" s="6" t="s">
        <v>747</v>
      </c>
      <c r="E94" s="6">
        <v>1</v>
      </c>
      <c r="F94" s="6">
        <v>10</v>
      </c>
      <c r="G94" s="6" t="s">
        <v>202</v>
      </c>
      <c r="H94" s="6">
        <v>7.6</v>
      </c>
      <c r="I94" s="8">
        <v>85.933882569444407</v>
      </c>
      <c r="J94" s="8">
        <v>114.06437159722201</v>
      </c>
      <c r="K94" s="6" t="s">
        <v>29</v>
      </c>
      <c r="L94" s="6" t="s">
        <v>335</v>
      </c>
      <c r="M94" s="9">
        <v>43801</v>
      </c>
      <c r="O94" s="6">
        <v>10</v>
      </c>
      <c r="P94" s="6" t="s">
        <v>4277</v>
      </c>
      <c r="R94" s="6" t="s">
        <v>138</v>
      </c>
      <c r="S94" s="6">
        <v>10</v>
      </c>
      <c r="T94" s="6">
        <v>20</v>
      </c>
      <c r="U94" s="10">
        <f t="shared" si="2"/>
        <v>15</v>
      </c>
      <c r="V94" s="6">
        <v>4.9000000000000004</v>
      </c>
      <c r="W94" s="8">
        <v>-1.7017200886726387</v>
      </c>
      <c r="X94" s="8">
        <v>-13.1204226064682</v>
      </c>
      <c r="Y94" s="8">
        <f t="shared" si="3"/>
        <v>0.4933381029129098</v>
      </c>
    </row>
    <row r="95" spans="1:25" s="6" customFormat="1" x14ac:dyDescent="0.35">
      <c r="A95" s="6" t="s">
        <v>25</v>
      </c>
      <c r="B95" s="6" t="s">
        <v>760</v>
      </c>
      <c r="C95" s="6">
        <v>511030</v>
      </c>
      <c r="D95" s="6" t="s">
        <v>758</v>
      </c>
      <c r="E95" s="6">
        <v>1</v>
      </c>
      <c r="F95" s="6">
        <v>10</v>
      </c>
      <c r="G95" s="6" t="s">
        <v>179</v>
      </c>
      <c r="I95" s="8">
        <v>86.106434930555594</v>
      </c>
      <c r="J95" s="8">
        <v>118.771893680556</v>
      </c>
      <c r="K95" s="6" t="s">
        <v>29</v>
      </c>
      <c r="L95" s="6" t="s">
        <v>335</v>
      </c>
      <c r="M95" s="9">
        <v>43803</v>
      </c>
      <c r="O95" s="6">
        <v>10</v>
      </c>
      <c r="P95" s="6" t="s">
        <v>4278</v>
      </c>
      <c r="R95" s="6" t="s">
        <v>138</v>
      </c>
      <c r="S95" s="6">
        <v>10</v>
      </c>
      <c r="T95" s="6">
        <v>20</v>
      </c>
      <c r="U95" s="10">
        <f t="shared" si="2"/>
        <v>15</v>
      </c>
      <c r="V95" s="6">
        <v>5.6</v>
      </c>
      <c r="W95" s="8">
        <v>-3.4602572537422174</v>
      </c>
      <c r="X95" s="8">
        <v>-26.932680797195435</v>
      </c>
      <c r="Y95" s="8">
        <f t="shared" si="3"/>
        <v>0.7493772327423045</v>
      </c>
    </row>
    <row r="96" spans="1:25" s="6" customFormat="1" x14ac:dyDescent="0.35">
      <c r="A96" s="6" t="s">
        <v>25</v>
      </c>
      <c r="B96" s="7"/>
      <c r="C96" s="6">
        <v>511039</v>
      </c>
      <c r="D96" s="6" t="s">
        <v>772</v>
      </c>
      <c r="E96" s="6">
        <v>1</v>
      </c>
      <c r="F96" s="6">
        <v>10</v>
      </c>
      <c r="G96" s="6" t="s">
        <v>345</v>
      </c>
      <c r="H96" s="6">
        <v>22</v>
      </c>
      <c r="I96" s="8">
        <v>86.141995833333297</v>
      </c>
      <c r="J96" s="8">
        <v>122.240208541667</v>
      </c>
      <c r="K96" s="6" t="s">
        <v>29</v>
      </c>
      <c r="L96" s="6" t="s">
        <v>335</v>
      </c>
      <c r="M96" s="9">
        <v>43805</v>
      </c>
      <c r="O96" s="6">
        <v>10</v>
      </c>
      <c r="P96" s="6" t="s">
        <v>4280</v>
      </c>
      <c r="R96" s="6" t="s">
        <v>138</v>
      </c>
      <c r="S96" s="6">
        <v>10</v>
      </c>
      <c r="T96" s="6">
        <v>20</v>
      </c>
      <c r="U96" s="10">
        <f t="shared" si="2"/>
        <v>15</v>
      </c>
      <c r="V96" s="6">
        <v>4.9000000000000004</v>
      </c>
      <c r="W96" s="8">
        <v>0.29610987641215303</v>
      </c>
      <c r="X96" s="8">
        <v>2.9027795877456684</v>
      </c>
      <c r="Y96" s="8">
        <f t="shared" si="3"/>
        <v>0.53390057644844413</v>
      </c>
    </row>
    <row r="97" spans="1:25" s="6" customFormat="1" x14ac:dyDescent="0.35">
      <c r="A97" s="6" t="s">
        <v>25</v>
      </c>
      <c r="B97" s="6" t="s">
        <v>780</v>
      </c>
      <c r="D97" s="6" t="s">
        <v>779</v>
      </c>
      <c r="E97" s="6">
        <v>1</v>
      </c>
      <c r="F97" s="6">
        <v>11</v>
      </c>
      <c r="G97" s="6" t="s">
        <v>179</v>
      </c>
      <c r="I97" s="8">
        <v>86.506581944444406</v>
      </c>
      <c r="J97" s="8">
        <v>120.985913333333</v>
      </c>
      <c r="K97" s="6" t="s">
        <v>29</v>
      </c>
      <c r="L97" s="6" t="s">
        <v>335</v>
      </c>
      <c r="M97" s="9">
        <v>43809</v>
      </c>
      <c r="O97" s="6">
        <v>11</v>
      </c>
      <c r="P97" s="6" t="s">
        <v>4284</v>
      </c>
      <c r="R97" s="6">
        <v>10</v>
      </c>
      <c r="S97" s="6">
        <v>10</v>
      </c>
      <c r="T97" s="6">
        <v>20</v>
      </c>
      <c r="U97" s="10">
        <f t="shared" si="2"/>
        <v>15</v>
      </c>
      <c r="V97" s="6">
        <v>4.9000000000000004</v>
      </c>
      <c r="W97" s="8">
        <v>-1.9447241787672038</v>
      </c>
      <c r="X97" s="8">
        <v>-15.137517152786256</v>
      </c>
      <c r="Y97" s="8">
        <f t="shared" si="3"/>
        <v>0.42027627735137507</v>
      </c>
    </row>
    <row r="98" spans="1:25" s="6" customFormat="1" x14ac:dyDescent="0.35">
      <c r="A98" s="6" t="s">
        <v>25</v>
      </c>
      <c r="B98" s="6" t="s">
        <v>790</v>
      </c>
      <c r="D98" s="6" t="s">
        <v>789</v>
      </c>
      <c r="E98" s="6">
        <v>2</v>
      </c>
      <c r="F98" s="6">
        <v>17</v>
      </c>
      <c r="G98" s="6" t="s">
        <v>202</v>
      </c>
      <c r="I98" s="8">
        <v>86.641082222222195</v>
      </c>
      <c r="J98" s="8">
        <v>113.166453680556</v>
      </c>
      <c r="K98" s="6" t="s">
        <v>29</v>
      </c>
      <c r="L98" s="6" t="s">
        <v>335</v>
      </c>
      <c r="M98" s="9">
        <v>43822</v>
      </c>
      <c r="O98" s="6">
        <v>13</v>
      </c>
      <c r="P98" s="6" t="s">
        <v>4294</v>
      </c>
      <c r="R98" s="6">
        <v>10</v>
      </c>
      <c r="S98" s="6">
        <v>10</v>
      </c>
      <c r="T98" s="6">
        <v>20</v>
      </c>
      <c r="U98" s="10">
        <f t="shared" si="2"/>
        <v>15</v>
      </c>
      <c r="V98" s="6">
        <v>3.7</v>
      </c>
      <c r="W98" s="8">
        <v>-0.28242439437508554</v>
      </c>
      <c r="X98" s="8">
        <v>-2.1347481787204745</v>
      </c>
      <c r="Y98" s="8">
        <f t="shared" si="3"/>
        <v>0.12464697628020982</v>
      </c>
    </row>
    <row r="99" spans="1:25" s="6" customFormat="1" x14ac:dyDescent="0.35">
      <c r="A99" s="6" t="s">
        <v>25</v>
      </c>
      <c r="B99" s="7" t="s">
        <v>830</v>
      </c>
      <c r="D99" s="6" t="s">
        <v>831</v>
      </c>
      <c r="E99" s="6">
        <v>2</v>
      </c>
      <c r="F99" s="6">
        <v>19</v>
      </c>
      <c r="G99" s="6" t="s">
        <v>202</v>
      </c>
      <c r="I99" s="8">
        <v>87.103055694444393</v>
      </c>
      <c r="J99" s="8">
        <v>115.160686597222</v>
      </c>
      <c r="K99" s="6" t="s">
        <v>29</v>
      </c>
      <c r="L99" s="6" t="s">
        <v>335</v>
      </c>
      <c r="M99" s="9">
        <v>43836</v>
      </c>
      <c r="O99" s="6">
        <v>15</v>
      </c>
      <c r="P99" s="6" t="s">
        <v>4271</v>
      </c>
      <c r="R99" s="10"/>
      <c r="S99" s="10">
        <v>10</v>
      </c>
      <c r="T99" s="10">
        <v>20</v>
      </c>
      <c r="U99" s="10">
        <f t="shared" si="2"/>
        <v>15</v>
      </c>
      <c r="V99" s="11">
        <v>6.3</v>
      </c>
      <c r="W99" s="8">
        <v>-0.37047206266820465</v>
      </c>
      <c r="X99" s="8">
        <v>-3.3752148056030276</v>
      </c>
      <c r="Y99" s="8">
        <f t="shared" si="3"/>
        <v>-0.41143830425739036</v>
      </c>
    </row>
    <row r="100" spans="1:25" s="6" customFormat="1" x14ac:dyDescent="0.35">
      <c r="A100" s="6" t="s">
        <v>25</v>
      </c>
      <c r="B100" s="6" t="s">
        <v>885</v>
      </c>
      <c r="D100" s="6" t="s">
        <v>884</v>
      </c>
      <c r="E100" s="6">
        <v>2</v>
      </c>
      <c r="F100" s="6">
        <v>20</v>
      </c>
      <c r="G100" s="6" t="s">
        <v>57</v>
      </c>
      <c r="I100" s="8">
        <v>86.603676041666702</v>
      </c>
      <c r="J100" s="8">
        <v>116.411907777778</v>
      </c>
      <c r="K100" s="6" t="s">
        <v>29</v>
      </c>
      <c r="L100" s="6" t="s">
        <v>335</v>
      </c>
      <c r="M100" s="9">
        <v>43846</v>
      </c>
      <c r="O100" s="6">
        <v>16</v>
      </c>
      <c r="P100" s="6" t="s">
        <v>4311</v>
      </c>
      <c r="R100" s="6">
        <v>10</v>
      </c>
      <c r="S100" s="6">
        <v>10</v>
      </c>
      <c r="T100" s="6">
        <v>20</v>
      </c>
      <c r="U100" s="10">
        <f t="shared" si="2"/>
        <v>15</v>
      </c>
      <c r="V100" s="6">
        <v>4.3</v>
      </c>
      <c r="W100" s="8">
        <v>1.0945859967112539</v>
      </c>
      <c r="X100" s="8">
        <v>9.1264938152313224</v>
      </c>
      <c r="Y100" s="8">
        <f t="shared" si="3"/>
        <v>0.36980584154129126</v>
      </c>
    </row>
    <row r="101" spans="1:25" s="6" customFormat="1" x14ac:dyDescent="0.35">
      <c r="A101" s="6" t="s">
        <v>25</v>
      </c>
      <c r="B101" s="7" t="s">
        <v>913</v>
      </c>
      <c r="D101" s="6" t="s">
        <v>914</v>
      </c>
      <c r="E101" s="6">
        <v>2</v>
      </c>
      <c r="F101" s="6">
        <v>21</v>
      </c>
      <c r="G101" s="6" t="s">
        <v>202</v>
      </c>
      <c r="I101" s="8">
        <v>87.451079583333296</v>
      </c>
      <c r="J101" s="8">
        <v>97.375985347222198</v>
      </c>
      <c r="K101" s="6" t="s">
        <v>29</v>
      </c>
      <c r="L101" s="6" t="s">
        <v>335</v>
      </c>
      <c r="M101" s="9">
        <v>43850</v>
      </c>
      <c r="O101" s="6">
        <v>17</v>
      </c>
      <c r="P101" s="6" t="s">
        <v>4314</v>
      </c>
      <c r="R101" s="10"/>
      <c r="S101" s="10">
        <v>10</v>
      </c>
      <c r="T101" s="10">
        <v>20</v>
      </c>
      <c r="U101" s="10">
        <f t="shared" si="2"/>
        <v>15</v>
      </c>
      <c r="V101" s="11">
        <v>4.3</v>
      </c>
      <c r="W101" s="8">
        <v>-0.59007612060546877</v>
      </c>
      <c r="X101" s="8">
        <v>-4.8771100661754616</v>
      </c>
      <c r="Y101" s="8">
        <f t="shared" si="3"/>
        <v>-0.15650110133171147</v>
      </c>
    </row>
    <row r="102" spans="1:25" s="6" customFormat="1" x14ac:dyDescent="0.35">
      <c r="A102" s="6" t="s">
        <v>25</v>
      </c>
      <c r="B102" s="7"/>
      <c r="D102" s="6" t="s">
        <v>997</v>
      </c>
      <c r="E102" s="6">
        <v>2</v>
      </c>
      <c r="F102" s="6">
        <v>23</v>
      </c>
      <c r="G102" s="6" t="s">
        <v>202</v>
      </c>
      <c r="I102" s="8">
        <v>87.352736041666702</v>
      </c>
      <c r="J102" s="8">
        <v>94.772103819444396</v>
      </c>
      <c r="K102" s="6" t="s">
        <v>29</v>
      </c>
      <c r="L102" s="6" t="s">
        <v>335</v>
      </c>
      <c r="M102" s="9">
        <v>43864</v>
      </c>
      <c r="O102" s="6">
        <v>19</v>
      </c>
      <c r="P102" s="6" t="s">
        <v>4322</v>
      </c>
      <c r="S102" s="6">
        <v>10</v>
      </c>
      <c r="T102" s="6">
        <v>20</v>
      </c>
      <c r="U102" s="10">
        <f t="shared" si="2"/>
        <v>15</v>
      </c>
      <c r="V102" s="6">
        <v>3.2</v>
      </c>
      <c r="W102" s="8">
        <v>-3.6944077819824224</v>
      </c>
      <c r="X102" s="8">
        <v>-28.345072906494138</v>
      </c>
      <c r="Y102" s="8">
        <f t="shared" si="3"/>
        <v>1.2101893493652405</v>
      </c>
    </row>
    <row r="103" spans="1:25" s="6" customFormat="1" x14ac:dyDescent="0.35">
      <c r="A103" s="6" t="s">
        <v>25</v>
      </c>
      <c r="B103" s="7"/>
      <c r="D103" s="6" t="s">
        <v>1033</v>
      </c>
      <c r="E103" s="6">
        <v>2</v>
      </c>
      <c r="F103" s="6">
        <v>24</v>
      </c>
      <c r="G103" s="6" t="s">
        <v>57</v>
      </c>
      <c r="I103" s="8">
        <v>87.882876180555598</v>
      </c>
      <c r="J103" s="8">
        <v>87.424340833333304</v>
      </c>
      <c r="K103" s="6" t="s">
        <v>29</v>
      </c>
      <c r="L103" s="6" t="s">
        <v>335</v>
      </c>
      <c r="M103" s="9">
        <v>43873</v>
      </c>
      <c r="O103" s="6">
        <v>20</v>
      </c>
      <c r="P103" s="6" t="s">
        <v>4313</v>
      </c>
      <c r="S103" s="6">
        <v>10</v>
      </c>
      <c r="T103" s="6">
        <v>20</v>
      </c>
      <c r="U103" s="10">
        <f t="shared" si="2"/>
        <v>15</v>
      </c>
      <c r="V103" s="30"/>
      <c r="W103" s="8">
        <v>-5.3723876899719247</v>
      </c>
      <c r="X103" s="8">
        <v>-39.438279579162597</v>
      </c>
      <c r="Y103" s="8">
        <f t="shared" si="3"/>
        <v>3.5408219406128012</v>
      </c>
    </row>
    <row r="104" spans="1:25" s="6" customFormat="1" x14ac:dyDescent="0.35">
      <c r="A104" s="6" t="s">
        <v>25</v>
      </c>
      <c r="B104" s="7"/>
      <c r="D104" s="6" t="s">
        <v>1056</v>
      </c>
      <c r="E104" s="6">
        <v>3</v>
      </c>
      <c r="F104" s="6">
        <v>29</v>
      </c>
      <c r="G104" s="6" t="s">
        <v>60</v>
      </c>
      <c r="I104" s="8">
        <v>88.488842986111095</v>
      </c>
      <c r="J104" s="8">
        <v>40.1770405555556</v>
      </c>
      <c r="K104" s="6" t="s">
        <v>29</v>
      </c>
      <c r="L104" s="6" t="s">
        <v>335</v>
      </c>
      <c r="M104" s="9">
        <v>43887</v>
      </c>
      <c r="O104" s="6">
        <v>22</v>
      </c>
      <c r="P104" s="6" t="s">
        <v>4291</v>
      </c>
      <c r="S104" s="6">
        <v>10</v>
      </c>
      <c r="T104" s="6">
        <v>20</v>
      </c>
      <c r="U104" s="10">
        <f t="shared" si="2"/>
        <v>15</v>
      </c>
      <c r="V104" s="6">
        <v>9.6999999999999993</v>
      </c>
      <c r="W104" s="8">
        <v>-0.65039526258945468</v>
      </c>
      <c r="X104" s="8">
        <v>-4.4054381372332578</v>
      </c>
      <c r="Y104" s="8">
        <f t="shared" si="3"/>
        <v>0.79772396348237962</v>
      </c>
    </row>
    <row r="105" spans="1:25" s="6" customFormat="1" x14ac:dyDescent="0.35">
      <c r="A105" s="6" t="s">
        <v>25</v>
      </c>
      <c r="B105" s="7"/>
      <c r="D105" s="6" t="s">
        <v>1083</v>
      </c>
      <c r="E105" s="6">
        <v>3</v>
      </c>
      <c r="F105" s="6">
        <v>31</v>
      </c>
      <c r="G105" s="6" t="s">
        <v>179</v>
      </c>
      <c r="I105" s="8">
        <v>87.889566388888895</v>
      </c>
      <c r="J105" s="8">
        <v>24.107920208333301</v>
      </c>
      <c r="K105" s="6" t="s">
        <v>29</v>
      </c>
      <c r="L105" s="6" t="s">
        <v>335</v>
      </c>
      <c r="M105" s="9">
        <v>43899</v>
      </c>
      <c r="O105" s="6">
        <v>24</v>
      </c>
      <c r="P105" s="6" t="s">
        <v>4343</v>
      </c>
      <c r="S105" s="6">
        <v>10</v>
      </c>
      <c r="T105" s="6">
        <v>20</v>
      </c>
      <c r="U105" s="10">
        <f t="shared" si="2"/>
        <v>15</v>
      </c>
      <c r="V105" s="6">
        <v>3.2</v>
      </c>
      <c r="W105" s="8">
        <v>-2.350683481750488</v>
      </c>
      <c r="X105" s="8">
        <v>-17.73508723258972</v>
      </c>
      <c r="Y105" s="8">
        <f t="shared" si="3"/>
        <v>1.0703806214141842</v>
      </c>
    </row>
    <row r="106" spans="1:25" s="6" customFormat="1" x14ac:dyDescent="0.35">
      <c r="A106" s="6" t="s">
        <v>25</v>
      </c>
      <c r="B106" s="7"/>
      <c r="D106" s="6" t="s">
        <v>1098</v>
      </c>
      <c r="E106" s="6">
        <v>3</v>
      </c>
      <c r="F106" s="6">
        <v>31</v>
      </c>
      <c r="G106" s="6" t="s">
        <v>345</v>
      </c>
      <c r="I106" s="8">
        <v>87.660309999999996</v>
      </c>
      <c r="J106" s="8">
        <v>24.286057569444399</v>
      </c>
      <c r="K106" s="6" t="s">
        <v>29</v>
      </c>
      <c r="L106" s="6" t="s">
        <v>335</v>
      </c>
      <c r="M106" s="9">
        <v>43901</v>
      </c>
      <c r="O106" s="6">
        <v>24</v>
      </c>
      <c r="P106" s="6" t="s">
        <v>4345</v>
      </c>
      <c r="S106" s="6">
        <v>10</v>
      </c>
      <c r="T106" s="6">
        <v>20</v>
      </c>
      <c r="U106" s="10">
        <f t="shared" si="2"/>
        <v>15</v>
      </c>
      <c r="V106" s="6">
        <v>4.0999999999999996</v>
      </c>
      <c r="W106" s="8">
        <v>1.0891927823305132</v>
      </c>
      <c r="X106" s="8">
        <v>8.5727904262542722</v>
      </c>
      <c r="Y106" s="8">
        <f t="shared" si="3"/>
        <v>-0.14075183238983335</v>
      </c>
    </row>
    <row r="107" spans="1:25" s="6" customFormat="1" x14ac:dyDescent="0.35">
      <c r="A107" s="6" t="s">
        <v>25</v>
      </c>
      <c r="B107" s="7"/>
      <c r="D107" s="6" t="s">
        <v>1099</v>
      </c>
      <c r="E107" s="6">
        <v>3</v>
      </c>
      <c r="F107" s="6">
        <v>31</v>
      </c>
      <c r="G107" s="6" t="s">
        <v>345</v>
      </c>
      <c r="I107" s="8">
        <v>87.660309999999996</v>
      </c>
      <c r="J107" s="8">
        <v>24.286057569444399</v>
      </c>
      <c r="K107" s="6" t="s">
        <v>29</v>
      </c>
      <c r="L107" s="6" t="s">
        <v>335</v>
      </c>
      <c r="M107" s="9">
        <v>43901</v>
      </c>
      <c r="O107" s="6">
        <v>24</v>
      </c>
      <c r="P107" s="6" t="s">
        <v>4345</v>
      </c>
      <c r="S107" s="6">
        <v>10</v>
      </c>
      <c r="T107" s="6">
        <v>20</v>
      </c>
      <c r="U107" s="10">
        <f t="shared" si="2"/>
        <v>15</v>
      </c>
      <c r="V107" s="6">
        <v>4.7</v>
      </c>
      <c r="W107" s="8">
        <v>7.4468567731976035E-2</v>
      </c>
      <c r="X107" s="8">
        <v>0.96175598430633624</v>
      </c>
      <c r="Y107" s="8">
        <f t="shared" si="3"/>
        <v>0.36600744245052796</v>
      </c>
    </row>
    <row r="108" spans="1:25" s="6" customFormat="1" x14ac:dyDescent="0.35">
      <c r="A108" s="6" t="s">
        <v>25</v>
      </c>
      <c r="B108" s="7"/>
      <c r="D108" s="6" t="s">
        <v>1157</v>
      </c>
      <c r="E108" s="6">
        <v>3</v>
      </c>
      <c r="F108" s="6">
        <v>32</v>
      </c>
      <c r="G108" s="6" t="s">
        <v>179</v>
      </c>
      <c r="I108" s="8">
        <v>86.339075833333297</v>
      </c>
      <c r="J108" s="8">
        <v>14.7309175</v>
      </c>
      <c r="K108" s="6" t="s">
        <v>29</v>
      </c>
      <c r="L108" s="6" t="s">
        <v>335</v>
      </c>
      <c r="M108" s="9">
        <v>43910</v>
      </c>
      <c r="O108" s="6">
        <v>25</v>
      </c>
      <c r="P108" s="6" t="s">
        <v>4350</v>
      </c>
      <c r="S108" s="6">
        <v>10</v>
      </c>
      <c r="T108" s="6">
        <v>20</v>
      </c>
      <c r="U108" s="10">
        <f t="shared" si="2"/>
        <v>15</v>
      </c>
      <c r="V108" s="6">
        <v>3.5</v>
      </c>
      <c r="W108" s="8">
        <v>-1.7355262325525287</v>
      </c>
      <c r="X108" s="8">
        <v>-12.996820173263549</v>
      </c>
      <c r="Y108" s="8">
        <f t="shared" si="3"/>
        <v>0.88738968715668065</v>
      </c>
    </row>
    <row r="109" spans="1:25" s="6" customFormat="1" x14ac:dyDescent="0.35">
      <c r="A109" s="6" t="s">
        <v>25</v>
      </c>
      <c r="B109" s="7"/>
      <c r="D109" s="6" t="s">
        <v>1177</v>
      </c>
      <c r="E109" s="6">
        <v>3</v>
      </c>
      <c r="F109" s="6">
        <v>32</v>
      </c>
      <c r="G109" s="6" t="s">
        <v>202</v>
      </c>
      <c r="I109" s="8">
        <v>86.257643333333306</v>
      </c>
      <c r="J109" s="8">
        <v>15.261599722222201</v>
      </c>
      <c r="K109" s="6" t="s">
        <v>29</v>
      </c>
      <c r="L109" s="6" t="s">
        <v>335</v>
      </c>
      <c r="M109" s="9">
        <v>43911</v>
      </c>
      <c r="O109" s="6">
        <v>25</v>
      </c>
      <c r="P109" s="6" t="s">
        <v>4351</v>
      </c>
      <c r="S109" s="6">
        <v>10</v>
      </c>
      <c r="T109" s="6">
        <v>20</v>
      </c>
      <c r="U109" s="10">
        <f t="shared" si="2"/>
        <v>15</v>
      </c>
      <c r="V109" s="6">
        <v>3.2</v>
      </c>
      <c r="W109" s="8">
        <v>-3.1004280766105654</v>
      </c>
      <c r="X109" s="8">
        <v>-23.880140153503419</v>
      </c>
      <c r="Y109" s="8">
        <f t="shared" si="3"/>
        <v>0.92328445938110448</v>
      </c>
    </row>
    <row r="110" spans="1:25" s="6" customFormat="1" x14ac:dyDescent="0.35">
      <c r="A110" s="6" t="s">
        <v>25</v>
      </c>
      <c r="B110" s="6" t="s">
        <v>1242</v>
      </c>
      <c r="D110" s="6" t="s">
        <v>1240</v>
      </c>
      <c r="E110" s="6">
        <v>3</v>
      </c>
      <c r="F110" s="6">
        <v>34</v>
      </c>
      <c r="G110" s="6" t="s">
        <v>202</v>
      </c>
      <c r="I110" s="8">
        <v>84.533711805555598</v>
      </c>
      <c r="J110" s="8">
        <v>14.277858402777801</v>
      </c>
      <c r="K110" s="6" t="s">
        <v>29</v>
      </c>
      <c r="L110" s="6" t="s">
        <v>335</v>
      </c>
      <c r="M110" s="9">
        <v>43927</v>
      </c>
      <c r="O110" s="6">
        <v>28</v>
      </c>
      <c r="P110" s="6" t="s">
        <v>4359</v>
      </c>
      <c r="R110" s="6">
        <v>10</v>
      </c>
      <c r="S110" s="6">
        <v>10</v>
      </c>
      <c r="T110" s="6">
        <v>20</v>
      </c>
      <c r="U110" s="10">
        <f t="shared" si="2"/>
        <v>15</v>
      </c>
      <c r="V110" s="6">
        <v>3.7</v>
      </c>
      <c r="W110" s="8">
        <v>-3.2364069028854372</v>
      </c>
      <c r="X110" s="8">
        <v>-24.635982738494871</v>
      </c>
      <c r="Y110" s="8">
        <f t="shared" si="3"/>
        <v>1.2552724845886267</v>
      </c>
    </row>
    <row r="111" spans="1:25" s="6" customFormat="1" x14ac:dyDescent="0.35">
      <c r="A111" s="6" t="s">
        <v>25</v>
      </c>
      <c r="B111" s="6" t="s">
        <v>1292</v>
      </c>
      <c r="D111" s="6" t="s">
        <v>1291</v>
      </c>
      <c r="E111" s="6">
        <v>3</v>
      </c>
      <c r="F111" s="6">
        <v>35</v>
      </c>
      <c r="G111" s="6" t="s">
        <v>345</v>
      </c>
      <c r="I111" s="8">
        <v>84.322834374999999</v>
      </c>
      <c r="J111" s="8">
        <v>14.725811041666701</v>
      </c>
      <c r="K111" s="6" t="s">
        <v>29</v>
      </c>
      <c r="L111" s="6" t="s">
        <v>335</v>
      </c>
      <c r="M111" s="9">
        <v>43931</v>
      </c>
      <c r="O111" s="6">
        <v>28</v>
      </c>
      <c r="P111" s="6" t="s">
        <v>4362</v>
      </c>
      <c r="R111" s="6">
        <v>10</v>
      </c>
      <c r="S111" s="6">
        <v>10</v>
      </c>
      <c r="T111" s="6">
        <v>20</v>
      </c>
      <c r="U111" s="10">
        <f t="shared" si="2"/>
        <v>15</v>
      </c>
      <c r="V111" s="6">
        <v>3.9</v>
      </c>
      <c r="W111" s="8">
        <v>-0.29743518011867998</v>
      </c>
      <c r="X111" s="8">
        <v>-2.4941946256160734</v>
      </c>
      <c r="Y111" s="8">
        <f t="shared" si="3"/>
        <v>-0.11471318466663361</v>
      </c>
    </row>
    <row r="112" spans="1:25" s="6" customFormat="1" x14ac:dyDescent="0.35">
      <c r="A112" s="6" t="s">
        <v>25</v>
      </c>
      <c r="B112" s="7" t="s">
        <v>1356</v>
      </c>
      <c r="D112" s="6" t="s">
        <v>1357</v>
      </c>
      <c r="E112" s="6">
        <v>3</v>
      </c>
      <c r="F112" s="6">
        <v>36</v>
      </c>
      <c r="G112" s="6" t="s">
        <v>202</v>
      </c>
      <c r="I112" s="8">
        <v>84.331482986111098</v>
      </c>
      <c r="J112" s="8">
        <v>14.642671805555601</v>
      </c>
      <c r="K112" s="6" t="s">
        <v>29</v>
      </c>
      <c r="L112" s="6" t="s">
        <v>335</v>
      </c>
      <c r="M112" s="9">
        <v>43935</v>
      </c>
      <c r="O112" s="6">
        <v>29</v>
      </c>
      <c r="P112" s="6" t="s">
        <v>4332</v>
      </c>
      <c r="R112" s="10"/>
      <c r="S112" s="10">
        <v>10</v>
      </c>
      <c r="T112" s="10">
        <v>20</v>
      </c>
      <c r="U112" s="10">
        <f t="shared" si="2"/>
        <v>15</v>
      </c>
      <c r="V112" s="11">
        <v>3.1</v>
      </c>
      <c r="W112" s="8">
        <v>-2.341810216927529</v>
      </c>
      <c r="X112" s="8">
        <v>-17.849983564376831</v>
      </c>
      <c r="Y112" s="8">
        <f t="shared" si="3"/>
        <v>0.88449817104340056</v>
      </c>
    </row>
    <row r="113" spans="1:26" s="6" customFormat="1" x14ac:dyDescent="0.35">
      <c r="A113" s="6" t="s">
        <v>25</v>
      </c>
      <c r="B113" s="7" t="s">
        <v>1440</v>
      </c>
      <c r="D113" s="6" t="s">
        <v>1441</v>
      </c>
      <c r="E113" s="6">
        <v>3</v>
      </c>
      <c r="F113" s="6">
        <v>37</v>
      </c>
      <c r="G113" s="6" t="s">
        <v>28</v>
      </c>
      <c r="I113" s="8">
        <v>83.999093333333306</v>
      </c>
      <c r="J113" s="8">
        <v>15.6102103472222</v>
      </c>
      <c r="K113" s="6" t="s">
        <v>29</v>
      </c>
      <c r="L113" s="6" t="s">
        <v>335</v>
      </c>
      <c r="M113" s="9">
        <v>43946</v>
      </c>
      <c r="O113" s="6">
        <v>30</v>
      </c>
      <c r="P113" s="6" t="s">
        <v>4265</v>
      </c>
      <c r="R113" s="10"/>
      <c r="S113" s="10">
        <v>10</v>
      </c>
      <c r="T113" s="10">
        <v>20</v>
      </c>
      <c r="U113" s="10">
        <f t="shared" si="2"/>
        <v>15</v>
      </c>
      <c r="V113" s="11">
        <v>2.2000000000000002</v>
      </c>
      <c r="W113" s="8">
        <v>-2.8354619577407845</v>
      </c>
      <c r="X113" s="8">
        <v>-21.847771382904053</v>
      </c>
      <c r="Y113" s="8">
        <f t="shared" si="3"/>
        <v>0.83592427902222255</v>
      </c>
    </row>
    <row r="114" spans="1:26" s="6" customFormat="1" x14ac:dyDescent="0.35">
      <c r="A114" s="6" t="s">
        <v>25</v>
      </c>
      <c r="B114" s="7" t="s">
        <v>1484</v>
      </c>
      <c r="D114" s="6" t="s">
        <v>1485</v>
      </c>
      <c r="E114" s="6">
        <v>3</v>
      </c>
      <c r="F114" s="6">
        <v>37</v>
      </c>
      <c r="G114" s="6" t="s">
        <v>28</v>
      </c>
      <c r="I114" s="8">
        <v>83.999093333333306</v>
      </c>
      <c r="J114" s="8">
        <v>15.6102103472222</v>
      </c>
      <c r="K114" s="6" t="s">
        <v>29</v>
      </c>
      <c r="L114" s="6" t="s">
        <v>335</v>
      </c>
      <c r="M114" s="9">
        <v>43946</v>
      </c>
      <c r="O114" s="6">
        <v>30</v>
      </c>
      <c r="P114" s="6" t="s">
        <v>4265</v>
      </c>
      <c r="R114" s="10"/>
      <c r="S114" s="10">
        <v>10</v>
      </c>
      <c r="T114" s="10">
        <v>20</v>
      </c>
      <c r="U114" s="10">
        <f t="shared" si="2"/>
        <v>15</v>
      </c>
      <c r="V114" s="11">
        <v>2.6</v>
      </c>
      <c r="W114" s="8">
        <v>-2.6782417297363281</v>
      </c>
      <c r="X114" s="8">
        <v>-20.21283745765686</v>
      </c>
      <c r="Y114" s="8">
        <f t="shared" si="3"/>
        <v>1.2130963802337646</v>
      </c>
    </row>
    <row r="115" spans="1:26" s="6" customFormat="1" x14ac:dyDescent="0.35">
      <c r="A115" s="6" t="s">
        <v>25</v>
      </c>
      <c r="B115" s="7"/>
      <c r="D115" s="6" t="s">
        <v>1544</v>
      </c>
      <c r="E115" s="6">
        <v>3</v>
      </c>
      <c r="F115" s="6">
        <v>38</v>
      </c>
      <c r="G115" s="6" t="s">
        <v>202</v>
      </c>
      <c r="I115" s="8">
        <v>83.938997847222197</v>
      </c>
      <c r="J115" s="8">
        <v>15.6730686111111</v>
      </c>
      <c r="K115" s="6" t="s">
        <v>29</v>
      </c>
      <c r="L115" s="6" t="s">
        <v>335</v>
      </c>
      <c r="M115" s="9">
        <v>43948</v>
      </c>
      <c r="O115" s="6">
        <v>31</v>
      </c>
      <c r="P115" s="6" t="s">
        <v>4251</v>
      </c>
      <c r="S115" s="6">
        <v>10</v>
      </c>
      <c r="T115" s="6">
        <v>20</v>
      </c>
      <c r="U115" s="10">
        <f t="shared" si="2"/>
        <v>15</v>
      </c>
      <c r="V115" s="6">
        <v>3.7</v>
      </c>
      <c r="W115" s="8">
        <v>-0.4816280802011495</v>
      </c>
      <c r="X115" s="8">
        <v>-3.8946660369873038</v>
      </c>
      <c r="Y115" s="8">
        <f t="shared" si="3"/>
        <v>-4.1641395378107848E-2</v>
      </c>
    </row>
    <row r="116" spans="1:26" s="6" customFormat="1" x14ac:dyDescent="0.35">
      <c r="A116" s="6" t="s">
        <v>25</v>
      </c>
      <c r="B116" s="6" t="s">
        <v>1621</v>
      </c>
      <c r="D116" s="6" t="s">
        <v>1619</v>
      </c>
      <c r="E116" s="6">
        <v>3</v>
      </c>
      <c r="F116" s="6">
        <v>39</v>
      </c>
      <c r="G116" s="6" t="s">
        <v>202</v>
      </c>
      <c r="I116" s="8">
        <v>83.907985999999994</v>
      </c>
      <c r="J116" s="8">
        <v>18.352126999999999</v>
      </c>
      <c r="K116" s="6" t="s">
        <v>29</v>
      </c>
      <c r="L116" s="6" t="s">
        <v>335</v>
      </c>
      <c r="M116" s="9">
        <v>43955</v>
      </c>
      <c r="O116" s="6">
        <v>32</v>
      </c>
      <c r="P116" s="6" t="s">
        <v>4374</v>
      </c>
      <c r="R116" s="6">
        <v>10</v>
      </c>
      <c r="S116" s="6">
        <v>10</v>
      </c>
      <c r="T116" s="6">
        <v>20</v>
      </c>
      <c r="U116" s="10">
        <f t="shared" si="2"/>
        <v>15</v>
      </c>
      <c r="V116" s="6">
        <v>4</v>
      </c>
      <c r="W116" s="8">
        <v>3.7845882466994607E-2</v>
      </c>
      <c r="X116" s="8">
        <v>8.1843987442552918E-2</v>
      </c>
      <c r="Y116" s="8">
        <f t="shared" si="3"/>
        <v>-0.22092307229340394</v>
      </c>
    </row>
    <row r="117" spans="1:26" s="6" customFormat="1" x14ac:dyDescent="0.35">
      <c r="A117" s="6" t="s">
        <v>25</v>
      </c>
      <c r="B117" s="6" t="s">
        <v>1761</v>
      </c>
      <c r="D117" s="6" t="s">
        <v>1762</v>
      </c>
      <c r="E117" s="6">
        <v>4</v>
      </c>
      <c r="F117" s="6">
        <v>44</v>
      </c>
      <c r="I117" s="8">
        <v>81.975306180555606</v>
      </c>
      <c r="J117" s="8">
        <v>9.2425022222222193</v>
      </c>
      <c r="K117" s="6" t="s">
        <v>29</v>
      </c>
      <c r="L117" s="29" t="s">
        <v>335</v>
      </c>
      <c r="M117" s="9">
        <v>44004</v>
      </c>
      <c r="O117" s="6">
        <v>39</v>
      </c>
      <c r="P117" s="6" t="s">
        <v>4405</v>
      </c>
      <c r="S117" s="6">
        <v>10</v>
      </c>
      <c r="T117" s="6">
        <v>20</v>
      </c>
      <c r="U117" s="10">
        <f t="shared" si="2"/>
        <v>15</v>
      </c>
      <c r="V117" s="15">
        <v>1.3</v>
      </c>
      <c r="W117" s="8">
        <v>-3.4256785446166993</v>
      </c>
      <c r="X117" s="8">
        <v>-26.944594676971434</v>
      </c>
      <c r="Y117" s="8">
        <f t="shared" si="3"/>
        <v>0.4608336799621604</v>
      </c>
      <c r="Z117" s="6" t="s">
        <v>1760</v>
      </c>
    </row>
    <row r="118" spans="1:26" s="6" customFormat="1" x14ac:dyDescent="0.35">
      <c r="A118" s="6" t="s">
        <v>25</v>
      </c>
      <c r="B118" s="6" t="s">
        <v>1918</v>
      </c>
      <c r="D118" s="6" t="s">
        <v>1919</v>
      </c>
      <c r="E118" s="6">
        <v>4</v>
      </c>
      <c r="F118" s="6">
        <v>46</v>
      </c>
      <c r="I118" s="8">
        <v>81.685643263888906</v>
      </c>
      <c r="J118" s="8">
        <v>5.3733415277777796</v>
      </c>
      <c r="K118" s="6" t="s">
        <v>29</v>
      </c>
      <c r="L118" s="29" t="s">
        <v>335</v>
      </c>
      <c r="M118" s="9">
        <v>44018</v>
      </c>
      <c r="O118" s="6">
        <v>41</v>
      </c>
      <c r="P118" s="6" t="s">
        <v>4413</v>
      </c>
      <c r="S118" s="6">
        <v>10</v>
      </c>
      <c r="T118" s="6">
        <v>20</v>
      </c>
      <c r="U118" s="10">
        <f t="shared" si="2"/>
        <v>15</v>
      </c>
      <c r="V118" s="15">
        <v>2</v>
      </c>
      <c r="W118" s="8">
        <v>-2.1740139936685563</v>
      </c>
      <c r="X118" s="8">
        <v>-18.290887428283689</v>
      </c>
      <c r="Y118" s="8">
        <f t="shared" si="3"/>
        <v>-0.89877547893523868</v>
      </c>
      <c r="Z118" s="6" t="s">
        <v>1760</v>
      </c>
    </row>
    <row r="119" spans="1:26" s="6" customFormat="1" x14ac:dyDescent="0.35">
      <c r="A119" s="6" t="s">
        <v>25</v>
      </c>
      <c r="B119" s="6" t="s">
        <v>1950</v>
      </c>
      <c r="D119" s="6" t="s">
        <v>1951</v>
      </c>
      <c r="E119" s="6">
        <v>4</v>
      </c>
      <c r="F119" s="6">
        <v>47</v>
      </c>
      <c r="I119" s="8">
        <v>81.417819374999993</v>
      </c>
      <c r="J119" s="8">
        <v>0.28587430555555599</v>
      </c>
      <c r="K119" s="6" t="s">
        <v>29</v>
      </c>
      <c r="L119" s="29" t="s">
        <v>335</v>
      </c>
      <c r="M119" s="9">
        <v>44025</v>
      </c>
      <c r="O119" s="6">
        <v>42</v>
      </c>
      <c r="P119" s="6" t="s">
        <v>4403</v>
      </c>
      <c r="S119" s="6">
        <v>10</v>
      </c>
      <c r="T119" s="6">
        <v>20</v>
      </c>
      <c r="U119" s="10">
        <f t="shared" si="2"/>
        <v>15</v>
      </c>
      <c r="V119" s="15">
        <v>1.5</v>
      </c>
      <c r="W119" s="8">
        <v>-0.57842485755682005</v>
      </c>
      <c r="X119" s="8">
        <v>-2.9613532321453095</v>
      </c>
      <c r="Y119" s="8">
        <f t="shared" si="3"/>
        <v>1.6660456283092508</v>
      </c>
      <c r="Z119" s="6" t="s">
        <v>1760</v>
      </c>
    </row>
    <row r="120" spans="1:26" s="6" customFormat="1" x14ac:dyDescent="0.35">
      <c r="A120" s="6" t="s">
        <v>25</v>
      </c>
      <c r="B120" s="6" t="s">
        <v>2169</v>
      </c>
      <c r="D120" s="6" t="s">
        <v>2170</v>
      </c>
      <c r="E120" s="6">
        <v>4</v>
      </c>
      <c r="F120" s="6">
        <v>48</v>
      </c>
      <c r="I120" s="8">
        <v>80.754295347222197</v>
      </c>
      <c r="J120" s="8">
        <v>-0.488818958333333</v>
      </c>
      <c r="K120" s="6" t="s">
        <v>29</v>
      </c>
      <c r="L120" s="29" t="s">
        <v>335</v>
      </c>
      <c r="M120" s="9">
        <v>44032</v>
      </c>
      <c r="O120" s="6">
        <v>43</v>
      </c>
      <c r="P120" s="6" t="s">
        <v>4403</v>
      </c>
      <c r="S120" s="6">
        <v>10</v>
      </c>
      <c r="T120" s="6">
        <v>20</v>
      </c>
      <c r="U120" s="10">
        <f t="shared" si="2"/>
        <v>15</v>
      </c>
      <c r="V120" s="15">
        <v>0.9</v>
      </c>
      <c r="W120" s="8">
        <v>0.74459708676338221</v>
      </c>
      <c r="X120" s="8">
        <v>4.4602035503387452</v>
      </c>
      <c r="Y120" s="8">
        <f t="shared" si="3"/>
        <v>-1.4965731437683125</v>
      </c>
      <c r="Z120" s="6" t="s">
        <v>1760</v>
      </c>
    </row>
    <row r="121" spans="1:26" s="6" customFormat="1" x14ac:dyDescent="0.35">
      <c r="A121" s="6" t="s">
        <v>25</v>
      </c>
      <c r="B121" s="6" t="s">
        <v>2260</v>
      </c>
      <c r="D121" s="6" t="s">
        <v>2261</v>
      </c>
      <c r="E121" s="6">
        <v>4</v>
      </c>
      <c r="F121" s="6">
        <v>49</v>
      </c>
      <c r="I121" s="8">
        <v>79.191449375000005</v>
      </c>
      <c r="J121" s="8">
        <v>-2.6081078472222199</v>
      </c>
      <c r="K121" s="6" t="s">
        <v>29</v>
      </c>
      <c r="L121" s="29" t="s">
        <v>335</v>
      </c>
      <c r="M121" s="9">
        <v>44041</v>
      </c>
      <c r="O121" s="6">
        <v>44</v>
      </c>
      <c r="P121" s="6" t="s">
        <v>4421</v>
      </c>
      <c r="S121" s="6">
        <v>10</v>
      </c>
      <c r="T121" s="6">
        <v>20</v>
      </c>
      <c r="U121" s="10">
        <f t="shared" si="2"/>
        <v>15</v>
      </c>
      <c r="V121" s="15">
        <v>1.5</v>
      </c>
      <c r="W121" s="8">
        <v>0.81097364822626139</v>
      </c>
      <c r="X121" s="8">
        <v>6.3867610257148737</v>
      </c>
      <c r="Y121" s="8">
        <f t="shared" si="3"/>
        <v>-0.10102816009521742</v>
      </c>
      <c r="Z121" s="6" t="s">
        <v>1760</v>
      </c>
    </row>
    <row r="122" spans="1:26" s="6" customFormat="1" x14ac:dyDescent="0.35">
      <c r="A122" s="6" t="s">
        <v>25</v>
      </c>
      <c r="B122" s="6" t="s">
        <v>2311</v>
      </c>
      <c r="D122" s="6" t="s">
        <v>2312</v>
      </c>
      <c r="E122" s="6">
        <v>5</v>
      </c>
      <c r="F122" s="6">
        <v>59</v>
      </c>
      <c r="I122" s="8">
        <v>88.299658402777794</v>
      </c>
      <c r="J122" s="8">
        <v>114.11509069444401</v>
      </c>
      <c r="K122" s="6" t="s">
        <v>29</v>
      </c>
      <c r="L122" s="29" t="s">
        <v>335</v>
      </c>
      <c r="M122" s="9">
        <v>44074</v>
      </c>
      <c r="O122" s="6">
        <v>50</v>
      </c>
      <c r="P122" s="6" t="s">
        <v>4396</v>
      </c>
      <c r="S122" s="6">
        <v>10</v>
      </c>
      <c r="T122" s="6">
        <v>20</v>
      </c>
      <c r="U122" s="10">
        <f t="shared" si="2"/>
        <v>15</v>
      </c>
      <c r="V122" s="15">
        <v>2.6</v>
      </c>
      <c r="W122" s="8">
        <v>0.71434338593483027</v>
      </c>
      <c r="X122" s="8">
        <v>5.8991903224945066</v>
      </c>
      <c r="Y122" s="8">
        <f t="shared" si="3"/>
        <v>0.18444323501586446</v>
      </c>
      <c r="Z122" s="6" t="s">
        <v>1760</v>
      </c>
    </row>
    <row r="123" spans="1:26" s="6" customFormat="1" x14ac:dyDescent="0.35">
      <c r="A123" s="6" t="s">
        <v>25</v>
      </c>
      <c r="B123" s="6" t="s">
        <v>2378</v>
      </c>
      <c r="D123" s="6" t="s">
        <v>2379</v>
      </c>
      <c r="E123" s="6">
        <v>5</v>
      </c>
      <c r="F123" s="6">
        <v>61</v>
      </c>
      <c r="I123" s="8">
        <v>88.700402291666705</v>
      </c>
      <c r="J123" s="8">
        <v>111.973632708333</v>
      </c>
      <c r="K123" s="6" t="s">
        <v>29</v>
      </c>
      <c r="L123" s="29" t="s">
        <v>335</v>
      </c>
      <c r="M123" s="9">
        <v>44081</v>
      </c>
      <c r="O123" s="6">
        <v>51</v>
      </c>
      <c r="P123" s="6" t="s">
        <v>4434</v>
      </c>
      <c r="S123" s="6">
        <v>10</v>
      </c>
      <c r="T123" s="6">
        <v>20</v>
      </c>
      <c r="U123" s="10">
        <f t="shared" si="2"/>
        <v>15</v>
      </c>
      <c r="V123" s="15">
        <v>0.3</v>
      </c>
      <c r="W123" s="8">
        <v>-2.9547320716083243E-2</v>
      </c>
      <c r="X123" s="8">
        <v>-0.60888550018370147</v>
      </c>
      <c r="Y123" s="8">
        <f t="shared" si="3"/>
        <v>-0.37250693445503552</v>
      </c>
      <c r="Z123" s="6" t="s">
        <v>1760</v>
      </c>
    </row>
    <row r="124" spans="1:26" s="6" customFormat="1" x14ac:dyDescent="0.35">
      <c r="A124" s="6" t="s">
        <v>25</v>
      </c>
      <c r="B124" s="7"/>
      <c r="C124" s="6">
        <v>510216</v>
      </c>
      <c r="D124" s="6" t="s">
        <v>201</v>
      </c>
      <c r="E124" s="6">
        <v>1</v>
      </c>
      <c r="F124" s="6">
        <v>5</v>
      </c>
      <c r="G124" s="6" t="s">
        <v>202</v>
      </c>
      <c r="H124" s="6">
        <v>9</v>
      </c>
      <c r="I124" s="8">
        <v>85.587483888888897</v>
      </c>
      <c r="J124" s="8">
        <v>126.139427777778</v>
      </c>
      <c r="K124" s="6" t="s">
        <v>29</v>
      </c>
      <c r="L124" s="6" t="s">
        <v>335</v>
      </c>
      <c r="M124" s="9">
        <v>43766</v>
      </c>
      <c r="O124" s="6">
        <v>5</v>
      </c>
      <c r="P124" s="6" t="s">
        <v>4251</v>
      </c>
      <c r="R124" s="6" t="s">
        <v>208</v>
      </c>
      <c r="S124" s="6">
        <v>10</v>
      </c>
      <c r="T124" s="6">
        <v>20.7</v>
      </c>
      <c r="U124" s="10">
        <f t="shared" si="2"/>
        <v>15.35</v>
      </c>
      <c r="V124" s="6">
        <v>6.8</v>
      </c>
      <c r="W124" s="8">
        <v>-0.76919455982446683</v>
      </c>
      <c r="X124" s="8">
        <v>-5.3860452894002195</v>
      </c>
      <c r="Y124" s="8">
        <f t="shared" si="3"/>
        <v>0.76751118919551509</v>
      </c>
    </row>
    <row r="125" spans="1:26" s="6" customFormat="1" x14ac:dyDescent="0.35">
      <c r="A125" s="6" t="s">
        <v>25</v>
      </c>
      <c r="B125" s="6" t="s">
        <v>2486</v>
      </c>
      <c r="D125" s="6" t="s">
        <v>2487</v>
      </c>
      <c r="E125" s="6">
        <v>5</v>
      </c>
      <c r="F125" s="6">
        <v>61</v>
      </c>
      <c r="I125" s="8">
        <v>89.023700416666699</v>
      </c>
      <c r="J125" s="8">
        <v>102.473466597222</v>
      </c>
      <c r="K125" s="6" t="s">
        <v>29</v>
      </c>
      <c r="L125" s="29" t="s">
        <v>335</v>
      </c>
      <c r="M125" s="9">
        <v>44088</v>
      </c>
      <c r="O125" s="6">
        <v>52</v>
      </c>
      <c r="P125" s="6" t="s">
        <v>4394</v>
      </c>
      <c r="S125" s="6">
        <v>10.5</v>
      </c>
      <c r="T125" s="6">
        <v>21</v>
      </c>
      <c r="U125" s="10">
        <f t="shared" si="2"/>
        <v>15.75</v>
      </c>
      <c r="V125" s="15">
        <v>0</v>
      </c>
      <c r="W125" s="8">
        <v>-1.0214502492427828</v>
      </c>
      <c r="X125" s="8">
        <v>-7.1310679492950442</v>
      </c>
      <c r="Y125" s="8">
        <f t="shared" si="3"/>
        <v>1.0405340446472184</v>
      </c>
      <c r="Z125" s="6" t="s">
        <v>1760</v>
      </c>
    </row>
    <row r="126" spans="1:26" s="6" customFormat="1" x14ac:dyDescent="0.35">
      <c r="A126" s="6" t="s">
        <v>25</v>
      </c>
      <c r="B126" s="6" t="s">
        <v>93</v>
      </c>
      <c r="C126" s="6">
        <v>510058</v>
      </c>
      <c r="D126" s="6" t="s">
        <v>92</v>
      </c>
      <c r="E126" s="6">
        <v>1</v>
      </c>
      <c r="F126" s="6">
        <v>2</v>
      </c>
      <c r="G126" s="6" t="s">
        <v>63</v>
      </c>
      <c r="I126" s="8">
        <v>84.770107638888902</v>
      </c>
      <c r="J126" s="8">
        <v>134.47681993055599</v>
      </c>
      <c r="K126" s="6" t="s">
        <v>29</v>
      </c>
      <c r="L126" s="6" t="s">
        <v>335</v>
      </c>
      <c r="M126" s="9">
        <v>43752</v>
      </c>
      <c r="O126" s="6">
        <v>3</v>
      </c>
      <c r="P126" s="6" t="s">
        <v>4246</v>
      </c>
      <c r="R126" s="6" t="s">
        <v>94</v>
      </c>
      <c r="S126" s="6">
        <v>10</v>
      </c>
      <c r="T126" s="6">
        <v>23</v>
      </c>
      <c r="U126" s="10">
        <f t="shared" si="2"/>
        <v>16.5</v>
      </c>
      <c r="V126" s="6">
        <v>6.4</v>
      </c>
      <c r="W126" s="8">
        <v>-0.25590915355682381</v>
      </c>
      <c r="X126" s="8">
        <v>-1.3738763601779942</v>
      </c>
      <c r="Y126" s="8">
        <f t="shared" si="3"/>
        <v>0.67339686827659628</v>
      </c>
    </row>
    <row r="127" spans="1:26" s="6" customFormat="1" x14ac:dyDescent="0.35">
      <c r="A127" s="6" t="s">
        <v>25</v>
      </c>
      <c r="B127" s="7" t="s">
        <v>257</v>
      </c>
      <c r="D127" s="6" t="s">
        <v>258</v>
      </c>
      <c r="E127" s="6">
        <v>1</v>
      </c>
      <c r="F127" s="6">
        <v>5</v>
      </c>
      <c r="G127" s="6" t="s">
        <v>179</v>
      </c>
      <c r="I127" s="8">
        <v>85.859204791666698</v>
      </c>
      <c r="J127" s="8">
        <v>122.400430694444</v>
      </c>
      <c r="K127" s="7" t="s">
        <v>29</v>
      </c>
      <c r="L127" s="6" t="s">
        <v>335</v>
      </c>
      <c r="M127" s="9">
        <v>43771</v>
      </c>
      <c r="O127" s="6">
        <v>5</v>
      </c>
      <c r="P127" s="6" t="s">
        <v>4254</v>
      </c>
      <c r="R127" s="10"/>
      <c r="S127" s="10">
        <v>11</v>
      </c>
      <c r="T127" s="10">
        <v>22</v>
      </c>
      <c r="U127" s="10">
        <f t="shared" si="2"/>
        <v>16.5</v>
      </c>
      <c r="W127" s="8">
        <v>-4.2497204811096188</v>
      </c>
      <c r="X127" s="8">
        <v>-33.233796691894533</v>
      </c>
      <c r="Y127" s="8">
        <f t="shared" si="3"/>
        <v>0.76396715698241735</v>
      </c>
    </row>
    <row r="128" spans="1:26" s="6" customFormat="1" x14ac:dyDescent="0.35">
      <c r="A128" s="6" t="s">
        <v>25</v>
      </c>
      <c r="B128" s="7" t="s">
        <v>1690</v>
      </c>
      <c r="D128" s="6" t="s">
        <v>1691</v>
      </c>
      <c r="E128" s="6">
        <v>4</v>
      </c>
      <c r="F128" s="6">
        <v>44</v>
      </c>
      <c r="G128" s="6" t="s">
        <v>335</v>
      </c>
      <c r="I128" s="8">
        <v>81.975306180555606</v>
      </c>
      <c r="J128" s="8">
        <v>9.2425022222222193</v>
      </c>
      <c r="K128" s="6" t="s">
        <v>29</v>
      </c>
      <c r="L128" s="6" t="s">
        <v>335</v>
      </c>
      <c r="M128" s="9">
        <v>44004</v>
      </c>
      <c r="O128" s="6">
        <v>39</v>
      </c>
      <c r="P128" s="6" t="s">
        <v>4405</v>
      </c>
      <c r="R128" s="10" t="s">
        <v>1692</v>
      </c>
      <c r="S128" s="10">
        <v>15</v>
      </c>
      <c r="T128" s="10">
        <v>20</v>
      </c>
      <c r="U128" s="10">
        <f t="shared" si="2"/>
        <v>17.5</v>
      </c>
      <c r="V128" s="11"/>
      <c r="W128" s="8">
        <v>-1.1199455971845982</v>
      </c>
      <c r="X128" s="8">
        <v>-8.9774748077392577</v>
      </c>
      <c r="Y128" s="8">
        <f t="shared" si="3"/>
        <v>-1.7910030262472176E-2</v>
      </c>
    </row>
    <row r="129" spans="1:25" s="6" customFormat="1" x14ac:dyDescent="0.35">
      <c r="A129" s="6" t="s">
        <v>25</v>
      </c>
      <c r="B129" s="6" t="s">
        <v>74</v>
      </c>
      <c r="C129" s="6">
        <v>510040</v>
      </c>
      <c r="D129" s="6" t="s">
        <v>72</v>
      </c>
      <c r="E129" s="6">
        <v>1</v>
      </c>
      <c r="F129" s="6">
        <v>2</v>
      </c>
      <c r="G129" s="6" t="s">
        <v>63</v>
      </c>
      <c r="I129" s="8">
        <v>84.770107638888902</v>
      </c>
      <c r="J129" s="8">
        <v>134.47681993055599</v>
      </c>
      <c r="K129" s="6" t="s">
        <v>29</v>
      </c>
      <c r="L129" s="6" t="s">
        <v>335</v>
      </c>
      <c r="M129" s="9">
        <v>43752</v>
      </c>
      <c r="O129" s="6">
        <v>3</v>
      </c>
      <c r="P129" s="6" t="s">
        <v>4246</v>
      </c>
      <c r="R129" s="6" t="s">
        <v>75</v>
      </c>
      <c r="S129" s="6">
        <v>12</v>
      </c>
      <c r="T129" s="6">
        <v>24</v>
      </c>
      <c r="U129" s="10">
        <f t="shared" si="2"/>
        <v>18</v>
      </c>
      <c r="V129" s="6">
        <v>7.7</v>
      </c>
      <c r="W129" s="8">
        <v>0.89336090308427851</v>
      </c>
      <c r="X129" s="8">
        <v>7.4504221601486202</v>
      </c>
      <c r="Y129" s="8">
        <f t="shared" si="3"/>
        <v>0.30353493547439214</v>
      </c>
    </row>
    <row r="130" spans="1:25" s="6" customFormat="1" x14ac:dyDescent="0.35">
      <c r="A130" s="6" t="s">
        <v>25</v>
      </c>
      <c r="B130" s="6" t="s">
        <v>79</v>
      </c>
      <c r="C130" s="6">
        <v>510042</v>
      </c>
      <c r="D130" s="6" t="s">
        <v>77</v>
      </c>
      <c r="E130" s="6">
        <v>1</v>
      </c>
      <c r="F130" s="6">
        <v>2</v>
      </c>
      <c r="G130" s="6" t="s">
        <v>63</v>
      </c>
      <c r="I130" s="8">
        <v>84.770107638888902</v>
      </c>
      <c r="J130" s="8">
        <v>134.47681993055599</v>
      </c>
      <c r="K130" s="6" t="s">
        <v>29</v>
      </c>
      <c r="L130" s="6" t="s">
        <v>335</v>
      </c>
      <c r="M130" s="9">
        <v>43752</v>
      </c>
      <c r="O130" s="6">
        <v>3</v>
      </c>
      <c r="P130" s="6" t="s">
        <v>4246</v>
      </c>
      <c r="R130" s="6" t="s">
        <v>80</v>
      </c>
      <c r="S130" s="6">
        <v>13.5</v>
      </c>
      <c r="T130" s="6">
        <v>24</v>
      </c>
      <c r="U130" s="10">
        <f t="shared" ref="U130:U193" si="4">AVERAGE(S130:T130)</f>
        <v>18.75</v>
      </c>
      <c r="V130" s="6">
        <v>0.1</v>
      </c>
      <c r="W130" s="8">
        <v>-2.2214837377071377</v>
      </c>
      <c r="X130" s="8">
        <v>-16.518616230010988</v>
      </c>
      <c r="Y130" s="8">
        <f t="shared" ref="Y130:Y193" si="5">X130-(8*W130)</f>
        <v>1.2532536716461138</v>
      </c>
    </row>
    <row r="131" spans="1:25" s="6" customFormat="1" x14ac:dyDescent="0.35">
      <c r="A131" s="6" t="s">
        <v>25</v>
      </c>
      <c r="B131" s="7"/>
      <c r="C131" s="6">
        <v>510532</v>
      </c>
      <c r="D131" s="6" t="s">
        <v>409</v>
      </c>
      <c r="E131" s="6">
        <v>1</v>
      </c>
      <c r="F131" s="6">
        <v>7</v>
      </c>
      <c r="G131" s="6" t="s">
        <v>345</v>
      </c>
      <c r="H131" s="6">
        <v>10</v>
      </c>
      <c r="I131" s="8">
        <v>86.116053611111099</v>
      </c>
      <c r="J131" s="8">
        <v>117.978438125</v>
      </c>
      <c r="K131" s="6" t="s">
        <v>29</v>
      </c>
      <c r="L131" s="6" t="s">
        <v>335</v>
      </c>
      <c r="M131" s="9">
        <v>43782</v>
      </c>
      <c r="O131" s="6">
        <v>7</v>
      </c>
      <c r="P131" s="6" t="s">
        <v>4254</v>
      </c>
      <c r="R131" s="6" t="s">
        <v>411</v>
      </c>
      <c r="S131" s="6">
        <v>15</v>
      </c>
      <c r="T131" s="6">
        <v>30</v>
      </c>
      <c r="U131" s="10">
        <f t="shared" si="4"/>
        <v>22.5</v>
      </c>
      <c r="V131" s="6">
        <v>1.8</v>
      </c>
      <c r="W131" s="8">
        <v>-2.742843749427796</v>
      </c>
      <c r="X131" s="8">
        <v>-20.65143934421539</v>
      </c>
      <c r="Y131" s="8">
        <f t="shared" si="5"/>
        <v>1.2913106512069774</v>
      </c>
    </row>
    <row r="132" spans="1:25" s="6" customFormat="1" x14ac:dyDescent="0.35">
      <c r="A132" s="6" t="s">
        <v>25</v>
      </c>
      <c r="B132" s="7" t="s">
        <v>499</v>
      </c>
      <c r="C132" s="6">
        <v>510679</v>
      </c>
      <c r="D132" s="6" t="s">
        <v>500</v>
      </c>
      <c r="E132" s="6">
        <v>1</v>
      </c>
      <c r="F132" s="6">
        <v>8</v>
      </c>
      <c r="G132" s="6" t="s">
        <v>179</v>
      </c>
      <c r="I132" s="8">
        <v>85.788680208333304</v>
      </c>
      <c r="J132" s="8">
        <v>120.807478194444</v>
      </c>
      <c r="K132" s="6" t="s">
        <v>29</v>
      </c>
      <c r="L132" s="6" t="s">
        <v>335</v>
      </c>
      <c r="M132" s="9">
        <v>43788</v>
      </c>
      <c r="O132" s="6">
        <v>8</v>
      </c>
      <c r="P132" s="6" t="s">
        <v>4264</v>
      </c>
      <c r="Q132" s="8">
        <v>-4.833333333333333</v>
      </c>
      <c r="R132" s="10" t="s">
        <v>501</v>
      </c>
      <c r="S132" s="10">
        <v>17.5</v>
      </c>
      <c r="T132" s="10">
        <v>27.5</v>
      </c>
      <c r="U132" s="10">
        <f t="shared" si="4"/>
        <v>22.5</v>
      </c>
      <c r="V132" s="6">
        <v>5.0999999999999996</v>
      </c>
      <c r="W132" s="8">
        <v>0.32871546478652947</v>
      </c>
      <c r="X132" s="8">
        <v>2.9548660347251889</v>
      </c>
      <c r="Y132" s="8">
        <f t="shared" si="5"/>
        <v>0.32514231643295322</v>
      </c>
    </row>
    <row r="133" spans="1:25" s="6" customFormat="1" x14ac:dyDescent="0.35">
      <c r="A133" s="6" t="s">
        <v>25</v>
      </c>
      <c r="B133" s="7" t="s">
        <v>1693</v>
      </c>
      <c r="D133" s="6" t="s">
        <v>1694</v>
      </c>
      <c r="E133" s="6">
        <v>4</v>
      </c>
      <c r="F133" s="6">
        <v>44</v>
      </c>
      <c r="G133" s="6" t="s">
        <v>335</v>
      </c>
      <c r="I133" s="8">
        <v>81.975306180555606</v>
      </c>
      <c r="J133" s="8">
        <v>9.2425022222222193</v>
      </c>
      <c r="K133" s="6" t="s">
        <v>29</v>
      </c>
      <c r="L133" s="6" t="s">
        <v>335</v>
      </c>
      <c r="M133" s="9">
        <v>44004</v>
      </c>
      <c r="O133" s="6">
        <v>39</v>
      </c>
      <c r="P133" s="6" t="s">
        <v>4405</v>
      </c>
      <c r="R133" s="10" t="s">
        <v>1695</v>
      </c>
      <c r="S133" s="10">
        <v>20</v>
      </c>
      <c r="T133" s="10">
        <v>25</v>
      </c>
      <c r="U133" s="10">
        <f t="shared" si="4"/>
        <v>22.5</v>
      </c>
      <c r="V133" s="11"/>
      <c r="W133" s="8">
        <v>0.18905619133472429</v>
      </c>
      <c r="X133" s="8">
        <v>-0.41625156855583234</v>
      </c>
      <c r="Y133" s="8">
        <f t="shared" si="5"/>
        <v>-1.9287010992336266</v>
      </c>
    </row>
    <row r="134" spans="1:25" s="6" customFormat="1" x14ac:dyDescent="0.35">
      <c r="A134" s="6" t="s">
        <v>25</v>
      </c>
      <c r="B134" s="7" t="s">
        <v>2229</v>
      </c>
      <c r="D134" s="6" t="s">
        <v>2230</v>
      </c>
      <c r="E134" s="6">
        <v>4</v>
      </c>
      <c r="F134" s="6">
        <v>49</v>
      </c>
      <c r="G134" s="6" t="s">
        <v>335</v>
      </c>
      <c r="I134" s="8">
        <v>79.191449375000005</v>
      </c>
      <c r="J134" s="8">
        <v>-2.6081078472222199</v>
      </c>
      <c r="K134" s="6" t="s">
        <v>29</v>
      </c>
      <c r="L134" s="6" t="s">
        <v>335</v>
      </c>
      <c r="M134" s="9">
        <v>44041</v>
      </c>
      <c r="O134" s="6">
        <v>44</v>
      </c>
      <c r="P134" s="6" t="s">
        <v>4421</v>
      </c>
      <c r="R134" s="10" t="s">
        <v>1999</v>
      </c>
      <c r="S134" s="10">
        <v>20</v>
      </c>
      <c r="T134" s="10">
        <v>25</v>
      </c>
      <c r="U134" s="10">
        <f t="shared" si="4"/>
        <v>22.5</v>
      </c>
      <c r="V134" s="11"/>
      <c r="W134" s="8">
        <v>0.41690907028913543</v>
      </c>
      <c r="X134" s="8">
        <v>3.6868773659706116</v>
      </c>
      <c r="Y134" s="8">
        <f t="shared" si="5"/>
        <v>0.35160480365752811</v>
      </c>
    </row>
    <row r="135" spans="1:25" s="6" customFormat="1" x14ac:dyDescent="0.35">
      <c r="A135" s="6" t="s">
        <v>25</v>
      </c>
      <c r="B135" s="7" t="s">
        <v>246</v>
      </c>
      <c r="C135" s="6">
        <v>510283</v>
      </c>
      <c r="D135" s="6" t="s">
        <v>247</v>
      </c>
      <c r="E135" s="6">
        <v>1</v>
      </c>
      <c r="F135" s="6">
        <v>5</v>
      </c>
      <c r="G135" s="6" t="s">
        <v>179</v>
      </c>
      <c r="I135" s="8">
        <v>85.726575763888903</v>
      </c>
      <c r="J135" s="8">
        <v>124.264683611111</v>
      </c>
      <c r="K135" s="6" t="s">
        <v>29</v>
      </c>
      <c r="L135" s="6" t="s">
        <v>335</v>
      </c>
      <c r="M135" s="9">
        <v>43768</v>
      </c>
      <c r="O135" s="6">
        <v>5</v>
      </c>
      <c r="P135" s="6" t="s">
        <v>4252</v>
      </c>
      <c r="Q135" s="6">
        <v>-3.32</v>
      </c>
      <c r="R135" s="10"/>
      <c r="S135" s="10">
        <v>20</v>
      </c>
      <c r="T135" s="10">
        <v>29</v>
      </c>
      <c r="U135" s="10">
        <f t="shared" si="4"/>
        <v>24.5</v>
      </c>
      <c r="V135" s="6">
        <v>5.6</v>
      </c>
      <c r="W135" s="8">
        <v>1.0664392119169235</v>
      </c>
      <c r="X135" s="8">
        <v>9.7478967189788825</v>
      </c>
      <c r="Y135" s="8">
        <f t="shared" si="5"/>
        <v>1.2163830236434947</v>
      </c>
    </row>
    <row r="136" spans="1:25" s="6" customFormat="1" x14ac:dyDescent="0.35">
      <c r="A136" s="6" t="s">
        <v>25</v>
      </c>
      <c r="B136" s="7" t="s">
        <v>40</v>
      </c>
      <c r="D136" s="6" t="s">
        <v>41</v>
      </c>
      <c r="E136" s="6">
        <v>1</v>
      </c>
      <c r="F136" s="6">
        <v>1</v>
      </c>
      <c r="G136" s="6" t="s">
        <v>28</v>
      </c>
      <c r="I136" s="8">
        <v>85.144790624999999</v>
      </c>
      <c r="J136" s="8">
        <v>133.79209895833301</v>
      </c>
      <c r="K136" s="6" t="s">
        <v>29</v>
      </c>
      <c r="L136" s="6" t="s">
        <v>335</v>
      </c>
      <c r="M136" s="9">
        <v>43741</v>
      </c>
      <c r="O136" s="6">
        <v>1</v>
      </c>
      <c r="P136" s="6" t="s">
        <v>4242</v>
      </c>
      <c r="R136" s="10"/>
      <c r="S136" s="10">
        <v>20</v>
      </c>
      <c r="T136" s="10">
        <v>30</v>
      </c>
      <c r="U136" s="10">
        <f t="shared" si="4"/>
        <v>25</v>
      </c>
      <c r="V136" s="30"/>
      <c r="W136" s="8">
        <v>-2.7815372943878178</v>
      </c>
      <c r="X136" s="8">
        <v>-20.388182525634765</v>
      </c>
      <c r="Y136" s="8">
        <f t="shared" si="5"/>
        <v>1.864115829467778</v>
      </c>
    </row>
    <row r="137" spans="1:25" s="6" customFormat="1" x14ac:dyDescent="0.35">
      <c r="A137" s="6" t="s">
        <v>25</v>
      </c>
      <c r="B137" s="6" t="s">
        <v>52</v>
      </c>
      <c r="D137" s="6" t="s">
        <v>49</v>
      </c>
      <c r="E137" s="6">
        <v>1</v>
      </c>
      <c r="F137" s="6">
        <v>1</v>
      </c>
      <c r="G137" s="6" t="s">
        <v>4466</v>
      </c>
      <c r="I137" s="8">
        <v>84.908087777777794</v>
      </c>
      <c r="J137" s="8">
        <v>135.908380208333</v>
      </c>
      <c r="K137" s="6" t="s">
        <v>29</v>
      </c>
      <c r="L137" s="6" t="s">
        <v>335</v>
      </c>
      <c r="M137" s="9">
        <v>43747</v>
      </c>
      <c r="O137" s="6">
        <v>2</v>
      </c>
      <c r="P137" s="6" t="s">
        <v>4244</v>
      </c>
      <c r="R137" s="6">
        <v>20</v>
      </c>
      <c r="S137" s="6">
        <v>20</v>
      </c>
      <c r="T137" s="6">
        <v>30</v>
      </c>
      <c r="U137" s="10">
        <f t="shared" si="4"/>
        <v>25</v>
      </c>
      <c r="V137" s="30"/>
      <c r="W137" s="8">
        <v>-0.47649671385884274</v>
      </c>
      <c r="X137" s="8">
        <v>-2.9242799670219419</v>
      </c>
      <c r="Y137" s="8">
        <f t="shared" si="5"/>
        <v>0.88769374384879995</v>
      </c>
    </row>
    <row r="138" spans="1:25" s="6" customFormat="1" x14ac:dyDescent="0.35">
      <c r="A138" s="6" t="s">
        <v>25</v>
      </c>
      <c r="B138" s="6" t="s">
        <v>110</v>
      </c>
      <c r="C138" s="6">
        <v>510087</v>
      </c>
      <c r="D138" s="6" t="s">
        <v>106</v>
      </c>
      <c r="E138" s="6">
        <v>1</v>
      </c>
      <c r="F138" s="6">
        <v>2</v>
      </c>
      <c r="G138" s="6" t="s">
        <v>107</v>
      </c>
      <c r="I138" s="8">
        <v>84.8243581944444</v>
      </c>
      <c r="J138" s="8">
        <v>133.1380825</v>
      </c>
      <c r="K138" s="6" t="s">
        <v>29</v>
      </c>
      <c r="L138" s="6" t="s">
        <v>335</v>
      </c>
      <c r="M138" s="9">
        <v>43756</v>
      </c>
      <c r="O138" s="6">
        <v>3</v>
      </c>
      <c r="P138" s="6" t="s">
        <v>4247</v>
      </c>
      <c r="R138" s="6" t="s">
        <v>111</v>
      </c>
      <c r="S138" s="6">
        <v>20</v>
      </c>
      <c r="T138" s="6">
        <v>30</v>
      </c>
      <c r="U138" s="10">
        <f t="shared" si="4"/>
        <v>25</v>
      </c>
      <c r="V138" s="6">
        <v>5.4</v>
      </c>
      <c r="W138" s="8">
        <v>-1.215491469955444</v>
      </c>
      <c r="X138" s="8">
        <v>-9.1255166225433353</v>
      </c>
      <c r="Y138" s="8">
        <f t="shared" si="5"/>
        <v>0.59841513710021665</v>
      </c>
    </row>
    <row r="139" spans="1:25" s="6" customFormat="1" x14ac:dyDescent="0.35">
      <c r="A139" s="6" t="s">
        <v>25</v>
      </c>
      <c r="B139" s="6" t="s">
        <v>117</v>
      </c>
      <c r="C139" s="6">
        <v>510091</v>
      </c>
      <c r="D139" s="6" t="s">
        <v>115</v>
      </c>
      <c r="E139" s="6">
        <v>1</v>
      </c>
      <c r="F139" s="6">
        <v>2</v>
      </c>
      <c r="G139" s="6" t="s">
        <v>107</v>
      </c>
      <c r="I139" s="8">
        <v>84.8243581944444</v>
      </c>
      <c r="J139" s="8">
        <v>133.1380825</v>
      </c>
      <c r="K139" s="6" t="s">
        <v>29</v>
      </c>
      <c r="L139" s="6" t="s">
        <v>335</v>
      </c>
      <c r="M139" s="9">
        <v>43756</v>
      </c>
      <c r="O139" s="6">
        <v>3</v>
      </c>
      <c r="P139" s="6" t="s">
        <v>4247</v>
      </c>
      <c r="R139" s="6" t="s">
        <v>111</v>
      </c>
      <c r="S139" s="6">
        <v>20</v>
      </c>
      <c r="T139" s="6">
        <v>30</v>
      </c>
      <c r="U139" s="10">
        <f t="shared" si="4"/>
        <v>25</v>
      </c>
      <c r="V139" s="6">
        <v>6.2</v>
      </c>
      <c r="W139" s="8">
        <v>-0.77248126373290993</v>
      </c>
      <c r="X139" s="8">
        <v>-5.492679805755615</v>
      </c>
      <c r="Y139" s="8">
        <f t="shared" si="5"/>
        <v>0.68717030410766444</v>
      </c>
    </row>
    <row r="140" spans="1:25" s="6" customFormat="1" x14ac:dyDescent="0.35">
      <c r="A140" s="6" t="s">
        <v>25</v>
      </c>
      <c r="B140" s="6" t="s">
        <v>145</v>
      </c>
      <c r="C140" s="6">
        <v>510115</v>
      </c>
      <c r="D140" s="6" t="s">
        <v>130</v>
      </c>
      <c r="E140" s="6">
        <v>1</v>
      </c>
      <c r="F140" s="6">
        <v>2</v>
      </c>
      <c r="G140" s="6" t="s">
        <v>107</v>
      </c>
      <c r="I140" s="8">
        <v>84.8243581944444</v>
      </c>
      <c r="J140" s="8">
        <v>133.1380825</v>
      </c>
      <c r="K140" s="6" t="s">
        <v>29</v>
      </c>
      <c r="L140" s="6" t="s">
        <v>335</v>
      </c>
      <c r="M140" s="9">
        <v>43756</v>
      </c>
      <c r="O140" s="6">
        <v>3</v>
      </c>
      <c r="P140" s="6" t="s">
        <v>4247</v>
      </c>
      <c r="R140" s="6" t="s">
        <v>146</v>
      </c>
      <c r="S140" s="6">
        <v>20</v>
      </c>
      <c r="T140" s="6">
        <v>30</v>
      </c>
      <c r="U140" s="10">
        <f t="shared" si="4"/>
        <v>25</v>
      </c>
      <c r="V140" s="6">
        <v>6.4</v>
      </c>
      <c r="W140" s="8">
        <v>-0.83052235064208513</v>
      </c>
      <c r="X140" s="8">
        <v>-7.5035937858581541</v>
      </c>
      <c r="Y140" s="8">
        <f t="shared" si="5"/>
        <v>-0.85941498072147304</v>
      </c>
    </row>
    <row r="141" spans="1:25" s="6" customFormat="1" x14ac:dyDescent="0.35">
      <c r="A141" s="6" t="s">
        <v>25</v>
      </c>
      <c r="B141" s="6" t="s">
        <v>155</v>
      </c>
      <c r="C141" s="6">
        <v>510155</v>
      </c>
      <c r="D141" s="6" t="s">
        <v>152</v>
      </c>
      <c r="E141" s="6">
        <v>1</v>
      </c>
      <c r="F141" s="6">
        <v>3</v>
      </c>
      <c r="G141" s="6" t="s">
        <v>153</v>
      </c>
      <c r="I141" s="8">
        <v>85.348898888888897</v>
      </c>
      <c r="J141" s="8">
        <v>129.88336361111101</v>
      </c>
      <c r="K141" s="6" t="s">
        <v>29</v>
      </c>
      <c r="L141" s="6" t="s">
        <v>335</v>
      </c>
      <c r="M141" s="9">
        <v>43761</v>
      </c>
      <c r="O141" s="6">
        <v>4</v>
      </c>
      <c r="P141" s="6" t="s">
        <v>4248</v>
      </c>
      <c r="R141" s="6" t="s">
        <v>146</v>
      </c>
      <c r="S141" s="6">
        <v>20</v>
      </c>
      <c r="T141" s="6">
        <v>30</v>
      </c>
      <c r="U141" s="10">
        <f t="shared" si="4"/>
        <v>25</v>
      </c>
      <c r="V141" s="6">
        <v>2.2999999999999998</v>
      </c>
      <c r="W141" s="8">
        <v>-1.8384587564468386</v>
      </c>
      <c r="X141" s="8">
        <v>-13.702341223716736</v>
      </c>
      <c r="Y141" s="8">
        <f t="shared" si="5"/>
        <v>1.0053288278579728</v>
      </c>
    </row>
    <row r="142" spans="1:25" s="6" customFormat="1" x14ac:dyDescent="0.35">
      <c r="A142" s="6" t="s">
        <v>25</v>
      </c>
      <c r="B142" s="7"/>
      <c r="C142" s="6">
        <v>510169</v>
      </c>
      <c r="D142" s="6" t="s">
        <v>178</v>
      </c>
      <c r="E142" s="6">
        <v>1</v>
      </c>
      <c r="F142" s="6">
        <v>4</v>
      </c>
      <c r="G142" s="6" t="s">
        <v>179</v>
      </c>
      <c r="H142" s="6">
        <v>8</v>
      </c>
      <c r="I142" s="8">
        <v>85.406511180555597</v>
      </c>
      <c r="J142" s="8">
        <v>128.89254722222199</v>
      </c>
      <c r="K142" s="6" t="s">
        <v>29</v>
      </c>
      <c r="L142" s="6" t="s">
        <v>335</v>
      </c>
      <c r="M142" s="9">
        <v>43762</v>
      </c>
      <c r="O142" s="6">
        <v>4</v>
      </c>
      <c r="P142" s="6" t="s">
        <v>4249</v>
      </c>
      <c r="S142" s="6">
        <v>20</v>
      </c>
      <c r="T142" s="6">
        <v>30</v>
      </c>
      <c r="U142" s="10">
        <f t="shared" si="4"/>
        <v>25</v>
      </c>
      <c r="V142" s="6">
        <v>5.6</v>
      </c>
      <c r="W142" s="8">
        <v>0.98245832091569885</v>
      </c>
      <c r="X142" s="8">
        <v>8.7730179806709288</v>
      </c>
      <c r="Y142" s="8">
        <f t="shared" si="5"/>
        <v>0.91335141334533798</v>
      </c>
    </row>
    <row r="143" spans="1:25" s="6" customFormat="1" x14ac:dyDescent="0.35">
      <c r="A143" s="6" t="s">
        <v>25</v>
      </c>
      <c r="B143" s="7"/>
      <c r="C143" s="6">
        <v>510413</v>
      </c>
      <c r="D143" s="6" t="s">
        <v>344</v>
      </c>
      <c r="E143" s="6">
        <v>1</v>
      </c>
      <c r="F143" s="6">
        <v>6</v>
      </c>
      <c r="G143" s="6" t="s">
        <v>345</v>
      </c>
      <c r="H143" s="6">
        <v>18</v>
      </c>
      <c r="I143" s="8">
        <v>85.9187781944444</v>
      </c>
      <c r="J143" s="8">
        <v>117.45457173611101</v>
      </c>
      <c r="K143" s="6" t="s">
        <v>29</v>
      </c>
      <c r="L143" s="6" t="s">
        <v>335</v>
      </c>
      <c r="M143" s="9">
        <v>43775</v>
      </c>
      <c r="O143" s="6">
        <v>6</v>
      </c>
      <c r="P143" s="6" t="s">
        <v>4256</v>
      </c>
      <c r="R143" s="6" t="s">
        <v>215</v>
      </c>
      <c r="S143" s="6">
        <v>20</v>
      </c>
      <c r="T143" s="6">
        <v>30</v>
      </c>
      <c r="U143" s="10">
        <f t="shared" si="4"/>
        <v>25</v>
      </c>
      <c r="V143" s="6">
        <v>5.2</v>
      </c>
      <c r="W143" s="8">
        <v>0.20417146500349048</v>
      </c>
      <c r="X143" s="8">
        <v>2.0477893066406248</v>
      </c>
      <c r="Y143" s="8">
        <f t="shared" si="5"/>
        <v>0.41441758661270089</v>
      </c>
    </row>
    <row r="144" spans="1:25" s="6" customFormat="1" x14ac:dyDescent="0.35">
      <c r="A144" s="6" t="s">
        <v>25</v>
      </c>
      <c r="B144" s="7"/>
      <c r="C144" s="6">
        <v>510422</v>
      </c>
      <c r="D144" s="6" t="s">
        <v>354</v>
      </c>
      <c r="E144" s="6">
        <v>1</v>
      </c>
      <c r="F144" s="6">
        <v>6</v>
      </c>
      <c r="G144" s="6" t="s">
        <v>179</v>
      </c>
      <c r="H144" s="6">
        <v>7</v>
      </c>
      <c r="I144" s="8">
        <v>85.917653888888907</v>
      </c>
      <c r="J144" s="8">
        <v>116.64332493055601</v>
      </c>
      <c r="K144" s="6" t="s">
        <v>29</v>
      </c>
      <c r="L144" s="6" t="s">
        <v>335</v>
      </c>
      <c r="M144" s="9">
        <v>43776</v>
      </c>
      <c r="O144" s="6">
        <v>6</v>
      </c>
      <c r="P144" s="6" t="s">
        <v>4257</v>
      </c>
      <c r="R144" s="6" t="s">
        <v>215</v>
      </c>
      <c r="S144" s="6">
        <v>20</v>
      </c>
      <c r="T144" s="6">
        <v>30</v>
      </c>
      <c r="U144" s="10">
        <f t="shared" si="4"/>
        <v>25</v>
      </c>
      <c r="V144" s="6">
        <v>4.8</v>
      </c>
      <c r="W144" s="8">
        <v>0.8475094679991404</v>
      </c>
      <c r="X144" s="8">
        <v>8.060726840082804</v>
      </c>
      <c r="Y144" s="8">
        <f t="shared" si="5"/>
        <v>1.2806510960896809</v>
      </c>
    </row>
    <row r="145" spans="1:25" s="6" customFormat="1" x14ac:dyDescent="0.35">
      <c r="A145" s="6" t="s">
        <v>25</v>
      </c>
      <c r="B145" s="7"/>
      <c r="C145" s="6">
        <v>510511</v>
      </c>
      <c r="D145" s="6" t="s">
        <v>377</v>
      </c>
      <c r="E145" s="6">
        <v>1</v>
      </c>
      <c r="F145" s="6">
        <v>7</v>
      </c>
      <c r="G145" s="6" t="s">
        <v>202</v>
      </c>
      <c r="H145" s="6">
        <v>9</v>
      </c>
      <c r="I145" s="8">
        <v>85.915187361111094</v>
      </c>
      <c r="J145" s="8">
        <v>116.660135</v>
      </c>
      <c r="K145" s="6" t="s">
        <v>29</v>
      </c>
      <c r="L145" s="6" t="s">
        <v>335</v>
      </c>
      <c r="M145" s="9">
        <v>43780</v>
      </c>
      <c r="O145" s="6">
        <v>7</v>
      </c>
      <c r="P145" s="6" t="s">
        <v>4259</v>
      </c>
      <c r="R145" s="6" t="s">
        <v>215</v>
      </c>
      <c r="S145" s="6">
        <v>20</v>
      </c>
      <c r="T145" s="6">
        <v>30</v>
      </c>
      <c r="U145" s="10">
        <f t="shared" si="4"/>
        <v>25</v>
      </c>
      <c r="V145" s="6">
        <v>5.3</v>
      </c>
      <c r="W145" s="8">
        <v>0.62388703250884991</v>
      </c>
      <c r="X145" s="8">
        <v>5.5862853336334224</v>
      </c>
      <c r="Y145" s="8">
        <f t="shared" si="5"/>
        <v>0.59518907356262307</v>
      </c>
    </row>
    <row r="146" spans="1:25" s="6" customFormat="1" x14ac:dyDescent="0.35">
      <c r="A146" s="6" t="s">
        <v>25</v>
      </c>
      <c r="B146" s="7" t="s">
        <v>427</v>
      </c>
      <c r="C146" s="6">
        <v>510588</v>
      </c>
      <c r="D146" s="6" t="s">
        <v>428</v>
      </c>
      <c r="E146" s="6">
        <v>1</v>
      </c>
      <c r="F146" s="6">
        <v>7</v>
      </c>
      <c r="G146" s="6" t="s">
        <v>179</v>
      </c>
      <c r="I146" s="8">
        <v>86.1718883333333</v>
      </c>
      <c r="J146" s="8">
        <v>118.24158284722201</v>
      </c>
      <c r="K146" s="6" t="s">
        <v>29</v>
      </c>
      <c r="L146" s="6" t="s">
        <v>335</v>
      </c>
      <c r="M146" s="9">
        <v>43783</v>
      </c>
      <c r="O146" s="6">
        <v>7</v>
      </c>
      <c r="P146" s="6" t="s">
        <v>4248</v>
      </c>
      <c r="Q146" s="8">
        <v>-4.7333333333333334</v>
      </c>
      <c r="R146" s="10" t="s">
        <v>215</v>
      </c>
      <c r="S146" s="10">
        <v>20</v>
      </c>
      <c r="T146" s="10">
        <v>30</v>
      </c>
      <c r="U146" s="10">
        <f t="shared" si="4"/>
        <v>25</v>
      </c>
      <c r="V146" s="6">
        <v>3.6</v>
      </c>
      <c r="W146" s="8">
        <v>-0.43585673393011126</v>
      </c>
      <c r="X146" s="8">
        <v>-1.9956918797492982</v>
      </c>
      <c r="Y146" s="8">
        <f t="shared" si="5"/>
        <v>1.4911619916915919</v>
      </c>
    </row>
    <row r="147" spans="1:25" s="6" customFormat="1" x14ac:dyDescent="0.35">
      <c r="A147" s="6" t="s">
        <v>25</v>
      </c>
      <c r="B147" s="7" t="s">
        <v>493</v>
      </c>
      <c r="C147" s="6">
        <v>510674</v>
      </c>
      <c r="D147" s="6" t="s">
        <v>494</v>
      </c>
      <c r="E147" s="6">
        <v>1</v>
      </c>
      <c r="F147" s="6">
        <v>8</v>
      </c>
      <c r="G147" s="6" t="s">
        <v>202</v>
      </c>
      <c r="I147" s="8">
        <v>85.829729583333304</v>
      </c>
      <c r="J147" s="8">
        <v>120.62869888888901</v>
      </c>
      <c r="K147" s="6" t="s">
        <v>29</v>
      </c>
      <c r="L147" s="6" t="s">
        <v>335</v>
      </c>
      <c r="M147" s="9">
        <v>43787</v>
      </c>
      <c r="O147" s="6">
        <v>8</v>
      </c>
      <c r="P147" s="6" t="s">
        <v>4263</v>
      </c>
      <c r="Q147" s="8">
        <v>-3.75</v>
      </c>
      <c r="R147" s="10" t="s">
        <v>111</v>
      </c>
      <c r="S147" s="10">
        <v>20</v>
      </c>
      <c r="T147" s="10">
        <v>30</v>
      </c>
      <c r="U147" s="10">
        <f t="shared" si="4"/>
        <v>25</v>
      </c>
      <c r="V147" s="6">
        <v>5.0999999999999996</v>
      </c>
      <c r="W147" s="8">
        <v>1.0932815381355285</v>
      </c>
      <c r="X147" s="8">
        <v>8.5169217619705204</v>
      </c>
      <c r="Y147" s="8">
        <f t="shared" si="5"/>
        <v>-0.22933054311370782</v>
      </c>
    </row>
    <row r="148" spans="1:25" s="6" customFormat="1" x14ac:dyDescent="0.35">
      <c r="A148" s="6" t="s">
        <v>25</v>
      </c>
      <c r="B148" s="7" t="s">
        <v>607</v>
      </c>
      <c r="C148" s="6">
        <v>510736</v>
      </c>
      <c r="D148" s="6" t="s">
        <v>608</v>
      </c>
      <c r="E148" s="6">
        <v>1</v>
      </c>
      <c r="F148" s="6">
        <v>9</v>
      </c>
      <c r="G148" s="6" t="s">
        <v>202</v>
      </c>
      <c r="I148" s="8">
        <v>86.047909722222201</v>
      </c>
      <c r="J148" s="8">
        <v>120.497726180556</v>
      </c>
      <c r="K148" s="6" t="s">
        <v>29</v>
      </c>
      <c r="L148" s="6" t="s">
        <v>335</v>
      </c>
      <c r="M148" s="9">
        <v>43794</v>
      </c>
      <c r="O148" s="6">
        <v>9</v>
      </c>
      <c r="P148" s="6" t="s">
        <v>4270</v>
      </c>
      <c r="Q148" s="8">
        <v>-4.75</v>
      </c>
      <c r="R148" s="10" t="s">
        <v>215</v>
      </c>
      <c r="S148" s="10">
        <v>20</v>
      </c>
      <c r="T148" s="10">
        <v>30</v>
      </c>
      <c r="U148" s="10">
        <f t="shared" si="4"/>
        <v>25</v>
      </c>
      <c r="V148" s="11">
        <v>4.4000000000000004</v>
      </c>
      <c r="W148" s="8">
        <v>0.95690118815898906</v>
      </c>
      <c r="X148" s="8">
        <v>8.6374443071365352</v>
      </c>
      <c r="Y148" s="8">
        <f t="shared" si="5"/>
        <v>0.98223480186462275</v>
      </c>
    </row>
    <row r="149" spans="1:25" s="6" customFormat="1" x14ac:dyDescent="0.35">
      <c r="A149" s="6" t="s">
        <v>25</v>
      </c>
      <c r="B149" s="7" t="s">
        <v>664</v>
      </c>
      <c r="C149" s="6">
        <v>510779</v>
      </c>
      <c r="D149" s="6" t="s">
        <v>665</v>
      </c>
      <c r="E149" s="6">
        <v>1</v>
      </c>
      <c r="F149" s="6">
        <v>9</v>
      </c>
      <c r="G149" s="6" t="s">
        <v>179</v>
      </c>
      <c r="I149" s="8">
        <v>86.158515138888902</v>
      </c>
      <c r="J149" s="8">
        <v>117.89724090277799</v>
      </c>
      <c r="K149" s="6" t="s">
        <v>29</v>
      </c>
      <c r="L149" s="6" t="s">
        <v>335</v>
      </c>
      <c r="M149" s="9">
        <v>43796</v>
      </c>
      <c r="O149" s="6">
        <v>9</v>
      </c>
      <c r="P149" s="6" t="s">
        <v>4272</v>
      </c>
      <c r="Q149" s="8">
        <v>-9.9499999999999993</v>
      </c>
      <c r="R149" s="10" t="s">
        <v>146</v>
      </c>
      <c r="S149" s="10">
        <v>20</v>
      </c>
      <c r="T149" s="10">
        <v>30</v>
      </c>
      <c r="U149" s="10">
        <f t="shared" si="4"/>
        <v>25</v>
      </c>
      <c r="V149" s="11">
        <v>5.9</v>
      </c>
      <c r="W149" s="8">
        <v>0.582566797733307</v>
      </c>
      <c r="X149" s="8">
        <v>5.7263306312561033</v>
      </c>
      <c r="Y149" s="8">
        <f t="shared" si="5"/>
        <v>1.0657962493896473</v>
      </c>
    </row>
    <row r="150" spans="1:25" s="6" customFormat="1" x14ac:dyDescent="0.35">
      <c r="A150" s="6" t="s">
        <v>25</v>
      </c>
      <c r="B150" s="7"/>
      <c r="C150" s="6">
        <v>510947</v>
      </c>
      <c r="D150" s="6" t="s">
        <v>747</v>
      </c>
      <c r="E150" s="6">
        <v>1</v>
      </c>
      <c r="F150" s="6">
        <v>10</v>
      </c>
      <c r="G150" s="6" t="s">
        <v>202</v>
      </c>
      <c r="H150" s="6">
        <v>7.6</v>
      </c>
      <c r="I150" s="8">
        <v>85.933882569444407</v>
      </c>
      <c r="J150" s="8">
        <v>114.06437159722201</v>
      </c>
      <c r="K150" s="6" t="s">
        <v>29</v>
      </c>
      <c r="L150" s="6" t="s">
        <v>335</v>
      </c>
      <c r="M150" s="9">
        <v>43801</v>
      </c>
      <c r="O150" s="6">
        <v>10</v>
      </c>
      <c r="P150" s="6" t="s">
        <v>4277</v>
      </c>
      <c r="R150" s="6" t="s">
        <v>146</v>
      </c>
      <c r="S150" s="6">
        <v>20</v>
      </c>
      <c r="T150" s="6">
        <v>30</v>
      </c>
      <c r="U150" s="10">
        <f t="shared" si="4"/>
        <v>25</v>
      </c>
      <c r="V150" s="6">
        <v>4.8</v>
      </c>
      <c r="W150" s="8">
        <v>0.27010248838663126</v>
      </c>
      <c r="X150" s="8">
        <v>0.79528664875030597</v>
      </c>
      <c r="Y150" s="8">
        <f t="shared" si="5"/>
        <v>-1.3655332583427442</v>
      </c>
    </row>
    <row r="151" spans="1:25" s="6" customFormat="1" x14ac:dyDescent="0.35">
      <c r="A151" s="6" t="s">
        <v>25</v>
      </c>
      <c r="B151" s="6" t="s">
        <v>761</v>
      </c>
      <c r="C151" s="6">
        <v>511031</v>
      </c>
      <c r="D151" s="6" t="s">
        <v>758</v>
      </c>
      <c r="E151" s="6">
        <v>1</v>
      </c>
      <c r="F151" s="6">
        <v>10</v>
      </c>
      <c r="G151" s="6" t="s">
        <v>179</v>
      </c>
      <c r="I151" s="8">
        <v>86.106434930555594</v>
      </c>
      <c r="J151" s="8">
        <v>118.771893680556</v>
      </c>
      <c r="K151" s="6" t="s">
        <v>29</v>
      </c>
      <c r="L151" s="6" t="s">
        <v>335</v>
      </c>
      <c r="M151" s="9">
        <v>43803</v>
      </c>
      <c r="O151" s="6">
        <v>10</v>
      </c>
      <c r="P151" s="6" t="s">
        <v>4278</v>
      </c>
      <c r="R151" s="6" t="s">
        <v>146</v>
      </c>
      <c r="S151" s="6">
        <v>20</v>
      </c>
      <c r="T151" s="6">
        <v>30</v>
      </c>
      <c r="U151" s="10">
        <f t="shared" si="4"/>
        <v>25</v>
      </c>
      <c r="V151" s="6">
        <v>4.9000000000000004</v>
      </c>
      <c r="W151" s="8">
        <v>1.0506085866928099</v>
      </c>
      <c r="X151" s="8">
        <v>8.3306553434371935</v>
      </c>
      <c r="Y151" s="8">
        <f t="shared" si="5"/>
        <v>-7.4213350105285514E-2</v>
      </c>
    </row>
    <row r="152" spans="1:25" s="6" customFormat="1" x14ac:dyDescent="0.35">
      <c r="A152" s="6" t="s">
        <v>25</v>
      </c>
      <c r="B152" s="7"/>
      <c r="C152" s="6">
        <v>511051</v>
      </c>
      <c r="D152" s="6" t="s">
        <v>773</v>
      </c>
      <c r="E152" s="6">
        <v>1</v>
      </c>
      <c r="F152" s="6">
        <v>10</v>
      </c>
      <c r="G152" s="6" t="s">
        <v>345</v>
      </c>
      <c r="H152" s="6">
        <v>22</v>
      </c>
      <c r="I152" s="8">
        <v>86.141995833333297</v>
      </c>
      <c r="J152" s="8">
        <v>122.240208541667</v>
      </c>
      <c r="K152" s="6" t="s">
        <v>29</v>
      </c>
      <c r="L152" s="6" t="s">
        <v>335</v>
      </c>
      <c r="M152" s="9">
        <v>43805</v>
      </c>
      <c r="O152" s="6">
        <v>10</v>
      </c>
      <c r="P152" s="6" t="s">
        <v>4280</v>
      </c>
      <c r="R152" s="6" t="s">
        <v>215</v>
      </c>
      <c r="S152" s="6">
        <v>20</v>
      </c>
      <c r="T152" s="6">
        <v>30</v>
      </c>
      <c r="U152" s="10">
        <f t="shared" si="4"/>
        <v>25</v>
      </c>
      <c r="V152" s="6">
        <v>4.5999999999999996</v>
      </c>
      <c r="W152" s="8">
        <v>1.0881247812986379</v>
      </c>
      <c r="X152" s="8">
        <v>9.4003061714172365</v>
      </c>
      <c r="Y152" s="8">
        <f t="shared" si="5"/>
        <v>0.69530792102813344</v>
      </c>
    </row>
    <row r="153" spans="1:25" s="6" customFormat="1" x14ac:dyDescent="0.35">
      <c r="A153" s="6" t="s">
        <v>25</v>
      </c>
      <c r="B153" s="6" t="s">
        <v>781</v>
      </c>
      <c r="D153" s="6" t="s">
        <v>779</v>
      </c>
      <c r="E153" s="6">
        <v>1</v>
      </c>
      <c r="F153" s="6">
        <v>11</v>
      </c>
      <c r="G153" s="6" t="s">
        <v>179</v>
      </c>
      <c r="I153" s="8">
        <v>86.506581944444406</v>
      </c>
      <c r="J153" s="8">
        <v>120.985913333333</v>
      </c>
      <c r="K153" s="6" t="s">
        <v>29</v>
      </c>
      <c r="L153" s="6" t="s">
        <v>335</v>
      </c>
      <c r="M153" s="9">
        <v>43809</v>
      </c>
      <c r="O153" s="6">
        <v>11</v>
      </c>
      <c r="P153" s="6" t="s">
        <v>4284</v>
      </c>
      <c r="R153" s="6">
        <v>20</v>
      </c>
      <c r="S153" s="6">
        <v>20</v>
      </c>
      <c r="T153" s="6">
        <v>30</v>
      </c>
      <c r="U153" s="10">
        <f t="shared" si="4"/>
        <v>25</v>
      </c>
      <c r="V153" s="6">
        <v>4.7</v>
      </c>
      <c r="W153" s="8">
        <v>0.72111159422397653</v>
      </c>
      <c r="X153" s="8">
        <v>5.7146652727127076</v>
      </c>
      <c r="Y153" s="8">
        <f t="shared" si="5"/>
        <v>-5.4227481079104578E-2</v>
      </c>
    </row>
    <row r="154" spans="1:25" s="6" customFormat="1" x14ac:dyDescent="0.35">
      <c r="A154" s="6" t="s">
        <v>25</v>
      </c>
      <c r="B154" s="6" t="s">
        <v>791</v>
      </c>
      <c r="D154" s="6" t="s">
        <v>789</v>
      </c>
      <c r="E154" s="6">
        <v>2</v>
      </c>
      <c r="F154" s="6">
        <v>17</v>
      </c>
      <c r="G154" s="6" t="s">
        <v>202</v>
      </c>
      <c r="I154" s="8">
        <v>86.641082222222195</v>
      </c>
      <c r="J154" s="8">
        <v>113.166453680556</v>
      </c>
      <c r="K154" s="6" t="s">
        <v>29</v>
      </c>
      <c r="L154" s="6" t="s">
        <v>335</v>
      </c>
      <c r="M154" s="9">
        <v>43822</v>
      </c>
      <c r="O154" s="6">
        <v>13</v>
      </c>
      <c r="P154" s="6" t="s">
        <v>4294</v>
      </c>
      <c r="R154" s="6">
        <v>20</v>
      </c>
      <c r="S154" s="6">
        <v>20</v>
      </c>
      <c r="T154" s="6">
        <v>30</v>
      </c>
      <c r="U154" s="10">
        <f t="shared" si="4"/>
        <v>25</v>
      </c>
      <c r="V154" s="6">
        <v>4</v>
      </c>
      <c r="W154" s="8">
        <v>1.082240750575066</v>
      </c>
      <c r="X154" s="8">
        <v>8.6817071199417111</v>
      </c>
      <c r="Y154" s="8">
        <f t="shared" si="5"/>
        <v>2.3781115341183323E-2</v>
      </c>
    </row>
    <row r="155" spans="1:25" s="6" customFormat="1" x14ac:dyDescent="0.35">
      <c r="A155" s="6" t="s">
        <v>25</v>
      </c>
      <c r="B155" s="7" t="s">
        <v>828</v>
      </c>
      <c r="D155" s="6" t="s">
        <v>829</v>
      </c>
      <c r="E155" s="6">
        <v>2</v>
      </c>
      <c r="F155" s="6">
        <v>19</v>
      </c>
      <c r="G155" s="6" t="s">
        <v>202</v>
      </c>
      <c r="I155" s="8">
        <v>87.103055694444393</v>
      </c>
      <c r="J155" s="8">
        <v>115.160686597222</v>
      </c>
      <c r="K155" s="6" t="s">
        <v>29</v>
      </c>
      <c r="L155" s="6" t="s">
        <v>335</v>
      </c>
      <c r="M155" s="9">
        <v>43836</v>
      </c>
      <c r="O155" s="6">
        <v>15</v>
      </c>
      <c r="P155" s="6" t="s">
        <v>4271</v>
      </c>
      <c r="R155" s="10"/>
      <c r="S155" s="10">
        <v>20</v>
      </c>
      <c r="T155" s="10">
        <v>30</v>
      </c>
      <c r="U155" s="10">
        <f t="shared" si="4"/>
        <v>25</v>
      </c>
      <c r="V155" s="11">
        <v>4.8</v>
      </c>
      <c r="W155" s="8">
        <v>8.1345738506503409E-2</v>
      </c>
      <c r="X155" s="8">
        <v>0.64970873260498019</v>
      </c>
      <c r="Y155" s="8">
        <f t="shared" si="5"/>
        <v>-1.0571754470470873E-3</v>
      </c>
    </row>
    <row r="156" spans="1:25" s="6" customFormat="1" x14ac:dyDescent="0.35">
      <c r="A156" s="6" t="s">
        <v>25</v>
      </c>
      <c r="B156" s="6" t="s">
        <v>886</v>
      </c>
      <c r="D156" s="6" t="s">
        <v>884</v>
      </c>
      <c r="E156" s="6">
        <v>2</v>
      </c>
      <c r="F156" s="6">
        <v>20</v>
      </c>
      <c r="G156" s="6" t="s">
        <v>57</v>
      </c>
      <c r="I156" s="8">
        <v>86.603676041666702</v>
      </c>
      <c r="J156" s="8">
        <v>116.411907777778</v>
      </c>
      <c r="K156" s="6" t="s">
        <v>29</v>
      </c>
      <c r="L156" s="6" t="s">
        <v>335</v>
      </c>
      <c r="M156" s="9">
        <v>43846</v>
      </c>
      <c r="O156" s="6">
        <v>16</v>
      </c>
      <c r="P156" s="6" t="s">
        <v>4311</v>
      </c>
      <c r="R156" s="6">
        <v>20</v>
      </c>
      <c r="S156" s="6">
        <v>20</v>
      </c>
      <c r="T156" s="6">
        <v>30</v>
      </c>
      <c r="U156" s="10">
        <f t="shared" si="4"/>
        <v>25</v>
      </c>
      <c r="V156" s="6">
        <v>7</v>
      </c>
      <c r="W156" s="8">
        <v>0.53152906819581991</v>
      </c>
      <c r="X156" s="8">
        <v>4.2120920377105477</v>
      </c>
      <c r="Y156" s="8">
        <f t="shared" si="5"/>
        <v>-4.0140507856011531E-2</v>
      </c>
    </row>
    <row r="157" spans="1:25" s="6" customFormat="1" x14ac:dyDescent="0.35">
      <c r="A157" s="6" t="s">
        <v>25</v>
      </c>
      <c r="B157" s="7" t="s">
        <v>911</v>
      </c>
      <c r="D157" s="6" t="s">
        <v>912</v>
      </c>
      <c r="E157" s="6">
        <v>2</v>
      </c>
      <c r="F157" s="6">
        <v>21</v>
      </c>
      <c r="G157" s="6" t="s">
        <v>202</v>
      </c>
      <c r="I157" s="8">
        <v>87.451079583333296</v>
      </c>
      <c r="J157" s="8">
        <v>97.375985347222198</v>
      </c>
      <c r="K157" s="6" t="s">
        <v>29</v>
      </c>
      <c r="L157" s="6" t="s">
        <v>335</v>
      </c>
      <c r="M157" s="9">
        <v>43850</v>
      </c>
      <c r="O157" s="6">
        <v>17</v>
      </c>
      <c r="P157" s="6" t="s">
        <v>4314</v>
      </c>
      <c r="R157" s="10"/>
      <c r="S157" s="10">
        <v>20</v>
      </c>
      <c r="T157" s="10">
        <v>30</v>
      </c>
      <c r="U157" s="10">
        <f t="shared" si="4"/>
        <v>25</v>
      </c>
      <c r="V157" s="11">
        <v>6.1</v>
      </c>
      <c r="W157" s="8">
        <v>0.80716560472011545</v>
      </c>
      <c r="X157" s="8">
        <v>5.8706291084289557</v>
      </c>
      <c r="Y157" s="8">
        <f t="shared" si="5"/>
        <v>-0.5866957293319679</v>
      </c>
    </row>
    <row r="158" spans="1:25" s="6" customFormat="1" x14ac:dyDescent="0.35">
      <c r="A158" s="6" t="s">
        <v>25</v>
      </c>
      <c r="B158" s="7"/>
      <c r="D158" s="6" t="s">
        <v>998</v>
      </c>
      <c r="E158" s="6">
        <v>2</v>
      </c>
      <c r="F158" s="6">
        <v>23</v>
      </c>
      <c r="G158" s="6" t="s">
        <v>202</v>
      </c>
      <c r="I158" s="8">
        <v>87.352736041666702</v>
      </c>
      <c r="J158" s="8">
        <v>94.772103819444396</v>
      </c>
      <c r="K158" s="6" t="s">
        <v>29</v>
      </c>
      <c r="L158" s="6" t="s">
        <v>335</v>
      </c>
      <c r="M158" s="9">
        <v>43864</v>
      </c>
      <c r="O158" s="6">
        <v>19</v>
      </c>
      <c r="P158" s="6" t="s">
        <v>4322</v>
      </c>
      <c r="S158" s="6">
        <v>20</v>
      </c>
      <c r="T158" s="6">
        <v>30</v>
      </c>
      <c r="U158" s="10">
        <f t="shared" si="4"/>
        <v>25</v>
      </c>
      <c r="V158" s="6">
        <v>2.1</v>
      </c>
      <c r="W158" s="8">
        <v>-2.672214303731919</v>
      </c>
      <c r="X158" s="8">
        <v>-20.924557458877565</v>
      </c>
      <c r="Y158" s="8">
        <f t="shared" si="5"/>
        <v>0.45315697097778695</v>
      </c>
    </row>
    <row r="159" spans="1:25" s="6" customFormat="1" x14ac:dyDescent="0.35">
      <c r="A159" s="6" t="s">
        <v>25</v>
      </c>
      <c r="B159" s="7"/>
      <c r="D159" s="6" t="s">
        <v>1034</v>
      </c>
      <c r="E159" s="6">
        <v>2</v>
      </c>
      <c r="F159" s="6">
        <v>24</v>
      </c>
      <c r="G159" s="6" t="s">
        <v>57</v>
      </c>
      <c r="I159" s="8">
        <v>87.882876180555598</v>
      </c>
      <c r="J159" s="8">
        <v>87.424340833333304</v>
      </c>
      <c r="K159" s="6" t="s">
        <v>29</v>
      </c>
      <c r="L159" s="6" t="s">
        <v>335</v>
      </c>
      <c r="M159" s="9">
        <v>43873</v>
      </c>
      <c r="O159" s="6">
        <v>20</v>
      </c>
      <c r="P159" s="6" t="s">
        <v>4313</v>
      </c>
      <c r="S159" s="6">
        <v>20</v>
      </c>
      <c r="T159" s="6">
        <v>30</v>
      </c>
      <c r="U159" s="10">
        <f t="shared" si="4"/>
        <v>25</v>
      </c>
      <c r="V159" s="30"/>
      <c r="W159" s="8">
        <v>-4.9581703180313124</v>
      </c>
      <c r="X159" s="8">
        <v>-36.462531391143798</v>
      </c>
      <c r="Y159" s="8">
        <f t="shared" si="5"/>
        <v>3.2028311531067004</v>
      </c>
    </row>
    <row r="160" spans="1:25" s="6" customFormat="1" x14ac:dyDescent="0.35">
      <c r="A160" s="6" t="s">
        <v>25</v>
      </c>
      <c r="B160" s="7"/>
      <c r="D160" s="6" t="s">
        <v>1057</v>
      </c>
      <c r="E160" s="6">
        <v>3</v>
      </c>
      <c r="F160" s="6">
        <v>29</v>
      </c>
      <c r="G160" s="6" t="s">
        <v>60</v>
      </c>
      <c r="I160" s="8">
        <v>88.488842986111095</v>
      </c>
      <c r="J160" s="8">
        <v>40.1770405555556</v>
      </c>
      <c r="K160" s="6" t="s">
        <v>29</v>
      </c>
      <c r="L160" s="6" t="s">
        <v>335</v>
      </c>
      <c r="M160" s="9">
        <v>43887</v>
      </c>
      <c r="O160" s="6">
        <v>22</v>
      </c>
      <c r="P160" s="6" t="s">
        <v>4291</v>
      </c>
      <c r="S160" s="6">
        <v>20</v>
      </c>
      <c r="T160" s="6">
        <v>30</v>
      </c>
      <c r="U160" s="10">
        <f t="shared" si="4"/>
        <v>25</v>
      </c>
      <c r="V160" s="6">
        <v>8.3000000000000007</v>
      </c>
      <c r="W160" s="8">
        <v>-0.68773353791713698</v>
      </c>
      <c r="X160" s="8">
        <v>-5.0344459685087202</v>
      </c>
      <c r="Y160" s="8">
        <f t="shared" si="5"/>
        <v>0.4674223348283757</v>
      </c>
    </row>
    <row r="161" spans="1:26" s="6" customFormat="1" x14ac:dyDescent="0.35">
      <c r="A161" s="6" t="s">
        <v>25</v>
      </c>
      <c r="B161" s="7"/>
      <c r="D161" s="6" t="s">
        <v>1084</v>
      </c>
      <c r="E161" s="6">
        <v>3</v>
      </c>
      <c r="F161" s="6">
        <v>31</v>
      </c>
      <c r="G161" s="6" t="s">
        <v>179</v>
      </c>
      <c r="I161" s="8">
        <v>87.889566388888895</v>
      </c>
      <c r="J161" s="8">
        <v>24.107920208333301</v>
      </c>
      <c r="K161" s="6" t="s">
        <v>29</v>
      </c>
      <c r="L161" s="6" t="s">
        <v>335</v>
      </c>
      <c r="M161" s="9">
        <v>43899</v>
      </c>
      <c r="O161" s="6">
        <v>24</v>
      </c>
      <c r="P161" s="6" t="s">
        <v>4343</v>
      </c>
      <c r="S161" s="6">
        <v>20</v>
      </c>
      <c r="T161" s="6">
        <v>30</v>
      </c>
      <c r="U161" s="10">
        <f t="shared" si="4"/>
        <v>25</v>
      </c>
      <c r="V161" s="6">
        <v>4.5</v>
      </c>
      <c r="W161" s="8">
        <v>1.0634967728233335</v>
      </c>
      <c r="X161" s="8">
        <v>7.5684173774719232</v>
      </c>
      <c r="Y161" s="8">
        <f t="shared" si="5"/>
        <v>-0.93955680511474515</v>
      </c>
    </row>
    <row r="162" spans="1:26" s="6" customFormat="1" x14ac:dyDescent="0.35">
      <c r="A162" s="6" t="s">
        <v>25</v>
      </c>
      <c r="B162" s="7"/>
      <c r="D162" s="6" t="s">
        <v>1158</v>
      </c>
      <c r="E162" s="6">
        <v>3</v>
      </c>
      <c r="F162" s="6">
        <v>32</v>
      </c>
      <c r="G162" s="6" t="s">
        <v>179</v>
      </c>
      <c r="I162" s="8">
        <v>86.339075833333297</v>
      </c>
      <c r="J162" s="8">
        <v>14.7309175</v>
      </c>
      <c r="K162" s="6" t="s">
        <v>29</v>
      </c>
      <c r="L162" s="6" t="s">
        <v>335</v>
      </c>
      <c r="M162" s="9">
        <v>43910</v>
      </c>
      <c r="O162" s="6">
        <v>25</v>
      </c>
      <c r="P162" s="6" t="s">
        <v>4350</v>
      </c>
      <c r="S162" s="6">
        <v>20</v>
      </c>
      <c r="T162" s="6">
        <v>30</v>
      </c>
      <c r="U162" s="10">
        <f t="shared" si="4"/>
        <v>25</v>
      </c>
      <c r="V162" s="6">
        <v>5</v>
      </c>
      <c r="W162" s="8">
        <v>1.2071543639183042</v>
      </c>
      <c r="X162" s="8">
        <v>8.4707979679107659</v>
      </c>
      <c r="Y162" s="8">
        <f t="shared" si="5"/>
        <v>-1.1864369434356679</v>
      </c>
    </row>
    <row r="163" spans="1:26" s="6" customFormat="1" x14ac:dyDescent="0.35">
      <c r="A163" s="6" t="s">
        <v>25</v>
      </c>
      <c r="B163" s="7"/>
      <c r="D163" s="6" t="s">
        <v>1178</v>
      </c>
      <c r="E163" s="6">
        <v>3</v>
      </c>
      <c r="F163" s="6">
        <v>32</v>
      </c>
      <c r="G163" s="6" t="s">
        <v>202</v>
      </c>
      <c r="I163" s="8">
        <v>86.257643333333306</v>
      </c>
      <c r="J163" s="8">
        <v>15.261599722222201</v>
      </c>
      <c r="K163" s="6" t="s">
        <v>29</v>
      </c>
      <c r="L163" s="6" t="s">
        <v>335</v>
      </c>
      <c r="M163" s="9">
        <v>43911</v>
      </c>
      <c r="O163" s="6">
        <v>25</v>
      </c>
      <c r="P163" s="6" t="s">
        <v>4351</v>
      </c>
      <c r="S163" s="6">
        <v>20</v>
      </c>
      <c r="T163" s="6">
        <v>30</v>
      </c>
      <c r="U163" s="10">
        <f t="shared" si="4"/>
        <v>25</v>
      </c>
      <c r="V163" s="6">
        <v>4.5</v>
      </c>
      <c r="W163" s="8">
        <v>-0.12551770014375502</v>
      </c>
      <c r="X163" s="8">
        <v>-0.76374363098144515</v>
      </c>
      <c r="Y163" s="8">
        <f t="shared" si="5"/>
        <v>0.24039797016859499</v>
      </c>
    </row>
    <row r="164" spans="1:26" s="6" customFormat="1" x14ac:dyDescent="0.35">
      <c r="A164" s="6" t="s">
        <v>25</v>
      </c>
      <c r="B164" s="6" t="s">
        <v>1243</v>
      </c>
      <c r="D164" s="6" t="s">
        <v>1240</v>
      </c>
      <c r="E164" s="6">
        <v>3</v>
      </c>
      <c r="F164" s="6">
        <v>34</v>
      </c>
      <c r="G164" s="6" t="s">
        <v>202</v>
      </c>
      <c r="I164" s="8">
        <v>84.533711805555598</v>
      </c>
      <c r="J164" s="8">
        <v>14.277858402777801</v>
      </c>
      <c r="K164" s="6" t="s">
        <v>29</v>
      </c>
      <c r="L164" s="6" t="s">
        <v>335</v>
      </c>
      <c r="M164" s="9">
        <v>43927</v>
      </c>
      <c r="O164" s="6">
        <v>28</v>
      </c>
      <c r="P164" s="6" t="s">
        <v>4359</v>
      </c>
      <c r="R164" s="6">
        <v>20</v>
      </c>
      <c r="S164" s="6">
        <v>20</v>
      </c>
      <c r="T164" s="6">
        <v>30</v>
      </c>
      <c r="U164" s="10">
        <f t="shared" si="4"/>
        <v>25</v>
      </c>
      <c r="V164" s="6">
        <v>4.3</v>
      </c>
      <c r="W164" s="8">
        <v>2.647956901937689E-2</v>
      </c>
      <c r="X164" s="8">
        <v>0.95479580163955713</v>
      </c>
      <c r="Y164" s="8">
        <f t="shared" si="5"/>
        <v>0.74295924948454206</v>
      </c>
    </row>
    <row r="165" spans="1:26" s="6" customFormat="1" x14ac:dyDescent="0.35">
      <c r="A165" s="6" t="s">
        <v>25</v>
      </c>
      <c r="B165" s="6" t="s">
        <v>1293</v>
      </c>
      <c r="D165" s="6" t="s">
        <v>1291</v>
      </c>
      <c r="E165" s="6">
        <v>3</v>
      </c>
      <c r="F165" s="6">
        <v>35</v>
      </c>
      <c r="G165" s="6" t="s">
        <v>345</v>
      </c>
      <c r="I165" s="8">
        <v>84.322834374999999</v>
      </c>
      <c r="J165" s="8">
        <v>14.725811041666701</v>
      </c>
      <c r="K165" s="6" t="s">
        <v>29</v>
      </c>
      <c r="L165" s="6" t="s">
        <v>335</v>
      </c>
      <c r="M165" s="9">
        <v>43931</v>
      </c>
      <c r="O165" s="6">
        <v>28</v>
      </c>
      <c r="P165" s="6" t="s">
        <v>4362</v>
      </c>
      <c r="R165" s="6">
        <v>20</v>
      </c>
      <c r="S165" s="6">
        <v>20</v>
      </c>
      <c r="T165" s="6">
        <v>30</v>
      </c>
      <c r="U165" s="10">
        <f t="shared" si="4"/>
        <v>25</v>
      </c>
      <c r="V165" s="6">
        <v>4.2</v>
      </c>
      <c r="W165" s="8">
        <v>0.67485944037437418</v>
      </c>
      <c r="X165" s="8">
        <v>5.2254140815734864</v>
      </c>
      <c r="Y165" s="8">
        <f t="shared" si="5"/>
        <v>-0.17346144142150699</v>
      </c>
    </row>
    <row r="166" spans="1:26" s="6" customFormat="1" x14ac:dyDescent="0.35">
      <c r="A166" s="6" t="s">
        <v>25</v>
      </c>
      <c r="B166" s="7" t="s">
        <v>1358</v>
      </c>
      <c r="D166" s="6" t="s">
        <v>1359</v>
      </c>
      <c r="E166" s="6">
        <v>3</v>
      </c>
      <c r="F166" s="6">
        <v>36</v>
      </c>
      <c r="G166" s="6" t="s">
        <v>202</v>
      </c>
      <c r="I166" s="8">
        <v>84.331482986111098</v>
      </c>
      <c r="J166" s="8">
        <v>14.642671805555601</v>
      </c>
      <c r="K166" s="6" t="s">
        <v>29</v>
      </c>
      <c r="L166" s="6" t="s">
        <v>335</v>
      </c>
      <c r="M166" s="9">
        <v>43935</v>
      </c>
      <c r="O166" s="6">
        <v>29</v>
      </c>
      <c r="P166" s="6" t="s">
        <v>4332</v>
      </c>
      <c r="R166" s="10"/>
      <c r="S166" s="10">
        <v>20</v>
      </c>
      <c r="T166" s="10">
        <v>30</v>
      </c>
      <c r="U166" s="10">
        <f t="shared" si="4"/>
        <v>25</v>
      </c>
      <c r="V166" s="11">
        <v>4</v>
      </c>
      <c r="W166" s="8">
        <v>3.3020355909503828E-2</v>
      </c>
      <c r="X166" s="8">
        <v>4.1364653706550437E-2</v>
      </c>
      <c r="Y166" s="8">
        <f t="shared" si="5"/>
        <v>-0.22279819356948019</v>
      </c>
    </row>
    <row r="167" spans="1:26" s="6" customFormat="1" x14ac:dyDescent="0.35">
      <c r="A167" s="6" t="s">
        <v>25</v>
      </c>
      <c r="B167" s="7" t="s">
        <v>1442</v>
      </c>
      <c r="D167" s="6" t="s">
        <v>1443</v>
      </c>
      <c r="E167" s="6">
        <v>3</v>
      </c>
      <c r="F167" s="6">
        <v>37</v>
      </c>
      <c r="G167" s="6" t="s">
        <v>28</v>
      </c>
      <c r="I167" s="8">
        <v>83.999093333333306</v>
      </c>
      <c r="J167" s="8">
        <v>15.6102103472222</v>
      </c>
      <c r="K167" s="6" t="s">
        <v>29</v>
      </c>
      <c r="L167" s="6" t="s">
        <v>335</v>
      </c>
      <c r="M167" s="9">
        <v>43946</v>
      </c>
      <c r="O167" s="6">
        <v>30</v>
      </c>
      <c r="P167" s="6" t="s">
        <v>4265</v>
      </c>
      <c r="R167" s="10"/>
      <c r="S167" s="10">
        <v>20</v>
      </c>
      <c r="T167" s="10">
        <v>30</v>
      </c>
      <c r="U167" s="10">
        <f t="shared" si="4"/>
        <v>25</v>
      </c>
      <c r="V167" s="11">
        <v>3.7</v>
      </c>
      <c r="W167" s="8">
        <v>-2.3150022876739498</v>
      </c>
      <c r="X167" s="8">
        <v>-17.812543920135496</v>
      </c>
      <c r="Y167" s="8">
        <f t="shared" si="5"/>
        <v>0.70747438125610174</v>
      </c>
    </row>
    <row r="168" spans="1:26" s="6" customFormat="1" x14ac:dyDescent="0.35">
      <c r="A168" s="6" t="s">
        <v>25</v>
      </c>
      <c r="B168" s="7" t="s">
        <v>1486</v>
      </c>
      <c r="D168" s="6" t="s">
        <v>1487</v>
      </c>
      <c r="E168" s="6">
        <v>3</v>
      </c>
      <c r="F168" s="6">
        <v>37</v>
      </c>
      <c r="G168" s="6" t="s">
        <v>28</v>
      </c>
      <c r="I168" s="8">
        <v>83.999093333333306</v>
      </c>
      <c r="J168" s="8">
        <v>15.6102103472222</v>
      </c>
      <c r="K168" s="6" t="s">
        <v>29</v>
      </c>
      <c r="L168" s="6" t="s">
        <v>335</v>
      </c>
      <c r="M168" s="9">
        <v>43946</v>
      </c>
      <c r="O168" s="6">
        <v>30</v>
      </c>
      <c r="P168" s="6" t="s">
        <v>4265</v>
      </c>
      <c r="R168" s="10"/>
      <c r="S168" s="10">
        <v>20</v>
      </c>
      <c r="T168" s="10">
        <v>30</v>
      </c>
      <c r="U168" s="10">
        <f t="shared" si="4"/>
        <v>25</v>
      </c>
      <c r="V168" s="11">
        <v>2.4</v>
      </c>
      <c r="W168" s="8">
        <v>-1.9667680263519289</v>
      </c>
      <c r="X168" s="8">
        <v>-15.457634282112121</v>
      </c>
      <c r="Y168" s="8">
        <f t="shared" si="5"/>
        <v>0.27650992870331059</v>
      </c>
    </row>
    <row r="169" spans="1:26" s="6" customFormat="1" x14ac:dyDescent="0.35">
      <c r="A169" s="6" t="s">
        <v>25</v>
      </c>
      <c r="B169" s="7"/>
      <c r="D169" s="6" t="s">
        <v>1545</v>
      </c>
      <c r="E169" s="6">
        <v>3</v>
      </c>
      <c r="F169" s="6">
        <v>38</v>
      </c>
      <c r="G169" s="6" t="s">
        <v>202</v>
      </c>
      <c r="I169" s="8">
        <v>83.938997847222197</v>
      </c>
      <c r="J169" s="8">
        <v>15.6730686111111</v>
      </c>
      <c r="K169" s="6" t="s">
        <v>29</v>
      </c>
      <c r="L169" s="6" t="s">
        <v>335</v>
      </c>
      <c r="M169" s="9">
        <v>43948</v>
      </c>
      <c r="O169" s="6">
        <v>31</v>
      </c>
      <c r="P169" s="6" t="s">
        <v>4251</v>
      </c>
      <c r="S169" s="6">
        <v>20</v>
      </c>
      <c r="T169" s="6">
        <v>30</v>
      </c>
      <c r="U169" s="10">
        <f t="shared" si="4"/>
        <v>25</v>
      </c>
      <c r="V169" s="6">
        <v>4.0999999999999996</v>
      </c>
      <c r="W169" s="8">
        <v>1.2442277447462078</v>
      </c>
      <c r="X169" s="8">
        <v>9.1061574760437018</v>
      </c>
      <c r="Y169" s="8">
        <f t="shared" si="5"/>
        <v>-0.84766448192596044</v>
      </c>
    </row>
    <row r="170" spans="1:26" s="6" customFormat="1" x14ac:dyDescent="0.35">
      <c r="A170" s="6" t="s">
        <v>25</v>
      </c>
      <c r="B170" s="6" t="s">
        <v>1622</v>
      </c>
      <c r="D170" s="6" t="s">
        <v>1619</v>
      </c>
      <c r="E170" s="6">
        <v>3</v>
      </c>
      <c r="F170" s="6">
        <v>39</v>
      </c>
      <c r="G170" s="6" t="s">
        <v>202</v>
      </c>
      <c r="I170" s="8">
        <v>83.907985999999994</v>
      </c>
      <c r="J170" s="8">
        <v>18.352126999999999</v>
      </c>
      <c r="K170" s="6" t="s">
        <v>29</v>
      </c>
      <c r="L170" s="6" t="s">
        <v>335</v>
      </c>
      <c r="M170" s="9">
        <v>43955</v>
      </c>
      <c r="O170" s="6">
        <v>32</v>
      </c>
      <c r="P170" s="6" t="s">
        <v>4374</v>
      </c>
      <c r="R170" s="6">
        <v>20</v>
      </c>
      <c r="S170" s="6">
        <v>20</v>
      </c>
      <c r="T170" s="6">
        <v>30</v>
      </c>
      <c r="U170" s="10">
        <f t="shared" si="4"/>
        <v>25</v>
      </c>
      <c r="V170" s="6">
        <v>3.9</v>
      </c>
      <c r="W170" s="8">
        <v>0.19711091512441592</v>
      </c>
      <c r="X170" s="8">
        <v>1.2330885803699492</v>
      </c>
      <c r="Y170" s="8">
        <f t="shared" si="5"/>
        <v>-0.34379874062537819</v>
      </c>
    </row>
    <row r="171" spans="1:26" s="6" customFormat="1" x14ac:dyDescent="0.35">
      <c r="A171" s="6" t="s">
        <v>25</v>
      </c>
      <c r="B171" s="6" t="s">
        <v>1763</v>
      </c>
      <c r="D171" s="6" t="s">
        <v>1764</v>
      </c>
      <c r="E171" s="6">
        <v>4</v>
      </c>
      <c r="F171" s="6">
        <v>44</v>
      </c>
      <c r="I171" s="8">
        <v>81.975306180555606</v>
      </c>
      <c r="J171" s="8">
        <v>9.2425022222222193</v>
      </c>
      <c r="K171" s="6" t="s">
        <v>29</v>
      </c>
      <c r="L171" s="29" t="s">
        <v>335</v>
      </c>
      <c r="M171" s="9">
        <v>44004</v>
      </c>
      <c r="O171" s="6">
        <v>39</v>
      </c>
      <c r="P171" s="6" t="s">
        <v>4405</v>
      </c>
      <c r="S171" s="6">
        <v>20</v>
      </c>
      <c r="T171" s="6">
        <v>30</v>
      </c>
      <c r="U171" s="10">
        <f t="shared" si="4"/>
        <v>25</v>
      </c>
      <c r="V171" s="15">
        <v>2.4</v>
      </c>
      <c r="W171" s="8">
        <v>0.74762641983032241</v>
      </c>
      <c r="X171" s="8">
        <v>6.7876962833404537</v>
      </c>
      <c r="Y171" s="8">
        <f t="shared" si="5"/>
        <v>0.80668492469787445</v>
      </c>
      <c r="Z171" s="6" t="s">
        <v>1760</v>
      </c>
    </row>
    <row r="172" spans="1:26" s="6" customFormat="1" x14ac:dyDescent="0.35">
      <c r="A172" s="6" t="s">
        <v>25</v>
      </c>
      <c r="B172" s="6" t="s">
        <v>1920</v>
      </c>
      <c r="D172" s="6" t="s">
        <v>1921</v>
      </c>
      <c r="E172" s="6">
        <v>4</v>
      </c>
      <c r="F172" s="6">
        <v>46</v>
      </c>
      <c r="I172" s="8">
        <v>81.685643263888906</v>
      </c>
      <c r="J172" s="8">
        <v>5.3733415277777796</v>
      </c>
      <c r="K172" s="6" t="s">
        <v>29</v>
      </c>
      <c r="L172" s="29" t="s">
        <v>335</v>
      </c>
      <c r="M172" s="9">
        <v>44018</v>
      </c>
      <c r="O172" s="6">
        <v>41</v>
      </c>
      <c r="P172" s="6" t="s">
        <v>4413</v>
      </c>
      <c r="S172" s="6">
        <v>20</v>
      </c>
      <c r="T172" s="6">
        <v>30</v>
      </c>
      <c r="U172" s="10">
        <f t="shared" si="4"/>
        <v>25</v>
      </c>
      <c r="V172" s="15">
        <v>2.6</v>
      </c>
      <c r="W172" s="8">
        <v>-1.9468407104909661E-2</v>
      </c>
      <c r="X172" s="8">
        <v>-1.0550627200603482</v>
      </c>
      <c r="Y172" s="8">
        <f t="shared" si="5"/>
        <v>-0.89931546322107092</v>
      </c>
      <c r="Z172" s="6" t="s">
        <v>1760</v>
      </c>
    </row>
    <row r="173" spans="1:26" s="6" customFormat="1" x14ac:dyDescent="0.35">
      <c r="A173" s="6" t="s">
        <v>25</v>
      </c>
      <c r="B173" s="6" t="s">
        <v>1952</v>
      </c>
      <c r="D173" s="6" t="s">
        <v>1953</v>
      </c>
      <c r="E173" s="6">
        <v>4</v>
      </c>
      <c r="F173" s="6">
        <v>47</v>
      </c>
      <c r="I173" s="8">
        <v>81.417819374999993</v>
      </c>
      <c r="J173" s="8">
        <v>0.28587430555555599</v>
      </c>
      <c r="K173" s="6" t="s">
        <v>29</v>
      </c>
      <c r="L173" s="29" t="s">
        <v>335</v>
      </c>
      <c r="M173" s="9">
        <v>44025</v>
      </c>
      <c r="O173" s="6">
        <v>42</v>
      </c>
      <c r="P173" s="6" t="s">
        <v>4403</v>
      </c>
      <c r="S173" s="6">
        <v>20</v>
      </c>
      <c r="T173" s="6">
        <v>30</v>
      </c>
      <c r="U173" s="10">
        <f t="shared" si="4"/>
        <v>25</v>
      </c>
      <c r="V173" s="15">
        <v>1.6</v>
      </c>
      <c r="W173" s="8">
        <v>-0.23767740827798806</v>
      </c>
      <c r="X173" s="8">
        <v>-0.73235857975110419</v>
      </c>
      <c r="Y173" s="8">
        <f t="shared" si="5"/>
        <v>1.1690606864728004</v>
      </c>
      <c r="Z173" s="6" t="s">
        <v>1760</v>
      </c>
    </row>
    <row r="174" spans="1:26" s="6" customFormat="1" x14ac:dyDescent="0.35">
      <c r="A174" s="6" t="s">
        <v>25</v>
      </c>
      <c r="B174" s="6" t="s">
        <v>2171</v>
      </c>
      <c r="D174" s="6" t="s">
        <v>2172</v>
      </c>
      <c r="E174" s="6">
        <v>4</v>
      </c>
      <c r="F174" s="6">
        <v>48</v>
      </c>
      <c r="I174" s="8">
        <v>80.754295347222197</v>
      </c>
      <c r="J174" s="8">
        <v>-0.488818958333333</v>
      </c>
      <c r="K174" s="6" t="s">
        <v>29</v>
      </c>
      <c r="L174" s="29" t="s">
        <v>335</v>
      </c>
      <c r="M174" s="9">
        <v>44032</v>
      </c>
      <c r="O174" s="6">
        <v>43</v>
      </c>
      <c r="P174" s="6" t="s">
        <v>4403</v>
      </c>
      <c r="S174" s="6">
        <v>20</v>
      </c>
      <c r="T174" s="6">
        <v>30</v>
      </c>
      <c r="U174" s="10">
        <f t="shared" si="4"/>
        <v>25</v>
      </c>
      <c r="V174" s="15">
        <v>1.8</v>
      </c>
      <c r="W174" s="8">
        <v>0.60167502486705771</v>
      </c>
      <c r="X174" s="8">
        <v>4.8051431007385261</v>
      </c>
      <c r="Y174" s="8">
        <f t="shared" si="5"/>
        <v>-8.2570981979355196E-3</v>
      </c>
      <c r="Z174" s="6" t="s">
        <v>1760</v>
      </c>
    </row>
    <row r="175" spans="1:26" s="6" customFormat="1" x14ac:dyDescent="0.35">
      <c r="A175" s="6" t="s">
        <v>25</v>
      </c>
      <c r="B175" s="6" t="s">
        <v>2262</v>
      </c>
      <c r="D175" s="6" t="s">
        <v>2263</v>
      </c>
      <c r="E175" s="6">
        <v>4</v>
      </c>
      <c r="F175" s="6">
        <v>49</v>
      </c>
      <c r="I175" s="8">
        <v>79.191449375000005</v>
      </c>
      <c r="J175" s="8">
        <v>-2.6081078472222199</v>
      </c>
      <c r="K175" s="6" t="s">
        <v>29</v>
      </c>
      <c r="L175" s="29" t="s">
        <v>335</v>
      </c>
      <c r="M175" s="9">
        <v>44041</v>
      </c>
      <c r="O175" s="6">
        <v>44</v>
      </c>
      <c r="P175" s="6" t="s">
        <v>4421</v>
      </c>
      <c r="S175" s="6">
        <v>20</v>
      </c>
      <c r="T175" s="6">
        <v>30</v>
      </c>
      <c r="U175" s="10">
        <f t="shared" si="4"/>
        <v>25</v>
      </c>
      <c r="V175" s="15">
        <v>1.1000000000000001</v>
      </c>
      <c r="W175" s="8">
        <v>0.32236852324604959</v>
      </c>
      <c r="X175" s="8">
        <v>3.1751851969242093</v>
      </c>
      <c r="Y175" s="8">
        <f t="shared" si="5"/>
        <v>0.59623701095581261</v>
      </c>
      <c r="Z175" s="6" t="s">
        <v>1760</v>
      </c>
    </row>
    <row r="176" spans="1:26" s="6" customFormat="1" x14ac:dyDescent="0.35">
      <c r="A176" s="6" t="s">
        <v>25</v>
      </c>
      <c r="B176" s="6" t="s">
        <v>2313</v>
      </c>
      <c r="D176" s="6" t="s">
        <v>2314</v>
      </c>
      <c r="E176" s="6">
        <v>5</v>
      </c>
      <c r="F176" s="6">
        <v>59</v>
      </c>
      <c r="I176" s="8">
        <v>88.299658402777794</v>
      </c>
      <c r="J176" s="8">
        <v>114.11509069444401</v>
      </c>
      <c r="K176" s="6" t="s">
        <v>29</v>
      </c>
      <c r="L176" s="29" t="s">
        <v>335</v>
      </c>
      <c r="M176" s="9">
        <v>44074</v>
      </c>
      <c r="O176" s="6">
        <v>50</v>
      </c>
      <c r="P176" s="6" t="s">
        <v>4396</v>
      </c>
      <c r="S176" s="6">
        <v>20</v>
      </c>
      <c r="T176" s="6">
        <v>30</v>
      </c>
      <c r="U176" s="10">
        <f t="shared" si="4"/>
        <v>25</v>
      </c>
      <c r="V176" s="15">
        <v>2.7</v>
      </c>
      <c r="W176" s="8">
        <v>0.75408320224285108</v>
      </c>
      <c r="X176" s="8">
        <v>5.6370424848556517</v>
      </c>
      <c r="Y176" s="8">
        <f t="shared" si="5"/>
        <v>-0.39562313308715691</v>
      </c>
      <c r="Z176" s="6" t="s">
        <v>1760</v>
      </c>
    </row>
    <row r="177" spans="1:26" s="6" customFormat="1" x14ac:dyDescent="0.35">
      <c r="A177" s="6" t="s">
        <v>25</v>
      </c>
      <c r="B177" s="6" t="s">
        <v>2380</v>
      </c>
      <c r="D177" s="6" t="s">
        <v>2381</v>
      </c>
      <c r="E177" s="6">
        <v>5</v>
      </c>
      <c r="F177" s="6">
        <v>61</v>
      </c>
      <c r="I177" s="8">
        <v>88.700402291666705</v>
      </c>
      <c r="J177" s="8">
        <v>111.973632708333</v>
      </c>
      <c r="K177" s="6" t="s">
        <v>29</v>
      </c>
      <c r="L177" s="29" t="s">
        <v>335</v>
      </c>
      <c r="M177" s="9">
        <v>44081</v>
      </c>
      <c r="O177" s="6">
        <v>51</v>
      </c>
      <c r="P177" s="6" t="s">
        <v>4434</v>
      </c>
      <c r="S177" s="6">
        <v>20</v>
      </c>
      <c r="T177" s="6">
        <v>30</v>
      </c>
      <c r="U177" s="10">
        <f t="shared" si="4"/>
        <v>25</v>
      </c>
      <c r="V177" s="15">
        <v>0</v>
      </c>
      <c r="W177" s="8">
        <v>-0.34013130444288209</v>
      </c>
      <c r="X177" s="8">
        <v>-2.7513381812334057</v>
      </c>
      <c r="Y177" s="8">
        <f t="shared" si="5"/>
        <v>-3.0287745690348977E-2</v>
      </c>
      <c r="Z177" s="6" t="s">
        <v>1760</v>
      </c>
    </row>
    <row r="178" spans="1:26" s="6" customFormat="1" x14ac:dyDescent="0.35">
      <c r="A178" s="6" t="s">
        <v>25</v>
      </c>
      <c r="B178" s="7" t="s">
        <v>450</v>
      </c>
      <c r="C178" s="6">
        <v>510627</v>
      </c>
      <c r="D178" s="6" t="s">
        <v>451</v>
      </c>
      <c r="E178" s="6">
        <v>1</v>
      </c>
      <c r="F178" s="6">
        <v>7</v>
      </c>
      <c r="G178" s="6" t="s">
        <v>179</v>
      </c>
      <c r="I178" s="8">
        <v>86.191348333333295</v>
      </c>
      <c r="J178" s="8">
        <v>118.623774583333</v>
      </c>
      <c r="K178" s="6" t="s">
        <v>29</v>
      </c>
      <c r="L178" s="6" t="s">
        <v>335</v>
      </c>
      <c r="M178" s="9">
        <v>43784</v>
      </c>
      <c r="O178" s="6">
        <v>7</v>
      </c>
      <c r="P178" s="6" t="s">
        <v>4260</v>
      </c>
      <c r="Q178" s="8">
        <v>-7.0333333333333341</v>
      </c>
      <c r="R178" s="10" t="s">
        <v>452</v>
      </c>
      <c r="S178" s="10">
        <v>20</v>
      </c>
      <c r="T178" s="10">
        <v>30.5</v>
      </c>
      <c r="U178" s="10">
        <f t="shared" si="4"/>
        <v>25.25</v>
      </c>
      <c r="V178" s="6">
        <v>0</v>
      </c>
      <c r="W178" s="8">
        <v>-4.9634786464691167</v>
      </c>
      <c r="X178" s="8">
        <v>-37.982069183349608</v>
      </c>
      <c r="Y178" s="8">
        <f t="shared" si="5"/>
        <v>1.7257599884033255</v>
      </c>
    </row>
    <row r="179" spans="1:26" s="6" customFormat="1" x14ac:dyDescent="0.35">
      <c r="A179" s="6" t="s">
        <v>25</v>
      </c>
      <c r="B179" s="6" t="s">
        <v>139</v>
      </c>
      <c r="C179" s="6">
        <v>510111</v>
      </c>
      <c r="D179" s="6" t="s">
        <v>130</v>
      </c>
      <c r="E179" s="6">
        <v>1</v>
      </c>
      <c r="F179" s="6">
        <v>2</v>
      </c>
      <c r="G179" s="6" t="s">
        <v>107</v>
      </c>
      <c r="I179" s="8">
        <v>84.8243581944444</v>
      </c>
      <c r="J179" s="8">
        <v>133.1380825</v>
      </c>
      <c r="K179" s="6" t="s">
        <v>29</v>
      </c>
      <c r="L179" s="6" t="s">
        <v>335</v>
      </c>
      <c r="M179" s="9">
        <v>43756</v>
      </c>
      <c r="O179" s="6">
        <v>3</v>
      </c>
      <c r="P179" s="6" t="s">
        <v>4247</v>
      </c>
      <c r="R179" s="6" t="s">
        <v>140</v>
      </c>
      <c r="S179" s="6">
        <v>20</v>
      </c>
      <c r="T179" s="6">
        <v>31</v>
      </c>
      <c r="U179" s="10">
        <f t="shared" si="4"/>
        <v>25.5</v>
      </c>
      <c r="V179" s="6">
        <v>3.2</v>
      </c>
      <c r="W179" s="8">
        <v>-6.0336783111572272</v>
      </c>
      <c r="X179" s="8">
        <v>-47.787683221435543</v>
      </c>
      <c r="Y179" s="8">
        <f t="shared" si="5"/>
        <v>0.48174326782227439</v>
      </c>
    </row>
    <row r="180" spans="1:26" s="6" customFormat="1" x14ac:dyDescent="0.35">
      <c r="A180" s="6" t="s">
        <v>25</v>
      </c>
      <c r="B180" s="6" t="s">
        <v>67</v>
      </c>
      <c r="C180" s="6">
        <v>510037</v>
      </c>
      <c r="D180" s="6" t="s">
        <v>62</v>
      </c>
      <c r="E180" s="6">
        <v>1</v>
      </c>
      <c r="F180" s="6">
        <v>2</v>
      </c>
      <c r="G180" s="6" t="s">
        <v>63</v>
      </c>
      <c r="I180" s="8">
        <v>84.770107638888902</v>
      </c>
      <c r="J180" s="8">
        <v>134.47681993055599</v>
      </c>
      <c r="K180" s="6" t="s">
        <v>29</v>
      </c>
      <c r="L180" s="6" t="s">
        <v>335</v>
      </c>
      <c r="M180" s="9">
        <v>43752</v>
      </c>
      <c r="O180" s="6">
        <v>3</v>
      </c>
      <c r="P180" s="6" t="s">
        <v>4246</v>
      </c>
      <c r="R180" s="6" t="s">
        <v>68</v>
      </c>
      <c r="S180" s="6">
        <v>20</v>
      </c>
      <c r="T180" s="6">
        <v>32</v>
      </c>
      <c r="U180" s="10">
        <f t="shared" si="4"/>
        <v>26</v>
      </c>
      <c r="V180" s="6">
        <v>6.5</v>
      </c>
      <c r="W180" s="8">
        <v>-0.58785051035881042</v>
      </c>
      <c r="X180" s="8">
        <v>-3.9343988332748414</v>
      </c>
      <c r="Y180" s="8">
        <f t="shared" si="5"/>
        <v>0.76840524959564194</v>
      </c>
    </row>
    <row r="181" spans="1:26" s="6" customFormat="1" x14ac:dyDescent="0.35">
      <c r="A181" s="6" t="s">
        <v>25</v>
      </c>
      <c r="B181" s="6" t="s">
        <v>132</v>
      </c>
      <c r="C181" s="6">
        <v>510100</v>
      </c>
      <c r="D181" s="6" t="s">
        <v>130</v>
      </c>
      <c r="E181" s="6">
        <v>1</v>
      </c>
      <c r="F181" s="6">
        <v>2</v>
      </c>
      <c r="G181" s="6" t="s">
        <v>107</v>
      </c>
      <c r="I181" s="8">
        <v>84.8243581944444</v>
      </c>
      <c r="J181" s="8">
        <v>133.1380825</v>
      </c>
      <c r="K181" s="6" t="s">
        <v>29</v>
      </c>
      <c r="L181" s="6" t="s">
        <v>335</v>
      </c>
      <c r="M181" s="9">
        <v>43756</v>
      </c>
      <c r="O181" s="6">
        <v>3</v>
      </c>
      <c r="P181" s="6" t="s">
        <v>4247</v>
      </c>
      <c r="R181" s="6" t="s">
        <v>133</v>
      </c>
      <c r="S181" s="6">
        <v>20</v>
      </c>
      <c r="T181" s="6">
        <v>32</v>
      </c>
      <c r="U181" s="10">
        <f t="shared" si="4"/>
        <v>26</v>
      </c>
      <c r="V181" s="6">
        <v>6.3</v>
      </c>
      <c r="W181" s="8">
        <v>-1.2040600635528567</v>
      </c>
      <c r="X181" s="8">
        <v>-8.4687438085556046</v>
      </c>
      <c r="Y181" s="8">
        <f t="shared" si="5"/>
        <v>1.1637366998672487</v>
      </c>
    </row>
    <row r="182" spans="1:26" s="6" customFormat="1" x14ac:dyDescent="0.35">
      <c r="A182" s="6" t="s">
        <v>25</v>
      </c>
      <c r="B182" s="7"/>
      <c r="C182" s="6">
        <v>510215</v>
      </c>
      <c r="D182" s="6" t="s">
        <v>201</v>
      </c>
      <c r="E182" s="6">
        <v>1</v>
      </c>
      <c r="F182" s="6">
        <v>5</v>
      </c>
      <c r="G182" s="6" t="s">
        <v>202</v>
      </c>
      <c r="H182" s="6">
        <v>9</v>
      </c>
      <c r="I182" s="8">
        <v>85.587483888888897</v>
      </c>
      <c r="J182" s="8">
        <v>126.139427777778</v>
      </c>
      <c r="K182" s="6" t="s">
        <v>29</v>
      </c>
      <c r="L182" s="6" t="s">
        <v>335</v>
      </c>
      <c r="M182" s="9">
        <v>43766</v>
      </c>
      <c r="O182" s="6">
        <v>5</v>
      </c>
      <c r="P182" s="6" t="s">
        <v>4251</v>
      </c>
      <c r="R182" s="6" t="s">
        <v>207</v>
      </c>
      <c r="S182" s="6">
        <v>20.7</v>
      </c>
      <c r="T182" s="6">
        <v>31.5</v>
      </c>
      <c r="U182" s="10">
        <f t="shared" si="4"/>
        <v>26.1</v>
      </c>
      <c r="V182" s="6">
        <v>5.7</v>
      </c>
      <c r="W182" s="8">
        <v>0.11191538362503048</v>
      </c>
      <c r="X182" s="8">
        <v>2.021436303806305</v>
      </c>
      <c r="Y182" s="8">
        <f t="shared" si="5"/>
        <v>1.1261132348060612</v>
      </c>
    </row>
    <row r="183" spans="1:26" s="6" customFormat="1" x14ac:dyDescent="0.35">
      <c r="A183" s="6" t="s">
        <v>25</v>
      </c>
      <c r="B183" s="7" t="s">
        <v>267</v>
      </c>
      <c r="D183" s="6" t="s">
        <v>268</v>
      </c>
      <c r="E183" s="6">
        <v>1</v>
      </c>
      <c r="F183" s="6">
        <v>5</v>
      </c>
      <c r="G183" s="6" t="s">
        <v>179</v>
      </c>
      <c r="I183" s="8">
        <v>85.859204791666698</v>
      </c>
      <c r="J183" s="8">
        <v>122.400430694444</v>
      </c>
      <c r="K183" s="7" t="s">
        <v>29</v>
      </c>
      <c r="L183" s="6" t="s">
        <v>335</v>
      </c>
      <c r="M183" s="9">
        <v>43771</v>
      </c>
      <c r="O183" s="6">
        <v>5</v>
      </c>
      <c r="P183" s="6" t="s">
        <v>4254</v>
      </c>
      <c r="R183" s="10"/>
      <c r="S183" s="10">
        <v>22</v>
      </c>
      <c r="T183" s="10">
        <v>30.5</v>
      </c>
      <c r="U183" s="10">
        <f t="shared" si="4"/>
        <v>26.25</v>
      </c>
      <c r="V183" s="6">
        <v>0</v>
      </c>
      <c r="W183" s="8">
        <v>-4.4263598244667053</v>
      </c>
      <c r="X183" s="8">
        <v>-34.651463699340816</v>
      </c>
      <c r="Y183" s="8">
        <f t="shared" si="5"/>
        <v>0.75941489639282622</v>
      </c>
    </row>
    <row r="184" spans="1:26" s="6" customFormat="1" x14ac:dyDescent="0.35">
      <c r="A184" s="6" t="s">
        <v>25</v>
      </c>
      <c r="B184" s="6" t="s">
        <v>2488</v>
      </c>
      <c r="D184" s="6" t="s">
        <v>2489</v>
      </c>
      <c r="E184" s="6">
        <v>5</v>
      </c>
      <c r="F184" s="6">
        <v>61</v>
      </c>
      <c r="I184" s="8">
        <v>89.023700416666699</v>
      </c>
      <c r="J184" s="8">
        <v>102.473466597222</v>
      </c>
      <c r="K184" s="6" t="s">
        <v>29</v>
      </c>
      <c r="L184" s="29" t="s">
        <v>335</v>
      </c>
      <c r="M184" s="9">
        <v>44088</v>
      </c>
      <c r="O184" s="6">
        <v>52</v>
      </c>
      <c r="P184" s="6" t="s">
        <v>4394</v>
      </c>
      <c r="S184" s="6">
        <v>21</v>
      </c>
      <c r="T184" s="6">
        <v>31.5</v>
      </c>
      <c r="U184" s="10">
        <f t="shared" si="4"/>
        <v>26.25</v>
      </c>
      <c r="V184" s="15">
        <v>0.4</v>
      </c>
      <c r="W184" s="8">
        <v>-0.32039320539236094</v>
      </c>
      <c r="X184" s="8">
        <v>-1.1638963304162027</v>
      </c>
      <c r="Y184" s="8">
        <f t="shared" si="5"/>
        <v>1.3992493127226848</v>
      </c>
      <c r="Z184" s="6" t="s">
        <v>1760</v>
      </c>
    </row>
    <row r="185" spans="1:26" s="6" customFormat="1" x14ac:dyDescent="0.35">
      <c r="A185" s="6" t="s">
        <v>25</v>
      </c>
      <c r="B185" s="6" t="s">
        <v>127</v>
      </c>
      <c r="C185" s="6">
        <v>510097</v>
      </c>
      <c r="D185" s="6" t="s">
        <v>125</v>
      </c>
      <c r="E185" s="6">
        <v>1</v>
      </c>
      <c r="F185" s="6">
        <v>2</v>
      </c>
      <c r="G185" s="6" t="s">
        <v>107</v>
      </c>
      <c r="I185" s="8">
        <v>84.8243581944444</v>
      </c>
      <c r="J185" s="8">
        <v>133.1380825</v>
      </c>
      <c r="K185" s="6" t="s">
        <v>29</v>
      </c>
      <c r="L185" s="6" t="s">
        <v>335</v>
      </c>
      <c r="M185" s="9">
        <v>43756</v>
      </c>
      <c r="O185" s="6">
        <v>3</v>
      </c>
      <c r="P185" s="6" t="s">
        <v>4247</v>
      </c>
      <c r="R185" s="6" t="s">
        <v>128</v>
      </c>
      <c r="S185" s="6">
        <v>20</v>
      </c>
      <c r="T185" s="6">
        <v>34</v>
      </c>
      <c r="U185" s="10">
        <f t="shared" si="4"/>
        <v>27</v>
      </c>
      <c r="V185" s="6">
        <v>6.9</v>
      </c>
      <c r="W185" s="8">
        <v>1.0432004064559932</v>
      </c>
      <c r="X185" s="8">
        <v>8.5457408065795892</v>
      </c>
      <c r="Y185" s="8">
        <f t="shared" si="5"/>
        <v>0.20013755493164354</v>
      </c>
    </row>
    <row r="186" spans="1:26" s="6" customFormat="1" x14ac:dyDescent="0.35">
      <c r="A186" s="6" t="s">
        <v>25</v>
      </c>
      <c r="B186" s="7" t="s">
        <v>1651</v>
      </c>
      <c r="D186" s="6" t="s">
        <v>1652</v>
      </c>
      <c r="E186" s="6">
        <v>4</v>
      </c>
      <c r="F186" s="6">
        <v>44</v>
      </c>
      <c r="G186" s="6" t="s">
        <v>335</v>
      </c>
      <c r="I186" s="8">
        <v>81.975306180555606</v>
      </c>
      <c r="J186" s="8">
        <v>9.2425022222222193</v>
      </c>
      <c r="K186" s="6" t="s">
        <v>29</v>
      </c>
      <c r="L186" s="6" t="s">
        <v>335</v>
      </c>
      <c r="M186" s="9">
        <v>44004</v>
      </c>
      <c r="O186" s="6">
        <v>39</v>
      </c>
      <c r="P186" s="6" t="s">
        <v>4405</v>
      </c>
      <c r="R186" s="10" t="s">
        <v>1653</v>
      </c>
      <c r="S186" s="10">
        <v>25</v>
      </c>
      <c r="T186" s="10">
        <v>30</v>
      </c>
      <c r="U186" s="10">
        <f t="shared" si="4"/>
        <v>27.5</v>
      </c>
      <c r="V186" s="11"/>
      <c r="W186" s="8">
        <v>0.74295046494007133</v>
      </c>
      <c r="X186" s="8">
        <v>6.2375131783008575</v>
      </c>
      <c r="Y186" s="8">
        <f t="shared" si="5"/>
        <v>0.29390945878028685</v>
      </c>
    </row>
    <row r="187" spans="1:26" s="6" customFormat="1" x14ac:dyDescent="0.35">
      <c r="A187" s="6" t="s">
        <v>25</v>
      </c>
      <c r="B187" s="7" t="s">
        <v>2235</v>
      </c>
      <c r="D187" s="6" t="s">
        <v>2236</v>
      </c>
      <c r="E187" s="6">
        <v>4</v>
      </c>
      <c r="F187" s="6">
        <v>49</v>
      </c>
      <c r="G187" s="6" t="s">
        <v>335</v>
      </c>
      <c r="I187" s="8">
        <v>79.191449375000005</v>
      </c>
      <c r="J187" s="8">
        <v>-2.6081078472222199</v>
      </c>
      <c r="K187" s="6" t="s">
        <v>29</v>
      </c>
      <c r="L187" s="6" t="s">
        <v>335</v>
      </c>
      <c r="M187" s="9">
        <v>44041</v>
      </c>
      <c r="O187" s="6">
        <v>44</v>
      </c>
      <c r="P187" s="6" t="s">
        <v>4421</v>
      </c>
      <c r="R187" s="10" t="s">
        <v>1979</v>
      </c>
      <c r="S187" s="10">
        <v>25</v>
      </c>
      <c r="T187" s="10">
        <v>30</v>
      </c>
      <c r="U187" s="10">
        <f t="shared" si="4"/>
        <v>27.5</v>
      </c>
      <c r="V187" s="11"/>
      <c r="W187" s="8">
        <v>0.17350080291628822</v>
      </c>
      <c r="X187" s="8">
        <v>1.4735623445510873</v>
      </c>
      <c r="Y187" s="8">
        <f t="shared" si="5"/>
        <v>8.5555921220781483E-2</v>
      </c>
    </row>
    <row r="188" spans="1:26" s="6" customFormat="1" x14ac:dyDescent="0.35">
      <c r="A188" s="6" t="s">
        <v>25</v>
      </c>
      <c r="B188" s="6" t="s">
        <v>95</v>
      </c>
      <c r="C188" s="6">
        <v>510059</v>
      </c>
      <c r="D188" s="6" t="s">
        <v>92</v>
      </c>
      <c r="E188" s="6">
        <v>1</v>
      </c>
      <c r="F188" s="6">
        <v>2</v>
      </c>
      <c r="G188" s="6" t="s">
        <v>63</v>
      </c>
      <c r="I188" s="8">
        <v>84.770107638888902</v>
      </c>
      <c r="J188" s="8">
        <v>134.47681993055599</v>
      </c>
      <c r="K188" s="6" t="s">
        <v>29</v>
      </c>
      <c r="L188" s="6" t="s">
        <v>335</v>
      </c>
      <c r="M188" s="9">
        <v>43752</v>
      </c>
      <c r="O188" s="6">
        <v>3</v>
      </c>
      <c r="P188" s="6" t="s">
        <v>4246</v>
      </c>
      <c r="R188" s="6" t="s">
        <v>96</v>
      </c>
      <c r="S188" s="6">
        <v>23</v>
      </c>
      <c r="T188" s="6">
        <v>33</v>
      </c>
      <c r="U188" s="10">
        <f t="shared" si="4"/>
        <v>28</v>
      </c>
      <c r="V188" s="6">
        <v>5.5</v>
      </c>
      <c r="W188" s="8">
        <v>-6.2115492439270364E-2</v>
      </c>
      <c r="X188" s="8">
        <v>-0.30956320410966892</v>
      </c>
      <c r="Y188" s="8">
        <f t="shared" si="5"/>
        <v>0.18736073540449399</v>
      </c>
    </row>
    <row r="189" spans="1:26" s="6" customFormat="1" x14ac:dyDescent="0.35">
      <c r="A189" s="6" t="s">
        <v>25</v>
      </c>
      <c r="B189" s="6" t="s">
        <v>81</v>
      </c>
      <c r="C189" s="6">
        <v>510043</v>
      </c>
      <c r="D189" s="6" t="s">
        <v>77</v>
      </c>
      <c r="E189" s="6">
        <v>1</v>
      </c>
      <c r="F189" s="6">
        <v>2</v>
      </c>
      <c r="G189" s="6" t="s">
        <v>63</v>
      </c>
      <c r="I189" s="8">
        <v>84.770107638888902</v>
      </c>
      <c r="J189" s="8">
        <v>134.47681993055599</v>
      </c>
      <c r="K189" s="6" t="s">
        <v>29</v>
      </c>
      <c r="L189" s="6" t="s">
        <v>335</v>
      </c>
      <c r="M189" s="9">
        <v>43752</v>
      </c>
      <c r="O189" s="6">
        <v>3</v>
      </c>
      <c r="P189" s="6" t="s">
        <v>4246</v>
      </c>
      <c r="R189" s="6" t="s">
        <v>82</v>
      </c>
      <c r="S189" s="6">
        <v>24</v>
      </c>
      <c r="T189" s="6">
        <v>34</v>
      </c>
      <c r="U189" s="10">
        <f t="shared" si="4"/>
        <v>29</v>
      </c>
      <c r="V189" s="6">
        <v>0</v>
      </c>
      <c r="W189" s="8">
        <v>-1.8651960931777956</v>
      </c>
      <c r="X189" s="8">
        <v>-14.498363297939299</v>
      </c>
      <c r="Y189" s="8">
        <f t="shared" si="5"/>
        <v>0.4232054474830651</v>
      </c>
    </row>
    <row r="190" spans="1:26" s="6" customFormat="1" x14ac:dyDescent="0.35">
      <c r="A190" s="6" t="s">
        <v>25</v>
      </c>
      <c r="B190" s="7" t="s">
        <v>511</v>
      </c>
      <c r="C190" s="6">
        <v>510680</v>
      </c>
      <c r="D190" s="6" t="s">
        <v>512</v>
      </c>
      <c r="E190" s="6">
        <v>1</v>
      </c>
      <c r="F190" s="6">
        <v>8</v>
      </c>
      <c r="G190" s="6" t="s">
        <v>179</v>
      </c>
      <c r="I190" s="8">
        <v>85.788680208333304</v>
      </c>
      <c r="J190" s="8">
        <v>120.807478194444</v>
      </c>
      <c r="K190" s="6" t="s">
        <v>29</v>
      </c>
      <c r="L190" s="6" t="s">
        <v>335</v>
      </c>
      <c r="M190" s="9">
        <v>43788</v>
      </c>
      <c r="O190" s="6">
        <v>8</v>
      </c>
      <c r="P190" s="6" t="s">
        <v>4264</v>
      </c>
      <c r="Q190" s="8">
        <v>-3.7</v>
      </c>
      <c r="R190" s="10" t="s">
        <v>513</v>
      </c>
      <c r="S190" s="10">
        <v>27.5</v>
      </c>
      <c r="T190" s="10">
        <v>37.5</v>
      </c>
      <c r="U190" s="10">
        <f t="shared" si="4"/>
        <v>32.5</v>
      </c>
      <c r="V190" s="6">
        <v>4.7</v>
      </c>
      <c r="W190" s="8">
        <v>1.0681391934633253</v>
      </c>
      <c r="X190" s="8">
        <v>9.0338456811904919</v>
      </c>
      <c r="Y190" s="8">
        <f t="shared" si="5"/>
        <v>0.48873213348388944</v>
      </c>
    </row>
    <row r="191" spans="1:26" s="6" customFormat="1" x14ac:dyDescent="0.35">
      <c r="A191" s="6" t="s">
        <v>25</v>
      </c>
      <c r="B191" s="7" t="s">
        <v>1720</v>
      </c>
      <c r="D191" s="6" t="s">
        <v>1721</v>
      </c>
      <c r="E191" s="6">
        <v>4</v>
      </c>
      <c r="F191" s="6">
        <v>44</v>
      </c>
      <c r="G191" s="6" t="s">
        <v>335</v>
      </c>
      <c r="I191" s="8">
        <v>81.975306180555606</v>
      </c>
      <c r="J191" s="8">
        <v>9.2425022222222193</v>
      </c>
      <c r="K191" s="6" t="s">
        <v>29</v>
      </c>
      <c r="L191" s="6" t="s">
        <v>335</v>
      </c>
      <c r="M191" s="9">
        <v>44004</v>
      </c>
      <c r="O191" s="6">
        <v>39</v>
      </c>
      <c r="P191" s="6" t="s">
        <v>4405</v>
      </c>
      <c r="R191" s="10" t="s">
        <v>1722</v>
      </c>
      <c r="S191" s="10">
        <v>30</v>
      </c>
      <c r="T191" s="10">
        <v>35</v>
      </c>
      <c r="U191" s="10">
        <f t="shared" si="4"/>
        <v>32.5</v>
      </c>
      <c r="V191" s="11"/>
      <c r="W191" s="8">
        <v>0.86220333231449131</v>
      </c>
      <c r="X191" s="8">
        <v>6.6711386352181439</v>
      </c>
      <c r="Y191" s="8">
        <f t="shared" si="5"/>
        <v>-0.22648802329778661</v>
      </c>
    </row>
    <row r="192" spans="1:26" s="6" customFormat="1" x14ac:dyDescent="0.35">
      <c r="A192" s="6" t="s">
        <v>25</v>
      </c>
      <c r="B192" s="7" t="s">
        <v>2237</v>
      </c>
      <c r="D192" s="6" t="s">
        <v>2238</v>
      </c>
      <c r="E192" s="6">
        <v>4</v>
      </c>
      <c r="F192" s="6">
        <v>49</v>
      </c>
      <c r="G192" s="6" t="s">
        <v>335</v>
      </c>
      <c r="I192" s="8">
        <v>79.191449375000005</v>
      </c>
      <c r="J192" s="8">
        <v>-2.6081078472222199</v>
      </c>
      <c r="K192" s="6" t="s">
        <v>29</v>
      </c>
      <c r="L192" s="6" t="s">
        <v>335</v>
      </c>
      <c r="M192" s="9">
        <v>44041</v>
      </c>
      <c r="O192" s="6">
        <v>44</v>
      </c>
      <c r="P192" s="6" t="s">
        <v>4421</v>
      </c>
      <c r="R192" s="10" t="s">
        <v>1982</v>
      </c>
      <c r="S192" s="10">
        <v>30</v>
      </c>
      <c r="T192" s="10">
        <v>35</v>
      </c>
      <c r="U192" s="10">
        <f t="shared" si="4"/>
        <v>32.5</v>
      </c>
      <c r="V192" s="11"/>
      <c r="W192" s="8">
        <v>-7.5860587164758549E-3</v>
      </c>
      <c r="X192" s="8">
        <v>0.24096596658229871</v>
      </c>
      <c r="Y192" s="8">
        <f t="shared" si="5"/>
        <v>0.30165443631410555</v>
      </c>
    </row>
    <row r="193" spans="1:25" s="6" customFormat="1" x14ac:dyDescent="0.35">
      <c r="A193" s="6" t="s">
        <v>25</v>
      </c>
      <c r="B193" s="7" t="s">
        <v>248</v>
      </c>
      <c r="C193" s="6">
        <v>510284</v>
      </c>
      <c r="D193" s="6" t="s">
        <v>249</v>
      </c>
      <c r="E193" s="6">
        <v>1</v>
      </c>
      <c r="F193" s="6">
        <v>5</v>
      </c>
      <c r="G193" s="6" t="s">
        <v>179</v>
      </c>
      <c r="I193" s="8">
        <v>85.726575763888903</v>
      </c>
      <c r="J193" s="8">
        <v>124.264683611111</v>
      </c>
      <c r="K193" s="6" t="s">
        <v>29</v>
      </c>
      <c r="L193" s="6" t="s">
        <v>335</v>
      </c>
      <c r="M193" s="9">
        <v>43768</v>
      </c>
      <c r="O193" s="6">
        <v>5</v>
      </c>
      <c r="P193" s="6" t="s">
        <v>4252</v>
      </c>
      <c r="Q193" s="6">
        <v>-2.0099999999999998</v>
      </c>
      <c r="R193" s="10"/>
      <c r="S193" s="10">
        <v>29</v>
      </c>
      <c r="T193" s="10">
        <v>38</v>
      </c>
      <c r="U193" s="10">
        <f t="shared" si="4"/>
        <v>33.5</v>
      </c>
      <c r="V193" s="6">
        <v>5.7</v>
      </c>
      <c r="W193" s="8">
        <v>1.1996086540222171</v>
      </c>
      <c r="X193" s="8">
        <v>9.7202150963544831</v>
      </c>
      <c r="Y193" s="8">
        <f t="shared" si="5"/>
        <v>0.12334586417674664</v>
      </c>
    </row>
    <row r="194" spans="1:25" s="6" customFormat="1" x14ac:dyDescent="0.35">
      <c r="A194" s="6" t="s">
        <v>25</v>
      </c>
      <c r="B194" s="6" t="s">
        <v>147</v>
      </c>
      <c r="C194" s="6">
        <v>510116</v>
      </c>
      <c r="D194" s="6" t="s">
        <v>130</v>
      </c>
      <c r="E194" s="6">
        <v>1</v>
      </c>
      <c r="F194" s="6">
        <v>2</v>
      </c>
      <c r="G194" s="6" t="s">
        <v>107</v>
      </c>
      <c r="I194" s="8">
        <v>84.8243581944444</v>
      </c>
      <c r="J194" s="8">
        <v>133.1380825</v>
      </c>
      <c r="K194" s="6" t="s">
        <v>29</v>
      </c>
      <c r="L194" s="6" t="s">
        <v>335</v>
      </c>
      <c r="M194" s="9">
        <v>43756</v>
      </c>
      <c r="O194" s="6">
        <v>3</v>
      </c>
      <c r="P194" s="6" t="s">
        <v>4247</v>
      </c>
      <c r="R194" s="6" t="s">
        <v>148</v>
      </c>
      <c r="S194" s="6">
        <v>30</v>
      </c>
      <c r="T194" s="6">
        <v>37.5</v>
      </c>
      <c r="U194" s="10">
        <f t="shared" ref="U194:U257" si="6">AVERAGE(S194:T194)</f>
        <v>33.75</v>
      </c>
      <c r="V194" s="6">
        <v>5.3</v>
      </c>
      <c r="W194" s="8">
        <v>-0.79831197236776363</v>
      </c>
      <c r="X194" s="8">
        <v>-9.1890559893608099</v>
      </c>
      <c r="Y194" s="8">
        <f t="shared" ref="Y194:Y257" si="7">X194-(8*W194)</f>
        <v>-2.8025602104187008</v>
      </c>
    </row>
    <row r="195" spans="1:25" s="6" customFormat="1" x14ac:dyDescent="0.35">
      <c r="A195" s="6" t="s">
        <v>25</v>
      </c>
      <c r="B195" s="6" t="s">
        <v>118</v>
      </c>
      <c r="C195" s="6">
        <v>510092</v>
      </c>
      <c r="D195" s="6" t="s">
        <v>115</v>
      </c>
      <c r="E195" s="6">
        <v>1</v>
      </c>
      <c r="F195" s="6">
        <v>2</v>
      </c>
      <c r="G195" s="6" t="s">
        <v>107</v>
      </c>
      <c r="I195" s="8">
        <v>84.8243581944444</v>
      </c>
      <c r="J195" s="8">
        <v>133.1380825</v>
      </c>
      <c r="K195" s="6" t="s">
        <v>29</v>
      </c>
      <c r="L195" s="6" t="s">
        <v>335</v>
      </c>
      <c r="M195" s="9">
        <v>43756</v>
      </c>
      <c r="O195" s="6">
        <v>3</v>
      </c>
      <c r="P195" s="6" t="s">
        <v>4247</v>
      </c>
      <c r="R195" s="6" t="s">
        <v>119</v>
      </c>
      <c r="S195" s="6">
        <v>30</v>
      </c>
      <c r="T195" s="6">
        <v>38</v>
      </c>
      <c r="U195" s="10">
        <f t="shared" si="6"/>
        <v>34</v>
      </c>
      <c r="V195" s="6">
        <v>6.6</v>
      </c>
      <c r="W195" s="8">
        <v>-0.55139312610626223</v>
      </c>
      <c r="X195" s="8">
        <v>-3.5201894273757932</v>
      </c>
      <c r="Y195" s="8">
        <f t="shared" si="7"/>
        <v>0.89095558147430465</v>
      </c>
    </row>
    <row r="196" spans="1:25" s="6" customFormat="1" x14ac:dyDescent="0.35">
      <c r="A196" s="6" t="s">
        <v>25</v>
      </c>
      <c r="B196" s="7"/>
      <c r="C196" s="6">
        <v>510214</v>
      </c>
      <c r="D196" s="6" t="s">
        <v>201</v>
      </c>
      <c r="E196" s="6">
        <v>1</v>
      </c>
      <c r="F196" s="6">
        <v>5</v>
      </c>
      <c r="G196" s="6" t="s">
        <v>202</v>
      </c>
      <c r="H196" s="6">
        <v>9</v>
      </c>
      <c r="I196" s="8">
        <v>85.587483888888897</v>
      </c>
      <c r="J196" s="8">
        <v>126.139427777778</v>
      </c>
      <c r="K196" s="6" t="s">
        <v>29</v>
      </c>
      <c r="L196" s="6" t="s">
        <v>335</v>
      </c>
      <c r="M196" s="9">
        <v>43766</v>
      </c>
      <c r="O196" s="6">
        <v>5</v>
      </c>
      <c r="P196" s="6" t="s">
        <v>4251</v>
      </c>
      <c r="R196" s="6" t="s">
        <v>206</v>
      </c>
      <c r="S196" s="6">
        <v>31.5</v>
      </c>
      <c r="T196" s="6">
        <v>36.5</v>
      </c>
      <c r="U196" s="10">
        <f t="shared" si="6"/>
        <v>34</v>
      </c>
      <c r="V196" s="6">
        <v>5.4</v>
      </c>
      <c r="W196" s="8">
        <v>0.98120214204788259</v>
      </c>
      <c r="X196" s="8">
        <v>8.7251849262237542</v>
      </c>
      <c r="Y196" s="8">
        <f t="shared" si="7"/>
        <v>0.8755677898406935</v>
      </c>
    </row>
    <row r="197" spans="1:25" s="6" customFormat="1" x14ac:dyDescent="0.35">
      <c r="A197" s="6" t="s">
        <v>25</v>
      </c>
      <c r="B197" s="6" t="s">
        <v>112</v>
      </c>
      <c r="C197" s="6">
        <v>510088</v>
      </c>
      <c r="D197" s="6" t="s">
        <v>106</v>
      </c>
      <c r="E197" s="6">
        <v>1</v>
      </c>
      <c r="F197" s="6">
        <v>2</v>
      </c>
      <c r="G197" s="6" t="s">
        <v>107</v>
      </c>
      <c r="I197" s="8">
        <v>84.8243581944444</v>
      </c>
      <c r="J197" s="8">
        <v>133.1380825</v>
      </c>
      <c r="K197" s="6" t="s">
        <v>29</v>
      </c>
      <c r="L197" s="6" t="s">
        <v>335</v>
      </c>
      <c r="M197" s="9">
        <v>43756</v>
      </c>
      <c r="O197" s="6">
        <v>3</v>
      </c>
      <c r="P197" s="6" t="s">
        <v>4247</v>
      </c>
      <c r="R197" s="6" t="s">
        <v>113</v>
      </c>
      <c r="S197" s="6">
        <v>30</v>
      </c>
      <c r="T197" s="6">
        <v>39</v>
      </c>
      <c r="U197" s="10">
        <f t="shared" si="6"/>
        <v>34.5</v>
      </c>
      <c r="V197" s="6">
        <v>6.9</v>
      </c>
      <c r="W197" s="8">
        <v>1.096433981323242</v>
      </c>
      <c r="X197" s="8">
        <v>9.053515159606933</v>
      </c>
      <c r="Y197" s="8">
        <f t="shared" si="7"/>
        <v>0.28204330902099706</v>
      </c>
    </row>
    <row r="198" spans="1:25" s="6" customFormat="1" x14ac:dyDescent="0.35">
      <c r="A198" s="6" t="s">
        <v>25</v>
      </c>
      <c r="B198" s="7"/>
      <c r="C198" s="6">
        <v>510512</v>
      </c>
      <c r="D198" s="6" t="s">
        <v>377</v>
      </c>
      <c r="E198" s="6">
        <v>1</v>
      </c>
      <c r="F198" s="6">
        <v>7</v>
      </c>
      <c r="G198" s="6" t="s">
        <v>202</v>
      </c>
      <c r="H198" s="6">
        <v>9</v>
      </c>
      <c r="I198" s="8">
        <v>85.915187361111094</v>
      </c>
      <c r="J198" s="8">
        <v>116.660135</v>
      </c>
      <c r="K198" s="6" t="s">
        <v>29</v>
      </c>
      <c r="L198" s="6" t="s">
        <v>335</v>
      </c>
      <c r="M198" s="9">
        <v>43780</v>
      </c>
      <c r="O198" s="6">
        <v>7</v>
      </c>
      <c r="P198" s="6" t="s">
        <v>4259</v>
      </c>
      <c r="R198" s="6" t="s">
        <v>378</v>
      </c>
      <c r="S198" s="6">
        <v>30</v>
      </c>
      <c r="T198" s="6">
        <v>39</v>
      </c>
      <c r="U198" s="10">
        <f t="shared" si="6"/>
        <v>34.5</v>
      </c>
      <c r="V198" s="6">
        <v>5.6</v>
      </c>
      <c r="W198" s="8">
        <v>0.72356797242164617</v>
      </c>
      <c r="X198" s="8">
        <v>7.6969411563873287</v>
      </c>
      <c r="Y198" s="8">
        <f t="shared" si="7"/>
        <v>1.9083973770141593</v>
      </c>
    </row>
    <row r="199" spans="1:25" s="6" customFormat="1" x14ac:dyDescent="0.35">
      <c r="A199" s="6" t="s">
        <v>25</v>
      </c>
      <c r="B199" s="7" t="s">
        <v>259</v>
      </c>
      <c r="D199" s="6" t="s">
        <v>260</v>
      </c>
      <c r="E199" s="6">
        <v>1</v>
      </c>
      <c r="F199" s="6">
        <v>5</v>
      </c>
      <c r="G199" s="6" t="s">
        <v>179</v>
      </c>
      <c r="I199" s="8">
        <v>85.859204791666698</v>
      </c>
      <c r="J199" s="8">
        <v>122.400430694444</v>
      </c>
      <c r="K199" s="7" t="s">
        <v>29</v>
      </c>
      <c r="L199" s="6" t="s">
        <v>335</v>
      </c>
      <c r="M199" s="9">
        <v>43771</v>
      </c>
      <c r="O199" s="6">
        <v>5</v>
      </c>
      <c r="P199" s="6" t="s">
        <v>4254</v>
      </c>
      <c r="R199" s="10"/>
      <c r="S199" s="10">
        <v>30.5</v>
      </c>
      <c r="T199" s="10">
        <v>39</v>
      </c>
      <c r="U199" s="10">
        <f t="shared" si="6"/>
        <v>34.75</v>
      </c>
      <c r="V199" s="6">
        <v>0</v>
      </c>
      <c r="W199" s="8">
        <v>-5.2677801606178285</v>
      </c>
      <c r="X199" s="8">
        <v>-40.138639427185062</v>
      </c>
      <c r="Y199" s="8">
        <f t="shared" si="7"/>
        <v>2.0036018577575661</v>
      </c>
    </row>
    <row r="200" spans="1:25" s="6" customFormat="1" x14ac:dyDescent="0.35">
      <c r="A200" s="6" t="s">
        <v>25</v>
      </c>
      <c r="B200" s="6" t="s">
        <v>53</v>
      </c>
      <c r="D200" s="6" t="s">
        <v>49</v>
      </c>
      <c r="E200" s="6">
        <v>1</v>
      </c>
      <c r="F200" s="6">
        <v>1</v>
      </c>
      <c r="G200" s="6" t="s">
        <v>4466</v>
      </c>
      <c r="I200" s="8">
        <v>84.908087777777794</v>
      </c>
      <c r="J200" s="8">
        <v>135.908380208333</v>
      </c>
      <c r="K200" s="6" t="s">
        <v>29</v>
      </c>
      <c r="L200" s="6" t="s">
        <v>335</v>
      </c>
      <c r="M200" s="9">
        <v>43747</v>
      </c>
      <c r="O200" s="6">
        <v>2</v>
      </c>
      <c r="P200" s="6" t="s">
        <v>4244</v>
      </c>
      <c r="R200" s="6">
        <v>30</v>
      </c>
      <c r="S200" s="6">
        <v>30</v>
      </c>
      <c r="T200" s="6">
        <v>40</v>
      </c>
      <c r="U200" s="10">
        <f t="shared" si="6"/>
        <v>35</v>
      </c>
      <c r="V200" s="30"/>
      <c r="W200" s="8">
        <v>-0.44330404427945613</v>
      </c>
      <c r="X200" s="8">
        <v>-1.382868501663209</v>
      </c>
      <c r="Y200" s="8">
        <f t="shared" si="7"/>
        <v>2.1635638525724401</v>
      </c>
    </row>
    <row r="201" spans="1:25" s="6" customFormat="1" x14ac:dyDescent="0.35">
      <c r="A201" s="6" t="s">
        <v>25</v>
      </c>
      <c r="B201" s="6" t="s">
        <v>156</v>
      </c>
      <c r="C201" s="6">
        <v>510156</v>
      </c>
      <c r="D201" s="6" t="s">
        <v>152</v>
      </c>
      <c r="E201" s="6">
        <v>1</v>
      </c>
      <c r="F201" s="6">
        <v>3</v>
      </c>
      <c r="G201" s="6" t="s">
        <v>153</v>
      </c>
      <c r="I201" s="8">
        <v>85.348898888888897</v>
      </c>
      <c r="J201" s="8">
        <v>129.88336361111101</v>
      </c>
      <c r="K201" s="6" t="s">
        <v>29</v>
      </c>
      <c r="L201" s="6" t="s">
        <v>335</v>
      </c>
      <c r="M201" s="9">
        <v>43761</v>
      </c>
      <c r="O201" s="6">
        <v>4</v>
      </c>
      <c r="P201" s="6" t="s">
        <v>4248</v>
      </c>
      <c r="R201" s="6" t="s">
        <v>157</v>
      </c>
      <c r="S201" s="6">
        <v>30</v>
      </c>
      <c r="T201" s="6">
        <v>40</v>
      </c>
      <c r="U201" s="10">
        <f t="shared" si="6"/>
        <v>35</v>
      </c>
      <c r="V201" s="6">
        <v>4.3</v>
      </c>
      <c r="W201" s="8">
        <v>-8.1380801916122125E-2</v>
      </c>
      <c r="X201" s="8">
        <v>-0.14442322815954658</v>
      </c>
      <c r="Y201" s="8">
        <f t="shared" si="7"/>
        <v>0.50662318716943044</v>
      </c>
    </row>
    <row r="202" spans="1:25" s="6" customFormat="1" x14ac:dyDescent="0.35">
      <c r="A202" s="6" t="s">
        <v>25</v>
      </c>
      <c r="B202" s="7"/>
      <c r="C202" s="6">
        <v>510170</v>
      </c>
      <c r="D202" s="6" t="s">
        <v>178</v>
      </c>
      <c r="E202" s="6">
        <v>1</v>
      </c>
      <c r="F202" s="6">
        <v>4</v>
      </c>
      <c r="G202" s="6" t="s">
        <v>179</v>
      </c>
      <c r="H202" s="6">
        <v>8</v>
      </c>
      <c r="I202" s="8">
        <v>85.406511180555597</v>
      </c>
      <c r="J202" s="8">
        <v>128.89254722222199</v>
      </c>
      <c r="K202" s="6" t="s">
        <v>29</v>
      </c>
      <c r="L202" s="6" t="s">
        <v>335</v>
      </c>
      <c r="M202" s="9">
        <v>43762</v>
      </c>
      <c r="O202" s="6">
        <v>4</v>
      </c>
      <c r="P202" s="6" t="s">
        <v>4249</v>
      </c>
      <c r="S202" s="6">
        <v>30</v>
      </c>
      <c r="T202" s="6">
        <v>40</v>
      </c>
      <c r="U202" s="10">
        <f t="shared" si="6"/>
        <v>35</v>
      </c>
      <c r="V202" s="6">
        <v>6</v>
      </c>
      <c r="W202" s="8">
        <v>1.0135080441713331</v>
      </c>
      <c r="X202" s="8">
        <v>9.0070739929199206</v>
      </c>
      <c r="Y202" s="8">
        <f t="shared" si="7"/>
        <v>0.89900963954925572</v>
      </c>
    </row>
    <row r="203" spans="1:25" s="6" customFormat="1" x14ac:dyDescent="0.35">
      <c r="A203" s="6" t="s">
        <v>25</v>
      </c>
      <c r="B203" s="7"/>
      <c r="C203" s="6">
        <v>510423</v>
      </c>
      <c r="D203" s="6" t="s">
        <v>354</v>
      </c>
      <c r="E203" s="6">
        <v>1</v>
      </c>
      <c r="F203" s="6">
        <v>6</v>
      </c>
      <c r="G203" s="6" t="s">
        <v>179</v>
      </c>
      <c r="H203" s="6">
        <v>7</v>
      </c>
      <c r="I203" s="8">
        <v>85.917653888888907</v>
      </c>
      <c r="J203" s="8">
        <v>116.64332493055601</v>
      </c>
      <c r="K203" s="6" t="s">
        <v>29</v>
      </c>
      <c r="L203" s="6" t="s">
        <v>335</v>
      </c>
      <c r="M203" s="9">
        <v>43776</v>
      </c>
      <c r="O203" s="6">
        <v>6</v>
      </c>
      <c r="P203" s="6" t="s">
        <v>4257</v>
      </c>
      <c r="R203" s="6" t="s">
        <v>157</v>
      </c>
      <c r="S203" s="6">
        <v>30</v>
      </c>
      <c r="T203" s="6">
        <v>40</v>
      </c>
      <c r="U203" s="10">
        <f t="shared" si="6"/>
        <v>35</v>
      </c>
      <c r="V203" s="6">
        <v>4.4000000000000004</v>
      </c>
      <c r="W203" s="8">
        <v>1.0332192993164067</v>
      </c>
      <c r="X203" s="8">
        <v>9.0996565341949456</v>
      </c>
      <c r="Y203" s="8">
        <f t="shared" si="7"/>
        <v>0.83390213966369231</v>
      </c>
    </row>
    <row r="204" spans="1:25" s="6" customFormat="1" x14ac:dyDescent="0.35">
      <c r="A204" s="6" t="s">
        <v>25</v>
      </c>
      <c r="B204" s="7" t="s">
        <v>425</v>
      </c>
      <c r="C204" s="6">
        <v>510589</v>
      </c>
      <c r="D204" s="6" t="s">
        <v>426</v>
      </c>
      <c r="E204" s="6">
        <v>1</v>
      </c>
      <c r="F204" s="6">
        <v>7</v>
      </c>
      <c r="G204" s="6" t="s">
        <v>179</v>
      </c>
      <c r="I204" s="8">
        <v>86.1718883333333</v>
      </c>
      <c r="J204" s="8">
        <v>118.24158284722201</v>
      </c>
      <c r="K204" s="6" t="s">
        <v>29</v>
      </c>
      <c r="L204" s="6" t="s">
        <v>335</v>
      </c>
      <c r="M204" s="9">
        <v>43783</v>
      </c>
      <c r="O204" s="6">
        <v>7</v>
      </c>
      <c r="P204" s="6" t="s">
        <v>4248</v>
      </c>
      <c r="Q204" s="8">
        <v>-3.5333333333333332</v>
      </c>
      <c r="R204" s="10" t="s">
        <v>157</v>
      </c>
      <c r="S204" s="10">
        <v>30</v>
      </c>
      <c r="T204" s="10">
        <v>40</v>
      </c>
      <c r="U204" s="10">
        <f t="shared" si="6"/>
        <v>35</v>
      </c>
      <c r="V204" s="6">
        <v>4.7</v>
      </c>
      <c r="W204" s="8">
        <v>0.9935412322759628</v>
      </c>
      <c r="X204" s="8">
        <v>9.109675403654574</v>
      </c>
      <c r="Y204" s="8">
        <f t="shared" si="7"/>
        <v>1.1613455454468715</v>
      </c>
    </row>
    <row r="205" spans="1:25" s="6" customFormat="1" x14ac:dyDescent="0.35">
      <c r="A205" s="6" t="s">
        <v>25</v>
      </c>
      <c r="B205" s="7" t="s">
        <v>490</v>
      </c>
      <c r="C205" s="6">
        <v>510675</v>
      </c>
      <c r="D205" s="6" t="s">
        <v>491</v>
      </c>
      <c r="E205" s="6">
        <v>1</v>
      </c>
      <c r="F205" s="6">
        <v>8</v>
      </c>
      <c r="G205" s="6" t="s">
        <v>202</v>
      </c>
      <c r="I205" s="8">
        <v>85.829729583333304</v>
      </c>
      <c r="J205" s="8">
        <v>120.62869888888901</v>
      </c>
      <c r="K205" s="6" t="s">
        <v>29</v>
      </c>
      <c r="L205" s="6" t="s">
        <v>335</v>
      </c>
      <c r="M205" s="9">
        <v>43787</v>
      </c>
      <c r="O205" s="6">
        <v>8</v>
      </c>
      <c r="P205" s="6" t="s">
        <v>4263</v>
      </c>
      <c r="Q205" s="8">
        <v>-2.95</v>
      </c>
      <c r="R205" s="10" t="s">
        <v>492</v>
      </c>
      <c r="S205" s="10">
        <v>30</v>
      </c>
      <c r="T205" s="10">
        <v>40</v>
      </c>
      <c r="U205" s="10">
        <f t="shared" si="6"/>
        <v>35</v>
      </c>
      <c r="V205" s="6">
        <v>4.8</v>
      </c>
      <c r="W205" s="8">
        <v>0.90774568188095106</v>
      </c>
      <c r="X205" s="8">
        <v>7.5538018973503114</v>
      </c>
      <c r="Y205" s="8">
        <f t="shared" si="7"/>
        <v>0.29183644230270289</v>
      </c>
    </row>
    <row r="206" spans="1:25" s="6" customFormat="1" x14ac:dyDescent="0.35">
      <c r="A206" s="6" t="s">
        <v>25</v>
      </c>
      <c r="B206" s="7" t="s">
        <v>617</v>
      </c>
      <c r="C206" s="6">
        <v>510737</v>
      </c>
      <c r="D206" s="6" t="s">
        <v>618</v>
      </c>
      <c r="E206" s="6">
        <v>1</v>
      </c>
      <c r="F206" s="6">
        <v>9</v>
      </c>
      <c r="G206" s="6" t="s">
        <v>202</v>
      </c>
      <c r="I206" s="8">
        <v>86.047909722222201</v>
      </c>
      <c r="J206" s="8">
        <v>120.497726180556</v>
      </c>
      <c r="K206" s="6" t="s">
        <v>29</v>
      </c>
      <c r="L206" s="6" t="s">
        <v>335</v>
      </c>
      <c r="M206" s="9">
        <v>43794</v>
      </c>
      <c r="O206" s="6">
        <v>9</v>
      </c>
      <c r="P206" s="6" t="s">
        <v>4270</v>
      </c>
      <c r="Q206" s="8">
        <v>-3.2</v>
      </c>
      <c r="R206" s="10" t="s">
        <v>157</v>
      </c>
      <c r="S206" s="10">
        <v>30</v>
      </c>
      <c r="T206" s="10">
        <v>40</v>
      </c>
      <c r="U206" s="10">
        <f t="shared" si="6"/>
        <v>35</v>
      </c>
      <c r="V206" s="11">
        <v>4.7</v>
      </c>
      <c r="W206" s="8">
        <v>0.87469836559295655</v>
      </c>
      <c r="X206" s="8">
        <v>6.1195877483814956</v>
      </c>
      <c r="Y206" s="8">
        <f t="shared" si="7"/>
        <v>-0.87799917636215685</v>
      </c>
    </row>
    <row r="207" spans="1:25" s="6" customFormat="1" x14ac:dyDescent="0.35">
      <c r="A207" s="6" t="s">
        <v>25</v>
      </c>
      <c r="B207" s="7" t="s">
        <v>662</v>
      </c>
      <c r="C207" s="6">
        <v>510780</v>
      </c>
      <c r="D207" s="6" t="s">
        <v>663</v>
      </c>
      <c r="E207" s="6">
        <v>1</v>
      </c>
      <c r="F207" s="6">
        <v>9</v>
      </c>
      <c r="G207" s="6" t="s">
        <v>179</v>
      </c>
      <c r="I207" s="8">
        <v>86.158515138888902</v>
      </c>
      <c r="J207" s="8">
        <v>117.89724090277799</v>
      </c>
      <c r="K207" s="6" t="s">
        <v>29</v>
      </c>
      <c r="L207" s="6" t="s">
        <v>335</v>
      </c>
      <c r="M207" s="9">
        <v>43796</v>
      </c>
      <c r="O207" s="6">
        <v>9</v>
      </c>
      <c r="P207" s="6" t="s">
        <v>4272</v>
      </c>
      <c r="Q207" s="8">
        <v>-8.0500000000000007</v>
      </c>
      <c r="R207" s="10" t="s">
        <v>492</v>
      </c>
      <c r="S207" s="10">
        <v>30</v>
      </c>
      <c r="T207" s="10">
        <v>40</v>
      </c>
      <c r="U207" s="10">
        <f t="shared" si="6"/>
        <v>35</v>
      </c>
      <c r="V207" s="11">
        <v>5.7</v>
      </c>
      <c r="W207" s="8">
        <v>0.66463780403137196</v>
      </c>
      <c r="X207" s="8">
        <v>6.1755526261329647</v>
      </c>
      <c r="Y207" s="8">
        <f t="shared" si="7"/>
        <v>0.85845019388198907</v>
      </c>
    </row>
    <row r="208" spans="1:25" s="6" customFormat="1" x14ac:dyDescent="0.35">
      <c r="A208" s="6" t="s">
        <v>25</v>
      </c>
      <c r="B208" s="7"/>
      <c r="C208" s="6">
        <v>510949</v>
      </c>
      <c r="D208" s="6" t="s">
        <v>747</v>
      </c>
      <c r="E208" s="6">
        <v>1</v>
      </c>
      <c r="F208" s="6">
        <v>10</v>
      </c>
      <c r="G208" s="6" t="s">
        <v>202</v>
      </c>
      <c r="H208" s="6">
        <v>7.6</v>
      </c>
      <c r="I208" s="8">
        <v>85.933882569444407</v>
      </c>
      <c r="J208" s="8">
        <v>114.06437159722201</v>
      </c>
      <c r="K208" s="6" t="s">
        <v>29</v>
      </c>
      <c r="L208" s="6" t="s">
        <v>335</v>
      </c>
      <c r="M208" s="9">
        <v>43801</v>
      </c>
      <c r="O208" s="6">
        <v>10</v>
      </c>
      <c r="P208" s="6" t="s">
        <v>4277</v>
      </c>
      <c r="R208" s="6" t="s">
        <v>157</v>
      </c>
      <c r="S208" s="6">
        <v>30</v>
      </c>
      <c r="T208" s="6">
        <v>40</v>
      </c>
      <c r="U208" s="10">
        <f t="shared" si="6"/>
        <v>35</v>
      </c>
      <c r="V208" s="6">
        <v>5.3</v>
      </c>
      <c r="W208" s="8">
        <v>1.0935855397462848</v>
      </c>
      <c r="X208" s="8">
        <v>9.0776650342941281</v>
      </c>
      <c r="Y208" s="8">
        <f t="shared" si="7"/>
        <v>0.32898071632384962</v>
      </c>
    </row>
    <row r="209" spans="1:25" s="6" customFormat="1" x14ac:dyDescent="0.35">
      <c r="A209" s="6" t="s">
        <v>25</v>
      </c>
      <c r="B209" s="6" t="s">
        <v>762</v>
      </c>
      <c r="C209" s="6">
        <v>511032</v>
      </c>
      <c r="D209" s="6" t="s">
        <v>758</v>
      </c>
      <c r="E209" s="6">
        <v>1</v>
      </c>
      <c r="F209" s="6">
        <v>10</v>
      </c>
      <c r="G209" s="6" t="s">
        <v>179</v>
      </c>
      <c r="I209" s="8">
        <v>86.106434930555594</v>
      </c>
      <c r="J209" s="8">
        <v>118.771893680556</v>
      </c>
      <c r="K209" s="6" t="s">
        <v>29</v>
      </c>
      <c r="L209" s="6" t="s">
        <v>335</v>
      </c>
      <c r="M209" s="9">
        <v>43803</v>
      </c>
      <c r="O209" s="6">
        <v>10</v>
      </c>
      <c r="P209" s="6" t="s">
        <v>4278</v>
      </c>
      <c r="R209" s="6" t="s">
        <v>157</v>
      </c>
      <c r="S209" s="6">
        <v>30</v>
      </c>
      <c r="T209" s="6">
        <v>40</v>
      </c>
      <c r="U209" s="10">
        <f t="shared" si="6"/>
        <v>35</v>
      </c>
      <c r="V209" s="6">
        <v>4.5</v>
      </c>
      <c r="W209" s="8">
        <v>0.89443824251890203</v>
      </c>
      <c r="X209" s="8">
        <v>6.8919579056739808</v>
      </c>
      <c r="Y209" s="8">
        <f t="shared" si="7"/>
        <v>-0.2635480344772354</v>
      </c>
    </row>
    <row r="210" spans="1:25" s="6" customFormat="1" x14ac:dyDescent="0.35">
      <c r="A210" s="6" t="s">
        <v>25</v>
      </c>
      <c r="B210" s="7"/>
      <c r="C210" s="6">
        <v>511053</v>
      </c>
      <c r="D210" s="6" t="s">
        <v>773</v>
      </c>
      <c r="E210" s="6">
        <v>1</v>
      </c>
      <c r="F210" s="6">
        <v>10</v>
      </c>
      <c r="G210" s="6" t="s">
        <v>345</v>
      </c>
      <c r="H210" s="6">
        <v>22</v>
      </c>
      <c r="I210" s="8">
        <v>86.141995833333297</v>
      </c>
      <c r="J210" s="8">
        <v>122.240208541667</v>
      </c>
      <c r="K210" s="6" t="s">
        <v>29</v>
      </c>
      <c r="L210" s="6" t="s">
        <v>335</v>
      </c>
      <c r="M210" s="9">
        <v>43805</v>
      </c>
      <c r="O210" s="6">
        <v>10</v>
      </c>
      <c r="P210" s="6" t="s">
        <v>4280</v>
      </c>
      <c r="R210" s="6" t="s">
        <v>157</v>
      </c>
      <c r="S210" s="6">
        <v>30</v>
      </c>
      <c r="T210" s="6">
        <v>40</v>
      </c>
      <c r="U210" s="10">
        <f t="shared" si="6"/>
        <v>35</v>
      </c>
      <c r="V210" s="6">
        <v>5.5</v>
      </c>
      <c r="W210" s="8">
        <v>0.75974013595581025</v>
      </c>
      <c r="X210" s="8">
        <v>6.499924650192261</v>
      </c>
      <c r="Y210" s="8">
        <f t="shared" si="7"/>
        <v>0.42200356254577898</v>
      </c>
    </row>
    <row r="211" spans="1:25" s="6" customFormat="1" x14ac:dyDescent="0.35">
      <c r="A211" s="6" t="s">
        <v>25</v>
      </c>
      <c r="B211" s="6" t="s">
        <v>782</v>
      </c>
      <c r="D211" s="6" t="s">
        <v>779</v>
      </c>
      <c r="E211" s="6">
        <v>1</v>
      </c>
      <c r="F211" s="6">
        <v>11</v>
      </c>
      <c r="G211" s="6" t="s">
        <v>179</v>
      </c>
      <c r="I211" s="8">
        <v>86.506581944444406</v>
      </c>
      <c r="J211" s="8">
        <v>120.985913333333</v>
      </c>
      <c r="K211" s="6" t="s">
        <v>29</v>
      </c>
      <c r="L211" s="6" t="s">
        <v>335</v>
      </c>
      <c r="M211" s="9">
        <v>43809</v>
      </c>
      <c r="O211" s="6">
        <v>11</v>
      </c>
      <c r="P211" s="6" t="s">
        <v>4284</v>
      </c>
      <c r="R211" s="6">
        <v>30</v>
      </c>
      <c r="S211" s="6">
        <v>30</v>
      </c>
      <c r="T211" s="6">
        <v>40</v>
      </c>
      <c r="U211" s="10">
        <f t="shared" si="6"/>
        <v>35</v>
      </c>
      <c r="V211" s="6">
        <v>4.8</v>
      </c>
      <c r="W211" s="8">
        <v>0.88430901786088956</v>
      </c>
      <c r="X211" s="8">
        <v>6.960191621303558</v>
      </c>
      <c r="Y211" s="8">
        <f t="shared" si="7"/>
        <v>-0.1142805215835585</v>
      </c>
    </row>
    <row r="212" spans="1:25" s="6" customFormat="1" x14ac:dyDescent="0.35">
      <c r="A212" s="6" t="s">
        <v>25</v>
      </c>
      <c r="B212" s="6" t="s">
        <v>792</v>
      </c>
      <c r="D212" s="6" t="s">
        <v>789</v>
      </c>
      <c r="E212" s="6">
        <v>2</v>
      </c>
      <c r="F212" s="6">
        <v>17</v>
      </c>
      <c r="G212" s="6" t="s">
        <v>202</v>
      </c>
      <c r="I212" s="8">
        <v>86.641082222222195</v>
      </c>
      <c r="J212" s="8">
        <v>113.166453680556</v>
      </c>
      <c r="K212" s="6" t="s">
        <v>29</v>
      </c>
      <c r="L212" s="6" t="s">
        <v>335</v>
      </c>
      <c r="M212" s="9">
        <v>43822</v>
      </c>
      <c r="O212" s="6">
        <v>13</v>
      </c>
      <c r="P212" s="6" t="s">
        <v>4294</v>
      </c>
      <c r="R212" s="6">
        <v>30</v>
      </c>
      <c r="S212" s="6">
        <v>30</v>
      </c>
      <c r="T212" s="6">
        <v>40</v>
      </c>
      <c r="U212" s="10">
        <f t="shared" si="6"/>
        <v>35</v>
      </c>
      <c r="V212" s="6">
        <v>4.3</v>
      </c>
      <c r="W212" s="8">
        <v>0.89594497134685513</v>
      </c>
      <c r="X212" s="8">
        <v>7.4317361354827884</v>
      </c>
      <c r="Y212" s="8">
        <f t="shared" si="7"/>
        <v>0.26417636470794736</v>
      </c>
    </row>
    <row r="213" spans="1:25" s="6" customFormat="1" x14ac:dyDescent="0.35">
      <c r="A213" s="6" t="s">
        <v>25</v>
      </c>
      <c r="B213" s="7" t="s">
        <v>826</v>
      </c>
      <c r="D213" s="6" t="s">
        <v>827</v>
      </c>
      <c r="E213" s="6">
        <v>2</v>
      </c>
      <c r="F213" s="6">
        <v>19</v>
      </c>
      <c r="G213" s="6" t="s">
        <v>202</v>
      </c>
      <c r="I213" s="8">
        <v>87.103055694444393</v>
      </c>
      <c r="J213" s="8">
        <v>115.160686597222</v>
      </c>
      <c r="K213" s="6" t="s">
        <v>29</v>
      </c>
      <c r="L213" s="6" t="s">
        <v>335</v>
      </c>
      <c r="M213" s="9">
        <v>43836</v>
      </c>
      <c r="O213" s="6">
        <v>15</v>
      </c>
      <c r="P213" s="6" t="s">
        <v>4271</v>
      </c>
      <c r="R213" s="10"/>
      <c r="S213" s="10">
        <v>30</v>
      </c>
      <c r="T213" s="10">
        <v>40</v>
      </c>
      <c r="U213" s="10">
        <f t="shared" si="6"/>
        <v>35</v>
      </c>
      <c r="V213" s="11">
        <v>5.7</v>
      </c>
      <c r="W213" s="8">
        <v>0.85312201660871478</v>
      </c>
      <c r="X213" s="8">
        <v>6.2123077748298652</v>
      </c>
      <c r="Y213" s="8">
        <f t="shared" si="7"/>
        <v>-0.61266835803985309</v>
      </c>
    </row>
    <row r="214" spans="1:25" s="6" customFormat="1" x14ac:dyDescent="0.35">
      <c r="A214" s="6" t="s">
        <v>25</v>
      </c>
      <c r="B214" s="6" t="s">
        <v>887</v>
      </c>
      <c r="D214" s="6" t="s">
        <v>884</v>
      </c>
      <c r="E214" s="6">
        <v>2</v>
      </c>
      <c r="F214" s="6">
        <v>20</v>
      </c>
      <c r="G214" s="6" t="s">
        <v>57</v>
      </c>
      <c r="I214" s="8">
        <v>86.603676041666702</v>
      </c>
      <c r="J214" s="8">
        <v>116.411907777778</v>
      </c>
      <c r="K214" s="6" t="s">
        <v>29</v>
      </c>
      <c r="L214" s="6" t="s">
        <v>335</v>
      </c>
      <c r="M214" s="9">
        <v>43846</v>
      </c>
      <c r="O214" s="6">
        <v>16</v>
      </c>
      <c r="P214" s="6" t="s">
        <v>4311</v>
      </c>
      <c r="R214" s="6">
        <v>30</v>
      </c>
      <c r="S214" s="6">
        <v>30</v>
      </c>
      <c r="T214" s="6">
        <v>40</v>
      </c>
      <c r="U214" s="10">
        <f t="shared" si="6"/>
        <v>35</v>
      </c>
      <c r="V214" s="6">
        <v>5.8</v>
      </c>
      <c r="W214" s="8">
        <v>-2.6879330595135693</v>
      </c>
      <c r="X214" s="8">
        <v>-21.053302550506594</v>
      </c>
      <c r="Y214" s="8">
        <f t="shared" si="7"/>
        <v>0.45016192560196089</v>
      </c>
    </row>
    <row r="215" spans="1:25" s="6" customFormat="1" x14ac:dyDescent="0.35">
      <c r="A215" s="6" t="s">
        <v>25</v>
      </c>
      <c r="B215" s="7" t="s">
        <v>909</v>
      </c>
      <c r="D215" s="6" t="s">
        <v>910</v>
      </c>
      <c r="E215" s="6">
        <v>2</v>
      </c>
      <c r="F215" s="6">
        <v>21</v>
      </c>
      <c r="G215" s="6" t="s">
        <v>202</v>
      </c>
      <c r="I215" s="8">
        <v>87.451079583333296</v>
      </c>
      <c r="J215" s="8">
        <v>97.375985347222198</v>
      </c>
      <c r="K215" s="6" t="s">
        <v>29</v>
      </c>
      <c r="L215" s="6" t="s">
        <v>335</v>
      </c>
      <c r="M215" s="9">
        <v>43850</v>
      </c>
      <c r="O215" s="6">
        <v>17</v>
      </c>
      <c r="P215" s="6" t="s">
        <v>4314</v>
      </c>
      <c r="R215" s="10"/>
      <c r="S215" s="10">
        <v>30</v>
      </c>
      <c r="T215" s="10">
        <v>40</v>
      </c>
      <c r="U215" s="10">
        <f t="shared" si="6"/>
        <v>35</v>
      </c>
      <c r="V215" s="11">
        <v>6.8</v>
      </c>
      <c r="W215" s="8">
        <v>0.80942345296144524</v>
      </c>
      <c r="X215" s="8">
        <v>6.5567348937988283</v>
      </c>
      <c r="Y215" s="8">
        <f t="shared" si="7"/>
        <v>8.134727010726639E-2</v>
      </c>
    </row>
    <row r="216" spans="1:25" s="6" customFormat="1" x14ac:dyDescent="0.35">
      <c r="A216" s="6" t="s">
        <v>25</v>
      </c>
      <c r="B216" s="7"/>
      <c r="D216" s="6" t="s">
        <v>999</v>
      </c>
      <c r="E216" s="6">
        <v>2</v>
      </c>
      <c r="F216" s="6">
        <v>23</v>
      </c>
      <c r="G216" s="6" t="s">
        <v>202</v>
      </c>
      <c r="I216" s="8">
        <v>87.352736041666702</v>
      </c>
      <c r="J216" s="8">
        <v>94.772103819444396</v>
      </c>
      <c r="K216" s="6" t="s">
        <v>29</v>
      </c>
      <c r="L216" s="6" t="s">
        <v>335</v>
      </c>
      <c r="M216" s="9">
        <v>43864</v>
      </c>
      <c r="O216" s="6">
        <v>19</v>
      </c>
      <c r="P216" s="6" t="s">
        <v>4322</v>
      </c>
      <c r="S216" s="6">
        <v>30</v>
      </c>
      <c r="T216" s="6">
        <v>40</v>
      </c>
      <c r="U216" s="10">
        <f t="shared" si="6"/>
        <v>35</v>
      </c>
      <c r="V216" s="6">
        <v>5.4</v>
      </c>
      <c r="W216" s="8">
        <v>0.32925631866455085</v>
      </c>
      <c r="X216" s="8">
        <v>4.8515205612182619</v>
      </c>
      <c r="Y216" s="8">
        <f t="shared" si="7"/>
        <v>2.2174700119018551</v>
      </c>
    </row>
    <row r="217" spans="1:25" s="6" customFormat="1" x14ac:dyDescent="0.35">
      <c r="A217" s="6" t="s">
        <v>25</v>
      </c>
      <c r="B217" s="7"/>
      <c r="D217" s="6" t="s">
        <v>1035</v>
      </c>
      <c r="E217" s="6">
        <v>2</v>
      </c>
      <c r="F217" s="6">
        <v>24</v>
      </c>
      <c r="G217" s="6" t="s">
        <v>57</v>
      </c>
      <c r="I217" s="8">
        <v>87.882876180555598</v>
      </c>
      <c r="J217" s="8">
        <v>87.424340833333304</v>
      </c>
      <c r="K217" s="6" t="s">
        <v>29</v>
      </c>
      <c r="L217" s="6" t="s">
        <v>335</v>
      </c>
      <c r="M217" s="9">
        <v>43873</v>
      </c>
      <c r="O217" s="6">
        <v>20</v>
      </c>
      <c r="P217" s="6" t="s">
        <v>4313</v>
      </c>
      <c r="S217" s="6">
        <v>30</v>
      </c>
      <c r="T217" s="6">
        <v>40</v>
      </c>
      <c r="U217" s="10">
        <f t="shared" si="6"/>
        <v>35</v>
      </c>
      <c r="V217" s="30"/>
      <c r="W217" s="8">
        <v>-2.2879010695457462</v>
      </c>
      <c r="X217" s="8">
        <v>-15.772565730094909</v>
      </c>
      <c r="Y217" s="8">
        <f t="shared" si="7"/>
        <v>2.5306428262710607</v>
      </c>
    </row>
    <row r="218" spans="1:25" s="6" customFormat="1" x14ac:dyDescent="0.35">
      <c r="A218" s="6" t="s">
        <v>25</v>
      </c>
      <c r="B218" s="7"/>
      <c r="D218" s="6" t="s">
        <v>1058</v>
      </c>
      <c r="E218" s="6">
        <v>3</v>
      </c>
      <c r="F218" s="6">
        <v>29</v>
      </c>
      <c r="G218" s="6" t="s">
        <v>60</v>
      </c>
      <c r="I218" s="8">
        <v>88.488842986111095</v>
      </c>
      <c r="J218" s="8">
        <v>40.1770405555556</v>
      </c>
      <c r="K218" s="6" t="s">
        <v>29</v>
      </c>
      <c r="L218" s="6" t="s">
        <v>335</v>
      </c>
      <c r="M218" s="9">
        <v>43887</v>
      </c>
      <c r="O218" s="6">
        <v>22</v>
      </c>
      <c r="P218" s="6" t="s">
        <v>4291</v>
      </c>
      <c r="S218" s="6">
        <v>30</v>
      </c>
      <c r="T218" s="6">
        <v>40</v>
      </c>
      <c r="U218" s="10">
        <f t="shared" si="6"/>
        <v>35</v>
      </c>
      <c r="V218" s="6">
        <v>8.1</v>
      </c>
      <c r="W218" s="8">
        <v>-0.67420627433538416</v>
      </c>
      <c r="X218" s="8">
        <v>-4.1791373779773711</v>
      </c>
      <c r="Y218" s="8">
        <f t="shared" si="7"/>
        <v>1.2145128167057022</v>
      </c>
    </row>
    <row r="219" spans="1:25" s="6" customFormat="1" x14ac:dyDescent="0.35">
      <c r="A219" s="6" t="s">
        <v>25</v>
      </c>
      <c r="B219" s="7"/>
      <c r="D219" s="6" t="s">
        <v>1085</v>
      </c>
      <c r="E219" s="6">
        <v>3</v>
      </c>
      <c r="F219" s="6">
        <v>31</v>
      </c>
      <c r="G219" s="6" t="s">
        <v>179</v>
      </c>
      <c r="I219" s="8">
        <v>87.889566388888895</v>
      </c>
      <c r="J219" s="8">
        <v>24.107920208333301</v>
      </c>
      <c r="K219" s="6" t="s">
        <v>29</v>
      </c>
      <c r="L219" s="6" t="s">
        <v>335</v>
      </c>
      <c r="M219" s="9">
        <v>43899</v>
      </c>
      <c r="O219" s="6">
        <v>24</v>
      </c>
      <c r="P219" s="6" t="s">
        <v>4343</v>
      </c>
      <c r="S219" s="6">
        <v>30</v>
      </c>
      <c r="T219" s="6">
        <v>40</v>
      </c>
      <c r="U219" s="10">
        <f t="shared" si="6"/>
        <v>35</v>
      </c>
      <c r="V219" s="6">
        <v>4.0999999999999996</v>
      </c>
      <c r="W219" s="8">
        <v>0.93876227622985886</v>
      </c>
      <c r="X219" s="8">
        <v>7.3267961883544919</v>
      </c>
      <c r="Y219" s="8">
        <f t="shared" si="7"/>
        <v>-0.18330202148437902</v>
      </c>
    </row>
    <row r="220" spans="1:25" s="6" customFormat="1" x14ac:dyDescent="0.35">
      <c r="A220" s="6" t="s">
        <v>25</v>
      </c>
      <c r="B220" s="7"/>
      <c r="D220" s="6" t="s">
        <v>1100</v>
      </c>
      <c r="E220" s="6">
        <v>3</v>
      </c>
      <c r="F220" s="6">
        <v>31</v>
      </c>
      <c r="G220" s="6" t="s">
        <v>345</v>
      </c>
      <c r="I220" s="8">
        <v>87.660309999999996</v>
      </c>
      <c r="J220" s="8">
        <v>24.286057569444399</v>
      </c>
      <c r="K220" s="6" t="s">
        <v>29</v>
      </c>
      <c r="L220" s="6" t="s">
        <v>335</v>
      </c>
      <c r="M220" s="9">
        <v>43901</v>
      </c>
      <c r="O220" s="6">
        <v>24</v>
      </c>
      <c r="P220" s="6" t="s">
        <v>4345</v>
      </c>
      <c r="S220" s="6">
        <v>30</v>
      </c>
      <c r="T220" s="6">
        <v>40</v>
      </c>
      <c r="U220" s="10">
        <f t="shared" si="6"/>
        <v>35</v>
      </c>
      <c r="V220" s="6">
        <v>4.7</v>
      </c>
      <c r="W220" s="8">
        <v>1.0997318345785143</v>
      </c>
      <c r="X220" s="8">
        <v>8.7355987262725829</v>
      </c>
      <c r="Y220" s="8">
        <f t="shared" si="7"/>
        <v>-6.2255950355531553E-2</v>
      </c>
    </row>
    <row r="221" spans="1:25" s="6" customFormat="1" x14ac:dyDescent="0.35">
      <c r="A221" s="6" t="s">
        <v>25</v>
      </c>
      <c r="B221" s="7"/>
      <c r="D221" s="6" t="s">
        <v>1159</v>
      </c>
      <c r="E221" s="6">
        <v>3</v>
      </c>
      <c r="F221" s="6">
        <v>32</v>
      </c>
      <c r="G221" s="6" t="s">
        <v>179</v>
      </c>
      <c r="I221" s="8">
        <v>86.339075833333297</v>
      </c>
      <c r="J221" s="8">
        <v>14.7309175</v>
      </c>
      <c r="K221" s="6" t="s">
        <v>29</v>
      </c>
      <c r="L221" s="6" t="s">
        <v>335</v>
      </c>
      <c r="M221" s="9">
        <v>43910</v>
      </c>
      <c r="O221" s="6">
        <v>25</v>
      </c>
      <c r="P221" s="6" t="s">
        <v>4350</v>
      </c>
      <c r="S221" s="6">
        <v>30</v>
      </c>
      <c r="T221" s="6">
        <v>40</v>
      </c>
      <c r="U221" s="10">
        <f t="shared" si="6"/>
        <v>35</v>
      </c>
      <c r="V221" s="6">
        <v>4.8</v>
      </c>
      <c r="W221" s="8">
        <v>1.1448928512811665</v>
      </c>
      <c r="X221" s="8">
        <v>8.1813592910766602</v>
      </c>
      <c r="Y221" s="8">
        <f t="shared" si="7"/>
        <v>-0.97778351917267159</v>
      </c>
    </row>
    <row r="222" spans="1:25" s="6" customFormat="1" x14ac:dyDescent="0.35">
      <c r="A222" s="6" t="s">
        <v>25</v>
      </c>
      <c r="B222" s="7"/>
      <c r="D222" s="6" t="s">
        <v>1179</v>
      </c>
      <c r="E222" s="6">
        <v>3</v>
      </c>
      <c r="F222" s="6">
        <v>32</v>
      </c>
      <c r="G222" s="6" t="s">
        <v>202</v>
      </c>
      <c r="I222" s="8">
        <v>86.257643333333306</v>
      </c>
      <c r="J222" s="8">
        <v>15.261599722222201</v>
      </c>
      <c r="K222" s="6" t="s">
        <v>29</v>
      </c>
      <c r="L222" s="6" t="s">
        <v>335</v>
      </c>
      <c r="M222" s="9">
        <v>43911</v>
      </c>
      <c r="O222" s="6">
        <v>25</v>
      </c>
      <c r="P222" s="6" t="s">
        <v>4351</v>
      </c>
      <c r="S222" s="6">
        <v>30</v>
      </c>
      <c r="T222" s="6">
        <v>40</v>
      </c>
      <c r="U222" s="10">
        <f t="shared" si="6"/>
        <v>35</v>
      </c>
      <c r="V222" s="6">
        <v>5.6</v>
      </c>
      <c r="W222" s="8">
        <v>0.54360038782596565</v>
      </c>
      <c r="X222" s="8">
        <v>5.1034692329406735</v>
      </c>
      <c r="Y222" s="8">
        <f t="shared" si="7"/>
        <v>0.75466613033294827</v>
      </c>
    </row>
    <row r="223" spans="1:25" s="6" customFormat="1" x14ac:dyDescent="0.35">
      <c r="A223" s="6" t="s">
        <v>25</v>
      </c>
      <c r="B223" s="6" t="s">
        <v>1244</v>
      </c>
      <c r="D223" s="6" t="s">
        <v>1240</v>
      </c>
      <c r="E223" s="6">
        <v>3</v>
      </c>
      <c r="F223" s="6">
        <v>34</v>
      </c>
      <c r="G223" s="6" t="s">
        <v>202</v>
      </c>
      <c r="I223" s="8">
        <v>84.533711805555598</v>
      </c>
      <c r="J223" s="8">
        <v>14.277858402777801</v>
      </c>
      <c r="K223" s="6" t="s">
        <v>29</v>
      </c>
      <c r="L223" s="6" t="s">
        <v>335</v>
      </c>
      <c r="M223" s="9">
        <v>43927</v>
      </c>
      <c r="O223" s="6">
        <v>28</v>
      </c>
      <c r="P223" s="6" t="s">
        <v>4359</v>
      </c>
      <c r="R223" s="6">
        <v>30</v>
      </c>
      <c r="S223" s="6">
        <v>30</v>
      </c>
      <c r="T223" s="6">
        <v>40</v>
      </c>
      <c r="U223" s="10">
        <f t="shared" si="6"/>
        <v>35</v>
      </c>
      <c r="V223" s="6">
        <v>4.4000000000000004</v>
      </c>
      <c r="W223" s="8">
        <v>0.31401469733715009</v>
      </c>
      <c r="X223" s="8">
        <v>2.719219946861267</v>
      </c>
      <c r="Y223" s="8">
        <f t="shared" si="7"/>
        <v>0.20710236816406624</v>
      </c>
    </row>
    <row r="224" spans="1:25" s="6" customFormat="1" x14ac:dyDescent="0.35">
      <c r="A224" s="6" t="s">
        <v>25</v>
      </c>
      <c r="B224" s="6" t="s">
        <v>1294</v>
      </c>
      <c r="D224" s="6" t="s">
        <v>1291</v>
      </c>
      <c r="E224" s="6">
        <v>3</v>
      </c>
      <c r="F224" s="6">
        <v>35</v>
      </c>
      <c r="G224" s="6" t="s">
        <v>345</v>
      </c>
      <c r="I224" s="8">
        <v>84.322834374999999</v>
      </c>
      <c r="J224" s="8">
        <v>14.725811041666701</v>
      </c>
      <c r="K224" s="6" t="s">
        <v>29</v>
      </c>
      <c r="L224" s="6" t="s">
        <v>335</v>
      </c>
      <c r="M224" s="9">
        <v>43931</v>
      </c>
      <c r="O224" s="6">
        <v>28</v>
      </c>
      <c r="P224" s="6" t="s">
        <v>4362</v>
      </c>
      <c r="R224" s="6">
        <v>30</v>
      </c>
      <c r="S224" s="6">
        <v>30</v>
      </c>
      <c r="T224" s="6">
        <v>40</v>
      </c>
      <c r="U224" s="10">
        <f t="shared" si="6"/>
        <v>35</v>
      </c>
      <c r="V224" s="6">
        <v>4.0999999999999996</v>
      </c>
      <c r="W224" s="8">
        <v>1.1045938758850096</v>
      </c>
      <c r="X224" s="8">
        <v>7.6948680744171138</v>
      </c>
      <c r="Y224" s="8">
        <f t="shared" si="7"/>
        <v>-1.1418829326629627</v>
      </c>
    </row>
    <row r="225" spans="1:26" s="6" customFormat="1" x14ac:dyDescent="0.35">
      <c r="A225" s="6" t="s">
        <v>25</v>
      </c>
      <c r="B225" s="7" t="s">
        <v>1360</v>
      </c>
      <c r="D225" s="6" t="s">
        <v>1361</v>
      </c>
      <c r="E225" s="6">
        <v>3</v>
      </c>
      <c r="F225" s="6">
        <v>36</v>
      </c>
      <c r="G225" s="6" t="s">
        <v>202</v>
      </c>
      <c r="I225" s="8">
        <v>84.331482986111098</v>
      </c>
      <c r="J225" s="8">
        <v>14.642671805555601</v>
      </c>
      <c r="K225" s="6" t="s">
        <v>29</v>
      </c>
      <c r="L225" s="6" t="s">
        <v>335</v>
      </c>
      <c r="M225" s="9">
        <v>43935</v>
      </c>
      <c r="O225" s="6">
        <v>29</v>
      </c>
      <c r="P225" s="6" t="s">
        <v>4332</v>
      </c>
      <c r="R225" s="10"/>
      <c r="S225" s="10">
        <v>30</v>
      </c>
      <c r="T225" s="10">
        <v>40</v>
      </c>
      <c r="U225" s="10">
        <f t="shared" si="6"/>
        <v>35</v>
      </c>
      <c r="V225" s="11">
        <v>5.4</v>
      </c>
      <c r="W225" s="8">
        <v>0.78621887267231949</v>
      </c>
      <c r="X225" s="8">
        <v>6.130465404510498</v>
      </c>
      <c r="Y225" s="8">
        <f t="shared" si="7"/>
        <v>-0.15928557686805789</v>
      </c>
    </row>
    <row r="226" spans="1:26" s="6" customFormat="1" x14ac:dyDescent="0.35">
      <c r="A226" s="6" t="s">
        <v>25</v>
      </c>
      <c r="B226" s="7" t="s">
        <v>1444</v>
      </c>
      <c r="D226" s="6" t="s">
        <v>1445</v>
      </c>
      <c r="E226" s="6">
        <v>3</v>
      </c>
      <c r="F226" s="6">
        <v>37</v>
      </c>
      <c r="G226" s="6" t="s">
        <v>28</v>
      </c>
      <c r="I226" s="8">
        <v>83.999093333333306</v>
      </c>
      <c r="J226" s="8">
        <v>15.6102103472222</v>
      </c>
      <c r="K226" s="6" t="s">
        <v>29</v>
      </c>
      <c r="L226" s="6" t="s">
        <v>335</v>
      </c>
      <c r="M226" s="9">
        <v>43946</v>
      </c>
      <c r="O226" s="6">
        <v>30</v>
      </c>
      <c r="P226" s="6" t="s">
        <v>4265</v>
      </c>
      <c r="R226" s="10"/>
      <c r="S226" s="10">
        <v>30</v>
      </c>
      <c r="T226" s="10">
        <v>40</v>
      </c>
      <c r="U226" s="10">
        <f t="shared" si="6"/>
        <v>35</v>
      </c>
      <c r="V226" s="11">
        <v>4.3</v>
      </c>
      <c r="W226" s="8">
        <v>-1.2403848398208615</v>
      </c>
      <c r="X226" s="8">
        <v>-9.8206311126708972</v>
      </c>
      <c r="Y226" s="8">
        <f t="shared" si="7"/>
        <v>0.10244760589599444</v>
      </c>
    </row>
    <row r="227" spans="1:26" s="6" customFormat="1" x14ac:dyDescent="0.35">
      <c r="A227" s="6" t="s">
        <v>25</v>
      </c>
      <c r="B227" s="7" t="s">
        <v>1488</v>
      </c>
      <c r="D227" s="6" t="s">
        <v>1489</v>
      </c>
      <c r="E227" s="6">
        <v>3</v>
      </c>
      <c r="F227" s="6">
        <v>37</v>
      </c>
      <c r="G227" s="6" t="s">
        <v>28</v>
      </c>
      <c r="I227" s="8">
        <v>83.999093333333306</v>
      </c>
      <c r="J227" s="8">
        <v>15.6102103472222</v>
      </c>
      <c r="K227" s="6" t="s">
        <v>29</v>
      </c>
      <c r="L227" s="6" t="s">
        <v>335</v>
      </c>
      <c r="M227" s="9">
        <v>43946</v>
      </c>
      <c r="O227" s="6">
        <v>30</v>
      </c>
      <c r="P227" s="6" t="s">
        <v>4265</v>
      </c>
      <c r="R227" s="10"/>
      <c r="S227" s="10">
        <v>30</v>
      </c>
      <c r="T227" s="10">
        <v>40</v>
      </c>
      <c r="U227" s="10">
        <f t="shared" si="6"/>
        <v>35</v>
      </c>
      <c r="V227" s="11">
        <v>2.9</v>
      </c>
      <c r="W227" s="8">
        <v>0.79888027906417902</v>
      </c>
      <c r="X227" s="8">
        <v>7.3933312654495236</v>
      </c>
      <c r="Y227" s="8">
        <f t="shared" si="7"/>
        <v>1.0022890329360914</v>
      </c>
    </row>
    <row r="228" spans="1:26" s="6" customFormat="1" x14ac:dyDescent="0.35">
      <c r="A228" s="6" t="s">
        <v>25</v>
      </c>
      <c r="B228" s="7"/>
      <c r="D228" s="6" t="s">
        <v>1546</v>
      </c>
      <c r="E228" s="6">
        <v>3</v>
      </c>
      <c r="F228" s="6">
        <v>38</v>
      </c>
      <c r="G228" s="6" t="s">
        <v>202</v>
      </c>
      <c r="I228" s="8">
        <v>83.938997847222197</v>
      </c>
      <c r="J228" s="8">
        <v>15.6730686111111</v>
      </c>
      <c r="K228" s="6" t="s">
        <v>29</v>
      </c>
      <c r="L228" s="6" t="s">
        <v>335</v>
      </c>
      <c r="M228" s="9">
        <v>43948</v>
      </c>
      <c r="O228" s="6">
        <v>31</v>
      </c>
      <c r="P228" s="6" t="s">
        <v>4251</v>
      </c>
      <c r="S228" s="6">
        <v>30</v>
      </c>
      <c r="T228" s="6">
        <v>40</v>
      </c>
      <c r="U228" s="10">
        <f t="shared" si="6"/>
        <v>35</v>
      </c>
      <c r="V228" s="6">
        <v>4.5999999999999996</v>
      </c>
      <c r="W228" s="8">
        <v>0.8671700321316721</v>
      </c>
      <c r="X228" s="8">
        <v>6.3752699638366694</v>
      </c>
      <c r="Y228" s="8">
        <f t="shared" si="7"/>
        <v>-0.56209029321670734</v>
      </c>
    </row>
    <row r="229" spans="1:26" s="6" customFormat="1" x14ac:dyDescent="0.35">
      <c r="A229" s="6" t="s">
        <v>25</v>
      </c>
      <c r="B229" s="6" t="s">
        <v>1623</v>
      </c>
      <c r="D229" s="6" t="s">
        <v>1619</v>
      </c>
      <c r="E229" s="6">
        <v>3</v>
      </c>
      <c r="F229" s="6">
        <v>39</v>
      </c>
      <c r="G229" s="6" t="s">
        <v>202</v>
      </c>
      <c r="I229" s="8">
        <v>83.907985999999994</v>
      </c>
      <c r="J229" s="8">
        <v>18.352126999999999</v>
      </c>
      <c r="K229" s="6" t="s">
        <v>29</v>
      </c>
      <c r="L229" s="6" t="s">
        <v>335</v>
      </c>
      <c r="M229" s="9">
        <v>43955</v>
      </c>
      <c r="O229" s="6">
        <v>32</v>
      </c>
      <c r="P229" s="6" t="s">
        <v>4374</v>
      </c>
      <c r="R229" s="6">
        <v>30</v>
      </c>
      <c r="S229" s="6">
        <v>30</v>
      </c>
      <c r="T229" s="6">
        <v>40</v>
      </c>
      <c r="U229" s="10">
        <f t="shared" si="6"/>
        <v>35</v>
      </c>
      <c r="V229" s="6">
        <v>4.3</v>
      </c>
      <c r="W229" s="8">
        <v>1.1280352159738545</v>
      </c>
      <c r="X229" s="8">
        <v>9.5442794752120967</v>
      </c>
      <c r="Y229" s="8">
        <f t="shared" si="7"/>
        <v>0.51999774742126093</v>
      </c>
    </row>
    <row r="230" spans="1:26" s="6" customFormat="1" x14ac:dyDescent="0.35">
      <c r="A230" s="6" t="s">
        <v>25</v>
      </c>
      <c r="B230" s="6" t="s">
        <v>1765</v>
      </c>
      <c r="D230" s="6" t="s">
        <v>1766</v>
      </c>
      <c r="E230" s="6">
        <v>4</v>
      </c>
      <c r="F230" s="6">
        <v>44</v>
      </c>
      <c r="I230" s="8">
        <v>81.975306180555606</v>
      </c>
      <c r="J230" s="8">
        <v>9.2425022222222193</v>
      </c>
      <c r="K230" s="6" t="s">
        <v>29</v>
      </c>
      <c r="L230" s="29" t="s">
        <v>335</v>
      </c>
      <c r="M230" s="9">
        <v>44004</v>
      </c>
      <c r="O230" s="6">
        <v>39</v>
      </c>
      <c r="P230" s="6" t="s">
        <v>4405</v>
      </c>
      <c r="S230" s="6">
        <v>30</v>
      </c>
      <c r="T230" s="6">
        <v>40</v>
      </c>
      <c r="U230" s="10">
        <f t="shared" si="6"/>
        <v>35</v>
      </c>
      <c r="V230" s="15">
        <v>2.6</v>
      </c>
      <c r="W230" s="8">
        <v>0.72302737884521462</v>
      </c>
      <c r="X230" s="8">
        <v>5.2175451707839962</v>
      </c>
      <c r="Y230" s="8">
        <f t="shared" si="7"/>
        <v>-0.5666738599777208</v>
      </c>
      <c r="Z230" s="6" t="s">
        <v>1760</v>
      </c>
    </row>
    <row r="231" spans="1:26" s="6" customFormat="1" ht="13.5" customHeight="1" x14ac:dyDescent="0.35">
      <c r="A231" s="6" t="s">
        <v>25</v>
      </c>
      <c r="B231" s="6" t="s">
        <v>1922</v>
      </c>
      <c r="D231" s="6" t="s">
        <v>1923</v>
      </c>
      <c r="E231" s="6">
        <v>4</v>
      </c>
      <c r="F231" s="6">
        <v>46</v>
      </c>
      <c r="I231" s="8">
        <v>81.685643263888906</v>
      </c>
      <c r="J231" s="8">
        <v>5.3733415277777796</v>
      </c>
      <c r="K231" s="6" t="s">
        <v>29</v>
      </c>
      <c r="L231" s="29" t="s">
        <v>335</v>
      </c>
      <c r="M231" s="9">
        <v>44018</v>
      </c>
      <c r="O231" s="6">
        <v>41</v>
      </c>
      <c r="P231" s="6" t="s">
        <v>4413</v>
      </c>
      <c r="S231" s="6">
        <v>30</v>
      </c>
      <c r="T231" s="6">
        <v>40</v>
      </c>
      <c r="U231" s="10">
        <f t="shared" si="6"/>
        <v>35</v>
      </c>
      <c r="V231" s="15">
        <v>3.2</v>
      </c>
      <c r="W231" s="8">
        <v>-9.3476765808463036E-2</v>
      </c>
      <c r="X231" s="8">
        <v>0.56003816044330612</v>
      </c>
      <c r="Y231" s="8">
        <f t="shared" si="7"/>
        <v>1.3078522869110105</v>
      </c>
      <c r="Z231" s="6" t="s">
        <v>1760</v>
      </c>
    </row>
    <row r="232" spans="1:26" s="6" customFormat="1" x14ac:dyDescent="0.35">
      <c r="A232" s="6" t="s">
        <v>25</v>
      </c>
      <c r="B232" s="6" t="s">
        <v>1954</v>
      </c>
      <c r="D232" s="6" t="s">
        <v>1955</v>
      </c>
      <c r="E232" s="6">
        <v>4</v>
      </c>
      <c r="F232" s="6">
        <v>47</v>
      </c>
      <c r="I232" s="8">
        <v>81.417819374999993</v>
      </c>
      <c r="J232" s="8">
        <v>0.28587430555555599</v>
      </c>
      <c r="K232" s="6" t="s">
        <v>29</v>
      </c>
      <c r="L232" s="29" t="s">
        <v>335</v>
      </c>
      <c r="M232" s="9">
        <v>44025</v>
      </c>
      <c r="O232" s="6">
        <v>42</v>
      </c>
      <c r="P232" s="6" t="s">
        <v>4403</v>
      </c>
      <c r="S232" s="6">
        <v>30</v>
      </c>
      <c r="T232" s="6">
        <v>40</v>
      </c>
      <c r="U232" s="10">
        <f t="shared" si="6"/>
        <v>35</v>
      </c>
      <c r="V232" s="15">
        <v>1.9</v>
      </c>
      <c r="W232" s="8">
        <v>-0.17224279443621593</v>
      </c>
      <c r="X232" s="8">
        <v>-0.32664805322885559</v>
      </c>
      <c r="Y232" s="8">
        <f t="shared" si="7"/>
        <v>1.0512943022608718</v>
      </c>
      <c r="Z232" s="6" t="s">
        <v>1760</v>
      </c>
    </row>
    <row r="233" spans="1:26" s="6" customFormat="1" x14ac:dyDescent="0.35">
      <c r="A233" s="6" t="s">
        <v>25</v>
      </c>
      <c r="B233" s="6" t="s">
        <v>2173</v>
      </c>
      <c r="D233" s="6" t="s">
        <v>2174</v>
      </c>
      <c r="E233" s="6">
        <v>4</v>
      </c>
      <c r="F233" s="6">
        <v>48</v>
      </c>
      <c r="I233" s="8">
        <v>80.754295347222197</v>
      </c>
      <c r="J233" s="8">
        <v>-0.488818958333333</v>
      </c>
      <c r="K233" s="6" t="s">
        <v>29</v>
      </c>
      <c r="L233" s="29" t="s">
        <v>335</v>
      </c>
      <c r="M233" s="9">
        <v>44032</v>
      </c>
      <c r="O233" s="6">
        <v>43</v>
      </c>
      <c r="P233" s="6" t="s">
        <v>4403</v>
      </c>
      <c r="S233" s="6">
        <v>30</v>
      </c>
      <c r="T233" s="6">
        <v>40</v>
      </c>
      <c r="U233" s="10">
        <f t="shared" si="6"/>
        <v>35</v>
      </c>
      <c r="V233" s="15">
        <v>2</v>
      </c>
      <c r="W233" s="8">
        <v>0.29030429618060599</v>
      </c>
      <c r="X233" s="8">
        <v>2.4267050170898434</v>
      </c>
      <c r="Y233" s="8">
        <f t="shared" si="7"/>
        <v>0.1042706476449955</v>
      </c>
      <c r="Z233" s="6" t="s">
        <v>1760</v>
      </c>
    </row>
    <row r="234" spans="1:26" s="6" customFormat="1" x14ac:dyDescent="0.35">
      <c r="A234" s="6" t="s">
        <v>25</v>
      </c>
      <c r="B234" s="6" t="s">
        <v>2264</v>
      </c>
      <c r="D234" s="6" t="s">
        <v>2265</v>
      </c>
      <c r="E234" s="6">
        <v>4</v>
      </c>
      <c r="F234" s="6">
        <v>49</v>
      </c>
      <c r="I234" s="8">
        <v>79.191449375000005</v>
      </c>
      <c r="J234" s="8">
        <v>-2.6081078472222199</v>
      </c>
      <c r="K234" s="6" t="s">
        <v>29</v>
      </c>
      <c r="L234" s="29" t="s">
        <v>335</v>
      </c>
      <c r="M234" s="9">
        <v>44041</v>
      </c>
      <c r="O234" s="6">
        <v>44</v>
      </c>
      <c r="P234" s="6" t="s">
        <v>4421</v>
      </c>
      <c r="S234" s="6">
        <v>30</v>
      </c>
      <c r="T234" s="6">
        <v>40</v>
      </c>
      <c r="U234" s="10">
        <f t="shared" si="6"/>
        <v>35</v>
      </c>
      <c r="V234" s="15">
        <v>1.4</v>
      </c>
      <c r="W234" s="8">
        <v>-3.8299095287919145E-2</v>
      </c>
      <c r="X234" s="8">
        <v>4.7145653760433073E-2</v>
      </c>
      <c r="Y234" s="8">
        <f t="shared" si="7"/>
        <v>0.35353841606378622</v>
      </c>
      <c r="Z234" s="6" t="s">
        <v>1760</v>
      </c>
    </row>
    <row r="235" spans="1:26" s="6" customFormat="1" x14ac:dyDescent="0.35">
      <c r="A235" s="6" t="s">
        <v>25</v>
      </c>
      <c r="B235" s="6" t="s">
        <v>2315</v>
      </c>
      <c r="D235" s="6" t="s">
        <v>2316</v>
      </c>
      <c r="E235" s="6">
        <v>5</v>
      </c>
      <c r="F235" s="6">
        <v>59</v>
      </c>
      <c r="I235" s="8">
        <v>88.299658402777794</v>
      </c>
      <c r="J235" s="8">
        <v>114.11509069444401</v>
      </c>
      <c r="K235" s="6" t="s">
        <v>29</v>
      </c>
      <c r="L235" s="29" t="s">
        <v>335</v>
      </c>
      <c r="M235" s="9">
        <v>44074</v>
      </c>
      <c r="O235" s="6">
        <v>50</v>
      </c>
      <c r="P235" s="6" t="s">
        <v>4396</v>
      </c>
      <c r="S235" s="6">
        <v>30</v>
      </c>
      <c r="T235" s="6">
        <v>40</v>
      </c>
      <c r="U235" s="10">
        <f t="shared" si="6"/>
        <v>35</v>
      </c>
      <c r="V235" s="15">
        <v>2.8</v>
      </c>
      <c r="W235" s="8">
        <v>0.58474015033245075</v>
      </c>
      <c r="X235" s="8">
        <v>4.0074859443664552</v>
      </c>
      <c r="Y235" s="8">
        <f t="shared" si="7"/>
        <v>-0.67043525829315076</v>
      </c>
      <c r="Z235" s="6" t="s">
        <v>1760</v>
      </c>
    </row>
    <row r="236" spans="1:26" s="6" customFormat="1" x14ac:dyDescent="0.35">
      <c r="A236" s="6" t="s">
        <v>25</v>
      </c>
      <c r="B236" s="6" t="s">
        <v>2382</v>
      </c>
      <c r="D236" s="6" t="s">
        <v>2383</v>
      </c>
      <c r="E236" s="6">
        <v>5</v>
      </c>
      <c r="F236" s="6">
        <v>61</v>
      </c>
      <c r="I236" s="8">
        <v>88.700402291666705</v>
      </c>
      <c r="J236" s="8">
        <v>111.973632708333</v>
      </c>
      <c r="K236" s="6" t="s">
        <v>29</v>
      </c>
      <c r="L236" s="29" t="s">
        <v>335</v>
      </c>
      <c r="M236" s="9">
        <v>44081</v>
      </c>
      <c r="O236" s="6">
        <v>51</v>
      </c>
      <c r="P236" s="6" t="s">
        <v>4434</v>
      </c>
      <c r="S236" s="6">
        <v>30</v>
      </c>
      <c r="T236" s="6">
        <v>40</v>
      </c>
      <c r="U236" s="10">
        <f t="shared" si="6"/>
        <v>35</v>
      </c>
      <c r="V236" s="15">
        <v>0.3</v>
      </c>
      <c r="W236" s="8">
        <v>0.35556041927635657</v>
      </c>
      <c r="X236" s="8">
        <v>3.5344309510231016</v>
      </c>
      <c r="Y236" s="8">
        <f t="shared" si="7"/>
        <v>0.68994759681224904</v>
      </c>
      <c r="Z236" s="6" t="s">
        <v>1760</v>
      </c>
    </row>
    <row r="237" spans="1:26" s="6" customFormat="1" x14ac:dyDescent="0.35">
      <c r="A237" s="6" t="s">
        <v>25</v>
      </c>
      <c r="B237" s="7" t="s">
        <v>447</v>
      </c>
      <c r="C237" s="6">
        <v>510628</v>
      </c>
      <c r="D237" s="6" t="s">
        <v>448</v>
      </c>
      <c r="E237" s="6">
        <v>1</v>
      </c>
      <c r="F237" s="6">
        <v>7</v>
      </c>
      <c r="G237" s="6" t="s">
        <v>179</v>
      </c>
      <c r="I237" s="8">
        <v>86.191348333333295</v>
      </c>
      <c r="J237" s="8">
        <v>118.623774583333</v>
      </c>
      <c r="K237" s="6" t="s">
        <v>29</v>
      </c>
      <c r="L237" s="6" t="s">
        <v>335</v>
      </c>
      <c r="M237" s="9">
        <v>43784</v>
      </c>
      <c r="O237" s="6">
        <v>7</v>
      </c>
      <c r="P237" s="6" t="s">
        <v>4260</v>
      </c>
      <c r="Q237" s="8">
        <v>-6.0666666666666673</v>
      </c>
      <c r="R237" s="10" t="s">
        <v>449</v>
      </c>
      <c r="S237" s="10">
        <v>30.5</v>
      </c>
      <c r="T237" s="10">
        <v>41</v>
      </c>
      <c r="U237" s="10">
        <f t="shared" si="6"/>
        <v>35.75</v>
      </c>
      <c r="V237" s="6">
        <v>0.1</v>
      </c>
      <c r="W237" s="8">
        <v>-4.4579405972480783</v>
      </c>
      <c r="X237" s="8">
        <v>-33.982097534179687</v>
      </c>
      <c r="Y237" s="8">
        <f t="shared" si="7"/>
        <v>1.68142724380494</v>
      </c>
    </row>
    <row r="238" spans="1:26" s="6" customFormat="1" x14ac:dyDescent="0.35">
      <c r="A238" s="6" t="s">
        <v>25</v>
      </c>
      <c r="B238" s="7" t="s">
        <v>32</v>
      </c>
      <c r="D238" s="6" t="s">
        <v>33</v>
      </c>
      <c r="E238" s="6">
        <v>1</v>
      </c>
      <c r="F238" s="6">
        <v>1</v>
      </c>
      <c r="G238" s="6" t="s">
        <v>28</v>
      </c>
      <c r="I238" s="8">
        <v>85.144790624999999</v>
      </c>
      <c r="J238" s="8">
        <v>133.79209895833301</v>
      </c>
      <c r="K238" s="6" t="s">
        <v>29</v>
      </c>
      <c r="L238" s="6" t="s">
        <v>335</v>
      </c>
      <c r="M238" s="9">
        <v>43741</v>
      </c>
      <c r="O238" s="6">
        <v>1</v>
      </c>
      <c r="P238" s="6" t="s">
        <v>4242</v>
      </c>
      <c r="R238" s="10"/>
      <c r="S238" s="10">
        <v>30</v>
      </c>
      <c r="T238" s="10">
        <v>42</v>
      </c>
      <c r="U238" s="10">
        <f t="shared" si="6"/>
        <v>36</v>
      </c>
      <c r="V238" s="30"/>
      <c r="W238" s="8">
        <v>-0.53046490052938455</v>
      </c>
      <c r="X238" s="8">
        <v>-3.4013069109916687</v>
      </c>
      <c r="Y238" s="8">
        <f t="shared" si="7"/>
        <v>0.84241229324340772</v>
      </c>
    </row>
    <row r="239" spans="1:26" s="6" customFormat="1" x14ac:dyDescent="0.35">
      <c r="A239" s="6" t="s">
        <v>25</v>
      </c>
      <c r="B239" s="7"/>
      <c r="C239" s="6">
        <v>510414</v>
      </c>
      <c r="D239" s="6" t="s">
        <v>344</v>
      </c>
      <c r="E239" s="6">
        <v>1</v>
      </c>
      <c r="F239" s="6">
        <v>6</v>
      </c>
      <c r="G239" s="6" t="s">
        <v>345</v>
      </c>
      <c r="H239" s="6">
        <v>18</v>
      </c>
      <c r="I239" s="8">
        <v>85.9187781944444</v>
      </c>
      <c r="J239" s="8">
        <v>117.45457173611101</v>
      </c>
      <c r="K239" s="6" t="s">
        <v>29</v>
      </c>
      <c r="L239" s="6" t="s">
        <v>335</v>
      </c>
      <c r="M239" s="9">
        <v>43775</v>
      </c>
      <c r="O239" s="6">
        <v>6</v>
      </c>
      <c r="P239" s="6" t="s">
        <v>4256</v>
      </c>
      <c r="R239" s="6" t="s">
        <v>324</v>
      </c>
      <c r="S239" s="6">
        <v>30</v>
      </c>
      <c r="T239" s="6">
        <v>42</v>
      </c>
      <c r="U239" s="10">
        <f t="shared" si="6"/>
        <v>36</v>
      </c>
      <c r="V239" s="6">
        <v>5.3</v>
      </c>
      <c r="W239" s="8">
        <v>0.44455604978799795</v>
      </c>
      <c r="X239" s="8">
        <v>1.7875396728515607</v>
      </c>
      <c r="Y239" s="8">
        <f t="shared" si="7"/>
        <v>-1.7689087254524229</v>
      </c>
    </row>
    <row r="240" spans="1:26" s="6" customFormat="1" x14ac:dyDescent="0.35">
      <c r="A240" s="6" t="s">
        <v>25</v>
      </c>
      <c r="B240" s="6" t="s">
        <v>2490</v>
      </c>
      <c r="D240" s="6" t="s">
        <v>2491</v>
      </c>
      <c r="E240" s="6">
        <v>5</v>
      </c>
      <c r="F240" s="6">
        <v>61</v>
      </c>
      <c r="I240" s="8">
        <v>89.023700416666699</v>
      </c>
      <c r="J240" s="8">
        <v>102.473466597222</v>
      </c>
      <c r="K240" s="6" t="s">
        <v>29</v>
      </c>
      <c r="L240" s="29" t="s">
        <v>335</v>
      </c>
      <c r="M240" s="9">
        <v>44088</v>
      </c>
      <c r="O240" s="6">
        <v>52</v>
      </c>
      <c r="P240" s="6" t="s">
        <v>4394</v>
      </c>
      <c r="S240" s="6">
        <v>31.5</v>
      </c>
      <c r="T240" s="6">
        <v>42</v>
      </c>
      <c r="U240" s="10">
        <f t="shared" si="6"/>
        <v>36.75</v>
      </c>
      <c r="V240" s="15">
        <v>0.8</v>
      </c>
      <c r="W240" s="8">
        <v>5.911839677095386E-2</v>
      </c>
      <c r="X240" s="8">
        <v>1.3719565261900426</v>
      </c>
      <c r="Y240" s="8">
        <f t="shared" si="7"/>
        <v>0.89900935202241172</v>
      </c>
      <c r="Z240" s="6" t="s">
        <v>1760</v>
      </c>
    </row>
    <row r="241" spans="1:25" s="6" customFormat="1" x14ac:dyDescent="0.35">
      <c r="A241" s="6" t="s">
        <v>25</v>
      </c>
      <c r="B241" s="6" t="s">
        <v>134</v>
      </c>
      <c r="C241" s="6">
        <v>510101</v>
      </c>
      <c r="D241" s="6" t="s">
        <v>130</v>
      </c>
      <c r="E241" s="6">
        <v>1</v>
      </c>
      <c r="F241" s="6">
        <v>2</v>
      </c>
      <c r="G241" s="6" t="s">
        <v>107</v>
      </c>
      <c r="I241" s="8">
        <v>84.8243581944444</v>
      </c>
      <c r="J241" s="8">
        <v>133.1380825</v>
      </c>
      <c r="K241" s="6" t="s">
        <v>29</v>
      </c>
      <c r="L241" s="6" t="s">
        <v>335</v>
      </c>
      <c r="M241" s="9">
        <v>43756</v>
      </c>
      <c r="O241" s="6">
        <v>3</v>
      </c>
      <c r="P241" s="6" t="s">
        <v>4247</v>
      </c>
      <c r="R241" s="6" t="s">
        <v>135</v>
      </c>
      <c r="S241" s="6">
        <v>32</v>
      </c>
      <c r="T241" s="6">
        <v>42</v>
      </c>
      <c r="U241" s="10">
        <f t="shared" si="6"/>
        <v>37</v>
      </c>
      <c r="V241" s="6">
        <v>6.6</v>
      </c>
      <c r="W241" s="8">
        <v>-1.2915276650760321</v>
      </c>
      <c r="X241" s="8">
        <v>-10.387319383811951</v>
      </c>
      <c r="Y241" s="8">
        <f t="shared" si="7"/>
        <v>-5.5098063203693926E-2</v>
      </c>
    </row>
    <row r="242" spans="1:25" s="6" customFormat="1" x14ac:dyDescent="0.35">
      <c r="A242" s="6" t="s">
        <v>25</v>
      </c>
      <c r="B242" s="6" t="s">
        <v>69</v>
      </c>
      <c r="C242" s="6">
        <v>510038</v>
      </c>
      <c r="D242" s="6" t="s">
        <v>62</v>
      </c>
      <c r="E242" s="6">
        <v>1</v>
      </c>
      <c r="F242" s="6">
        <v>2</v>
      </c>
      <c r="G242" s="6" t="s">
        <v>63</v>
      </c>
      <c r="I242" s="8">
        <v>84.770107638888902</v>
      </c>
      <c r="J242" s="8">
        <v>134.47681993055599</v>
      </c>
      <c r="K242" s="6" t="s">
        <v>29</v>
      </c>
      <c r="L242" s="6" t="s">
        <v>335</v>
      </c>
      <c r="M242" s="9">
        <v>43752</v>
      </c>
      <c r="O242" s="6">
        <v>3</v>
      </c>
      <c r="P242" s="6" t="s">
        <v>4246</v>
      </c>
      <c r="R242" s="6" t="s">
        <v>70</v>
      </c>
      <c r="S242" s="6">
        <v>32</v>
      </c>
      <c r="T242" s="6">
        <v>43</v>
      </c>
      <c r="U242" s="10">
        <f t="shared" si="6"/>
        <v>37.5</v>
      </c>
      <c r="V242" s="6">
        <v>6.1</v>
      </c>
      <c r="W242" s="8">
        <v>-0.8322748823761944</v>
      </c>
      <c r="X242" s="8">
        <v>-5.6881000566482545</v>
      </c>
      <c r="Y242" s="8">
        <f t="shared" si="7"/>
        <v>0.97009900236130076</v>
      </c>
    </row>
    <row r="243" spans="1:25" s="6" customFormat="1" x14ac:dyDescent="0.35">
      <c r="A243" s="6" t="s">
        <v>25</v>
      </c>
      <c r="B243" s="6" t="s">
        <v>141</v>
      </c>
      <c r="C243" s="6">
        <v>510112</v>
      </c>
      <c r="D243" s="6" t="s">
        <v>130</v>
      </c>
      <c r="E243" s="6">
        <v>1</v>
      </c>
      <c r="F243" s="6">
        <v>2</v>
      </c>
      <c r="G243" s="6" t="s">
        <v>107</v>
      </c>
      <c r="I243" s="8">
        <v>84.8243581944444</v>
      </c>
      <c r="J243" s="8">
        <v>133.1380825</v>
      </c>
      <c r="K243" s="6" t="s">
        <v>29</v>
      </c>
      <c r="L243" s="6" t="s">
        <v>335</v>
      </c>
      <c r="M243" s="9">
        <v>43756</v>
      </c>
      <c r="O243" s="6">
        <v>3</v>
      </c>
      <c r="P243" s="6" t="s">
        <v>4247</v>
      </c>
      <c r="R243" s="6" t="s">
        <v>142</v>
      </c>
      <c r="S243" s="6">
        <v>31</v>
      </c>
      <c r="T243" s="6">
        <v>44</v>
      </c>
      <c r="U243" s="10">
        <f t="shared" si="6"/>
        <v>37.5</v>
      </c>
      <c r="V243" s="6">
        <v>5.5</v>
      </c>
      <c r="W243" s="8">
        <v>0.37781292707920067</v>
      </c>
      <c r="X243" s="8">
        <v>1.3625032487154005</v>
      </c>
      <c r="Y243" s="8">
        <f t="shared" si="7"/>
        <v>-1.6600001679182048</v>
      </c>
    </row>
    <row r="244" spans="1:25" s="6" customFormat="1" x14ac:dyDescent="0.35">
      <c r="A244" s="6" t="s">
        <v>25</v>
      </c>
      <c r="B244" s="7"/>
      <c r="C244" s="6">
        <v>510533</v>
      </c>
      <c r="D244" s="6" t="s">
        <v>409</v>
      </c>
      <c r="E244" s="6">
        <v>1</v>
      </c>
      <c r="F244" s="6">
        <v>7</v>
      </c>
      <c r="G244" s="6" t="s">
        <v>345</v>
      </c>
      <c r="H244" s="6">
        <v>10</v>
      </c>
      <c r="I244" s="8">
        <v>86.116053611111099</v>
      </c>
      <c r="J244" s="8">
        <v>117.978438125</v>
      </c>
      <c r="K244" s="6" t="s">
        <v>29</v>
      </c>
      <c r="L244" s="6" t="s">
        <v>335</v>
      </c>
      <c r="M244" s="9">
        <v>43782</v>
      </c>
      <c r="O244" s="6">
        <v>7</v>
      </c>
      <c r="P244" s="6" t="s">
        <v>4254</v>
      </c>
      <c r="R244" s="6" t="s">
        <v>216</v>
      </c>
      <c r="S244" s="6">
        <v>30</v>
      </c>
      <c r="T244" s="6">
        <v>45</v>
      </c>
      <c r="U244" s="10">
        <f t="shared" si="6"/>
        <v>37.5</v>
      </c>
      <c r="V244" s="6">
        <v>4.7</v>
      </c>
      <c r="W244" s="8">
        <v>-6.1067047798633679E-2</v>
      </c>
      <c r="X244" s="8">
        <v>1.1539277083396917</v>
      </c>
      <c r="Y244" s="8">
        <f t="shared" si="7"/>
        <v>1.6424640907287611</v>
      </c>
    </row>
    <row r="245" spans="1:25" s="6" customFormat="1" x14ac:dyDescent="0.35">
      <c r="A245" s="6" t="s">
        <v>25</v>
      </c>
      <c r="B245" s="7" t="s">
        <v>1706</v>
      </c>
      <c r="D245" s="6" t="s">
        <v>1707</v>
      </c>
      <c r="E245" s="6">
        <v>4</v>
      </c>
      <c r="F245" s="6">
        <v>44</v>
      </c>
      <c r="G245" s="6" t="s">
        <v>335</v>
      </c>
      <c r="I245" s="8">
        <v>81.975306180555606</v>
      </c>
      <c r="J245" s="8">
        <v>9.2425022222222193</v>
      </c>
      <c r="K245" s="6" t="s">
        <v>29</v>
      </c>
      <c r="L245" s="6" t="s">
        <v>335</v>
      </c>
      <c r="M245" s="9">
        <v>44004</v>
      </c>
      <c r="O245" s="6">
        <v>39</v>
      </c>
      <c r="P245" s="6" t="s">
        <v>4405</v>
      </c>
      <c r="R245" s="10" t="s">
        <v>1708</v>
      </c>
      <c r="S245" s="10">
        <v>35</v>
      </c>
      <c r="T245" s="10">
        <v>40</v>
      </c>
      <c r="U245" s="10">
        <f t="shared" si="6"/>
        <v>37.5</v>
      </c>
      <c r="V245" s="11"/>
      <c r="W245" s="8">
        <v>0.81247080458164211</v>
      </c>
      <c r="X245" s="8">
        <v>5.5619379974678154</v>
      </c>
      <c r="Y245" s="8">
        <f t="shared" si="7"/>
        <v>-0.93782843918532155</v>
      </c>
    </row>
    <row r="246" spans="1:25" s="6" customFormat="1" x14ac:dyDescent="0.35">
      <c r="A246" s="6" t="s">
        <v>25</v>
      </c>
      <c r="B246" s="7" t="s">
        <v>2231</v>
      </c>
      <c r="D246" s="6" t="s">
        <v>2232</v>
      </c>
      <c r="E246" s="6">
        <v>4</v>
      </c>
      <c r="F246" s="6">
        <v>49</v>
      </c>
      <c r="G246" s="6" t="s">
        <v>335</v>
      </c>
      <c r="I246" s="8">
        <v>79.191449375000005</v>
      </c>
      <c r="J246" s="8">
        <v>-2.6081078472222199</v>
      </c>
      <c r="K246" s="6" t="s">
        <v>29</v>
      </c>
      <c r="L246" s="6" t="s">
        <v>335</v>
      </c>
      <c r="M246" s="9">
        <v>44041</v>
      </c>
      <c r="O246" s="6">
        <v>44</v>
      </c>
      <c r="P246" s="6" t="s">
        <v>4421</v>
      </c>
      <c r="R246" s="10" t="s">
        <v>1989</v>
      </c>
      <c r="S246" s="10">
        <v>35</v>
      </c>
      <c r="T246" s="10">
        <v>40</v>
      </c>
      <c r="U246" s="10">
        <f t="shared" si="6"/>
        <v>37.5</v>
      </c>
      <c r="V246" s="11"/>
      <c r="W246" s="8">
        <v>6.4850229419767966E-2</v>
      </c>
      <c r="X246" s="8">
        <v>-0.34498176717758178</v>
      </c>
      <c r="Y246" s="8">
        <f t="shared" si="7"/>
        <v>-0.8637836025357255</v>
      </c>
    </row>
    <row r="247" spans="1:25" s="6" customFormat="1" x14ac:dyDescent="0.35">
      <c r="A247" s="6" t="s">
        <v>25</v>
      </c>
      <c r="B247" s="6" t="s">
        <v>83</v>
      </c>
      <c r="C247" s="6">
        <v>510044</v>
      </c>
      <c r="D247" s="6" t="s">
        <v>77</v>
      </c>
      <c r="E247" s="6">
        <v>1</v>
      </c>
      <c r="F247" s="6">
        <v>2</v>
      </c>
      <c r="G247" s="6" t="s">
        <v>63</v>
      </c>
      <c r="I247" s="8">
        <v>84.770107638888902</v>
      </c>
      <c r="J247" s="8">
        <v>134.47681993055599</v>
      </c>
      <c r="K247" s="6" t="s">
        <v>29</v>
      </c>
      <c r="L247" s="6" t="s">
        <v>335</v>
      </c>
      <c r="M247" s="9">
        <v>43752</v>
      </c>
      <c r="O247" s="6">
        <v>3</v>
      </c>
      <c r="P247" s="6" t="s">
        <v>4246</v>
      </c>
      <c r="R247" s="6" t="s">
        <v>84</v>
      </c>
      <c r="S247" s="6">
        <v>34</v>
      </c>
      <c r="T247" s="6">
        <v>42</v>
      </c>
      <c r="U247" s="10">
        <f t="shared" si="6"/>
        <v>38</v>
      </c>
      <c r="V247" s="6">
        <v>0.9</v>
      </c>
      <c r="W247" s="8">
        <v>-1.5344789577484133</v>
      </c>
      <c r="X247" s="8">
        <v>-11.683573079586028</v>
      </c>
      <c r="Y247" s="8">
        <f t="shared" si="7"/>
        <v>0.59225858240127849</v>
      </c>
    </row>
    <row r="248" spans="1:25" s="6" customFormat="1" x14ac:dyDescent="0.35">
      <c r="A248" s="6" t="s">
        <v>25</v>
      </c>
      <c r="B248" s="6" t="s">
        <v>97</v>
      </c>
      <c r="C248" s="6">
        <v>510060</v>
      </c>
      <c r="D248" s="6" t="s">
        <v>92</v>
      </c>
      <c r="E248" s="6">
        <v>1</v>
      </c>
      <c r="F248" s="6">
        <v>2</v>
      </c>
      <c r="G248" s="6" t="s">
        <v>63</v>
      </c>
      <c r="I248" s="8">
        <v>84.770107638888902</v>
      </c>
      <c r="J248" s="8">
        <v>134.47681993055599</v>
      </c>
      <c r="K248" s="6" t="s">
        <v>29</v>
      </c>
      <c r="L248" s="6" t="s">
        <v>335</v>
      </c>
      <c r="M248" s="9">
        <v>43752</v>
      </c>
      <c r="O248" s="6">
        <v>3</v>
      </c>
      <c r="P248" s="6" t="s">
        <v>4246</v>
      </c>
      <c r="R248" s="6" t="s">
        <v>98</v>
      </c>
      <c r="S248" s="6">
        <v>33</v>
      </c>
      <c r="T248" s="6">
        <v>43</v>
      </c>
      <c r="U248" s="10">
        <f t="shared" si="6"/>
        <v>38</v>
      </c>
      <c r="V248" s="6">
        <v>3.5</v>
      </c>
      <c r="W248" s="8">
        <v>-0.14696355257034291</v>
      </c>
      <c r="X248" s="8">
        <v>-2.1757127945423123</v>
      </c>
      <c r="Y248" s="8">
        <f t="shared" si="7"/>
        <v>-1.000004373979569</v>
      </c>
    </row>
    <row r="249" spans="1:25" s="6" customFormat="1" x14ac:dyDescent="0.35">
      <c r="A249" s="6" t="s">
        <v>25</v>
      </c>
      <c r="B249" s="7"/>
      <c r="C249" s="6">
        <v>510213</v>
      </c>
      <c r="D249" s="6" t="s">
        <v>201</v>
      </c>
      <c r="E249" s="6">
        <v>1</v>
      </c>
      <c r="F249" s="6">
        <v>5</v>
      </c>
      <c r="G249" s="6" t="s">
        <v>202</v>
      </c>
      <c r="H249" s="6">
        <v>9</v>
      </c>
      <c r="I249" s="8">
        <v>85.587483888888897</v>
      </c>
      <c r="J249" s="8">
        <v>126.139427777778</v>
      </c>
      <c r="K249" s="6" t="s">
        <v>29</v>
      </c>
      <c r="L249" s="6" t="s">
        <v>335</v>
      </c>
      <c r="M249" s="9">
        <v>43766</v>
      </c>
      <c r="O249" s="6">
        <v>5</v>
      </c>
      <c r="P249" s="6" t="s">
        <v>4251</v>
      </c>
      <c r="R249" s="6" t="s">
        <v>205</v>
      </c>
      <c r="S249" s="6">
        <v>36.5</v>
      </c>
      <c r="T249" s="6">
        <v>41.5</v>
      </c>
      <c r="U249" s="10">
        <f t="shared" si="6"/>
        <v>39</v>
      </c>
      <c r="V249" s="6">
        <v>7.3</v>
      </c>
      <c r="W249" s="8">
        <v>0.95219366042614006</v>
      </c>
      <c r="X249" s="8">
        <v>7.7227568094253538</v>
      </c>
      <c r="Y249" s="8">
        <f t="shared" si="7"/>
        <v>0.10520752601623329</v>
      </c>
    </row>
    <row r="250" spans="1:25" s="6" customFormat="1" x14ac:dyDescent="0.35">
      <c r="A250" s="6" t="s">
        <v>25</v>
      </c>
      <c r="B250" s="6" t="s">
        <v>149</v>
      </c>
      <c r="C250" s="6">
        <v>510117</v>
      </c>
      <c r="D250" s="6" t="s">
        <v>130</v>
      </c>
      <c r="E250" s="6">
        <v>1</v>
      </c>
      <c r="F250" s="6">
        <v>2</v>
      </c>
      <c r="G250" s="6" t="s">
        <v>107</v>
      </c>
      <c r="I250" s="8">
        <v>84.8243581944444</v>
      </c>
      <c r="J250" s="8">
        <v>133.1380825</v>
      </c>
      <c r="K250" s="6" t="s">
        <v>29</v>
      </c>
      <c r="L250" s="6" t="s">
        <v>335</v>
      </c>
      <c r="M250" s="9">
        <v>43756</v>
      </c>
      <c r="O250" s="6">
        <v>3</v>
      </c>
      <c r="P250" s="6" t="s">
        <v>4247</v>
      </c>
      <c r="R250" s="6" t="s">
        <v>150</v>
      </c>
      <c r="S250" s="6">
        <v>37.5</v>
      </c>
      <c r="T250" s="6">
        <v>46.5</v>
      </c>
      <c r="U250" s="10">
        <f t="shared" si="6"/>
        <v>42</v>
      </c>
      <c r="V250" s="6">
        <v>7.1</v>
      </c>
      <c r="W250" s="8">
        <v>0.95479983444213845</v>
      </c>
      <c r="X250" s="8">
        <v>5.7017754568397994</v>
      </c>
      <c r="Y250" s="8">
        <f t="shared" si="7"/>
        <v>-1.9366232186973082</v>
      </c>
    </row>
    <row r="251" spans="1:25" s="6" customFormat="1" x14ac:dyDescent="0.35">
      <c r="A251" s="6" t="s">
        <v>25</v>
      </c>
      <c r="B251" s="7" t="s">
        <v>508</v>
      </c>
      <c r="C251" s="6">
        <v>510681</v>
      </c>
      <c r="D251" s="6" t="s">
        <v>509</v>
      </c>
      <c r="E251" s="6">
        <v>1</v>
      </c>
      <c r="F251" s="6">
        <v>8</v>
      </c>
      <c r="G251" s="6" t="s">
        <v>179</v>
      </c>
      <c r="I251" s="8">
        <v>85.788680208333304</v>
      </c>
      <c r="J251" s="8">
        <v>120.807478194444</v>
      </c>
      <c r="K251" s="6" t="s">
        <v>29</v>
      </c>
      <c r="L251" s="6" t="s">
        <v>335</v>
      </c>
      <c r="M251" s="9">
        <v>43788</v>
      </c>
      <c r="O251" s="6">
        <v>8</v>
      </c>
      <c r="P251" s="6" t="s">
        <v>4264</v>
      </c>
      <c r="Q251" s="8">
        <v>-3.35</v>
      </c>
      <c r="R251" s="10" t="s">
        <v>510</v>
      </c>
      <c r="S251" s="10">
        <v>37.5</v>
      </c>
      <c r="T251" s="10">
        <v>47.5</v>
      </c>
      <c r="U251" s="10">
        <f t="shared" si="6"/>
        <v>42.5</v>
      </c>
      <c r="V251" s="6">
        <v>4.8</v>
      </c>
      <c r="W251" s="8">
        <v>0.78531542216936756</v>
      </c>
      <c r="X251" s="8">
        <v>6.8051776831944792</v>
      </c>
      <c r="Y251" s="8">
        <f t="shared" si="7"/>
        <v>0.52265430583953876</v>
      </c>
    </row>
    <row r="252" spans="1:25" s="6" customFormat="1" x14ac:dyDescent="0.35">
      <c r="A252" s="6" t="s">
        <v>25</v>
      </c>
      <c r="B252" s="7" t="s">
        <v>1709</v>
      </c>
      <c r="D252" s="6" t="s">
        <v>1710</v>
      </c>
      <c r="E252" s="6">
        <v>4</v>
      </c>
      <c r="F252" s="6">
        <v>44</v>
      </c>
      <c r="G252" s="6" t="s">
        <v>335</v>
      </c>
      <c r="I252" s="8">
        <v>81.975306180555606</v>
      </c>
      <c r="J252" s="8">
        <v>9.2425022222222193</v>
      </c>
      <c r="K252" s="6" t="s">
        <v>29</v>
      </c>
      <c r="L252" s="6" t="s">
        <v>335</v>
      </c>
      <c r="M252" s="9">
        <v>44004</v>
      </c>
      <c r="O252" s="6">
        <v>39</v>
      </c>
      <c r="P252" s="6" t="s">
        <v>4405</v>
      </c>
      <c r="R252" s="10" t="s">
        <v>1711</v>
      </c>
      <c r="S252" s="10">
        <v>40</v>
      </c>
      <c r="T252" s="10">
        <v>45</v>
      </c>
      <c r="U252" s="10">
        <f t="shared" si="6"/>
        <v>42.5</v>
      </c>
      <c r="V252" s="11"/>
      <c r="W252" s="8">
        <v>0.71045686448574075</v>
      </c>
      <c r="X252" s="8">
        <v>4.2585168730020522</v>
      </c>
      <c r="Y252" s="8">
        <f t="shared" si="7"/>
        <v>-1.4251380428838738</v>
      </c>
    </row>
    <row r="253" spans="1:25" s="6" customFormat="1" x14ac:dyDescent="0.35">
      <c r="A253" s="6" t="s">
        <v>25</v>
      </c>
      <c r="B253" s="7" t="s">
        <v>2225</v>
      </c>
      <c r="D253" s="6" t="s">
        <v>2226</v>
      </c>
      <c r="E253" s="6">
        <v>4</v>
      </c>
      <c r="F253" s="6">
        <v>49</v>
      </c>
      <c r="G253" s="6" t="s">
        <v>335</v>
      </c>
      <c r="I253" s="8">
        <v>79.191449375000005</v>
      </c>
      <c r="J253" s="8">
        <v>-2.6081078472222199</v>
      </c>
      <c r="K253" s="6" t="s">
        <v>29</v>
      </c>
      <c r="L253" s="6" t="s">
        <v>335</v>
      </c>
      <c r="M253" s="9">
        <v>44041</v>
      </c>
      <c r="O253" s="6">
        <v>44</v>
      </c>
      <c r="P253" s="6" t="s">
        <v>4421</v>
      </c>
      <c r="R253" s="10" t="s">
        <v>1992</v>
      </c>
      <c r="S253" s="10">
        <v>40</v>
      </c>
      <c r="T253" s="10">
        <v>45</v>
      </c>
      <c r="U253" s="10">
        <f t="shared" si="6"/>
        <v>42.5</v>
      </c>
      <c r="V253" s="11"/>
      <c r="W253" s="8">
        <v>-1.3697632867098396E-2</v>
      </c>
      <c r="X253" s="8">
        <v>0.10724218663573222</v>
      </c>
      <c r="Y253" s="8">
        <f t="shared" si="7"/>
        <v>0.21682324957251939</v>
      </c>
    </row>
    <row r="254" spans="1:25" s="6" customFormat="1" x14ac:dyDescent="0.35">
      <c r="A254" s="6" t="s">
        <v>25</v>
      </c>
      <c r="B254" s="6" t="s">
        <v>120</v>
      </c>
      <c r="C254" s="6">
        <v>510093</v>
      </c>
      <c r="D254" s="6" t="s">
        <v>115</v>
      </c>
      <c r="E254" s="6">
        <v>1</v>
      </c>
      <c r="F254" s="6">
        <v>2</v>
      </c>
      <c r="G254" s="6" t="s">
        <v>107</v>
      </c>
      <c r="I254" s="8">
        <v>84.8243581944444</v>
      </c>
      <c r="J254" s="8">
        <v>133.1380825</v>
      </c>
      <c r="K254" s="6" t="s">
        <v>29</v>
      </c>
      <c r="L254" s="6" t="s">
        <v>335</v>
      </c>
      <c r="M254" s="9">
        <v>43756</v>
      </c>
      <c r="O254" s="6">
        <v>3</v>
      </c>
      <c r="P254" s="6" t="s">
        <v>4247</v>
      </c>
      <c r="R254" s="6" t="s">
        <v>121</v>
      </c>
      <c r="S254" s="6">
        <v>38</v>
      </c>
      <c r="T254" s="6">
        <v>48</v>
      </c>
      <c r="U254" s="10">
        <f t="shared" si="6"/>
        <v>43</v>
      </c>
      <c r="V254" s="6">
        <v>8</v>
      </c>
      <c r="W254" s="8">
        <v>0.61593647518157946</v>
      </c>
      <c r="X254" s="8">
        <v>4.9996384315490721</v>
      </c>
      <c r="Y254" s="8">
        <f t="shared" si="7"/>
        <v>7.2146630096436404E-2</v>
      </c>
    </row>
    <row r="255" spans="1:25" s="6" customFormat="1" x14ac:dyDescent="0.35">
      <c r="A255" s="6" t="s">
        <v>25</v>
      </c>
      <c r="B255" s="7"/>
      <c r="C255" s="6">
        <v>510513</v>
      </c>
      <c r="D255" s="6" t="s">
        <v>377</v>
      </c>
      <c r="E255" s="6">
        <v>1</v>
      </c>
      <c r="F255" s="6">
        <v>7</v>
      </c>
      <c r="G255" s="6" t="s">
        <v>202</v>
      </c>
      <c r="H255" s="6">
        <v>9</v>
      </c>
      <c r="I255" s="8">
        <v>85.915187361111094</v>
      </c>
      <c r="J255" s="8">
        <v>116.660135</v>
      </c>
      <c r="K255" s="6" t="s">
        <v>29</v>
      </c>
      <c r="L255" s="6" t="s">
        <v>335</v>
      </c>
      <c r="M255" s="9">
        <v>43780</v>
      </c>
      <c r="O255" s="6">
        <v>7</v>
      </c>
      <c r="P255" s="6" t="s">
        <v>4259</v>
      </c>
      <c r="R255" s="6" t="s">
        <v>379</v>
      </c>
      <c r="S255" s="6">
        <v>39</v>
      </c>
      <c r="T255" s="6">
        <v>47</v>
      </c>
      <c r="U255" s="10">
        <f t="shared" si="6"/>
        <v>43</v>
      </c>
      <c r="V255" s="6">
        <v>6.9</v>
      </c>
      <c r="W255" s="8">
        <v>0.71591637825965937</v>
      </c>
      <c r="X255" s="8">
        <v>6.6381229782104487</v>
      </c>
      <c r="Y255" s="8">
        <f t="shared" si="7"/>
        <v>0.91079195213317377</v>
      </c>
    </row>
    <row r="256" spans="1:25" s="6" customFormat="1" x14ac:dyDescent="0.35">
      <c r="A256" s="6" t="s">
        <v>25</v>
      </c>
      <c r="B256" s="7" t="s">
        <v>614</v>
      </c>
      <c r="C256" s="6">
        <v>510738</v>
      </c>
      <c r="D256" s="6" t="s">
        <v>615</v>
      </c>
      <c r="E256" s="6">
        <v>1</v>
      </c>
      <c r="F256" s="6">
        <v>9</v>
      </c>
      <c r="G256" s="6" t="s">
        <v>202</v>
      </c>
      <c r="I256" s="8">
        <v>86.047909722222201</v>
      </c>
      <c r="J256" s="8">
        <v>120.497726180556</v>
      </c>
      <c r="K256" s="6" t="s">
        <v>29</v>
      </c>
      <c r="L256" s="6" t="s">
        <v>335</v>
      </c>
      <c r="M256" s="9">
        <v>43794</v>
      </c>
      <c r="O256" s="6">
        <v>9</v>
      </c>
      <c r="P256" s="6" t="s">
        <v>4270</v>
      </c>
      <c r="Q256" s="8">
        <v>-2.2000000000000002</v>
      </c>
      <c r="R256" s="10" t="s">
        <v>616</v>
      </c>
      <c r="S256" s="10">
        <v>40</v>
      </c>
      <c r="T256" s="10">
        <v>48</v>
      </c>
      <c r="U256" s="10">
        <f t="shared" si="6"/>
        <v>44</v>
      </c>
      <c r="V256" s="11">
        <v>4.3</v>
      </c>
      <c r="W256" s="8">
        <v>0.86157641443014166</v>
      </c>
      <c r="X256" s="8">
        <v>5.6964585723459722</v>
      </c>
      <c r="Y256" s="8">
        <f t="shared" si="7"/>
        <v>-1.1961527430951611</v>
      </c>
    </row>
    <row r="257" spans="1:26" s="6" customFormat="1" x14ac:dyDescent="0.35">
      <c r="A257" s="6" t="s">
        <v>25</v>
      </c>
      <c r="B257" s="7" t="s">
        <v>659</v>
      </c>
      <c r="C257" s="6">
        <v>510781</v>
      </c>
      <c r="D257" s="6" t="s">
        <v>660</v>
      </c>
      <c r="E257" s="6">
        <v>1</v>
      </c>
      <c r="F257" s="6">
        <v>9</v>
      </c>
      <c r="G257" s="6" t="s">
        <v>179</v>
      </c>
      <c r="I257" s="8">
        <v>86.158515138888902</v>
      </c>
      <c r="J257" s="8">
        <v>117.89724090277799</v>
      </c>
      <c r="K257" s="6" t="s">
        <v>29</v>
      </c>
      <c r="L257" s="6" t="s">
        <v>335</v>
      </c>
      <c r="M257" s="9">
        <v>43796</v>
      </c>
      <c r="O257" s="6">
        <v>9</v>
      </c>
      <c r="P257" s="6" t="s">
        <v>4272</v>
      </c>
      <c r="Q257" s="8">
        <v>-5.15</v>
      </c>
      <c r="R257" s="10" t="s">
        <v>661</v>
      </c>
      <c r="S257" s="10">
        <v>40</v>
      </c>
      <c r="T257" s="10">
        <v>49</v>
      </c>
      <c r="U257" s="10">
        <f t="shared" si="6"/>
        <v>44.5</v>
      </c>
      <c r="V257" s="11">
        <v>5.3</v>
      </c>
      <c r="W257" s="8">
        <v>0.60116082429885898</v>
      </c>
      <c r="X257" s="8">
        <v>5.4287404036521911</v>
      </c>
      <c r="Y257" s="8">
        <f t="shared" si="7"/>
        <v>0.61945380926131932</v>
      </c>
    </row>
    <row r="258" spans="1:26" s="6" customFormat="1" x14ac:dyDescent="0.35">
      <c r="A258" s="6" t="s">
        <v>25</v>
      </c>
      <c r="B258" s="6" t="s">
        <v>158</v>
      </c>
      <c r="C258" s="6">
        <v>510157</v>
      </c>
      <c r="D258" s="6" t="s">
        <v>152</v>
      </c>
      <c r="E258" s="6">
        <v>1</v>
      </c>
      <c r="F258" s="6">
        <v>3</v>
      </c>
      <c r="G258" s="6" t="s">
        <v>153</v>
      </c>
      <c r="I258" s="8">
        <v>85.348898888888897</v>
      </c>
      <c r="J258" s="8">
        <v>129.88336361111101</v>
      </c>
      <c r="K258" s="6" t="s">
        <v>29</v>
      </c>
      <c r="L258" s="6" t="s">
        <v>335</v>
      </c>
      <c r="M258" s="9">
        <v>43761</v>
      </c>
      <c r="O258" s="6">
        <v>4</v>
      </c>
      <c r="P258" s="6" t="s">
        <v>4248</v>
      </c>
      <c r="R258" s="6" t="s">
        <v>159</v>
      </c>
      <c r="S258" s="6">
        <v>40</v>
      </c>
      <c r="T258" s="6">
        <v>50</v>
      </c>
      <c r="U258" s="10">
        <f t="shared" ref="U258:U321" si="8">AVERAGE(S258:T258)</f>
        <v>45</v>
      </c>
      <c r="V258" s="6">
        <v>5.0999999999999996</v>
      </c>
      <c r="W258" s="8">
        <v>0.80143392676115022</v>
      </c>
      <c r="X258" s="8">
        <v>6.8504397459030155</v>
      </c>
      <c r="Y258" s="8">
        <f t="shared" ref="Y258:Y321" si="9">X258-(8*W258)</f>
        <v>0.43896833181381378</v>
      </c>
    </row>
    <row r="259" spans="1:26" s="6" customFormat="1" x14ac:dyDescent="0.35">
      <c r="A259" s="6" t="s">
        <v>25</v>
      </c>
      <c r="B259" s="7" t="s">
        <v>423</v>
      </c>
      <c r="C259" s="6">
        <v>510590</v>
      </c>
      <c r="D259" s="6" t="s">
        <v>424</v>
      </c>
      <c r="E259" s="6">
        <v>1</v>
      </c>
      <c r="F259" s="6">
        <v>7</v>
      </c>
      <c r="G259" s="6" t="s">
        <v>179</v>
      </c>
      <c r="I259" s="8">
        <v>86.1718883333333</v>
      </c>
      <c r="J259" s="8">
        <v>118.24158284722201</v>
      </c>
      <c r="K259" s="6" t="s">
        <v>29</v>
      </c>
      <c r="L259" s="6" t="s">
        <v>335</v>
      </c>
      <c r="M259" s="9">
        <v>43783</v>
      </c>
      <c r="O259" s="6">
        <v>7</v>
      </c>
      <c r="P259" s="6" t="s">
        <v>4248</v>
      </c>
      <c r="Q259" s="8">
        <v>-2.5333333333333332</v>
      </c>
      <c r="R259" s="10" t="s">
        <v>159</v>
      </c>
      <c r="S259" s="10">
        <v>40</v>
      </c>
      <c r="T259" s="10">
        <v>50</v>
      </c>
      <c r="U259" s="10">
        <f t="shared" si="8"/>
        <v>45</v>
      </c>
      <c r="V259" s="6">
        <v>6</v>
      </c>
      <c r="W259" s="8">
        <v>0.88480188924074166</v>
      </c>
      <c r="X259" s="8">
        <v>6.9215391101837156</v>
      </c>
      <c r="Y259" s="8">
        <f t="shared" si="9"/>
        <v>-0.15687600374221766</v>
      </c>
    </row>
    <row r="260" spans="1:26" s="6" customFormat="1" x14ac:dyDescent="0.35">
      <c r="A260" s="6" t="s">
        <v>25</v>
      </c>
      <c r="B260" s="7" t="s">
        <v>488</v>
      </c>
      <c r="C260" s="6">
        <v>510676</v>
      </c>
      <c r="D260" s="6" t="s">
        <v>489</v>
      </c>
      <c r="E260" s="6">
        <v>1</v>
      </c>
      <c r="F260" s="6">
        <v>8</v>
      </c>
      <c r="G260" s="6" t="s">
        <v>202</v>
      </c>
      <c r="I260" s="8">
        <v>85.829729583333304</v>
      </c>
      <c r="J260" s="8">
        <v>120.62869888888901</v>
      </c>
      <c r="K260" s="6" t="s">
        <v>29</v>
      </c>
      <c r="L260" s="6" t="s">
        <v>335</v>
      </c>
      <c r="M260" s="9">
        <v>43787</v>
      </c>
      <c r="O260" s="6">
        <v>8</v>
      </c>
      <c r="P260" s="6" t="s">
        <v>4263</v>
      </c>
      <c r="Q260" s="8">
        <v>-2</v>
      </c>
      <c r="R260" s="10" t="s">
        <v>159</v>
      </c>
      <c r="S260" s="10">
        <v>40</v>
      </c>
      <c r="T260" s="10">
        <v>50</v>
      </c>
      <c r="U260" s="10">
        <f t="shared" si="8"/>
        <v>45</v>
      </c>
      <c r="V260" s="6">
        <v>5.9</v>
      </c>
      <c r="W260" s="8">
        <v>0.75441726304054257</v>
      </c>
      <c r="X260" s="8">
        <v>6.2584710131149297</v>
      </c>
      <c r="Y260" s="8">
        <f t="shared" si="9"/>
        <v>0.22313290879058911</v>
      </c>
    </row>
    <row r="261" spans="1:26" s="6" customFormat="1" x14ac:dyDescent="0.35">
      <c r="A261" s="6" t="s">
        <v>25</v>
      </c>
      <c r="B261" s="7"/>
      <c r="C261" s="6">
        <v>510950</v>
      </c>
      <c r="D261" s="6" t="s">
        <v>747</v>
      </c>
      <c r="E261" s="6">
        <v>1</v>
      </c>
      <c r="F261" s="6">
        <v>10</v>
      </c>
      <c r="G261" s="6" t="s">
        <v>202</v>
      </c>
      <c r="H261" s="6">
        <v>7.6</v>
      </c>
      <c r="I261" s="8">
        <v>85.933882569444407</v>
      </c>
      <c r="J261" s="8">
        <v>114.06437159722201</v>
      </c>
      <c r="K261" s="6" t="s">
        <v>29</v>
      </c>
      <c r="L261" s="6" t="s">
        <v>335</v>
      </c>
      <c r="M261" s="9">
        <v>43801</v>
      </c>
      <c r="O261" s="6">
        <v>10</v>
      </c>
      <c r="P261" s="6" t="s">
        <v>4277</v>
      </c>
      <c r="R261" s="6" t="s">
        <v>159</v>
      </c>
      <c r="S261" s="6">
        <v>40</v>
      </c>
      <c r="T261" s="6">
        <v>50</v>
      </c>
      <c r="U261" s="10">
        <f t="shared" si="8"/>
        <v>45</v>
      </c>
      <c r="V261" s="6">
        <v>3.4</v>
      </c>
      <c r="W261" s="8">
        <v>-1.2305602495193482</v>
      </c>
      <c r="X261" s="8">
        <v>-9.4396129767894745</v>
      </c>
      <c r="Y261" s="8">
        <f t="shared" si="9"/>
        <v>0.40486901936531083</v>
      </c>
    </row>
    <row r="262" spans="1:26" s="12" customFormat="1" x14ac:dyDescent="0.35">
      <c r="A262" s="6" t="s">
        <v>25</v>
      </c>
      <c r="B262" s="6" t="s">
        <v>763</v>
      </c>
      <c r="C262" s="6">
        <v>511028</v>
      </c>
      <c r="D262" s="6" t="s">
        <v>758</v>
      </c>
      <c r="E262" s="6">
        <v>1</v>
      </c>
      <c r="F262" s="6">
        <v>10</v>
      </c>
      <c r="G262" s="6" t="s">
        <v>179</v>
      </c>
      <c r="H262" s="6"/>
      <c r="I262" s="8">
        <v>86.106434930555594</v>
      </c>
      <c r="J262" s="8">
        <v>118.771893680556</v>
      </c>
      <c r="K262" s="6" t="s">
        <v>29</v>
      </c>
      <c r="L262" s="6" t="s">
        <v>335</v>
      </c>
      <c r="M262" s="9">
        <v>43803</v>
      </c>
      <c r="N262" s="6"/>
      <c r="O262" s="6">
        <v>10</v>
      </c>
      <c r="P262" s="6" t="s">
        <v>4278</v>
      </c>
      <c r="Q262" s="6"/>
      <c r="R262" s="6" t="s">
        <v>159</v>
      </c>
      <c r="S262" s="6">
        <v>40</v>
      </c>
      <c r="T262" s="6">
        <v>50</v>
      </c>
      <c r="U262" s="10">
        <f t="shared" si="8"/>
        <v>45</v>
      </c>
      <c r="V262" s="6">
        <v>5.3</v>
      </c>
      <c r="W262" s="8">
        <v>0.9016941443324088</v>
      </c>
      <c r="X262" s="8">
        <v>7.3343075260162358</v>
      </c>
      <c r="Y262" s="8">
        <f t="shared" si="9"/>
        <v>0.12075437135696543</v>
      </c>
      <c r="Z262" s="6"/>
    </row>
    <row r="263" spans="1:26" s="12" customFormat="1" x14ac:dyDescent="0.35">
      <c r="A263" s="6" t="s">
        <v>25</v>
      </c>
      <c r="B263" s="7"/>
      <c r="C263" s="6">
        <v>511055</v>
      </c>
      <c r="D263" s="6" t="s">
        <v>773</v>
      </c>
      <c r="E263" s="6">
        <v>1</v>
      </c>
      <c r="F263" s="6">
        <v>10</v>
      </c>
      <c r="G263" s="6" t="s">
        <v>345</v>
      </c>
      <c r="H263" s="6">
        <v>22</v>
      </c>
      <c r="I263" s="8">
        <v>86.141995833333297</v>
      </c>
      <c r="J263" s="8">
        <v>122.240208541667</v>
      </c>
      <c r="K263" s="6" t="s">
        <v>29</v>
      </c>
      <c r="L263" s="6" t="s">
        <v>335</v>
      </c>
      <c r="M263" s="9">
        <v>43805</v>
      </c>
      <c r="N263" s="6"/>
      <c r="O263" s="6">
        <v>10</v>
      </c>
      <c r="P263" s="6" t="s">
        <v>4280</v>
      </c>
      <c r="Q263" s="6"/>
      <c r="R263" s="6" t="s">
        <v>159</v>
      </c>
      <c r="S263" s="6">
        <v>40</v>
      </c>
      <c r="T263" s="6">
        <v>50</v>
      </c>
      <c r="U263" s="10">
        <f t="shared" si="8"/>
        <v>45</v>
      </c>
      <c r="V263" s="6">
        <v>5.9</v>
      </c>
      <c r="W263" s="8">
        <v>0.20225988757133506</v>
      </c>
      <c r="X263" s="8">
        <v>3.3586240573883055</v>
      </c>
      <c r="Y263" s="8">
        <f t="shared" si="9"/>
        <v>1.740544956817625</v>
      </c>
      <c r="Z263" s="6"/>
    </row>
    <row r="264" spans="1:26" s="12" customFormat="1" x14ac:dyDescent="0.35">
      <c r="A264" s="6" t="s">
        <v>25</v>
      </c>
      <c r="B264" s="6" t="s">
        <v>783</v>
      </c>
      <c r="C264" s="6"/>
      <c r="D264" s="6" t="s">
        <v>779</v>
      </c>
      <c r="E264" s="6">
        <v>1</v>
      </c>
      <c r="F264" s="6">
        <v>11</v>
      </c>
      <c r="G264" s="6" t="s">
        <v>179</v>
      </c>
      <c r="H264" s="6"/>
      <c r="I264" s="8">
        <v>86.506581944444406</v>
      </c>
      <c r="J264" s="8">
        <v>120.985913333333</v>
      </c>
      <c r="K264" s="6" t="s">
        <v>29</v>
      </c>
      <c r="L264" s="6" t="s">
        <v>335</v>
      </c>
      <c r="M264" s="9">
        <v>43809</v>
      </c>
      <c r="N264" s="6"/>
      <c r="O264" s="6">
        <v>11</v>
      </c>
      <c r="P264" s="6" t="s">
        <v>4284</v>
      </c>
      <c r="Q264" s="6"/>
      <c r="R264" s="6">
        <v>40</v>
      </c>
      <c r="S264" s="6">
        <v>40</v>
      </c>
      <c r="T264" s="6">
        <v>50</v>
      </c>
      <c r="U264" s="10">
        <f t="shared" si="8"/>
        <v>45</v>
      </c>
      <c r="V264" s="6">
        <v>4.9000000000000004</v>
      </c>
      <c r="W264" s="8">
        <v>0.77729022994041475</v>
      </c>
      <c r="X264" s="8">
        <v>6.1750190401077258</v>
      </c>
      <c r="Y264" s="8">
        <f t="shared" si="9"/>
        <v>-4.3302799415592119E-2</v>
      </c>
      <c r="Z264" s="6"/>
    </row>
    <row r="265" spans="1:26" s="12" customFormat="1" x14ac:dyDescent="0.35">
      <c r="A265" s="6" t="s">
        <v>25</v>
      </c>
      <c r="B265" s="6" t="s">
        <v>793</v>
      </c>
      <c r="C265" s="6"/>
      <c r="D265" s="6" t="s">
        <v>789</v>
      </c>
      <c r="E265" s="6">
        <v>2</v>
      </c>
      <c r="F265" s="6">
        <v>17</v>
      </c>
      <c r="G265" s="6" t="s">
        <v>202</v>
      </c>
      <c r="H265" s="6"/>
      <c r="I265" s="8">
        <v>86.641082222222195</v>
      </c>
      <c r="J265" s="8">
        <v>113.166453680556</v>
      </c>
      <c r="K265" s="6" t="s">
        <v>29</v>
      </c>
      <c r="L265" s="6" t="s">
        <v>335</v>
      </c>
      <c r="M265" s="9">
        <v>43822</v>
      </c>
      <c r="N265" s="6"/>
      <c r="O265" s="6">
        <v>13</v>
      </c>
      <c r="P265" s="6" t="s">
        <v>4294</v>
      </c>
      <c r="Q265" s="6"/>
      <c r="R265" s="6">
        <v>40</v>
      </c>
      <c r="S265" s="6">
        <v>40</v>
      </c>
      <c r="T265" s="6">
        <v>50</v>
      </c>
      <c r="U265" s="10">
        <f t="shared" si="8"/>
        <v>45</v>
      </c>
      <c r="V265" s="6">
        <v>4.8</v>
      </c>
      <c r="W265" s="8">
        <v>0.85815704276561722</v>
      </c>
      <c r="X265" s="8">
        <v>6.5551593661308294</v>
      </c>
      <c r="Y265" s="8">
        <f t="shared" si="9"/>
        <v>-0.31009697599410835</v>
      </c>
      <c r="Z265" s="6"/>
    </row>
    <row r="266" spans="1:26" s="12" customFormat="1" x14ac:dyDescent="0.35">
      <c r="A266" s="6" t="s">
        <v>25</v>
      </c>
      <c r="B266" s="7" t="s">
        <v>840</v>
      </c>
      <c r="C266" s="6"/>
      <c r="D266" s="6" t="s">
        <v>841</v>
      </c>
      <c r="E266" s="6">
        <v>2</v>
      </c>
      <c r="F266" s="6">
        <v>19</v>
      </c>
      <c r="G266" s="6" t="s">
        <v>202</v>
      </c>
      <c r="H266" s="6"/>
      <c r="I266" s="8">
        <v>87.103055694444393</v>
      </c>
      <c r="J266" s="8">
        <v>115.160686597222</v>
      </c>
      <c r="K266" s="6" t="s">
        <v>29</v>
      </c>
      <c r="L266" s="6" t="s">
        <v>335</v>
      </c>
      <c r="M266" s="9">
        <v>43836</v>
      </c>
      <c r="N266" s="6"/>
      <c r="O266" s="6">
        <v>15</v>
      </c>
      <c r="P266" s="6" t="s">
        <v>4271</v>
      </c>
      <c r="Q266" s="6"/>
      <c r="R266" s="10"/>
      <c r="S266" s="10">
        <v>40</v>
      </c>
      <c r="T266" s="10">
        <v>50</v>
      </c>
      <c r="U266" s="10">
        <f t="shared" si="8"/>
        <v>45</v>
      </c>
      <c r="V266" s="11">
        <v>6.7</v>
      </c>
      <c r="W266" s="8">
        <v>0.4826410680502653</v>
      </c>
      <c r="X266" s="8">
        <v>4.3334591529369355</v>
      </c>
      <c r="Y266" s="8">
        <f t="shared" si="9"/>
        <v>0.47233060853481312</v>
      </c>
      <c r="Z266" s="6"/>
    </row>
    <row r="267" spans="1:26" s="12" customFormat="1" x14ac:dyDescent="0.35">
      <c r="A267" s="6" t="s">
        <v>25</v>
      </c>
      <c r="B267" s="6" t="s">
        <v>888</v>
      </c>
      <c r="C267" s="6"/>
      <c r="D267" s="6" t="s">
        <v>884</v>
      </c>
      <c r="E267" s="6">
        <v>2</v>
      </c>
      <c r="F267" s="6">
        <v>20</v>
      </c>
      <c r="G267" s="6" t="s">
        <v>57</v>
      </c>
      <c r="H267" s="6"/>
      <c r="I267" s="8">
        <v>86.603676041666702</v>
      </c>
      <c r="J267" s="8">
        <v>116.411907777778</v>
      </c>
      <c r="K267" s="6" t="s">
        <v>29</v>
      </c>
      <c r="L267" s="6" t="s">
        <v>335</v>
      </c>
      <c r="M267" s="9">
        <v>43846</v>
      </c>
      <c r="N267" s="6"/>
      <c r="O267" s="6">
        <v>16</v>
      </c>
      <c r="P267" s="6" t="s">
        <v>4311</v>
      </c>
      <c r="Q267" s="6"/>
      <c r="R267" s="6">
        <v>40</v>
      </c>
      <c r="S267" s="6">
        <v>40</v>
      </c>
      <c r="T267" s="6">
        <v>50</v>
      </c>
      <c r="U267" s="10">
        <f t="shared" si="8"/>
        <v>45</v>
      </c>
      <c r="V267" s="6">
        <v>5.7</v>
      </c>
      <c r="W267" s="8">
        <v>-4.9099820274353032</v>
      </c>
      <c r="X267" s="8">
        <v>-35.968430923461909</v>
      </c>
      <c r="Y267" s="8">
        <f t="shared" si="9"/>
        <v>3.3114252960205164</v>
      </c>
      <c r="Z267" s="6"/>
    </row>
    <row r="268" spans="1:26" s="6" customFormat="1" x14ac:dyDescent="0.35">
      <c r="A268" s="6" t="s">
        <v>25</v>
      </c>
      <c r="B268" s="7" t="s">
        <v>907</v>
      </c>
      <c r="D268" s="6" t="s">
        <v>908</v>
      </c>
      <c r="E268" s="6">
        <v>2</v>
      </c>
      <c r="F268" s="6">
        <v>21</v>
      </c>
      <c r="G268" s="6" t="s">
        <v>202</v>
      </c>
      <c r="I268" s="8">
        <v>87.451079583333296</v>
      </c>
      <c r="J268" s="8">
        <v>97.375985347222198</v>
      </c>
      <c r="K268" s="6" t="s">
        <v>29</v>
      </c>
      <c r="L268" s="6" t="s">
        <v>335</v>
      </c>
      <c r="M268" s="9">
        <v>43850</v>
      </c>
      <c r="O268" s="6">
        <v>17</v>
      </c>
      <c r="P268" s="6" t="s">
        <v>4314</v>
      </c>
      <c r="R268" s="10"/>
      <c r="S268" s="10">
        <v>40</v>
      </c>
      <c r="T268" s="10">
        <v>50</v>
      </c>
      <c r="U268" s="10">
        <f t="shared" si="8"/>
        <v>45</v>
      </c>
      <c r="V268" s="11">
        <v>5.2</v>
      </c>
      <c r="W268" s="8">
        <v>0.71406184434890807</v>
      </c>
      <c r="X268" s="8">
        <v>6.958175258731842</v>
      </c>
      <c r="Y268" s="8">
        <f t="shared" si="9"/>
        <v>1.2456805039405774</v>
      </c>
    </row>
    <row r="269" spans="1:26" s="6" customFormat="1" x14ac:dyDescent="0.35">
      <c r="A269" s="6" t="s">
        <v>25</v>
      </c>
      <c r="B269" s="7"/>
      <c r="D269" s="6" t="s">
        <v>1000</v>
      </c>
      <c r="E269" s="6">
        <v>2</v>
      </c>
      <c r="F269" s="6">
        <v>23</v>
      </c>
      <c r="G269" s="6" t="s">
        <v>202</v>
      </c>
      <c r="I269" s="8">
        <v>87.352736041666702</v>
      </c>
      <c r="J269" s="8">
        <v>94.772103819444396</v>
      </c>
      <c r="K269" s="6" t="s">
        <v>29</v>
      </c>
      <c r="L269" s="6" t="s">
        <v>335</v>
      </c>
      <c r="M269" s="9">
        <v>43864</v>
      </c>
      <c r="O269" s="6">
        <v>19</v>
      </c>
      <c r="P269" s="6" t="s">
        <v>4322</v>
      </c>
      <c r="S269" s="6">
        <v>40</v>
      </c>
      <c r="T269" s="6">
        <v>50</v>
      </c>
      <c r="U269" s="10">
        <f t="shared" si="8"/>
        <v>45</v>
      </c>
      <c r="V269" s="6">
        <v>4</v>
      </c>
      <c r="W269" s="8">
        <v>1.7768456077575368E-2</v>
      </c>
      <c r="X269" s="8">
        <v>0.725945571899414</v>
      </c>
      <c r="Y269" s="8">
        <f t="shared" si="9"/>
        <v>0.58379792327881108</v>
      </c>
    </row>
    <row r="270" spans="1:26" s="6" customFormat="1" x14ac:dyDescent="0.35">
      <c r="A270" s="6" t="s">
        <v>25</v>
      </c>
      <c r="B270" s="7"/>
      <c r="D270" s="6" t="s">
        <v>1036</v>
      </c>
      <c r="E270" s="6">
        <v>2</v>
      </c>
      <c r="F270" s="6">
        <v>24</v>
      </c>
      <c r="G270" s="6" t="s">
        <v>57</v>
      </c>
      <c r="I270" s="8">
        <v>87.882876180555598</v>
      </c>
      <c r="J270" s="8">
        <v>87.424340833333304</v>
      </c>
      <c r="K270" s="6" t="s">
        <v>29</v>
      </c>
      <c r="L270" s="6" t="s">
        <v>335</v>
      </c>
      <c r="M270" s="9">
        <v>43873</v>
      </c>
      <c r="O270" s="6">
        <v>20</v>
      </c>
      <c r="P270" s="6" t="s">
        <v>4313</v>
      </c>
      <c r="S270" s="6">
        <v>40</v>
      </c>
      <c r="T270" s="6">
        <v>50</v>
      </c>
      <c r="U270" s="10">
        <f t="shared" si="8"/>
        <v>45</v>
      </c>
      <c r="V270" s="30"/>
      <c r="W270" s="8">
        <v>-8.0059761419892184E-2</v>
      </c>
      <c r="X270" s="8">
        <v>0.9889536995887761</v>
      </c>
      <c r="Y270" s="8">
        <f t="shared" si="9"/>
        <v>1.6294317909479137</v>
      </c>
    </row>
    <row r="271" spans="1:26" s="6" customFormat="1" x14ac:dyDescent="0.35">
      <c r="A271" s="6" t="s">
        <v>25</v>
      </c>
      <c r="B271" s="7"/>
      <c r="D271" s="6" t="s">
        <v>1059</v>
      </c>
      <c r="E271" s="6">
        <v>3</v>
      </c>
      <c r="F271" s="6">
        <v>29</v>
      </c>
      <c r="G271" s="6" t="s">
        <v>60</v>
      </c>
      <c r="I271" s="8">
        <v>88.488842986111095</v>
      </c>
      <c r="J271" s="8">
        <v>40.1770405555556</v>
      </c>
      <c r="K271" s="6" t="s">
        <v>29</v>
      </c>
      <c r="L271" s="6" t="s">
        <v>335</v>
      </c>
      <c r="M271" s="9">
        <v>43887</v>
      </c>
      <c r="O271" s="6">
        <v>22</v>
      </c>
      <c r="P271" s="6" t="s">
        <v>4291</v>
      </c>
      <c r="S271" s="6">
        <v>40</v>
      </c>
      <c r="T271" s="6">
        <v>50</v>
      </c>
      <c r="U271" s="10">
        <f t="shared" si="8"/>
        <v>45</v>
      </c>
      <c r="V271" s="6">
        <v>7.1</v>
      </c>
      <c r="W271" s="8">
        <v>-0.63367843139648439</v>
      </c>
      <c r="X271" s="8">
        <v>-3.2931472916603082</v>
      </c>
      <c r="Y271" s="8">
        <f t="shared" si="9"/>
        <v>1.7762801595115669</v>
      </c>
    </row>
    <row r="272" spans="1:26" s="6" customFormat="1" x14ac:dyDescent="0.35">
      <c r="A272" s="6" t="s">
        <v>25</v>
      </c>
      <c r="B272" s="7"/>
      <c r="D272" s="6" t="s">
        <v>1086</v>
      </c>
      <c r="E272" s="6">
        <v>3</v>
      </c>
      <c r="F272" s="6">
        <v>31</v>
      </c>
      <c r="G272" s="6" t="s">
        <v>179</v>
      </c>
      <c r="I272" s="8">
        <v>87.889566388888895</v>
      </c>
      <c r="J272" s="8">
        <v>24.107920208333301</v>
      </c>
      <c r="K272" s="6" t="s">
        <v>29</v>
      </c>
      <c r="L272" s="6" t="s">
        <v>335</v>
      </c>
      <c r="M272" s="9">
        <v>43899</v>
      </c>
      <c r="O272" s="6">
        <v>24</v>
      </c>
      <c r="P272" s="6" t="s">
        <v>4343</v>
      </c>
      <c r="S272" s="6">
        <v>40</v>
      </c>
      <c r="T272" s="6">
        <v>50</v>
      </c>
      <c r="U272" s="10">
        <f t="shared" si="8"/>
        <v>45</v>
      </c>
      <c r="V272" s="6">
        <v>4</v>
      </c>
      <c r="W272" s="8">
        <v>0.75868919569015536</v>
      </c>
      <c r="X272" s="8">
        <v>6.0777644824981687</v>
      </c>
      <c r="Y272" s="8">
        <f t="shared" si="9"/>
        <v>8.250916976925815E-3</v>
      </c>
    </row>
    <row r="273" spans="1:26" s="6" customFormat="1" x14ac:dyDescent="0.35">
      <c r="A273" s="6" t="s">
        <v>25</v>
      </c>
      <c r="B273" s="7"/>
      <c r="D273" s="6" t="s">
        <v>1101</v>
      </c>
      <c r="E273" s="6">
        <v>3</v>
      </c>
      <c r="F273" s="6">
        <v>31</v>
      </c>
      <c r="G273" s="6" t="s">
        <v>345</v>
      </c>
      <c r="I273" s="8">
        <v>87.660309999999996</v>
      </c>
      <c r="J273" s="8">
        <v>24.286057569444399</v>
      </c>
      <c r="K273" s="6" t="s">
        <v>29</v>
      </c>
      <c r="L273" s="6" t="s">
        <v>335</v>
      </c>
      <c r="M273" s="9">
        <v>43901</v>
      </c>
      <c r="O273" s="6">
        <v>24</v>
      </c>
      <c r="P273" s="6" t="s">
        <v>4345</v>
      </c>
      <c r="S273" s="6">
        <v>40</v>
      </c>
      <c r="T273" s="6">
        <v>50</v>
      </c>
      <c r="U273" s="10">
        <f t="shared" si="8"/>
        <v>45</v>
      </c>
      <c r="V273" s="6">
        <v>4.7</v>
      </c>
      <c r="W273" s="8">
        <v>0.73412617664337121</v>
      </c>
      <c r="X273" s="8">
        <v>6.3765661487579344</v>
      </c>
      <c r="Y273" s="8">
        <f t="shared" si="9"/>
        <v>0.5035567356109647</v>
      </c>
    </row>
    <row r="274" spans="1:26" s="6" customFormat="1" x14ac:dyDescent="0.35">
      <c r="A274" s="6" t="s">
        <v>25</v>
      </c>
      <c r="B274" s="7"/>
      <c r="D274" s="6" t="s">
        <v>1160</v>
      </c>
      <c r="E274" s="6">
        <v>3</v>
      </c>
      <c r="F274" s="6">
        <v>32</v>
      </c>
      <c r="G274" s="6" t="s">
        <v>179</v>
      </c>
      <c r="I274" s="8">
        <v>86.339075833333297</v>
      </c>
      <c r="J274" s="8">
        <v>14.7309175</v>
      </c>
      <c r="K274" s="6" t="s">
        <v>29</v>
      </c>
      <c r="L274" s="6" t="s">
        <v>335</v>
      </c>
      <c r="M274" s="9">
        <v>43910</v>
      </c>
      <c r="O274" s="6">
        <v>25</v>
      </c>
      <c r="P274" s="6" t="s">
        <v>4350</v>
      </c>
      <c r="S274" s="6">
        <v>40</v>
      </c>
      <c r="T274" s="6">
        <v>50</v>
      </c>
      <c r="U274" s="10">
        <f t="shared" si="8"/>
        <v>45</v>
      </c>
      <c r="V274" s="6">
        <v>5</v>
      </c>
      <c r="W274" s="8">
        <v>0.72382462658882174</v>
      </c>
      <c r="X274" s="8">
        <v>6.2106196193695062</v>
      </c>
      <c r="Y274" s="8">
        <f t="shared" si="9"/>
        <v>0.42002260665893232</v>
      </c>
    </row>
    <row r="275" spans="1:26" s="6" customFormat="1" x14ac:dyDescent="0.35">
      <c r="A275" s="6" t="s">
        <v>25</v>
      </c>
      <c r="B275" s="7"/>
      <c r="D275" s="6" t="s">
        <v>1180</v>
      </c>
      <c r="E275" s="6">
        <v>3</v>
      </c>
      <c r="F275" s="6">
        <v>32</v>
      </c>
      <c r="G275" s="6" t="s">
        <v>202</v>
      </c>
      <c r="I275" s="8">
        <v>86.257643333333306</v>
      </c>
      <c r="J275" s="8">
        <v>15.261599722222201</v>
      </c>
      <c r="K275" s="6" t="s">
        <v>29</v>
      </c>
      <c r="L275" s="6" t="s">
        <v>335</v>
      </c>
      <c r="M275" s="9">
        <v>43911</v>
      </c>
      <c r="O275" s="6">
        <v>25</v>
      </c>
      <c r="P275" s="6" t="s">
        <v>4351</v>
      </c>
      <c r="S275" s="6">
        <v>40</v>
      </c>
      <c r="T275" s="6">
        <v>50</v>
      </c>
      <c r="U275" s="10">
        <f t="shared" si="8"/>
        <v>45</v>
      </c>
      <c r="V275" s="6">
        <v>5</v>
      </c>
      <c r="W275" s="8">
        <v>0.52373118163585675</v>
      </c>
      <c r="X275" s="8">
        <v>4.3535715888977053</v>
      </c>
      <c r="Y275" s="8">
        <f t="shared" si="9"/>
        <v>0.16372213581085138</v>
      </c>
    </row>
    <row r="276" spans="1:26" s="6" customFormat="1" x14ac:dyDescent="0.35">
      <c r="A276" s="6" t="s">
        <v>25</v>
      </c>
      <c r="B276" s="6" t="s">
        <v>1245</v>
      </c>
      <c r="D276" s="6" t="s">
        <v>1240</v>
      </c>
      <c r="E276" s="6">
        <v>3</v>
      </c>
      <c r="F276" s="6">
        <v>34</v>
      </c>
      <c r="G276" s="6" t="s">
        <v>202</v>
      </c>
      <c r="I276" s="8">
        <v>84.533711805555598</v>
      </c>
      <c r="J276" s="8">
        <v>14.277858402777801</v>
      </c>
      <c r="K276" s="6" t="s">
        <v>29</v>
      </c>
      <c r="L276" s="6" t="s">
        <v>335</v>
      </c>
      <c r="M276" s="9">
        <v>43927</v>
      </c>
      <c r="O276" s="6">
        <v>28</v>
      </c>
      <c r="P276" s="6" t="s">
        <v>4359</v>
      </c>
      <c r="R276" s="6">
        <v>40</v>
      </c>
      <c r="S276" s="6">
        <v>40</v>
      </c>
      <c r="T276" s="6">
        <v>50</v>
      </c>
      <c r="U276" s="10">
        <f t="shared" si="8"/>
        <v>45</v>
      </c>
      <c r="V276" s="6">
        <v>4.8</v>
      </c>
      <c r="W276" s="8">
        <v>0.4267754772245882</v>
      </c>
      <c r="X276" s="8">
        <v>3.6277334976196296</v>
      </c>
      <c r="Y276" s="8">
        <f t="shared" si="9"/>
        <v>0.21352967982292403</v>
      </c>
    </row>
    <row r="277" spans="1:26" s="6" customFormat="1" x14ac:dyDescent="0.35">
      <c r="A277" s="6" t="s">
        <v>25</v>
      </c>
      <c r="B277" s="6" t="s">
        <v>1295</v>
      </c>
      <c r="D277" s="6" t="s">
        <v>1291</v>
      </c>
      <c r="E277" s="6">
        <v>3</v>
      </c>
      <c r="F277" s="6">
        <v>35</v>
      </c>
      <c r="G277" s="6" t="s">
        <v>345</v>
      </c>
      <c r="I277" s="8">
        <v>84.322834374999999</v>
      </c>
      <c r="J277" s="8">
        <v>14.725811041666701</v>
      </c>
      <c r="K277" s="6" t="s">
        <v>29</v>
      </c>
      <c r="L277" s="6" t="s">
        <v>335</v>
      </c>
      <c r="M277" s="9">
        <v>43931</v>
      </c>
      <c r="O277" s="6">
        <v>28</v>
      </c>
      <c r="P277" s="6" t="s">
        <v>4362</v>
      </c>
      <c r="R277" s="6">
        <v>40</v>
      </c>
      <c r="S277" s="6">
        <v>40</v>
      </c>
      <c r="T277" s="6">
        <v>50</v>
      </c>
      <c r="U277" s="10">
        <f t="shared" si="8"/>
        <v>45</v>
      </c>
      <c r="V277" s="6">
        <v>4.5</v>
      </c>
      <c r="W277" s="8">
        <v>0.85008371460437759</v>
      </c>
      <c r="X277" s="8">
        <v>6.3279973993301395</v>
      </c>
      <c r="Y277" s="8">
        <f t="shared" si="9"/>
        <v>-0.47267231750488126</v>
      </c>
    </row>
    <row r="278" spans="1:26" s="6" customFormat="1" x14ac:dyDescent="0.35">
      <c r="A278" s="6" t="s">
        <v>25</v>
      </c>
      <c r="B278" s="7" t="s">
        <v>1362</v>
      </c>
      <c r="D278" s="6" t="s">
        <v>1363</v>
      </c>
      <c r="E278" s="6">
        <v>3</v>
      </c>
      <c r="F278" s="6">
        <v>36</v>
      </c>
      <c r="G278" s="6" t="s">
        <v>202</v>
      </c>
      <c r="I278" s="8">
        <v>84.331482986111098</v>
      </c>
      <c r="J278" s="8">
        <v>14.642671805555601</v>
      </c>
      <c r="K278" s="6" t="s">
        <v>29</v>
      </c>
      <c r="L278" s="6" t="s">
        <v>335</v>
      </c>
      <c r="M278" s="9">
        <v>43935</v>
      </c>
      <c r="O278" s="6">
        <v>29</v>
      </c>
      <c r="P278" s="6" t="s">
        <v>4332</v>
      </c>
      <c r="R278" s="10"/>
      <c r="S278" s="10">
        <v>40</v>
      </c>
      <c r="T278" s="10">
        <v>50</v>
      </c>
      <c r="U278" s="10">
        <f t="shared" si="8"/>
        <v>45</v>
      </c>
      <c r="V278" s="11">
        <v>4.8</v>
      </c>
      <c r="W278" s="8">
        <v>0.81558715505599955</v>
      </c>
      <c r="X278" s="8">
        <v>6.522841104745865</v>
      </c>
      <c r="Y278" s="8">
        <f t="shared" si="9"/>
        <v>-1.8561357021313896E-3</v>
      </c>
    </row>
    <row r="279" spans="1:26" s="6" customFormat="1" x14ac:dyDescent="0.35">
      <c r="A279" s="6" t="s">
        <v>25</v>
      </c>
      <c r="B279" s="7" t="s">
        <v>1446</v>
      </c>
      <c r="D279" s="6" t="s">
        <v>1447</v>
      </c>
      <c r="E279" s="6">
        <v>3</v>
      </c>
      <c r="F279" s="6">
        <v>37</v>
      </c>
      <c r="G279" s="6" t="s">
        <v>28</v>
      </c>
      <c r="I279" s="8">
        <v>83.999093333333306</v>
      </c>
      <c r="J279" s="8">
        <v>15.6102103472222</v>
      </c>
      <c r="K279" s="6" t="s">
        <v>29</v>
      </c>
      <c r="L279" s="6" t="s">
        <v>335</v>
      </c>
      <c r="M279" s="9">
        <v>43946</v>
      </c>
      <c r="O279" s="6">
        <v>30</v>
      </c>
      <c r="P279" s="6" t="s">
        <v>4265</v>
      </c>
      <c r="R279" s="10"/>
      <c r="S279" s="10">
        <v>40</v>
      </c>
      <c r="T279" s="10">
        <v>50</v>
      </c>
      <c r="U279" s="10">
        <f t="shared" si="8"/>
        <v>45</v>
      </c>
      <c r="V279" s="11">
        <v>3.7</v>
      </c>
      <c r="W279" s="8">
        <v>-1.4352826860427859</v>
      </c>
      <c r="X279" s="8">
        <v>-10.770022605514525</v>
      </c>
      <c r="Y279" s="8">
        <f t="shared" si="9"/>
        <v>0.71223888282776215</v>
      </c>
    </row>
    <row r="280" spans="1:26" s="6" customFormat="1" x14ac:dyDescent="0.35">
      <c r="A280" s="6" t="s">
        <v>25</v>
      </c>
      <c r="B280" s="7" t="s">
        <v>1490</v>
      </c>
      <c r="D280" s="6" t="s">
        <v>1491</v>
      </c>
      <c r="E280" s="6">
        <v>3</v>
      </c>
      <c r="F280" s="6">
        <v>37</v>
      </c>
      <c r="G280" s="6" t="s">
        <v>28</v>
      </c>
      <c r="I280" s="8">
        <v>83.999093333333306</v>
      </c>
      <c r="J280" s="8">
        <v>15.6102103472222</v>
      </c>
      <c r="K280" s="6" t="s">
        <v>29</v>
      </c>
      <c r="L280" s="6" t="s">
        <v>335</v>
      </c>
      <c r="M280" s="9">
        <v>43946</v>
      </c>
      <c r="O280" s="6">
        <v>30</v>
      </c>
      <c r="P280" s="6" t="s">
        <v>4265</v>
      </c>
      <c r="R280" s="10"/>
      <c r="S280" s="10">
        <v>40</v>
      </c>
      <c r="T280" s="10">
        <v>50</v>
      </c>
      <c r="U280" s="10">
        <f t="shared" si="8"/>
        <v>45</v>
      </c>
      <c r="V280" s="11">
        <v>3.4</v>
      </c>
      <c r="W280" s="8">
        <v>0.9598474669933319</v>
      </c>
      <c r="X280" s="8">
        <v>8.3936338806152335</v>
      </c>
      <c r="Y280" s="8">
        <f t="shared" si="9"/>
        <v>0.71485414466857833</v>
      </c>
    </row>
    <row r="281" spans="1:26" s="6" customFormat="1" x14ac:dyDescent="0.35">
      <c r="A281" s="6" t="s">
        <v>25</v>
      </c>
      <c r="B281" s="7"/>
      <c r="D281" s="6" t="s">
        <v>1547</v>
      </c>
      <c r="E281" s="6">
        <v>3</v>
      </c>
      <c r="F281" s="6">
        <v>38</v>
      </c>
      <c r="G281" s="6" t="s">
        <v>202</v>
      </c>
      <c r="I281" s="8">
        <v>83.938997847222197</v>
      </c>
      <c r="J281" s="8">
        <v>15.6730686111111</v>
      </c>
      <c r="K281" s="6" t="s">
        <v>29</v>
      </c>
      <c r="L281" s="6" t="s">
        <v>335</v>
      </c>
      <c r="M281" s="9">
        <v>43948</v>
      </c>
      <c r="O281" s="6">
        <v>31</v>
      </c>
      <c r="P281" s="6" t="s">
        <v>4251</v>
      </c>
      <c r="S281" s="6">
        <v>40</v>
      </c>
      <c r="T281" s="6">
        <v>50</v>
      </c>
      <c r="U281" s="10">
        <f t="shared" si="8"/>
        <v>45</v>
      </c>
      <c r="V281" s="6">
        <v>4.3</v>
      </c>
      <c r="W281" s="8">
        <v>0.74601290534734754</v>
      </c>
      <c r="X281" s="8">
        <v>6.2706510406494136</v>
      </c>
      <c r="Y281" s="8">
        <f t="shared" si="9"/>
        <v>0.30254779787063324</v>
      </c>
    </row>
    <row r="282" spans="1:26" s="6" customFormat="1" x14ac:dyDescent="0.35">
      <c r="A282" s="6" t="s">
        <v>25</v>
      </c>
      <c r="B282" s="6" t="s">
        <v>1624</v>
      </c>
      <c r="D282" s="6" t="s">
        <v>1619</v>
      </c>
      <c r="E282" s="6">
        <v>3</v>
      </c>
      <c r="F282" s="6">
        <v>39</v>
      </c>
      <c r="G282" s="6" t="s">
        <v>202</v>
      </c>
      <c r="I282" s="8">
        <v>83.907985999999994</v>
      </c>
      <c r="J282" s="8">
        <v>18.352126999999999</v>
      </c>
      <c r="K282" s="6" t="s">
        <v>29</v>
      </c>
      <c r="L282" s="6" t="s">
        <v>335</v>
      </c>
      <c r="M282" s="9">
        <v>43955</v>
      </c>
      <c r="O282" s="6">
        <v>32</v>
      </c>
      <c r="P282" s="6" t="s">
        <v>4374</v>
      </c>
      <c r="R282" s="6">
        <v>40</v>
      </c>
      <c r="S282" s="6">
        <v>40</v>
      </c>
      <c r="T282" s="6">
        <v>50</v>
      </c>
      <c r="U282" s="10">
        <f t="shared" si="8"/>
        <v>45</v>
      </c>
      <c r="V282" s="6">
        <v>4.5999999999999996</v>
      </c>
      <c r="W282" s="8">
        <v>0.82056302779912971</v>
      </c>
      <c r="X282" s="8">
        <v>6.3237653613090519</v>
      </c>
      <c r="Y282" s="8">
        <f t="shared" si="9"/>
        <v>-0.24073886108398579</v>
      </c>
    </row>
    <row r="283" spans="1:26" s="6" customFormat="1" x14ac:dyDescent="0.35">
      <c r="A283" s="6" t="s">
        <v>25</v>
      </c>
      <c r="B283" s="6" t="s">
        <v>1767</v>
      </c>
      <c r="D283" s="6" t="s">
        <v>1768</v>
      </c>
      <c r="E283" s="6">
        <v>4</v>
      </c>
      <c r="F283" s="6">
        <v>44</v>
      </c>
      <c r="I283" s="8">
        <v>81.975306180555606</v>
      </c>
      <c r="J283" s="8">
        <v>9.2425022222222193</v>
      </c>
      <c r="K283" s="6" t="s">
        <v>29</v>
      </c>
      <c r="L283" s="29" t="s">
        <v>335</v>
      </c>
      <c r="M283" s="9">
        <v>44004</v>
      </c>
      <c r="O283" s="6">
        <v>39</v>
      </c>
      <c r="P283" s="6" t="s">
        <v>4405</v>
      </c>
      <c r="S283" s="6">
        <v>40</v>
      </c>
      <c r="T283" s="6">
        <v>50</v>
      </c>
      <c r="U283" s="10">
        <f t="shared" si="8"/>
        <v>45</v>
      </c>
      <c r="V283" s="15">
        <v>3</v>
      </c>
      <c r="W283" s="8">
        <v>0.76530779914855995</v>
      </c>
      <c r="X283" s="8">
        <v>5.3916757965087898</v>
      </c>
      <c r="Y283" s="8">
        <f t="shared" si="9"/>
        <v>-0.73078659667968981</v>
      </c>
      <c r="Z283" s="6" t="s">
        <v>1760</v>
      </c>
    </row>
    <row r="284" spans="1:26" s="6" customFormat="1" x14ac:dyDescent="0.35">
      <c r="A284" s="6" t="s">
        <v>25</v>
      </c>
      <c r="B284" s="6" t="s">
        <v>1924</v>
      </c>
      <c r="D284" s="6" t="s">
        <v>1925</v>
      </c>
      <c r="E284" s="6">
        <v>4</v>
      </c>
      <c r="F284" s="6">
        <v>46</v>
      </c>
      <c r="I284" s="8">
        <v>81.685643263888906</v>
      </c>
      <c r="J284" s="8">
        <v>5.3733415277777796</v>
      </c>
      <c r="K284" s="6" t="s">
        <v>29</v>
      </c>
      <c r="L284" s="29" t="s">
        <v>335</v>
      </c>
      <c r="M284" s="9">
        <v>44018</v>
      </c>
      <c r="O284" s="6">
        <v>41</v>
      </c>
      <c r="P284" s="6" t="s">
        <v>4413</v>
      </c>
      <c r="S284" s="6">
        <v>40</v>
      </c>
      <c r="T284" s="6">
        <v>50</v>
      </c>
      <c r="U284" s="10">
        <f t="shared" si="8"/>
        <v>45</v>
      </c>
      <c r="V284" s="15">
        <v>2.9</v>
      </c>
      <c r="W284" s="8">
        <v>-6.6740256485343041E-2</v>
      </c>
      <c r="X284" s="8">
        <v>1.6069564998149738E-2</v>
      </c>
      <c r="Y284" s="8">
        <f t="shared" si="9"/>
        <v>0.54999161688089404</v>
      </c>
      <c r="Z284" s="6" t="s">
        <v>1760</v>
      </c>
    </row>
    <row r="285" spans="1:26" s="6" customFormat="1" x14ac:dyDescent="0.35">
      <c r="A285" s="6" t="s">
        <v>25</v>
      </c>
      <c r="B285" s="6" t="s">
        <v>1956</v>
      </c>
      <c r="D285" s="6" t="s">
        <v>1957</v>
      </c>
      <c r="E285" s="6">
        <v>4</v>
      </c>
      <c r="F285" s="6">
        <v>47</v>
      </c>
      <c r="I285" s="8">
        <v>81.417819374999993</v>
      </c>
      <c r="J285" s="8">
        <v>0.28587430555555599</v>
      </c>
      <c r="K285" s="6" t="s">
        <v>29</v>
      </c>
      <c r="L285" s="29" t="s">
        <v>335</v>
      </c>
      <c r="M285" s="9">
        <v>44025</v>
      </c>
      <c r="O285" s="6">
        <v>42</v>
      </c>
      <c r="P285" s="6" t="s">
        <v>4403</v>
      </c>
      <c r="S285" s="6">
        <v>40</v>
      </c>
      <c r="T285" s="6">
        <v>50</v>
      </c>
      <c r="U285" s="10">
        <f t="shared" si="8"/>
        <v>45</v>
      </c>
      <c r="V285" s="15">
        <v>2.8</v>
      </c>
      <c r="W285" s="8">
        <v>-0.36432997108697895</v>
      </c>
      <c r="X285" s="8">
        <v>-1.7379008204936988</v>
      </c>
      <c r="Y285" s="8">
        <f t="shared" si="9"/>
        <v>1.1767389482021329</v>
      </c>
      <c r="Z285" s="6" t="s">
        <v>1760</v>
      </c>
    </row>
    <row r="286" spans="1:26" s="6" customFormat="1" x14ac:dyDescent="0.35">
      <c r="A286" s="6" t="s">
        <v>25</v>
      </c>
      <c r="B286" s="6" t="s">
        <v>2175</v>
      </c>
      <c r="D286" s="6" t="s">
        <v>2176</v>
      </c>
      <c r="E286" s="6">
        <v>4</v>
      </c>
      <c r="F286" s="6">
        <v>48</v>
      </c>
      <c r="I286" s="8">
        <v>80.754295347222197</v>
      </c>
      <c r="J286" s="8">
        <v>-0.488818958333333</v>
      </c>
      <c r="K286" s="6" t="s">
        <v>29</v>
      </c>
      <c r="L286" s="29" t="s">
        <v>335</v>
      </c>
      <c r="M286" s="9">
        <v>44032</v>
      </c>
      <c r="O286" s="6">
        <v>43</v>
      </c>
      <c r="P286" s="6" t="s">
        <v>4403</v>
      </c>
      <c r="S286" s="6">
        <v>40</v>
      </c>
      <c r="T286" s="6">
        <v>50</v>
      </c>
      <c r="U286" s="10">
        <f t="shared" si="8"/>
        <v>45</v>
      </c>
      <c r="V286" s="15">
        <v>2.4</v>
      </c>
      <c r="W286" s="8">
        <v>7.2233612738549474E-2</v>
      </c>
      <c r="X286" s="8">
        <v>0.9478965740203863</v>
      </c>
      <c r="Y286" s="8">
        <f t="shared" si="9"/>
        <v>0.3700276721119905</v>
      </c>
      <c r="Z286" s="6" t="s">
        <v>1760</v>
      </c>
    </row>
    <row r="287" spans="1:26" s="6" customFormat="1" x14ac:dyDescent="0.35">
      <c r="A287" s="6" t="s">
        <v>25</v>
      </c>
      <c r="B287" s="6" t="s">
        <v>2266</v>
      </c>
      <c r="D287" s="6" t="s">
        <v>2267</v>
      </c>
      <c r="E287" s="6">
        <v>4</v>
      </c>
      <c r="F287" s="6">
        <v>49</v>
      </c>
      <c r="I287" s="8">
        <v>79.191449375000005</v>
      </c>
      <c r="J287" s="8">
        <v>-2.6081078472222199</v>
      </c>
      <c r="K287" s="6" t="s">
        <v>29</v>
      </c>
      <c r="L287" s="29" t="s">
        <v>335</v>
      </c>
      <c r="M287" s="9">
        <v>44041</v>
      </c>
      <c r="O287" s="6">
        <v>44</v>
      </c>
      <c r="P287" s="6" t="s">
        <v>4421</v>
      </c>
      <c r="S287" s="6">
        <v>40</v>
      </c>
      <c r="T287" s="6">
        <v>50</v>
      </c>
      <c r="U287" s="10">
        <f t="shared" si="8"/>
        <v>45</v>
      </c>
      <c r="V287" s="15">
        <v>1.5</v>
      </c>
      <c r="W287" s="8">
        <v>-0.24117422682046866</v>
      </c>
      <c r="X287" s="8">
        <v>-1.8402972902297974</v>
      </c>
      <c r="Y287" s="8">
        <f t="shared" si="9"/>
        <v>8.9096524333951876E-2</v>
      </c>
      <c r="Z287" s="6" t="s">
        <v>1760</v>
      </c>
    </row>
    <row r="288" spans="1:26" s="6" customFormat="1" x14ac:dyDescent="0.35">
      <c r="A288" s="6" t="s">
        <v>25</v>
      </c>
      <c r="B288" s="6" t="s">
        <v>2317</v>
      </c>
      <c r="D288" s="6" t="s">
        <v>2318</v>
      </c>
      <c r="E288" s="6">
        <v>5</v>
      </c>
      <c r="F288" s="6">
        <v>59</v>
      </c>
      <c r="I288" s="8">
        <v>88.299658402777794</v>
      </c>
      <c r="J288" s="8">
        <v>114.11509069444401</v>
      </c>
      <c r="K288" s="6" t="s">
        <v>29</v>
      </c>
      <c r="L288" s="29" t="s">
        <v>335</v>
      </c>
      <c r="M288" s="9">
        <v>44074</v>
      </c>
      <c r="O288" s="6">
        <v>50</v>
      </c>
      <c r="P288" s="6" t="s">
        <v>4396</v>
      </c>
      <c r="S288" s="6">
        <v>40</v>
      </c>
      <c r="T288" s="6">
        <v>50</v>
      </c>
      <c r="U288" s="10">
        <f t="shared" si="8"/>
        <v>45</v>
      </c>
      <c r="V288" s="15">
        <v>2.9</v>
      </c>
      <c r="W288" s="8">
        <v>0.65801348729133657</v>
      </c>
      <c r="X288" s="8">
        <v>5.3724083776473996</v>
      </c>
      <c r="Y288" s="8">
        <f t="shared" si="9"/>
        <v>0.10830047931670705</v>
      </c>
      <c r="Z288" s="6" t="s">
        <v>1760</v>
      </c>
    </row>
    <row r="289" spans="1:26" s="6" customFormat="1" x14ac:dyDescent="0.35">
      <c r="A289" s="6" t="s">
        <v>25</v>
      </c>
      <c r="B289" s="6" t="s">
        <v>2384</v>
      </c>
      <c r="D289" s="6" t="s">
        <v>2385</v>
      </c>
      <c r="E289" s="6">
        <v>5</v>
      </c>
      <c r="F289" s="6">
        <v>61</v>
      </c>
      <c r="I289" s="8">
        <v>88.700402291666705</v>
      </c>
      <c r="J289" s="8">
        <v>111.973632708333</v>
      </c>
      <c r="K289" s="6" t="s">
        <v>29</v>
      </c>
      <c r="L289" s="29" t="s">
        <v>335</v>
      </c>
      <c r="M289" s="9">
        <v>44081</v>
      </c>
      <c r="O289" s="6">
        <v>51</v>
      </c>
      <c r="P289" s="6" t="s">
        <v>4434</v>
      </c>
      <c r="S289" s="6">
        <v>40</v>
      </c>
      <c r="T289" s="6">
        <v>50</v>
      </c>
      <c r="U289" s="10">
        <f t="shared" si="8"/>
        <v>45</v>
      </c>
      <c r="V289" s="15">
        <v>0.5</v>
      </c>
      <c r="W289" s="8">
        <v>0.35105890373885618</v>
      </c>
      <c r="X289" s="8">
        <v>2.9855260068416598</v>
      </c>
      <c r="Y289" s="8">
        <f t="shared" si="9"/>
        <v>0.1770547769308104</v>
      </c>
      <c r="Z289" s="6" t="s">
        <v>1760</v>
      </c>
    </row>
    <row r="290" spans="1:26" s="6" customFormat="1" x14ac:dyDescent="0.35">
      <c r="A290" s="6" t="s">
        <v>25</v>
      </c>
      <c r="B290" s="6" t="s">
        <v>54</v>
      </c>
      <c r="D290" s="6" t="s">
        <v>49</v>
      </c>
      <c r="E290" s="6">
        <v>1</v>
      </c>
      <c r="F290" s="6">
        <v>1</v>
      </c>
      <c r="G290" s="6" t="s">
        <v>4466</v>
      </c>
      <c r="I290" s="8">
        <v>84.908087777777794</v>
      </c>
      <c r="J290" s="8">
        <v>135.908380208333</v>
      </c>
      <c r="K290" s="6" t="s">
        <v>29</v>
      </c>
      <c r="L290" s="6" t="s">
        <v>335</v>
      </c>
      <c r="M290" s="9">
        <v>43747</v>
      </c>
      <c r="O290" s="6">
        <v>2</v>
      </c>
      <c r="P290" s="6" t="s">
        <v>4244</v>
      </c>
      <c r="R290" s="6">
        <v>40</v>
      </c>
      <c r="S290" s="6">
        <v>40</v>
      </c>
      <c r="T290" s="6">
        <v>50.5</v>
      </c>
      <c r="U290" s="10">
        <f t="shared" si="8"/>
        <v>45.25</v>
      </c>
      <c r="V290" s="30"/>
      <c r="W290" s="8">
        <v>0.43791376897394663</v>
      </c>
      <c r="X290" s="8">
        <v>3.3449619412422176</v>
      </c>
      <c r="Y290" s="8">
        <f t="shared" si="9"/>
        <v>-0.15834821054935544</v>
      </c>
    </row>
    <row r="291" spans="1:26" s="6" customFormat="1" x14ac:dyDescent="0.35">
      <c r="A291" s="6" t="s">
        <v>25</v>
      </c>
      <c r="B291" s="7"/>
      <c r="C291" s="6">
        <v>510433</v>
      </c>
      <c r="D291" s="6" t="s">
        <v>354</v>
      </c>
      <c r="E291" s="6">
        <v>1</v>
      </c>
      <c r="F291" s="6">
        <v>6</v>
      </c>
      <c r="G291" s="6" t="s">
        <v>179</v>
      </c>
      <c r="H291" s="6">
        <v>7</v>
      </c>
      <c r="I291" s="8">
        <v>85.917653888888907</v>
      </c>
      <c r="J291" s="8">
        <v>116.64332493055601</v>
      </c>
      <c r="K291" s="6" t="s">
        <v>29</v>
      </c>
      <c r="L291" s="6" t="s">
        <v>335</v>
      </c>
      <c r="M291" s="9">
        <v>43776</v>
      </c>
      <c r="O291" s="6">
        <v>6</v>
      </c>
      <c r="P291" s="6" t="s">
        <v>4257</v>
      </c>
      <c r="R291" s="6" t="s">
        <v>355</v>
      </c>
      <c r="S291" s="6">
        <v>40</v>
      </c>
      <c r="T291" s="6">
        <v>52</v>
      </c>
      <c r="U291" s="10">
        <f t="shared" si="8"/>
        <v>46</v>
      </c>
      <c r="V291" s="6">
        <v>6.6</v>
      </c>
      <c r="W291" s="8">
        <v>0.70982344436645528</v>
      </c>
      <c r="X291" s="8">
        <v>6.2529753208160379</v>
      </c>
      <c r="Y291" s="8">
        <f t="shared" si="9"/>
        <v>0.57438776588439566</v>
      </c>
    </row>
    <row r="292" spans="1:26" s="6" customFormat="1" x14ac:dyDescent="0.35">
      <c r="A292" s="6" t="s">
        <v>25</v>
      </c>
      <c r="B292" s="7" t="s">
        <v>444</v>
      </c>
      <c r="C292" s="6">
        <v>510630</v>
      </c>
      <c r="D292" s="6" t="s">
        <v>445</v>
      </c>
      <c r="E292" s="6">
        <v>1</v>
      </c>
      <c r="F292" s="6">
        <v>7</v>
      </c>
      <c r="G292" s="6" t="s">
        <v>179</v>
      </c>
      <c r="I292" s="8">
        <v>86.191348333333295</v>
      </c>
      <c r="J292" s="8">
        <v>118.623774583333</v>
      </c>
      <c r="K292" s="6" t="s">
        <v>29</v>
      </c>
      <c r="L292" s="6" t="s">
        <v>335</v>
      </c>
      <c r="M292" s="9">
        <v>43784</v>
      </c>
      <c r="O292" s="6">
        <v>7</v>
      </c>
      <c r="P292" s="6" t="s">
        <v>4260</v>
      </c>
      <c r="Q292" s="8">
        <v>-5.7333333333333343</v>
      </c>
      <c r="R292" s="10" t="s">
        <v>446</v>
      </c>
      <c r="S292" s="10">
        <v>41</v>
      </c>
      <c r="T292" s="10">
        <v>51</v>
      </c>
      <c r="U292" s="10">
        <f t="shared" si="8"/>
        <v>46</v>
      </c>
      <c r="V292" s="6">
        <v>2.1</v>
      </c>
      <c r="W292" s="8">
        <v>-3.1219651090860365</v>
      </c>
      <c r="X292" s="8">
        <v>-23.351678671836851</v>
      </c>
      <c r="Y292" s="8">
        <f t="shared" si="9"/>
        <v>1.6240422008514415</v>
      </c>
    </row>
    <row r="293" spans="1:26" s="6" customFormat="1" x14ac:dyDescent="0.35">
      <c r="A293" s="6" t="s">
        <v>25</v>
      </c>
      <c r="B293" s="6" t="s">
        <v>2492</v>
      </c>
      <c r="D293" s="6" t="s">
        <v>2493</v>
      </c>
      <c r="E293" s="6">
        <v>5</v>
      </c>
      <c r="F293" s="6">
        <v>61</v>
      </c>
      <c r="I293" s="8">
        <v>89.023700416666699</v>
      </c>
      <c r="J293" s="8">
        <v>102.473466597222</v>
      </c>
      <c r="K293" s="6" t="s">
        <v>29</v>
      </c>
      <c r="L293" s="29" t="s">
        <v>335</v>
      </c>
      <c r="M293" s="9">
        <v>44088</v>
      </c>
      <c r="O293" s="6">
        <v>52</v>
      </c>
      <c r="P293" s="6" t="s">
        <v>4394</v>
      </c>
      <c r="S293" s="6">
        <v>42</v>
      </c>
      <c r="T293" s="6">
        <v>52.5</v>
      </c>
      <c r="U293" s="10">
        <f t="shared" si="8"/>
        <v>47.25</v>
      </c>
      <c r="V293" s="15">
        <v>1.3</v>
      </c>
      <c r="W293" s="8">
        <v>0.19640456290245015</v>
      </c>
      <c r="X293" s="8">
        <v>1.9442955316305162</v>
      </c>
      <c r="Y293" s="8">
        <f t="shared" si="9"/>
        <v>0.37305902841091498</v>
      </c>
      <c r="Z293" s="6" t="s">
        <v>1760</v>
      </c>
    </row>
    <row r="294" spans="1:26" s="6" customFormat="1" x14ac:dyDescent="0.35">
      <c r="A294" s="6" t="s">
        <v>25</v>
      </c>
      <c r="B294" s="6" t="s">
        <v>85</v>
      </c>
      <c r="C294" s="6">
        <v>510045</v>
      </c>
      <c r="D294" s="6" t="s">
        <v>77</v>
      </c>
      <c r="E294" s="6">
        <v>1</v>
      </c>
      <c r="F294" s="6">
        <v>2</v>
      </c>
      <c r="G294" s="6" t="s">
        <v>63</v>
      </c>
      <c r="I294" s="8">
        <v>84.770107638888902</v>
      </c>
      <c r="J294" s="8">
        <v>134.47681993055599</v>
      </c>
      <c r="K294" s="6" t="s">
        <v>29</v>
      </c>
      <c r="L294" s="6" t="s">
        <v>335</v>
      </c>
      <c r="M294" s="9">
        <v>43752</v>
      </c>
      <c r="O294" s="6">
        <v>3</v>
      </c>
      <c r="P294" s="6" t="s">
        <v>4246</v>
      </c>
      <c r="R294" s="6" t="s">
        <v>86</v>
      </c>
      <c r="S294" s="6">
        <v>42</v>
      </c>
      <c r="T294" s="6">
        <v>53</v>
      </c>
      <c r="U294" s="10">
        <f t="shared" si="8"/>
        <v>47.5</v>
      </c>
      <c r="V294" s="6">
        <v>2.1</v>
      </c>
      <c r="W294" s="8">
        <v>-1.1124152589797971</v>
      </c>
      <c r="X294" s="8">
        <v>-8.1175827500820148</v>
      </c>
      <c r="Y294" s="8">
        <f t="shared" si="9"/>
        <v>0.78173932175636196</v>
      </c>
    </row>
    <row r="295" spans="1:26" s="6" customFormat="1" x14ac:dyDescent="0.35">
      <c r="A295" s="6" t="s">
        <v>25</v>
      </c>
      <c r="B295" s="7" t="s">
        <v>1752</v>
      </c>
      <c r="D295" s="6" t="s">
        <v>1753</v>
      </c>
      <c r="E295" s="6">
        <v>4</v>
      </c>
      <c r="F295" s="6">
        <v>44</v>
      </c>
      <c r="G295" s="6" t="s">
        <v>335</v>
      </c>
      <c r="I295" s="8">
        <v>81.975306180555606</v>
      </c>
      <c r="J295" s="8">
        <v>9.2425022222222193</v>
      </c>
      <c r="K295" s="6" t="s">
        <v>29</v>
      </c>
      <c r="L295" s="6" t="s">
        <v>335</v>
      </c>
      <c r="M295" s="9">
        <v>44004</v>
      </c>
      <c r="O295" s="6">
        <v>39</v>
      </c>
      <c r="P295" s="6" t="s">
        <v>4405</v>
      </c>
      <c r="R295" s="10" t="s">
        <v>1754</v>
      </c>
      <c r="S295" s="10">
        <v>45</v>
      </c>
      <c r="T295" s="10">
        <v>50</v>
      </c>
      <c r="U295" s="10">
        <f t="shared" si="8"/>
        <v>47.5</v>
      </c>
      <c r="V295" s="11"/>
      <c r="W295" s="8">
        <v>0.77682738568186782</v>
      </c>
      <c r="X295" s="8">
        <v>6.8655481081008922</v>
      </c>
      <c r="Y295" s="8">
        <f t="shared" si="9"/>
        <v>0.65092902264594965</v>
      </c>
    </row>
    <row r="296" spans="1:26" s="6" customFormat="1" x14ac:dyDescent="0.35">
      <c r="A296" s="6" t="s">
        <v>25</v>
      </c>
      <c r="B296" s="7" t="s">
        <v>2227</v>
      </c>
      <c r="D296" s="6" t="s">
        <v>2228</v>
      </c>
      <c r="E296" s="6">
        <v>4</v>
      </c>
      <c r="F296" s="6">
        <v>49</v>
      </c>
      <c r="G296" s="6" t="s">
        <v>335</v>
      </c>
      <c r="I296" s="8">
        <v>79.191449375000005</v>
      </c>
      <c r="J296" s="8">
        <v>-2.6081078472222199</v>
      </c>
      <c r="K296" s="6" t="s">
        <v>29</v>
      </c>
      <c r="L296" s="6" t="s">
        <v>335</v>
      </c>
      <c r="M296" s="9">
        <v>44041</v>
      </c>
      <c r="O296" s="6">
        <v>44</v>
      </c>
      <c r="P296" s="6" t="s">
        <v>4421</v>
      </c>
      <c r="R296" s="10" t="s">
        <v>2082</v>
      </c>
      <c r="S296" s="10">
        <v>45</v>
      </c>
      <c r="T296" s="10">
        <v>50</v>
      </c>
      <c r="U296" s="10">
        <f t="shared" si="8"/>
        <v>47.5</v>
      </c>
      <c r="V296" s="11"/>
      <c r="W296" s="8">
        <v>-5.6012931802868565E-2</v>
      </c>
      <c r="X296" s="8">
        <v>-0.11793466327190373</v>
      </c>
      <c r="Y296" s="8">
        <f t="shared" si="9"/>
        <v>0.3301687911510448</v>
      </c>
    </row>
    <row r="297" spans="1:26" s="6" customFormat="1" x14ac:dyDescent="0.35">
      <c r="A297" s="6" t="s">
        <v>25</v>
      </c>
      <c r="B297" s="6" t="s">
        <v>99</v>
      </c>
      <c r="C297" s="6">
        <v>510061</v>
      </c>
      <c r="D297" s="6" t="s">
        <v>92</v>
      </c>
      <c r="E297" s="6">
        <v>1</v>
      </c>
      <c r="F297" s="6">
        <v>2</v>
      </c>
      <c r="G297" s="6" t="s">
        <v>63</v>
      </c>
      <c r="I297" s="8">
        <v>84.770107638888902</v>
      </c>
      <c r="J297" s="8">
        <v>134.47681993055599</v>
      </c>
      <c r="K297" s="6" t="s">
        <v>29</v>
      </c>
      <c r="L297" s="6" t="s">
        <v>335</v>
      </c>
      <c r="M297" s="9">
        <v>43752</v>
      </c>
      <c r="O297" s="6">
        <v>3</v>
      </c>
      <c r="P297" s="6" t="s">
        <v>4246</v>
      </c>
      <c r="R297" s="6" t="s">
        <v>100</v>
      </c>
      <c r="S297" s="6">
        <v>43</v>
      </c>
      <c r="T297" s="6">
        <v>53</v>
      </c>
      <c r="U297" s="10">
        <f t="shared" si="8"/>
        <v>48</v>
      </c>
      <c r="V297" s="6">
        <v>3</v>
      </c>
      <c r="W297" s="8">
        <v>-0.9357251134872433</v>
      </c>
      <c r="X297" s="8">
        <v>-7.564944044113159</v>
      </c>
      <c r="Y297" s="8">
        <f t="shared" si="9"/>
        <v>-7.9143136215212628E-2</v>
      </c>
    </row>
    <row r="298" spans="1:26" s="6" customFormat="1" x14ac:dyDescent="0.35">
      <c r="A298" s="6" t="s">
        <v>25</v>
      </c>
      <c r="B298" s="7" t="s">
        <v>611</v>
      </c>
      <c r="C298" s="6">
        <v>510739</v>
      </c>
      <c r="D298" s="6" t="s">
        <v>612</v>
      </c>
      <c r="E298" s="6">
        <v>1</v>
      </c>
      <c r="F298" s="6">
        <v>9</v>
      </c>
      <c r="G298" s="6" t="s">
        <v>202</v>
      </c>
      <c r="I298" s="8">
        <v>86.047909722222201</v>
      </c>
      <c r="J298" s="8">
        <v>120.497726180556</v>
      </c>
      <c r="K298" s="6" t="s">
        <v>29</v>
      </c>
      <c r="L298" s="6" t="s">
        <v>335</v>
      </c>
      <c r="M298" s="9">
        <v>43794</v>
      </c>
      <c r="O298" s="6">
        <v>9</v>
      </c>
      <c r="P298" s="6" t="s">
        <v>4270</v>
      </c>
      <c r="Q298" s="8">
        <v>-1.9</v>
      </c>
      <c r="R298" s="10" t="s">
        <v>613</v>
      </c>
      <c r="S298" s="10">
        <v>48</v>
      </c>
      <c r="T298" s="10">
        <v>56</v>
      </c>
      <c r="U298" s="10">
        <f t="shared" si="8"/>
        <v>52</v>
      </c>
      <c r="V298" s="11">
        <v>6.3</v>
      </c>
      <c r="W298" s="8">
        <v>-8.0227537861466372E-2</v>
      </c>
      <c r="X298" s="8">
        <v>0.10265798549652072</v>
      </c>
      <c r="Y298" s="8">
        <f t="shared" si="9"/>
        <v>0.7444782883882517</v>
      </c>
    </row>
    <row r="299" spans="1:26" s="6" customFormat="1" x14ac:dyDescent="0.35">
      <c r="A299" s="6" t="s">
        <v>25</v>
      </c>
      <c r="B299" s="7"/>
      <c r="C299" s="6">
        <v>510534</v>
      </c>
      <c r="D299" s="6" t="s">
        <v>409</v>
      </c>
      <c r="E299" s="6">
        <v>1</v>
      </c>
      <c r="F299" s="6">
        <v>7</v>
      </c>
      <c r="G299" s="6" t="s">
        <v>345</v>
      </c>
      <c r="H299" s="6">
        <v>10</v>
      </c>
      <c r="I299" s="8">
        <v>86.116053611111099</v>
      </c>
      <c r="J299" s="8">
        <v>117.978438125</v>
      </c>
      <c r="K299" s="6" t="s">
        <v>29</v>
      </c>
      <c r="L299" s="6" t="s">
        <v>335</v>
      </c>
      <c r="M299" s="9">
        <v>43782</v>
      </c>
      <c r="O299" s="6">
        <v>7</v>
      </c>
      <c r="P299" s="6" t="s">
        <v>4254</v>
      </c>
      <c r="R299" s="6" t="s">
        <v>412</v>
      </c>
      <c r="S299" s="6">
        <v>45</v>
      </c>
      <c r="T299" s="6">
        <v>59.5</v>
      </c>
      <c r="U299" s="10">
        <f t="shared" si="8"/>
        <v>52.25</v>
      </c>
      <c r="V299" s="6">
        <v>5.3</v>
      </c>
      <c r="W299" s="8">
        <v>0.25954267594814323</v>
      </c>
      <c r="X299" s="8">
        <v>1.9250031263351446</v>
      </c>
      <c r="Y299" s="8">
        <f t="shared" si="9"/>
        <v>-0.15133828125000126</v>
      </c>
    </row>
    <row r="300" spans="1:26" s="6" customFormat="1" x14ac:dyDescent="0.35">
      <c r="A300" s="6" t="s">
        <v>25</v>
      </c>
      <c r="B300" s="7" t="s">
        <v>505</v>
      </c>
      <c r="C300" s="6">
        <v>510682</v>
      </c>
      <c r="D300" s="6" t="s">
        <v>506</v>
      </c>
      <c r="E300" s="6">
        <v>1</v>
      </c>
      <c r="F300" s="6">
        <v>8</v>
      </c>
      <c r="G300" s="6" t="s">
        <v>179</v>
      </c>
      <c r="I300" s="8">
        <v>85.788680208333304</v>
      </c>
      <c r="J300" s="8">
        <v>120.807478194444</v>
      </c>
      <c r="K300" s="6" t="s">
        <v>29</v>
      </c>
      <c r="L300" s="6" t="s">
        <v>335</v>
      </c>
      <c r="M300" s="9">
        <v>43788</v>
      </c>
      <c r="O300" s="6">
        <v>8</v>
      </c>
      <c r="P300" s="6" t="s">
        <v>4264</v>
      </c>
      <c r="Q300" s="8">
        <v>-2.3000000000000003</v>
      </c>
      <c r="R300" s="10" t="s">
        <v>507</v>
      </c>
      <c r="S300" s="10">
        <v>47.5</v>
      </c>
      <c r="T300" s="10">
        <v>57</v>
      </c>
      <c r="U300" s="10">
        <f t="shared" si="8"/>
        <v>52.25</v>
      </c>
      <c r="V300" s="6">
        <v>5.2</v>
      </c>
      <c r="W300" s="8">
        <v>0.84002982193756104</v>
      </c>
      <c r="X300" s="8">
        <v>7.0100583707199089</v>
      </c>
      <c r="Y300" s="8">
        <f t="shared" si="9"/>
        <v>0.28981979521942058</v>
      </c>
    </row>
    <row r="301" spans="1:26" s="6" customFormat="1" x14ac:dyDescent="0.35">
      <c r="A301" s="6" t="s">
        <v>25</v>
      </c>
      <c r="B301" s="7" t="s">
        <v>1726</v>
      </c>
      <c r="D301" s="6" t="s">
        <v>1727</v>
      </c>
      <c r="E301" s="6">
        <v>4</v>
      </c>
      <c r="F301" s="6">
        <v>44</v>
      </c>
      <c r="G301" s="6" t="s">
        <v>335</v>
      </c>
      <c r="I301" s="8">
        <v>81.975306180555606</v>
      </c>
      <c r="J301" s="8">
        <v>9.2425022222222193</v>
      </c>
      <c r="K301" s="6" t="s">
        <v>29</v>
      </c>
      <c r="L301" s="6" t="s">
        <v>335</v>
      </c>
      <c r="M301" s="9">
        <v>44004</v>
      </c>
      <c r="O301" s="6">
        <v>39</v>
      </c>
      <c r="P301" s="6" t="s">
        <v>4405</v>
      </c>
      <c r="R301" s="10" t="s">
        <v>1728</v>
      </c>
      <c r="S301" s="10">
        <v>50</v>
      </c>
      <c r="T301" s="10">
        <v>55</v>
      </c>
      <c r="U301" s="10">
        <f t="shared" si="8"/>
        <v>52.5</v>
      </c>
      <c r="V301" s="11"/>
      <c r="W301" s="8">
        <v>0.65778426648139943</v>
      </c>
      <c r="X301" s="8">
        <v>4.56160459703207</v>
      </c>
      <c r="Y301" s="8">
        <f t="shared" si="9"/>
        <v>-0.70066953481912542</v>
      </c>
    </row>
    <row r="302" spans="1:26" s="6" customFormat="1" x14ac:dyDescent="0.35">
      <c r="A302" s="6" t="s">
        <v>25</v>
      </c>
      <c r="B302" s="7" t="s">
        <v>2243</v>
      </c>
      <c r="D302" s="6" t="s">
        <v>2244</v>
      </c>
      <c r="E302" s="6">
        <v>4</v>
      </c>
      <c r="F302" s="6">
        <v>49</v>
      </c>
      <c r="G302" s="6" t="s">
        <v>335</v>
      </c>
      <c r="I302" s="8">
        <v>79.191449375000005</v>
      </c>
      <c r="J302" s="8">
        <v>-2.6081078472222199</v>
      </c>
      <c r="K302" s="6" t="s">
        <v>29</v>
      </c>
      <c r="L302" s="6" t="s">
        <v>335</v>
      </c>
      <c r="M302" s="9">
        <v>44041</v>
      </c>
      <c r="O302" s="6">
        <v>44</v>
      </c>
      <c r="P302" s="6" t="s">
        <v>4421</v>
      </c>
      <c r="R302" s="10" t="s">
        <v>2104</v>
      </c>
      <c r="S302" s="10">
        <v>50</v>
      </c>
      <c r="T302" s="10">
        <v>55</v>
      </c>
      <c r="U302" s="10">
        <f t="shared" si="8"/>
        <v>52.5</v>
      </c>
      <c r="V302" s="11"/>
      <c r="W302" s="8">
        <v>-0.1792919951856134</v>
      </c>
      <c r="X302" s="8">
        <v>-2.1441615724563596</v>
      </c>
      <c r="Y302" s="8">
        <f t="shared" si="9"/>
        <v>-0.70982561097145247</v>
      </c>
    </row>
    <row r="303" spans="1:26" s="6" customFormat="1" x14ac:dyDescent="0.35">
      <c r="A303" s="6" t="s">
        <v>25</v>
      </c>
      <c r="B303" s="6" t="s">
        <v>122</v>
      </c>
      <c r="C303" s="6">
        <v>510094</v>
      </c>
      <c r="D303" s="6" t="s">
        <v>115</v>
      </c>
      <c r="E303" s="6">
        <v>1</v>
      </c>
      <c r="F303" s="6">
        <v>2</v>
      </c>
      <c r="G303" s="6" t="s">
        <v>107</v>
      </c>
      <c r="I303" s="8">
        <v>84.8243581944444</v>
      </c>
      <c r="J303" s="8">
        <v>133.1380825</v>
      </c>
      <c r="K303" s="6" t="s">
        <v>29</v>
      </c>
      <c r="L303" s="6" t="s">
        <v>335</v>
      </c>
      <c r="M303" s="9">
        <v>43756</v>
      </c>
      <c r="O303" s="6">
        <v>3</v>
      </c>
      <c r="P303" s="6" t="s">
        <v>4247</v>
      </c>
      <c r="R303" s="6" t="s">
        <v>123</v>
      </c>
      <c r="S303" s="6">
        <v>48</v>
      </c>
      <c r="T303" s="6">
        <v>58</v>
      </c>
      <c r="U303" s="10">
        <f t="shared" si="8"/>
        <v>53</v>
      </c>
      <c r="V303" s="6">
        <v>5.5</v>
      </c>
      <c r="W303" s="8">
        <v>-1.7631202388763427</v>
      </c>
      <c r="X303" s="8">
        <v>-14.085186630249023</v>
      </c>
      <c r="Y303" s="8">
        <f t="shared" si="9"/>
        <v>1.9775280761718861E-2</v>
      </c>
    </row>
    <row r="304" spans="1:26" s="6" customFormat="1" x14ac:dyDescent="0.35">
      <c r="A304" s="6" t="s">
        <v>25</v>
      </c>
      <c r="B304" s="7" t="s">
        <v>656</v>
      </c>
      <c r="C304" s="6">
        <v>510782</v>
      </c>
      <c r="D304" s="6" t="s">
        <v>657</v>
      </c>
      <c r="E304" s="6">
        <v>1</v>
      </c>
      <c r="F304" s="6">
        <v>9</v>
      </c>
      <c r="G304" s="6" t="s">
        <v>179</v>
      </c>
      <c r="I304" s="8">
        <v>86.158515138888902</v>
      </c>
      <c r="J304" s="8">
        <v>117.89724090277799</v>
      </c>
      <c r="K304" s="6" t="s">
        <v>29</v>
      </c>
      <c r="L304" s="6" t="s">
        <v>335</v>
      </c>
      <c r="M304" s="9">
        <v>43796</v>
      </c>
      <c r="O304" s="6">
        <v>9</v>
      </c>
      <c r="P304" s="6" t="s">
        <v>4272</v>
      </c>
      <c r="Q304" s="8">
        <v>-2.75</v>
      </c>
      <c r="R304" s="10" t="s">
        <v>658</v>
      </c>
      <c r="S304" s="10">
        <v>49</v>
      </c>
      <c r="T304" s="10">
        <v>58</v>
      </c>
      <c r="U304" s="10">
        <f t="shared" si="8"/>
        <v>53.5</v>
      </c>
      <c r="V304" s="11">
        <v>5.2</v>
      </c>
      <c r="W304" s="8">
        <v>0.70111793279647805</v>
      </c>
      <c r="X304" s="8">
        <v>6.2307087655067441</v>
      </c>
      <c r="Y304" s="8">
        <f t="shared" si="9"/>
        <v>0.62176530313491973</v>
      </c>
    </row>
    <row r="305" spans="1:25" s="6" customFormat="1" x14ac:dyDescent="0.35">
      <c r="A305" s="6" t="s">
        <v>25</v>
      </c>
      <c r="B305" s="7"/>
      <c r="C305" s="6">
        <v>511056</v>
      </c>
      <c r="D305" s="6" t="s">
        <v>773</v>
      </c>
      <c r="E305" s="6">
        <v>1</v>
      </c>
      <c r="F305" s="6">
        <v>10</v>
      </c>
      <c r="G305" s="6" t="s">
        <v>345</v>
      </c>
      <c r="H305" s="6">
        <v>22</v>
      </c>
      <c r="I305" s="8">
        <v>86.141995833333297</v>
      </c>
      <c r="J305" s="8">
        <v>122.240208541667</v>
      </c>
      <c r="K305" s="6" t="s">
        <v>29</v>
      </c>
      <c r="L305" s="6" t="s">
        <v>335</v>
      </c>
      <c r="M305" s="9">
        <v>43805</v>
      </c>
      <c r="O305" s="6">
        <v>10</v>
      </c>
      <c r="P305" s="6" t="s">
        <v>4280</v>
      </c>
      <c r="R305" s="6" t="s">
        <v>777</v>
      </c>
      <c r="S305" s="6">
        <v>50</v>
      </c>
      <c r="T305" s="6">
        <v>59</v>
      </c>
      <c r="U305" s="10">
        <f t="shared" si="8"/>
        <v>54.5</v>
      </c>
      <c r="V305" s="6">
        <v>5.4</v>
      </c>
      <c r="W305" s="8">
        <v>-0.73730394220352169</v>
      </c>
      <c r="X305" s="8">
        <v>-3.2655441998799639</v>
      </c>
      <c r="Y305" s="8">
        <f t="shared" si="9"/>
        <v>2.6328873377482096</v>
      </c>
    </row>
    <row r="306" spans="1:25" s="6" customFormat="1" x14ac:dyDescent="0.35">
      <c r="A306" s="6" t="s">
        <v>25</v>
      </c>
      <c r="B306" s="6" t="s">
        <v>784</v>
      </c>
      <c r="D306" s="6" t="s">
        <v>779</v>
      </c>
      <c r="E306" s="6">
        <v>1</v>
      </c>
      <c r="F306" s="6">
        <v>11</v>
      </c>
      <c r="G306" s="6" t="s">
        <v>179</v>
      </c>
      <c r="I306" s="8">
        <v>86.506581944444406</v>
      </c>
      <c r="J306" s="8">
        <v>120.985913333333</v>
      </c>
      <c r="K306" s="6" t="s">
        <v>29</v>
      </c>
      <c r="L306" s="6" t="s">
        <v>335</v>
      </c>
      <c r="M306" s="9">
        <v>43809</v>
      </c>
      <c r="O306" s="6">
        <v>11</v>
      </c>
      <c r="P306" s="6" t="s">
        <v>4284</v>
      </c>
      <c r="R306" s="6">
        <v>50</v>
      </c>
      <c r="S306" s="6">
        <v>50</v>
      </c>
      <c r="T306" s="6">
        <v>59</v>
      </c>
      <c r="U306" s="10">
        <f t="shared" si="8"/>
        <v>54.5</v>
      </c>
      <c r="V306" s="6">
        <v>4.4000000000000004</v>
      </c>
      <c r="W306" s="8">
        <v>0.5991727680802349</v>
      </c>
      <c r="X306" s="8">
        <v>5.9057204670906067</v>
      </c>
      <c r="Y306" s="8">
        <f t="shared" si="9"/>
        <v>1.1123383224487275</v>
      </c>
    </row>
    <row r="307" spans="1:25" s="6" customFormat="1" x14ac:dyDescent="0.35">
      <c r="A307" s="6" t="s">
        <v>25</v>
      </c>
      <c r="B307" s="6" t="s">
        <v>160</v>
      </c>
      <c r="C307" s="6">
        <v>510158</v>
      </c>
      <c r="D307" s="6" t="s">
        <v>152</v>
      </c>
      <c r="E307" s="6">
        <v>1</v>
      </c>
      <c r="F307" s="6">
        <v>3</v>
      </c>
      <c r="G307" s="6" t="s">
        <v>153</v>
      </c>
      <c r="I307" s="8">
        <v>85.348898888888897</v>
      </c>
      <c r="J307" s="8">
        <v>129.88336361111101</v>
      </c>
      <c r="K307" s="6" t="s">
        <v>29</v>
      </c>
      <c r="L307" s="6" t="s">
        <v>335</v>
      </c>
      <c r="M307" s="9">
        <v>43761</v>
      </c>
      <c r="O307" s="6">
        <v>4</v>
      </c>
      <c r="P307" s="6" t="s">
        <v>4248</v>
      </c>
      <c r="R307" s="6" t="s">
        <v>161</v>
      </c>
      <c r="S307" s="6">
        <v>50</v>
      </c>
      <c r="T307" s="6">
        <v>60</v>
      </c>
      <c r="U307" s="10">
        <f t="shared" si="8"/>
        <v>55</v>
      </c>
      <c r="V307" s="6">
        <v>5.2</v>
      </c>
      <c r="W307" s="8">
        <v>-0.96435531420707743</v>
      </c>
      <c r="X307" s="8">
        <v>-7.6109197597503657</v>
      </c>
      <c r="Y307" s="8">
        <f t="shared" si="9"/>
        <v>0.10392275390625372</v>
      </c>
    </row>
    <row r="308" spans="1:25" s="6" customFormat="1" x14ac:dyDescent="0.35">
      <c r="A308" s="6" t="s">
        <v>25</v>
      </c>
      <c r="B308" s="7"/>
      <c r="C308" s="6">
        <v>510951</v>
      </c>
      <c r="D308" s="6" t="s">
        <v>747</v>
      </c>
      <c r="E308" s="6">
        <v>1</v>
      </c>
      <c r="F308" s="6">
        <v>10</v>
      </c>
      <c r="G308" s="6" t="s">
        <v>202</v>
      </c>
      <c r="H308" s="6">
        <v>7.6</v>
      </c>
      <c r="I308" s="8">
        <v>85.933882569444407</v>
      </c>
      <c r="J308" s="8">
        <v>114.06437159722201</v>
      </c>
      <c r="K308" s="6" t="s">
        <v>29</v>
      </c>
      <c r="L308" s="6" t="s">
        <v>335</v>
      </c>
      <c r="M308" s="9">
        <v>43801</v>
      </c>
      <c r="O308" s="6">
        <v>10</v>
      </c>
      <c r="P308" s="6" t="s">
        <v>4277</v>
      </c>
      <c r="R308" s="6" t="s">
        <v>161</v>
      </c>
      <c r="S308" s="6">
        <v>50</v>
      </c>
      <c r="T308" s="6">
        <v>60</v>
      </c>
      <c r="U308" s="10">
        <f t="shared" si="8"/>
        <v>55</v>
      </c>
      <c r="V308" s="6">
        <v>5.0999999999999996</v>
      </c>
      <c r="W308" s="8">
        <v>0.61010084270238885</v>
      </c>
      <c r="X308" s="8">
        <v>5.6499824151992799</v>
      </c>
      <c r="Y308" s="8">
        <f t="shared" si="9"/>
        <v>0.76917567358016914</v>
      </c>
    </row>
    <row r="309" spans="1:25" s="6" customFormat="1" x14ac:dyDescent="0.35">
      <c r="A309" s="6" t="s">
        <v>25</v>
      </c>
      <c r="B309" s="6" t="s">
        <v>794</v>
      </c>
      <c r="D309" s="6" t="s">
        <v>789</v>
      </c>
      <c r="E309" s="6">
        <v>2</v>
      </c>
      <c r="F309" s="6">
        <v>17</v>
      </c>
      <c r="G309" s="6" t="s">
        <v>202</v>
      </c>
      <c r="I309" s="8">
        <v>86.641082222222195</v>
      </c>
      <c r="J309" s="8">
        <v>113.166453680556</v>
      </c>
      <c r="K309" s="6" t="s">
        <v>29</v>
      </c>
      <c r="L309" s="6" t="s">
        <v>335</v>
      </c>
      <c r="M309" s="9">
        <v>43822</v>
      </c>
      <c r="O309" s="6">
        <v>13</v>
      </c>
      <c r="P309" s="6" t="s">
        <v>4294</v>
      </c>
      <c r="R309" s="6">
        <v>50</v>
      </c>
      <c r="S309" s="6">
        <v>50</v>
      </c>
      <c r="T309" s="6">
        <v>60</v>
      </c>
      <c r="U309" s="10">
        <f t="shared" si="8"/>
        <v>55</v>
      </c>
      <c r="V309" s="6">
        <v>5.0999999999999996</v>
      </c>
      <c r="W309" s="8">
        <v>0.71503125777244603</v>
      </c>
      <c r="X309" s="8">
        <v>5.8470626592636128</v>
      </c>
      <c r="Y309" s="8">
        <f t="shared" si="9"/>
        <v>0.12681259708404458</v>
      </c>
    </row>
    <row r="310" spans="1:25" s="6" customFormat="1" x14ac:dyDescent="0.35">
      <c r="A310" s="6" t="s">
        <v>25</v>
      </c>
      <c r="B310" s="7" t="s">
        <v>838</v>
      </c>
      <c r="D310" s="6" t="s">
        <v>839</v>
      </c>
      <c r="E310" s="6">
        <v>2</v>
      </c>
      <c r="F310" s="6">
        <v>19</v>
      </c>
      <c r="G310" s="6" t="s">
        <v>202</v>
      </c>
      <c r="I310" s="8">
        <v>87.103055694444393</v>
      </c>
      <c r="J310" s="8">
        <v>115.160686597222</v>
      </c>
      <c r="K310" s="6" t="s">
        <v>29</v>
      </c>
      <c r="L310" s="6" t="s">
        <v>335</v>
      </c>
      <c r="M310" s="9">
        <v>43836</v>
      </c>
      <c r="O310" s="6">
        <v>15</v>
      </c>
      <c r="P310" s="6" t="s">
        <v>4271</v>
      </c>
      <c r="R310" s="10"/>
      <c r="S310" s="10">
        <v>50</v>
      </c>
      <c r="T310" s="10">
        <v>60</v>
      </c>
      <c r="U310" s="10">
        <f t="shared" si="8"/>
        <v>55</v>
      </c>
      <c r="V310" s="11">
        <v>5.4</v>
      </c>
      <c r="W310" s="8">
        <v>0.6373284979184467</v>
      </c>
      <c r="X310" s="8">
        <v>6.9747774707476298</v>
      </c>
      <c r="Y310" s="8">
        <f t="shared" si="9"/>
        <v>1.8761494874000562</v>
      </c>
    </row>
    <row r="311" spans="1:25" s="6" customFormat="1" x14ac:dyDescent="0.35">
      <c r="A311" s="6" t="s">
        <v>25</v>
      </c>
      <c r="B311" s="6" t="s">
        <v>889</v>
      </c>
      <c r="D311" s="6" t="s">
        <v>884</v>
      </c>
      <c r="E311" s="6">
        <v>2</v>
      </c>
      <c r="F311" s="6">
        <v>20</v>
      </c>
      <c r="G311" s="6" t="s">
        <v>57</v>
      </c>
      <c r="I311" s="8">
        <v>86.603676041666702</v>
      </c>
      <c r="J311" s="8">
        <v>116.411907777778</v>
      </c>
      <c r="K311" s="6" t="s">
        <v>29</v>
      </c>
      <c r="L311" s="6" t="s">
        <v>335</v>
      </c>
      <c r="M311" s="9">
        <v>43846</v>
      </c>
      <c r="O311" s="6">
        <v>16</v>
      </c>
      <c r="P311" s="6" t="s">
        <v>4311</v>
      </c>
      <c r="R311" s="6">
        <v>50</v>
      </c>
      <c r="S311" s="6">
        <v>50</v>
      </c>
      <c r="T311" s="6">
        <v>60</v>
      </c>
      <c r="U311" s="10">
        <f t="shared" si="8"/>
        <v>55</v>
      </c>
      <c r="V311" s="6">
        <v>5.0999999999999996</v>
      </c>
      <c r="W311" s="8">
        <v>-0.94025196234285824</v>
      </c>
      <c r="X311" s="8">
        <v>-6.7236672649383546</v>
      </c>
      <c r="Y311" s="8">
        <f t="shared" si="9"/>
        <v>0.79834843380451126</v>
      </c>
    </row>
    <row r="312" spans="1:25" s="6" customFormat="1" x14ac:dyDescent="0.35">
      <c r="A312" s="6" t="s">
        <v>25</v>
      </c>
      <c r="B312" s="7" t="s">
        <v>905</v>
      </c>
      <c r="D312" s="6" t="s">
        <v>906</v>
      </c>
      <c r="E312" s="6">
        <v>2</v>
      </c>
      <c r="F312" s="6">
        <v>21</v>
      </c>
      <c r="G312" s="6" t="s">
        <v>202</v>
      </c>
      <c r="I312" s="8">
        <v>87.451079583333296</v>
      </c>
      <c r="J312" s="8">
        <v>97.375985347222198</v>
      </c>
      <c r="K312" s="6" t="s">
        <v>29</v>
      </c>
      <c r="L312" s="6" t="s">
        <v>335</v>
      </c>
      <c r="M312" s="9">
        <v>43850</v>
      </c>
      <c r="O312" s="6">
        <v>17</v>
      </c>
      <c r="P312" s="6" t="s">
        <v>4314</v>
      </c>
      <c r="R312" s="10"/>
      <c r="S312" s="10">
        <v>50</v>
      </c>
      <c r="T312" s="10">
        <v>60</v>
      </c>
      <c r="U312" s="10">
        <f t="shared" si="8"/>
        <v>55</v>
      </c>
      <c r="V312" s="11">
        <v>5.5</v>
      </c>
      <c r="W312" s="8">
        <v>0.7747818527698519</v>
      </c>
      <c r="X312" s="8">
        <v>5.4539017868042006</v>
      </c>
      <c r="Y312" s="8">
        <f t="shared" si="9"/>
        <v>-0.74435303535461461</v>
      </c>
    </row>
    <row r="313" spans="1:25" s="6" customFormat="1" x14ac:dyDescent="0.35">
      <c r="A313" s="6" t="s">
        <v>25</v>
      </c>
      <c r="B313" s="7"/>
      <c r="D313" s="6" t="s">
        <v>1001</v>
      </c>
      <c r="E313" s="6">
        <v>2</v>
      </c>
      <c r="F313" s="6">
        <v>23</v>
      </c>
      <c r="G313" s="6" t="s">
        <v>202</v>
      </c>
      <c r="I313" s="8">
        <v>87.352736041666702</v>
      </c>
      <c r="J313" s="8">
        <v>94.772103819444396</v>
      </c>
      <c r="K313" s="6" t="s">
        <v>29</v>
      </c>
      <c r="L313" s="6" t="s">
        <v>335</v>
      </c>
      <c r="M313" s="9">
        <v>43864</v>
      </c>
      <c r="O313" s="6">
        <v>19</v>
      </c>
      <c r="P313" s="6" t="s">
        <v>4322</v>
      </c>
      <c r="S313" s="6">
        <v>50</v>
      </c>
      <c r="T313" s="6">
        <v>60</v>
      </c>
      <c r="U313" s="10">
        <f t="shared" si="8"/>
        <v>55</v>
      </c>
      <c r="V313" s="6">
        <v>5.2</v>
      </c>
      <c r="W313" s="8">
        <v>-0.23647690012455003</v>
      </c>
      <c r="X313" s="8">
        <v>-0.11459782409667968</v>
      </c>
      <c r="Y313" s="8">
        <f t="shared" si="9"/>
        <v>1.7772173768997206</v>
      </c>
    </row>
    <row r="314" spans="1:25" s="6" customFormat="1" x14ac:dyDescent="0.35">
      <c r="A314" s="6" t="s">
        <v>25</v>
      </c>
      <c r="B314" s="7"/>
      <c r="D314" s="6" t="s">
        <v>1037</v>
      </c>
      <c r="E314" s="6">
        <v>2</v>
      </c>
      <c r="F314" s="6">
        <v>24</v>
      </c>
      <c r="G314" s="6" t="s">
        <v>57</v>
      </c>
      <c r="I314" s="8">
        <v>87.882876180555598</v>
      </c>
      <c r="J314" s="8">
        <v>87.424340833333304</v>
      </c>
      <c r="K314" s="6" t="s">
        <v>29</v>
      </c>
      <c r="L314" s="6" t="s">
        <v>335</v>
      </c>
      <c r="M314" s="9">
        <v>43873</v>
      </c>
      <c r="O314" s="6">
        <v>20</v>
      </c>
      <c r="P314" s="6" t="s">
        <v>4313</v>
      </c>
      <c r="S314" s="6">
        <v>50</v>
      </c>
      <c r="T314" s="6">
        <v>60</v>
      </c>
      <c r="U314" s="10">
        <f t="shared" si="8"/>
        <v>55</v>
      </c>
      <c r="V314" s="30"/>
      <c r="W314" s="8">
        <v>-1.1282316088914868</v>
      </c>
      <c r="X314" s="8">
        <v>-7.2170530686378473</v>
      </c>
      <c r="Y314" s="8">
        <f t="shared" si="9"/>
        <v>1.8087998024940468</v>
      </c>
    </row>
    <row r="315" spans="1:25" s="6" customFormat="1" x14ac:dyDescent="0.35">
      <c r="A315" s="6" t="s">
        <v>25</v>
      </c>
      <c r="B315" s="7"/>
      <c r="D315" s="6" t="s">
        <v>1060</v>
      </c>
      <c r="E315" s="6">
        <v>3</v>
      </c>
      <c r="F315" s="6">
        <v>29</v>
      </c>
      <c r="G315" s="6" t="s">
        <v>60</v>
      </c>
      <c r="I315" s="8">
        <v>88.488842986111095</v>
      </c>
      <c r="J315" s="8">
        <v>40.1770405555556</v>
      </c>
      <c r="K315" s="6" t="s">
        <v>29</v>
      </c>
      <c r="L315" s="6" t="s">
        <v>335</v>
      </c>
      <c r="M315" s="9">
        <v>43887</v>
      </c>
      <c r="O315" s="6">
        <v>22</v>
      </c>
      <c r="P315" s="6" t="s">
        <v>4291</v>
      </c>
      <c r="S315" s="6">
        <v>50</v>
      </c>
      <c r="T315" s="6">
        <v>60</v>
      </c>
      <c r="U315" s="10">
        <f t="shared" si="8"/>
        <v>55</v>
      </c>
      <c r="V315" s="6">
        <v>6.3</v>
      </c>
      <c r="W315" s="8">
        <v>-0.68108107817173025</v>
      </c>
      <c r="X315" s="8">
        <v>-3.4173203510046006</v>
      </c>
      <c r="Y315" s="8">
        <f t="shared" si="9"/>
        <v>2.0313282743692413</v>
      </c>
    </row>
    <row r="316" spans="1:25" s="6" customFormat="1" x14ac:dyDescent="0.35">
      <c r="A316" s="6" t="s">
        <v>25</v>
      </c>
      <c r="B316" s="7"/>
      <c r="D316" s="6" t="s">
        <v>1087</v>
      </c>
      <c r="E316" s="6">
        <v>3</v>
      </c>
      <c r="F316" s="6">
        <v>31</v>
      </c>
      <c r="G316" s="6" t="s">
        <v>179</v>
      </c>
      <c r="I316" s="8">
        <v>87.889566388888895</v>
      </c>
      <c r="J316" s="8">
        <v>24.107920208333301</v>
      </c>
      <c r="K316" s="6" t="s">
        <v>29</v>
      </c>
      <c r="L316" s="6" t="s">
        <v>335</v>
      </c>
      <c r="M316" s="9">
        <v>43899</v>
      </c>
      <c r="O316" s="6">
        <v>24</v>
      </c>
      <c r="P316" s="6" t="s">
        <v>4343</v>
      </c>
      <c r="S316" s="6">
        <v>50</v>
      </c>
      <c r="T316" s="6">
        <v>60</v>
      </c>
      <c r="U316" s="10">
        <f t="shared" si="8"/>
        <v>55</v>
      </c>
      <c r="V316" s="6">
        <v>4.5999999999999996</v>
      </c>
      <c r="W316" s="8">
        <v>0.5903148830509185</v>
      </c>
      <c r="X316" s="8">
        <v>5.0329462242126466</v>
      </c>
      <c r="Y316" s="8">
        <f t="shared" si="9"/>
        <v>0.31042715980529856</v>
      </c>
    </row>
    <row r="317" spans="1:25" s="6" customFormat="1" x14ac:dyDescent="0.35">
      <c r="A317" s="6" t="s">
        <v>25</v>
      </c>
      <c r="B317" s="7"/>
      <c r="D317" s="6" t="s">
        <v>1102</v>
      </c>
      <c r="E317" s="6">
        <v>3</v>
      </c>
      <c r="F317" s="6">
        <v>31</v>
      </c>
      <c r="G317" s="6" t="s">
        <v>345</v>
      </c>
      <c r="I317" s="8">
        <v>87.660309999999996</v>
      </c>
      <c r="J317" s="8">
        <v>24.286057569444399</v>
      </c>
      <c r="K317" s="6" t="s">
        <v>29</v>
      </c>
      <c r="L317" s="6" t="s">
        <v>335</v>
      </c>
      <c r="M317" s="9">
        <v>43901</v>
      </c>
      <c r="O317" s="6">
        <v>24</v>
      </c>
      <c r="P317" s="6" t="s">
        <v>4345</v>
      </c>
      <c r="S317" s="6">
        <v>50</v>
      </c>
      <c r="T317" s="6">
        <v>60</v>
      </c>
      <c r="U317" s="10">
        <f t="shared" si="8"/>
        <v>55</v>
      </c>
      <c r="V317" s="6">
        <v>4</v>
      </c>
      <c r="W317" s="8">
        <v>0.86082805000543638</v>
      </c>
      <c r="X317" s="8">
        <v>7.1252879638671871</v>
      </c>
      <c r="Y317" s="8">
        <f t="shared" si="9"/>
        <v>0.23866356382369602</v>
      </c>
    </row>
    <row r="318" spans="1:25" s="6" customFormat="1" x14ac:dyDescent="0.35">
      <c r="A318" s="6" t="s">
        <v>25</v>
      </c>
      <c r="B318" s="7"/>
      <c r="D318" s="6" t="s">
        <v>1161</v>
      </c>
      <c r="E318" s="6">
        <v>3</v>
      </c>
      <c r="F318" s="6">
        <v>32</v>
      </c>
      <c r="G318" s="6" t="s">
        <v>179</v>
      </c>
      <c r="I318" s="8">
        <v>86.339075833333297</v>
      </c>
      <c r="J318" s="8">
        <v>14.7309175</v>
      </c>
      <c r="K318" s="6" t="s">
        <v>29</v>
      </c>
      <c r="L318" s="6" t="s">
        <v>335</v>
      </c>
      <c r="M318" s="9">
        <v>43910</v>
      </c>
      <c r="O318" s="6">
        <v>25</v>
      </c>
      <c r="P318" s="6" t="s">
        <v>4350</v>
      </c>
      <c r="S318" s="6">
        <v>50</v>
      </c>
      <c r="T318" s="6">
        <v>60</v>
      </c>
      <c r="U318" s="10">
        <f t="shared" si="8"/>
        <v>55</v>
      </c>
      <c r="V318" s="6">
        <v>4.5999999999999996</v>
      </c>
      <c r="W318" s="8">
        <v>0.83004530834555634</v>
      </c>
      <c r="X318" s="8">
        <v>5.9088458089828482</v>
      </c>
      <c r="Y318" s="8">
        <f t="shared" si="9"/>
        <v>-0.73151665778160258</v>
      </c>
    </row>
    <row r="319" spans="1:25" s="6" customFormat="1" x14ac:dyDescent="0.35">
      <c r="A319" s="6" t="s">
        <v>25</v>
      </c>
      <c r="B319" s="7"/>
      <c r="D319" s="6" t="s">
        <v>1181</v>
      </c>
      <c r="E319" s="6">
        <v>3</v>
      </c>
      <c r="F319" s="6">
        <v>32</v>
      </c>
      <c r="G319" s="6" t="s">
        <v>202</v>
      </c>
      <c r="I319" s="8">
        <v>86.257643333333306</v>
      </c>
      <c r="J319" s="8">
        <v>15.261599722222201</v>
      </c>
      <c r="K319" s="6" t="s">
        <v>29</v>
      </c>
      <c r="L319" s="6" t="s">
        <v>335</v>
      </c>
      <c r="M319" s="9">
        <v>43911</v>
      </c>
      <c r="O319" s="6">
        <v>25</v>
      </c>
      <c r="P319" s="6" t="s">
        <v>4351</v>
      </c>
      <c r="S319" s="6">
        <v>50</v>
      </c>
      <c r="T319" s="6">
        <v>60</v>
      </c>
      <c r="U319" s="10">
        <f t="shared" si="8"/>
        <v>55</v>
      </c>
      <c r="V319" s="6">
        <v>6.2</v>
      </c>
      <c r="W319" s="8">
        <v>0.66374520386695879</v>
      </c>
      <c r="X319" s="8">
        <v>5.6729800895690916</v>
      </c>
      <c r="Y319" s="8">
        <f t="shared" si="9"/>
        <v>0.3630184586334213</v>
      </c>
    </row>
    <row r="320" spans="1:25" s="6" customFormat="1" x14ac:dyDescent="0.35">
      <c r="A320" s="6" t="s">
        <v>25</v>
      </c>
      <c r="B320" s="6" t="s">
        <v>1246</v>
      </c>
      <c r="D320" s="6" t="s">
        <v>1240</v>
      </c>
      <c r="E320" s="6">
        <v>3</v>
      </c>
      <c r="F320" s="6">
        <v>34</v>
      </c>
      <c r="G320" s="6" t="s">
        <v>202</v>
      </c>
      <c r="I320" s="8">
        <v>84.533711805555598</v>
      </c>
      <c r="J320" s="8">
        <v>14.277858402777801</v>
      </c>
      <c r="K320" s="6" t="s">
        <v>29</v>
      </c>
      <c r="L320" s="6" t="s">
        <v>335</v>
      </c>
      <c r="M320" s="9">
        <v>43927</v>
      </c>
      <c r="O320" s="6">
        <v>28</v>
      </c>
      <c r="P320" s="6" t="s">
        <v>4359</v>
      </c>
      <c r="R320" s="6">
        <v>50</v>
      </c>
      <c r="S320" s="6">
        <v>50</v>
      </c>
      <c r="T320" s="6">
        <v>60</v>
      </c>
      <c r="U320" s="10">
        <f t="shared" si="8"/>
        <v>55</v>
      </c>
      <c r="V320" s="6">
        <v>4.0999999999999996</v>
      </c>
      <c r="W320" s="8">
        <v>0.74938205596208574</v>
      </c>
      <c r="X320" s="8">
        <v>6.1088734626770016</v>
      </c>
      <c r="Y320" s="8">
        <f t="shared" si="9"/>
        <v>0.11381701498031571</v>
      </c>
    </row>
    <row r="321" spans="1:26" s="6" customFormat="1" x14ac:dyDescent="0.35">
      <c r="A321" s="6" t="s">
        <v>25</v>
      </c>
      <c r="B321" s="6" t="s">
        <v>1296</v>
      </c>
      <c r="D321" s="6" t="s">
        <v>1291</v>
      </c>
      <c r="E321" s="6">
        <v>3</v>
      </c>
      <c r="F321" s="6">
        <v>35</v>
      </c>
      <c r="G321" s="6" t="s">
        <v>345</v>
      </c>
      <c r="I321" s="8">
        <v>84.322834374999999</v>
      </c>
      <c r="J321" s="8">
        <v>14.725811041666701</v>
      </c>
      <c r="K321" s="6" t="s">
        <v>29</v>
      </c>
      <c r="L321" s="6" t="s">
        <v>335</v>
      </c>
      <c r="M321" s="9">
        <v>43931</v>
      </c>
      <c r="O321" s="6">
        <v>28</v>
      </c>
      <c r="P321" s="6" t="s">
        <v>4362</v>
      </c>
      <c r="R321" s="6">
        <v>50</v>
      </c>
      <c r="S321" s="6">
        <v>50</v>
      </c>
      <c r="T321" s="6">
        <v>60</v>
      </c>
      <c r="U321" s="10">
        <f t="shared" si="8"/>
        <v>55</v>
      </c>
      <c r="V321" s="6">
        <v>4.3</v>
      </c>
      <c r="W321" s="8">
        <v>0.77770562756061601</v>
      </c>
      <c r="X321" s="8">
        <v>6.0129114980697631</v>
      </c>
      <c r="Y321" s="8">
        <f t="shared" si="9"/>
        <v>-0.20873352241516496</v>
      </c>
    </row>
    <row r="322" spans="1:26" s="6" customFormat="1" x14ac:dyDescent="0.35">
      <c r="A322" s="6" t="s">
        <v>25</v>
      </c>
      <c r="B322" s="7" t="s">
        <v>1364</v>
      </c>
      <c r="D322" s="6" t="s">
        <v>1365</v>
      </c>
      <c r="E322" s="6">
        <v>3</v>
      </c>
      <c r="F322" s="6">
        <v>36</v>
      </c>
      <c r="G322" s="6" t="s">
        <v>202</v>
      </c>
      <c r="I322" s="8">
        <v>84.331482986111098</v>
      </c>
      <c r="J322" s="8">
        <v>14.642671805555601</v>
      </c>
      <c r="K322" s="6" t="s">
        <v>29</v>
      </c>
      <c r="L322" s="6" t="s">
        <v>335</v>
      </c>
      <c r="M322" s="9">
        <v>43935</v>
      </c>
      <c r="O322" s="6">
        <v>29</v>
      </c>
      <c r="P322" s="6" t="s">
        <v>4332</v>
      </c>
      <c r="R322" s="10"/>
      <c r="S322" s="10">
        <v>50</v>
      </c>
      <c r="T322" s="10">
        <v>60</v>
      </c>
      <c r="U322" s="10">
        <f t="shared" ref="U322:U385" si="10">AVERAGE(S322:T322)</f>
        <v>55</v>
      </c>
      <c r="V322" s="11">
        <v>4.0999999999999996</v>
      </c>
      <c r="W322" s="8">
        <v>0.73683906955719014</v>
      </c>
      <c r="X322" s="8">
        <v>6.1391176104545595</v>
      </c>
      <c r="Y322" s="8">
        <f t="shared" ref="Y322:Y385" si="11">X322-(8*W322)</f>
        <v>0.24440505399703838</v>
      </c>
    </row>
    <row r="323" spans="1:26" s="6" customFormat="1" x14ac:dyDescent="0.35">
      <c r="A323" s="6" t="s">
        <v>25</v>
      </c>
      <c r="B323" s="7" t="s">
        <v>1448</v>
      </c>
      <c r="D323" s="6" t="s">
        <v>1449</v>
      </c>
      <c r="E323" s="6">
        <v>3</v>
      </c>
      <c r="F323" s="6">
        <v>37</v>
      </c>
      <c r="G323" s="6" t="s">
        <v>28</v>
      </c>
      <c r="I323" s="8">
        <v>83.999093333333306</v>
      </c>
      <c r="J323" s="8">
        <v>15.6102103472222</v>
      </c>
      <c r="K323" s="6" t="s">
        <v>29</v>
      </c>
      <c r="L323" s="6" t="s">
        <v>335</v>
      </c>
      <c r="M323" s="9">
        <v>43946</v>
      </c>
      <c r="O323" s="6">
        <v>30</v>
      </c>
      <c r="P323" s="6" t="s">
        <v>4265</v>
      </c>
      <c r="R323" s="10"/>
      <c r="S323" s="10">
        <v>50</v>
      </c>
      <c r="T323" s="10">
        <v>60</v>
      </c>
      <c r="U323" s="10">
        <f t="shared" si="10"/>
        <v>55</v>
      </c>
      <c r="V323" s="11">
        <v>2.2999999999999998</v>
      </c>
      <c r="W323" s="8">
        <v>-2.5146574180603039</v>
      </c>
      <c r="X323" s="8">
        <v>-19.637429601287842</v>
      </c>
      <c r="Y323" s="8">
        <f t="shared" si="11"/>
        <v>0.47982974319458904</v>
      </c>
    </row>
    <row r="324" spans="1:26" s="6" customFormat="1" x14ac:dyDescent="0.35">
      <c r="A324" s="6" t="s">
        <v>25</v>
      </c>
      <c r="B324" s="7" t="s">
        <v>1492</v>
      </c>
      <c r="D324" s="6" t="s">
        <v>1493</v>
      </c>
      <c r="E324" s="6">
        <v>3</v>
      </c>
      <c r="F324" s="6">
        <v>37</v>
      </c>
      <c r="G324" s="6" t="s">
        <v>28</v>
      </c>
      <c r="I324" s="8">
        <v>83.999093333333306</v>
      </c>
      <c r="J324" s="8">
        <v>15.6102103472222</v>
      </c>
      <c r="K324" s="6" t="s">
        <v>29</v>
      </c>
      <c r="L324" s="6" t="s">
        <v>335</v>
      </c>
      <c r="M324" s="9">
        <v>43946</v>
      </c>
      <c r="O324" s="6">
        <v>30</v>
      </c>
      <c r="P324" s="6" t="s">
        <v>4265</v>
      </c>
      <c r="R324" s="10"/>
      <c r="S324" s="10">
        <v>50</v>
      </c>
      <c r="T324" s="10">
        <v>60</v>
      </c>
      <c r="U324" s="10">
        <f t="shared" si="10"/>
        <v>55</v>
      </c>
      <c r="V324" s="11">
        <v>3.9</v>
      </c>
      <c r="W324" s="8">
        <v>1.0195213820219038</v>
      </c>
      <c r="X324" s="8">
        <v>8.5932837181091308</v>
      </c>
      <c r="Y324" s="8">
        <f t="shared" si="11"/>
        <v>0.43711266193390053</v>
      </c>
    </row>
    <row r="325" spans="1:26" s="6" customFormat="1" x14ac:dyDescent="0.35">
      <c r="A325" s="6" t="s">
        <v>25</v>
      </c>
      <c r="B325" s="7"/>
      <c r="D325" s="6" t="s">
        <v>1548</v>
      </c>
      <c r="E325" s="6">
        <v>3</v>
      </c>
      <c r="F325" s="6">
        <v>38</v>
      </c>
      <c r="G325" s="6" t="s">
        <v>202</v>
      </c>
      <c r="I325" s="8">
        <v>83.938997847222197</v>
      </c>
      <c r="J325" s="8">
        <v>15.6730686111111</v>
      </c>
      <c r="K325" s="6" t="s">
        <v>29</v>
      </c>
      <c r="L325" s="6" t="s">
        <v>335</v>
      </c>
      <c r="M325" s="9">
        <v>43948</v>
      </c>
      <c r="O325" s="6">
        <v>31</v>
      </c>
      <c r="P325" s="6" t="s">
        <v>4251</v>
      </c>
      <c r="S325" s="6">
        <v>50</v>
      </c>
      <c r="T325" s="6">
        <v>60</v>
      </c>
      <c r="U325" s="10">
        <f t="shared" si="10"/>
        <v>55</v>
      </c>
      <c r="V325" s="6">
        <v>4.4000000000000004</v>
      </c>
      <c r="W325" s="8">
        <v>0.82523263900280053</v>
      </c>
      <c r="X325" s="8">
        <v>6.4724888740539548</v>
      </c>
      <c r="Y325" s="8">
        <f t="shared" si="11"/>
        <v>-0.12937223796844943</v>
      </c>
    </row>
    <row r="326" spans="1:26" s="6" customFormat="1" x14ac:dyDescent="0.35">
      <c r="A326" s="6" t="s">
        <v>25</v>
      </c>
      <c r="B326" s="6" t="s">
        <v>1625</v>
      </c>
      <c r="D326" s="6" t="s">
        <v>1619</v>
      </c>
      <c r="E326" s="6">
        <v>3</v>
      </c>
      <c r="F326" s="6">
        <v>39</v>
      </c>
      <c r="G326" s="6" t="s">
        <v>202</v>
      </c>
      <c r="I326" s="8">
        <v>83.907985999999994</v>
      </c>
      <c r="J326" s="8">
        <v>18.352126999999999</v>
      </c>
      <c r="K326" s="6" t="s">
        <v>29</v>
      </c>
      <c r="L326" s="6" t="s">
        <v>335</v>
      </c>
      <c r="M326" s="9">
        <v>43955</v>
      </c>
      <c r="O326" s="6">
        <v>32</v>
      </c>
      <c r="P326" s="6" t="s">
        <v>4374</v>
      </c>
      <c r="R326" s="6">
        <v>50</v>
      </c>
      <c r="S326" s="6">
        <v>50</v>
      </c>
      <c r="T326" s="6">
        <v>60</v>
      </c>
      <c r="U326" s="10">
        <f t="shared" si="10"/>
        <v>55</v>
      </c>
      <c r="V326" s="6">
        <v>4.5999999999999996</v>
      </c>
      <c r="W326" s="8">
        <v>0.83967928701639183</v>
      </c>
      <c r="X326" s="8">
        <v>6.7378712439537045</v>
      </c>
      <c r="Y326" s="8">
        <f t="shared" si="11"/>
        <v>2.0436947822569884E-2</v>
      </c>
    </row>
    <row r="327" spans="1:26" s="6" customFormat="1" x14ac:dyDescent="0.35">
      <c r="A327" s="6" t="s">
        <v>25</v>
      </c>
      <c r="B327" s="6" t="s">
        <v>1769</v>
      </c>
      <c r="D327" s="6" t="s">
        <v>1770</v>
      </c>
      <c r="E327" s="6">
        <v>4</v>
      </c>
      <c r="F327" s="6">
        <v>44</v>
      </c>
      <c r="I327" s="8">
        <v>81.975306180555606</v>
      </c>
      <c r="J327" s="8">
        <v>9.2425022222222193</v>
      </c>
      <c r="K327" s="6" t="s">
        <v>29</v>
      </c>
      <c r="L327" s="29" t="s">
        <v>335</v>
      </c>
      <c r="M327" s="9">
        <v>44004</v>
      </c>
      <c r="O327" s="6">
        <v>39</v>
      </c>
      <c r="P327" s="6" t="s">
        <v>4405</v>
      </c>
      <c r="S327" s="6">
        <v>50</v>
      </c>
      <c r="T327" s="6">
        <v>60</v>
      </c>
      <c r="U327" s="10">
        <f t="shared" si="10"/>
        <v>55</v>
      </c>
      <c r="V327" s="15">
        <v>2.2000000000000002</v>
      </c>
      <c r="W327" s="8">
        <v>0.80409568290710498</v>
      </c>
      <c r="X327" s="8">
        <v>6.8793241138458248</v>
      </c>
      <c r="Y327" s="8">
        <f t="shared" si="11"/>
        <v>0.44655865058898492</v>
      </c>
      <c r="Z327" s="6" t="s">
        <v>1760</v>
      </c>
    </row>
    <row r="328" spans="1:26" s="6" customFormat="1" x14ac:dyDescent="0.35">
      <c r="A328" s="6" t="s">
        <v>25</v>
      </c>
      <c r="B328" s="6" t="s">
        <v>1926</v>
      </c>
      <c r="D328" s="6" t="s">
        <v>1927</v>
      </c>
      <c r="E328" s="6">
        <v>4</v>
      </c>
      <c r="F328" s="6">
        <v>46</v>
      </c>
      <c r="I328" s="8">
        <v>81.685643263888906</v>
      </c>
      <c r="J328" s="8">
        <v>5.3733415277777796</v>
      </c>
      <c r="K328" s="6" t="s">
        <v>29</v>
      </c>
      <c r="L328" s="29" t="s">
        <v>335</v>
      </c>
      <c r="M328" s="9">
        <v>44018</v>
      </c>
      <c r="O328" s="6">
        <v>41</v>
      </c>
      <c r="P328" s="6" t="s">
        <v>4413</v>
      </c>
      <c r="S328" s="6">
        <v>50</v>
      </c>
      <c r="T328" s="6">
        <v>60</v>
      </c>
      <c r="U328" s="10">
        <f t="shared" si="10"/>
        <v>55</v>
      </c>
      <c r="V328" s="15">
        <v>3.6</v>
      </c>
      <c r="W328" s="8">
        <v>-0.98711587090492237</v>
      </c>
      <c r="X328" s="8">
        <v>-7.6062501578331005</v>
      </c>
      <c r="Y328" s="8">
        <f t="shared" si="11"/>
        <v>0.29067680940627838</v>
      </c>
      <c r="Z328" s="6" t="s">
        <v>1760</v>
      </c>
    </row>
    <row r="329" spans="1:26" s="6" customFormat="1" x14ac:dyDescent="0.35">
      <c r="A329" s="6" t="s">
        <v>25</v>
      </c>
      <c r="B329" s="6" t="s">
        <v>1958</v>
      </c>
      <c r="D329" s="6" t="s">
        <v>1959</v>
      </c>
      <c r="E329" s="6">
        <v>4</v>
      </c>
      <c r="F329" s="6">
        <v>47</v>
      </c>
      <c r="I329" s="8">
        <v>81.417819374999993</v>
      </c>
      <c r="J329" s="8">
        <v>0.28587430555555599</v>
      </c>
      <c r="K329" s="6" t="s">
        <v>29</v>
      </c>
      <c r="L329" s="29" t="s">
        <v>335</v>
      </c>
      <c r="M329" s="9">
        <v>44025</v>
      </c>
      <c r="O329" s="6">
        <v>42</v>
      </c>
      <c r="P329" s="6" t="s">
        <v>4403</v>
      </c>
      <c r="S329" s="6">
        <v>50</v>
      </c>
      <c r="T329" s="6">
        <v>60</v>
      </c>
      <c r="U329" s="10">
        <f t="shared" si="10"/>
        <v>55</v>
      </c>
      <c r="V329" s="15">
        <v>2.7</v>
      </c>
      <c r="W329" s="8">
        <v>-0.39855358810424801</v>
      </c>
      <c r="X329" s="8">
        <v>-1.7865278370380406</v>
      </c>
      <c r="Y329" s="8">
        <f t="shared" si="11"/>
        <v>1.4019008677959435</v>
      </c>
      <c r="Z329" s="6" t="s">
        <v>1760</v>
      </c>
    </row>
    <row r="330" spans="1:26" s="6" customFormat="1" x14ac:dyDescent="0.35">
      <c r="A330" s="6" t="s">
        <v>25</v>
      </c>
      <c r="B330" s="6" t="s">
        <v>2177</v>
      </c>
      <c r="D330" s="6" t="s">
        <v>2178</v>
      </c>
      <c r="E330" s="6">
        <v>4</v>
      </c>
      <c r="F330" s="6">
        <v>48</v>
      </c>
      <c r="I330" s="8">
        <v>80.754295347222197</v>
      </c>
      <c r="J330" s="8">
        <v>-0.488818958333333</v>
      </c>
      <c r="K330" s="6" t="s">
        <v>29</v>
      </c>
      <c r="L330" s="29" t="s">
        <v>335</v>
      </c>
      <c r="M330" s="9">
        <v>44032</v>
      </c>
      <c r="O330" s="6">
        <v>43</v>
      </c>
      <c r="P330" s="6" t="s">
        <v>4403</v>
      </c>
      <c r="S330" s="6">
        <v>50</v>
      </c>
      <c r="T330" s="6">
        <v>60</v>
      </c>
      <c r="U330" s="10">
        <f t="shared" si="10"/>
        <v>55</v>
      </c>
      <c r="V330" s="15">
        <v>2.7</v>
      </c>
      <c r="W330" s="8">
        <v>-0.10068898393213783</v>
      </c>
      <c r="X330" s="8">
        <v>-9.4768304049969165E-2</v>
      </c>
      <c r="Y330" s="8">
        <f t="shared" si="11"/>
        <v>0.71074356740713351</v>
      </c>
      <c r="Z330" s="6" t="s">
        <v>1760</v>
      </c>
    </row>
    <row r="331" spans="1:26" s="6" customFormat="1" x14ac:dyDescent="0.35">
      <c r="A331" s="6" t="s">
        <v>25</v>
      </c>
      <c r="B331" s="6" t="s">
        <v>2268</v>
      </c>
      <c r="D331" s="6" t="s">
        <v>2269</v>
      </c>
      <c r="E331" s="6">
        <v>4</v>
      </c>
      <c r="F331" s="6">
        <v>49</v>
      </c>
      <c r="I331" s="8">
        <v>79.191449375000005</v>
      </c>
      <c r="J331" s="8">
        <v>-2.6081078472222199</v>
      </c>
      <c r="K331" s="6" t="s">
        <v>29</v>
      </c>
      <c r="L331" s="29" t="s">
        <v>335</v>
      </c>
      <c r="M331" s="9">
        <v>44041</v>
      </c>
      <c r="O331" s="6">
        <v>44</v>
      </c>
      <c r="P331" s="6" t="s">
        <v>4421</v>
      </c>
      <c r="S331" s="6">
        <v>50</v>
      </c>
      <c r="T331" s="6">
        <v>60</v>
      </c>
      <c r="U331" s="10">
        <f t="shared" si="10"/>
        <v>55</v>
      </c>
      <c r="V331" s="15">
        <v>1.5</v>
      </c>
      <c r="W331" s="8">
        <v>-0.43599791669845545</v>
      </c>
      <c r="X331" s="8">
        <v>-3.6214328302383429</v>
      </c>
      <c r="Y331" s="8">
        <f t="shared" si="11"/>
        <v>-0.13344949665069938</v>
      </c>
      <c r="Z331" s="6" t="s">
        <v>1760</v>
      </c>
    </row>
    <row r="332" spans="1:26" s="6" customFormat="1" x14ac:dyDescent="0.35">
      <c r="A332" s="6" t="s">
        <v>25</v>
      </c>
      <c r="B332" s="6" t="s">
        <v>2319</v>
      </c>
      <c r="D332" s="6" t="s">
        <v>2320</v>
      </c>
      <c r="E332" s="6">
        <v>5</v>
      </c>
      <c r="F332" s="6">
        <v>59</v>
      </c>
      <c r="I332" s="8">
        <v>88.299658402777794</v>
      </c>
      <c r="J332" s="8">
        <v>114.11509069444401</v>
      </c>
      <c r="K332" s="6" t="s">
        <v>29</v>
      </c>
      <c r="L332" s="29" t="s">
        <v>335</v>
      </c>
      <c r="M332" s="9">
        <v>44074</v>
      </c>
      <c r="O332" s="6">
        <v>50</v>
      </c>
      <c r="P332" s="6" t="s">
        <v>4396</v>
      </c>
      <c r="S332" s="6">
        <v>50</v>
      </c>
      <c r="T332" s="6">
        <v>60</v>
      </c>
      <c r="U332" s="10">
        <f t="shared" si="10"/>
        <v>55</v>
      </c>
      <c r="V332" s="15">
        <v>2.2000000000000002</v>
      </c>
      <c r="W332" s="8">
        <v>0.80240600223541259</v>
      </c>
      <c r="X332" s="8">
        <v>7.065324937820435</v>
      </c>
      <c r="Y332" s="8">
        <f t="shared" si="11"/>
        <v>0.64607691993713434</v>
      </c>
      <c r="Z332" s="6" t="s">
        <v>1760</v>
      </c>
    </row>
    <row r="333" spans="1:26" s="6" customFormat="1" x14ac:dyDescent="0.35">
      <c r="A333" s="6" t="s">
        <v>25</v>
      </c>
      <c r="B333" s="6" t="s">
        <v>2386</v>
      </c>
      <c r="D333" s="6" t="s">
        <v>2387</v>
      </c>
      <c r="E333" s="6">
        <v>5</v>
      </c>
      <c r="F333" s="6">
        <v>61</v>
      </c>
      <c r="I333" s="8">
        <v>88.700402291666705</v>
      </c>
      <c r="J333" s="8">
        <v>111.973632708333</v>
      </c>
      <c r="K333" s="6" t="s">
        <v>29</v>
      </c>
      <c r="L333" s="29" t="s">
        <v>335</v>
      </c>
      <c r="M333" s="9">
        <v>44081</v>
      </c>
      <c r="O333" s="6">
        <v>51</v>
      </c>
      <c r="P333" s="6" t="s">
        <v>4434</v>
      </c>
      <c r="S333" s="6">
        <v>50</v>
      </c>
      <c r="T333" s="6">
        <v>60</v>
      </c>
      <c r="U333" s="10">
        <f t="shared" si="10"/>
        <v>55</v>
      </c>
      <c r="V333" s="15">
        <v>0.9</v>
      </c>
      <c r="W333" s="8">
        <v>0.37627752669155623</v>
      </c>
      <c r="X333" s="8">
        <v>4.7214343931913376</v>
      </c>
      <c r="Y333" s="8">
        <f t="shared" si="11"/>
        <v>1.7112141796588878</v>
      </c>
      <c r="Z333" s="6" t="s">
        <v>1760</v>
      </c>
    </row>
    <row r="334" spans="1:26" s="6" customFormat="1" x14ac:dyDescent="0.35">
      <c r="A334" s="6" t="s">
        <v>25</v>
      </c>
      <c r="B334" s="6" t="s">
        <v>55</v>
      </c>
      <c r="D334" s="6" t="s">
        <v>49</v>
      </c>
      <c r="E334" s="6">
        <v>1</v>
      </c>
      <c r="F334" s="6">
        <v>1</v>
      </c>
      <c r="G334" s="6" t="s">
        <v>4466</v>
      </c>
      <c r="I334" s="8">
        <v>84.908087777777794</v>
      </c>
      <c r="J334" s="8">
        <v>135.908380208333</v>
      </c>
      <c r="K334" s="6" t="s">
        <v>29</v>
      </c>
      <c r="L334" s="6" t="s">
        <v>335</v>
      </c>
      <c r="M334" s="9">
        <v>43747</v>
      </c>
      <c r="O334" s="6">
        <v>2</v>
      </c>
      <c r="P334" s="6" t="s">
        <v>4244</v>
      </c>
      <c r="R334" s="6">
        <v>50.5</v>
      </c>
      <c r="S334" s="6">
        <v>50.5</v>
      </c>
      <c r="T334" s="6">
        <v>61</v>
      </c>
      <c r="U334" s="10">
        <f t="shared" si="10"/>
        <v>55.75</v>
      </c>
      <c r="V334" s="30"/>
      <c r="W334" s="8">
        <v>1.0000119287490845</v>
      </c>
      <c r="X334" s="8">
        <v>7.5923291271209719</v>
      </c>
      <c r="Y334" s="8">
        <f t="shared" si="11"/>
        <v>-0.40776630287170423</v>
      </c>
    </row>
    <row r="335" spans="1:26" s="6" customFormat="1" x14ac:dyDescent="0.35">
      <c r="A335" s="6" t="s">
        <v>25</v>
      </c>
      <c r="B335" s="7" t="s">
        <v>442</v>
      </c>
      <c r="C335" s="6">
        <v>510629</v>
      </c>
      <c r="D335" s="6" t="s">
        <v>443</v>
      </c>
      <c r="E335" s="6">
        <v>1</v>
      </c>
      <c r="F335" s="6">
        <v>7</v>
      </c>
      <c r="G335" s="6" t="s">
        <v>179</v>
      </c>
      <c r="I335" s="8">
        <v>86.191348333333295</v>
      </c>
      <c r="J335" s="8">
        <v>118.623774583333</v>
      </c>
      <c r="K335" s="6" t="s">
        <v>29</v>
      </c>
      <c r="L335" s="6" t="s">
        <v>335</v>
      </c>
      <c r="M335" s="9">
        <v>43784</v>
      </c>
      <c r="O335" s="6">
        <v>7</v>
      </c>
      <c r="P335" s="6" t="s">
        <v>4260</v>
      </c>
      <c r="Q335" s="8">
        <v>-5.5333333333333341</v>
      </c>
      <c r="R335" s="10" t="s">
        <v>221</v>
      </c>
      <c r="S335" s="10">
        <v>51</v>
      </c>
      <c r="T335" s="10">
        <v>61</v>
      </c>
      <c r="U335" s="10">
        <f t="shared" si="10"/>
        <v>56</v>
      </c>
      <c r="V335" s="6">
        <v>3.5</v>
      </c>
      <c r="W335" s="8">
        <v>-2.2790679079055787</v>
      </c>
      <c r="X335" s="8">
        <v>-17.146720239639279</v>
      </c>
      <c r="Y335" s="8">
        <f t="shared" si="11"/>
        <v>1.0858230236053501</v>
      </c>
    </row>
    <row r="336" spans="1:26" s="6" customFormat="1" x14ac:dyDescent="0.35">
      <c r="A336" s="6" t="s">
        <v>25</v>
      </c>
      <c r="B336" s="6" t="s">
        <v>764</v>
      </c>
      <c r="C336" s="6">
        <v>511033</v>
      </c>
      <c r="D336" s="6" t="s">
        <v>758</v>
      </c>
      <c r="E336" s="6">
        <v>1</v>
      </c>
      <c r="F336" s="6">
        <v>10</v>
      </c>
      <c r="G336" s="6" t="s">
        <v>179</v>
      </c>
      <c r="I336" s="8">
        <v>86.106434930555594</v>
      </c>
      <c r="J336" s="8">
        <v>118.771893680556</v>
      </c>
      <c r="K336" s="6" t="s">
        <v>29</v>
      </c>
      <c r="L336" s="6" t="s">
        <v>335</v>
      </c>
      <c r="M336" s="9">
        <v>43803</v>
      </c>
      <c r="O336" s="6">
        <v>10</v>
      </c>
      <c r="P336" s="6" t="s">
        <v>4278</v>
      </c>
      <c r="R336" s="6" t="s">
        <v>765</v>
      </c>
      <c r="S336" s="6">
        <v>50</v>
      </c>
      <c r="T336" s="6">
        <v>62</v>
      </c>
      <c r="U336" s="10">
        <f t="shared" si="10"/>
        <v>56</v>
      </c>
      <c r="V336" s="6">
        <v>5.2</v>
      </c>
      <c r="W336" s="8">
        <v>0.67595794376134899</v>
      </c>
      <c r="X336" s="8">
        <v>5.8258021954536447</v>
      </c>
      <c r="Y336" s="8">
        <f t="shared" si="11"/>
        <v>0.41813864536285283</v>
      </c>
    </row>
    <row r="337" spans="1:26" s="6" customFormat="1" x14ac:dyDescent="0.35">
      <c r="A337" s="6" t="s">
        <v>25</v>
      </c>
      <c r="B337" s="6" t="s">
        <v>101</v>
      </c>
      <c r="C337" s="6">
        <v>510062</v>
      </c>
      <c r="D337" s="6" t="s">
        <v>92</v>
      </c>
      <c r="E337" s="6">
        <v>1</v>
      </c>
      <c r="F337" s="6">
        <v>2</v>
      </c>
      <c r="G337" s="6" t="s">
        <v>63</v>
      </c>
      <c r="I337" s="8">
        <v>84.770107638888902</v>
      </c>
      <c r="J337" s="8">
        <v>134.47681993055599</v>
      </c>
      <c r="K337" s="6" t="s">
        <v>29</v>
      </c>
      <c r="L337" s="6" t="s">
        <v>335</v>
      </c>
      <c r="M337" s="9">
        <v>43752</v>
      </c>
      <c r="O337" s="6">
        <v>3</v>
      </c>
      <c r="P337" s="6" t="s">
        <v>4246</v>
      </c>
      <c r="R337" s="6" t="s">
        <v>102</v>
      </c>
      <c r="S337" s="6">
        <v>53</v>
      </c>
      <c r="T337" s="6">
        <v>60</v>
      </c>
      <c r="U337" s="10">
        <f t="shared" si="10"/>
        <v>56.5</v>
      </c>
      <c r="V337" s="6">
        <v>3.1</v>
      </c>
      <c r="W337" s="8">
        <v>-1.328217908477783</v>
      </c>
      <c r="X337" s="8">
        <v>-10.759495302200317</v>
      </c>
      <c r="Y337" s="8">
        <f t="shared" si="11"/>
        <v>-0.13375203437805361</v>
      </c>
    </row>
    <row r="338" spans="1:26" s="6" customFormat="1" x14ac:dyDescent="0.35">
      <c r="A338" s="6" t="s">
        <v>25</v>
      </c>
      <c r="B338" s="7" t="s">
        <v>42</v>
      </c>
      <c r="D338" s="6" t="s">
        <v>43</v>
      </c>
      <c r="E338" s="6">
        <v>1</v>
      </c>
      <c r="F338" s="6">
        <v>1</v>
      </c>
      <c r="G338" s="6" t="s">
        <v>28</v>
      </c>
      <c r="I338" s="8">
        <v>85.144790624999999</v>
      </c>
      <c r="J338" s="8">
        <v>133.79209895833301</v>
      </c>
      <c r="K338" s="6" t="s">
        <v>29</v>
      </c>
      <c r="L338" s="6" t="s">
        <v>335</v>
      </c>
      <c r="M338" s="9">
        <v>43741</v>
      </c>
      <c r="O338" s="6">
        <v>1</v>
      </c>
      <c r="P338" s="6" t="s">
        <v>4242</v>
      </c>
      <c r="R338" s="10"/>
      <c r="S338" s="10">
        <v>52</v>
      </c>
      <c r="T338" s="10">
        <v>62</v>
      </c>
      <c r="U338" s="10">
        <f t="shared" si="10"/>
        <v>57</v>
      </c>
      <c r="V338" s="30"/>
      <c r="W338" s="8">
        <v>-0.52796268463134799</v>
      </c>
      <c r="X338" s="8">
        <v>-3.78242862701416</v>
      </c>
      <c r="Y338" s="8">
        <f t="shared" si="11"/>
        <v>0.44127285003662386</v>
      </c>
    </row>
    <row r="339" spans="1:26" s="6" customFormat="1" x14ac:dyDescent="0.35">
      <c r="A339" s="6" t="s">
        <v>25</v>
      </c>
      <c r="B339" s="7" t="s">
        <v>1729</v>
      </c>
      <c r="D339" s="6" t="s">
        <v>1730</v>
      </c>
      <c r="E339" s="6">
        <v>4</v>
      </c>
      <c r="F339" s="6">
        <v>44</v>
      </c>
      <c r="G339" s="6" t="s">
        <v>335</v>
      </c>
      <c r="I339" s="8">
        <v>81.975306180555606</v>
      </c>
      <c r="J339" s="8">
        <v>9.2425022222222193</v>
      </c>
      <c r="K339" s="6" t="s">
        <v>29</v>
      </c>
      <c r="L339" s="6" t="s">
        <v>335</v>
      </c>
      <c r="M339" s="9">
        <v>44004</v>
      </c>
      <c r="O339" s="6">
        <v>39</v>
      </c>
      <c r="P339" s="6" t="s">
        <v>4405</v>
      </c>
      <c r="R339" s="10" t="s">
        <v>1731</v>
      </c>
      <c r="S339" s="10">
        <v>55</v>
      </c>
      <c r="T339" s="10">
        <v>60</v>
      </c>
      <c r="U339" s="10">
        <f t="shared" si="10"/>
        <v>57.5</v>
      </c>
      <c r="V339" s="11"/>
      <c r="W339" s="8">
        <v>0.56419146727323521</v>
      </c>
      <c r="X339" s="8">
        <v>5.6717325739860538</v>
      </c>
      <c r="Y339" s="8">
        <f t="shared" si="11"/>
        <v>1.1582008358001721</v>
      </c>
    </row>
    <row r="340" spans="1:26" s="6" customFormat="1" x14ac:dyDescent="0.35">
      <c r="A340" s="6" t="s">
        <v>25</v>
      </c>
      <c r="B340" s="6" t="s">
        <v>2494</v>
      </c>
      <c r="D340" s="6" t="s">
        <v>2495</v>
      </c>
      <c r="E340" s="6">
        <v>5</v>
      </c>
      <c r="F340" s="6">
        <v>61</v>
      </c>
      <c r="I340" s="8">
        <v>89.023700416666699</v>
      </c>
      <c r="J340" s="8">
        <v>102.473466597222</v>
      </c>
      <c r="K340" s="6" t="s">
        <v>29</v>
      </c>
      <c r="L340" s="29" t="s">
        <v>335</v>
      </c>
      <c r="M340" s="9">
        <v>44088</v>
      </c>
      <c r="O340" s="6">
        <v>52</v>
      </c>
      <c r="P340" s="6" t="s">
        <v>4394</v>
      </c>
      <c r="S340" s="6">
        <v>52.5</v>
      </c>
      <c r="T340" s="6">
        <v>63</v>
      </c>
      <c r="U340" s="10">
        <f t="shared" si="10"/>
        <v>57.75</v>
      </c>
      <c r="V340" s="15">
        <v>1</v>
      </c>
      <c r="W340" s="8">
        <v>0.35529534657001488</v>
      </c>
      <c r="X340" s="8">
        <v>3.0069196743965154</v>
      </c>
      <c r="Y340" s="8">
        <f t="shared" si="11"/>
        <v>0.16455690183639637</v>
      </c>
      <c r="Z340" s="6" t="s">
        <v>1760</v>
      </c>
    </row>
    <row r="341" spans="1:26" s="6" customFormat="1" x14ac:dyDescent="0.35">
      <c r="A341" s="6" t="s">
        <v>25</v>
      </c>
      <c r="B341" s="6" t="s">
        <v>87</v>
      </c>
      <c r="C341" s="6">
        <v>510046</v>
      </c>
      <c r="D341" s="6" t="s">
        <v>77</v>
      </c>
      <c r="E341" s="6">
        <v>1</v>
      </c>
      <c r="F341" s="6">
        <v>2</v>
      </c>
      <c r="G341" s="6" t="s">
        <v>63</v>
      </c>
      <c r="I341" s="8">
        <v>84.770107638888902</v>
      </c>
      <c r="J341" s="8">
        <v>134.47681993055599</v>
      </c>
      <c r="K341" s="6" t="s">
        <v>29</v>
      </c>
      <c r="L341" s="6" t="s">
        <v>335</v>
      </c>
      <c r="M341" s="9">
        <v>43752</v>
      </c>
      <c r="O341" s="6">
        <v>3</v>
      </c>
      <c r="P341" s="6" t="s">
        <v>4246</v>
      </c>
      <c r="R341" s="6" t="s">
        <v>88</v>
      </c>
      <c r="S341" s="6">
        <v>53</v>
      </c>
      <c r="T341" s="6">
        <v>63</v>
      </c>
      <c r="U341" s="10">
        <f t="shared" si="10"/>
        <v>58</v>
      </c>
      <c r="V341" s="6">
        <v>1.5</v>
      </c>
      <c r="W341" s="8">
        <v>0.3263284114837649</v>
      </c>
      <c r="X341" s="8">
        <v>3.0676955606937408</v>
      </c>
      <c r="Y341" s="8">
        <f t="shared" si="11"/>
        <v>0.45706826882362162</v>
      </c>
    </row>
    <row r="342" spans="1:26" s="6" customFormat="1" x14ac:dyDescent="0.35">
      <c r="A342" s="6" t="s">
        <v>25</v>
      </c>
      <c r="B342" s="7" t="s">
        <v>1657</v>
      </c>
      <c r="D342" s="6" t="s">
        <v>1658</v>
      </c>
      <c r="E342" s="6">
        <v>4</v>
      </c>
      <c r="F342" s="6">
        <v>44</v>
      </c>
      <c r="G342" s="6" t="s">
        <v>335</v>
      </c>
      <c r="I342" s="8">
        <v>81.975306180555606</v>
      </c>
      <c r="J342" s="8">
        <v>9.2425022222222193</v>
      </c>
      <c r="K342" s="6" t="s">
        <v>29</v>
      </c>
      <c r="L342" s="6" t="s">
        <v>335</v>
      </c>
      <c r="M342" s="9">
        <v>44004</v>
      </c>
      <c r="O342" s="6">
        <v>39</v>
      </c>
      <c r="P342" s="6" t="s">
        <v>4405</v>
      </c>
      <c r="R342" s="10" t="s">
        <v>1659</v>
      </c>
      <c r="S342" s="10">
        <v>60</v>
      </c>
      <c r="T342" s="10">
        <v>65</v>
      </c>
      <c r="U342" s="10">
        <f t="shared" si="10"/>
        <v>62.5</v>
      </c>
      <c r="V342" s="11"/>
      <c r="W342" s="8">
        <v>0.24749375014603164</v>
      </c>
      <c r="X342" s="8">
        <v>3.00355314482078</v>
      </c>
      <c r="Y342" s="8">
        <f t="shared" si="11"/>
        <v>1.0236031436525268</v>
      </c>
    </row>
    <row r="343" spans="1:26" s="6" customFormat="1" x14ac:dyDescent="0.35">
      <c r="A343" s="6" t="s">
        <v>25</v>
      </c>
      <c r="B343" s="6" t="s">
        <v>785</v>
      </c>
      <c r="D343" s="6" t="s">
        <v>779</v>
      </c>
      <c r="E343" s="6">
        <v>1</v>
      </c>
      <c r="F343" s="6">
        <v>11</v>
      </c>
      <c r="G343" s="6" t="s">
        <v>179</v>
      </c>
      <c r="I343" s="8">
        <v>86.506581944444406</v>
      </c>
      <c r="J343" s="8">
        <v>120.985913333333</v>
      </c>
      <c r="K343" s="6" t="s">
        <v>29</v>
      </c>
      <c r="L343" s="6" t="s">
        <v>335</v>
      </c>
      <c r="M343" s="9">
        <v>43809</v>
      </c>
      <c r="O343" s="6">
        <v>11</v>
      </c>
      <c r="P343" s="6" t="s">
        <v>4284</v>
      </c>
      <c r="R343" s="6">
        <v>59</v>
      </c>
      <c r="S343" s="6">
        <v>59</v>
      </c>
      <c r="T343" s="6">
        <v>68</v>
      </c>
      <c r="U343" s="10">
        <f t="shared" si="10"/>
        <v>63.5</v>
      </c>
      <c r="V343" s="6">
        <v>5.3</v>
      </c>
      <c r="W343" s="8">
        <v>0.38140909583866556</v>
      </c>
      <c r="X343" s="8">
        <v>4.1348745708465575</v>
      </c>
      <c r="Y343" s="8">
        <f t="shared" si="11"/>
        <v>1.0836018041372331</v>
      </c>
    </row>
    <row r="344" spans="1:26" s="6" customFormat="1" x14ac:dyDescent="0.35">
      <c r="A344" s="6" t="s">
        <v>25</v>
      </c>
      <c r="B344" s="7" t="s">
        <v>2255</v>
      </c>
      <c r="D344" s="6" t="s">
        <v>2256</v>
      </c>
      <c r="E344" s="6">
        <v>4</v>
      </c>
      <c r="F344" s="6">
        <v>49</v>
      </c>
      <c r="G344" s="6" t="s">
        <v>335</v>
      </c>
      <c r="I344" s="8">
        <v>79.191449375000005</v>
      </c>
      <c r="J344" s="8">
        <v>-2.6081078472222199</v>
      </c>
      <c r="K344" s="6" t="s">
        <v>29</v>
      </c>
      <c r="L344" s="6" t="s">
        <v>335</v>
      </c>
      <c r="M344" s="9">
        <v>44041</v>
      </c>
      <c r="O344" s="6">
        <v>44</v>
      </c>
      <c r="P344" s="6" t="s">
        <v>4421</v>
      </c>
      <c r="R344" s="10" t="s">
        <v>2257</v>
      </c>
      <c r="S344" s="10">
        <v>60</v>
      </c>
      <c r="T344" s="10">
        <v>67</v>
      </c>
      <c r="U344" s="10">
        <f t="shared" si="10"/>
        <v>63.5</v>
      </c>
      <c r="V344" s="11"/>
      <c r="W344" s="8">
        <v>-0.17984158395230793</v>
      </c>
      <c r="X344" s="8">
        <v>-0.36454409080743833</v>
      </c>
      <c r="Y344" s="8">
        <f t="shared" si="11"/>
        <v>1.074188580811025</v>
      </c>
    </row>
    <row r="345" spans="1:26" s="6" customFormat="1" x14ac:dyDescent="0.35">
      <c r="A345" s="6" t="s">
        <v>25</v>
      </c>
      <c r="B345" s="7"/>
      <c r="C345" s="6">
        <v>510952</v>
      </c>
      <c r="D345" s="6" t="s">
        <v>747</v>
      </c>
      <c r="E345" s="6">
        <v>1</v>
      </c>
      <c r="F345" s="6">
        <v>10</v>
      </c>
      <c r="G345" s="6" t="s">
        <v>202</v>
      </c>
      <c r="H345" s="6">
        <v>7.6</v>
      </c>
      <c r="I345" s="8">
        <v>85.933882569444407</v>
      </c>
      <c r="J345" s="8">
        <v>114.06437159722201</v>
      </c>
      <c r="K345" s="6" t="s">
        <v>29</v>
      </c>
      <c r="L345" s="6" t="s">
        <v>335</v>
      </c>
      <c r="M345" s="9">
        <v>43801</v>
      </c>
      <c r="O345" s="6">
        <v>10</v>
      </c>
      <c r="P345" s="6" t="s">
        <v>4277</v>
      </c>
      <c r="R345" s="6" t="s">
        <v>748</v>
      </c>
      <c r="S345" s="6">
        <v>60</v>
      </c>
      <c r="T345" s="6">
        <v>68</v>
      </c>
      <c r="U345" s="10">
        <f t="shared" si="10"/>
        <v>64</v>
      </c>
      <c r="V345" s="6">
        <v>6.9</v>
      </c>
      <c r="W345" s="8">
        <v>0.77120979671478274</v>
      </c>
      <c r="X345" s="8">
        <v>6.1018363666534423</v>
      </c>
      <c r="Y345" s="8">
        <f t="shared" si="11"/>
        <v>-6.7842007064819576E-2</v>
      </c>
    </row>
    <row r="346" spans="1:26" s="6" customFormat="1" x14ac:dyDescent="0.35">
      <c r="A346" s="6" t="s">
        <v>25</v>
      </c>
      <c r="B346" s="6" t="s">
        <v>103</v>
      </c>
      <c r="C346" s="6">
        <v>510063</v>
      </c>
      <c r="D346" s="6" t="s">
        <v>92</v>
      </c>
      <c r="E346" s="6">
        <v>1</v>
      </c>
      <c r="F346" s="6">
        <v>2</v>
      </c>
      <c r="G346" s="6" t="s">
        <v>63</v>
      </c>
      <c r="I346" s="8">
        <v>84.770107638888902</v>
      </c>
      <c r="J346" s="8">
        <v>134.47681993055599</v>
      </c>
      <c r="K346" s="6" t="s">
        <v>29</v>
      </c>
      <c r="L346" s="6" t="s">
        <v>335</v>
      </c>
      <c r="M346" s="9">
        <v>43752</v>
      </c>
      <c r="O346" s="6">
        <v>3</v>
      </c>
      <c r="P346" s="6" t="s">
        <v>4246</v>
      </c>
      <c r="R346" s="6" t="s">
        <v>104</v>
      </c>
      <c r="S346" s="6">
        <v>60</v>
      </c>
      <c r="T346" s="6">
        <v>69</v>
      </c>
      <c r="U346" s="10">
        <f t="shared" si="10"/>
        <v>64.5</v>
      </c>
      <c r="V346" s="6">
        <v>3.6</v>
      </c>
      <c r="W346" s="8">
        <v>-1.0762204319000246</v>
      </c>
      <c r="X346" s="8">
        <v>-8.4372869844436647</v>
      </c>
      <c r="Y346" s="8">
        <f t="shared" si="11"/>
        <v>0.17247647075653205</v>
      </c>
    </row>
    <row r="347" spans="1:26" s="6" customFormat="1" x14ac:dyDescent="0.35">
      <c r="A347" s="6" t="s">
        <v>25</v>
      </c>
      <c r="B347" s="7"/>
      <c r="C347" s="6">
        <v>511041</v>
      </c>
      <c r="D347" s="6" t="s">
        <v>773</v>
      </c>
      <c r="E347" s="6">
        <v>1</v>
      </c>
      <c r="F347" s="6">
        <v>10</v>
      </c>
      <c r="G347" s="6" t="s">
        <v>345</v>
      </c>
      <c r="H347" s="6">
        <v>22</v>
      </c>
      <c r="I347" s="8">
        <v>86.141995833333297</v>
      </c>
      <c r="J347" s="8">
        <v>122.240208541667</v>
      </c>
      <c r="K347" s="6" t="s">
        <v>29</v>
      </c>
      <c r="L347" s="6" t="s">
        <v>335</v>
      </c>
      <c r="M347" s="9">
        <v>43805</v>
      </c>
      <c r="O347" s="6">
        <v>10</v>
      </c>
      <c r="P347" s="6" t="s">
        <v>4280</v>
      </c>
      <c r="R347" s="6" t="s">
        <v>775</v>
      </c>
      <c r="S347" s="6">
        <v>59</v>
      </c>
      <c r="T347" s="6">
        <v>70</v>
      </c>
      <c r="U347" s="10">
        <f t="shared" si="10"/>
        <v>64.5</v>
      </c>
      <c r="V347" s="6">
        <v>4.5999999999999996</v>
      </c>
      <c r="W347" s="8">
        <v>-0.58904567518830286</v>
      </c>
      <c r="X347" s="8">
        <v>-1.6217680989265437</v>
      </c>
      <c r="Y347" s="8">
        <f t="shared" si="11"/>
        <v>3.0905973025798792</v>
      </c>
    </row>
    <row r="348" spans="1:26" s="6" customFormat="1" x14ac:dyDescent="0.35">
      <c r="A348" s="6" t="s">
        <v>25</v>
      </c>
      <c r="B348" s="6" t="s">
        <v>2270</v>
      </c>
      <c r="D348" s="6" t="s">
        <v>2271</v>
      </c>
      <c r="E348" s="6">
        <v>4</v>
      </c>
      <c r="F348" s="6">
        <v>49</v>
      </c>
      <c r="I348" s="8">
        <v>79.191449375000005</v>
      </c>
      <c r="J348" s="8">
        <v>-2.6081078472222199</v>
      </c>
      <c r="K348" s="6" t="s">
        <v>29</v>
      </c>
      <c r="L348" s="29" t="s">
        <v>335</v>
      </c>
      <c r="M348" s="9">
        <v>44041</v>
      </c>
      <c r="O348" s="6">
        <v>44</v>
      </c>
      <c r="P348" s="6" t="s">
        <v>4421</v>
      </c>
      <c r="S348" s="6">
        <v>60</v>
      </c>
      <c r="T348" s="6">
        <v>69</v>
      </c>
      <c r="U348" s="10">
        <f t="shared" si="10"/>
        <v>64.5</v>
      </c>
      <c r="V348" s="15">
        <v>1.1000000000000001</v>
      </c>
      <c r="W348" s="8">
        <v>-0.66008268594741859</v>
      </c>
      <c r="X348" s="8">
        <v>-5.3064681152343747</v>
      </c>
      <c r="Y348" s="8">
        <f t="shared" si="11"/>
        <v>-2.5806627655025949E-2</v>
      </c>
      <c r="Z348" s="6" t="s">
        <v>1760</v>
      </c>
    </row>
    <row r="349" spans="1:26" s="6" customFormat="1" x14ac:dyDescent="0.35">
      <c r="A349" s="6" t="s">
        <v>25</v>
      </c>
      <c r="B349" s="6" t="s">
        <v>162</v>
      </c>
      <c r="C349" s="6">
        <v>510159</v>
      </c>
      <c r="D349" s="6" t="s">
        <v>152</v>
      </c>
      <c r="E349" s="6">
        <v>1</v>
      </c>
      <c r="F349" s="6">
        <v>3</v>
      </c>
      <c r="G349" s="6" t="s">
        <v>153</v>
      </c>
      <c r="I349" s="8">
        <v>85.348898888888897</v>
      </c>
      <c r="J349" s="8">
        <v>129.88336361111101</v>
      </c>
      <c r="K349" s="6" t="s">
        <v>29</v>
      </c>
      <c r="L349" s="6" t="s">
        <v>335</v>
      </c>
      <c r="M349" s="9">
        <v>43761</v>
      </c>
      <c r="O349" s="6">
        <v>4</v>
      </c>
      <c r="P349" s="6" t="s">
        <v>4248</v>
      </c>
      <c r="R349" s="6" t="s">
        <v>163</v>
      </c>
      <c r="S349" s="6">
        <v>60</v>
      </c>
      <c r="T349" s="6">
        <v>70</v>
      </c>
      <c r="U349" s="10">
        <f t="shared" si="10"/>
        <v>65</v>
      </c>
      <c r="V349" s="6">
        <v>5.5</v>
      </c>
      <c r="W349" s="8">
        <v>-0.81101499361991924</v>
      </c>
      <c r="X349" s="8">
        <v>-6.2816769914627075</v>
      </c>
      <c r="Y349" s="8">
        <f t="shared" si="11"/>
        <v>0.20644295749664643</v>
      </c>
    </row>
    <row r="350" spans="1:26" s="6" customFormat="1" x14ac:dyDescent="0.35">
      <c r="A350" s="6" t="s">
        <v>25</v>
      </c>
      <c r="B350" s="7"/>
      <c r="D350" s="6" t="s">
        <v>802</v>
      </c>
      <c r="E350" s="6">
        <v>2</v>
      </c>
      <c r="F350" s="6">
        <v>17</v>
      </c>
      <c r="G350" s="6" t="s">
        <v>202</v>
      </c>
      <c r="I350" s="8">
        <v>86.641082222222195</v>
      </c>
      <c r="J350" s="8">
        <v>113.166453680556</v>
      </c>
      <c r="K350" s="6" t="s">
        <v>29</v>
      </c>
      <c r="L350" s="6" t="s">
        <v>335</v>
      </c>
      <c r="M350" s="9">
        <v>43822</v>
      </c>
      <c r="O350" s="6">
        <v>13</v>
      </c>
      <c r="P350" s="6" t="s">
        <v>4294</v>
      </c>
      <c r="S350" s="6">
        <v>60</v>
      </c>
      <c r="T350" s="6">
        <v>70</v>
      </c>
      <c r="U350" s="10">
        <f t="shared" si="10"/>
        <v>65</v>
      </c>
      <c r="V350" s="6">
        <v>5.0999999999999996</v>
      </c>
      <c r="W350" s="8">
        <v>0.59086883919239008</v>
      </c>
      <c r="X350" s="8">
        <v>4.2740157485961907</v>
      </c>
      <c r="Y350" s="8">
        <f t="shared" si="11"/>
        <v>-0.45293496494292995</v>
      </c>
    </row>
    <row r="351" spans="1:26" s="6" customFormat="1" x14ac:dyDescent="0.35">
      <c r="A351" s="6" t="s">
        <v>25</v>
      </c>
      <c r="B351" s="7" t="s">
        <v>836</v>
      </c>
      <c r="D351" s="6" t="s">
        <v>837</v>
      </c>
      <c r="E351" s="6">
        <v>2</v>
      </c>
      <c r="F351" s="6">
        <v>19</v>
      </c>
      <c r="G351" s="6" t="s">
        <v>202</v>
      </c>
      <c r="I351" s="8">
        <v>87.103055694444393</v>
      </c>
      <c r="J351" s="8">
        <v>115.160686597222</v>
      </c>
      <c r="K351" s="6" t="s">
        <v>29</v>
      </c>
      <c r="L351" s="6" t="s">
        <v>335</v>
      </c>
      <c r="M351" s="9">
        <v>43836</v>
      </c>
      <c r="O351" s="6">
        <v>15</v>
      </c>
      <c r="P351" s="6" t="s">
        <v>4271</v>
      </c>
      <c r="R351" s="10"/>
      <c r="S351" s="10">
        <v>60</v>
      </c>
      <c r="T351" s="10">
        <v>70</v>
      </c>
      <c r="U351" s="10">
        <f t="shared" si="10"/>
        <v>65</v>
      </c>
      <c r="V351" s="11">
        <v>5.5</v>
      </c>
      <c r="W351" s="8">
        <v>0.5014731675624845</v>
      </c>
      <c r="X351" s="8">
        <v>4.5685110980272299</v>
      </c>
      <c r="Y351" s="8">
        <f t="shared" si="11"/>
        <v>0.55672575752735387</v>
      </c>
    </row>
    <row r="352" spans="1:26" s="6" customFormat="1" x14ac:dyDescent="0.35">
      <c r="A352" s="6" t="s">
        <v>25</v>
      </c>
      <c r="B352" s="6" t="s">
        <v>890</v>
      </c>
      <c r="D352" s="6" t="s">
        <v>884</v>
      </c>
      <c r="E352" s="6">
        <v>2</v>
      </c>
      <c r="F352" s="6">
        <v>20</v>
      </c>
      <c r="G352" s="6" t="s">
        <v>57</v>
      </c>
      <c r="I352" s="8">
        <v>86.603676041666702</v>
      </c>
      <c r="J352" s="8">
        <v>116.411907777778</v>
      </c>
      <c r="K352" s="6" t="s">
        <v>29</v>
      </c>
      <c r="L352" s="6" t="s">
        <v>335</v>
      </c>
      <c r="M352" s="9">
        <v>43846</v>
      </c>
      <c r="O352" s="6">
        <v>16</v>
      </c>
      <c r="P352" s="6" t="s">
        <v>4311</v>
      </c>
      <c r="R352" s="6">
        <v>60</v>
      </c>
      <c r="S352" s="6">
        <v>60</v>
      </c>
      <c r="T352" s="6">
        <v>70</v>
      </c>
      <c r="U352" s="10">
        <f t="shared" si="10"/>
        <v>65</v>
      </c>
      <c r="V352" s="6">
        <v>5</v>
      </c>
      <c r="W352" s="8">
        <v>0.68256186929941143</v>
      </c>
      <c r="X352" s="8">
        <v>5.959749931097031</v>
      </c>
      <c r="Y352" s="8">
        <f t="shared" si="11"/>
        <v>0.49925497670173957</v>
      </c>
    </row>
    <row r="353" spans="1:26" s="6" customFormat="1" x14ac:dyDescent="0.35">
      <c r="A353" s="6" t="s">
        <v>25</v>
      </c>
      <c r="B353" s="7"/>
      <c r="D353" s="6" t="s">
        <v>1002</v>
      </c>
      <c r="E353" s="6">
        <v>2</v>
      </c>
      <c r="F353" s="6">
        <v>23</v>
      </c>
      <c r="G353" s="6" t="s">
        <v>202</v>
      </c>
      <c r="I353" s="8">
        <v>87.352736041666702</v>
      </c>
      <c r="J353" s="8">
        <v>94.772103819444396</v>
      </c>
      <c r="K353" s="6" t="s">
        <v>29</v>
      </c>
      <c r="L353" s="6" t="s">
        <v>335</v>
      </c>
      <c r="M353" s="9">
        <v>43864</v>
      </c>
      <c r="O353" s="6">
        <v>19</v>
      </c>
      <c r="P353" s="6" t="s">
        <v>4322</v>
      </c>
      <c r="S353" s="6">
        <v>60</v>
      </c>
      <c r="T353" s="6">
        <v>70</v>
      </c>
      <c r="U353" s="10">
        <f t="shared" si="10"/>
        <v>65</v>
      </c>
      <c r="V353" s="6">
        <v>4.4000000000000004</v>
      </c>
      <c r="W353" s="8">
        <v>0.12509648380279512</v>
      </c>
      <c r="X353" s="8">
        <v>2.5838806762695312</v>
      </c>
      <c r="Y353" s="8">
        <f t="shared" si="11"/>
        <v>1.5831088058471703</v>
      </c>
    </row>
    <row r="354" spans="1:26" s="6" customFormat="1" x14ac:dyDescent="0.35">
      <c r="A354" s="6" t="s">
        <v>25</v>
      </c>
      <c r="B354" s="7"/>
      <c r="D354" s="6" t="s">
        <v>1038</v>
      </c>
      <c r="E354" s="6">
        <v>2</v>
      </c>
      <c r="F354" s="6">
        <v>24</v>
      </c>
      <c r="G354" s="6" t="s">
        <v>57</v>
      </c>
      <c r="I354" s="8">
        <v>87.882876180555598</v>
      </c>
      <c r="J354" s="8">
        <v>87.424340833333304</v>
      </c>
      <c r="K354" s="6" t="s">
        <v>29</v>
      </c>
      <c r="L354" s="6" t="s">
        <v>335</v>
      </c>
      <c r="M354" s="9">
        <v>43873</v>
      </c>
      <c r="O354" s="6">
        <v>20</v>
      </c>
      <c r="P354" s="6" t="s">
        <v>4313</v>
      </c>
      <c r="S354" s="6">
        <v>60</v>
      </c>
      <c r="T354" s="6">
        <v>70</v>
      </c>
      <c r="U354" s="10">
        <f t="shared" si="10"/>
        <v>65</v>
      </c>
      <c r="V354" s="30"/>
      <c r="W354" s="8">
        <v>-1.8100962054967877</v>
      </c>
      <c r="X354" s="8">
        <v>-12.521655733585357</v>
      </c>
      <c r="Y354" s="8">
        <f t="shared" si="11"/>
        <v>1.959113910388945</v>
      </c>
    </row>
    <row r="355" spans="1:26" s="6" customFormat="1" x14ac:dyDescent="0.35">
      <c r="A355" s="6" t="s">
        <v>25</v>
      </c>
      <c r="B355" s="7"/>
      <c r="D355" s="6" t="s">
        <v>1061</v>
      </c>
      <c r="E355" s="6">
        <v>3</v>
      </c>
      <c r="F355" s="6">
        <v>29</v>
      </c>
      <c r="G355" s="6" t="s">
        <v>60</v>
      </c>
      <c r="I355" s="8">
        <v>88.488842986111095</v>
      </c>
      <c r="J355" s="8">
        <v>40.1770405555556</v>
      </c>
      <c r="K355" s="6" t="s">
        <v>29</v>
      </c>
      <c r="L355" s="6" t="s">
        <v>335</v>
      </c>
      <c r="M355" s="9">
        <v>43887</v>
      </c>
      <c r="O355" s="6">
        <v>22</v>
      </c>
      <c r="P355" s="6" t="s">
        <v>4291</v>
      </c>
      <c r="S355" s="6">
        <v>60</v>
      </c>
      <c r="T355" s="6">
        <v>70</v>
      </c>
      <c r="U355" s="10">
        <f t="shared" si="10"/>
        <v>65</v>
      </c>
      <c r="V355" s="6">
        <v>6.3</v>
      </c>
      <c r="W355" s="8">
        <v>-0.57257898491621062</v>
      </c>
      <c r="X355" s="8">
        <v>-3.237758994102478</v>
      </c>
      <c r="Y355" s="8">
        <f t="shared" si="11"/>
        <v>1.3428728852272069</v>
      </c>
    </row>
    <row r="356" spans="1:26" s="6" customFormat="1" x14ac:dyDescent="0.35">
      <c r="A356" s="6" t="s">
        <v>25</v>
      </c>
      <c r="B356" s="7"/>
      <c r="D356" s="6" t="s">
        <v>1088</v>
      </c>
      <c r="E356" s="6">
        <v>3</v>
      </c>
      <c r="F356" s="6">
        <v>31</v>
      </c>
      <c r="G356" s="6" t="s">
        <v>179</v>
      </c>
      <c r="I356" s="8">
        <v>87.889566388888895</v>
      </c>
      <c r="J356" s="8">
        <v>24.107920208333301</v>
      </c>
      <c r="K356" s="6" t="s">
        <v>29</v>
      </c>
      <c r="L356" s="6" t="s">
        <v>335</v>
      </c>
      <c r="M356" s="9">
        <v>43899</v>
      </c>
      <c r="O356" s="6">
        <v>24</v>
      </c>
      <c r="P356" s="6" t="s">
        <v>4343</v>
      </c>
      <c r="S356" s="6">
        <v>60</v>
      </c>
      <c r="T356" s="6">
        <v>70</v>
      </c>
      <c r="U356" s="10">
        <f t="shared" si="10"/>
        <v>65</v>
      </c>
      <c r="V356" s="6">
        <v>3.8</v>
      </c>
      <c r="W356" s="8">
        <v>0.38777880984306334</v>
      </c>
      <c r="X356" s="8">
        <v>3.01803915977478</v>
      </c>
      <c r="Y356" s="8">
        <f t="shared" si="11"/>
        <v>-8.4191318969726758E-2</v>
      </c>
    </row>
    <row r="357" spans="1:26" s="6" customFormat="1" x14ac:dyDescent="0.35">
      <c r="A357" s="6" t="s">
        <v>25</v>
      </c>
      <c r="B357" s="7"/>
      <c r="D357" s="6" t="s">
        <v>1103</v>
      </c>
      <c r="E357" s="6">
        <v>3</v>
      </c>
      <c r="F357" s="6">
        <v>31</v>
      </c>
      <c r="G357" s="6" t="s">
        <v>345</v>
      </c>
      <c r="I357" s="8">
        <v>87.660309999999996</v>
      </c>
      <c r="J357" s="8">
        <v>24.286057569444399</v>
      </c>
      <c r="K357" s="6" t="s">
        <v>29</v>
      </c>
      <c r="L357" s="6" t="s">
        <v>335</v>
      </c>
      <c r="M357" s="9">
        <v>43901</v>
      </c>
      <c r="O357" s="6">
        <v>24</v>
      </c>
      <c r="P357" s="6" t="s">
        <v>4345</v>
      </c>
      <c r="S357" s="6">
        <v>60</v>
      </c>
      <c r="T357" s="6">
        <v>70</v>
      </c>
      <c r="U357" s="10">
        <f t="shared" si="10"/>
        <v>65</v>
      </c>
      <c r="V357" s="6">
        <v>4.7</v>
      </c>
      <c r="W357" s="8">
        <v>0.23349920730590859</v>
      </c>
      <c r="X357" s="8">
        <v>2.2276491756439207</v>
      </c>
      <c r="Y357" s="8">
        <f t="shared" si="11"/>
        <v>0.35965551719665201</v>
      </c>
    </row>
    <row r="358" spans="1:26" s="6" customFormat="1" x14ac:dyDescent="0.35">
      <c r="A358" s="6" t="s">
        <v>25</v>
      </c>
      <c r="B358" s="7"/>
      <c r="D358" s="6" t="s">
        <v>1162</v>
      </c>
      <c r="E358" s="6">
        <v>3</v>
      </c>
      <c r="F358" s="6">
        <v>32</v>
      </c>
      <c r="G358" s="6" t="s">
        <v>179</v>
      </c>
      <c r="I358" s="8">
        <v>86.339075833333297</v>
      </c>
      <c r="J358" s="8">
        <v>14.7309175</v>
      </c>
      <c r="K358" s="6" t="s">
        <v>29</v>
      </c>
      <c r="L358" s="6" t="s">
        <v>335</v>
      </c>
      <c r="M358" s="9">
        <v>43910</v>
      </c>
      <c r="O358" s="6">
        <v>25</v>
      </c>
      <c r="P358" s="6" t="s">
        <v>4350</v>
      </c>
      <c r="S358" s="6">
        <v>60</v>
      </c>
      <c r="T358" s="6">
        <v>70</v>
      </c>
      <c r="U358" s="10">
        <f t="shared" si="10"/>
        <v>65</v>
      </c>
      <c r="V358" s="6">
        <v>4.8</v>
      </c>
      <c r="W358" s="8">
        <v>0.64785400735735887</v>
      </c>
      <c r="X358" s="8">
        <v>5.386146012306213</v>
      </c>
      <c r="Y358" s="8">
        <f t="shared" si="11"/>
        <v>0.20331395344734204</v>
      </c>
    </row>
    <row r="359" spans="1:26" s="6" customFormat="1" x14ac:dyDescent="0.35">
      <c r="A359" s="6" t="s">
        <v>25</v>
      </c>
      <c r="B359" s="7"/>
      <c r="D359" s="6" t="s">
        <v>1182</v>
      </c>
      <c r="E359" s="6">
        <v>3</v>
      </c>
      <c r="F359" s="6">
        <v>32</v>
      </c>
      <c r="G359" s="6" t="s">
        <v>202</v>
      </c>
      <c r="I359" s="8">
        <v>86.257643333333306</v>
      </c>
      <c r="J359" s="8">
        <v>15.261599722222201</v>
      </c>
      <c r="K359" s="6" t="s">
        <v>29</v>
      </c>
      <c r="L359" s="6" t="s">
        <v>335</v>
      </c>
      <c r="M359" s="9">
        <v>43911</v>
      </c>
      <c r="O359" s="6">
        <v>25</v>
      </c>
      <c r="P359" s="6" t="s">
        <v>4351</v>
      </c>
      <c r="S359" s="6">
        <v>60</v>
      </c>
      <c r="T359" s="6">
        <v>70</v>
      </c>
      <c r="U359" s="10">
        <f t="shared" si="10"/>
        <v>65</v>
      </c>
      <c r="V359" s="6">
        <v>5.3</v>
      </c>
      <c r="W359" s="8">
        <v>0.77928174344301282</v>
      </c>
      <c r="X359" s="8">
        <v>6.1750081443786602</v>
      </c>
      <c r="Y359" s="8">
        <f t="shared" si="11"/>
        <v>-5.9245803165442368E-2</v>
      </c>
    </row>
    <row r="360" spans="1:26" s="6" customFormat="1" x14ac:dyDescent="0.35">
      <c r="A360" s="6" t="s">
        <v>25</v>
      </c>
      <c r="B360" s="6" t="s">
        <v>1247</v>
      </c>
      <c r="D360" s="6" t="s">
        <v>1240</v>
      </c>
      <c r="E360" s="6">
        <v>3</v>
      </c>
      <c r="F360" s="6">
        <v>34</v>
      </c>
      <c r="G360" s="6" t="s">
        <v>202</v>
      </c>
      <c r="I360" s="8">
        <v>84.533711805555598</v>
      </c>
      <c r="J360" s="8">
        <v>14.277858402777801</v>
      </c>
      <c r="K360" s="6" t="s">
        <v>29</v>
      </c>
      <c r="L360" s="6" t="s">
        <v>335</v>
      </c>
      <c r="M360" s="9">
        <v>43927</v>
      </c>
      <c r="O360" s="6">
        <v>28</v>
      </c>
      <c r="P360" s="6" t="s">
        <v>4359</v>
      </c>
      <c r="R360" s="6">
        <v>60</v>
      </c>
      <c r="S360" s="6">
        <v>60</v>
      </c>
      <c r="T360" s="6">
        <v>70</v>
      </c>
      <c r="U360" s="10">
        <f t="shared" si="10"/>
        <v>65</v>
      </c>
      <c r="V360" s="6">
        <v>5.5</v>
      </c>
      <c r="W360" s="8">
        <v>0.84054979785680728</v>
      </c>
      <c r="X360" s="8">
        <v>6.9819238185882577</v>
      </c>
      <c r="Y360" s="8">
        <f t="shared" si="11"/>
        <v>0.25752543573379949</v>
      </c>
    </row>
    <row r="361" spans="1:26" s="6" customFormat="1" x14ac:dyDescent="0.35">
      <c r="A361" s="6" t="s">
        <v>25</v>
      </c>
      <c r="B361" s="6" t="s">
        <v>1297</v>
      </c>
      <c r="D361" s="6" t="s">
        <v>1291</v>
      </c>
      <c r="E361" s="6">
        <v>3</v>
      </c>
      <c r="F361" s="6">
        <v>35</v>
      </c>
      <c r="G361" s="6" t="s">
        <v>345</v>
      </c>
      <c r="I361" s="8">
        <v>84.322834374999999</v>
      </c>
      <c r="J361" s="8">
        <v>14.725811041666701</v>
      </c>
      <c r="K361" s="6" t="s">
        <v>29</v>
      </c>
      <c r="L361" s="6" t="s">
        <v>335</v>
      </c>
      <c r="M361" s="9">
        <v>43931</v>
      </c>
      <c r="O361" s="6">
        <v>28</v>
      </c>
      <c r="P361" s="6" t="s">
        <v>4362</v>
      </c>
      <c r="R361" s="6">
        <v>60</v>
      </c>
      <c r="S361" s="6">
        <v>60</v>
      </c>
      <c r="T361" s="6">
        <v>70</v>
      </c>
      <c r="U361" s="10">
        <f t="shared" si="10"/>
        <v>65</v>
      </c>
      <c r="V361" s="6">
        <v>4.5999999999999996</v>
      </c>
      <c r="W361" s="8">
        <v>0.62020063269138304</v>
      </c>
      <c r="X361" s="8">
        <v>5.0760448207855235</v>
      </c>
      <c r="Y361" s="8">
        <f t="shared" si="11"/>
        <v>0.11443975925445926</v>
      </c>
    </row>
    <row r="362" spans="1:26" s="6" customFormat="1" x14ac:dyDescent="0.35">
      <c r="A362" s="6" t="s">
        <v>25</v>
      </c>
      <c r="B362" s="7" t="s">
        <v>1366</v>
      </c>
      <c r="D362" s="6" t="s">
        <v>1367</v>
      </c>
      <c r="E362" s="6">
        <v>3</v>
      </c>
      <c r="F362" s="6">
        <v>36</v>
      </c>
      <c r="G362" s="6" t="s">
        <v>202</v>
      </c>
      <c r="I362" s="8">
        <v>84.331482986111098</v>
      </c>
      <c r="J362" s="8">
        <v>14.642671805555601</v>
      </c>
      <c r="K362" s="6" t="s">
        <v>29</v>
      </c>
      <c r="L362" s="6" t="s">
        <v>335</v>
      </c>
      <c r="M362" s="9">
        <v>43935</v>
      </c>
      <c r="O362" s="6">
        <v>29</v>
      </c>
      <c r="P362" s="6" t="s">
        <v>4332</v>
      </c>
      <c r="R362" s="10"/>
      <c r="S362" s="10">
        <v>60</v>
      </c>
      <c r="T362" s="10">
        <v>70</v>
      </c>
      <c r="U362" s="10">
        <f t="shared" si="10"/>
        <v>65</v>
      </c>
      <c r="V362" s="11">
        <v>4.2</v>
      </c>
      <c r="W362" s="8">
        <v>0.54212162024974853</v>
      </c>
      <c r="X362" s="8">
        <v>4.7199385565519334</v>
      </c>
      <c r="Y362" s="8">
        <f t="shared" si="11"/>
        <v>0.38296559455394519</v>
      </c>
    </row>
    <row r="363" spans="1:26" s="6" customFormat="1" x14ac:dyDescent="0.35">
      <c r="A363" s="6" t="s">
        <v>25</v>
      </c>
      <c r="B363" s="7" t="s">
        <v>1450</v>
      </c>
      <c r="D363" s="6" t="s">
        <v>1451</v>
      </c>
      <c r="E363" s="6">
        <v>3</v>
      </c>
      <c r="F363" s="6">
        <v>37</v>
      </c>
      <c r="G363" s="6" t="s">
        <v>28</v>
      </c>
      <c r="I363" s="8">
        <v>83.999093333333306</v>
      </c>
      <c r="J363" s="8">
        <v>15.6102103472222</v>
      </c>
      <c r="K363" s="6" t="s">
        <v>29</v>
      </c>
      <c r="L363" s="6" t="s">
        <v>335</v>
      </c>
      <c r="M363" s="9">
        <v>43946</v>
      </c>
      <c r="O363" s="6">
        <v>30</v>
      </c>
      <c r="P363" s="6" t="s">
        <v>4265</v>
      </c>
      <c r="R363" s="10"/>
      <c r="S363" s="10">
        <v>60</v>
      </c>
      <c r="T363" s="10">
        <v>70</v>
      </c>
      <c r="U363" s="10">
        <f t="shared" si="10"/>
        <v>65</v>
      </c>
      <c r="V363" s="11">
        <v>3.1</v>
      </c>
      <c r="W363" s="8">
        <v>-2.076697634506226</v>
      </c>
      <c r="X363" s="8">
        <v>-16.234745530700682</v>
      </c>
      <c r="Y363" s="8">
        <f t="shared" si="11"/>
        <v>0.37883554534912633</v>
      </c>
    </row>
    <row r="364" spans="1:26" s="6" customFormat="1" x14ac:dyDescent="0.35">
      <c r="A364" s="6" t="s">
        <v>25</v>
      </c>
      <c r="B364" s="7" t="s">
        <v>1494</v>
      </c>
      <c r="D364" s="6" t="s">
        <v>1495</v>
      </c>
      <c r="E364" s="6">
        <v>3</v>
      </c>
      <c r="F364" s="6">
        <v>37</v>
      </c>
      <c r="G364" s="6" t="s">
        <v>28</v>
      </c>
      <c r="I364" s="8">
        <v>83.999093333333306</v>
      </c>
      <c r="J364" s="8">
        <v>15.6102103472222</v>
      </c>
      <c r="K364" s="6" t="s">
        <v>29</v>
      </c>
      <c r="L364" s="6" t="s">
        <v>335</v>
      </c>
      <c r="M364" s="9">
        <v>43946</v>
      </c>
      <c r="O364" s="6">
        <v>30</v>
      </c>
      <c r="P364" s="6" t="s">
        <v>4265</v>
      </c>
      <c r="R364" s="10"/>
      <c r="S364" s="10">
        <v>60</v>
      </c>
      <c r="T364" s="10">
        <v>70</v>
      </c>
      <c r="U364" s="10">
        <f t="shared" si="10"/>
        <v>65</v>
      </c>
      <c r="V364" s="11">
        <v>4.7</v>
      </c>
      <c r="W364" s="8">
        <v>0.65030012287497507</v>
      </c>
      <c r="X364" s="8">
        <v>5.5641522407531738</v>
      </c>
      <c r="Y364" s="8">
        <f t="shared" si="11"/>
        <v>0.36175125775337325</v>
      </c>
    </row>
    <row r="365" spans="1:26" s="6" customFormat="1" x14ac:dyDescent="0.35">
      <c r="A365" s="6" t="s">
        <v>25</v>
      </c>
      <c r="B365" s="7"/>
      <c r="D365" s="6" t="s">
        <v>1549</v>
      </c>
      <c r="E365" s="6">
        <v>3</v>
      </c>
      <c r="F365" s="6">
        <v>38</v>
      </c>
      <c r="G365" s="6" t="s">
        <v>202</v>
      </c>
      <c r="I365" s="8">
        <v>83.938997847222197</v>
      </c>
      <c r="J365" s="8">
        <v>15.6730686111111</v>
      </c>
      <c r="K365" s="6" t="s">
        <v>29</v>
      </c>
      <c r="L365" s="6" t="s">
        <v>335</v>
      </c>
      <c r="M365" s="9">
        <v>43948</v>
      </c>
      <c r="O365" s="6">
        <v>31</v>
      </c>
      <c r="P365" s="6" t="s">
        <v>4251</v>
      </c>
      <c r="S365" s="6">
        <v>60</v>
      </c>
      <c r="T365" s="6">
        <v>70</v>
      </c>
      <c r="U365" s="10">
        <f t="shared" si="10"/>
        <v>65</v>
      </c>
      <c r="V365" s="6">
        <v>4.5</v>
      </c>
      <c r="W365" s="8">
        <v>0.19680341074168717</v>
      </c>
      <c r="X365" s="8">
        <v>2.1436509223937996</v>
      </c>
      <c r="Y365" s="8">
        <f t="shared" si="11"/>
        <v>0.56922363646030227</v>
      </c>
    </row>
    <row r="366" spans="1:26" s="6" customFormat="1" x14ac:dyDescent="0.35">
      <c r="A366" s="6" t="s">
        <v>25</v>
      </c>
      <c r="B366" s="6" t="s">
        <v>1626</v>
      </c>
      <c r="D366" s="6" t="s">
        <v>1619</v>
      </c>
      <c r="E366" s="6">
        <v>3</v>
      </c>
      <c r="F366" s="6">
        <v>39</v>
      </c>
      <c r="G366" s="6" t="s">
        <v>202</v>
      </c>
      <c r="I366" s="8">
        <v>83.907985999999994</v>
      </c>
      <c r="J366" s="8">
        <v>18.352126999999999</v>
      </c>
      <c r="K366" s="6" t="s">
        <v>29</v>
      </c>
      <c r="L366" s="6" t="s">
        <v>335</v>
      </c>
      <c r="M366" s="9">
        <v>43955</v>
      </c>
      <c r="O366" s="6">
        <v>32</v>
      </c>
      <c r="P366" s="6" t="s">
        <v>4374</v>
      </c>
      <c r="R366" s="6">
        <v>60</v>
      </c>
      <c r="S366" s="6">
        <v>60</v>
      </c>
      <c r="T366" s="6">
        <v>70</v>
      </c>
      <c r="U366" s="10">
        <f t="shared" si="10"/>
        <v>65</v>
      </c>
      <c r="V366" s="6">
        <v>4.8</v>
      </c>
      <c r="W366" s="8">
        <v>0.53602601373195669</v>
      </c>
      <c r="X366" s="8">
        <v>4.5841264009475706</v>
      </c>
      <c r="Y366" s="8">
        <f t="shared" si="11"/>
        <v>0.29591829109191714</v>
      </c>
    </row>
    <row r="367" spans="1:26" s="6" customFormat="1" x14ac:dyDescent="0.35">
      <c r="A367" s="6" t="s">
        <v>25</v>
      </c>
      <c r="B367" s="6" t="s">
        <v>1771</v>
      </c>
      <c r="D367" s="6" t="s">
        <v>1772</v>
      </c>
      <c r="E367" s="6">
        <v>4</v>
      </c>
      <c r="F367" s="6">
        <v>44</v>
      </c>
      <c r="I367" s="8">
        <v>81.975306180555606</v>
      </c>
      <c r="J367" s="8">
        <v>9.2425022222222193</v>
      </c>
      <c r="K367" s="6" t="s">
        <v>29</v>
      </c>
      <c r="L367" s="29" t="s">
        <v>335</v>
      </c>
      <c r="M367" s="9">
        <v>44004</v>
      </c>
      <c r="O367" s="6">
        <v>39</v>
      </c>
      <c r="P367" s="6" t="s">
        <v>4405</v>
      </c>
      <c r="S367" s="6">
        <v>60</v>
      </c>
      <c r="T367" s="6">
        <v>70</v>
      </c>
      <c r="U367" s="10">
        <f t="shared" si="10"/>
        <v>65</v>
      </c>
      <c r="V367" s="15">
        <v>2.2000000000000002</v>
      </c>
      <c r="W367" s="8">
        <v>0.73114222412109409</v>
      </c>
      <c r="X367" s="8">
        <v>6.7904059581756595</v>
      </c>
      <c r="Y367" s="8">
        <f t="shared" si="11"/>
        <v>0.94126816520690682</v>
      </c>
      <c r="Z367" s="6" t="s">
        <v>1760</v>
      </c>
    </row>
    <row r="368" spans="1:26" s="6" customFormat="1" x14ac:dyDescent="0.35">
      <c r="A368" s="6" t="s">
        <v>25</v>
      </c>
      <c r="B368" s="6" t="s">
        <v>1928</v>
      </c>
      <c r="D368" s="6" t="s">
        <v>1929</v>
      </c>
      <c r="E368" s="6">
        <v>4</v>
      </c>
      <c r="F368" s="6">
        <v>46</v>
      </c>
      <c r="I368" s="8">
        <v>81.685643263888906</v>
      </c>
      <c r="J368" s="8">
        <v>5.3733415277777796</v>
      </c>
      <c r="K368" s="6" t="s">
        <v>29</v>
      </c>
      <c r="L368" s="29" t="s">
        <v>335</v>
      </c>
      <c r="M368" s="9">
        <v>44018</v>
      </c>
      <c r="O368" s="6">
        <v>41</v>
      </c>
      <c r="P368" s="6" t="s">
        <v>4413</v>
      </c>
      <c r="S368" s="6">
        <v>60</v>
      </c>
      <c r="T368" s="6">
        <v>70</v>
      </c>
      <c r="U368" s="10">
        <f t="shared" si="10"/>
        <v>65</v>
      </c>
      <c r="V368" s="15">
        <v>2.8</v>
      </c>
      <c r="W368" s="8">
        <v>-0.56828586711883522</v>
      </c>
      <c r="X368" s="8">
        <v>-5.7359482374191284</v>
      </c>
      <c r="Y368" s="8">
        <f t="shared" si="11"/>
        <v>-1.1896613004684466</v>
      </c>
      <c r="Z368" s="6" t="s">
        <v>1760</v>
      </c>
    </row>
    <row r="369" spans="1:26" s="6" customFormat="1" x14ac:dyDescent="0.35">
      <c r="A369" s="6" t="s">
        <v>25</v>
      </c>
      <c r="B369" s="6" t="s">
        <v>1960</v>
      </c>
      <c r="D369" s="6" t="s">
        <v>1961</v>
      </c>
      <c r="E369" s="6">
        <v>4</v>
      </c>
      <c r="F369" s="6">
        <v>47</v>
      </c>
      <c r="I369" s="8">
        <v>81.417819374999993</v>
      </c>
      <c r="J369" s="8">
        <v>0.28587430555555599</v>
      </c>
      <c r="K369" s="6" t="s">
        <v>29</v>
      </c>
      <c r="L369" s="29" t="s">
        <v>335</v>
      </c>
      <c r="M369" s="9">
        <v>44025</v>
      </c>
      <c r="O369" s="6">
        <v>42</v>
      </c>
      <c r="P369" s="6" t="s">
        <v>4403</v>
      </c>
      <c r="S369" s="6">
        <v>60</v>
      </c>
      <c r="T369" s="6">
        <v>70</v>
      </c>
      <c r="U369" s="10">
        <f t="shared" si="10"/>
        <v>65</v>
      </c>
      <c r="V369" s="15">
        <v>2.6</v>
      </c>
      <c r="W369" s="8">
        <v>-0.23162272847890888</v>
      </c>
      <c r="X369" s="8">
        <v>-0.36434183430671674</v>
      </c>
      <c r="Y369" s="8">
        <f t="shared" si="11"/>
        <v>1.4886399935245542</v>
      </c>
      <c r="Z369" s="6" t="s">
        <v>1760</v>
      </c>
    </row>
    <row r="370" spans="1:26" s="6" customFormat="1" x14ac:dyDescent="0.35">
      <c r="A370" s="6" t="s">
        <v>25</v>
      </c>
      <c r="B370" s="6" t="s">
        <v>2321</v>
      </c>
      <c r="D370" s="6" t="s">
        <v>2322</v>
      </c>
      <c r="E370" s="6">
        <v>5</v>
      </c>
      <c r="F370" s="6">
        <v>59</v>
      </c>
      <c r="I370" s="8">
        <v>88.299658402777794</v>
      </c>
      <c r="J370" s="8">
        <v>114.11509069444401</v>
      </c>
      <c r="K370" s="6" t="s">
        <v>29</v>
      </c>
      <c r="L370" s="29" t="s">
        <v>335</v>
      </c>
      <c r="M370" s="9">
        <v>44074</v>
      </c>
      <c r="O370" s="6">
        <v>50</v>
      </c>
      <c r="P370" s="6" t="s">
        <v>4396</v>
      </c>
      <c r="S370" s="6">
        <v>60</v>
      </c>
      <c r="T370" s="6">
        <v>70</v>
      </c>
      <c r="U370" s="10">
        <f t="shared" si="10"/>
        <v>65</v>
      </c>
      <c r="V370" s="15">
        <v>1.5</v>
      </c>
      <c r="W370" s="8">
        <v>0.68166448326110829</v>
      </c>
      <c r="X370" s="8">
        <v>5.9603549451828011</v>
      </c>
      <c r="Y370" s="8">
        <f t="shared" si="11"/>
        <v>0.50703907909393475</v>
      </c>
      <c r="Z370" s="6" t="s">
        <v>1760</v>
      </c>
    </row>
    <row r="371" spans="1:26" s="6" customFormat="1" x14ac:dyDescent="0.35">
      <c r="A371" s="6" t="s">
        <v>25</v>
      </c>
      <c r="B371" s="6" t="s">
        <v>2388</v>
      </c>
      <c r="D371" s="6" t="s">
        <v>2389</v>
      </c>
      <c r="E371" s="6">
        <v>5</v>
      </c>
      <c r="F371" s="6">
        <v>61</v>
      </c>
      <c r="I371" s="8">
        <v>88.700402291666705</v>
      </c>
      <c r="J371" s="8">
        <v>111.973632708333</v>
      </c>
      <c r="K371" s="6" t="s">
        <v>29</v>
      </c>
      <c r="L371" s="29" t="s">
        <v>335</v>
      </c>
      <c r="M371" s="9">
        <v>44081</v>
      </c>
      <c r="O371" s="6">
        <v>51</v>
      </c>
      <c r="P371" s="6" t="s">
        <v>4434</v>
      </c>
      <c r="S371" s="6">
        <v>60</v>
      </c>
      <c r="T371" s="6">
        <v>70</v>
      </c>
      <c r="U371" s="10">
        <f t="shared" si="10"/>
        <v>65</v>
      </c>
      <c r="V371" s="15">
        <v>1.2</v>
      </c>
      <c r="W371" s="8">
        <v>0.49224884517431244</v>
      </c>
      <c r="X371" s="8">
        <v>3.5043006166458124</v>
      </c>
      <c r="Y371" s="8">
        <f t="shared" si="11"/>
        <v>-0.43369014474868717</v>
      </c>
      <c r="Z371" s="6" t="s">
        <v>1760</v>
      </c>
    </row>
    <row r="372" spans="1:26" s="6" customFormat="1" x14ac:dyDescent="0.35">
      <c r="A372" s="6" t="s">
        <v>25</v>
      </c>
      <c r="B372" s="7" t="s">
        <v>903</v>
      </c>
      <c r="D372" s="6" t="s">
        <v>904</v>
      </c>
      <c r="E372" s="6">
        <v>2</v>
      </c>
      <c r="F372" s="6">
        <v>21</v>
      </c>
      <c r="G372" s="6" t="s">
        <v>202</v>
      </c>
      <c r="I372" s="8">
        <v>87.451079583333296</v>
      </c>
      <c r="J372" s="8">
        <v>97.375985347222198</v>
      </c>
      <c r="K372" s="6" t="s">
        <v>29</v>
      </c>
      <c r="L372" s="6" t="s">
        <v>335</v>
      </c>
      <c r="M372" s="9">
        <v>43850</v>
      </c>
      <c r="O372" s="6">
        <v>17</v>
      </c>
      <c r="P372" s="6" t="s">
        <v>4314</v>
      </c>
      <c r="R372" s="10"/>
      <c r="S372" s="10">
        <v>60</v>
      </c>
      <c r="T372" s="10">
        <v>71</v>
      </c>
      <c r="U372" s="10">
        <f t="shared" si="10"/>
        <v>65.5</v>
      </c>
      <c r="V372" s="11">
        <v>5.9</v>
      </c>
      <c r="W372" s="8">
        <v>0.51585550745129594</v>
      </c>
      <c r="X372" s="8">
        <v>4.451314811706542</v>
      </c>
      <c r="Y372" s="8">
        <f t="shared" si="11"/>
        <v>0.32447075209617449</v>
      </c>
    </row>
    <row r="373" spans="1:26" s="6" customFormat="1" x14ac:dyDescent="0.35">
      <c r="A373" s="6" t="s">
        <v>25</v>
      </c>
      <c r="B373" s="7" t="s">
        <v>440</v>
      </c>
      <c r="C373" s="6">
        <v>510631</v>
      </c>
      <c r="D373" s="6" t="s">
        <v>441</v>
      </c>
      <c r="E373" s="6">
        <v>1</v>
      </c>
      <c r="F373" s="6">
        <v>7</v>
      </c>
      <c r="G373" s="6" t="s">
        <v>179</v>
      </c>
      <c r="I373" s="8">
        <v>86.191348333333295</v>
      </c>
      <c r="J373" s="8">
        <v>118.623774583333</v>
      </c>
      <c r="K373" s="6" t="s">
        <v>29</v>
      </c>
      <c r="L373" s="6" t="s">
        <v>335</v>
      </c>
      <c r="M373" s="9">
        <v>43784</v>
      </c>
      <c r="O373" s="6">
        <v>7</v>
      </c>
      <c r="P373" s="6" t="s">
        <v>4260</v>
      </c>
      <c r="Q373" s="8">
        <v>-4.9333333333333336</v>
      </c>
      <c r="R373" s="10" t="s">
        <v>222</v>
      </c>
      <c r="S373" s="10">
        <v>61</v>
      </c>
      <c r="T373" s="10">
        <v>71</v>
      </c>
      <c r="U373" s="10">
        <f t="shared" si="10"/>
        <v>66</v>
      </c>
      <c r="V373" s="6">
        <v>4.8</v>
      </c>
      <c r="W373" s="8">
        <v>-1.9387942031979564</v>
      </c>
      <c r="X373" s="8">
        <v>-13.504592364788056</v>
      </c>
      <c r="Y373" s="8">
        <f t="shared" si="11"/>
        <v>2.0057612607955946</v>
      </c>
    </row>
    <row r="374" spans="1:26" s="6" customFormat="1" x14ac:dyDescent="0.35">
      <c r="A374" s="6" t="s">
        <v>25</v>
      </c>
      <c r="B374" s="7" t="s">
        <v>44</v>
      </c>
      <c r="D374" s="6" t="s">
        <v>45</v>
      </c>
      <c r="E374" s="6">
        <v>1</v>
      </c>
      <c r="F374" s="6">
        <v>1</v>
      </c>
      <c r="G374" s="6" t="s">
        <v>28</v>
      </c>
      <c r="I374" s="8">
        <v>85.144790624999999</v>
      </c>
      <c r="J374" s="8">
        <v>133.79209895833301</v>
      </c>
      <c r="K374" s="6" t="s">
        <v>29</v>
      </c>
      <c r="L374" s="6" t="s">
        <v>335</v>
      </c>
      <c r="M374" s="9">
        <v>43741</v>
      </c>
      <c r="O374" s="6">
        <v>1</v>
      </c>
      <c r="P374" s="6" t="s">
        <v>4242</v>
      </c>
      <c r="R374" s="10"/>
      <c r="S374" s="10">
        <v>62</v>
      </c>
      <c r="T374" s="10">
        <v>72</v>
      </c>
      <c r="U374" s="10">
        <f t="shared" si="10"/>
        <v>67</v>
      </c>
      <c r="V374" s="30"/>
      <c r="W374" s="8">
        <v>-0.52897989749908503</v>
      </c>
      <c r="X374" s="8">
        <v>-2.8046562480926513</v>
      </c>
      <c r="Y374" s="8">
        <f t="shared" si="11"/>
        <v>1.4271829319000289</v>
      </c>
    </row>
    <row r="375" spans="1:26" s="6" customFormat="1" x14ac:dyDescent="0.35">
      <c r="A375" s="6" t="s">
        <v>25</v>
      </c>
      <c r="B375" s="6" t="s">
        <v>2179</v>
      </c>
      <c r="D375" s="6" t="s">
        <v>2180</v>
      </c>
      <c r="E375" s="6">
        <v>4</v>
      </c>
      <c r="F375" s="6">
        <v>48</v>
      </c>
      <c r="I375" s="8">
        <v>80.754295347222197</v>
      </c>
      <c r="J375" s="8">
        <v>-0.488818958333333</v>
      </c>
      <c r="K375" s="6" t="s">
        <v>29</v>
      </c>
      <c r="L375" s="29" t="s">
        <v>335</v>
      </c>
      <c r="M375" s="9">
        <v>44032</v>
      </c>
      <c r="O375" s="6">
        <v>43</v>
      </c>
      <c r="P375" s="6" t="s">
        <v>4403</v>
      </c>
      <c r="S375" s="6">
        <v>60</v>
      </c>
      <c r="T375" s="6">
        <v>74</v>
      </c>
      <c r="U375" s="10">
        <f t="shared" si="10"/>
        <v>67</v>
      </c>
      <c r="V375" s="15">
        <v>2.7</v>
      </c>
      <c r="W375" s="8">
        <v>-9.0301067590713852E-2</v>
      </c>
      <c r="X375" s="8">
        <v>-0.25642169094085676</v>
      </c>
      <c r="Y375" s="8">
        <f t="shared" si="11"/>
        <v>0.46598684978485405</v>
      </c>
      <c r="Z375" s="6" t="s">
        <v>1760</v>
      </c>
    </row>
    <row r="376" spans="1:26" s="6" customFormat="1" x14ac:dyDescent="0.35">
      <c r="A376" s="6" t="s">
        <v>25</v>
      </c>
      <c r="B376" s="7"/>
      <c r="C376" s="6">
        <v>510535</v>
      </c>
      <c r="D376" s="6" t="s">
        <v>409</v>
      </c>
      <c r="E376" s="6">
        <v>1</v>
      </c>
      <c r="F376" s="6">
        <v>7</v>
      </c>
      <c r="G376" s="6" t="s">
        <v>345</v>
      </c>
      <c r="H376" s="6">
        <v>10</v>
      </c>
      <c r="I376" s="8">
        <v>86.116053611111099</v>
      </c>
      <c r="J376" s="8">
        <v>117.978438125</v>
      </c>
      <c r="K376" s="6" t="s">
        <v>29</v>
      </c>
      <c r="L376" s="6" t="s">
        <v>335</v>
      </c>
      <c r="M376" s="9">
        <v>43782</v>
      </c>
      <c r="O376" s="6">
        <v>7</v>
      </c>
      <c r="P376" s="6" t="s">
        <v>4254</v>
      </c>
      <c r="R376" s="6" t="s">
        <v>413</v>
      </c>
      <c r="S376" s="6">
        <v>59.5</v>
      </c>
      <c r="T376" s="6">
        <v>75</v>
      </c>
      <c r="U376" s="10">
        <f t="shared" si="10"/>
        <v>67.25</v>
      </c>
      <c r="V376" s="6">
        <v>5.5</v>
      </c>
      <c r="W376" s="8">
        <v>-0.69739645471572898</v>
      </c>
      <c r="X376" s="8">
        <v>-5.7964950211822988</v>
      </c>
      <c r="Y376" s="8">
        <f t="shared" si="11"/>
        <v>-0.21732338345646696</v>
      </c>
    </row>
    <row r="377" spans="1:26" s="6" customFormat="1" x14ac:dyDescent="0.35">
      <c r="A377" s="6" t="s">
        <v>25</v>
      </c>
      <c r="B377" s="7" t="s">
        <v>1712</v>
      </c>
      <c r="D377" s="6" t="s">
        <v>1713</v>
      </c>
      <c r="E377" s="6">
        <v>4</v>
      </c>
      <c r="F377" s="6">
        <v>44</v>
      </c>
      <c r="G377" s="6" t="s">
        <v>335</v>
      </c>
      <c r="I377" s="8">
        <v>81.975306180555606</v>
      </c>
      <c r="J377" s="8">
        <v>9.2425022222222193</v>
      </c>
      <c r="K377" s="6" t="s">
        <v>29</v>
      </c>
      <c r="L377" s="6" t="s">
        <v>335</v>
      </c>
      <c r="M377" s="9">
        <v>44004</v>
      </c>
      <c r="O377" s="6">
        <v>39</v>
      </c>
      <c r="P377" s="6" t="s">
        <v>4405</v>
      </c>
      <c r="R377" s="10"/>
      <c r="S377" s="10">
        <v>65</v>
      </c>
      <c r="T377" s="10">
        <v>70</v>
      </c>
      <c r="U377" s="10">
        <f t="shared" si="10"/>
        <v>67.5</v>
      </c>
      <c r="V377" s="11"/>
      <c r="W377" s="8">
        <v>0.32640166402816795</v>
      </c>
      <c r="X377" s="8">
        <v>4.2609401771426203</v>
      </c>
      <c r="Y377" s="8">
        <f t="shared" si="11"/>
        <v>1.6497268649172767</v>
      </c>
    </row>
    <row r="378" spans="1:26" s="6" customFormat="1" x14ac:dyDescent="0.35">
      <c r="A378" s="6" t="s">
        <v>25</v>
      </c>
      <c r="B378" s="7" t="s">
        <v>1755</v>
      </c>
      <c r="D378" s="6" t="s">
        <v>1756</v>
      </c>
      <c r="E378" s="6">
        <v>4</v>
      </c>
      <c r="F378" s="6">
        <v>44</v>
      </c>
      <c r="G378" s="6" t="s">
        <v>335</v>
      </c>
      <c r="I378" s="8">
        <v>81.975306180555606</v>
      </c>
      <c r="J378" s="8">
        <v>9.2425022222222193</v>
      </c>
      <c r="K378" s="6" t="s">
        <v>29</v>
      </c>
      <c r="L378" s="6" t="s">
        <v>335</v>
      </c>
      <c r="M378" s="9">
        <v>44004</v>
      </c>
      <c r="O378" s="6">
        <v>39</v>
      </c>
      <c r="P378" s="6" t="s">
        <v>4405</v>
      </c>
      <c r="R378" s="10" t="s">
        <v>1757</v>
      </c>
      <c r="S378" s="10">
        <v>65</v>
      </c>
      <c r="T378" s="10">
        <v>70</v>
      </c>
      <c r="U378" s="10">
        <f t="shared" si="10"/>
        <v>67.5</v>
      </c>
      <c r="V378" s="11"/>
      <c r="W378" s="8">
        <v>0.36569000950753672</v>
      </c>
      <c r="X378" s="8">
        <v>4.1969031088352198</v>
      </c>
      <c r="Y378" s="8">
        <f t="shared" si="11"/>
        <v>1.271383032774926</v>
      </c>
    </row>
    <row r="379" spans="1:26" s="6" customFormat="1" x14ac:dyDescent="0.35">
      <c r="A379" s="6" t="s">
        <v>25</v>
      </c>
      <c r="B379" s="6" t="s">
        <v>2496</v>
      </c>
      <c r="D379" s="6" t="s">
        <v>2497</v>
      </c>
      <c r="E379" s="6">
        <v>5</v>
      </c>
      <c r="F379" s="6">
        <v>61</v>
      </c>
      <c r="I379" s="8">
        <v>89.023700416666699</v>
      </c>
      <c r="J379" s="8">
        <v>102.473466597222</v>
      </c>
      <c r="K379" s="6" t="s">
        <v>29</v>
      </c>
      <c r="L379" s="29" t="s">
        <v>335</v>
      </c>
      <c r="M379" s="9">
        <v>44088</v>
      </c>
      <c r="O379" s="6">
        <v>52</v>
      </c>
      <c r="P379" s="6" t="s">
        <v>4394</v>
      </c>
      <c r="S379" s="6">
        <v>63</v>
      </c>
      <c r="T379" s="6">
        <v>73.5</v>
      </c>
      <c r="U379" s="10">
        <f t="shared" si="10"/>
        <v>68.25</v>
      </c>
      <c r="V379" s="15">
        <v>1.8</v>
      </c>
      <c r="W379" s="8">
        <v>0.26859126044511761</v>
      </c>
      <c r="X379" s="8">
        <v>2.7523659701347354</v>
      </c>
      <c r="Y379" s="8">
        <f t="shared" si="11"/>
        <v>0.60363588657379452</v>
      </c>
      <c r="Z379" s="6" t="s">
        <v>1760</v>
      </c>
    </row>
    <row r="380" spans="1:26" s="6" customFormat="1" x14ac:dyDescent="0.35">
      <c r="A380" s="6" t="s">
        <v>25</v>
      </c>
      <c r="B380" s="7"/>
      <c r="C380" s="6">
        <v>510415</v>
      </c>
      <c r="D380" s="6" t="s">
        <v>344</v>
      </c>
      <c r="E380" s="6">
        <v>1</v>
      </c>
      <c r="F380" s="6">
        <v>6</v>
      </c>
      <c r="G380" s="6" t="s">
        <v>345</v>
      </c>
      <c r="H380" s="6">
        <v>18</v>
      </c>
      <c r="I380" s="8">
        <v>85.9187781944444</v>
      </c>
      <c r="J380" s="8">
        <v>117.45457173611101</v>
      </c>
      <c r="K380" s="6" t="s">
        <v>29</v>
      </c>
      <c r="L380" s="6" t="s">
        <v>335</v>
      </c>
      <c r="M380" s="9">
        <v>43775</v>
      </c>
      <c r="O380" s="6">
        <v>6</v>
      </c>
      <c r="P380" s="6" t="s">
        <v>4256</v>
      </c>
      <c r="R380" s="6" t="s">
        <v>346</v>
      </c>
      <c r="S380" s="6">
        <v>65</v>
      </c>
      <c r="T380" s="6">
        <v>75</v>
      </c>
      <c r="U380" s="10">
        <f t="shared" si="10"/>
        <v>70</v>
      </c>
      <c r="V380" s="6">
        <v>4.9000000000000004</v>
      </c>
      <c r="W380" s="8">
        <v>-1.2337172890663148</v>
      </c>
      <c r="X380" s="8">
        <v>-9.3097730255126958</v>
      </c>
      <c r="Y380" s="8">
        <f t="shared" si="11"/>
        <v>0.55996528701782289</v>
      </c>
    </row>
    <row r="381" spans="1:26" s="6" customFormat="1" x14ac:dyDescent="0.35">
      <c r="A381" s="6" t="s">
        <v>25</v>
      </c>
      <c r="B381" s="6" t="s">
        <v>89</v>
      </c>
      <c r="C381" s="6">
        <v>510047</v>
      </c>
      <c r="D381" s="6" t="s">
        <v>77</v>
      </c>
      <c r="E381" s="6">
        <v>1</v>
      </c>
      <c r="F381" s="6">
        <v>2</v>
      </c>
      <c r="G381" s="6" t="s">
        <v>63</v>
      </c>
      <c r="I381" s="8">
        <v>84.770107638888902</v>
      </c>
      <c r="J381" s="8">
        <v>134.47681993055599</v>
      </c>
      <c r="K381" s="6" t="s">
        <v>29</v>
      </c>
      <c r="L381" s="6" t="s">
        <v>335</v>
      </c>
      <c r="M381" s="9">
        <v>43752</v>
      </c>
      <c r="O381" s="6">
        <v>3</v>
      </c>
      <c r="P381" s="6" t="s">
        <v>4246</v>
      </c>
      <c r="R381" s="6" t="s">
        <v>90</v>
      </c>
      <c r="S381" s="6">
        <v>63</v>
      </c>
      <c r="T381" s="6">
        <v>78</v>
      </c>
      <c r="U381" s="10">
        <f t="shared" si="10"/>
        <v>70.5</v>
      </c>
      <c r="V381" s="6">
        <v>3.6</v>
      </c>
      <c r="W381" s="8">
        <v>0.455266756439209</v>
      </c>
      <c r="X381" s="8">
        <v>3.5428511476516724</v>
      </c>
      <c r="Y381" s="8">
        <f t="shared" si="11"/>
        <v>-9.9282903861999561E-2</v>
      </c>
    </row>
    <row r="382" spans="1:26" s="6" customFormat="1" x14ac:dyDescent="0.35">
      <c r="A382" s="6" t="s">
        <v>25</v>
      </c>
      <c r="B382" s="7" t="s">
        <v>1654</v>
      </c>
      <c r="D382" s="6" t="s">
        <v>1655</v>
      </c>
      <c r="E382" s="6">
        <v>4</v>
      </c>
      <c r="F382" s="6">
        <v>44</v>
      </c>
      <c r="G382" s="6" t="s">
        <v>335</v>
      </c>
      <c r="I382" s="8">
        <v>81.975306180555606</v>
      </c>
      <c r="J382" s="8">
        <v>9.2425022222222193</v>
      </c>
      <c r="K382" s="6" t="s">
        <v>29</v>
      </c>
      <c r="L382" s="6" t="s">
        <v>335</v>
      </c>
      <c r="M382" s="9">
        <v>44004</v>
      </c>
      <c r="O382" s="6">
        <v>39</v>
      </c>
      <c r="P382" s="6" t="s">
        <v>4405</v>
      </c>
      <c r="R382" s="10" t="s">
        <v>1656</v>
      </c>
      <c r="S382" s="10">
        <v>70</v>
      </c>
      <c r="T382" s="10">
        <v>75</v>
      </c>
      <c r="U382" s="10">
        <f t="shared" si="10"/>
        <v>72.5</v>
      </c>
      <c r="V382" s="11"/>
      <c r="W382" s="8">
        <v>-8.562178269028678E-2</v>
      </c>
      <c r="X382" s="8">
        <v>1.0926283812522881</v>
      </c>
      <c r="Y382" s="8">
        <f t="shared" si="11"/>
        <v>1.7776026427745824</v>
      </c>
    </row>
    <row r="383" spans="1:26" s="6" customFormat="1" x14ac:dyDescent="0.35">
      <c r="A383" s="6" t="s">
        <v>25</v>
      </c>
      <c r="B383" s="7" t="s">
        <v>1704</v>
      </c>
      <c r="D383" s="6" t="s">
        <v>1705</v>
      </c>
      <c r="E383" s="6">
        <v>4</v>
      </c>
      <c r="F383" s="6">
        <v>44</v>
      </c>
      <c r="G383" s="6" t="s">
        <v>335</v>
      </c>
      <c r="I383" s="8">
        <v>81.975306180555606</v>
      </c>
      <c r="J383" s="8">
        <v>9.2425022222222193</v>
      </c>
      <c r="K383" s="6" t="s">
        <v>29</v>
      </c>
      <c r="L383" s="6" t="s">
        <v>335</v>
      </c>
      <c r="M383" s="9">
        <v>44004</v>
      </c>
      <c r="O383" s="6">
        <v>39</v>
      </c>
      <c r="P383" s="6" t="s">
        <v>4405</v>
      </c>
      <c r="R383" s="10"/>
      <c r="S383" s="10">
        <v>70</v>
      </c>
      <c r="T383" s="10">
        <v>75</v>
      </c>
      <c r="U383" s="10">
        <f t="shared" si="10"/>
        <v>72.5</v>
      </c>
      <c r="V383" s="11"/>
      <c r="W383" s="8">
        <v>0.24056912059545499</v>
      </c>
      <c r="X383" s="8">
        <v>1.3450067229270934</v>
      </c>
      <c r="Y383" s="8">
        <f t="shared" si="11"/>
        <v>-0.57954624183654646</v>
      </c>
    </row>
    <row r="384" spans="1:26" s="6" customFormat="1" x14ac:dyDescent="0.35">
      <c r="A384" s="6" t="s">
        <v>25</v>
      </c>
      <c r="B384" s="7"/>
      <c r="C384" s="6">
        <v>511052</v>
      </c>
      <c r="D384" s="6" t="s">
        <v>773</v>
      </c>
      <c r="E384" s="6">
        <v>1</v>
      </c>
      <c r="F384" s="6">
        <v>10</v>
      </c>
      <c r="G384" s="6" t="s">
        <v>345</v>
      </c>
      <c r="H384" s="6">
        <v>22</v>
      </c>
      <c r="I384" s="8">
        <v>86.141995833333297</v>
      </c>
      <c r="J384" s="8">
        <v>122.240208541667</v>
      </c>
      <c r="K384" s="6" t="s">
        <v>29</v>
      </c>
      <c r="L384" s="6" t="s">
        <v>335</v>
      </c>
      <c r="M384" s="9">
        <v>43805</v>
      </c>
      <c r="O384" s="6">
        <v>10</v>
      </c>
      <c r="P384" s="6" t="s">
        <v>4280</v>
      </c>
      <c r="R384" s="6" t="s">
        <v>776</v>
      </c>
      <c r="S384" s="6">
        <v>70</v>
      </c>
      <c r="T384" s="6">
        <v>77</v>
      </c>
      <c r="U384" s="10">
        <f t="shared" si="10"/>
        <v>73.5</v>
      </c>
      <c r="V384" s="6">
        <v>4.5999999999999996</v>
      </c>
      <c r="W384" s="8">
        <v>0.26688390216827385</v>
      </c>
      <c r="X384" s="8">
        <v>2.9275794563293456</v>
      </c>
      <c r="Y384" s="8">
        <f t="shared" si="11"/>
        <v>0.79250823898315481</v>
      </c>
    </row>
    <row r="385" spans="1:26" s="6" customFormat="1" x14ac:dyDescent="0.35">
      <c r="A385" s="6" t="s">
        <v>25</v>
      </c>
      <c r="B385" s="6" t="s">
        <v>2272</v>
      </c>
      <c r="D385" s="6" t="s">
        <v>2273</v>
      </c>
      <c r="E385" s="6">
        <v>4</v>
      </c>
      <c r="F385" s="6">
        <v>49</v>
      </c>
      <c r="I385" s="8">
        <v>79.191449375000005</v>
      </c>
      <c r="J385" s="8">
        <v>-2.6081078472222199</v>
      </c>
      <c r="K385" s="6" t="s">
        <v>29</v>
      </c>
      <c r="L385" s="29" t="s">
        <v>335</v>
      </c>
      <c r="M385" s="9">
        <v>44041</v>
      </c>
      <c r="O385" s="6">
        <v>44</v>
      </c>
      <c r="P385" s="6" t="s">
        <v>4421</v>
      </c>
      <c r="S385" s="6">
        <v>69</v>
      </c>
      <c r="T385" s="6">
        <v>78</v>
      </c>
      <c r="U385" s="10">
        <f t="shared" si="10"/>
        <v>73.5</v>
      </c>
      <c r="V385" s="15">
        <v>1.1000000000000001</v>
      </c>
      <c r="W385" s="8">
        <v>-0.28502922391891505</v>
      </c>
      <c r="X385" s="8">
        <v>-2.1970170015335087</v>
      </c>
      <c r="Y385" s="8">
        <f t="shared" si="11"/>
        <v>8.3216789817811776E-2</v>
      </c>
      <c r="Z385" s="6" t="s">
        <v>1760</v>
      </c>
    </row>
    <row r="386" spans="1:26" s="6" customFormat="1" x14ac:dyDescent="0.35">
      <c r="A386" s="6" t="s">
        <v>25</v>
      </c>
      <c r="B386" s="6" t="s">
        <v>164</v>
      </c>
      <c r="C386" s="6">
        <v>510160</v>
      </c>
      <c r="D386" s="6" t="s">
        <v>152</v>
      </c>
      <c r="E386" s="6">
        <v>1</v>
      </c>
      <c r="F386" s="6">
        <v>3</v>
      </c>
      <c r="G386" s="6" t="s">
        <v>153</v>
      </c>
      <c r="I386" s="8">
        <v>85.348898888888897</v>
      </c>
      <c r="J386" s="8">
        <v>129.88336361111101</v>
      </c>
      <c r="K386" s="6" t="s">
        <v>29</v>
      </c>
      <c r="L386" s="6" t="s">
        <v>335</v>
      </c>
      <c r="M386" s="9">
        <v>43761</v>
      </c>
      <c r="O386" s="6">
        <v>4</v>
      </c>
      <c r="P386" s="6" t="s">
        <v>4248</v>
      </c>
      <c r="R386" s="6" t="s">
        <v>165</v>
      </c>
      <c r="S386" s="6">
        <v>70</v>
      </c>
      <c r="T386" s="6">
        <v>80</v>
      </c>
      <c r="U386" s="10">
        <f t="shared" ref="U386:U449" si="12">AVERAGE(S386:T386)</f>
        <v>75</v>
      </c>
      <c r="V386" s="6">
        <v>4.5999999999999996</v>
      </c>
      <c r="W386" s="8">
        <v>-0.89130975337028506</v>
      </c>
      <c r="X386" s="8">
        <v>-6.7000322809219366</v>
      </c>
      <c r="Y386" s="8">
        <f t="shared" ref="Y386:Y449" si="13">X386-(8*W386)</f>
        <v>0.43044574604034391</v>
      </c>
    </row>
    <row r="387" spans="1:26" s="6" customFormat="1" x14ac:dyDescent="0.35">
      <c r="A387" s="6" t="s">
        <v>25</v>
      </c>
      <c r="B387" s="7" t="s">
        <v>834</v>
      </c>
      <c r="D387" s="6" t="s">
        <v>835</v>
      </c>
      <c r="E387" s="6">
        <v>2</v>
      </c>
      <c r="F387" s="6">
        <v>19</v>
      </c>
      <c r="G387" s="6" t="s">
        <v>202</v>
      </c>
      <c r="I387" s="8">
        <v>87.103055694444393</v>
      </c>
      <c r="J387" s="8">
        <v>115.160686597222</v>
      </c>
      <c r="K387" s="6" t="s">
        <v>29</v>
      </c>
      <c r="L387" s="6" t="s">
        <v>335</v>
      </c>
      <c r="M387" s="9">
        <v>43836</v>
      </c>
      <c r="O387" s="6">
        <v>15</v>
      </c>
      <c r="P387" s="6" t="s">
        <v>4271</v>
      </c>
      <c r="R387" s="10"/>
      <c r="S387" s="10">
        <v>70</v>
      </c>
      <c r="T387" s="10">
        <v>80</v>
      </c>
      <c r="U387" s="10">
        <f t="shared" si="12"/>
        <v>75</v>
      </c>
      <c r="V387" s="11">
        <v>5.3</v>
      </c>
      <c r="W387" s="8">
        <v>2.1923592650334375E-3</v>
      </c>
      <c r="X387" s="8">
        <v>0.31680703115463277</v>
      </c>
      <c r="Y387" s="8">
        <f t="shared" si="13"/>
        <v>0.29926815703436527</v>
      </c>
    </row>
    <row r="388" spans="1:26" s="6" customFormat="1" x14ac:dyDescent="0.35">
      <c r="A388" s="6" t="s">
        <v>25</v>
      </c>
      <c r="B388" s="6" t="s">
        <v>891</v>
      </c>
      <c r="D388" s="6" t="s">
        <v>884</v>
      </c>
      <c r="E388" s="6">
        <v>2</v>
      </c>
      <c r="F388" s="6">
        <v>20</v>
      </c>
      <c r="G388" s="6" t="s">
        <v>57</v>
      </c>
      <c r="I388" s="8">
        <v>86.603676041666702</v>
      </c>
      <c r="J388" s="8">
        <v>116.411907777778</v>
      </c>
      <c r="K388" s="6" t="s">
        <v>29</v>
      </c>
      <c r="L388" s="6" t="s">
        <v>335</v>
      </c>
      <c r="M388" s="9">
        <v>43846</v>
      </c>
      <c r="O388" s="6">
        <v>16</v>
      </c>
      <c r="P388" s="6" t="s">
        <v>4311</v>
      </c>
      <c r="R388" s="6">
        <v>70</v>
      </c>
      <c r="S388" s="6">
        <v>70</v>
      </c>
      <c r="T388" s="6">
        <v>80</v>
      </c>
      <c r="U388" s="10">
        <f t="shared" si="12"/>
        <v>75</v>
      </c>
      <c r="V388" s="6">
        <v>6.9</v>
      </c>
      <c r="W388" s="8">
        <v>0.28712313210666163</v>
      </c>
      <c r="X388" s="8">
        <v>2.680182968616486</v>
      </c>
      <c r="Y388" s="8">
        <f t="shared" si="13"/>
        <v>0.38319791176319296</v>
      </c>
    </row>
    <row r="389" spans="1:26" s="6" customFormat="1" x14ac:dyDescent="0.35">
      <c r="A389" s="6" t="s">
        <v>25</v>
      </c>
      <c r="B389" s="6" t="s">
        <v>895</v>
      </c>
      <c r="D389" s="6" t="s">
        <v>884</v>
      </c>
      <c r="E389" s="6">
        <v>2</v>
      </c>
      <c r="F389" s="6">
        <v>20</v>
      </c>
      <c r="G389" s="6" t="s">
        <v>57</v>
      </c>
      <c r="I389" s="8">
        <v>86.603676041666702</v>
      </c>
      <c r="J389" s="8">
        <v>116.411907777778</v>
      </c>
      <c r="K389" s="6" t="s">
        <v>29</v>
      </c>
      <c r="L389" s="6" t="s">
        <v>335</v>
      </c>
      <c r="M389" s="9">
        <v>43846</v>
      </c>
      <c r="O389" s="6">
        <v>16</v>
      </c>
      <c r="P389" s="6" t="s">
        <v>4311</v>
      </c>
      <c r="R389" s="6">
        <v>70</v>
      </c>
      <c r="S389" s="6">
        <v>70</v>
      </c>
      <c r="T389" s="6">
        <v>80</v>
      </c>
      <c r="U389" s="10">
        <f t="shared" si="12"/>
        <v>75</v>
      </c>
      <c r="V389" s="30"/>
      <c r="W389" s="8">
        <v>0.34239435356259323</v>
      </c>
      <c r="X389" s="8">
        <v>2.3311194956302645</v>
      </c>
      <c r="Y389" s="8">
        <f t="shared" si="13"/>
        <v>-0.40803533287048133</v>
      </c>
    </row>
    <row r="390" spans="1:26" s="6" customFormat="1" x14ac:dyDescent="0.35">
      <c r="A390" s="6" t="s">
        <v>25</v>
      </c>
      <c r="B390" s="7"/>
      <c r="D390" s="6" t="s">
        <v>1003</v>
      </c>
      <c r="E390" s="6">
        <v>2</v>
      </c>
      <c r="F390" s="6">
        <v>23</v>
      </c>
      <c r="G390" s="6" t="s">
        <v>202</v>
      </c>
      <c r="I390" s="8">
        <v>87.352736041666702</v>
      </c>
      <c r="J390" s="8">
        <v>94.772103819444396</v>
      </c>
      <c r="K390" s="6" t="s">
        <v>29</v>
      </c>
      <c r="L390" s="6" t="s">
        <v>335</v>
      </c>
      <c r="M390" s="9">
        <v>43864</v>
      </c>
      <c r="O390" s="6">
        <v>19</v>
      </c>
      <c r="P390" s="6" t="s">
        <v>4322</v>
      </c>
      <c r="S390" s="6">
        <v>70</v>
      </c>
      <c r="T390" s="6">
        <v>80</v>
      </c>
      <c r="U390" s="10">
        <f t="shared" si="12"/>
        <v>75</v>
      </c>
      <c r="V390" s="6">
        <v>4.3</v>
      </c>
      <c r="W390" s="8">
        <v>0.2651520782470701</v>
      </c>
      <c r="X390" s="8">
        <v>4.3171180648803711</v>
      </c>
      <c r="Y390" s="8">
        <f t="shared" si="13"/>
        <v>2.1959014389038103</v>
      </c>
    </row>
    <row r="391" spans="1:26" s="6" customFormat="1" x14ac:dyDescent="0.35">
      <c r="A391" s="6" t="s">
        <v>25</v>
      </c>
      <c r="B391" s="7"/>
      <c r="D391" s="6" t="s">
        <v>1039</v>
      </c>
      <c r="E391" s="6">
        <v>2</v>
      </c>
      <c r="F391" s="6">
        <v>24</v>
      </c>
      <c r="G391" s="6" t="s">
        <v>57</v>
      </c>
      <c r="I391" s="8">
        <v>87.882876180555598</v>
      </c>
      <c r="J391" s="8">
        <v>87.424340833333304</v>
      </c>
      <c r="K391" s="6" t="s">
        <v>29</v>
      </c>
      <c r="L391" s="6" t="s">
        <v>335</v>
      </c>
      <c r="M391" s="9">
        <v>43873</v>
      </c>
      <c r="O391" s="6">
        <v>20</v>
      </c>
      <c r="P391" s="6" t="s">
        <v>4313</v>
      </c>
      <c r="S391" s="6">
        <v>70</v>
      </c>
      <c r="T391" s="6">
        <v>80</v>
      </c>
      <c r="U391" s="10">
        <f t="shared" si="12"/>
        <v>75</v>
      </c>
      <c r="V391" s="30"/>
      <c r="W391" s="8">
        <v>-2.0624162268877035</v>
      </c>
      <c r="X391" s="8">
        <v>-14.417769087791443</v>
      </c>
      <c r="Y391" s="8">
        <f t="shared" si="13"/>
        <v>2.081560727310185</v>
      </c>
    </row>
    <row r="392" spans="1:26" s="6" customFormat="1" x14ac:dyDescent="0.35">
      <c r="A392" s="6" t="s">
        <v>25</v>
      </c>
      <c r="B392" s="7"/>
      <c r="D392" s="6" t="s">
        <v>1062</v>
      </c>
      <c r="E392" s="6">
        <v>3</v>
      </c>
      <c r="F392" s="6">
        <v>29</v>
      </c>
      <c r="G392" s="6" t="s">
        <v>60</v>
      </c>
      <c r="I392" s="8">
        <v>88.488842986111095</v>
      </c>
      <c r="J392" s="8">
        <v>40.1770405555556</v>
      </c>
      <c r="K392" s="6" t="s">
        <v>29</v>
      </c>
      <c r="L392" s="6" t="s">
        <v>335</v>
      </c>
      <c r="M392" s="9">
        <v>43887</v>
      </c>
      <c r="O392" s="6">
        <v>22</v>
      </c>
      <c r="P392" s="6" t="s">
        <v>4291</v>
      </c>
      <c r="S392" s="6">
        <v>70</v>
      </c>
      <c r="T392" s="6">
        <v>80</v>
      </c>
      <c r="U392" s="10">
        <f t="shared" si="12"/>
        <v>75</v>
      </c>
      <c r="V392" s="6">
        <v>5.3</v>
      </c>
      <c r="W392" s="8">
        <v>2.4022554561496059E-2</v>
      </c>
      <c r="X392" s="8">
        <v>0.92636449575424273</v>
      </c>
      <c r="Y392" s="8">
        <f t="shared" si="13"/>
        <v>0.73418405926227426</v>
      </c>
    </row>
    <row r="393" spans="1:26" s="6" customFormat="1" x14ac:dyDescent="0.35">
      <c r="A393" s="6" t="s">
        <v>25</v>
      </c>
      <c r="B393" s="7"/>
      <c r="D393" s="6" t="s">
        <v>1089</v>
      </c>
      <c r="E393" s="6">
        <v>3</v>
      </c>
      <c r="F393" s="6">
        <v>31</v>
      </c>
      <c r="G393" s="6" t="s">
        <v>179</v>
      </c>
      <c r="I393" s="8">
        <v>87.889566388888895</v>
      </c>
      <c r="J393" s="8">
        <v>24.107920208333301</v>
      </c>
      <c r="K393" s="6" t="s">
        <v>29</v>
      </c>
      <c r="L393" s="6" t="s">
        <v>335</v>
      </c>
      <c r="M393" s="9">
        <v>43899</v>
      </c>
      <c r="O393" s="6">
        <v>24</v>
      </c>
      <c r="P393" s="6" t="s">
        <v>4343</v>
      </c>
      <c r="S393" s="6">
        <v>70</v>
      </c>
      <c r="T393" s="6">
        <v>80</v>
      </c>
      <c r="U393" s="10">
        <f t="shared" si="12"/>
        <v>75</v>
      </c>
      <c r="V393" s="6">
        <v>3.5</v>
      </c>
      <c r="W393" s="8">
        <v>6.9874647831919719E-3</v>
      </c>
      <c r="X393" s="8">
        <v>1.261751799583436</v>
      </c>
      <c r="Y393" s="8">
        <f t="shared" si="13"/>
        <v>1.2058520813179001</v>
      </c>
    </row>
    <row r="394" spans="1:26" s="6" customFormat="1" x14ac:dyDescent="0.35">
      <c r="A394" s="6" t="s">
        <v>25</v>
      </c>
      <c r="B394" s="7"/>
      <c r="D394" s="6" t="s">
        <v>1104</v>
      </c>
      <c r="E394" s="6">
        <v>3</v>
      </c>
      <c r="F394" s="6">
        <v>31</v>
      </c>
      <c r="G394" s="6" t="s">
        <v>345</v>
      </c>
      <c r="I394" s="8">
        <v>87.660309999999996</v>
      </c>
      <c r="J394" s="8">
        <v>24.286057569444399</v>
      </c>
      <c r="K394" s="6" t="s">
        <v>29</v>
      </c>
      <c r="L394" s="6" t="s">
        <v>335</v>
      </c>
      <c r="M394" s="9">
        <v>43901</v>
      </c>
      <c r="O394" s="6">
        <v>24</v>
      </c>
      <c r="P394" s="6" t="s">
        <v>4345</v>
      </c>
      <c r="S394" s="6">
        <v>70</v>
      </c>
      <c r="T394" s="6">
        <v>80</v>
      </c>
      <c r="U394" s="10">
        <f t="shared" si="12"/>
        <v>75</v>
      </c>
      <c r="V394" s="6">
        <v>5</v>
      </c>
      <c r="W394" s="8">
        <v>0.78977252464294412</v>
      </c>
      <c r="X394" s="8">
        <v>6.292278759002687</v>
      </c>
      <c r="Y394" s="8">
        <f t="shared" si="13"/>
        <v>-2.5901438140865984E-2</v>
      </c>
    </row>
    <row r="395" spans="1:26" s="6" customFormat="1" x14ac:dyDescent="0.35">
      <c r="A395" s="6" t="s">
        <v>25</v>
      </c>
      <c r="B395" s="7"/>
      <c r="D395" s="6" t="s">
        <v>1163</v>
      </c>
      <c r="E395" s="6">
        <v>3</v>
      </c>
      <c r="F395" s="6">
        <v>32</v>
      </c>
      <c r="G395" s="6" t="s">
        <v>179</v>
      </c>
      <c r="I395" s="8">
        <v>86.339075833333297</v>
      </c>
      <c r="J395" s="8">
        <v>14.7309175</v>
      </c>
      <c r="K395" s="6" t="s">
        <v>29</v>
      </c>
      <c r="L395" s="6" t="s">
        <v>335</v>
      </c>
      <c r="M395" s="9">
        <v>43910</v>
      </c>
      <c r="O395" s="6">
        <v>25</v>
      </c>
      <c r="P395" s="6" t="s">
        <v>4350</v>
      </c>
      <c r="S395" s="6">
        <v>70</v>
      </c>
      <c r="T395" s="6">
        <v>80</v>
      </c>
      <c r="U395" s="10">
        <f t="shared" si="12"/>
        <v>75</v>
      </c>
      <c r="V395" s="6">
        <v>4.9000000000000004</v>
      </c>
      <c r="W395" s="8">
        <v>0.13323960559964165</v>
      </c>
      <c r="X395" s="8">
        <v>1.2641748571395888</v>
      </c>
      <c r="Y395" s="8">
        <f t="shared" si="13"/>
        <v>0.19825801234245555</v>
      </c>
    </row>
    <row r="396" spans="1:26" s="6" customFormat="1" x14ac:dyDescent="0.35">
      <c r="A396" s="6" t="s">
        <v>25</v>
      </c>
      <c r="B396" s="7"/>
      <c r="D396" s="6" t="s">
        <v>1183</v>
      </c>
      <c r="E396" s="6">
        <v>3</v>
      </c>
      <c r="F396" s="6">
        <v>32</v>
      </c>
      <c r="G396" s="6" t="s">
        <v>202</v>
      </c>
      <c r="I396" s="8">
        <v>86.257643333333306</v>
      </c>
      <c r="J396" s="8">
        <v>15.261599722222201</v>
      </c>
      <c r="K396" s="6" t="s">
        <v>29</v>
      </c>
      <c r="L396" s="6" t="s">
        <v>335</v>
      </c>
      <c r="M396" s="9">
        <v>43911</v>
      </c>
      <c r="O396" s="6">
        <v>25</v>
      </c>
      <c r="P396" s="6" t="s">
        <v>4351</v>
      </c>
      <c r="S396" s="6">
        <v>70</v>
      </c>
      <c r="T396" s="6">
        <v>80</v>
      </c>
      <c r="U396" s="10">
        <f t="shared" si="12"/>
        <v>75</v>
      </c>
      <c r="V396" s="6">
        <v>5.6</v>
      </c>
      <c r="W396" s="8">
        <v>0.52617042592763941</v>
      </c>
      <c r="X396" s="8">
        <v>5.1199827289581297</v>
      </c>
      <c r="Y396" s="8">
        <f t="shared" si="13"/>
        <v>0.91061932153701441</v>
      </c>
    </row>
    <row r="397" spans="1:26" s="6" customFormat="1" x14ac:dyDescent="0.35">
      <c r="A397" s="6" t="s">
        <v>25</v>
      </c>
      <c r="B397" s="6" t="s">
        <v>1248</v>
      </c>
      <c r="D397" s="6" t="s">
        <v>1240</v>
      </c>
      <c r="E397" s="6">
        <v>3</v>
      </c>
      <c r="F397" s="6">
        <v>34</v>
      </c>
      <c r="G397" s="6" t="s">
        <v>202</v>
      </c>
      <c r="I397" s="8">
        <v>84.533711805555598</v>
      </c>
      <c r="J397" s="8">
        <v>14.277858402777801</v>
      </c>
      <c r="K397" s="6" t="s">
        <v>29</v>
      </c>
      <c r="L397" s="6" t="s">
        <v>335</v>
      </c>
      <c r="M397" s="9">
        <v>43927</v>
      </c>
      <c r="O397" s="6">
        <v>28</v>
      </c>
      <c r="P397" s="6" t="s">
        <v>4359</v>
      </c>
      <c r="R397" s="6">
        <v>70</v>
      </c>
      <c r="S397" s="6">
        <v>70</v>
      </c>
      <c r="T397" s="6">
        <v>80</v>
      </c>
      <c r="U397" s="10">
        <f t="shared" si="12"/>
        <v>75</v>
      </c>
      <c r="V397" s="6">
        <v>5.5</v>
      </c>
      <c r="W397" s="8">
        <v>0.75333284583091764</v>
      </c>
      <c r="X397" s="8">
        <v>6.5501335620880123</v>
      </c>
      <c r="Y397" s="8">
        <f t="shared" si="13"/>
        <v>0.52347079544067121</v>
      </c>
    </row>
    <row r="398" spans="1:26" s="6" customFormat="1" x14ac:dyDescent="0.35">
      <c r="A398" s="6" t="s">
        <v>25</v>
      </c>
      <c r="B398" s="6" t="s">
        <v>1298</v>
      </c>
      <c r="D398" s="6" t="s">
        <v>1291</v>
      </c>
      <c r="E398" s="6">
        <v>3</v>
      </c>
      <c r="F398" s="6">
        <v>35</v>
      </c>
      <c r="G398" s="6" t="s">
        <v>345</v>
      </c>
      <c r="I398" s="8">
        <v>84.322834374999999</v>
      </c>
      <c r="J398" s="8">
        <v>14.725811041666701</v>
      </c>
      <c r="K398" s="6" t="s">
        <v>29</v>
      </c>
      <c r="L398" s="6" t="s">
        <v>335</v>
      </c>
      <c r="M398" s="9">
        <v>43931</v>
      </c>
      <c r="O398" s="6">
        <v>28</v>
      </c>
      <c r="P398" s="6" t="s">
        <v>4362</v>
      </c>
      <c r="R398" s="6">
        <v>70</v>
      </c>
      <c r="S398" s="6">
        <v>70</v>
      </c>
      <c r="T398" s="6">
        <v>80</v>
      </c>
      <c r="U398" s="10">
        <f t="shared" si="12"/>
        <v>75</v>
      </c>
      <c r="V398" s="6">
        <v>4.7</v>
      </c>
      <c r="W398" s="8">
        <v>0.17147112178802537</v>
      </c>
      <c r="X398" s="8">
        <v>1.0719911384582519</v>
      </c>
      <c r="Y398" s="8">
        <f t="shared" si="13"/>
        <v>-0.29977783584595108</v>
      </c>
    </row>
    <row r="399" spans="1:26" s="6" customFormat="1" x14ac:dyDescent="0.35">
      <c r="A399" s="6" t="s">
        <v>25</v>
      </c>
      <c r="B399" s="7" t="s">
        <v>1368</v>
      </c>
      <c r="D399" s="6" t="s">
        <v>1369</v>
      </c>
      <c r="E399" s="6">
        <v>3</v>
      </c>
      <c r="F399" s="6">
        <v>36</v>
      </c>
      <c r="G399" s="6" t="s">
        <v>202</v>
      </c>
      <c r="I399" s="8">
        <v>84.331482986111098</v>
      </c>
      <c r="J399" s="8">
        <v>14.642671805555601</v>
      </c>
      <c r="K399" s="6" t="s">
        <v>29</v>
      </c>
      <c r="L399" s="6" t="s">
        <v>335</v>
      </c>
      <c r="M399" s="9">
        <v>43935</v>
      </c>
      <c r="O399" s="6">
        <v>29</v>
      </c>
      <c r="P399" s="6" t="s">
        <v>4332</v>
      </c>
      <c r="R399" s="10"/>
      <c r="S399" s="10">
        <v>70</v>
      </c>
      <c r="T399" s="10">
        <v>80</v>
      </c>
      <c r="U399" s="10">
        <f t="shared" si="12"/>
        <v>75</v>
      </c>
      <c r="V399" s="11">
        <v>4.2</v>
      </c>
      <c r="W399" s="8">
        <v>0.14092343051433601</v>
      </c>
      <c r="X399" s="8">
        <v>1.8603077005743982</v>
      </c>
      <c r="Y399" s="8">
        <f t="shared" si="13"/>
        <v>0.73292025645971015</v>
      </c>
    </row>
    <row r="400" spans="1:26" s="6" customFormat="1" x14ac:dyDescent="0.35">
      <c r="A400" s="6" t="s">
        <v>25</v>
      </c>
      <c r="B400" s="7" t="s">
        <v>1452</v>
      </c>
      <c r="D400" s="6" t="s">
        <v>1453</v>
      </c>
      <c r="E400" s="6">
        <v>3</v>
      </c>
      <c r="F400" s="6">
        <v>37</v>
      </c>
      <c r="G400" s="6" t="s">
        <v>28</v>
      </c>
      <c r="I400" s="8">
        <v>83.999093333333306</v>
      </c>
      <c r="J400" s="8">
        <v>15.6102103472222</v>
      </c>
      <c r="K400" s="6" t="s">
        <v>29</v>
      </c>
      <c r="L400" s="6" t="s">
        <v>335</v>
      </c>
      <c r="M400" s="9">
        <v>43946</v>
      </c>
      <c r="O400" s="6">
        <v>30</v>
      </c>
      <c r="P400" s="6" t="s">
        <v>4265</v>
      </c>
      <c r="R400" s="10"/>
      <c r="S400" s="10">
        <v>70</v>
      </c>
      <c r="T400" s="10">
        <v>80</v>
      </c>
      <c r="U400" s="10">
        <f t="shared" si="12"/>
        <v>75</v>
      </c>
      <c r="V400" s="11">
        <v>3.9</v>
      </c>
      <c r="W400" s="8">
        <v>-1.3940562605857849</v>
      </c>
      <c r="X400" s="8">
        <v>-10.39059558725357</v>
      </c>
      <c r="Y400" s="8">
        <f t="shared" si="13"/>
        <v>0.76185449743270972</v>
      </c>
    </row>
    <row r="401" spans="1:26" s="6" customFormat="1" x14ac:dyDescent="0.35">
      <c r="A401" s="6" t="s">
        <v>25</v>
      </c>
      <c r="B401" s="7" t="s">
        <v>1496</v>
      </c>
      <c r="D401" s="6" t="s">
        <v>1497</v>
      </c>
      <c r="E401" s="6">
        <v>3</v>
      </c>
      <c r="F401" s="6">
        <v>37</v>
      </c>
      <c r="G401" s="6" t="s">
        <v>28</v>
      </c>
      <c r="I401" s="8">
        <v>83.999093333333306</v>
      </c>
      <c r="J401" s="8">
        <v>15.6102103472222</v>
      </c>
      <c r="K401" s="6" t="s">
        <v>29</v>
      </c>
      <c r="L401" s="6" t="s">
        <v>335</v>
      </c>
      <c r="M401" s="9">
        <v>43946</v>
      </c>
      <c r="O401" s="6">
        <v>30</v>
      </c>
      <c r="P401" s="6" t="s">
        <v>4265</v>
      </c>
      <c r="R401" s="10"/>
      <c r="S401" s="10">
        <v>70</v>
      </c>
      <c r="T401" s="10">
        <v>80</v>
      </c>
      <c r="U401" s="10">
        <f t="shared" si="12"/>
        <v>75</v>
      </c>
      <c r="V401" s="11">
        <v>3.5</v>
      </c>
      <c r="W401" s="8">
        <v>0.1991666360825301</v>
      </c>
      <c r="X401" s="8">
        <v>1.1265232429504393</v>
      </c>
      <c r="Y401" s="8">
        <f t="shared" si="13"/>
        <v>-0.46680984570980155</v>
      </c>
    </row>
    <row r="402" spans="1:26" s="6" customFormat="1" x14ac:dyDescent="0.35">
      <c r="A402" s="6" t="s">
        <v>25</v>
      </c>
      <c r="B402" s="7"/>
      <c r="D402" s="6" t="s">
        <v>1550</v>
      </c>
      <c r="E402" s="6">
        <v>3</v>
      </c>
      <c r="F402" s="6">
        <v>38</v>
      </c>
      <c r="G402" s="6" t="s">
        <v>202</v>
      </c>
      <c r="I402" s="8">
        <v>83.938997847222197</v>
      </c>
      <c r="J402" s="8">
        <v>15.6730686111111</v>
      </c>
      <c r="K402" s="6" t="s">
        <v>29</v>
      </c>
      <c r="L402" s="6" t="s">
        <v>335</v>
      </c>
      <c r="M402" s="9">
        <v>43948</v>
      </c>
      <c r="O402" s="6">
        <v>31</v>
      </c>
      <c r="P402" s="6" t="s">
        <v>4251</v>
      </c>
      <c r="S402" s="6">
        <v>70</v>
      </c>
      <c r="T402" s="6">
        <v>80</v>
      </c>
      <c r="U402" s="10">
        <f t="shared" si="12"/>
        <v>75</v>
      </c>
      <c r="V402" s="6">
        <v>4.5</v>
      </c>
      <c r="W402" s="8">
        <v>2.3164126659930097E-2</v>
      </c>
      <c r="X402" s="8">
        <v>0.88542995223999088</v>
      </c>
      <c r="Y402" s="8">
        <f t="shared" si="13"/>
        <v>0.70011693896055016</v>
      </c>
    </row>
    <row r="403" spans="1:26" s="6" customFormat="1" x14ac:dyDescent="0.35">
      <c r="A403" s="6" t="s">
        <v>25</v>
      </c>
      <c r="B403" s="6" t="s">
        <v>1627</v>
      </c>
      <c r="D403" s="6" t="s">
        <v>1619</v>
      </c>
      <c r="E403" s="6">
        <v>3</v>
      </c>
      <c r="F403" s="6">
        <v>39</v>
      </c>
      <c r="G403" s="6" t="s">
        <v>202</v>
      </c>
      <c r="I403" s="8">
        <v>83.907985999999994</v>
      </c>
      <c r="J403" s="8">
        <v>18.352126999999999</v>
      </c>
      <c r="K403" s="6" t="s">
        <v>29</v>
      </c>
      <c r="L403" s="6" t="s">
        <v>335</v>
      </c>
      <c r="M403" s="9">
        <v>43955</v>
      </c>
      <c r="O403" s="6">
        <v>32</v>
      </c>
      <c r="P403" s="6" t="s">
        <v>4374</v>
      </c>
      <c r="R403" s="6">
        <v>70</v>
      </c>
      <c r="S403" s="6">
        <v>70</v>
      </c>
      <c r="T403" s="6">
        <v>80</v>
      </c>
      <c r="U403" s="10">
        <f t="shared" si="12"/>
        <v>75</v>
      </c>
      <c r="V403" s="6">
        <v>4.7</v>
      </c>
      <c r="W403" s="8">
        <v>0.1279898035423461</v>
      </c>
      <c r="X403" s="8">
        <v>1.2108330503821372</v>
      </c>
      <c r="Y403" s="8">
        <f t="shared" si="13"/>
        <v>0.18691462204336839</v>
      </c>
    </row>
    <row r="404" spans="1:26" s="6" customFormat="1" x14ac:dyDescent="0.35">
      <c r="A404" s="6" t="s">
        <v>25</v>
      </c>
      <c r="B404" s="6" t="s">
        <v>1773</v>
      </c>
      <c r="D404" s="6" t="s">
        <v>1774</v>
      </c>
      <c r="E404" s="6">
        <v>4</v>
      </c>
      <c r="F404" s="6">
        <v>44</v>
      </c>
      <c r="I404" s="8">
        <v>81.975306180555606</v>
      </c>
      <c r="J404" s="8">
        <v>9.2425022222222193</v>
      </c>
      <c r="K404" s="6" t="s">
        <v>29</v>
      </c>
      <c r="L404" s="29" t="s">
        <v>335</v>
      </c>
      <c r="M404" s="9">
        <v>44004</v>
      </c>
      <c r="O404" s="6">
        <v>39</v>
      </c>
      <c r="P404" s="6" t="s">
        <v>4405</v>
      </c>
      <c r="S404" s="6">
        <v>70</v>
      </c>
      <c r="T404" s="6">
        <v>80</v>
      </c>
      <c r="U404" s="10">
        <f t="shared" si="12"/>
        <v>75</v>
      </c>
      <c r="V404" s="15">
        <v>2.7</v>
      </c>
      <c r="W404" s="8">
        <v>0.88616380290985108</v>
      </c>
      <c r="X404" s="8">
        <v>4.7309393005371092</v>
      </c>
      <c r="Y404" s="8">
        <f t="shared" si="13"/>
        <v>-2.3583711227416995</v>
      </c>
      <c r="Z404" s="6" t="s">
        <v>1760</v>
      </c>
    </row>
    <row r="405" spans="1:26" s="6" customFormat="1" x14ac:dyDescent="0.35">
      <c r="A405" s="6" t="s">
        <v>25</v>
      </c>
      <c r="B405" s="6" t="s">
        <v>1930</v>
      </c>
      <c r="D405" s="6" t="s">
        <v>1931</v>
      </c>
      <c r="E405" s="6">
        <v>4</v>
      </c>
      <c r="F405" s="6">
        <v>46</v>
      </c>
      <c r="I405" s="8">
        <v>81.685643263888906</v>
      </c>
      <c r="J405" s="8">
        <v>5.3733415277777796</v>
      </c>
      <c r="K405" s="6" t="s">
        <v>29</v>
      </c>
      <c r="L405" s="29" t="s">
        <v>335</v>
      </c>
      <c r="M405" s="9">
        <v>44018</v>
      </c>
      <c r="O405" s="6">
        <v>41</v>
      </c>
      <c r="P405" s="6" t="s">
        <v>4413</v>
      </c>
      <c r="S405" s="6">
        <v>70</v>
      </c>
      <c r="T405" s="6">
        <v>80</v>
      </c>
      <c r="U405" s="10">
        <f t="shared" si="12"/>
        <v>75</v>
      </c>
      <c r="V405" s="15">
        <v>2.7</v>
      </c>
      <c r="W405" s="8">
        <v>-0.36648373796939876</v>
      </c>
      <c r="X405" s="8">
        <v>-4.0578248510360719</v>
      </c>
      <c r="Y405" s="8">
        <f t="shared" si="13"/>
        <v>-1.1259549472808819</v>
      </c>
      <c r="Z405" s="6" t="s">
        <v>1760</v>
      </c>
    </row>
    <row r="406" spans="1:26" s="6" customFormat="1" x14ac:dyDescent="0.35">
      <c r="A406" s="6" t="s">
        <v>25</v>
      </c>
      <c r="B406" s="6" t="s">
        <v>1962</v>
      </c>
      <c r="D406" s="6" t="s">
        <v>1963</v>
      </c>
      <c r="E406" s="6">
        <v>4</v>
      </c>
      <c r="F406" s="6">
        <v>47</v>
      </c>
      <c r="I406" s="8">
        <v>81.417819374999993</v>
      </c>
      <c r="J406" s="8">
        <v>0.28587430555555599</v>
      </c>
      <c r="K406" s="6" t="s">
        <v>29</v>
      </c>
      <c r="L406" s="29" t="s">
        <v>335</v>
      </c>
      <c r="M406" s="9">
        <v>44025</v>
      </c>
      <c r="O406" s="6">
        <v>42</v>
      </c>
      <c r="P406" s="6" t="s">
        <v>4403</v>
      </c>
      <c r="S406" s="6">
        <v>70</v>
      </c>
      <c r="T406" s="6">
        <v>80</v>
      </c>
      <c r="U406" s="10">
        <f t="shared" si="12"/>
        <v>75</v>
      </c>
      <c r="V406" s="15">
        <v>2.5</v>
      </c>
      <c r="W406" s="8">
        <v>-0.16399319995641665</v>
      </c>
      <c r="X406" s="8">
        <v>0.38300732028484308</v>
      </c>
      <c r="Y406" s="8">
        <f t="shared" si="13"/>
        <v>1.6949529199361764</v>
      </c>
      <c r="Z406" s="6" t="s">
        <v>1760</v>
      </c>
    </row>
    <row r="407" spans="1:26" s="6" customFormat="1" x14ac:dyDescent="0.35">
      <c r="A407" s="6" t="s">
        <v>25</v>
      </c>
      <c r="B407" s="6" t="s">
        <v>2323</v>
      </c>
      <c r="D407" s="6" t="s">
        <v>2324</v>
      </c>
      <c r="E407" s="6">
        <v>5</v>
      </c>
      <c r="F407" s="6">
        <v>59</v>
      </c>
      <c r="I407" s="8">
        <v>88.299658402777794</v>
      </c>
      <c r="J407" s="8">
        <v>114.11509069444401</v>
      </c>
      <c r="K407" s="6" t="s">
        <v>29</v>
      </c>
      <c r="L407" s="29" t="s">
        <v>335</v>
      </c>
      <c r="M407" s="9">
        <v>44074</v>
      </c>
      <c r="O407" s="6">
        <v>50</v>
      </c>
      <c r="P407" s="6" t="s">
        <v>4396</v>
      </c>
      <c r="S407" s="6">
        <v>70</v>
      </c>
      <c r="T407" s="6">
        <v>80</v>
      </c>
      <c r="U407" s="10">
        <f t="shared" si="12"/>
        <v>75</v>
      </c>
      <c r="V407" s="15">
        <v>2</v>
      </c>
      <c r="W407" s="8">
        <v>0.84955186362266522</v>
      </c>
      <c r="X407" s="8">
        <v>7.2893956918716425</v>
      </c>
      <c r="Y407" s="8">
        <f t="shared" si="13"/>
        <v>0.49298078289032077</v>
      </c>
      <c r="Z407" s="6" t="s">
        <v>1760</v>
      </c>
    </row>
    <row r="408" spans="1:26" s="6" customFormat="1" x14ac:dyDescent="0.35">
      <c r="A408" s="6" t="s">
        <v>25</v>
      </c>
      <c r="B408" s="6" t="s">
        <v>2390</v>
      </c>
      <c r="D408" s="6" t="s">
        <v>2391</v>
      </c>
      <c r="E408" s="6">
        <v>5</v>
      </c>
      <c r="F408" s="6">
        <v>61</v>
      </c>
      <c r="I408" s="8">
        <v>88.700402291666705</v>
      </c>
      <c r="J408" s="8">
        <v>111.973632708333</v>
      </c>
      <c r="K408" s="6" t="s">
        <v>29</v>
      </c>
      <c r="L408" s="29" t="s">
        <v>335</v>
      </c>
      <c r="M408" s="9">
        <v>44081</v>
      </c>
      <c r="O408" s="6">
        <v>51</v>
      </c>
      <c r="P408" s="6" t="s">
        <v>4434</v>
      </c>
      <c r="S408" s="6">
        <v>70</v>
      </c>
      <c r="T408" s="6">
        <v>80</v>
      </c>
      <c r="U408" s="10">
        <f t="shared" si="12"/>
        <v>75</v>
      </c>
      <c r="V408" s="15">
        <v>3</v>
      </c>
      <c r="W408" s="8">
        <v>0.43626049751043344</v>
      </c>
      <c r="X408" s="8">
        <v>3.6935426937580109</v>
      </c>
      <c r="Y408" s="8">
        <f t="shared" si="13"/>
        <v>0.20345871367454338</v>
      </c>
      <c r="Z408" s="6" t="s">
        <v>1760</v>
      </c>
    </row>
    <row r="409" spans="1:26" s="6" customFormat="1" x14ac:dyDescent="0.35">
      <c r="A409" s="6" t="s">
        <v>25</v>
      </c>
      <c r="B409" s="7" t="s">
        <v>434</v>
      </c>
      <c r="C409" s="6">
        <v>510632</v>
      </c>
      <c r="D409" s="6" t="s">
        <v>435</v>
      </c>
      <c r="E409" s="6">
        <v>1</v>
      </c>
      <c r="F409" s="6">
        <v>7</v>
      </c>
      <c r="G409" s="6" t="s">
        <v>179</v>
      </c>
      <c r="I409" s="8">
        <v>86.191348333333295</v>
      </c>
      <c r="J409" s="8">
        <v>118.623774583333</v>
      </c>
      <c r="K409" s="6" t="s">
        <v>29</v>
      </c>
      <c r="L409" s="6" t="s">
        <v>335</v>
      </c>
      <c r="M409" s="9">
        <v>43784</v>
      </c>
      <c r="O409" s="6">
        <v>7</v>
      </c>
      <c r="P409" s="6" t="s">
        <v>4260</v>
      </c>
      <c r="Q409" s="8">
        <v>-4.3333333333333339</v>
      </c>
      <c r="R409" s="10" t="s">
        <v>436</v>
      </c>
      <c r="S409" s="10">
        <v>71</v>
      </c>
      <c r="T409" s="10">
        <v>81</v>
      </c>
      <c r="U409" s="10">
        <f t="shared" si="12"/>
        <v>76</v>
      </c>
      <c r="V409" s="6">
        <v>4.4000000000000004</v>
      </c>
      <c r="W409" s="8">
        <v>-1.5416475386142734</v>
      </c>
      <c r="X409" s="8">
        <v>-10.599506978034974</v>
      </c>
      <c r="Y409" s="8">
        <f t="shared" si="13"/>
        <v>1.7336733308792134</v>
      </c>
    </row>
    <row r="410" spans="1:26" s="6" customFormat="1" x14ac:dyDescent="0.35">
      <c r="A410" s="6" t="s">
        <v>25</v>
      </c>
      <c r="B410" s="7"/>
      <c r="D410" s="6" t="s">
        <v>803</v>
      </c>
      <c r="E410" s="6">
        <v>2</v>
      </c>
      <c r="F410" s="6">
        <v>17</v>
      </c>
      <c r="G410" s="6" t="s">
        <v>202</v>
      </c>
      <c r="I410" s="8">
        <v>86.641082222222195</v>
      </c>
      <c r="J410" s="8">
        <v>113.166453680556</v>
      </c>
      <c r="K410" s="6" t="s">
        <v>29</v>
      </c>
      <c r="L410" s="6" t="s">
        <v>335</v>
      </c>
      <c r="M410" s="9">
        <v>43822</v>
      </c>
      <c r="O410" s="6">
        <v>13</v>
      </c>
      <c r="P410" s="6" t="s">
        <v>4294</v>
      </c>
      <c r="S410" s="6">
        <v>70</v>
      </c>
      <c r="T410" s="6">
        <v>82</v>
      </c>
      <c r="U410" s="10">
        <f t="shared" si="12"/>
        <v>76</v>
      </c>
      <c r="W410" s="8">
        <v>-1.269902184602091E-4</v>
      </c>
      <c r="X410" s="8">
        <v>0.12298065147399885</v>
      </c>
      <c r="Y410" s="8">
        <f t="shared" si="13"/>
        <v>0.12399657322168052</v>
      </c>
    </row>
    <row r="411" spans="1:26" s="6" customFormat="1" x14ac:dyDescent="0.35">
      <c r="A411" s="6" t="s">
        <v>25</v>
      </c>
      <c r="B411" s="7" t="s">
        <v>901</v>
      </c>
      <c r="D411" s="6" t="s">
        <v>902</v>
      </c>
      <c r="E411" s="6">
        <v>2</v>
      </c>
      <c r="F411" s="6">
        <v>21</v>
      </c>
      <c r="G411" s="6" t="s">
        <v>202</v>
      </c>
      <c r="I411" s="8">
        <v>87.451079583333296</v>
      </c>
      <c r="J411" s="8">
        <v>97.375985347222198</v>
      </c>
      <c r="K411" s="6" t="s">
        <v>29</v>
      </c>
      <c r="L411" s="6" t="s">
        <v>335</v>
      </c>
      <c r="M411" s="9">
        <v>43850</v>
      </c>
      <c r="O411" s="6">
        <v>17</v>
      </c>
      <c r="P411" s="6" t="s">
        <v>4314</v>
      </c>
      <c r="R411" s="10"/>
      <c r="S411" s="10">
        <v>71</v>
      </c>
      <c r="T411" s="10">
        <v>82</v>
      </c>
      <c r="U411" s="10">
        <f t="shared" si="12"/>
        <v>76.5</v>
      </c>
      <c r="V411" s="11">
        <v>6</v>
      </c>
      <c r="W411" s="8">
        <v>6.4236170014552535E-2</v>
      </c>
      <c r="X411" s="8">
        <v>0.27065384626388506</v>
      </c>
      <c r="Y411" s="8">
        <f t="shared" si="13"/>
        <v>-0.24323551385253522</v>
      </c>
    </row>
    <row r="412" spans="1:26" s="6" customFormat="1" x14ac:dyDescent="0.35">
      <c r="A412" s="6" t="s">
        <v>25</v>
      </c>
      <c r="B412" s="7" t="s">
        <v>2241</v>
      </c>
      <c r="D412" s="6" t="s">
        <v>2242</v>
      </c>
      <c r="E412" s="6">
        <v>4</v>
      </c>
      <c r="F412" s="6">
        <v>49</v>
      </c>
      <c r="G412" s="6" t="s">
        <v>335</v>
      </c>
      <c r="I412" s="8">
        <v>79.191449375000005</v>
      </c>
      <c r="J412" s="8">
        <v>-2.6081078472222199</v>
      </c>
      <c r="K412" s="6" t="s">
        <v>29</v>
      </c>
      <c r="L412" s="6" t="s">
        <v>335</v>
      </c>
      <c r="M412" s="9">
        <v>44041</v>
      </c>
      <c r="O412" s="6">
        <v>44</v>
      </c>
      <c r="P412" s="6" t="s">
        <v>4421</v>
      </c>
      <c r="R412" s="10" t="s">
        <v>1799</v>
      </c>
      <c r="S412" s="10">
        <v>74</v>
      </c>
      <c r="T412" s="10">
        <v>79</v>
      </c>
      <c r="U412" s="10">
        <f t="shared" si="12"/>
        <v>76.5</v>
      </c>
      <c r="V412" s="11"/>
      <c r="W412" s="8">
        <v>-0.71199279289245565</v>
      </c>
      <c r="X412" s="8">
        <v>-5.4451549839973454</v>
      </c>
      <c r="Y412" s="8">
        <f t="shared" si="13"/>
        <v>0.25078735914229977</v>
      </c>
    </row>
    <row r="413" spans="1:26" s="6" customFormat="1" x14ac:dyDescent="0.35">
      <c r="A413" s="6" t="s">
        <v>25</v>
      </c>
      <c r="B413" s="7" t="s">
        <v>26</v>
      </c>
      <c r="D413" s="6" t="s">
        <v>27</v>
      </c>
      <c r="E413" s="6">
        <v>1</v>
      </c>
      <c r="F413" s="6">
        <v>1</v>
      </c>
      <c r="G413" s="6" t="s">
        <v>28</v>
      </c>
      <c r="I413" s="8">
        <v>85.144790624999999</v>
      </c>
      <c r="J413" s="8">
        <v>133.79209895833301</v>
      </c>
      <c r="K413" s="6" t="s">
        <v>29</v>
      </c>
      <c r="L413" s="6" t="s">
        <v>335</v>
      </c>
      <c r="M413" s="9">
        <v>43741</v>
      </c>
      <c r="O413" s="6">
        <v>1</v>
      </c>
      <c r="P413" s="6" t="s">
        <v>4242</v>
      </c>
      <c r="R413" s="10"/>
      <c r="S413" s="10">
        <v>72</v>
      </c>
      <c r="T413" s="10">
        <v>82</v>
      </c>
      <c r="U413" s="10">
        <f t="shared" si="12"/>
        <v>77</v>
      </c>
      <c r="V413" s="30"/>
      <c r="W413" s="8">
        <v>8.400521952658821E-3</v>
      </c>
      <c r="X413" s="8">
        <v>0.66218341846019046</v>
      </c>
      <c r="Y413" s="8">
        <f t="shared" si="13"/>
        <v>0.5949792428389199</v>
      </c>
    </row>
    <row r="414" spans="1:26" s="6" customFormat="1" x14ac:dyDescent="0.35">
      <c r="A414" s="6" t="s">
        <v>25</v>
      </c>
      <c r="B414" s="7" t="s">
        <v>1702</v>
      </c>
      <c r="D414" s="6" t="s">
        <v>1703</v>
      </c>
      <c r="E414" s="6">
        <v>4</v>
      </c>
      <c r="F414" s="6">
        <v>44</v>
      </c>
      <c r="G414" s="6" t="s">
        <v>335</v>
      </c>
      <c r="I414" s="8">
        <v>81.975306180555606</v>
      </c>
      <c r="J414" s="8">
        <v>9.2425022222222193</v>
      </c>
      <c r="K414" s="6" t="s">
        <v>29</v>
      </c>
      <c r="L414" s="6" t="s">
        <v>335</v>
      </c>
      <c r="M414" s="9">
        <v>44004</v>
      </c>
      <c r="O414" s="6">
        <v>39</v>
      </c>
      <c r="P414" s="6" t="s">
        <v>4405</v>
      </c>
      <c r="R414" s="10"/>
      <c r="S414" s="10">
        <v>75</v>
      </c>
      <c r="T414" s="10">
        <v>80</v>
      </c>
      <c r="U414" s="10">
        <f t="shared" si="12"/>
        <v>77.5</v>
      </c>
      <c r="V414" s="11"/>
      <c r="W414" s="8">
        <v>2.0413501272201776E-2</v>
      </c>
      <c r="X414" s="8">
        <v>-0.24120450305938848</v>
      </c>
      <c r="Y414" s="8">
        <f t="shared" si="13"/>
        <v>-0.40451251323700266</v>
      </c>
    </row>
    <row r="415" spans="1:26" s="6" customFormat="1" x14ac:dyDescent="0.35">
      <c r="A415" s="6" t="s">
        <v>25</v>
      </c>
      <c r="B415" s="7" t="s">
        <v>1723</v>
      </c>
      <c r="D415" s="6" t="s">
        <v>1724</v>
      </c>
      <c r="E415" s="6">
        <v>4</v>
      </c>
      <c r="F415" s="6">
        <v>44</v>
      </c>
      <c r="G415" s="6" t="s">
        <v>335</v>
      </c>
      <c r="I415" s="8">
        <v>81.975306180555606</v>
      </c>
      <c r="J415" s="8">
        <v>9.2425022222222193</v>
      </c>
      <c r="K415" s="6" t="s">
        <v>29</v>
      </c>
      <c r="L415" s="6" t="s">
        <v>335</v>
      </c>
      <c r="M415" s="9">
        <v>44004</v>
      </c>
      <c r="O415" s="6">
        <v>39</v>
      </c>
      <c r="P415" s="6" t="s">
        <v>4405</v>
      </c>
      <c r="R415" s="10" t="s">
        <v>1725</v>
      </c>
      <c r="S415" s="10">
        <v>75</v>
      </c>
      <c r="T415" s="10">
        <v>80</v>
      </c>
      <c r="U415" s="10">
        <f t="shared" si="12"/>
        <v>77.5</v>
      </c>
      <c r="V415" s="11"/>
      <c r="W415" s="8">
        <v>9.2205164442062532E-2</v>
      </c>
      <c r="X415" s="8">
        <v>0.24602518987655597</v>
      </c>
      <c r="Y415" s="8">
        <f t="shared" si="13"/>
        <v>-0.49161612565994428</v>
      </c>
    </row>
    <row r="416" spans="1:26" s="6" customFormat="1" x14ac:dyDescent="0.35">
      <c r="A416" s="6" t="s">
        <v>25</v>
      </c>
      <c r="B416" s="6" t="s">
        <v>2498</v>
      </c>
      <c r="D416" s="6" t="s">
        <v>2499</v>
      </c>
      <c r="E416" s="6">
        <v>5</v>
      </c>
      <c r="F416" s="6">
        <v>61</v>
      </c>
      <c r="I416" s="8">
        <v>89.023700416666699</v>
      </c>
      <c r="J416" s="8">
        <v>102.473466597222</v>
      </c>
      <c r="K416" s="6" t="s">
        <v>29</v>
      </c>
      <c r="L416" s="29" t="s">
        <v>335</v>
      </c>
      <c r="M416" s="9">
        <v>44088</v>
      </c>
      <c r="O416" s="6">
        <v>52</v>
      </c>
      <c r="P416" s="6" t="s">
        <v>4394</v>
      </c>
      <c r="S416" s="6">
        <v>73.5</v>
      </c>
      <c r="T416" s="6">
        <v>84</v>
      </c>
      <c r="U416" s="10">
        <f t="shared" si="12"/>
        <v>78.75</v>
      </c>
      <c r="V416" s="15">
        <v>2.1</v>
      </c>
      <c r="W416" s="8">
        <v>0.43527446372509015</v>
      </c>
      <c r="X416" s="8">
        <v>4.5339330062866212</v>
      </c>
      <c r="Y416" s="8">
        <f t="shared" si="13"/>
        <v>1.0517372964859</v>
      </c>
      <c r="Z416" s="6" t="s">
        <v>1760</v>
      </c>
    </row>
    <row r="417" spans="1:26" s="6" customFormat="1" x14ac:dyDescent="0.35">
      <c r="A417" s="6" t="s">
        <v>25</v>
      </c>
      <c r="B417" s="7" t="s">
        <v>269</v>
      </c>
      <c r="D417" s="6" t="s">
        <v>270</v>
      </c>
      <c r="E417" s="6">
        <v>1</v>
      </c>
      <c r="F417" s="6">
        <v>5</v>
      </c>
      <c r="G417" s="6" t="s">
        <v>179</v>
      </c>
      <c r="I417" s="8">
        <v>85.859204791666698</v>
      </c>
      <c r="J417" s="8">
        <v>122.400430694444</v>
      </c>
      <c r="K417" s="7" t="s">
        <v>29</v>
      </c>
      <c r="L417" s="6" t="s">
        <v>335</v>
      </c>
      <c r="M417" s="9">
        <v>43771</v>
      </c>
      <c r="O417" s="6">
        <v>5</v>
      </c>
      <c r="P417" s="6" t="s">
        <v>4254</v>
      </c>
      <c r="R417" s="10"/>
      <c r="S417" s="10">
        <v>74</v>
      </c>
      <c r="T417" s="10">
        <v>84</v>
      </c>
      <c r="U417" s="10">
        <f t="shared" si="12"/>
        <v>79</v>
      </c>
      <c r="V417" s="6">
        <v>0.5</v>
      </c>
      <c r="W417" s="8">
        <v>-6.8189414637565626</v>
      </c>
      <c r="X417" s="8">
        <v>-51.58909091949463</v>
      </c>
      <c r="Y417" s="8">
        <f t="shared" si="13"/>
        <v>2.9624407905578707</v>
      </c>
    </row>
    <row r="418" spans="1:26" s="6" customFormat="1" x14ac:dyDescent="0.35">
      <c r="A418" s="6" t="s">
        <v>25</v>
      </c>
      <c r="B418" s="6" t="s">
        <v>2181</v>
      </c>
      <c r="D418" s="6" t="s">
        <v>2182</v>
      </c>
      <c r="E418" s="6">
        <v>4</v>
      </c>
      <c r="F418" s="6">
        <v>48</v>
      </c>
      <c r="I418" s="8">
        <v>80.754295347222197</v>
      </c>
      <c r="J418" s="8">
        <v>-0.488818958333333</v>
      </c>
      <c r="K418" s="6" t="s">
        <v>29</v>
      </c>
      <c r="L418" s="29" t="s">
        <v>335</v>
      </c>
      <c r="M418" s="9">
        <v>44032</v>
      </c>
      <c r="O418" s="6">
        <v>43</v>
      </c>
      <c r="P418" s="6" t="s">
        <v>4403</v>
      </c>
      <c r="S418" s="6">
        <v>74</v>
      </c>
      <c r="T418" s="6">
        <v>84</v>
      </c>
      <c r="U418" s="10">
        <f t="shared" si="12"/>
        <v>79</v>
      </c>
      <c r="V418" s="15">
        <v>2.5</v>
      </c>
      <c r="W418" s="8">
        <v>6.6774645164609042E-2</v>
      </c>
      <c r="X418" s="8">
        <v>0.8948202023506161</v>
      </c>
      <c r="Y418" s="8">
        <f t="shared" si="13"/>
        <v>0.36062304103374376</v>
      </c>
      <c r="Z418" s="6" t="s">
        <v>1760</v>
      </c>
    </row>
    <row r="419" spans="1:26" s="6" customFormat="1" x14ac:dyDescent="0.35">
      <c r="A419" s="6" t="s">
        <v>25</v>
      </c>
      <c r="B419" s="7"/>
      <c r="C419" s="6">
        <v>510944</v>
      </c>
      <c r="D419" s="6" t="s">
        <v>749</v>
      </c>
      <c r="E419" s="6">
        <v>1</v>
      </c>
      <c r="F419" s="6">
        <v>10</v>
      </c>
      <c r="G419" s="6" t="s">
        <v>210</v>
      </c>
      <c r="H419" s="6">
        <v>12</v>
      </c>
      <c r="I419" s="8">
        <v>85.933882569444407</v>
      </c>
      <c r="J419" s="8">
        <v>114.06437159722201</v>
      </c>
      <c r="K419" s="6" t="s">
        <v>29</v>
      </c>
      <c r="L419" s="6" t="s">
        <v>335</v>
      </c>
      <c r="M419" s="9">
        <v>43801</v>
      </c>
      <c r="O419" s="6">
        <v>10</v>
      </c>
      <c r="P419" s="6" t="s">
        <v>4277</v>
      </c>
      <c r="R419" s="6" t="s">
        <v>751</v>
      </c>
      <c r="S419" s="6">
        <v>73.5</v>
      </c>
      <c r="T419" s="6">
        <v>85</v>
      </c>
      <c r="U419" s="10">
        <f t="shared" si="12"/>
        <v>79.25</v>
      </c>
      <c r="V419" s="6">
        <v>5.8</v>
      </c>
      <c r="W419" s="8">
        <v>0.77186977999210415</v>
      </c>
      <c r="X419" s="8">
        <v>5.7184765548706054</v>
      </c>
      <c r="Y419" s="8">
        <f t="shared" si="13"/>
        <v>-0.45648168506622788</v>
      </c>
    </row>
    <row r="420" spans="1:26" s="6" customFormat="1" x14ac:dyDescent="0.35">
      <c r="A420" s="6" t="s">
        <v>25</v>
      </c>
      <c r="B420" s="7"/>
      <c r="C420" s="6">
        <v>510416</v>
      </c>
      <c r="D420" s="6" t="s">
        <v>344</v>
      </c>
      <c r="E420" s="6">
        <v>1</v>
      </c>
      <c r="F420" s="6">
        <v>6</v>
      </c>
      <c r="G420" s="6" t="s">
        <v>345</v>
      </c>
      <c r="H420" s="6">
        <v>18</v>
      </c>
      <c r="I420" s="8">
        <v>85.9187781944444</v>
      </c>
      <c r="J420" s="8">
        <v>117.45457173611101</v>
      </c>
      <c r="K420" s="6" t="s">
        <v>29</v>
      </c>
      <c r="L420" s="6" t="s">
        <v>335</v>
      </c>
      <c r="M420" s="9">
        <v>43775</v>
      </c>
      <c r="O420" s="6">
        <v>6</v>
      </c>
      <c r="P420" s="6" t="s">
        <v>4256</v>
      </c>
      <c r="R420" s="6" t="s">
        <v>347</v>
      </c>
      <c r="S420" s="6">
        <v>75</v>
      </c>
      <c r="T420" s="6">
        <v>85</v>
      </c>
      <c r="U420" s="10">
        <f t="shared" si="12"/>
        <v>80</v>
      </c>
      <c r="V420" s="6">
        <v>4.7</v>
      </c>
      <c r="W420" s="8">
        <v>-1.1915248319864271</v>
      </c>
      <c r="X420" s="8">
        <v>-9.2696645736694325</v>
      </c>
      <c r="Y420" s="8">
        <f t="shared" si="13"/>
        <v>0.26253408222198438</v>
      </c>
    </row>
    <row r="421" spans="1:26" s="6" customFormat="1" x14ac:dyDescent="0.35">
      <c r="A421" s="6" t="s">
        <v>25</v>
      </c>
      <c r="B421" s="7"/>
      <c r="C421" s="6">
        <v>511040</v>
      </c>
      <c r="D421" s="6" t="s">
        <v>773</v>
      </c>
      <c r="E421" s="6">
        <v>1</v>
      </c>
      <c r="F421" s="6">
        <v>10</v>
      </c>
      <c r="G421" s="6" t="s">
        <v>345</v>
      </c>
      <c r="H421" s="6">
        <v>22</v>
      </c>
      <c r="I421" s="8">
        <v>86.141995833333297</v>
      </c>
      <c r="J421" s="8">
        <v>122.240208541667</v>
      </c>
      <c r="K421" s="6" t="s">
        <v>29</v>
      </c>
      <c r="L421" s="6" t="s">
        <v>335</v>
      </c>
      <c r="M421" s="9">
        <v>43805</v>
      </c>
      <c r="O421" s="6">
        <v>10</v>
      </c>
      <c r="P421" s="6" t="s">
        <v>4280</v>
      </c>
      <c r="R421" s="6" t="s">
        <v>774</v>
      </c>
      <c r="S421" s="6">
        <v>77</v>
      </c>
      <c r="T421" s="6">
        <v>84</v>
      </c>
      <c r="U421" s="10">
        <f t="shared" si="12"/>
        <v>80.5</v>
      </c>
      <c r="V421" s="6">
        <v>5.9</v>
      </c>
      <c r="W421" s="8">
        <v>0.52806736335754356</v>
      </c>
      <c r="X421" s="8">
        <v>5.0883320388793942</v>
      </c>
      <c r="Y421" s="8">
        <f t="shared" si="13"/>
        <v>0.86379313201904573</v>
      </c>
    </row>
    <row r="422" spans="1:26" s="6" customFormat="1" x14ac:dyDescent="0.35">
      <c r="A422" s="6" t="s">
        <v>25</v>
      </c>
      <c r="B422" s="7" t="s">
        <v>2251</v>
      </c>
      <c r="D422" s="6" t="s">
        <v>2252</v>
      </c>
      <c r="E422" s="6">
        <v>4</v>
      </c>
      <c r="F422" s="6">
        <v>49</v>
      </c>
      <c r="G422" s="6" t="s">
        <v>335</v>
      </c>
      <c r="I422" s="8">
        <v>79.191449375000005</v>
      </c>
      <c r="J422" s="8">
        <v>-2.6081078472222199</v>
      </c>
      <c r="K422" s="6" t="s">
        <v>29</v>
      </c>
      <c r="L422" s="6" t="s">
        <v>335</v>
      </c>
      <c r="M422" s="9">
        <v>44041</v>
      </c>
      <c r="O422" s="6">
        <v>44</v>
      </c>
      <c r="P422" s="6" t="s">
        <v>4421</v>
      </c>
      <c r="R422" s="10" t="s">
        <v>1793</v>
      </c>
      <c r="S422" s="10">
        <v>79</v>
      </c>
      <c r="T422" s="10">
        <v>84</v>
      </c>
      <c r="U422" s="10">
        <f t="shared" si="12"/>
        <v>81.5</v>
      </c>
      <c r="V422" s="11"/>
      <c r="W422" s="8">
        <v>-1.2814317105293278</v>
      </c>
      <c r="X422" s="8">
        <v>-9.8561495943069453</v>
      </c>
      <c r="Y422" s="8">
        <f t="shared" si="13"/>
        <v>0.39530408992767718</v>
      </c>
    </row>
    <row r="423" spans="1:26" s="6" customFormat="1" x14ac:dyDescent="0.35">
      <c r="A423" s="6" t="s">
        <v>25</v>
      </c>
      <c r="B423" s="7"/>
      <c r="C423" s="6">
        <v>510536</v>
      </c>
      <c r="D423" s="6" t="s">
        <v>409</v>
      </c>
      <c r="E423" s="6">
        <v>1</v>
      </c>
      <c r="F423" s="6">
        <v>7</v>
      </c>
      <c r="G423" s="6" t="s">
        <v>345</v>
      </c>
      <c r="H423" s="6">
        <v>10</v>
      </c>
      <c r="I423" s="8">
        <v>86.116053611111099</v>
      </c>
      <c r="J423" s="8">
        <v>117.978438125</v>
      </c>
      <c r="K423" s="6" t="s">
        <v>29</v>
      </c>
      <c r="L423" s="6" t="s">
        <v>335</v>
      </c>
      <c r="M423" s="9">
        <v>43782</v>
      </c>
      <c r="O423" s="6">
        <v>7</v>
      </c>
      <c r="P423" s="6" t="s">
        <v>4254</v>
      </c>
      <c r="R423" s="6" t="s">
        <v>414</v>
      </c>
      <c r="S423" s="6">
        <v>75</v>
      </c>
      <c r="T423" s="6">
        <v>90</v>
      </c>
      <c r="U423" s="10">
        <f t="shared" si="12"/>
        <v>82.5</v>
      </c>
      <c r="V423" s="6">
        <v>4.7</v>
      </c>
      <c r="W423" s="8">
        <v>-0.87209107389450113</v>
      </c>
      <c r="X423" s="8">
        <v>-6.5918688539743426</v>
      </c>
      <c r="Y423" s="8">
        <f t="shared" si="13"/>
        <v>0.38485973718166644</v>
      </c>
    </row>
    <row r="424" spans="1:26" s="6" customFormat="1" x14ac:dyDescent="0.35">
      <c r="A424" s="6" t="s">
        <v>25</v>
      </c>
      <c r="B424" s="7" t="s">
        <v>1675</v>
      </c>
      <c r="D424" s="6" t="s">
        <v>1676</v>
      </c>
      <c r="E424" s="6">
        <v>4</v>
      </c>
      <c r="F424" s="6">
        <v>44</v>
      </c>
      <c r="G424" s="6" t="s">
        <v>335</v>
      </c>
      <c r="I424" s="8">
        <v>81.975306180555606</v>
      </c>
      <c r="J424" s="8">
        <v>9.2425022222222193</v>
      </c>
      <c r="K424" s="6" t="s">
        <v>29</v>
      </c>
      <c r="L424" s="6" t="s">
        <v>335</v>
      </c>
      <c r="M424" s="9">
        <v>44004</v>
      </c>
      <c r="O424" s="6">
        <v>39</v>
      </c>
      <c r="P424" s="6" t="s">
        <v>4405</v>
      </c>
      <c r="R424" s="10" t="s">
        <v>1677</v>
      </c>
      <c r="S424" s="10">
        <v>80</v>
      </c>
      <c r="T424" s="10">
        <v>85</v>
      </c>
      <c r="U424" s="10">
        <f t="shared" si="12"/>
        <v>82.5</v>
      </c>
      <c r="V424" s="11"/>
      <c r="W424" s="8">
        <v>-0.1014428209885959</v>
      </c>
      <c r="X424" s="8">
        <v>0.71669842505454995</v>
      </c>
      <c r="Y424" s="8">
        <f t="shared" si="13"/>
        <v>1.5282409929633172</v>
      </c>
    </row>
    <row r="425" spans="1:26" s="6" customFormat="1" x14ac:dyDescent="0.35">
      <c r="A425" s="6" t="s">
        <v>25</v>
      </c>
      <c r="B425" s="7" t="s">
        <v>1732</v>
      </c>
      <c r="D425" s="6" t="s">
        <v>1733</v>
      </c>
      <c r="E425" s="6">
        <v>4</v>
      </c>
      <c r="F425" s="6">
        <v>44</v>
      </c>
      <c r="G425" s="6" t="s">
        <v>335</v>
      </c>
      <c r="I425" s="8">
        <v>81.975306180555606</v>
      </c>
      <c r="J425" s="8">
        <v>9.2425022222222193</v>
      </c>
      <c r="K425" s="6" t="s">
        <v>29</v>
      </c>
      <c r="L425" s="6" t="s">
        <v>335</v>
      </c>
      <c r="M425" s="9">
        <v>44004</v>
      </c>
      <c r="O425" s="6">
        <v>39</v>
      </c>
      <c r="P425" s="6" t="s">
        <v>4405</v>
      </c>
      <c r="R425" s="10"/>
      <c r="S425" s="10">
        <v>80</v>
      </c>
      <c r="T425" s="10">
        <v>85</v>
      </c>
      <c r="U425" s="10">
        <f t="shared" si="12"/>
        <v>82.5</v>
      </c>
      <c r="V425" s="11"/>
      <c r="W425" s="8">
        <v>-4.6898802448809424E-2</v>
      </c>
      <c r="X425" s="8">
        <v>0.42750841546058671</v>
      </c>
      <c r="Y425" s="8">
        <f t="shared" si="13"/>
        <v>0.8026988350510621</v>
      </c>
    </row>
    <row r="426" spans="1:26" s="6" customFormat="1" x14ac:dyDescent="0.35">
      <c r="A426" s="6" t="s">
        <v>25</v>
      </c>
      <c r="B426" s="6" t="s">
        <v>2274</v>
      </c>
      <c r="D426" s="6" t="s">
        <v>2275</v>
      </c>
      <c r="E426" s="6">
        <v>4</v>
      </c>
      <c r="F426" s="6">
        <v>49</v>
      </c>
      <c r="I426" s="8">
        <v>79.191449375000005</v>
      </c>
      <c r="J426" s="8">
        <v>-2.6081078472222199</v>
      </c>
      <c r="K426" s="6" t="s">
        <v>29</v>
      </c>
      <c r="L426" s="29" t="s">
        <v>335</v>
      </c>
      <c r="M426" s="9">
        <v>44041</v>
      </c>
      <c r="O426" s="6">
        <v>44</v>
      </c>
      <c r="P426" s="6" t="s">
        <v>4421</v>
      </c>
      <c r="S426" s="6">
        <v>78</v>
      </c>
      <c r="T426" s="6">
        <v>87</v>
      </c>
      <c r="U426" s="10">
        <f t="shared" si="12"/>
        <v>82.5</v>
      </c>
      <c r="V426" s="15">
        <v>0.9</v>
      </c>
      <c r="W426" s="8">
        <v>-0.40169670850038536</v>
      </c>
      <c r="X426" s="8">
        <v>-3.2490490831375127</v>
      </c>
      <c r="Y426" s="8">
        <f t="shared" si="13"/>
        <v>-3.5475415134429866E-2</v>
      </c>
      <c r="Z426" s="6" t="s">
        <v>1760</v>
      </c>
    </row>
    <row r="427" spans="1:26" s="6" customFormat="1" x14ac:dyDescent="0.35">
      <c r="A427" s="6" t="s">
        <v>25</v>
      </c>
      <c r="B427" s="6" t="s">
        <v>2325</v>
      </c>
      <c r="D427" s="6" t="s">
        <v>2326</v>
      </c>
      <c r="E427" s="6">
        <v>5</v>
      </c>
      <c r="F427" s="6">
        <v>59</v>
      </c>
      <c r="I427" s="8">
        <v>88.299658402777794</v>
      </c>
      <c r="J427" s="8">
        <v>114.11509069444401</v>
      </c>
      <c r="K427" s="6" t="s">
        <v>29</v>
      </c>
      <c r="L427" s="29" t="s">
        <v>335</v>
      </c>
      <c r="M427" s="9">
        <v>44074</v>
      </c>
      <c r="O427" s="6">
        <v>50</v>
      </c>
      <c r="P427" s="6" t="s">
        <v>4396</v>
      </c>
      <c r="S427" s="6">
        <v>80</v>
      </c>
      <c r="T427" s="6">
        <v>88</v>
      </c>
      <c r="U427" s="10">
        <f t="shared" si="12"/>
        <v>84</v>
      </c>
      <c r="V427" s="15">
        <v>2.6</v>
      </c>
      <c r="W427" s="8">
        <v>0.82747396225929226</v>
      </c>
      <c r="X427" s="8">
        <v>7.5930643243789682</v>
      </c>
      <c r="Y427" s="8">
        <f t="shared" si="13"/>
        <v>0.97327262630463007</v>
      </c>
      <c r="Z427" s="6" t="s">
        <v>1760</v>
      </c>
    </row>
    <row r="428" spans="1:26" s="6" customFormat="1" x14ac:dyDescent="0.35">
      <c r="A428" s="6" t="s">
        <v>25</v>
      </c>
      <c r="B428" s="6" t="s">
        <v>166</v>
      </c>
      <c r="C428" s="6">
        <v>510161</v>
      </c>
      <c r="D428" s="6" t="s">
        <v>152</v>
      </c>
      <c r="E428" s="6">
        <v>1</v>
      </c>
      <c r="F428" s="6">
        <v>3</v>
      </c>
      <c r="G428" s="6" t="s">
        <v>153</v>
      </c>
      <c r="I428" s="8">
        <v>85.348898888888897</v>
      </c>
      <c r="J428" s="8">
        <v>129.88336361111101</v>
      </c>
      <c r="K428" s="6" t="s">
        <v>29</v>
      </c>
      <c r="L428" s="6" t="s">
        <v>335</v>
      </c>
      <c r="M428" s="9">
        <v>43761</v>
      </c>
      <c r="O428" s="6">
        <v>4</v>
      </c>
      <c r="P428" s="6" t="s">
        <v>4248</v>
      </c>
      <c r="R428" s="6" t="s">
        <v>167</v>
      </c>
      <c r="S428" s="6">
        <v>80</v>
      </c>
      <c r="T428" s="6">
        <v>90</v>
      </c>
      <c r="U428" s="10">
        <f t="shared" si="12"/>
        <v>85</v>
      </c>
      <c r="V428" s="6">
        <v>4</v>
      </c>
      <c r="W428" s="8">
        <v>-0.85771091325283055</v>
      </c>
      <c r="X428" s="8">
        <v>-6.3895367269515999</v>
      </c>
      <c r="Y428" s="8">
        <f t="shared" si="13"/>
        <v>0.47215057907104452</v>
      </c>
    </row>
    <row r="429" spans="1:26" s="6" customFormat="1" x14ac:dyDescent="0.35">
      <c r="A429" s="6" t="s">
        <v>25</v>
      </c>
      <c r="B429" s="6" t="s">
        <v>892</v>
      </c>
      <c r="D429" s="6" t="s">
        <v>884</v>
      </c>
      <c r="E429" s="6">
        <v>2</v>
      </c>
      <c r="F429" s="6">
        <v>20</v>
      </c>
      <c r="G429" s="6" t="s">
        <v>57</v>
      </c>
      <c r="I429" s="8">
        <v>86.603676041666702</v>
      </c>
      <c r="J429" s="8">
        <v>116.411907777778</v>
      </c>
      <c r="K429" s="6" t="s">
        <v>29</v>
      </c>
      <c r="L429" s="6" t="s">
        <v>335</v>
      </c>
      <c r="M429" s="9">
        <v>43846</v>
      </c>
      <c r="O429" s="6">
        <v>16</v>
      </c>
      <c r="P429" s="6" t="s">
        <v>4311</v>
      </c>
      <c r="R429" s="6">
        <v>80</v>
      </c>
      <c r="S429" s="6">
        <v>80</v>
      </c>
      <c r="T429" s="6">
        <v>90</v>
      </c>
      <c r="U429" s="10">
        <f t="shared" si="12"/>
        <v>85</v>
      </c>
      <c r="V429" s="6">
        <v>5.6</v>
      </c>
      <c r="W429" s="8">
        <v>8.5808339402824813E-2</v>
      </c>
      <c r="X429" s="8">
        <v>1.647405264735222</v>
      </c>
      <c r="Y429" s="8">
        <f t="shared" si="13"/>
        <v>0.96093854951262347</v>
      </c>
    </row>
    <row r="430" spans="1:26" s="6" customFormat="1" x14ac:dyDescent="0.35">
      <c r="A430" s="6" t="s">
        <v>25</v>
      </c>
      <c r="B430" s="7"/>
      <c r="D430" s="6" t="s">
        <v>1004</v>
      </c>
      <c r="E430" s="6">
        <v>2</v>
      </c>
      <c r="F430" s="6">
        <v>23</v>
      </c>
      <c r="G430" s="6" t="s">
        <v>202</v>
      </c>
      <c r="I430" s="8">
        <v>87.352736041666702</v>
      </c>
      <c r="J430" s="8">
        <v>94.772103819444396</v>
      </c>
      <c r="K430" s="6" t="s">
        <v>29</v>
      </c>
      <c r="L430" s="6" t="s">
        <v>335</v>
      </c>
      <c r="M430" s="9">
        <v>43864</v>
      </c>
      <c r="O430" s="6">
        <v>19</v>
      </c>
      <c r="P430" s="6" t="s">
        <v>4322</v>
      </c>
      <c r="S430" s="6">
        <v>80</v>
      </c>
      <c r="T430" s="6">
        <v>90</v>
      </c>
      <c r="U430" s="10">
        <f t="shared" si="12"/>
        <v>85</v>
      </c>
      <c r="V430" s="6">
        <v>4.5999999999999996</v>
      </c>
      <c r="W430" s="8">
        <v>0.23901687774658173</v>
      </c>
      <c r="X430" s="8">
        <v>3.2011802444458008</v>
      </c>
      <c r="Y430" s="8">
        <f t="shared" si="13"/>
        <v>1.289045222473147</v>
      </c>
    </row>
    <row r="431" spans="1:26" s="6" customFormat="1" x14ac:dyDescent="0.35">
      <c r="A431" s="6" t="s">
        <v>25</v>
      </c>
      <c r="B431" s="7"/>
      <c r="D431" s="6" t="s">
        <v>1040</v>
      </c>
      <c r="E431" s="6">
        <v>2</v>
      </c>
      <c r="F431" s="6">
        <v>24</v>
      </c>
      <c r="G431" s="6" t="s">
        <v>57</v>
      </c>
      <c r="I431" s="8">
        <v>87.882876180555598</v>
      </c>
      <c r="J431" s="8">
        <v>87.424340833333304</v>
      </c>
      <c r="K431" s="6" t="s">
        <v>29</v>
      </c>
      <c r="L431" s="6" t="s">
        <v>335</v>
      </c>
      <c r="M431" s="9">
        <v>43873</v>
      </c>
      <c r="O431" s="6">
        <v>20</v>
      </c>
      <c r="P431" s="6" t="s">
        <v>4313</v>
      </c>
      <c r="S431" s="6">
        <v>80</v>
      </c>
      <c r="T431" s="6">
        <v>90</v>
      </c>
      <c r="U431" s="10">
        <f t="shared" si="12"/>
        <v>85</v>
      </c>
      <c r="V431" s="30"/>
      <c r="W431" s="8">
        <v>-2.258458653116227</v>
      </c>
      <c r="X431" s="8">
        <v>-16.161119523048402</v>
      </c>
      <c r="Y431" s="8">
        <f t="shared" si="13"/>
        <v>1.9065497018814135</v>
      </c>
    </row>
    <row r="432" spans="1:26" s="6" customFormat="1" x14ac:dyDescent="0.35">
      <c r="A432" s="6" t="s">
        <v>25</v>
      </c>
      <c r="B432" s="7"/>
      <c r="D432" s="6" t="s">
        <v>1090</v>
      </c>
      <c r="E432" s="6">
        <v>3</v>
      </c>
      <c r="F432" s="6">
        <v>31</v>
      </c>
      <c r="G432" s="6" t="s">
        <v>179</v>
      </c>
      <c r="I432" s="8">
        <v>87.889566388888895</v>
      </c>
      <c r="J432" s="8">
        <v>24.107920208333301</v>
      </c>
      <c r="K432" s="6" t="s">
        <v>29</v>
      </c>
      <c r="L432" s="6" t="s">
        <v>335</v>
      </c>
      <c r="M432" s="9">
        <v>43899</v>
      </c>
      <c r="O432" s="6">
        <v>24</v>
      </c>
      <c r="P432" s="6" t="s">
        <v>4343</v>
      </c>
      <c r="S432" s="6">
        <v>80</v>
      </c>
      <c r="T432" s="6">
        <v>90</v>
      </c>
      <c r="U432" s="10">
        <f t="shared" si="12"/>
        <v>85</v>
      </c>
      <c r="V432" s="6">
        <v>3.9</v>
      </c>
      <c r="W432" s="8">
        <v>-0.16851114934176184</v>
      </c>
      <c r="X432" s="8">
        <v>-1.2241386938095093</v>
      </c>
      <c r="Y432" s="8">
        <f t="shared" si="13"/>
        <v>0.12395050092458537</v>
      </c>
    </row>
    <row r="433" spans="1:26" s="6" customFormat="1" x14ac:dyDescent="0.35">
      <c r="A433" s="6" t="s">
        <v>25</v>
      </c>
      <c r="B433" s="7"/>
      <c r="D433" s="6" t="s">
        <v>1105</v>
      </c>
      <c r="E433" s="6">
        <v>3</v>
      </c>
      <c r="F433" s="6">
        <v>31</v>
      </c>
      <c r="G433" s="6" t="s">
        <v>345</v>
      </c>
      <c r="I433" s="8">
        <v>87.660309999999996</v>
      </c>
      <c r="J433" s="8">
        <v>24.286057569444399</v>
      </c>
      <c r="K433" s="6" t="s">
        <v>29</v>
      </c>
      <c r="L433" s="6" t="s">
        <v>335</v>
      </c>
      <c r="M433" s="9">
        <v>43901</v>
      </c>
      <c r="O433" s="6">
        <v>24</v>
      </c>
      <c r="P433" s="6" t="s">
        <v>4345</v>
      </c>
      <c r="S433" s="6">
        <v>80</v>
      </c>
      <c r="T433" s="6">
        <v>90</v>
      </c>
      <c r="U433" s="10">
        <f t="shared" si="12"/>
        <v>85</v>
      </c>
      <c r="V433" s="6">
        <v>3.8</v>
      </c>
      <c r="W433" s="8">
        <v>0.12841900651454929</v>
      </c>
      <c r="X433" s="8">
        <v>1.2890728969573984</v>
      </c>
      <c r="Y433" s="8">
        <f t="shared" si="13"/>
        <v>0.261720844841004</v>
      </c>
    </row>
    <row r="434" spans="1:26" s="6" customFormat="1" x14ac:dyDescent="0.35">
      <c r="A434" s="6" t="s">
        <v>25</v>
      </c>
      <c r="B434" s="7"/>
      <c r="D434" s="6" t="s">
        <v>1164</v>
      </c>
      <c r="E434" s="6">
        <v>3</v>
      </c>
      <c r="F434" s="6">
        <v>32</v>
      </c>
      <c r="G434" s="6" t="s">
        <v>179</v>
      </c>
      <c r="I434" s="8">
        <v>86.339075833333297</v>
      </c>
      <c r="J434" s="8">
        <v>14.7309175</v>
      </c>
      <c r="K434" s="6" t="s">
        <v>29</v>
      </c>
      <c r="L434" s="6" t="s">
        <v>335</v>
      </c>
      <c r="M434" s="9">
        <v>43910</v>
      </c>
      <c r="O434" s="6">
        <v>25</v>
      </c>
      <c r="P434" s="6" t="s">
        <v>4350</v>
      </c>
      <c r="S434" s="6">
        <v>80</v>
      </c>
      <c r="T434" s="6">
        <v>90</v>
      </c>
      <c r="U434" s="10">
        <f t="shared" si="12"/>
        <v>85</v>
      </c>
      <c r="V434" s="6">
        <v>6.1</v>
      </c>
      <c r="W434" s="8">
        <v>-5.1079697566479551E-2</v>
      </c>
      <c r="X434" s="8">
        <v>2.3761900424957239E-2</v>
      </c>
      <c r="Y434" s="8">
        <f t="shared" si="13"/>
        <v>0.43239948095679365</v>
      </c>
    </row>
    <row r="435" spans="1:26" s="6" customFormat="1" x14ac:dyDescent="0.35">
      <c r="A435" s="6" t="s">
        <v>25</v>
      </c>
      <c r="B435" s="7"/>
      <c r="D435" s="6" t="s">
        <v>1184</v>
      </c>
      <c r="E435" s="6">
        <v>3</v>
      </c>
      <c r="F435" s="6">
        <v>32</v>
      </c>
      <c r="G435" s="6" t="s">
        <v>202</v>
      </c>
      <c r="I435" s="8">
        <v>86.257643333333306</v>
      </c>
      <c r="J435" s="8">
        <v>15.261599722222201</v>
      </c>
      <c r="K435" s="6" t="s">
        <v>29</v>
      </c>
      <c r="L435" s="6" t="s">
        <v>335</v>
      </c>
      <c r="M435" s="9">
        <v>43911</v>
      </c>
      <c r="O435" s="6">
        <v>25</v>
      </c>
      <c r="P435" s="6" t="s">
        <v>4351</v>
      </c>
      <c r="S435" s="6">
        <v>80</v>
      </c>
      <c r="T435" s="6">
        <v>90</v>
      </c>
      <c r="U435" s="10">
        <f t="shared" si="12"/>
        <v>85</v>
      </c>
      <c r="V435" s="6">
        <v>8.1999999999999993</v>
      </c>
      <c r="W435" s="8">
        <v>-8.6330446414276452E-2</v>
      </c>
      <c r="X435" s="8">
        <v>-0.13328415870666419</v>
      </c>
      <c r="Y435" s="8">
        <f t="shared" si="13"/>
        <v>0.5573594126075474</v>
      </c>
    </row>
    <row r="436" spans="1:26" s="6" customFormat="1" x14ac:dyDescent="0.35">
      <c r="A436" s="6" t="s">
        <v>25</v>
      </c>
      <c r="B436" s="6" t="s">
        <v>1249</v>
      </c>
      <c r="D436" s="6" t="s">
        <v>1240</v>
      </c>
      <c r="E436" s="6">
        <v>3</v>
      </c>
      <c r="F436" s="6">
        <v>34</v>
      </c>
      <c r="G436" s="6" t="s">
        <v>202</v>
      </c>
      <c r="I436" s="8">
        <v>84.533711805555598</v>
      </c>
      <c r="J436" s="8">
        <v>14.277858402777801</v>
      </c>
      <c r="K436" s="6" t="s">
        <v>29</v>
      </c>
      <c r="L436" s="6" t="s">
        <v>335</v>
      </c>
      <c r="M436" s="9">
        <v>43927</v>
      </c>
      <c r="O436" s="6">
        <v>28</v>
      </c>
      <c r="P436" s="6" t="s">
        <v>4359</v>
      </c>
      <c r="R436" s="6">
        <v>80</v>
      </c>
      <c r="S436" s="6">
        <v>80</v>
      </c>
      <c r="T436" s="6">
        <v>90</v>
      </c>
      <c r="U436" s="10">
        <f t="shared" si="12"/>
        <v>85</v>
      </c>
      <c r="V436" s="6">
        <v>5.0999999999999996</v>
      </c>
      <c r="W436" s="8">
        <v>0.36195197402834861</v>
      </c>
      <c r="X436" s="8">
        <v>3.5549897766113281</v>
      </c>
      <c r="Y436" s="8">
        <f t="shared" si="13"/>
        <v>0.6593739843845392</v>
      </c>
    </row>
    <row r="437" spans="1:26" s="6" customFormat="1" x14ac:dyDescent="0.35">
      <c r="A437" s="6" t="s">
        <v>25</v>
      </c>
      <c r="B437" s="6" t="s">
        <v>1299</v>
      </c>
      <c r="D437" s="6" t="s">
        <v>1291</v>
      </c>
      <c r="E437" s="6">
        <v>3</v>
      </c>
      <c r="F437" s="6">
        <v>35</v>
      </c>
      <c r="G437" s="6" t="s">
        <v>345</v>
      </c>
      <c r="I437" s="8">
        <v>84.322834374999999</v>
      </c>
      <c r="J437" s="8">
        <v>14.725811041666701</v>
      </c>
      <c r="K437" s="6" t="s">
        <v>29</v>
      </c>
      <c r="L437" s="6" t="s">
        <v>335</v>
      </c>
      <c r="M437" s="9">
        <v>43931</v>
      </c>
      <c r="O437" s="6">
        <v>28</v>
      </c>
      <c r="P437" s="6" t="s">
        <v>4362</v>
      </c>
      <c r="R437" s="6">
        <v>80</v>
      </c>
      <c r="S437" s="6">
        <v>80</v>
      </c>
      <c r="T437" s="6">
        <v>90</v>
      </c>
      <c r="U437" s="10">
        <f t="shared" si="12"/>
        <v>85</v>
      </c>
      <c r="V437" s="6">
        <v>4.5</v>
      </c>
      <c r="W437" s="8">
        <v>9.919571906327973E-3</v>
      </c>
      <c r="X437" s="8">
        <v>-1.9272493124007747E-2</v>
      </c>
      <c r="Y437" s="8">
        <f t="shared" si="13"/>
        <v>-9.8629068374631534E-2</v>
      </c>
    </row>
    <row r="438" spans="1:26" s="6" customFormat="1" x14ac:dyDescent="0.35">
      <c r="A438" s="6" t="s">
        <v>25</v>
      </c>
      <c r="B438" s="7" t="s">
        <v>1370</v>
      </c>
      <c r="D438" s="6" t="s">
        <v>1371</v>
      </c>
      <c r="E438" s="6">
        <v>3</v>
      </c>
      <c r="F438" s="6">
        <v>36</v>
      </c>
      <c r="G438" s="6" t="s">
        <v>202</v>
      </c>
      <c r="I438" s="8">
        <v>84.331482986111098</v>
      </c>
      <c r="J438" s="8">
        <v>14.642671805555601</v>
      </c>
      <c r="K438" s="6" t="s">
        <v>29</v>
      </c>
      <c r="L438" s="6" t="s">
        <v>335</v>
      </c>
      <c r="M438" s="9">
        <v>43935</v>
      </c>
      <c r="O438" s="6">
        <v>29</v>
      </c>
      <c r="P438" s="6" t="s">
        <v>4332</v>
      </c>
      <c r="R438" s="10"/>
      <c r="S438" s="10">
        <v>80</v>
      </c>
      <c r="T438" s="10">
        <v>90</v>
      </c>
      <c r="U438" s="10">
        <f t="shared" si="12"/>
        <v>85</v>
      </c>
      <c r="V438" s="11">
        <v>4.4000000000000004</v>
      </c>
      <c r="W438" s="8">
        <v>-2.4737493686974435E-2</v>
      </c>
      <c r="X438" s="8">
        <v>0.18225342646613751</v>
      </c>
      <c r="Y438" s="8">
        <f t="shared" si="13"/>
        <v>0.38015337596193299</v>
      </c>
    </row>
    <row r="439" spans="1:26" s="6" customFormat="1" x14ac:dyDescent="0.35">
      <c r="A439" s="6" t="s">
        <v>25</v>
      </c>
      <c r="B439" s="7" t="s">
        <v>1454</v>
      </c>
      <c r="D439" s="6" t="s">
        <v>1455</v>
      </c>
      <c r="E439" s="6">
        <v>3</v>
      </c>
      <c r="F439" s="6">
        <v>37</v>
      </c>
      <c r="G439" s="6" t="s">
        <v>28</v>
      </c>
      <c r="I439" s="8">
        <v>83.999093333333306</v>
      </c>
      <c r="J439" s="8">
        <v>15.6102103472222</v>
      </c>
      <c r="K439" s="6" t="s">
        <v>29</v>
      </c>
      <c r="L439" s="6" t="s">
        <v>335</v>
      </c>
      <c r="M439" s="9">
        <v>43946</v>
      </c>
      <c r="O439" s="6">
        <v>30</v>
      </c>
      <c r="P439" s="6" t="s">
        <v>4265</v>
      </c>
      <c r="R439" s="10"/>
      <c r="S439" s="10">
        <v>80</v>
      </c>
      <c r="T439" s="10">
        <v>90</v>
      </c>
      <c r="U439" s="10">
        <f t="shared" si="12"/>
        <v>85</v>
      </c>
      <c r="V439" s="11">
        <v>4</v>
      </c>
      <c r="W439" s="8">
        <v>-1.5132215619087219</v>
      </c>
      <c r="X439" s="8">
        <v>-11.676964215278625</v>
      </c>
      <c r="Y439" s="8">
        <f t="shared" si="13"/>
        <v>0.42880827999115034</v>
      </c>
    </row>
    <row r="440" spans="1:26" s="6" customFormat="1" x14ac:dyDescent="0.35">
      <c r="A440" s="6" t="s">
        <v>25</v>
      </c>
      <c r="B440" s="7" t="s">
        <v>1498</v>
      </c>
      <c r="D440" s="6" t="s">
        <v>1499</v>
      </c>
      <c r="E440" s="6">
        <v>3</v>
      </c>
      <c r="F440" s="6">
        <v>37</v>
      </c>
      <c r="G440" s="6" t="s">
        <v>28</v>
      </c>
      <c r="I440" s="8">
        <v>83.999093333333306</v>
      </c>
      <c r="J440" s="8">
        <v>15.6102103472222</v>
      </c>
      <c r="K440" s="6" t="s">
        <v>29</v>
      </c>
      <c r="L440" s="6" t="s">
        <v>335</v>
      </c>
      <c r="M440" s="9">
        <v>43946</v>
      </c>
      <c r="O440" s="6">
        <v>30</v>
      </c>
      <c r="P440" s="6" t="s">
        <v>4265</v>
      </c>
      <c r="R440" s="10"/>
      <c r="S440" s="10">
        <v>80</v>
      </c>
      <c r="T440" s="10">
        <v>90</v>
      </c>
      <c r="U440" s="10">
        <f t="shared" si="12"/>
        <v>85</v>
      </c>
      <c r="V440" s="11">
        <v>3.2</v>
      </c>
      <c r="W440" s="8">
        <v>-1.6449254572390578E-3</v>
      </c>
      <c r="X440" s="8">
        <v>-6.9191761493682613E-2</v>
      </c>
      <c r="Y440" s="8">
        <f t="shared" si="13"/>
        <v>-5.6032357835770152E-2</v>
      </c>
    </row>
    <row r="441" spans="1:26" s="6" customFormat="1" x14ac:dyDescent="0.35">
      <c r="A441" s="6" t="s">
        <v>25</v>
      </c>
      <c r="B441" s="7"/>
      <c r="D441" s="6" t="s">
        <v>1551</v>
      </c>
      <c r="E441" s="6">
        <v>3</v>
      </c>
      <c r="F441" s="6">
        <v>38</v>
      </c>
      <c r="G441" s="6" t="s">
        <v>202</v>
      </c>
      <c r="I441" s="8">
        <v>83.938997847222197</v>
      </c>
      <c r="J441" s="8">
        <v>15.6730686111111</v>
      </c>
      <c r="K441" s="6" t="s">
        <v>29</v>
      </c>
      <c r="L441" s="6" t="s">
        <v>335</v>
      </c>
      <c r="M441" s="9">
        <v>43948</v>
      </c>
      <c r="O441" s="6">
        <v>31</v>
      </c>
      <c r="P441" s="6" t="s">
        <v>4251</v>
      </c>
      <c r="S441" s="6">
        <v>80</v>
      </c>
      <c r="T441" s="6">
        <v>90</v>
      </c>
      <c r="U441" s="10">
        <f t="shared" si="12"/>
        <v>85</v>
      </c>
      <c r="V441" s="6">
        <v>4.5</v>
      </c>
      <c r="W441" s="8">
        <v>-6.5779671179875432E-2</v>
      </c>
      <c r="X441" s="8">
        <v>-0.56081326904296802</v>
      </c>
      <c r="Y441" s="8">
        <f t="shared" si="13"/>
        <v>-3.4575899603964566E-2</v>
      </c>
    </row>
    <row r="442" spans="1:26" s="6" customFormat="1" x14ac:dyDescent="0.35">
      <c r="A442" s="6" t="s">
        <v>25</v>
      </c>
      <c r="B442" s="6" t="s">
        <v>1628</v>
      </c>
      <c r="D442" s="6" t="s">
        <v>1619</v>
      </c>
      <c r="E442" s="6">
        <v>3</v>
      </c>
      <c r="F442" s="6">
        <v>39</v>
      </c>
      <c r="G442" s="6" t="s">
        <v>202</v>
      </c>
      <c r="I442" s="8">
        <v>83.907985999999994</v>
      </c>
      <c r="J442" s="8">
        <v>18.352126999999999</v>
      </c>
      <c r="K442" s="6" t="s">
        <v>29</v>
      </c>
      <c r="L442" s="6" t="s">
        <v>335</v>
      </c>
      <c r="M442" s="9">
        <v>43955</v>
      </c>
      <c r="O442" s="6">
        <v>32</v>
      </c>
      <c r="P442" s="6" t="s">
        <v>4374</v>
      </c>
      <c r="R442" s="6">
        <v>80</v>
      </c>
      <c r="S442" s="6">
        <v>80</v>
      </c>
      <c r="T442" s="6">
        <v>90</v>
      </c>
      <c r="U442" s="10">
        <f t="shared" si="12"/>
        <v>85</v>
      </c>
      <c r="V442" s="6">
        <v>4.5</v>
      </c>
      <c r="W442" s="8">
        <v>-1.7423339401408711E-2</v>
      </c>
      <c r="X442" s="8">
        <v>-3.7536944366246563E-2</v>
      </c>
      <c r="Y442" s="8">
        <f t="shared" si="13"/>
        <v>0.10184977084502313</v>
      </c>
    </row>
    <row r="443" spans="1:26" s="6" customFormat="1" x14ac:dyDescent="0.35">
      <c r="A443" s="6" t="s">
        <v>25</v>
      </c>
      <c r="B443" s="6" t="s">
        <v>1775</v>
      </c>
      <c r="D443" s="6" t="s">
        <v>1776</v>
      </c>
      <c r="E443" s="6">
        <v>4</v>
      </c>
      <c r="F443" s="6">
        <v>44</v>
      </c>
      <c r="I443" s="8">
        <v>81.975306180555606</v>
      </c>
      <c r="J443" s="8">
        <v>9.2425022222222193</v>
      </c>
      <c r="K443" s="6" t="s">
        <v>29</v>
      </c>
      <c r="L443" s="29" t="s">
        <v>335</v>
      </c>
      <c r="M443" s="9">
        <v>44004</v>
      </c>
      <c r="O443" s="6">
        <v>39</v>
      </c>
      <c r="P443" s="6" t="s">
        <v>4405</v>
      </c>
      <c r="S443" s="6">
        <v>80</v>
      </c>
      <c r="T443" s="6">
        <v>90</v>
      </c>
      <c r="U443" s="10">
        <f t="shared" si="12"/>
        <v>85</v>
      </c>
      <c r="V443" s="15">
        <v>2.4</v>
      </c>
      <c r="W443" s="8">
        <v>0.37509677867889357</v>
      </c>
      <c r="X443" s="8">
        <v>2.8474844398498536</v>
      </c>
      <c r="Y443" s="8">
        <f t="shared" si="13"/>
        <v>-0.15328978958129502</v>
      </c>
      <c r="Z443" s="6" t="s">
        <v>1760</v>
      </c>
    </row>
    <row r="444" spans="1:26" s="6" customFormat="1" x14ac:dyDescent="0.35">
      <c r="A444" s="6" t="s">
        <v>25</v>
      </c>
      <c r="B444" s="6" t="s">
        <v>1932</v>
      </c>
      <c r="D444" s="6" t="s">
        <v>1933</v>
      </c>
      <c r="E444" s="6">
        <v>4</v>
      </c>
      <c r="F444" s="6">
        <v>46</v>
      </c>
      <c r="I444" s="8">
        <v>81.685643263888906</v>
      </c>
      <c r="J444" s="8">
        <v>5.3733415277777796</v>
      </c>
      <c r="K444" s="6" t="s">
        <v>29</v>
      </c>
      <c r="L444" s="29" t="s">
        <v>335</v>
      </c>
      <c r="M444" s="9">
        <v>44018</v>
      </c>
      <c r="O444" s="6">
        <v>41</v>
      </c>
      <c r="P444" s="6" t="s">
        <v>4413</v>
      </c>
      <c r="S444" s="6">
        <v>80</v>
      </c>
      <c r="T444" s="6">
        <v>90</v>
      </c>
      <c r="U444" s="10">
        <f t="shared" si="12"/>
        <v>85</v>
      </c>
      <c r="V444" s="15">
        <v>2.7</v>
      </c>
      <c r="W444" s="8">
        <v>-0.61530528321266198</v>
      </c>
      <c r="X444" s="8">
        <v>-5.5252381114959723</v>
      </c>
      <c r="Y444" s="8">
        <f t="shared" si="13"/>
        <v>-0.60279584579467649</v>
      </c>
      <c r="Z444" s="6" t="s">
        <v>1760</v>
      </c>
    </row>
    <row r="445" spans="1:26" s="6" customFormat="1" x14ac:dyDescent="0.35">
      <c r="A445" s="6" t="s">
        <v>25</v>
      </c>
      <c r="B445" s="6" t="s">
        <v>2392</v>
      </c>
      <c r="D445" s="6" t="s">
        <v>2393</v>
      </c>
      <c r="E445" s="6">
        <v>5</v>
      </c>
      <c r="F445" s="6">
        <v>61</v>
      </c>
      <c r="I445" s="8">
        <v>88.700402291666705</v>
      </c>
      <c r="J445" s="8">
        <v>111.973632708333</v>
      </c>
      <c r="K445" s="6" t="s">
        <v>29</v>
      </c>
      <c r="L445" s="29" t="s">
        <v>335</v>
      </c>
      <c r="M445" s="9">
        <v>44081</v>
      </c>
      <c r="O445" s="6">
        <v>51</v>
      </c>
      <c r="P445" s="6" t="s">
        <v>4434</v>
      </c>
      <c r="S445" s="6">
        <v>80</v>
      </c>
      <c r="T445" s="6">
        <v>90</v>
      </c>
      <c r="U445" s="10">
        <f t="shared" si="12"/>
        <v>85</v>
      </c>
      <c r="V445" s="15">
        <v>3.1</v>
      </c>
      <c r="W445" s="8">
        <v>0.67475790311336536</v>
      </c>
      <c r="X445" s="8">
        <v>3.8651122178375719</v>
      </c>
      <c r="Y445" s="8">
        <f t="shared" si="13"/>
        <v>-1.5329510070693511</v>
      </c>
      <c r="Z445" s="6" t="s">
        <v>1760</v>
      </c>
    </row>
    <row r="446" spans="1:26" s="6" customFormat="1" x14ac:dyDescent="0.35">
      <c r="A446" s="6" t="s">
        <v>25</v>
      </c>
      <c r="B446" s="6" t="s">
        <v>1964</v>
      </c>
      <c r="D446" s="6" t="s">
        <v>1965</v>
      </c>
      <c r="E446" s="6">
        <v>4</v>
      </c>
      <c r="F446" s="6">
        <v>47</v>
      </c>
      <c r="I446" s="8">
        <v>81.417819374999993</v>
      </c>
      <c r="J446" s="8">
        <v>0.28587430555555599</v>
      </c>
      <c r="K446" s="6" t="s">
        <v>29</v>
      </c>
      <c r="L446" s="29" t="s">
        <v>335</v>
      </c>
      <c r="M446" s="9">
        <v>44025</v>
      </c>
      <c r="O446" s="6">
        <v>42</v>
      </c>
      <c r="P446" s="6" t="s">
        <v>4403</v>
      </c>
      <c r="S446" s="6">
        <v>80</v>
      </c>
      <c r="T446" s="6">
        <v>90.5</v>
      </c>
      <c r="U446" s="10">
        <f t="shared" si="12"/>
        <v>85.25</v>
      </c>
      <c r="V446" s="15">
        <v>2.5</v>
      </c>
      <c r="W446" s="8">
        <v>0.11333313467279107</v>
      </c>
      <c r="X446" s="8">
        <v>1.4517748615741728</v>
      </c>
      <c r="Y446" s="8">
        <f t="shared" si="13"/>
        <v>0.54510978419184419</v>
      </c>
      <c r="Z446" s="6" t="s">
        <v>1760</v>
      </c>
    </row>
    <row r="447" spans="1:26" s="6" customFormat="1" x14ac:dyDescent="0.35">
      <c r="A447" s="6" t="s">
        <v>25</v>
      </c>
      <c r="B447" s="7" t="s">
        <v>437</v>
      </c>
      <c r="C447" s="6">
        <v>510633</v>
      </c>
      <c r="D447" s="6" t="s">
        <v>438</v>
      </c>
      <c r="E447" s="6">
        <v>1</v>
      </c>
      <c r="F447" s="6">
        <v>7</v>
      </c>
      <c r="G447" s="6" t="s">
        <v>179</v>
      </c>
      <c r="I447" s="8">
        <v>86.191348333333295</v>
      </c>
      <c r="J447" s="8">
        <v>118.623774583333</v>
      </c>
      <c r="K447" s="6" t="s">
        <v>29</v>
      </c>
      <c r="L447" s="6" t="s">
        <v>335</v>
      </c>
      <c r="M447" s="9">
        <v>43784</v>
      </c>
      <c r="O447" s="6">
        <v>7</v>
      </c>
      <c r="P447" s="6" t="s">
        <v>4260</v>
      </c>
      <c r="Q447" s="8">
        <v>-3.9333333333333336</v>
      </c>
      <c r="R447" s="10" t="s">
        <v>439</v>
      </c>
      <c r="S447" s="10">
        <v>81</v>
      </c>
      <c r="T447" s="10">
        <v>90</v>
      </c>
      <c r="U447" s="10">
        <f t="shared" si="12"/>
        <v>85.5</v>
      </c>
      <c r="V447" s="6">
        <v>4.4000000000000004</v>
      </c>
      <c r="W447" s="8">
        <v>-1.2154237134575847</v>
      </c>
      <c r="X447" s="8">
        <v>-6.9502818198204039</v>
      </c>
      <c r="Y447" s="8">
        <f t="shared" si="13"/>
        <v>2.7731078878402737</v>
      </c>
    </row>
    <row r="448" spans="1:26" s="6" customFormat="1" x14ac:dyDescent="0.35">
      <c r="A448" s="6" t="s">
        <v>25</v>
      </c>
      <c r="B448" s="7" t="s">
        <v>832</v>
      </c>
      <c r="D448" s="6" t="s">
        <v>833</v>
      </c>
      <c r="E448" s="6">
        <v>2</v>
      </c>
      <c r="F448" s="6">
        <v>19</v>
      </c>
      <c r="G448" s="6" t="s">
        <v>202</v>
      </c>
      <c r="I448" s="8">
        <v>87.103055694444393</v>
      </c>
      <c r="J448" s="8">
        <v>115.160686597222</v>
      </c>
      <c r="K448" s="6" t="s">
        <v>29</v>
      </c>
      <c r="L448" s="6" t="s">
        <v>335</v>
      </c>
      <c r="M448" s="9">
        <v>43836</v>
      </c>
      <c r="O448" s="6">
        <v>15</v>
      </c>
      <c r="P448" s="6" t="s">
        <v>4271</v>
      </c>
      <c r="R448" s="10"/>
      <c r="S448" s="10">
        <v>80</v>
      </c>
      <c r="T448" s="10">
        <v>91</v>
      </c>
      <c r="U448" s="10">
        <f t="shared" si="12"/>
        <v>85.5</v>
      </c>
      <c r="V448" s="11">
        <v>6.2</v>
      </c>
      <c r="W448" s="8">
        <v>-0.16804410050660362</v>
      </c>
      <c r="X448" s="8">
        <v>-0.75928994172811481</v>
      </c>
      <c r="Y448" s="8">
        <f t="shared" si="13"/>
        <v>0.58506286232471416</v>
      </c>
    </row>
    <row r="449" spans="1:26" s="6" customFormat="1" x14ac:dyDescent="0.35">
      <c r="A449" s="6" t="s">
        <v>25</v>
      </c>
      <c r="B449" s="7"/>
      <c r="D449" s="6" t="s">
        <v>1063</v>
      </c>
      <c r="E449" s="6">
        <v>3</v>
      </c>
      <c r="F449" s="6">
        <v>29</v>
      </c>
      <c r="G449" s="6" t="s">
        <v>60</v>
      </c>
      <c r="I449" s="8">
        <v>88.488842986111095</v>
      </c>
      <c r="J449" s="8">
        <v>40.1770405555556</v>
      </c>
      <c r="K449" s="6" t="s">
        <v>29</v>
      </c>
      <c r="L449" s="6" t="s">
        <v>335</v>
      </c>
      <c r="M449" s="9">
        <v>43887</v>
      </c>
      <c r="O449" s="6">
        <v>22</v>
      </c>
      <c r="P449" s="6" t="s">
        <v>4291</v>
      </c>
      <c r="S449" s="6">
        <v>80</v>
      </c>
      <c r="T449" s="6">
        <v>91</v>
      </c>
      <c r="U449" s="10">
        <f t="shared" si="12"/>
        <v>85.5</v>
      </c>
      <c r="V449" s="6">
        <v>6</v>
      </c>
      <c r="W449" s="8">
        <v>-0.18589999496698439</v>
      </c>
      <c r="X449" s="8">
        <v>-3.6031708717346192E-2</v>
      </c>
      <c r="Y449" s="8">
        <f t="shared" si="13"/>
        <v>1.4511682510185289</v>
      </c>
    </row>
    <row r="450" spans="1:26" s="6" customFormat="1" x14ac:dyDescent="0.35">
      <c r="A450" s="6" t="s">
        <v>25</v>
      </c>
      <c r="B450" s="7" t="s">
        <v>2253</v>
      </c>
      <c r="D450" s="6" t="s">
        <v>2254</v>
      </c>
      <c r="E450" s="6">
        <v>4</v>
      </c>
      <c r="F450" s="6">
        <v>49</v>
      </c>
      <c r="G450" s="6" t="s">
        <v>335</v>
      </c>
      <c r="I450" s="8">
        <v>79.191449375000005</v>
      </c>
      <c r="J450" s="8">
        <v>-2.6081078472222199</v>
      </c>
      <c r="K450" s="6" t="s">
        <v>29</v>
      </c>
      <c r="L450" s="6" t="s">
        <v>335</v>
      </c>
      <c r="M450" s="9">
        <v>44041</v>
      </c>
      <c r="O450" s="6">
        <v>44</v>
      </c>
      <c r="P450" s="6" t="s">
        <v>4421</v>
      </c>
      <c r="R450" s="10" t="s">
        <v>1842</v>
      </c>
      <c r="S450" s="10">
        <v>84</v>
      </c>
      <c r="T450" s="10">
        <v>89</v>
      </c>
      <c r="U450" s="10">
        <f t="shared" ref="U450:U513" si="14">AVERAGE(S450:T450)</f>
        <v>86.5</v>
      </c>
      <c r="V450" s="11"/>
      <c r="W450" s="8">
        <v>-1.6144086030721667</v>
      </c>
      <c r="X450" s="8">
        <v>-11.854724161148072</v>
      </c>
      <c r="Y450" s="8">
        <f t="shared" ref="Y450:Y513" si="15">X450-(8*W450)</f>
        <v>1.0605446634292619</v>
      </c>
    </row>
    <row r="451" spans="1:26" s="6" customFormat="1" x14ac:dyDescent="0.35">
      <c r="A451" s="6" t="s">
        <v>25</v>
      </c>
      <c r="B451" s="7" t="s">
        <v>34</v>
      </c>
      <c r="D451" s="6" t="s">
        <v>35</v>
      </c>
      <c r="E451" s="6">
        <v>1</v>
      </c>
      <c r="F451" s="6">
        <v>1</v>
      </c>
      <c r="G451" s="6" t="s">
        <v>28</v>
      </c>
      <c r="I451" s="8">
        <v>85.144790624999999</v>
      </c>
      <c r="J451" s="8">
        <v>133.79209895833301</v>
      </c>
      <c r="K451" s="6" t="s">
        <v>29</v>
      </c>
      <c r="L451" s="6" t="s">
        <v>335</v>
      </c>
      <c r="M451" s="9">
        <v>43741</v>
      </c>
      <c r="O451" s="6">
        <v>1</v>
      </c>
      <c r="P451" s="6" t="s">
        <v>4242</v>
      </c>
      <c r="R451" s="10"/>
      <c r="S451" s="10">
        <v>82</v>
      </c>
      <c r="T451" s="10">
        <v>92</v>
      </c>
      <c r="U451" s="10">
        <f t="shared" si="14"/>
        <v>87</v>
      </c>
      <c r="V451" s="30"/>
      <c r="W451" s="8">
        <v>-0.74133409360647184</v>
      </c>
      <c r="X451" s="8">
        <v>-5.9789396696090691</v>
      </c>
      <c r="Y451" s="8">
        <f t="shared" si="15"/>
        <v>-4.8266920757294329E-2</v>
      </c>
    </row>
    <row r="452" spans="1:26" s="6" customFormat="1" x14ac:dyDescent="0.35">
      <c r="A452" s="6" t="s">
        <v>25</v>
      </c>
      <c r="B452" s="7" t="s">
        <v>899</v>
      </c>
      <c r="D452" s="6" t="s">
        <v>900</v>
      </c>
      <c r="E452" s="6">
        <v>2</v>
      </c>
      <c r="F452" s="6">
        <v>21</v>
      </c>
      <c r="G452" s="6" t="s">
        <v>202</v>
      </c>
      <c r="I452" s="8">
        <v>87.451079583333296</v>
      </c>
      <c r="J452" s="8">
        <v>97.375985347222198</v>
      </c>
      <c r="K452" s="6" t="s">
        <v>29</v>
      </c>
      <c r="L452" s="6" t="s">
        <v>335</v>
      </c>
      <c r="M452" s="9">
        <v>43850</v>
      </c>
      <c r="O452" s="6">
        <v>17</v>
      </c>
      <c r="P452" s="6" t="s">
        <v>4314</v>
      </c>
      <c r="R452" s="10"/>
      <c r="S452" s="10">
        <v>82</v>
      </c>
      <c r="T452" s="10">
        <v>93</v>
      </c>
      <c r="U452" s="10">
        <f t="shared" si="14"/>
        <v>87.5</v>
      </c>
      <c r="V452" s="11">
        <v>5.7</v>
      </c>
      <c r="W452" s="8">
        <v>-9.0124098715186521E-2</v>
      </c>
      <c r="X452" s="8">
        <v>-1.1064696884155276</v>
      </c>
      <c r="Y452" s="8">
        <f t="shared" si="15"/>
        <v>-0.38547689869403545</v>
      </c>
    </row>
    <row r="453" spans="1:26" s="6" customFormat="1" x14ac:dyDescent="0.35">
      <c r="A453" s="6" t="s">
        <v>25</v>
      </c>
      <c r="B453" s="7" t="s">
        <v>1714</v>
      </c>
      <c r="D453" s="6" t="s">
        <v>1715</v>
      </c>
      <c r="E453" s="6">
        <v>4</v>
      </c>
      <c r="F453" s="6">
        <v>44</v>
      </c>
      <c r="G453" s="6" t="s">
        <v>335</v>
      </c>
      <c r="I453" s="8">
        <v>81.975306180555606</v>
      </c>
      <c r="J453" s="8">
        <v>9.2425022222222193</v>
      </c>
      <c r="K453" s="6" t="s">
        <v>29</v>
      </c>
      <c r="L453" s="6" t="s">
        <v>335</v>
      </c>
      <c r="M453" s="9">
        <v>44004</v>
      </c>
      <c r="O453" s="6">
        <v>39</v>
      </c>
      <c r="P453" s="6" t="s">
        <v>4405</v>
      </c>
      <c r="R453" s="10" t="s">
        <v>1716</v>
      </c>
      <c r="S453" s="10">
        <v>85</v>
      </c>
      <c r="T453" s="10">
        <v>90</v>
      </c>
      <c r="U453" s="10">
        <f t="shared" si="14"/>
        <v>87.5</v>
      </c>
      <c r="V453" s="11"/>
      <c r="W453" s="8">
        <v>-0.1220574519464374</v>
      </c>
      <c r="X453" s="8">
        <v>-1.2721333158016208</v>
      </c>
      <c r="Y453" s="8">
        <f t="shared" si="15"/>
        <v>-0.29567370023012163</v>
      </c>
    </row>
    <row r="454" spans="1:26" s="6" customFormat="1" x14ac:dyDescent="0.35">
      <c r="A454" s="6" t="s">
        <v>25</v>
      </c>
      <c r="B454" s="7" t="s">
        <v>263</v>
      </c>
      <c r="D454" s="6" t="s">
        <v>264</v>
      </c>
      <c r="E454" s="6">
        <v>1</v>
      </c>
      <c r="F454" s="6">
        <v>5</v>
      </c>
      <c r="G454" s="6" t="s">
        <v>179</v>
      </c>
      <c r="I454" s="8">
        <v>85.859204791666698</v>
      </c>
      <c r="J454" s="8">
        <v>122.400430694444</v>
      </c>
      <c r="K454" s="7" t="s">
        <v>29</v>
      </c>
      <c r="L454" s="6" t="s">
        <v>335</v>
      </c>
      <c r="M454" s="9">
        <v>43771</v>
      </c>
      <c r="O454" s="6">
        <v>5</v>
      </c>
      <c r="P454" s="6" t="s">
        <v>4254</v>
      </c>
      <c r="R454" s="10"/>
      <c r="S454" s="10">
        <v>84</v>
      </c>
      <c r="T454" s="10">
        <v>94</v>
      </c>
      <c r="U454" s="10">
        <f t="shared" si="14"/>
        <v>89</v>
      </c>
      <c r="V454" s="6">
        <v>0.9</v>
      </c>
      <c r="W454" s="8">
        <v>-4.7499608222961429</v>
      </c>
      <c r="X454" s="8">
        <v>-37.128971847534181</v>
      </c>
      <c r="Y454" s="8">
        <f t="shared" si="15"/>
        <v>0.87071473083496187</v>
      </c>
    </row>
    <row r="455" spans="1:26" s="6" customFormat="1" x14ac:dyDescent="0.35">
      <c r="A455" s="6" t="s">
        <v>25</v>
      </c>
      <c r="B455" s="6" t="s">
        <v>2183</v>
      </c>
      <c r="D455" s="6" t="s">
        <v>2184</v>
      </c>
      <c r="E455" s="6">
        <v>4</v>
      </c>
      <c r="F455" s="6">
        <v>48</v>
      </c>
      <c r="I455" s="8">
        <v>80.754295347222197</v>
      </c>
      <c r="J455" s="8">
        <v>-0.488818958333333</v>
      </c>
      <c r="K455" s="6" t="s">
        <v>29</v>
      </c>
      <c r="L455" s="29" t="s">
        <v>335</v>
      </c>
      <c r="M455" s="9">
        <v>44032</v>
      </c>
      <c r="O455" s="6">
        <v>43</v>
      </c>
      <c r="P455" s="6" t="s">
        <v>4403</v>
      </c>
      <c r="S455" s="6">
        <v>84</v>
      </c>
      <c r="T455" s="6">
        <v>94</v>
      </c>
      <c r="U455" s="10">
        <f t="shared" si="14"/>
        <v>89</v>
      </c>
      <c r="V455" s="15">
        <v>2.2000000000000002</v>
      </c>
      <c r="W455" s="8">
        <v>0.27139844508469085</v>
      </c>
      <c r="X455" s="8">
        <v>2.3463745365142827</v>
      </c>
      <c r="Y455" s="8">
        <f t="shared" si="15"/>
        <v>0.17518697583675591</v>
      </c>
      <c r="Z455" s="6" t="s">
        <v>1760</v>
      </c>
    </row>
    <row r="456" spans="1:26" s="6" customFormat="1" x14ac:dyDescent="0.35">
      <c r="A456" s="6" t="s">
        <v>25</v>
      </c>
      <c r="B456" s="6" t="s">
        <v>2500</v>
      </c>
      <c r="D456" s="6" t="s">
        <v>2501</v>
      </c>
      <c r="E456" s="6">
        <v>5</v>
      </c>
      <c r="F456" s="6">
        <v>61</v>
      </c>
      <c r="I456" s="8">
        <v>89.023700416666699</v>
      </c>
      <c r="J456" s="8">
        <v>102.473466597222</v>
      </c>
      <c r="K456" s="6" t="s">
        <v>29</v>
      </c>
      <c r="L456" s="29" t="s">
        <v>335</v>
      </c>
      <c r="M456" s="9">
        <v>44088</v>
      </c>
      <c r="O456" s="6">
        <v>52</v>
      </c>
      <c r="P456" s="6" t="s">
        <v>4394</v>
      </c>
      <c r="S456" s="6">
        <v>84</v>
      </c>
      <c r="T456" s="6">
        <v>95</v>
      </c>
      <c r="U456" s="10">
        <f t="shared" si="14"/>
        <v>89.5</v>
      </c>
      <c r="V456" s="15">
        <v>2.2999999999999998</v>
      </c>
      <c r="W456" s="8">
        <v>0.54413100070953324</v>
      </c>
      <c r="X456" s="8">
        <v>4.9335378394126899</v>
      </c>
      <c r="Y456" s="8">
        <f t="shared" si="15"/>
        <v>0.58048983373642393</v>
      </c>
      <c r="Z456" s="6" t="s">
        <v>1760</v>
      </c>
    </row>
    <row r="457" spans="1:26" s="6" customFormat="1" x14ac:dyDescent="0.35">
      <c r="A457" s="6" t="s">
        <v>25</v>
      </c>
      <c r="B457" s="7"/>
      <c r="C457" s="6">
        <v>510417</v>
      </c>
      <c r="D457" s="6" t="s">
        <v>344</v>
      </c>
      <c r="E457" s="6">
        <v>1</v>
      </c>
      <c r="F457" s="6">
        <v>6</v>
      </c>
      <c r="G457" s="6" t="s">
        <v>345</v>
      </c>
      <c r="H457" s="6">
        <v>18</v>
      </c>
      <c r="I457" s="8">
        <v>85.9187781944444</v>
      </c>
      <c r="J457" s="8">
        <v>117.45457173611101</v>
      </c>
      <c r="K457" s="6" t="s">
        <v>29</v>
      </c>
      <c r="L457" s="6" t="s">
        <v>335</v>
      </c>
      <c r="M457" s="9">
        <v>43775</v>
      </c>
      <c r="O457" s="6">
        <v>6</v>
      </c>
      <c r="P457" s="6" t="s">
        <v>4256</v>
      </c>
      <c r="R457" s="6" t="s">
        <v>348</v>
      </c>
      <c r="S457" s="6">
        <v>85</v>
      </c>
      <c r="T457" s="6">
        <v>97</v>
      </c>
      <c r="U457" s="10">
        <f t="shared" si="14"/>
        <v>91</v>
      </c>
      <c r="V457" s="6">
        <v>4.0999999999999996</v>
      </c>
      <c r="W457" s="8">
        <v>-0.95799639866352115</v>
      </c>
      <c r="X457" s="8">
        <v>-9.2019908523559568</v>
      </c>
      <c r="Y457" s="8">
        <f t="shared" si="15"/>
        <v>-1.5380196630477876</v>
      </c>
    </row>
    <row r="458" spans="1:26" s="6" customFormat="1" x14ac:dyDescent="0.35">
      <c r="A458" s="6" t="s">
        <v>25</v>
      </c>
      <c r="B458" s="7" t="s">
        <v>2247</v>
      </c>
      <c r="D458" s="6" t="s">
        <v>2248</v>
      </c>
      <c r="E458" s="6">
        <v>4</v>
      </c>
      <c r="F458" s="6">
        <v>49</v>
      </c>
      <c r="G458" s="6" t="s">
        <v>335</v>
      </c>
      <c r="I458" s="8">
        <v>79.191449375000005</v>
      </c>
      <c r="J458" s="8">
        <v>-2.6081078472222199</v>
      </c>
      <c r="K458" s="6" t="s">
        <v>29</v>
      </c>
      <c r="L458" s="6" t="s">
        <v>335</v>
      </c>
      <c r="M458" s="9">
        <v>44041</v>
      </c>
      <c r="O458" s="6">
        <v>44</v>
      </c>
      <c r="P458" s="6" t="s">
        <v>4421</v>
      </c>
      <c r="R458" s="10" t="s">
        <v>1848</v>
      </c>
      <c r="S458" s="10">
        <v>89</v>
      </c>
      <c r="T458" s="10">
        <v>94</v>
      </c>
      <c r="U458" s="10">
        <f t="shared" si="14"/>
        <v>91.5</v>
      </c>
      <c r="V458" s="11"/>
      <c r="W458" s="8">
        <v>-2.8091133163452149</v>
      </c>
      <c r="X458" s="8">
        <v>-21.369841943740845</v>
      </c>
      <c r="Y458" s="8">
        <f t="shared" si="15"/>
        <v>1.1030645870208744</v>
      </c>
    </row>
    <row r="459" spans="1:26" s="6" customFormat="1" x14ac:dyDescent="0.35">
      <c r="A459" s="6" t="s">
        <v>25</v>
      </c>
      <c r="B459" s="6" t="s">
        <v>2276</v>
      </c>
      <c r="D459" s="6" t="s">
        <v>2277</v>
      </c>
      <c r="E459" s="6">
        <v>4</v>
      </c>
      <c r="F459" s="6">
        <v>49</v>
      </c>
      <c r="I459" s="8">
        <v>79.191449375000005</v>
      </c>
      <c r="J459" s="8">
        <v>-2.6081078472222199</v>
      </c>
      <c r="K459" s="6" t="s">
        <v>29</v>
      </c>
      <c r="L459" s="29" t="s">
        <v>335</v>
      </c>
      <c r="M459" s="9">
        <v>44041</v>
      </c>
      <c r="O459" s="6">
        <v>44</v>
      </c>
      <c r="P459" s="6" t="s">
        <v>4421</v>
      </c>
      <c r="S459" s="6">
        <v>87</v>
      </c>
      <c r="T459" s="6">
        <v>96</v>
      </c>
      <c r="U459" s="10">
        <f t="shared" si="14"/>
        <v>91.5</v>
      </c>
      <c r="V459" s="15">
        <v>0.5</v>
      </c>
      <c r="W459" s="8">
        <v>-1.0703042607307431</v>
      </c>
      <c r="X459" s="8">
        <v>-8.2111578029632568</v>
      </c>
      <c r="Y459" s="8">
        <f t="shared" si="15"/>
        <v>0.35127628288268831</v>
      </c>
      <c r="Z459" s="6" t="s">
        <v>1760</v>
      </c>
    </row>
    <row r="460" spans="1:26" s="6" customFormat="1" x14ac:dyDescent="0.35">
      <c r="A460" s="6" t="s">
        <v>25</v>
      </c>
      <c r="B460" s="7" t="s">
        <v>1684</v>
      </c>
      <c r="D460" s="6" t="s">
        <v>1685</v>
      </c>
      <c r="E460" s="6">
        <v>4</v>
      </c>
      <c r="F460" s="6">
        <v>44</v>
      </c>
      <c r="G460" s="6" t="s">
        <v>335</v>
      </c>
      <c r="I460" s="8">
        <v>81.975306180555606</v>
      </c>
      <c r="J460" s="8">
        <v>9.2425022222222193</v>
      </c>
      <c r="K460" s="6" t="s">
        <v>29</v>
      </c>
      <c r="L460" s="6" t="s">
        <v>335</v>
      </c>
      <c r="M460" s="9">
        <v>44004</v>
      </c>
      <c r="O460" s="6">
        <v>39</v>
      </c>
      <c r="P460" s="6" t="s">
        <v>4405</v>
      </c>
      <c r="R460" s="10" t="s">
        <v>1686</v>
      </c>
      <c r="S460" s="10">
        <v>90</v>
      </c>
      <c r="T460" s="10">
        <v>95</v>
      </c>
      <c r="U460" s="10">
        <f t="shared" si="14"/>
        <v>92.5</v>
      </c>
      <c r="V460" s="11"/>
      <c r="W460" s="8">
        <v>-0.35667059135437007</v>
      </c>
      <c r="X460" s="8">
        <v>-1.9460414443016059</v>
      </c>
      <c r="Y460" s="8">
        <f t="shared" si="15"/>
        <v>0.9073232865333547</v>
      </c>
    </row>
    <row r="461" spans="1:26" s="6" customFormat="1" x14ac:dyDescent="0.35">
      <c r="A461" s="6" t="s">
        <v>25</v>
      </c>
      <c r="B461" s="6" t="s">
        <v>2327</v>
      </c>
      <c r="D461" s="6" t="s">
        <v>2328</v>
      </c>
      <c r="E461" s="6">
        <v>5</v>
      </c>
      <c r="F461" s="6">
        <v>59</v>
      </c>
      <c r="I461" s="8">
        <v>88.299658402777794</v>
      </c>
      <c r="J461" s="8">
        <v>114.11509069444401</v>
      </c>
      <c r="K461" s="6" t="s">
        <v>29</v>
      </c>
      <c r="L461" s="29" t="s">
        <v>335</v>
      </c>
      <c r="M461" s="9">
        <v>44074</v>
      </c>
      <c r="O461" s="6">
        <v>50</v>
      </c>
      <c r="P461" s="6" t="s">
        <v>4396</v>
      </c>
      <c r="S461" s="6">
        <v>88</v>
      </c>
      <c r="T461" s="6">
        <v>100</v>
      </c>
      <c r="U461" s="10">
        <f t="shared" si="14"/>
        <v>94</v>
      </c>
      <c r="V461" s="15">
        <v>0.5</v>
      </c>
      <c r="W461" s="8">
        <v>-1.6281353357315067</v>
      </c>
      <c r="X461" s="8">
        <v>-12.33398307609558</v>
      </c>
      <c r="Y461" s="8">
        <f t="shared" si="15"/>
        <v>0.69109960975647411</v>
      </c>
      <c r="Z461" s="6" t="s">
        <v>1760</v>
      </c>
    </row>
    <row r="462" spans="1:26" s="6" customFormat="1" x14ac:dyDescent="0.35">
      <c r="A462" s="6" t="s">
        <v>25</v>
      </c>
      <c r="B462" s="7" t="s">
        <v>460</v>
      </c>
      <c r="C462" s="6">
        <v>510634</v>
      </c>
      <c r="D462" s="6" t="s">
        <v>461</v>
      </c>
      <c r="E462" s="6">
        <v>1</v>
      </c>
      <c r="F462" s="6">
        <v>7</v>
      </c>
      <c r="G462" s="6" t="s">
        <v>179</v>
      </c>
      <c r="I462" s="8">
        <v>86.191348333333295</v>
      </c>
      <c r="J462" s="8">
        <v>118.623774583333</v>
      </c>
      <c r="K462" s="6" t="s">
        <v>29</v>
      </c>
      <c r="L462" s="6" t="s">
        <v>335</v>
      </c>
      <c r="M462" s="9">
        <v>43784</v>
      </c>
      <c r="O462" s="6">
        <v>7</v>
      </c>
      <c r="P462" s="6" t="s">
        <v>4260</v>
      </c>
      <c r="Q462" s="8">
        <v>-3.2666666666666671</v>
      </c>
      <c r="R462" s="10" t="s">
        <v>462</v>
      </c>
      <c r="S462" s="10">
        <v>90</v>
      </c>
      <c r="T462" s="10">
        <v>99</v>
      </c>
      <c r="U462" s="10">
        <f t="shared" si="14"/>
        <v>94.5</v>
      </c>
      <c r="V462" s="6">
        <v>3.3</v>
      </c>
      <c r="W462" s="8">
        <v>-0.5425894407153129</v>
      </c>
      <c r="X462" s="8">
        <v>-4.3496512598991393</v>
      </c>
      <c r="Y462" s="8">
        <f t="shared" si="15"/>
        <v>-8.9357341766360676E-3</v>
      </c>
    </row>
    <row r="463" spans="1:26" s="6" customFormat="1" x14ac:dyDescent="0.35">
      <c r="A463" s="6" t="s">
        <v>25</v>
      </c>
      <c r="B463" s="6" t="s">
        <v>168</v>
      </c>
      <c r="C463" s="6">
        <v>510162</v>
      </c>
      <c r="D463" s="6" t="s">
        <v>152</v>
      </c>
      <c r="E463" s="6">
        <v>1</v>
      </c>
      <c r="F463" s="6">
        <v>3</v>
      </c>
      <c r="G463" s="6" t="s">
        <v>153</v>
      </c>
      <c r="I463" s="8">
        <v>85.348898888888897</v>
      </c>
      <c r="J463" s="8">
        <v>129.88336361111101</v>
      </c>
      <c r="K463" s="6" t="s">
        <v>29</v>
      </c>
      <c r="L463" s="6" t="s">
        <v>335</v>
      </c>
      <c r="M463" s="9">
        <v>43761</v>
      </c>
      <c r="O463" s="6">
        <v>4</v>
      </c>
      <c r="P463" s="6" t="s">
        <v>4248</v>
      </c>
      <c r="R463" s="6" t="s">
        <v>169</v>
      </c>
      <c r="S463" s="6">
        <v>90</v>
      </c>
      <c r="T463" s="6">
        <v>100</v>
      </c>
      <c r="U463" s="10">
        <f t="shared" si="14"/>
        <v>95</v>
      </c>
      <c r="V463" s="6">
        <v>3.5</v>
      </c>
      <c r="W463" s="8">
        <v>-1.044583995532989</v>
      </c>
      <c r="X463" s="8">
        <v>-8.1825255804061907</v>
      </c>
      <c r="Y463" s="8">
        <f t="shared" si="15"/>
        <v>0.17414638385772108</v>
      </c>
    </row>
    <row r="464" spans="1:26" s="6" customFormat="1" x14ac:dyDescent="0.35">
      <c r="A464" s="6" t="s">
        <v>25</v>
      </c>
      <c r="B464" s="6" t="s">
        <v>893</v>
      </c>
      <c r="D464" s="6" t="s">
        <v>884</v>
      </c>
      <c r="E464" s="6">
        <v>2</v>
      </c>
      <c r="F464" s="6">
        <v>20</v>
      </c>
      <c r="G464" s="6" t="s">
        <v>57</v>
      </c>
      <c r="I464" s="8">
        <v>86.603676041666702</v>
      </c>
      <c r="J464" s="8">
        <v>116.411907777778</v>
      </c>
      <c r="K464" s="6" t="s">
        <v>29</v>
      </c>
      <c r="L464" s="6" t="s">
        <v>335</v>
      </c>
      <c r="M464" s="9">
        <v>43846</v>
      </c>
      <c r="O464" s="6">
        <v>16</v>
      </c>
      <c r="P464" s="6" t="s">
        <v>4311</v>
      </c>
      <c r="R464" s="6">
        <v>90</v>
      </c>
      <c r="S464" s="6">
        <v>90</v>
      </c>
      <c r="T464" s="6">
        <v>100</v>
      </c>
      <c r="U464" s="10">
        <f t="shared" si="14"/>
        <v>95</v>
      </c>
      <c r="V464" s="6">
        <v>5</v>
      </c>
      <c r="W464" s="8">
        <v>-5.9312367296963701E-2</v>
      </c>
      <c r="X464" s="8">
        <v>0.10467067234520804</v>
      </c>
      <c r="Y464" s="8">
        <f t="shared" si="15"/>
        <v>0.57916961072091766</v>
      </c>
    </row>
    <row r="465" spans="1:26" s="6" customFormat="1" x14ac:dyDescent="0.35">
      <c r="A465" s="6" t="s">
        <v>25</v>
      </c>
      <c r="B465" s="7"/>
      <c r="D465" s="6" t="s">
        <v>1005</v>
      </c>
      <c r="E465" s="6">
        <v>2</v>
      </c>
      <c r="F465" s="6">
        <v>23</v>
      </c>
      <c r="G465" s="6" t="s">
        <v>202</v>
      </c>
      <c r="I465" s="8">
        <v>87.352736041666702</v>
      </c>
      <c r="J465" s="8">
        <v>94.772103819444396</v>
      </c>
      <c r="K465" s="6" t="s">
        <v>29</v>
      </c>
      <c r="L465" s="6" t="s">
        <v>335</v>
      </c>
      <c r="M465" s="9">
        <v>43864</v>
      </c>
      <c r="O465" s="6">
        <v>19</v>
      </c>
      <c r="P465" s="6" t="s">
        <v>4322</v>
      </c>
      <c r="S465" s="6">
        <v>90</v>
      </c>
      <c r="T465" s="6">
        <v>100</v>
      </c>
      <c r="U465" s="10">
        <f t="shared" si="14"/>
        <v>95</v>
      </c>
      <c r="V465" s="6">
        <v>5.2</v>
      </c>
      <c r="W465" s="8">
        <v>-0.20142290408313307</v>
      </c>
      <c r="X465" s="8">
        <v>2.8271606445313357E-2</v>
      </c>
      <c r="Y465" s="8">
        <f t="shared" si="15"/>
        <v>1.639654839110378</v>
      </c>
    </row>
    <row r="466" spans="1:26" s="6" customFormat="1" x14ac:dyDescent="0.35">
      <c r="A466" s="6" t="s">
        <v>25</v>
      </c>
      <c r="B466" s="7"/>
      <c r="D466" s="6" t="s">
        <v>1041</v>
      </c>
      <c r="E466" s="6">
        <v>2</v>
      </c>
      <c r="F466" s="6">
        <v>24</v>
      </c>
      <c r="G466" s="6" t="s">
        <v>57</v>
      </c>
      <c r="I466" s="8">
        <v>87.882876180555598</v>
      </c>
      <c r="J466" s="8">
        <v>87.424340833333304</v>
      </c>
      <c r="K466" s="6" t="s">
        <v>29</v>
      </c>
      <c r="L466" s="6" t="s">
        <v>335</v>
      </c>
      <c r="M466" s="9">
        <v>43873</v>
      </c>
      <c r="O466" s="6">
        <v>20</v>
      </c>
      <c r="P466" s="6" t="s">
        <v>4313</v>
      </c>
      <c r="S466" s="6">
        <v>90</v>
      </c>
      <c r="T466" s="6">
        <v>100</v>
      </c>
      <c r="U466" s="10">
        <f t="shared" si="14"/>
        <v>95</v>
      </c>
      <c r="V466" s="30"/>
      <c r="W466" s="8">
        <v>-2.7109361499786382</v>
      </c>
      <c r="X466" s="8">
        <v>-19.41132661628723</v>
      </c>
      <c r="Y466" s="8">
        <f t="shared" si="15"/>
        <v>2.2761625835418755</v>
      </c>
    </row>
    <row r="467" spans="1:26" s="6" customFormat="1" x14ac:dyDescent="0.35">
      <c r="A467" s="6" t="s">
        <v>25</v>
      </c>
      <c r="B467" s="7"/>
      <c r="D467" s="6" t="s">
        <v>1091</v>
      </c>
      <c r="E467" s="6">
        <v>3</v>
      </c>
      <c r="F467" s="6">
        <v>31</v>
      </c>
      <c r="G467" s="6" t="s">
        <v>179</v>
      </c>
      <c r="I467" s="8">
        <v>87.889566388888895</v>
      </c>
      <c r="J467" s="8">
        <v>24.107920208333301</v>
      </c>
      <c r="K467" s="6" t="s">
        <v>29</v>
      </c>
      <c r="L467" s="6" t="s">
        <v>335</v>
      </c>
      <c r="M467" s="9">
        <v>43899</v>
      </c>
      <c r="O467" s="6">
        <v>24</v>
      </c>
      <c r="P467" s="6" t="s">
        <v>4343</v>
      </c>
      <c r="S467" s="6">
        <v>90</v>
      </c>
      <c r="T467" s="6">
        <v>100</v>
      </c>
      <c r="U467" s="10">
        <f t="shared" si="14"/>
        <v>95</v>
      </c>
      <c r="V467" s="6">
        <v>3.6</v>
      </c>
      <c r="W467" s="8">
        <v>-0.18290536467969418</v>
      </c>
      <c r="X467" s="8">
        <v>-1.6910398149490355</v>
      </c>
      <c r="Y467" s="8">
        <f t="shared" si="15"/>
        <v>-0.22779689751148213</v>
      </c>
    </row>
    <row r="468" spans="1:26" s="6" customFormat="1" x14ac:dyDescent="0.35">
      <c r="A468" s="6" t="s">
        <v>25</v>
      </c>
      <c r="B468" s="7"/>
      <c r="D468" s="6" t="s">
        <v>1106</v>
      </c>
      <c r="E468" s="6">
        <v>3</v>
      </c>
      <c r="F468" s="6">
        <v>31</v>
      </c>
      <c r="G468" s="6" t="s">
        <v>345</v>
      </c>
      <c r="I468" s="8">
        <v>87.660309999999996</v>
      </c>
      <c r="J468" s="8">
        <v>24.286057569444399</v>
      </c>
      <c r="K468" s="6" t="s">
        <v>29</v>
      </c>
      <c r="L468" s="6" t="s">
        <v>335</v>
      </c>
      <c r="M468" s="9">
        <v>43901</v>
      </c>
      <c r="O468" s="6">
        <v>24</v>
      </c>
      <c r="P468" s="6" t="s">
        <v>4345</v>
      </c>
      <c r="S468" s="6">
        <v>90</v>
      </c>
      <c r="T468" s="6">
        <v>100</v>
      </c>
      <c r="U468" s="10">
        <f t="shared" si="14"/>
        <v>95</v>
      </c>
      <c r="V468" s="6">
        <v>4.2</v>
      </c>
      <c r="W468" s="8">
        <v>-2.615671622455093E-2</v>
      </c>
      <c r="X468" s="8">
        <v>0.22220452499389648</v>
      </c>
      <c r="Y468" s="8">
        <f t="shared" si="15"/>
        <v>0.43145825479030392</v>
      </c>
    </row>
    <row r="469" spans="1:26" s="6" customFormat="1" x14ac:dyDescent="0.35">
      <c r="A469" s="6" t="s">
        <v>25</v>
      </c>
      <c r="B469" s="7"/>
      <c r="D469" s="6" t="s">
        <v>1165</v>
      </c>
      <c r="E469" s="6">
        <v>3</v>
      </c>
      <c r="F469" s="6">
        <v>32</v>
      </c>
      <c r="G469" s="6" t="s">
        <v>179</v>
      </c>
      <c r="I469" s="8">
        <v>86.339075833333297</v>
      </c>
      <c r="J469" s="8">
        <v>14.7309175</v>
      </c>
      <c r="K469" s="6" t="s">
        <v>29</v>
      </c>
      <c r="L469" s="6" t="s">
        <v>335</v>
      </c>
      <c r="M469" s="9">
        <v>43910</v>
      </c>
      <c r="O469" s="6">
        <v>25</v>
      </c>
      <c r="P469" s="6" t="s">
        <v>4350</v>
      </c>
      <c r="S469" s="6">
        <v>90</v>
      </c>
      <c r="T469" s="6">
        <v>100</v>
      </c>
      <c r="U469" s="10">
        <f t="shared" si="14"/>
        <v>95</v>
      </c>
      <c r="V469" s="6">
        <v>5.9</v>
      </c>
      <c r="W469" s="8">
        <v>-0.23067807837054155</v>
      </c>
      <c r="X469" s="8">
        <v>-1.6736518390178676</v>
      </c>
      <c r="Y469" s="8">
        <f t="shared" si="15"/>
        <v>0.17177278794646478</v>
      </c>
    </row>
    <row r="470" spans="1:26" s="6" customFormat="1" x14ac:dyDescent="0.35">
      <c r="A470" s="6" t="s">
        <v>25</v>
      </c>
      <c r="B470" s="7"/>
      <c r="D470" s="6" t="s">
        <v>1185</v>
      </c>
      <c r="E470" s="6">
        <v>3</v>
      </c>
      <c r="F470" s="6">
        <v>32</v>
      </c>
      <c r="G470" s="6" t="s">
        <v>202</v>
      </c>
      <c r="I470" s="8">
        <v>86.257643333333306</v>
      </c>
      <c r="J470" s="8">
        <v>15.261599722222201</v>
      </c>
      <c r="K470" s="6" t="s">
        <v>29</v>
      </c>
      <c r="L470" s="6" t="s">
        <v>335</v>
      </c>
      <c r="M470" s="9">
        <v>43911</v>
      </c>
      <c r="O470" s="6">
        <v>25</v>
      </c>
      <c r="P470" s="6" t="s">
        <v>4351</v>
      </c>
      <c r="S470" s="6">
        <v>90</v>
      </c>
      <c r="T470" s="6">
        <v>100</v>
      </c>
      <c r="U470" s="10">
        <f t="shared" si="14"/>
        <v>95</v>
      </c>
      <c r="V470" s="6">
        <v>6.4</v>
      </c>
      <c r="W470" s="8">
        <v>-0.15328411951437557</v>
      </c>
      <c r="X470" s="8">
        <v>-0.86852093219756987</v>
      </c>
      <c r="Y470" s="8">
        <f t="shared" si="15"/>
        <v>0.35775202391743466</v>
      </c>
    </row>
    <row r="471" spans="1:26" s="6" customFormat="1" x14ac:dyDescent="0.35">
      <c r="A471" s="6" t="s">
        <v>25</v>
      </c>
      <c r="B471" s="6" t="s">
        <v>1250</v>
      </c>
      <c r="D471" s="6" t="s">
        <v>1240</v>
      </c>
      <c r="E471" s="6">
        <v>3</v>
      </c>
      <c r="F471" s="6">
        <v>34</v>
      </c>
      <c r="G471" s="6" t="s">
        <v>202</v>
      </c>
      <c r="I471" s="8">
        <v>84.533711805555598</v>
      </c>
      <c r="J471" s="8">
        <v>14.277858402777801</v>
      </c>
      <c r="K471" s="6" t="s">
        <v>29</v>
      </c>
      <c r="L471" s="6" t="s">
        <v>335</v>
      </c>
      <c r="M471" s="9">
        <v>43927</v>
      </c>
      <c r="O471" s="6">
        <v>28</v>
      </c>
      <c r="P471" s="6" t="s">
        <v>4359</v>
      </c>
      <c r="R471" s="6">
        <v>90</v>
      </c>
      <c r="S471" s="6">
        <v>90</v>
      </c>
      <c r="T471" s="6">
        <v>100</v>
      </c>
      <c r="U471" s="10">
        <f t="shared" si="14"/>
        <v>95</v>
      </c>
      <c r="V471" s="6">
        <v>5.0999999999999996</v>
      </c>
      <c r="W471" s="8">
        <v>0.11317237704396212</v>
      </c>
      <c r="X471" s="8">
        <v>1.5427320384979248</v>
      </c>
      <c r="Y471" s="8">
        <f t="shared" si="15"/>
        <v>0.63735302214622791</v>
      </c>
    </row>
    <row r="472" spans="1:26" s="6" customFormat="1" x14ac:dyDescent="0.35">
      <c r="A472" s="6" t="s">
        <v>25</v>
      </c>
      <c r="B472" s="6" t="s">
        <v>1300</v>
      </c>
      <c r="D472" s="6" t="s">
        <v>1291</v>
      </c>
      <c r="E472" s="6">
        <v>3</v>
      </c>
      <c r="F472" s="6">
        <v>35</v>
      </c>
      <c r="G472" s="6" t="s">
        <v>345</v>
      </c>
      <c r="I472" s="8">
        <v>84.322834374999999</v>
      </c>
      <c r="J472" s="8">
        <v>14.725811041666701</v>
      </c>
      <c r="K472" s="6" t="s">
        <v>29</v>
      </c>
      <c r="L472" s="6" t="s">
        <v>335</v>
      </c>
      <c r="M472" s="9">
        <v>43931</v>
      </c>
      <c r="O472" s="6">
        <v>28</v>
      </c>
      <c r="P472" s="6" t="s">
        <v>4362</v>
      </c>
      <c r="R472" s="6">
        <v>90</v>
      </c>
      <c r="S472" s="6">
        <v>90</v>
      </c>
      <c r="T472" s="6">
        <v>100</v>
      </c>
      <c r="U472" s="10">
        <f t="shared" si="14"/>
        <v>95</v>
      </c>
      <c r="V472" s="6">
        <v>5</v>
      </c>
      <c r="W472" s="8">
        <v>-0.22100803714990583</v>
      </c>
      <c r="X472" s="8">
        <v>-2.2767839605808255</v>
      </c>
      <c r="Y472" s="8">
        <f t="shared" si="15"/>
        <v>-0.50871966338157892</v>
      </c>
    </row>
    <row r="473" spans="1:26" s="6" customFormat="1" x14ac:dyDescent="0.35">
      <c r="A473" s="6" t="s">
        <v>25</v>
      </c>
      <c r="B473" s="7" t="s">
        <v>1372</v>
      </c>
      <c r="D473" s="6" t="s">
        <v>1373</v>
      </c>
      <c r="E473" s="6">
        <v>3</v>
      </c>
      <c r="F473" s="6">
        <v>36</v>
      </c>
      <c r="G473" s="6" t="s">
        <v>202</v>
      </c>
      <c r="I473" s="8">
        <v>84.331482986111098</v>
      </c>
      <c r="J473" s="8">
        <v>14.642671805555601</v>
      </c>
      <c r="K473" s="6" t="s">
        <v>29</v>
      </c>
      <c r="L473" s="6" t="s">
        <v>335</v>
      </c>
      <c r="M473" s="9">
        <v>43935</v>
      </c>
      <c r="O473" s="6">
        <v>29</v>
      </c>
      <c r="P473" s="6" t="s">
        <v>4332</v>
      </c>
      <c r="R473" s="10"/>
      <c r="S473" s="10">
        <v>90</v>
      </c>
      <c r="T473" s="10">
        <v>100</v>
      </c>
      <c r="U473" s="10">
        <f t="shared" si="14"/>
        <v>95</v>
      </c>
      <c r="V473" s="11">
        <v>4.0999999999999996</v>
      </c>
      <c r="W473" s="8">
        <v>-9.42104747450353E-2</v>
      </c>
      <c r="X473" s="8">
        <v>-0.23579187019169312</v>
      </c>
      <c r="Y473" s="8">
        <f t="shared" si="15"/>
        <v>0.51789192776858928</v>
      </c>
    </row>
    <row r="474" spans="1:26" s="6" customFormat="1" x14ac:dyDescent="0.35">
      <c r="A474" s="6" t="s">
        <v>25</v>
      </c>
      <c r="B474" s="7" t="s">
        <v>1456</v>
      </c>
      <c r="D474" s="6" t="s">
        <v>1457</v>
      </c>
      <c r="E474" s="6">
        <v>3</v>
      </c>
      <c r="F474" s="6">
        <v>37</v>
      </c>
      <c r="G474" s="6" t="s">
        <v>28</v>
      </c>
      <c r="I474" s="8">
        <v>83.999093333333306</v>
      </c>
      <c r="J474" s="8">
        <v>15.6102103472222</v>
      </c>
      <c r="K474" s="6" t="s">
        <v>29</v>
      </c>
      <c r="L474" s="6" t="s">
        <v>335</v>
      </c>
      <c r="M474" s="9">
        <v>43946</v>
      </c>
      <c r="O474" s="6">
        <v>30</v>
      </c>
      <c r="P474" s="6" t="s">
        <v>4265</v>
      </c>
      <c r="R474" s="10"/>
      <c r="S474" s="10">
        <v>90</v>
      </c>
      <c r="T474" s="10">
        <v>100</v>
      </c>
      <c r="U474" s="10">
        <f t="shared" si="14"/>
        <v>95</v>
      </c>
      <c r="V474" s="11">
        <v>4.8</v>
      </c>
      <c r="W474" s="8">
        <v>-1.6686695814132695</v>
      </c>
      <c r="X474" s="8">
        <v>-12.759867585659027</v>
      </c>
      <c r="Y474" s="8">
        <f t="shared" si="15"/>
        <v>0.589489065647129</v>
      </c>
    </row>
    <row r="475" spans="1:26" s="6" customFormat="1" x14ac:dyDescent="0.35">
      <c r="A475" s="6" t="s">
        <v>25</v>
      </c>
      <c r="B475" s="7" t="s">
        <v>1500</v>
      </c>
      <c r="D475" s="6" t="s">
        <v>1501</v>
      </c>
      <c r="E475" s="6">
        <v>3</v>
      </c>
      <c r="F475" s="6">
        <v>37</v>
      </c>
      <c r="G475" s="6" t="s">
        <v>28</v>
      </c>
      <c r="I475" s="8">
        <v>83.999093333333306</v>
      </c>
      <c r="J475" s="8">
        <v>15.6102103472222</v>
      </c>
      <c r="K475" s="6" t="s">
        <v>29</v>
      </c>
      <c r="L475" s="6" t="s">
        <v>335</v>
      </c>
      <c r="M475" s="9">
        <v>43946</v>
      </c>
      <c r="O475" s="6">
        <v>30</v>
      </c>
      <c r="P475" s="6" t="s">
        <v>4265</v>
      </c>
      <c r="R475" s="10"/>
      <c r="S475" s="10">
        <v>90</v>
      </c>
      <c r="T475" s="10">
        <v>100</v>
      </c>
      <c r="U475" s="10">
        <f t="shared" si="14"/>
        <v>95</v>
      </c>
      <c r="V475" s="11">
        <v>3.2</v>
      </c>
      <c r="W475" s="8">
        <v>-0.2069132423520092</v>
      </c>
      <c r="X475" s="8">
        <v>-1.092966424942017</v>
      </c>
      <c r="Y475" s="8">
        <f t="shared" si="15"/>
        <v>0.56233951387405656</v>
      </c>
    </row>
    <row r="476" spans="1:26" s="6" customFormat="1" x14ac:dyDescent="0.35">
      <c r="A476" s="6" t="s">
        <v>25</v>
      </c>
      <c r="B476" s="7"/>
      <c r="D476" s="6" t="s">
        <v>1552</v>
      </c>
      <c r="E476" s="6">
        <v>3</v>
      </c>
      <c r="F476" s="6">
        <v>38</v>
      </c>
      <c r="G476" s="6" t="s">
        <v>202</v>
      </c>
      <c r="I476" s="8">
        <v>83.938997847222197</v>
      </c>
      <c r="J476" s="8">
        <v>15.6730686111111</v>
      </c>
      <c r="K476" s="6" t="s">
        <v>29</v>
      </c>
      <c r="L476" s="6" t="s">
        <v>335</v>
      </c>
      <c r="M476" s="9">
        <v>43948</v>
      </c>
      <c r="O476" s="6">
        <v>31</v>
      </c>
      <c r="P476" s="6" t="s">
        <v>4251</v>
      </c>
      <c r="S476" s="6">
        <v>90</v>
      </c>
      <c r="T476" s="6">
        <v>100</v>
      </c>
      <c r="U476" s="10">
        <f t="shared" si="14"/>
        <v>95</v>
      </c>
      <c r="V476" s="6">
        <v>4.5</v>
      </c>
      <c r="W476" s="8">
        <v>-9.7276423946768498E-2</v>
      </c>
      <c r="X476" s="8">
        <v>-0.9770266880035402</v>
      </c>
      <c r="Y476" s="8">
        <f t="shared" si="15"/>
        <v>-0.19881529642939222</v>
      </c>
    </row>
    <row r="477" spans="1:26" s="6" customFormat="1" x14ac:dyDescent="0.35">
      <c r="A477" s="6" t="s">
        <v>25</v>
      </c>
      <c r="B477" s="6" t="s">
        <v>1629</v>
      </c>
      <c r="D477" s="6" t="s">
        <v>1619</v>
      </c>
      <c r="E477" s="6">
        <v>3</v>
      </c>
      <c r="F477" s="6">
        <v>39</v>
      </c>
      <c r="G477" s="6" t="s">
        <v>202</v>
      </c>
      <c r="I477" s="8">
        <v>83.907985999999994</v>
      </c>
      <c r="J477" s="8">
        <v>18.352126999999999</v>
      </c>
      <c r="K477" s="6" t="s">
        <v>29</v>
      </c>
      <c r="L477" s="6" t="s">
        <v>335</v>
      </c>
      <c r="M477" s="9">
        <v>43955</v>
      </c>
      <c r="O477" s="6">
        <v>32</v>
      </c>
      <c r="P477" s="6" t="s">
        <v>4374</v>
      </c>
      <c r="R477" s="6">
        <v>90</v>
      </c>
      <c r="S477" s="6">
        <v>90</v>
      </c>
      <c r="T477" s="6">
        <v>100</v>
      </c>
      <c r="U477" s="10">
        <f t="shared" si="14"/>
        <v>95</v>
      </c>
      <c r="V477" s="6">
        <v>4.9000000000000004</v>
      </c>
      <c r="W477" s="8">
        <v>-0.26663257787287248</v>
      </c>
      <c r="X477" s="8">
        <v>-1.5511846114277841</v>
      </c>
      <c r="Y477" s="8">
        <f t="shared" si="15"/>
        <v>0.58187601155519575</v>
      </c>
    </row>
    <row r="478" spans="1:26" s="6" customFormat="1" x14ac:dyDescent="0.35">
      <c r="A478" s="6" t="s">
        <v>25</v>
      </c>
      <c r="B478" s="6" t="s">
        <v>1777</v>
      </c>
      <c r="D478" s="6" t="s">
        <v>1778</v>
      </c>
      <c r="E478" s="6">
        <v>4</v>
      </c>
      <c r="F478" s="6">
        <v>44</v>
      </c>
      <c r="I478" s="8">
        <v>81.975306180555606</v>
      </c>
      <c r="J478" s="8">
        <v>9.2425022222222193</v>
      </c>
      <c r="K478" s="6" t="s">
        <v>29</v>
      </c>
      <c r="L478" s="29" t="s">
        <v>335</v>
      </c>
      <c r="M478" s="9">
        <v>44004</v>
      </c>
      <c r="O478" s="6">
        <v>39</v>
      </c>
      <c r="P478" s="6" t="s">
        <v>4405</v>
      </c>
      <c r="S478" s="6">
        <v>90</v>
      </c>
      <c r="T478" s="6">
        <v>100</v>
      </c>
      <c r="U478" s="10">
        <f t="shared" si="14"/>
        <v>95</v>
      </c>
      <c r="V478" s="15">
        <v>2.8</v>
      </c>
      <c r="W478" s="8">
        <v>5.0586683678627051E-2</v>
      </c>
      <c r="X478" s="8">
        <v>1.2812546138763432</v>
      </c>
      <c r="Y478" s="8">
        <f t="shared" si="15"/>
        <v>0.8765611444473268</v>
      </c>
      <c r="Z478" s="6" t="s">
        <v>1760</v>
      </c>
    </row>
    <row r="479" spans="1:26" s="6" customFormat="1" x14ac:dyDescent="0.35">
      <c r="A479" s="6" t="s">
        <v>25</v>
      </c>
      <c r="B479" s="6" t="s">
        <v>1934</v>
      </c>
      <c r="D479" s="6" t="s">
        <v>1935</v>
      </c>
      <c r="E479" s="6">
        <v>4</v>
      </c>
      <c r="F479" s="6">
        <v>46</v>
      </c>
      <c r="I479" s="8">
        <v>81.685643263888906</v>
      </c>
      <c r="J479" s="8">
        <v>5.3733415277777796</v>
      </c>
      <c r="K479" s="6" t="s">
        <v>29</v>
      </c>
      <c r="L479" s="29" t="s">
        <v>335</v>
      </c>
      <c r="M479" s="9">
        <v>44018</v>
      </c>
      <c r="O479" s="6">
        <v>41</v>
      </c>
      <c r="P479" s="6" t="s">
        <v>4413</v>
      </c>
      <c r="S479" s="6">
        <v>90</v>
      </c>
      <c r="T479" s="6">
        <v>100</v>
      </c>
      <c r="U479" s="10">
        <f t="shared" si="14"/>
        <v>95</v>
      </c>
      <c r="V479" s="15">
        <v>3.1</v>
      </c>
      <c r="W479" s="8">
        <v>-0.75051750972270992</v>
      </c>
      <c r="X479" s="8">
        <v>-6.5811815195083616</v>
      </c>
      <c r="Y479" s="8">
        <f t="shared" si="15"/>
        <v>-0.57704144172668226</v>
      </c>
      <c r="Z479" s="6" t="s">
        <v>1760</v>
      </c>
    </row>
    <row r="480" spans="1:26" s="6" customFormat="1" x14ac:dyDescent="0.35">
      <c r="A480" s="6" t="s">
        <v>25</v>
      </c>
      <c r="B480" s="6" t="s">
        <v>2394</v>
      </c>
      <c r="D480" s="6" t="s">
        <v>2395</v>
      </c>
      <c r="E480" s="6">
        <v>5</v>
      </c>
      <c r="F480" s="6">
        <v>61</v>
      </c>
      <c r="I480" s="8">
        <v>88.700402291666705</v>
      </c>
      <c r="J480" s="8">
        <v>111.973632708333</v>
      </c>
      <c r="K480" s="6" t="s">
        <v>29</v>
      </c>
      <c r="L480" s="29" t="s">
        <v>335</v>
      </c>
      <c r="M480" s="9">
        <v>44081</v>
      </c>
      <c r="O480" s="6">
        <v>51</v>
      </c>
      <c r="P480" s="6" t="s">
        <v>4434</v>
      </c>
      <c r="S480" s="6">
        <v>90</v>
      </c>
      <c r="T480" s="6">
        <v>100</v>
      </c>
      <c r="U480" s="10">
        <f t="shared" si="14"/>
        <v>95</v>
      </c>
      <c r="V480" s="15">
        <v>2.7</v>
      </c>
      <c r="W480" s="8">
        <v>0.57804952139616039</v>
      </c>
      <c r="X480" s="8">
        <v>5.2959255332469954</v>
      </c>
      <c r="Y480" s="8">
        <f t="shared" si="15"/>
        <v>0.6715293620777123</v>
      </c>
      <c r="Z480" s="6" t="s">
        <v>1760</v>
      </c>
    </row>
    <row r="481" spans="1:26" s="6" customFormat="1" x14ac:dyDescent="0.35">
      <c r="A481" s="6" t="s">
        <v>25</v>
      </c>
      <c r="B481" s="7" t="s">
        <v>30</v>
      </c>
      <c r="D481" s="6" t="s">
        <v>31</v>
      </c>
      <c r="E481" s="6">
        <v>1</v>
      </c>
      <c r="F481" s="6">
        <v>1</v>
      </c>
      <c r="G481" s="6" t="s">
        <v>28</v>
      </c>
      <c r="I481" s="8">
        <v>85.144790624999999</v>
      </c>
      <c r="J481" s="8">
        <v>133.79209895833301</v>
      </c>
      <c r="K481" s="6" t="s">
        <v>29</v>
      </c>
      <c r="L481" s="6" t="s">
        <v>335</v>
      </c>
      <c r="M481" s="9">
        <v>43741</v>
      </c>
      <c r="O481" s="6">
        <v>1</v>
      </c>
      <c r="P481" s="6" t="s">
        <v>4242</v>
      </c>
      <c r="R481" s="10"/>
      <c r="S481" s="10">
        <v>92</v>
      </c>
      <c r="T481" s="10">
        <v>99</v>
      </c>
      <c r="U481" s="10">
        <f t="shared" si="14"/>
        <v>95.5</v>
      </c>
      <c r="V481" s="30"/>
      <c r="W481" s="8">
        <v>0.26641544595360794</v>
      </c>
      <c r="X481" s="8">
        <v>3.0036548447608951</v>
      </c>
      <c r="Y481" s="8">
        <f t="shared" si="15"/>
        <v>0.87233127713203151</v>
      </c>
    </row>
    <row r="482" spans="1:26" s="6" customFormat="1" x14ac:dyDescent="0.35">
      <c r="A482" s="6" t="s">
        <v>25</v>
      </c>
      <c r="B482" s="6" t="s">
        <v>1966</v>
      </c>
      <c r="D482" s="6" t="s">
        <v>1967</v>
      </c>
      <c r="E482" s="6">
        <v>4</v>
      </c>
      <c r="F482" s="6">
        <v>47</v>
      </c>
      <c r="I482" s="8">
        <v>81.417819374999993</v>
      </c>
      <c r="J482" s="8">
        <v>0.28587430555555599</v>
      </c>
      <c r="K482" s="6" t="s">
        <v>29</v>
      </c>
      <c r="L482" s="29" t="s">
        <v>335</v>
      </c>
      <c r="M482" s="9">
        <v>44025</v>
      </c>
      <c r="O482" s="6">
        <v>42</v>
      </c>
      <c r="P482" s="6" t="s">
        <v>4403</v>
      </c>
      <c r="S482" s="6">
        <v>90.5</v>
      </c>
      <c r="T482" s="6">
        <v>101</v>
      </c>
      <c r="U482" s="10">
        <f t="shared" si="14"/>
        <v>95.75</v>
      </c>
      <c r="V482" s="15">
        <v>2.4</v>
      </c>
      <c r="W482" s="8">
        <v>0.38620070635080384</v>
      </c>
      <c r="X482" s="8">
        <v>2.0330857400894167</v>
      </c>
      <c r="Y482" s="8">
        <f t="shared" si="15"/>
        <v>-1.056519910717014</v>
      </c>
      <c r="Z482" s="6" t="s">
        <v>1760</v>
      </c>
    </row>
    <row r="483" spans="1:26" s="6" customFormat="1" x14ac:dyDescent="0.35">
      <c r="A483" s="6" t="s">
        <v>25</v>
      </c>
      <c r="B483" s="7" t="s">
        <v>2233</v>
      </c>
      <c r="D483" s="6" t="s">
        <v>2234</v>
      </c>
      <c r="E483" s="6">
        <v>4</v>
      </c>
      <c r="F483" s="6">
        <v>49</v>
      </c>
      <c r="G483" s="6" t="s">
        <v>335</v>
      </c>
      <c r="I483" s="8">
        <v>79.191449375000005</v>
      </c>
      <c r="J483" s="8">
        <v>-2.6081078472222199</v>
      </c>
      <c r="K483" s="6" t="s">
        <v>29</v>
      </c>
      <c r="L483" s="6" t="s">
        <v>335</v>
      </c>
      <c r="M483" s="9">
        <v>44041</v>
      </c>
      <c r="O483" s="6">
        <v>44</v>
      </c>
      <c r="P483" s="6" t="s">
        <v>4421</v>
      </c>
      <c r="R483" s="10" t="s">
        <v>1836</v>
      </c>
      <c r="S483" s="10">
        <v>94</v>
      </c>
      <c r="T483" s="10">
        <v>99</v>
      </c>
      <c r="U483" s="10">
        <f t="shared" si="14"/>
        <v>96.5</v>
      </c>
      <c r="V483" s="11"/>
      <c r="W483" s="8">
        <v>-2.9076287750244139</v>
      </c>
      <c r="X483" s="8">
        <v>-21.899343069076536</v>
      </c>
      <c r="Y483" s="8">
        <f t="shared" si="15"/>
        <v>1.3616871311187744</v>
      </c>
    </row>
    <row r="484" spans="1:26" s="6" customFormat="1" x14ac:dyDescent="0.35">
      <c r="A484" s="6" t="s">
        <v>25</v>
      </c>
      <c r="B484" s="7"/>
      <c r="C484" s="6">
        <v>510537</v>
      </c>
      <c r="D484" s="6" t="s">
        <v>409</v>
      </c>
      <c r="E484" s="6">
        <v>1</v>
      </c>
      <c r="F484" s="6">
        <v>7</v>
      </c>
      <c r="G484" s="6" t="s">
        <v>345</v>
      </c>
      <c r="H484" s="6">
        <v>10</v>
      </c>
      <c r="I484" s="8">
        <v>86.116053611111099</v>
      </c>
      <c r="J484" s="8">
        <v>117.978438125</v>
      </c>
      <c r="K484" s="6" t="s">
        <v>29</v>
      </c>
      <c r="L484" s="6" t="s">
        <v>335</v>
      </c>
      <c r="M484" s="9">
        <v>43782</v>
      </c>
      <c r="O484" s="6">
        <v>7</v>
      </c>
      <c r="P484" s="6" t="s">
        <v>4254</v>
      </c>
      <c r="R484" s="6" t="s">
        <v>415</v>
      </c>
      <c r="S484" s="6">
        <v>90</v>
      </c>
      <c r="T484" s="6">
        <v>103.5</v>
      </c>
      <c r="U484" s="10">
        <f t="shared" si="14"/>
        <v>96.75</v>
      </c>
      <c r="V484" s="6">
        <v>5.4</v>
      </c>
      <c r="W484" s="8">
        <v>-0.39115417760610549</v>
      </c>
      <c r="X484" s="8">
        <v>-2.5230861119270322</v>
      </c>
      <c r="Y484" s="8">
        <f t="shared" si="15"/>
        <v>0.60614730892181168</v>
      </c>
    </row>
    <row r="485" spans="1:26" s="6" customFormat="1" x14ac:dyDescent="0.35">
      <c r="A485" s="6" t="s">
        <v>25</v>
      </c>
      <c r="B485" s="7" t="s">
        <v>261</v>
      </c>
      <c r="D485" s="6" t="s">
        <v>262</v>
      </c>
      <c r="E485" s="6">
        <v>1</v>
      </c>
      <c r="F485" s="6">
        <v>5</v>
      </c>
      <c r="G485" s="6" t="s">
        <v>179</v>
      </c>
      <c r="I485" s="8">
        <v>85.859204791666698</v>
      </c>
      <c r="J485" s="8">
        <v>122.400430694444</v>
      </c>
      <c r="K485" s="7" t="s">
        <v>29</v>
      </c>
      <c r="L485" s="6" t="s">
        <v>335</v>
      </c>
      <c r="M485" s="9">
        <v>43771</v>
      </c>
      <c r="O485" s="6">
        <v>5</v>
      </c>
      <c r="P485" s="6" t="s">
        <v>4254</v>
      </c>
      <c r="R485" s="10"/>
      <c r="S485" s="10">
        <v>94</v>
      </c>
      <c r="T485" s="10">
        <v>101</v>
      </c>
      <c r="U485" s="10">
        <f t="shared" si="14"/>
        <v>97.5</v>
      </c>
      <c r="V485" s="6">
        <v>2.6</v>
      </c>
      <c r="W485" s="8">
        <v>-2.4521247105121615</v>
      </c>
      <c r="X485" s="8">
        <v>-18.345744258880615</v>
      </c>
      <c r="Y485" s="8">
        <f t="shared" si="15"/>
        <v>1.2712534252166776</v>
      </c>
    </row>
    <row r="486" spans="1:26" s="6" customFormat="1" x14ac:dyDescent="0.35">
      <c r="A486" s="6" t="s">
        <v>25</v>
      </c>
      <c r="B486" s="7" t="s">
        <v>1687</v>
      </c>
      <c r="D486" s="6" t="s">
        <v>1688</v>
      </c>
      <c r="E486" s="6">
        <v>4</v>
      </c>
      <c r="F486" s="6">
        <v>44</v>
      </c>
      <c r="G486" s="6" t="s">
        <v>335</v>
      </c>
      <c r="I486" s="8">
        <v>81.975306180555606</v>
      </c>
      <c r="J486" s="8">
        <v>9.2425022222222193</v>
      </c>
      <c r="K486" s="6" t="s">
        <v>29</v>
      </c>
      <c r="L486" s="6" t="s">
        <v>335</v>
      </c>
      <c r="M486" s="9">
        <v>44004</v>
      </c>
      <c r="O486" s="6">
        <v>39</v>
      </c>
      <c r="P486" s="6" t="s">
        <v>4405</v>
      </c>
      <c r="R486" s="10" t="s">
        <v>1689</v>
      </c>
      <c r="S486" s="10">
        <v>95</v>
      </c>
      <c r="T486" s="10">
        <v>100</v>
      </c>
      <c r="U486" s="10">
        <f t="shared" si="14"/>
        <v>97.5</v>
      </c>
      <c r="V486" s="11"/>
      <c r="W486" s="8">
        <v>-0.35807895951509472</v>
      </c>
      <c r="X486" s="8">
        <v>-0.84686506772041359</v>
      </c>
      <c r="Y486" s="8">
        <f t="shared" si="15"/>
        <v>2.0177666084003443</v>
      </c>
    </row>
    <row r="487" spans="1:26" s="6" customFormat="1" x14ac:dyDescent="0.35">
      <c r="A487" s="6" t="s">
        <v>25</v>
      </c>
      <c r="B487" s="7" t="s">
        <v>917</v>
      </c>
      <c r="D487" s="6" t="s">
        <v>918</v>
      </c>
      <c r="E487" s="6">
        <v>2</v>
      </c>
      <c r="F487" s="6">
        <v>21</v>
      </c>
      <c r="G487" s="6" t="s">
        <v>202</v>
      </c>
      <c r="I487" s="8">
        <v>87.451079583333296</v>
      </c>
      <c r="J487" s="8">
        <v>97.375985347222198</v>
      </c>
      <c r="K487" s="6" t="s">
        <v>29</v>
      </c>
      <c r="L487" s="6" t="s">
        <v>335</v>
      </c>
      <c r="M487" s="9">
        <v>43850</v>
      </c>
      <c r="O487" s="6">
        <v>17</v>
      </c>
      <c r="P487" s="6" t="s">
        <v>4314</v>
      </c>
      <c r="R487" s="10"/>
      <c r="S487" s="10">
        <v>93</v>
      </c>
      <c r="T487" s="10">
        <v>105</v>
      </c>
      <c r="U487" s="10">
        <f t="shared" si="14"/>
        <v>99</v>
      </c>
      <c r="V487" s="11">
        <v>6.6</v>
      </c>
      <c r="W487" s="8">
        <v>-0.23949311845302548</v>
      </c>
      <c r="X487" s="8">
        <v>-1.6725776789188387</v>
      </c>
      <c r="Y487" s="8">
        <f t="shared" si="15"/>
        <v>0.24336726870536518</v>
      </c>
    </row>
    <row r="488" spans="1:26" s="6" customFormat="1" x14ac:dyDescent="0.35">
      <c r="A488" s="6" t="s">
        <v>25</v>
      </c>
      <c r="B488" s="6" t="s">
        <v>2185</v>
      </c>
      <c r="D488" s="6" t="s">
        <v>2186</v>
      </c>
      <c r="E488" s="6">
        <v>4</v>
      </c>
      <c r="F488" s="6">
        <v>48</v>
      </c>
      <c r="I488" s="8">
        <v>80.754295347222197</v>
      </c>
      <c r="J488" s="8">
        <v>-0.488818958333333</v>
      </c>
      <c r="K488" s="6" t="s">
        <v>29</v>
      </c>
      <c r="L488" s="29" t="s">
        <v>335</v>
      </c>
      <c r="M488" s="9">
        <v>44032</v>
      </c>
      <c r="O488" s="6">
        <v>43</v>
      </c>
      <c r="P488" s="6" t="s">
        <v>4403</v>
      </c>
      <c r="S488" s="6">
        <v>94</v>
      </c>
      <c r="T488" s="6">
        <v>104</v>
      </c>
      <c r="U488" s="10">
        <f t="shared" si="14"/>
        <v>99</v>
      </c>
      <c r="V488" s="15">
        <v>1.8</v>
      </c>
      <c r="W488" s="8">
        <v>0.33302246117591827</v>
      </c>
      <c r="X488" s="8">
        <v>2.8061397285461429</v>
      </c>
      <c r="Y488" s="8">
        <f t="shared" si="15"/>
        <v>0.14196003913879673</v>
      </c>
      <c r="Z488" s="6" t="s">
        <v>1760</v>
      </c>
    </row>
    <row r="489" spans="1:26" s="6" customFormat="1" x14ac:dyDescent="0.35">
      <c r="A489" s="6" t="s">
        <v>25</v>
      </c>
      <c r="B489" s="7" t="s">
        <v>2249</v>
      </c>
      <c r="D489" s="6" t="s">
        <v>2250</v>
      </c>
      <c r="E489" s="6">
        <v>4</v>
      </c>
      <c r="F489" s="6">
        <v>49</v>
      </c>
      <c r="G489" s="6" t="s">
        <v>335</v>
      </c>
      <c r="I489" s="8">
        <v>79.191449375000005</v>
      </c>
      <c r="J489" s="8">
        <v>-2.6081078472222199</v>
      </c>
      <c r="K489" s="6" t="s">
        <v>29</v>
      </c>
      <c r="L489" s="6" t="s">
        <v>335</v>
      </c>
      <c r="M489" s="9">
        <v>44041</v>
      </c>
      <c r="O489" s="6">
        <v>44</v>
      </c>
      <c r="P489" s="6" t="s">
        <v>4421</v>
      </c>
      <c r="R489" s="10" t="s">
        <v>1877</v>
      </c>
      <c r="S489" s="10">
        <v>99</v>
      </c>
      <c r="T489" s="10">
        <v>104</v>
      </c>
      <c r="U489" s="10">
        <f t="shared" si="14"/>
        <v>101.5</v>
      </c>
      <c r="V489" s="11"/>
      <c r="W489" s="8">
        <v>-4.6520868652343745</v>
      </c>
      <c r="X489" s="8">
        <v>-35.92225552749634</v>
      </c>
      <c r="Y489" s="8">
        <f t="shared" si="15"/>
        <v>1.2944393943786565</v>
      </c>
    </row>
    <row r="490" spans="1:26" s="6" customFormat="1" x14ac:dyDescent="0.35">
      <c r="A490" s="6" t="s">
        <v>25</v>
      </c>
      <c r="B490" s="7"/>
      <c r="C490" s="6">
        <v>510418</v>
      </c>
      <c r="D490" s="6" t="s">
        <v>344</v>
      </c>
      <c r="E490" s="6">
        <v>1</v>
      </c>
      <c r="F490" s="6">
        <v>6</v>
      </c>
      <c r="G490" s="6" t="s">
        <v>345</v>
      </c>
      <c r="H490" s="6">
        <v>18</v>
      </c>
      <c r="I490" s="8">
        <v>85.9187781944444</v>
      </c>
      <c r="J490" s="8">
        <v>117.45457173611101</v>
      </c>
      <c r="K490" s="6" t="s">
        <v>29</v>
      </c>
      <c r="L490" s="6" t="s">
        <v>335</v>
      </c>
      <c r="M490" s="9">
        <v>43775</v>
      </c>
      <c r="O490" s="6">
        <v>6</v>
      </c>
      <c r="P490" s="6" t="s">
        <v>4256</v>
      </c>
      <c r="R490" s="6" t="s">
        <v>349</v>
      </c>
      <c r="S490" s="6">
        <v>97</v>
      </c>
      <c r="T490" s="6">
        <v>107</v>
      </c>
      <c r="U490" s="10">
        <f t="shared" si="14"/>
        <v>102</v>
      </c>
      <c r="V490" s="6">
        <v>4.2</v>
      </c>
      <c r="W490" s="8">
        <v>-1.2195166899919505</v>
      </c>
      <c r="X490" s="8">
        <v>-9.5242559051513673</v>
      </c>
      <c r="Y490" s="8">
        <f t="shared" si="15"/>
        <v>0.23187761478423674</v>
      </c>
    </row>
    <row r="491" spans="1:26" s="6" customFormat="1" x14ac:dyDescent="0.35">
      <c r="A491" s="6" t="s">
        <v>25</v>
      </c>
      <c r="B491" s="7" t="s">
        <v>1663</v>
      </c>
      <c r="D491" s="6" t="s">
        <v>1664</v>
      </c>
      <c r="E491" s="6">
        <v>4</v>
      </c>
      <c r="F491" s="6">
        <v>44</v>
      </c>
      <c r="G491" s="6" t="s">
        <v>335</v>
      </c>
      <c r="I491" s="8">
        <v>81.975306180555606</v>
      </c>
      <c r="J491" s="8">
        <v>9.2425022222222193</v>
      </c>
      <c r="K491" s="6" t="s">
        <v>29</v>
      </c>
      <c r="L491" s="6" t="s">
        <v>335</v>
      </c>
      <c r="M491" s="9">
        <v>44004</v>
      </c>
      <c r="O491" s="6">
        <v>39</v>
      </c>
      <c r="P491" s="6" t="s">
        <v>4405</v>
      </c>
      <c r="R491" s="10" t="s">
        <v>1665</v>
      </c>
      <c r="S491" s="10">
        <v>100</v>
      </c>
      <c r="T491" s="10">
        <v>105</v>
      </c>
      <c r="U491" s="10">
        <f t="shared" si="14"/>
        <v>102.5</v>
      </c>
      <c r="V491" s="11"/>
      <c r="W491" s="8">
        <v>-0.4013799905478953</v>
      </c>
      <c r="X491" s="8">
        <v>-1.3477356877326969</v>
      </c>
      <c r="Y491" s="8">
        <f t="shared" si="15"/>
        <v>1.8633042366504655</v>
      </c>
    </row>
    <row r="492" spans="1:26" s="6" customFormat="1" x14ac:dyDescent="0.35">
      <c r="A492" s="6" t="s">
        <v>25</v>
      </c>
      <c r="B492" s="6" t="s">
        <v>2278</v>
      </c>
      <c r="D492" s="6" t="s">
        <v>2279</v>
      </c>
      <c r="E492" s="6">
        <v>4</v>
      </c>
      <c r="F492" s="6">
        <v>49</v>
      </c>
      <c r="I492" s="8">
        <v>79.191449375000005</v>
      </c>
      <c r="J492" s="8">
        <v>-2.6081078472222199</v>
      </c>
      <c r="K492" s="6" t="s">
        <v>29</v>
      </c>
      <c r="L492" s="29" t="s">
        <v>335</v>
      </c>
      <c r="M492" s="9">
        <v>44041</v>
      </c>
      <c r="O492" s="6">
        <v>44</v>
      </c>
      <c r="P492" s="6" t="s">
        <v>4421</v>
      </c>
      <c r="S492" s="6">
        <v>96</v>
      </c>
      <c r="T492" s="6">
        <v>111</v>
      </c>
      <c r="U492" s="10">
        <f t="shared" si="14"/>
        <v>103.5</v>
      </c>
      <c r="V492" s="15">
        <v>1</v>
      </c>
      <c r="W492" s="8">
        <v>-4.1412991571426403</v>
      </c>
      <c r="X492" s="8">
        <v>-32.343875044250488</v>
      </c>
      <c r="Y492" s="8">
        <f t="shared" si="15"/>
        <v>0.78651821289063406</v>
      </c>
      <c r="Z492" s="6" t="s">
        <v>1760</v>
      </c>
    </row>
    <row r="493" spans="1:26" s="6" customFormat="1" x14ac:dyDescent="0.35">
      <c r="A493" s="6" t="s">
        <v>25</v>
      </c>
      <c r="B493" s="7" t="s">
        <v>457</v>
      </c>
      <c r="C493" s="6">
        <v>510635</v>
      </c>
      <c r="D493" s="6" t="s">
        <v>458</v>
      </c>
      <c r="E493" s="6">
        <v>1</v>
      </c>
      <c r="F493" s="6">
        <v>7</v>
      </c>
      <c r="G493" s="6" t="s">
        <v>179</v>
      </c>
      <c r="I493" s="8">
        <v>86.191348333333295</v>
      </c>
      <c r="J493" s="8">
        <v>118.623774583333</v>
      </c>
      <c r="K493" s="6" t="s">
        <v>29</v>
      </c>
      <c r="L493" s="6" t="s">
        <v>335</v>
      </c>
      <c r="M493" s="9">
        <v>43784</v>
      </c>
      <c r="O493" s="6">
        <v>7</v>
      </c>
      <c r="P493" s="6" t="s">
        <v>4260</v>
      </c>
      <c r="Q493" s="8">
        <v>-2.9666666666666668</v>
      </c>
      <c r="R493" s="10" t="s">
        <v>459</v>
      </c>
      <c r="S493" s="10">
        <v>99</v>
      </c>
      <c r="T493" s="10">
        <v>110</v>
      </c>
      <c r="U493" s="10">
        <f t="shared" si="14"/>
        <v>104.5</v>
      </c>
      <c r="V493" s="6">
        <v>5.3</v>
      </c>
      <c r="W493" s="8">
        <v>-0.36465785096287745</v>
      </c>
      <c r="X493" s="8">
        <v>-1.5780080122947688</v>
      </c>
      <c r="Y493" s="8">
        <f t="shared" si="15"/>
        <v>1.3392547954082508</v>
      </c>
    </row>
    <row r="494" spans="1:26" s="6" customFormat="1" x14ac:dyDescent="0.35">
      <c r="A494" s="6" t="s">
        <v>25</v>
      </c>
      <c r="B494" s="6" t="s">
        <v>170</v>
      </c>
      <c r="C494" s="6">
        <v>510163</v>
      </c>
      <c r="D494" s="6" t="s">
        <v>152</v>
      </c>
      <c r="E494" s="6">
        <v>1</v>
      </c>
      <c r="F494" s="6">
        <v>3</v>
      </c>
      <c r="G494" s="6" t="s">
        <v>153</v>
      </c>
      <c r="I494" s="8">
        <v>85.348898888888897</v>
      </c>
      <c r="J494" s="8">
        <v>129.88336361111101</v>
      </c>
      <c r="K494" s="6" t="s">
        <v>29</v>
      </c>
      <c r="L494" s="6" t="s">
        <v>335</v>
      </c>
      <c r="M494" s="9">
        <v>43761</v>
      </c>
      <c r="O494" s="6">
        <v>4</v>
      </c>
      <c r="P494" s="6" t="s">
        <v>4248</v>
      </c>
      <c r="R494" s="6" t="s">
        <v>171</v>
      </c>
      <c r="S494" s="6">
        <v>100</v>
      </c>
      <c r="T494" s="6">
        <v>110</v>
      </c>
      <c r="U494" s="10">
        <f t="shared" si="14"/>
        <v>105</v>
      </c>
      <c r="V494" s="6">
        <v>3.4</v>
      </c>
      <c r="W494" s="8">
        <v>-1.2472095865726469</v>
      </c>
      <c r="X494" s="8">
        <v>-9.2739042739868172</v>
      </c>
      <c r="Y494" s="8">
        <f t="shared" si="15"/>
        <v>0.70377241859435813</v>
      </c>
    </row>
    <row r="495" spans="1:26" s="6" customFormat="1" x14ac:dyDescent="0.35">
      <c r="A495" s="6" t="s">
        <v>25</v>
      </c>
      <c r="B495" s="6" t="s">
        <v>894</v>
      </c>
      <c r="D495" s="6" t="s">
        <v>884</v>
      </c>
      <c r="E495" s="6">
        <v>2</v>
      </c>
      <c r="F495" s="6">
        <v>20</v>
      </c>
      <c r="G495" s="6" t="s">
        <v>57</v>
      </c>
      <c r="I495" s="8">
        <v>86.603676041666702</v>
      </c>
      <c r="J495" s="8">
        <v>116.411907777778</v>
      </c>
      <c r="K495" s="6" t="s">
        <v>29</v>
      </c>
      <c r="L495" s="6" t="s">
        <v>335</v>
      </c>
      <c r="M495" s="9">
        <v>43846</v>
      </c>
      <c r="O495" s="6">
        <v>16</v>
      </c>
      <c r="P495" s="6" t="s">
        <v>4311</v>
      </c>
      <c r="R495" s="6">
        <v>100</v>
      </c>
      <c r="S495" s="6">
        <v>100</v>
      </c>
      <c r="T495" s="6">
        <v>110</v>
      </c>
      <c r="U495" s="10">
        <f t="shared" si="14"/>
        <v>105</v>
      </c>
      <c r="V495" s="6">
        <v>5.8</v>
      </c>
      <c r="W495" s="8">
        <v>-0.19186768426597117</v>
      </c>
      <c r="X495" s="8">
        <v>-1.2967359781265262</v>
      </c>
      <c r="Y495" s="8">
        <f t="shared" si="15"/>
        <v>0.23820549600124319</v>
      </c>
    </row>
    <row r="496" spans="1:26" s="6" customFormat="1" x14ac:dyDescent="0.35">
      <c r="A496" s="6" t="s">
        <v>25</v>
      </c>
      <c r="B496" s="7"/>
      <c r="D496" s="6" t="s">
        <v>1006</v>
      </c>
      <c r="E496" s="6">
        <v>2</v>
      </c>
      <c r="F496" s="6">
        <v>23</v>
      </c>
      <c r="G496" s="6" t="s">
        <v>202</v>
      </c>
      <c r="I496" s="8">
        <v>87.352736041666702</v>
      </c>
      <c r="J496" s="8">
        <v>94.772103819444396</v>
      </c>
      <c r="K496" s="6" t="s">
        <v>29</v>
      </c>
      <c r="L496" s="6" t="s">
        <v>335</v>
      </c>
      <c r="M496" s="9">
        <v>43864</v>
      </c>
      <c r="O496" s="6">
        <v>19</v>
      </c>
      <c r="P496" s="6" t="s">
        <v>4322</v>
      </c>
      <c r="S496" s="6">
        <v>100</v>
      </c>
      <c r="T496" s="6">
        <v>110</v>
      </c>
      <c r="U496" s="10">
        <f t="shared" si="14"/>
        <v>105</v>
      </c>
      <c r="V496" s="6">
        <v>4.7</v>
      </c>
      <c r="W496" s="8">
        <v>-0.32342076054275021</v>
      </c>
      <c r="X496" s="8">
        <v>-1.8306960084915158</v>
      </c>
      <c r="Y496" s="8">
        <f t="shared" si="15"/>
        <v>0.75667007585048585</v>
      </c>
    </row>
    <row r="497" spans="1:26" s="6" customFormat="1" x14ac:dyDescent="0.35">
      <c r="A497" s="6" t="s">
        <v>25</v>
      </c>
      <c r="B497" s="7"/>
      <c r="D497" s="6" t="s">
        <v>1042</v>
      </c>
      <c r="E497" s="6">
        <v>2</v>
      </c>
      <c r="F497" s="6">
        <v>24</v>
      </c>
      <c r="G497" s="6" t="s">
        <v>57</v>
      </c>
      <c r="I497" s="8">
        <v>87.882876180555598</v>
      </c>
      <c r="J497" s="8">
        <v>87.424340833333304</v>
      </c>
      <c r="K497" s="6" t="s">
        <v>29</v>
      </c>
      <c r="L497" s="6" t="s">
        <v>335</v>
      </c>
      <c r="M497" s="9">
        <v>43873</v>
      </c>
      <c r="O497" s="6">
        <v>20</v>
      </c>
      <c r="P497" s="6" t="s">
        <v>4313</v>
      </c>
      <c r="S497" s="6">
        <v>100</v>
      </c>
      <c r="T497" s="6">
        <v>110</v>
      </c>
      <c r="U497" s="10">
        <f t="shared" si="14"/>
        <v>105</v>
      </c>
      <c r="V497" s="30"/>
      <c r="W497" s="8">
        <v>-2.4440305334329606</v>
      </c>
      <c r="X497" s="8">
        <v>-18.12322619152069</v>
      </c>
      <c r="Y497" s="8">
        <f t="shared" si="15"/>
        <v>1.4290180759429951</v>
      </c>
    </row>
    <row r="498" spans="1:26" s="6" customFormat="1" x14ac:dyDescent="0.35">
      <c r="A498" s="6" t="s">
        <v>25</v>
      </c>
      <c r="B498" s="7"/>
      <c r="D498" s="6" t="s">
        <v>1092</v>
      </c>
      <c r="E498" s="6">
        <v>3</v>
      </c>
      <c r="F498" s="6">
        <v>31</v>
      </c>
      <c r="G498" s="6" t="s">
        <v>179</v>
      </c>
      <c r="I498" s="8">
        <v>87.889566388888895</v>
      </c>
      <c r="J498" s="8">
        <v>24.107920208333301</v>
      </c>
      <c r="K498" s="6" t="s">
        <v>29</v>
      </c>
      <c r="L498" s="6" t="s">
        <v>335</v>
      </c>
      <c r="M498" s="9">
        <v>43899</v>
      </c>
      <c r="O498" s="6">
        <v>24</v>
      </c>
      <c r="P498" s="6" t="s">
        <v>4343</v>
      </c>
      <c r="S498" s="6">
        <v>100</v>
      </c>
      <c r="T498" s="6">
        <v>110</v>
      </c>
      <c r="U498" s="10">
        <f t="shared" si="14"/>
        <v>105</v>
      </c>
      <c r="V498" s="6">
        <v>4.5999999999999996</v>
      </c>
      <c r="W498" s="8">
        <v>-0.19213146618247021</v>
      </c>
      <c r="X498" s="8">
        <v>-1.2291627168655386</v>
      </c>
      <c r="Y498" s="8">
        <f t="shared" si="15"/>
        <v>0.30788901259422308</v>
      </c>
    </row>
    <row r="499" spans="1:26" s="6" customFormat="1" x14ac:dyDescent="0.35">
      <c r="A499" s="6" t="s">
        <v>25</v>
      </c>
      <c r="B499" s="7"/>
      <c r="D499" s="6" t="s">
        <v>1107</v>
      </c>
      <c r="E499" s="6">
        <v>3</v>
      </c>
      <c r="F499" s="6">
        <v>31</v>
      </c>
      <c r="G499" s="6" t="s">
        <v>345</v>
      </c>
      <c r="I499" s="8">
        <v>87.660309999999996</v>
      </c>
      <c r="J499" s="8">
        <v>24.286057569444399</v>
      </c>
      <c r="K499" s="6" t="s">
        <v>29</v>
      </c>
      <c r="L499" s="6" t="s">
        <v>335</v>
      </c>
      <c r="M499" s="9">
        <v>43901</v>
      </c>
      <c r="O499" s="6">
        <v>24</v>
      </c>
      <c r="P499" s="6" t="s">
        <v>4345</v>
      </c>
      <c r="S499" s="6">
        <v>100</v>
      </c>
      <c r="T499" s="6">
        <v>110</v>
      </c>
      <c r="U499" s="10">
        <f t="shared" si="14"/>
        <v>105</v>
      </c>
      <c r="V499" s="6">
        <v>4</v>
      </c>
      <c r="W499" s="8">
        <v>-0.46687172412276268</v>
      </c>
      <c r="X499" s="8">
        <v>-0.92516561269760089</v>
      </c>
      <c r="Y499" s="8">
        <f t="shared" si="15"/>
        <v>2.8098081802845005</v>
      </c>
    </row>
    <row r="500" spans="1:26" s="6" customFormat="1" x14ac:dyDescent="0.35">
      <c r="A500" s="6" t="s">
        <v>25</v>
      </c>
      <c r="B500" s="7"/>
      <c r="D500" s="6" t="s">
        <v>1166</v>
      </c>
      <c r="E500" s="6">
        <v>3</v>
      </c>
      <c r="F500" s="6">
        <v>32</v>
      </c>
      <c r="G500" s="6" t="s">
        <v>179</v>
      </c>
      <c r="I500" s="8">
        <v>86.339075833333297</v>
      </c>
      <c r="J500" s="8">
        <v>14.7309175</v>
      </c>
      <c r="K500" s="6" t="s">
        <v>29</v>
      </c>
      <c r="L500" s="6" t="s">
        <v>335</v>
      </c>
      <c r="M500" s="9">
        <v>43910</v>
      </c>
      <c r="O500" s="6">
        <v>25</v>
      </c>
      <c r="P500" s="6" t="s">
        <v>4350</v>
      </c>
      <c r="S500" s="6">
        <v>100</v>
      </c>
      <c r="T500" s="6">
        <v>110</v>
      </c>
      <c r="U500" s="10">
        <f t="shared" si="14"/>
        <v>105</v>
      </c>
      <c r="V500" s="6">
        <v>6.5</v>
      </c>
      <c r="W500" s="8">
        <v>-0.40219087224304706</v>
      </c>
      <c r="X500" s="8">
        <v>-2.943660043954849</v>
      </c>
      <c r="Y500" s="8">
        <f t="shared" si="15"/>
        <v>0.27386693398952744</v>
      </c>
    </row>
    <row r="501" spans="1:26" s="6" customFormat="1" x14ac:dyDescent="0.35">
      <c r="A501" s="6" t="s">
        <v>25</v>
      </c>
      <c r="B501" s="7"/>
      <c r="D501" s="6" t="s">
        <v>1186</v>
      </c>
      <c r="E501" s="6">
        <v>3</v>
      </c>
      <c r="F501" s="6">
        <v>32</v>
      </c>
      <c r="G501" s="6" t="s">
        <v>202</v>
      </c>
      <c r="I501" s="8">
        <v>86.257643333333306</v>
      </c>
      <c r="J501" s="8">
        <v>15.261599722222201</v>
      </c>
      <c r="K501" s="6" t="s">
        <v>29</v>
      </c>
      <c r="L501" s="6" t="s">
        <v>335</v>
      </c>
      <c r="M501" s="9">
        <v>43911</v>
      </c>
      <c r="O501" s="6">
        <v>25</v>
      </c>
      <c r="P501" s="6" t="s">
        <v>4351</v>
      </c>
      <c r="S501" s="6">
        <v>100</v>
      </c>
      <c r="T501" s="6">
        <v>110</v>
      </c>
      <c r="U501" s="10">
        <f t="shared" si="14"/>
        <v>105</v>
      </c>
      <c r="V501" s="6">
        <v>6.4</v>
      </c>
      <c r="W501" s="8">
        <v>-0.35104514029025996</v>
      </c>
      <c r="X501" s="8">
        <v>-2.1179036998748777</v>
      </c>
      <c r="Y501" s="8">
        <f t="shared" si="15"/>
        <v>0.69045742244720198</v>
      </c>
    </row>
    <row r="502" spans="1:26" s="6" customFormat="1" x14ac:dyDescent="0.35">
      <c r="A502" s="6" t="s">
        <v>25</v>
      </c>
      <c r="B502" s="6" t="s">
        <v>1251</v>
      </c>
      <c r="D502" s="6" t="s">
        <v>1240</v>
      </c>
      <c r="E502" s="6">
        <v>3</v>
      </c>
      <c r="F502" s="6">
        <v>34</v>
      </c>
      <c r="G502" s="6" t="s">
        <v>202</v>
      </c>
      <c r="I502" s="8">
        <v>84.533711805555598</v>
      </c>
      <c r="J502" s="8">
        <v>14.277858402777801</v>
      </c>
      <c r="K502" s="6" t="s">
        <v>29</v>
      </c>
      <c r="L502" s="6" t="s">
        <v>335</v>
      </c>
      <c r="M502" s="9">
        <v>43927</v>
      </c>
      <c r="O502" s="6">
        <v>28</v>
      </c>
      <c r="P502" s="6" t="s">
        <v>4359</v>
      </c>
      <c r="R502" s="6">
        <v>100</v>
      </c>
      <c r="S502" s="6">
        <v>100</v>
      </c>
      <c r="T502" s="6">
        <v>110</v>
      </c>
      <c r="U502" s="10">
        <f t="shared" si="14"/>
        <v>105</v>
      </c>
      <c r="V502" s="6">
        <v>4.4000000000000004</v>
      </c>
      <c r="W502" s="8">
        <v>-3.9374892449379348E-2</v>
      </c>
      <c r="X502" s="8">
        <v>0.12861275672912587</v>
      </c>
      <c r="Y502" s="8">
        <f t="shared" si="15"/>
        <v>0.44361189632416065</v>
      </c>
    </row>
    <row r="503" spans="1:26" s="6" customFormat="1" x14ac:dyDescent="0.35">
      <c r="A503" s="6" t="s">
        <v>25</v>
      </c>
      <c r="B503" s="6" t="s">
        <v>1301</v>
      </c>
      <c r="D503" s="6" t="s">
        <v>1291</v>
      </c>
      <c r="E503" s="6">
        <v>3</v>
      </c>
      <c r="F503" s="6">
        <v>35</v>
      </c>
      <c r="G503" s="6" t="s">
        <v>345</v>
      </c>
      <c r="I503" s="8">
        <v>84.322834374999999</v>
      </c>
      <c r="J503" s="8">
        <v>14.725811041666701</v>
      </c>
      <c r="K503" s="6" t="s">
        <v>29</v>
      </c>
      <c r="L503" s="6" t="s">
        <v>335</v>
      </c>
      <c r="M503" s="9">
        <v>43931</v>
      </c>
      <c r="O503" s="6">
        <v>28</v>
      </c>
      <c r="P503" s="6" t="s">
        <v>4362</v>
      </c>
      <c r="R503" s="6">
        <v>100</v>
      </c>
      <c r="S503" s="6">
        <v>100</v>
      </c>
      <c r="T503" s="6">
        <v>110</v>
      </c>
      <c r="U503" s="10">
        <f t="shared" si="14"/>
        <v>105</v>
      </c>
      <c r="V503" s="6">
        <v>5.4</v>
      </c>
      <c r="W503" s="8">
        <v>-0.19674165022373205</v>
      </c>
      <c r="X503" s="8">
        <v>-1.5199945356994868</v>
      </c>
      <c r="Y503" s="8">
        <f t="shared" si="15"/>
        <v>5.3938666090369569E-2</v>
      </c>
    </row>
    <row r="504" spans="1:26" s="6" customFormat="1" x14ac:dyDescent="0.35">
      <c r="A504" s="6" t="s">
        <v>25</v>
      </c>
      <c r="B504" s="7" t="s">
        <v>1458</v>
      </c>
      <c r="D504" s="6" t="s">
        <v>1459</v>
      </c>
      <c r="E504" s="6">
        <v>3</v>
      </c>
      <c r="F504" s="6">
        <v>37</v>
      </c>
      <c r="G504" s="6" t="s">
        <v>28</v>
      </c>
      <c r="I504" s="8">
        <v>83.999093333333306</v>
      </c>
      <c r="J504" s="8">
        <v>15.6102103472222</v>
      </c>
      <c r="K504" s="6" t="s">
        <v>29</v>
      </c>
      <c r="L504" s="6" t="s">
        <v>335</v>
      </c>
      <c r="M504" s="9">
        <v>43946</v>
      </c>
      <c r="O504" s="6">
        <v>30</v>
      </c>
      <c r="P504" s="6" t="s">
        <v>4265</v>
      </c>
      <c r="R504" s="10"/>
      <c r="S504" s="10">
        <v>100</v>
      </c>
      <c r="T504" s="10">
        <v>110</v>
      </c>
      <c r="U504" s="10">
        <f t="shared" si="14"/>
        <v>105</v>
      </c>
      <c r="V504" s="11">
        <v>3.4</v>
      </c>
      <c r="W504" s="8">
        <v>-2.957030296325684</v>
      </c>
      <c r="X504" s="8">
        <v>-22.481003158569337</v>
      </c>
      <c r="Y504" s="8">
        <f t="shared" si="15"/>
        <v>1.1752392120361357</v>
      </c>
    </row>
    <row r="505" spans="1:26" s="6" customFormat="1" x14ac:dyDescent="0.35">
      <c r="A505" s="6" t="s">
        <v>25</v>
      </c>
      <c r="B505" s="7" t="s">
        <v>1502</v>
      </c>
      <c r="D505" s="6" t="s">
        <v>1503</v>
      </c>
      <c r="E505" s="6">
        <v>3</v>
      </c>
      <c r="F505" s="6">
        <v>37</v>
      </c>
      <c r="G505" s="6" t="s">
        <v>28</v>
      </c>
      <c r="I505" s="8">
        <v>83.999093333333306</v>
      </c>
      <c r="J505" s="8">
        <v>15.6102103472222</v>
      </c>
      <c r="K505" s="6" t="s">
        <v>29</v>
      </c>
      <c r="L505" s="6" t="s">
        <v>335</v>
      </c>
      <c r="M505" s="9">
        <v>43946</v>
      </c>
      <c r="O505" s="6">
        <v>30</v>
      </c>
      <c r="P505" s="6" t="s">
        <v>4265</v>
      </c>
      <c r="R505" s="10"/>
      <c r="S505" s="10">
        <v>100</v>
      </c>
      <c r="T505" s="10">
        <v>110</v>
      </c>
      <c r="U505" s="10">
        <f t="shared" si="14"/>
        <v>105</v>
      </c>
      <c r="V505" s="11">
        <v>4.3</v>
      </c>
      <c r="W505" s="8">
        <v>-0.13538132309913598</v>
      </c>
      <c r="X505" s="8">
        <v>4.8783130994439067E-2</v>
      </c>
      <c r="Y505" s="8">
        <f t="shared" si="15"/>
        <v>1.1318337157875269</v>
      </c>
    </row>
    <row r="506" spans="1:26" s="6" customFormat="1" x14ac:dyDescent="0.35">
      <c r="A506" s="6" t="s">
        <v>25</v>
      </c>
      <c r="B506" s="7"/>
      <c r="D506" s="6" t="s">
        <v>1553</v>
      </c>
      <c r="E506" s="6">
        <v>3</v>
      </c>
      <c r="F506" s="6">
        <v>38</v>
      </c>
      <c r="G506" s="6" t="s">
        <v>202</v>
      </c>
      <c r="I506" s="8">
        <v>83.938997847222197</v>
      </c>
      <c r="J506" s="8">
        <v>15.6730686111111</v>
      </c>
      <c r="K506" s="6" t="s">
        <v>29</v>
      </c>
      <c r="L506" s="6" t="s">
        <v>335</v>
      </c>
      <c r="M506" s="9">
        <v>43948</v>
      </c>
      <c r="O506" s="6">
        <v>31</v>
      </c>
      <c r="P506" s="6" t="s">
        <v>4251</v>
      </c>
      <c r="S506" s="6">
        <v>100</v>
      </c>
      <c r="T506" s="6">
        <v>110</v>
      </c>
      <c r="U506" s="10">
        <f t="shared" si="14"/>
        <v>105</v>
      </c>
      <c r="V506" s="6">
        <v>4.5</v>
      </c>
      <c r="W506" s="8">
        <v>-0.10086561660915665</v>
      </c>
      <c r="X506" s="8">
        <v>-1.308409706497192</v>
      </c>
      <c r="Y506" s="8">
        <f t="shared" si="15"/>
        <v>-0.50148477362393884</v>
      </c>
    </row>
    <row r="507" spans="1:26" s="6" customFormat="1" x14ac:dyDescent="0.35">
      <c r="A507" s="6" t="s">
        <v>25</v>
      </c>
      <c r="B507" s="6" t="s">
        <v>1630</v>
      </c>
      <c r="D507" s="6" t="s">
        <v>1619</v>
      </c>
      <c r="E507" s="6">
        <v>3</v>
      </c>
      <c r="F507" s="6">
        <v>39</v>
      </c>
      <c r="G507" s="6" t="s">
        <v>202</v>
      </c>
      <c r="I507" s="8">
        <v>83.907985999999994</v>
      </c>
      <c r="J507" s="8">
        <v>18.352126999999999</v>
      </c>
      <c r="K507" s="6" t="s">
        <v>29</v>
      </c>
      <c r="L507" s="6" t="s">
        <v>335</v>
      </c>
      <c r="M507" s="9">
        <v>43955</v>
      </c>
      <c r="O507" s="6">
        <v>32</v>
      </c>
      <c r="P507" s="6" t="s">
        <v>4374</v>
      </c>
      <c r="R507" s="6">
        <v>100</v>
      </c>
      <c r="S507" s="6">
        <v>100</v>
      </c>
      <c r="T507" s="6">
        <v>110</v>
      </c>
      <c r="U507" s="10">
        <f t="shared" si="14"/>
        <v>105</v>
      </c>
      <c r="V507" s="6">
        <v>5</v>
      </c>
      <c r="W507" s="8">
        <v>-0.18190627457916725</v>
      </c>
      <c r="X507" s="8">
        <v>-1.0442152819633488</v>
      </c>
      <c r="Y507" s="8">
        <f t="shared" si="15"/>
        <v>0.4110349146699892</v>
      </c>
    </row>
    <row r="508" spans="1:26" s="6" customFormat="1" x14ac:dyDescent="0.35">
      <c r="A508" s="6" t="s">
        <v>25</v>
      </c>
      <c r="B508" s="6" t="s">
        <v>1779</v>
      </c>
      <c r="D508" s="6" t="s">
        <v>1780</v>
      </c>
      <c r="E508" s="6">
        <v>4</v>
      </c>
      <c r="F508" s="6">
        <v>44</v>
      </c>
      <c r="I508" s="8">
        <v>81.975306180555606</v>
      </c>
      <c r="J508" s="8">
        <v>9.2425022222222193</v>
      </c>
      <c r="K508" s="6" t="s">
        <v>29</v>
      </c>
      <c r="L508" s="29" t="s">
        <v>335</v>
      </c>
      <c r="M508" s="9">
        <v>44004</v>
      </c>
      <c r="O508" s="6">
        <v>39</v>
      </c>
      <c r="P508" s="6" t="s">
        <v>4405</v>
      </c>
      <c r="S508" s="6">
        <v>100</v>
      </c>
      <c r="T508" s="6">
        <v>110</v>
      </c>
      <c r="U508" s="10">
        <f t="shared" si="14"/>
        <v>105</v>
      </c>
      <c r="V508" s="15">
        <v>3.9</v>
      </c>
      <c r="W508" s="8">
        <v>-9.7454142722487827E-2</v>
      </c>
      <c r="X508" s="8">
        <v>-1.5053944368362431</v>
      </c>
      <c r="Y508" s="8">
        <f t="shared" si="15"/>
        <v>-0.72576129505634046</v>
      </c>
      <c r="Z508" s="6" t="s">
        <v>1760</v>
      </c>
    </row>
    <row r="509" spans="1:26" s="6" customFormat="1" x14ac:dyDescent="0.35">
      <c r="A509" s="6" t="s">
        <v>25</v>
      </c>
      <c r="B509" s="6" t="s">
        <v>1936</v>
      </c>
      <c r="D509" s="6" t="s">
        <v>1937</v>
      </c>
      <c r="E509" s="6">
        <v>4</v>
      </c>
      <c r="F509" s="6">
        <v>46</v>
      </c>
      <c r="I509" s="8">
        <v>81.685643263888906</v>
      </c>
      <c r="J509" s="8">
        <v>5.3733415277777796</v>
      </c>
      <c r="K509" s="6" t="s">
        <v>29</v>
      </c>
      <c r="L509" s="29" t="s">
        <v>335</v>
      </c>
      <c r="M509" s="9">
        <v>44018</v>
      </c>
      <c r="O509" s="6">
        <v>41</v>
      </c>
      <c r="P509" s="6" t="s">
        <v>4413</v>
      </c>
      <c r="S509" s="6">
        <v>100</v>
      </c>
      <c r="T509" s="6">
        <v>110</v>
      </c>
      <c r="U509" s="10">
        <f t="shared" si="14"/>
        <v>105</v>
      </c>
      <c r="V509" s="15">
        <v>3.1</v>
      </c>
      <c r="W509" s="8">
        <v>-0.58184027888774914</v>
      </c>
      <c r="X509" s="8">
        <v>-5.7775914783477775</v>
      </c>
      <c r="Y509" s="8">
        <f t="shared" si="15"/>
        <v>-1.1228692472457844</v>
      </c>
      <c r="Z509" s="6" t="s">
        <v>1760</v>
      </c>
    </row>
    <row r="510" spans="1:26" s="6" customFormat="1" x14ac:dyDescent="0.35">
      <c r="A510" s="6" t="s">
        <v>25</v>
      </c>
      <c r="B510" s="6" t="s">
        <v>2329</v>
      </c>
      <c r="D510" s="6" t="s">
        <v>2330</v>
      </c>
      <c r="E510" s="6">
        <v>5</v>
      </c>
      <c r="F510" s="6">
        <v>59</v>
      </c>
      <c r="I510" s="8">
        <v>88.299658402777794</v>
      </c>
      <c r="J510" s="8">
        <v>114.11509069444401</v>
      </c>
      <c r="K510" s="6" t="s">
        <v>29</v>
      </c>
      <c r="L510" s="29" t="s">
        <v>335</v>
      </c>
      <c r="M510" s="9">
        <v>44074</v>
      </c>
      <c r="O510" s="6">
        <v>50</v>
      </c>
      <c r="P510" s="6" t="s">
        <v>4396</v>
      </c>
      <c r="S510" s="6">
        <v>100</v>
      </c>
      <c r="T510" s="6">
        <v>110</v>
      </c>
      <c r="U510" s="10">
        <f t="shared" si="14"/>
        <v>105</v>
      </c>
      <c r="V510" s="15">
        <v>0.3</v>
      </c>
      <c r="W510" s="8">
        <v>-1.2928663685798645</v>
      </c>
      <c r="X510" s="8">
        <v>-10.27475860404968</v>
      </c>
      <c r="Y510" s="8">
        <f t="shared" si="15"/>
        <v>6.8172344589235934E-2</v>
      </c>
      <c r="Z510" s="6" t="s">
        <v>1760</v>
      </c>
    </row>
    <row r="511" spans="1:26" s="6" customFormat="1" x14ac:dyDescent="0.35">
      <c r="A511" s="6" t="s">
        <v>25</v>
      </c>
      <c r="B511" s="6" t="s">
        <v>2396</v>
      </c>
      <c r="D511" s="6" t="s">
        <v>2397</v>
      </c>
      <c r="E511" s="6">
        <v>5</v>
      </c>
      <c r="F511" s="6">
        <v>61</v>
      </c>
      <c r="I511" s="8">
        <v>88.700402291666705</v>
      </c>
      <c r="J511" s="8">
        <v>111.973632708333</v>
      </c>
      <c r="K511" s="6" t="s">
        <v>29</v>
      </c>
      <c r="L511" s="29" t="s">
        <v>335</v>
      </c>
      <c r="M511" s="9">
        <v>44081</v>
      </c>
      <c r="O511" s="6">
        <v>51</v>
      </c>
      <c r="P511" s="6" t="s">
        <v>4434</v>
      </c>
      <c r="S511" s="6">
        <v>100</v>
      </c>
      <c r="T511" s="6">
        <v>110</v>
      </c>
      <c r="U511" s="10">
        <f t="shared" si="14"/>
        <v>105</v>
      </c>
      <c r="V511" s="15">
        <v>2.7</v>
      </c>
      <c r="W511" s="8">
        <v>0.52753250337600688</v>
      </c>
      <c r="X511" s="8">
        <v>3.9121907855987548</v>
      </c>
      <c r="Y511" s="8">
        <f t="shared" si="15"/>
        <v>-0.30806924140930025</v>
      </c>
      <c r="Z511" s="6" t="s">
        <v>1760</v>
      </c>
    </row>
    <row r="512" spans="1:26" s="6" customFormat="1" x14ac:dyDescent="0.35">
      <c r="A512" s="6" t="s">
        <v>25</v>
      </c>
      <c r="B512" s="6" t="s">
        <v>1968</v>
      </c>
      <c r="D512" s="6" t="s">
        <v>1969</v>
      </c>
      <c r="E512" s="6">
        <v>4</v>
      </c>
      <c r="F512" s="6">
        <v>47</v>
      </c>
      <c r="I512" s="8">
        <v>81.417819374999993</v>
      </c>
      <c r="J512" s="8">
        <v>0.28587430555555599</v>
      </c>
      <c r="K512" s="6" t="s">
        <v>29</v>
      </c>
      <c r="L512" s="29" t="s">
        <v>335</v>
      </c>
      <c r="M512" s="9">
        <v>44025</v>
      </c>
      <c r="O512" s="6">
        <v>42</v>
      </c>
      <c r="P512" s="6" t="s">
        <v>4403</v>
      </c>
      <c r="S512" s="6">
        <v>101</v>
      </c>
      <c r="T512" s="6">
        <v>112</v>
      </c>
      <c r="U512" s="10">
        <f t="shared" si="14"/>
        <v>106.5</v>
      </c>
      <c r="V512" s="15">
        <v>2.1</v>
      </c>
      <c r="W512" s="8">
        <v>0.24072407804727508</v>
      </c>
      <c r="X512" s="8">
        <v>1.333720279455185</v>
      </c>
      <c r="Y512" s="8">
        <f t="shared" si="15"/>
        <v>-0.59207234492301564</v>
      </c>
      <c r="Z512" s="6" t="s">
        <v>1760</v>
      </c>
    </row>
    <row r="513" spans="1:26" s="6" customFormat="1" x14ac:dyDescent="0.35">
      <c r="A513" s="6" t="s">
        <v>25</v>
      </c>
      <c r="B513" s="7" t="s">
        <v>2223</v>
      </c>
      <c r="D513" s="6" t="s">
        <v>2224</v>
      </c>
      <c r="E513" s="6">
        <v>4</v>
      </c>
      <c r="F513" s="6">
        <v>49</v>
      </c>
      <c r="G513" s="6" t="s">
        <v>335</v>
      </c>
      <c r="I513" s="8">
        <v>79.191449375000005</v>
      </c>
      <c r="J513" s="8">
        <v>-2.6081078472222199</v>
      </c>
      <c r="K513" s="6" t="s">
        <v>29</v>
      </c>
      <c r="L513" s="6" t="s">
        <v>335</v>
      </c>
      <c r="M513" s="9">
        <v>44041</v>
      </c>
      <c r="O513" s="6">
        <v>44</v>
      </c>
      <c r="P513" s="6" t="s">
        <v>4421</v>
      </c>
      <c r="R513" s="10" t="s">
        <v>2039</v>
      </c>
      <c r="S513" s="10">
        <v>104</v>
      </c>
      <c r="T513" s="10">
        <v>109</v>
      </c>
      <c r="U513" s="10">
        <f t="shared" si="14"/>
        <v>106.5</v>
      </c>
      <c r="V513" s="11"/>
      <c r="W513" s="8">
        <v>-4.6891976872126273</v>
      </c>
      <c r="X513" s="8">
        <v>-35.025410625457766</v>
      </c>
      <c r="Y513" s="8">
        <f t="shared" si="15"/>
        <v>2.4881708722432521</v>
      </c>
    </row>
    <row r="514" spans="1:26" s="6" customFormat="1" x14ac:dyDescent="0.35">
      <c r="A514" s="6" t="s">
        <v>25</v>
      </c>
      <c r="B514" s="7" t="s">
        <v>1678</v>
      </c>
      <c r="D514" s="6" t="s">
        <v>1679</v>
      </c>
      <c r="E514" s="6">
        <v>4</v>
      </c>
      <c r="F514" s="6">
        <v>44</v>
      </c>
      <c r="G514" s="6" t="s">
        <v>335</v>
      </c>
      <c r="I514" s="8">
        <v>81.975306180555606</v>
      </c>
      <c r="J514" s="8">
        <v>9.2425022222222193</v>
      </c>
      <c r="K514" s="6" t="s">
        <v>29</v>
      </c>
      <c r="L514" s="6" t="s">
        <v>335</v>
      </c>
      <c r="M514" s="9">
        <v>44004</v>
      </c>
      <c r="O514" s="6">
        <v>39</v>
      </c>
      <c r="P514" s="6" t="s">
        <v>4405</v>
      </c>
      <c r="R514" s="10" t="s">
        <v>1680</v>
      </c>
      <c r="S514" s="10">
        <v>105</v>
      </c>
      <c r="T514" s="10">
        <v>110</v>
      </c>
      <c r="U514" s="10">
        <f t="shared" ref="U514:U577" si="16">AVERAGE(S514:T514)</f>
        <v>107.5</v>
      </c>
      <c r="V514" s="11"/>
      <c r="W514" s="8">
        <v>-0.3877804985344413</v>
      </c>
      <c r="X514" s="8">
        <v>-2.7701891412734985</v>
      </c>
      <c r="Y514" s="8">
        <f t="shared" ref="Y514:Y577" si="17">X514-(8*W514)</f>
        <v>0.33205484700203192</v>
      </c>
    </row>
    <row r="515" spans="1:26" s="6" customFormat="1" x14ac:dyDescent="0.35">
      <c r="A515" s="6" t="s">
        <v>25</v>
      </c>
      <c r="B515" s="6" t="s">
        <v>2187</v>
      </c>
      <c r="D515" s="6" t="s">
        <v>2188</v>
      </c>
      <c r="E515" s="6">
        <v>4</v>
      </c>
      <c r="F515" s="6">
        <v>48</v>
      </c>
      <c r="I515" s="8">
        <v>80.754295347222197</v>
      </c>
      <c r="J515" s="8">
        <v>-0.488818958333333</v>
      </c>
      <c r="K515" s="6" t="s">
        <v>29</v>
      </c>
      <c r="L515" s="29" t="s">
        <v>335</v>
      </c>
      <c r="M515" s="9">
        <v>44032</v>
      </c>
      <c r="O515" s="6">
        <v>43</v>
      </c>
      <c r="P515" s="6" t="s">
        <v>4403</v>
      </c>
      <c r="S515" s="6">
        <v>104</v>
      </c>
      <c r="T515" s="6">
        <v>114.5</v>
      </c>
      <c r="U515" s="10">
        <f t="shared" si="16"/>
        <v>109.25</v>
      </c>
      <c r="V515" s="15">
        <v>1.5</v>
      </c>
      <c r="W515" s="8">
        <v>-0.36740928223729141</v>
      </c>
      <c r="X515" s="8">
        <v>-2.1585980587005613</v>
      </c>
      <c r="Y515" s="8">
        <f t="shared" si="17"/>
        <v>0.78067619919776998</v>
      </c>
      <c r="Z515" s="6" t="s">
        <v>1760</v>
      </c>
    </row>
    <row r="516" spans="1:26" s="6" customFormat="1" x14ac:dyDescent="0.35">
      <c r="A516" s="6" t="s">
        <v>25</v>
      </c>
      <c r="B516" s="7"/>
      <c r="C516" s="6">
        <v>510419</v>
      </c>
      <c r="D516" s="6" t="s">
        <v>344</v>
      </c>
      <c r="E516" s="6">
        <v>1</v>
      </c>
      <c r="F516" s="6">
        <v>6</v>
      </c>
      <c r="G516" s="6" t="s">
        <v>345</v>
      </c>
      <c r="H516" s="6">
        <v>18</v>
      </c>
      <c r="I516" s="8">
        <v>85.9187781944444</v>
      </c>
      <c r="J516" s="8">
        <v>117.45457173611101</v>
      </c>
      <c r="K516" s="6" t="s">
        <v>29</v>
      </c>
      <c r="L516" s="6" t="s">
        <v>335</v>
      </c>
      <c r="M516" s="9">
        <v>43775</v>
      </c>
      <c r="O516" s="6">
        <v>6</v>
      </c>
      <c r="P516" s="6" t="s">
        <v>4256</v>
      </c>
      <c r="R516" s="6" t="s">
        <v>350</v>
      </c>
      <c r="S516" s="6">
        <v>107</v>
      </c>
      <c r="T516" s="6">
        <v>117</v>
      </c>
      <c r="U516" s="10">
        <f t="shared" si="16"/>
        <v>112</v>
      </c>
      <c r="V516" s="6">
        <v>2.7</v>
      </c>
      <c r="W516" s="8">
        <v>-1.1697381230950352</v>
      </c>
      <c r="X516" s="8">
        <v>-11.817052688598633</v>
      </c>
      <c r="Y516" s="8">
        <f t="shared" si="17"/>
        <v>-2.4591477038383509</v>
      </c>
    </row>
    <row r="517" spans="1:26" s="6" customFormat="1" x14ac:dyDescent="0.35">
      <c r="A517" s="6" t="s">
        <v>25</v>
      </c>
      <c r="B517" s="7" t="s">
        <v>1669</v>
      </c>
      <c r="D517" s="6" t="s">
        <v>1670</v>
      </c>
      <c r="E517" s="6">
        <v>4</v>
      </c>
      <c r="F517" s="6">
        <v>44</v>
      </c>
      <c r="G517" s="6" t="s">
        <v>335</v>
      </c>
      <c r="I517" s="8">
        <v>81.975306180555606</v>
      </c>
      <c r="J517" s="8">
        <v>9.2425022222222193</v>
      </c>
      <c r="K517" s="6" t="s">
        <v>29</v>
      </c>
      <c r="L517" s="6" t="s">
        <v>335</v>
      </c>
      <c r="M517" s="9">
        <v>44004</v>
      </c>
      <c r="O517" s="6">
        <v>39</v>
      </c>
      <c r="P517" s="6" t="s">
        <v>4405</v>
      </c>
      <c r="R517" s="10" t="s">
        <v>1671</v>
      </c>
      <c r="S517" s="10">
        <v>110</v>
      </c>
      <c r="T517" s="10">
        <v>115</v>
      </c>
      <c r="U517" s="10">
        <f t="shared" si="16"/>
        <v>112.5</v>
      </c>
      <c r="V517" s="11"/>
      <c r="W517" s="8">
        <v>-0.30593381298184369</v>
      </c>
      <c r="X517" s="8">
        <v>-1.7836619315147404</v>
      </c>
      <c r="Y517" s="8">
        <f t="shared" si="17"/>
        <v>0.66380857234000912</v>
      </c>
    </row>
    <row r="518" spans="1:26" s="6" customFormat="1" x14ac:dyDescent="0.35">
      <c r="A518" s="6" t="s">
        <v>25</v>
      </c>
      <c r="B518" s="6" t="s">
        <v>172</v>
      </c>
      <c r="C518" s="6">
        <v>510164</v>
      </c>
      <c r="D518" s="6" t="s">
        <v>152</v>
      </c>
      <c r="E518" s="6">
        <v>1</v>
      </c>
      <c r="F518" s="6">
        <v>3</v>
      </c>
      <c r="G518" s="6" t="s">
        <v>153</v>
      </c>
      <c r="I518" s="8">
        <v>85.348898888888897</v>
      </c>
      <c r="J518" s="8">
        <v>129.88336361111101</v>
      </c>
      <c r="K518" s="6" t="s">
        <v>29</v>
      </c>
      <c r="L518" s="6" t="s">
        <v>335</v>
      </c>
      <c r="M518" s="9">
        <v>43761</v>
      </c>
      <c r="O518" s="6">
        <v>4</v>
      </c>
      <c r="P518" s="6" t="s">
        <v>4248</v>
      </c>
      <c r="R518" s="6" t="s">
        <v>173</v>
      </c>
      <c r="S518" s="6">
        <v>110</v>
      </c>
      <c r="T518" s="6">
        <v>120</v>
      </c>
      <c r="U518" s="10">
        <f t="shared" si="16"/>
        <v>115</v>
      </c>
      <c r="V518" s="6">
        <v>3</v>
      </c>
      <c r="W518" s="8">
        <v>-0.44667247242927538</v>
      </c>
      <c r="X518" s="8">
        <v>-3.4984359979629516</v>
      </c>
      <c r="Y518" s="8">
        <f t="shared" si="17"/>
        <v>7.4943781471251469E-2</v>
      </c>
    </row>
    <row r="519" spans="1:26" s="6" customFormat="1" x14ac:dyDescent="0.35">
      <c r="A519" s="6" t="s">
        <v>25</v>
      </c>
      <c r="B519" s="7" t="s">
        <v>469</v>
      </c>
      <c r="C519" s="6">
        <v>510636</v>
      </c>
      <c r="D519" s="6" t="s">
        <v>470</v>
      </c>
      <c r="E519" s="6">
        <v>1</v>
      </c>
      <c r="F519" s="6">
        <v>7</v>
      </c>
      <c r="G519" s="6" t="s">
        <v>179</v>
      </c>
      <c r="I519" s="8">
        <v>86.191348333333295</v>
      </c>
      <c r="J519" s="8">
        <v>118.623774583333</v>
      </c>
      <c r="K519" s="6" t="s">
        <v>29</v>
      </c>
      <c r="L519" s="6" t="s">
        <v>335</v>
      </c>
      <c r="M519" s="9">
        <v>43784</v>
      </c>
      <c r="O519" s="6">
        <v>7</v>
      </c>
      <c r="P519" s="6" t="s">
        <v>4260</v>
      </c>
      <c r="Q519" s="8">
        <v>-2.2000000000000002</v>
      </c>
      <c r="R519" s="10" t="s">
        <v>173</v>
      </c>
      <c r="S519" s="10">
        <v>110</v>
      </c>
      <c r="T519" s="10">
        <v>120</v>
      </c>
      <c r="U519" s="10">
        <f t="shared" si="16"/>
        <v>115</v>
      </c>
      <c r="V519" s="6">
        <v>4.7</v>
      </c>
      <c r="W519" s="8">
        <v>-1.0169011907100676</v>
      </c>
      <c r="X519" s="8">
        <v>-6.6864777030944831</v>
      </c>
      <c r="Y519" s="8">
        <f t="shared" si="17"/>
        <v>1.4487318225860575</v>
      </c>
    </row>
    <row r="520" spans="1:26" s="6" customFormat="1" x14ac:dyDescent="0.35">
      <c r="A520" s="6" t="s">
        <v>25</v>
      </c>
      <c r="B520" s="7"/>
      <c r="D520" s="6" t="s">
        <v>1043</v>
      </c>
      <c r="E520" s="6">
        <v>2</v>
      </c>
      <c r="F520" s="6">
        <v>24</v>
      </c>
      <c r="G520" s="6" t="s">
        <v>57</v>
      </c>
      <c r="I520" s="8">
        <v>87.882876180555598</v>
      </c>
      <c r="J520" s="8">
        <v>87.424340833333304</v>
      </c>
      <c r="K520" s="6" t="s">
        <v>29</v>
      </c>
      <c r="L520" s="6" t="s">
        <v>335</v>
      </c>
      <c r="M520" s="9">
        <v>43873</v>
      </c>
      <c r="O520" s="6">
        <v>20</v>
      </c>
      <c r="P520" s="6" t="s">
        <v>4313</v>
      </c>
      <c r="S520" s="6">
        <v>110</v>
      </c>
      <c r="T520" s="6">
        <v>120</v>
      </c>
      <c r="U520" s="10">
        <f t="shared" si="16"/>
        <v>115</v>
      </c>
      <c r="V520" s="30"/>
      <c r="W520" s="8">
        <v>-1.9852638870716091</v>
      </c>
      <c r="X520" s="8">
        <v>-13.908218500137329</v>
      </c>
      <c r="Y520" s="8">
        <f t="shared" si="17"/>
        <v>1.9738925964355438</v>
      </c>
    </row>
    <row r="521" spans="1:26" s="6" customFormat="1" x14ac:dyDescent="0.35">
      <c r="A521" s="6" t="s">
        <v>25</v>
      </c>
      <c r="B521" s="7"/>
      <c r="D521" s="6" t="s">
        <v>1093</v>
      </c>
      <c r="E521" s="6">
        <v>3</v>
      </c>
      <c r="F521" s="6">
        <v>31</v>
      </c>
      <c r="G521" s="6" t="s">
        <v>179</v>
      </c>
      <c r="I521" s="8">
        <v>87.889566388888895</v>
      </c>
      <c r="J521" s="8">
        <v>24.107920208333301</v>
      </c>
      <c r="K521" s="6" t="s">
        <v>29</v>
      </c>
      <c r="L521" s="6" t="s">
        <v>335</v>
      </c>
      <c r="M521" s="9">
        <v>43899</v>
      </c>
      <c r="O521" s="6">
        <v>24</v>
      </c>
      <c r="P521" s="6" t="s">
        <v>4343</v>
      </c>
      <c r="S521" s="6">
        <v>110</v>
      </c>
      <c r="T521" s="6">
        <v>120</v>
      </c>
      <c r="U521" s="10">
        <f t="shared" si="16"/>
        <v>115</v>
      </c>
      <c r="V521" s="6">
        <v>6.2</v>
      </c>
      <c r="W521" s="8">
        <v>3.6488798496723381E-2</v>
      </c>
      <c r="X521" s="8">
        <v>0.20135268688201904</v>
      </c>
      <c r="Y521" s="8">
        <f t="shared" si="17"/>
        <v>-9.0557701091768E-2</v>
      </c>
    </row>
    <row r="522" spans="1:26" s="6" customFormat="1" x14ac:dyDescent="0.35">
      <c r="A522" s="6" t="s">
        <v>25</v>
      </c>
      <c r="B522" s="7"/>
      <c r="D522" s="6" t="s">
        <v>1108</v>
      </c>
      <c r="E522" s="6">
        <v>3</v>
      </c>
      <c r="F522" s="6">
        <v>31</v>
      </c>
      <c r="G522" s="6" t="s">
        <v>345</v>
      </c>
      <c r="I522" s="8">
        <v>87.660309999999996</v>
      </c>
      <c r="J522" s="8">
        <v>24.286057569444399</v>
      </c>
      <c r="K522" s="6" t="s">
        <v>29</v>
      </c>
      <c r="L522" s="6" t="s">
        <v>335</v>
      </c>
      <c r="M522" s="9">
        <v>43901</v>
      </c>
      <c r="O522" s="6">
        <v>24</v>
      </c>
      <c r="P522" s="6" t="s">
        <v>4345</v>
      </c>
      <c r="S522" s="6">
        <v>110</v>
      </c>
      <c r="T522" s="6">
        <v>120</v>
      </c>
      <c r="U522" s="10">
        <f t="shared" si="16"/>
        <v>115</v>
      </c>
      <c r="V522" s="6">
        <v>4.9000000000000004</v>
      </c>
      <c r="W522" s="8">
        <v>-0.51880783298015609</v>
      </c>
      <c r="X522" s="8">
        <v>-1.5072049510478971</v>
      </c>
      <c r="Y522" s="8">
        <f t="shared" si="17"/>
        <v>2.6432577127933516</v>
      </c>
    </row>
    <row r="523" spans="1:26" s="6" customFormat="1" x14ac:dyDescent="0.35">
      <c r="A523" s="6" t="s">
        <v>25</v>
      </c>
      <c r="B523" s="7"/>
      <c r="D523" s="6" t="s">
        <v>1167</v>
      </c>
      <c r="E523" s="6">
        <v>3</v>
      </c>
      <c r="F523" s="6">
        <v>32</v>
      </c>
      <c r="G523" s="6" t="s">
        <v>179</v>
      </c>
      <c r="I523" s="8">
        <v>86.339075833333297</v>
      </c>
      <c r="J523" s="8">
        <v>14.7309175</v>
      </c>
      <c r="K523" s="6" t="s">
        <v>29</v>
      </c>
      <c r="L523" s="6" t="s">
        <v>335</v>
      </c>
      <c r="M523" s="9">
        <v>43910</v>
      </c>
      <c r="O523" s="6">
        <v>25</v>
      </c>
      <c r="P523" s="6" t="s">
        <v>4350</v>
      </c>
      <c r="S523" s="6">
        <v>110</v>
      </c>
      <c r="T523" s="6">
        <v>120</v>
      </c>
      <c r="U523" s="10">
        <f t="shared" si="16"/>
        <v>115</v>
      </c>
      <c r="V523" s="6">
        <v>6</v>
      </c>
      <c r="W523" s="8">
        <v>-0.22965508386343708</v>
      </c>
      <c r="X523" s="8">
        <v>-1.8160184276103972</v>
      </c>
      <c r="Y523" s="8">
        <f t="shared" si="17"/>
        <v>2.122224329709943E-2</v>
      </c>
    </row>
    <row r="524" spans="1:26" s="6" customFormat="1" x14ac:dyDescent="0.35">
      <c r="A524" s="6" t="s">
        <v>25</v>
      </c>
      <c r="B524" s="7"/>
      <c r="D524" s="6" t="s">
        <v>1187</v>
      </c>
      <c r="E524" s="6">
        <v>3</v>
      </c>
      <c r="F524" s="6">
        <v>32</v>
      </c>
      <c r="G524" s="6" t="s">
        <v>202</v>
      </c>
      <c r="I524" s="8">
        <v>86.257643333333306</v>
      </c>
      <c r="J524" s="8">
        <v>15.261599722222201</v>
      </c>
      <c r="K524" s="6" t="s">
        <v>29</v>
      </c>
      <c r="L524" s="6" t="s">
        <v>335</v>
      </c>
      <c r="M524" s="9">
        <v>43911</v>
      </c>
      <c r="O524" s="6">
        <v>25</v>
      </c>
      <c r="P524" s="6" t="s">
        <v>4351</v>
      </c>
      <c r="S524" s="6">
        <v>110</v>
      </c>
      <c r="T524" s="6">
        <v>120</v>
      </c>
      <c r="U524" s="10">
        <f t="shared" si="16"/>
        <v>115</v>
      </c>
      <c r="V524" s="6">
        <v>6.5</v>
      </c>
      <c r="W524" s="8">
        <v>-0.49075935974121149</v>
      </c>
      <c r="X524" s="8">
        <v>-1.8934394431114192</v>
      </c>
      <c r="Y524" s="8">
        <f t="shared" si="17"/>
        <v>2.0326354348182729</v>
      </c>
    </row>
    <row r="525" spans="1:26" s="6" customFormat="1" x14ac:dyDescent="0.35">
      <c r="A525" s="6" t="s">
        <v>25</v>
      </c>
      <c r="B525" s="6" t="s">
        <v>1252</v>
      </c>
      <c r="D525" s="6" t="s">
        <v>1240</v>
      </c>
      <c r="E525" s="6">
        <v>3</v>
      </c>
      <c r="F525" s="6">
        <v>34</v>
      </c>
      <c r="G525" s="6" t="s">
        <v>202</v>
      </c>
      <c r="I525" s="8">
        <v>84.533711805555598</v>
      </c>
      <c r="J525" s="8">
        <v>14.277858402777801</v>
      </c>
      <c r="K525" s="6" t="s">
        <v>29</v>
      </c>
      <c r="L525" s="6" t="s">
        <v>335</v>
      </c>
      <c r="M525" s="9">
        <v>43927</v>
      </c>
      <c r="O525" s="6">
        <v>28</v>
      </c>
      <c r="P525" s="6" t="s">
        <v>4359</v>
      </c>
      <c r="R525" s="6">
        <v>110</v>
      </c>
      <c r="S525" s="6">
        <v>110</v>
      </c>
      <c r="T525" s="6">
        <v>120</v>
      </c>
      <c r="U525" s="10">
        <f t="shared" si="16"/>
        <v>115</v>
      </c>
      <c r="V525" s="6">
        <v>4.3</v>
      </c>
      <c r="W525" s="8">
        <v>-0.10006457871794699</v>
      </c>
      <c r="X525" s="8">
        <v>-0.93801556944847153</v>
      </c>
      <c r="Y525" s="8">
        <f t="shared" si="17"/>
        <v>-0.13749893970489557</v>
      </c>
    </row>
    <row r="526" spans="1:26" s="6" customFormat="1" x14ac:dyDescent="0.35">
      <c r="A526" s="6" t="s">
        <v>25</v>
      </c>
      <c r="B526" s="6" t="s">
        <v>1302</v>
      </c>
      <c r="D526" s="6" t="s">
        <v>1291</v>
      </c>
      <c r="E526" s="6">
        <v>3</v>
      </c>
      <c r="F526" s="6">
        <v>35</v>
      </c>
      <c r="G526" s="6" t="s">
        <v>345</v>
      </c>
      <c r="I526" s="8">
        <v>84.322834374999999</v>
      </c>
      <c r="J526" s="8">
        <v>14.725811041666701</v>
      </c>
      <c r="K526" s="6" t="s">
        <v>29</v>
      </c>
      <c r="L526" s="6" t="s">
        <v>335</v>
      </c>
      <c r="M526" s="9">
        <v>43931</v>
      </c>
      <c r="O526" s="6">
        <v>28</v>
      </c>
      <c r="P526" s="6" t="s">
        <v>4362</v>
      </c>
      <c r="R526" s="6">
        <v>110</v>
      </c>
      <c r="S526" s="6">
        <v>110</v>
      </c>
      <c r="T526" s="6">
        <v>120</v>
      </c>
      <c r="U526" s="10">
        <f t="shared" si="16"/>
        <v>115</v>
      </c>
      <c r="V526" s="6">
        <v>5.3</v>
      </c>
      <c r="W526" s="8">
        <v>-0.18709924530982983</v>
      </c>
      <c r="X526" s="8">
        <v>-1.490554967187345</v>
      </c>
      <c r="Y526" s="8">
        <f t="shared" si="17"/>
        <v>6.2389952912935698E-3</v>
      </c>
    </row>
    <row r="527" spans="1:26" s="6" customFormat="1" x14ac:dyDescent="0.35">
      <c r="A527" s="6" t="s">
        <v>25</v>
      </c>
      <c r="B527" s="7" t="s">
        <v>1374</v>
      </c>
      <c r="D527" s="6" t="s">
        <v>1375</v>
      </c>
      <c r="E527" s="6">
        <v>3</v>
      </c>
      <c r="F527" s="6">
        <v>36</v>
      </c>
      <c r="G527" s="6" t="s">
        <v>202</v>
      </c>
      <c r="I527" s="8">
        <v>84.331482986111098</v>
      </c>
      <c r="J527" s="8">
        <v>14.642671805555601</v>
      </c>
      <c r="K527" s="6" t="s">
        <v>29</v>
      </c>
      <c r="L527" s="6" t="s">
        <v>335</v>
      </c>
      <c r="M527" s="9">
        <v>43935</v>
      </c>
      <c r="O527" s="6">
        <v>29</v>
      </c>
      <c r="P527" s="6" t="s">
        <v>4332</v>
      </c>
      <c r="R527" s="10"/>
      <c r="S527" s="10">
        <v>110</v>
      </c>
      <c r="T527" s="10">
        <v>120</v>
      </c>
      <c r="U527" s="10">
        <f t="shared" si="16"/>
        <v>115</v>
      </c>
      <c r="V527" s="11">
        <v>6.5</v>
      </c>
      <c r="W527" s="8">
        <v>-0.15586319233536738</v>
      </c>
      <c r="X527" s="8">
        <v>-1.2360639267563824</v>
      </c>
      <c r="Y527" s="8">
        <f t="shared" si="17"/>
        <v>1.0841611926556638E-2</v>
      </c>
    </row>
    <row r="528" spans="1:26" s="6" customFormat="1" x14ac:dyDescent="0.35">
      <c r="A528" s="6" t="s">
        <v>25</v>
      </c>
      <c r="B528" s="7" t="s">
        <v>1460</v>
      </c>
      <c r="D528" s="6" t="s">
        <v>1461</v>
      </c>
      <c r="E528" s="6">
        <v>3</v>
      </c>
      <c r="F528" s="6">
        <v>37</v>
      </c>
      <c r="G528" s="6" t="s">
        <v>28</v>
      </c>
      <c r="I528" s="8">
        <v>83.999093333333306</v>
      </c>
      <c r="J528" s="8">
        <v>15.6102103472222</v>
      </c>
      <c r="K528" s="6" t="s">
        <v>29</v>
      </c>
      <c r="L528" s="6" t="s">
        <v>335</v>
      </c>
      <c r="M528" s="9">
        <v>43946</v>
      </c>
      <c r="O528" s="6">
        <v>30</v>
      </c>
      <c r="P528" s="6" t="s">
        <v>4265</v>
      </c>
      <c r="R528" s="10"/>
      <c r="S528" s="10">
        <v>110</v>
      </c>
      <c r="T528" s="10">
        <v>120</v>
      </c>
      <c r="U528" s="10">
        <f t="shared" si="16"/>
        <v>115</v>
      </c>
      <c r="V528" s="11">
        <v>2.2999999999999998</v>
      </c>
      <c r="W528" s="8">
        <v>-3.3626241683959961</v>
      </c>
      <c r="X528" s="8">
        <v>-25.581553714752197</v>
      </c>
      <c r="Y528" s="8">
        <f t="shared" si="17"/>
        <v>1.3194396324157722</v>
      </c>
    </row>
    <row r="529" spans="1:26" s="6" customFormat="1" x14ac:dyDescent="0.35">
      <c r="A529" s="6" t="s">
        <v>25</v>
      </c>
      <c r="B529" s="7" t="s">
        <v>1504</v>
      </c>
      <c r="D529" s="6" t="s">
        <v>1505</v>
      </c>
      <c r="E529" s="6">
        <v>3</v>
      </c>
      <c r="F529" s="6">
        <v>37</v>
      </c>
      <c r="G529" s="6" t="s">
        <v>28</v>
      </c>
      <c r="I529" s="8">
        <v>83.999093333333306</v>
      </c>
      <c r="J529" s="8">
        <v>15.6102103472222</v>
      </c>
      <c r="K529" s="6" t="s">
        <v>29</v>
      </c>
      <c r="L529" s="6" t="s">
        <v>335</v>
      </c>
      <c r="M529" s="9">
        <v>43946</v>
      </c>
      <c r="O529" s="6">
        <v>30</v>
      </c>
      <c r="P529" s="6" t="s">
        <v>4265</v>
      </c>
      <c r="R529" s="10"/>
      <c r="S529" s="10">
        <v>110</v>
      </c>
      <c r="T529" s="10">
        <v>120</v>
      </c>
      <c r="U529" s="10">
        <f t="shared" si="16"/>
        <v>115</v>
      </c>
      <c r="V529" s="11">
        <v>4.5</v>
      </c>
      <c r="W529" s="8">
        <v>-3.7630164545774801E-2</v>
      </c>
      <c r="X529" s="8">
        <v>4.2719374895093436E-3</v>
      </c>
      <c r="Y529" s="8">
        <f t="shared" si="17"/>
        <v>0.30531325385570773</v>
      </c>
    </row>
    <row r="530" spans="1:26" s="6" customFormat="1" x14ac:dyDescent="0.35">
      <c r="A530" s="6" t="s">
        <v>25</v>
      </c>
      <c r="B530" s="7"/>
      <c r="D530" s="6" t="s">
        <v>1554</v>
      </c>
      <c r="E530" s="6">
        <v>3</v>
      </c>
      <c r="F530" s="6">
        <v>38</v>
      </c>
      <c r="G530" s="6" t="s">
        <v>202</v>
      </c>
      <c r="I530" s="8">
        <v>83.938997847222197</v>
      </c>
      <c r="J530" s="8">
        <v>15.6730686111111</v>
      </c>
      <c r="K530" s="6" t="s">
        <v>29</v>
      </c>
      <c r="L530" s="6" t="s">
        <v>335</v>
      </c>
      <c r="M530" s="9">
        <v>43948</v>
      </c>
      <c r="O530" s="6">
        <v>31</v>
      </c>
      <c r="P530" s="6" t="s">
        <v>4251</v>
      </c>
      <c r="S530" s="6">
        <v>110</v>
      </c>
      <c r="T530" s="6">
        <v>120</v>
      </c>
      <c r="U530" s="10">
        <f t="shared" si="16"/>
        <v>115</v>
      </c>
      <c r="V530" s="6">
        <v>5.3</v>
      </c>
      <c r="W530" s="8">
        <v>1.1051761157065952E-2</v>
      </c>
      <c r="X530" s="8">
        <v>-0.42195758285522478</v>
      </c>
      <c r="Y530" s="8">
        <f t="shared" si="17"/>
        <v>-0.51037167211175238</v>
      </c>
    </row>
    <row r="531" spans="1:26" s="6" customFormat="1" x14ac:dyDescent="0.35">
      <c r="A531" s="6" t="s">
        <v>25</v>
      </c>
      <c r="B531" s="6" t="s">
        <v>1631</v>
      </c>
      <c r="D531" s="6" t="s">
        <v>1619</v>
      </c>
      <c r="E531" s="6">
        <v>3</v>
      </c>
      <c r="F531" s="6">
        <v>39</v>
      </c>
      <c r="G531" s="6" t="s">
        <v>202</v>
      </c>
      <c r="I531" s="8">
        <v>83.907985999999994</v>
      </c>
      <c r="J531" s="8">
        <v>18.352126999999999</v>
      </c>
      <c r="K531" s="6" t="s">
        <v>29</v>
      </c>
      <c r="L531" s="6" t="s">
        <v>335</v>
      </c>
      <c r="M531" s="9">
        <v>43955</v>
      </c>
      <c r="O531" s="6">
        <v>32</v>
      </c>
      <c r="P531" s="6" t="s">
        <v>4374</v>
      </c>
      <c r="R531" s="6">
        <v>110</v>
      </c>
      <c r="S531" s="6">
        <v>110</v>
      </c>
      <c r="T531" s="6">
        <v>120</v>
      </c>
      <c r="U531" s="10">
        <f t="shared" si="16"/>
        <v>115</v>
      </c>
      <c r="V531" s="6">
        <v>4.5999999999999996</v>
      </c>
      <c r="W531" s="8">
        <v>-8.4888477943539403E-2</v>
      </c>
      <c r="X531" s="8">
        <v>-0.54361139059066732</v>
      </c>
      <c r="Y531" s="8">
        <f t="shared" si="17"/>
        <v>0.13549643295764791</v>
      </c>
    </row>
    <row r="532" spans="1:26" s="6" customFormat="1" x14ac:dyDescent="0.35">
      <c r="A532" s="6" t="s">
        <v>25</v>
      </c>
      <c r="B532" s="6" t="s">
        <v>1781</v>
      </c>
      <c r="D532" s="6" t="s">
        <v>1782</v>
      </c>
      <c r="E532" s="6">
        <v>4</v>
      </c>
      <c r="F532" s="6">
        <v>44</v>
      </c>
      <c r="I532" s="8">
        <v>81.975306180555606</v>
      </c>
      <c r="J532" s="8">
        <v>9.2425022222222193</v>
      </c>
      <c r="K532" s="6" t="s">
        <v>29</v>
      </c>
      <c r="L532" s="29" t="s">
        <v>335</v>
      </c>
      <c r="M532" s="9">
        <v>44004</v>
      </c>
      <c r="O532" s="6">
        <v>39</v>
      </c>
      <c r="P532" s="6" t="s">
        <v>4405</v>
      </c>
      <c r="S532" s="6">
        <v>110</v>
      </c>
      <c r="T532" s="6">
        <v>120</v>
      </c>
      <c r="U532" s="10">
        <f t="shared" si="16"/>
        <v>115</v>
      </c>
      <c r="V532" s="15">
        <v>3.3</v>
      </c>
      <c r="W532" s="8">
        <v>-4.3966979305743933E-2</v>
      </c>
      <c r="X532" s="8">
        <v>-0.69379423942565932</v>
      </c>
      <c r="Y532" s="8">
        <f t="shared" si="17"/>
        <v>-0.34205840497970785</v>
      </c>
      <c r="Z532" s="6" t="s">
        <v>1760</v>
      </c>
    </row>
    <row r="533" spans="1:26" s="6" customFormat="1" x14ac:dyDescent="0.35">
      <c r="A533" s="6" t="s">
        <v>25</v>
      </c>
      <c r="B533" s="6" t="s">
        <v>1938</v>
      </c>
      <c r="D533" s="6" t="s">
        <v>1939</v>
      </c>
      <c r="E533" s="6">
        <v>4</v>
      </c>
      <c r="F533" s="6">
        <v>46</v>
      </c>
      <c r="I533" s="8">
        <v>81.685643263888906</v>
      </c>
      <c r="J533" s="8">
        <v>5.3733415277777796</v>
      </c>
      <c r="K533" s="6" t="s">
        <v>29</v>
      </c>
      <c r="L533" s="29" t="s">
        <v>335</v>
      </c>
      <c r="M533" s="9">
        <v>44018</v>
      </c>
      <c r="O533" s="6">
        <v>41</v>
      </c>
      <c r="P533" s="6" t="s">
        <v>4413</v>
      </c>
      <c r="S533" s="6">
        <v>110</v>
      </c>
      <c r="T533" s="6">
        <v>120</v>
      </c>
      <c r="U533" s="10">
        <f t="shared" si="16"/>
        <v>115</v>
      </c>
      <c r="V533" s="15">
        <v>2.8</v>
      </c>
      <c r="W533" s="8">
        <v>-0.42035528280734985</v>
      </c>
      <c r="X533" s="8">
        <v>-3.9467062826156614</v>
      </c>
      <c r="Y533" s="8">
        <f t="shared" si="17"/>
        <v>-0.58386402015686256</v>
      </c>
      <c r="Z533" s="6" t="s">
        <v>1760</v>
      </c>
    </row>
    <row r="534" spans="1:26" s="6" customFormat="1" x14ac:dyDescent="0.35">
      <c r="A534" s="6" t="s">
        <v>25</v>
      </c>
      <c r="B534" s="6" t="s">
        <v>2331</v>
      </c>
      <c r="D534" s="6" t="s">
        <v>2332</v>
      </c>
      <c r="E534" s="6">
        <v>5</v>
      </c>
      <c r="F534" s="6">
        <v>59</v>
      </c>
      <c r="I534" s="8">
        <v>88.299658402777794</v>
      </c>
      <c r="J534" s="8">
        <v>114.11509069444401</v>
      </c>
      <c r="K534" s="6" t="s">
        <v>29</v>
      </c>
      <c r="L534" s="29" t="s">
        <v>335</v>
      </c>
      <c r="M534" s="9">
        <v>44074</v>
      </c>
      <c r="O534" s="6">
        <v>50</v>
      </c>
      <c r="P534" s="6" t="s">
        <v>4396</v>
      </c>
      <c r="S534" s="6">
        <v>110</v>
      </c>
      <c r="T534" s="6">
        <v>120</v>
      </c>
      <c r="U534" s="10">
        <f t="shared" si="16"/>
        <v>115</v>
      </c>
      <c r="V534" s="15">
        <v>0.2</v>
      </c>
      <c r="W534" s="8">
        <v>-0.94102679734230055</v>
      </c>
      <c r="X534" s="8">
        <v>-6.395501721382141</v>
      </c>
      <c r="Y534" s="8">
        <f t="shared" si="17"/>
        <v>1.1327126573562634</v>
      </c>
      <c r="Z534" s="6" t="s">
        <v>1760</v>
      </c>
    </row>
    <row r="535" spans="1:26" s="6" customFormat="1" x14ac:dyDescent="0.35">
      <c r="A535" s="6" t="s">
        <v>25</v>
      </c>
      <c r="B535" s="6" t="s">
        <v>2398</v>
      </c>
      <c r="D535" s="6" t="s">
        <v>2399</v>
      </c>
      <c r="E535" s="6">
        <v>5</v>
      </c>
      <c r="F535" s="6">
        <v>61</v>
      </c>
      <c r="I535" s="8">
        <v>88.700402291666705</v>
      </c>
      <c r="J535" s="8">
        <v>111.973632708333</v>
      </c>
      <c r="K535" s="6" t="s">
        <v>29</v>
      </c>
      <c r="L535" s="29" t="s">
        <v>335</v>
      </c>
      <c r="M535" s="9">
        <v>44081</v>
      </c>
      <c r="O535" s="6">
        <v>51</v>
      </c>
      <c r="P535" s="6" t="s">
        <v>4434</v>
      </c>
      <c r="S535" s="6">
        <v>110</v>
      </c>
      <c r="T535" s="6">
        <v>120</v>
      </c>
      <c r="U535" s="10">
        <f t="shared" si="16"/>
        <v>115</v>
      </c>
      <c r="V535" s="15">
        <v>2.9</v>
      </c>
      <c r="W535" s="8">
        <v>0.69538383210659083</v>
      </c>
      <c r="X535" s="8">
        <v>5.7336314930438999</v>
      </c>
      <c r="Y535" s="8">
        <f t="shared" si="17"/>
        <v>0.17056083619117324</v>
      </c>
      <c r="Z535" s="6" t="s">
        <v>1760</v>
      </c>
    </row>
    <row r="536" spans="1:26" s="6" customFormat="1" x14ac:dyDescent="0.35">
      <c r="A536" s="6" t="s">
        <v>25</v>
      </c>
      <c r="B536" s="7"/>
      <c r="D536" s="6" t="s">
        <v>1007</v>
      </c>
      <c r="E536" s="6">
        <v>2</v>
      </c>
      <c r="F536" s="6">
        <v>23</v>
      </c>
      <c r="G536" s="6" t="s">
        <v>202</v>
      </c>
      <c r="I536" s="8">
        <v>87.352736041666702</v>
      </c>
      <c r="J536" s="8">
        <v>94.772103819444396</v>
      </c>
      <c r="K536" s="6" t="s">
        <v>29</v>
      </c>
      <c r="L536" s="6" t="s">
        <v>335</v>
      </c>
      <c r="M536" s="9">
        <v>43864</v>
      </c>
      <c r="O536" s="6">
        <v>19</v>
      </c>
      <c r="P536" s="6" t="s">
        <v>4322</v>
      </c>
      <c r="S536" s="6">
        <v>110</v>
      </c>
      <c r="T536" s="6">
        <v>123</v>
      </c>
      <c r="U536" s="10">
        <f t="shared" si="16"/>
        <v>116.5</v>
      </c>
      <c r="V536" s="6">
        <v>5.7</v>
      </c>
      <c r="W536" s="8">
        <v>-0.41478046254873308</v>
      </c>
      <c r="X536" s="8">
        <v>-2.1286814935684193</v>
      </c>
      <c r="Y536" s="8">
        <f t="shared" si="17"/>
        <v>1.1895622068214453</v>
      </c>
    </row>
    <row r="537" spans="1:26" s="6" customFormat="1" x14ac:dyDescent="0.35">
      <c r="A537" s="6" t="s">
        <v>25</v>
      </c>
      <c r="B537" s="7" t="s">
        <v>1660</v>
      </c>
      <c r="D537" s="6" t="s">
        <v>1661</v>
      </c>
      <c r="E537" s="6">
        <v>4</v>
      </c>
      <c r="F537" s="6">
        <v>44</v>
      </c>
      <c r="G537" s="6" t="s">
        <v>335</v>
      </c>
      <c r="I537" s="8">
        <v>81.975306180555606</v>
      </c>
      <c r="J537" s="8">
        <v>9.2425022222222193</v>
      </c>
      <c r="K537" s="6" t="s">
        <v>29</v>
      </c>
      <c r="L537" s="6" t="s">
        <v>335</v>
      </c>
      <c r="M537" s="9">
        <v>44004</v>
      </c>
      <c r="O537" s="6">
        <v>39</v>
      </c>
      <c r="P537" s="6" t="s">
        <v>4405</v>
      </c>
      <c r="R537" s="10" t="s">
        <v>1662</v>
      </c>
      <c r="S537" s="10">
        <v>115</v>
      </c>
      <c r="T537" s="10">
        <v>120</v>
      </c>
      <c r="U537" s="10">
        <f t="shared" si="16"/>
        <v>117.5</v>
      </c>
      <c r="V537" s="11"/>
      <c r="W537" s="8">
        <v>-0.41209485527873047</v>
      </c>
      <c r="X537" s="8">
        <v>-1.6410474338531489</v>
      </c>
      <c r="Y537" s="8">
        <f t="shared" si="17"/>
        <v>1.6557114083766948</v>
      </c>
    </row>
    <row r="538" spans="1:26" s="6" customFormat="1" x14ac:dyDescent="0.35">
      <c r="A538" s="6" t="s">
        <v>25</v>
      </c>
      <c r="B538" s="6" t="s">
        <v>1970</v>
      </c>
      <c r="D538" s="6" t="s">
        <v>1971</v>
      </c>
      <c r="E538" s="6">
        <v>4</v>
      </c>
      <c r="F538" s="6">
        <v>47</v>
      </c>
      <c r="I538" s="8">
        <v>81.417819374999993</v>
      </c>
      <c r="J538" s="8">
        <v>0.28587430555555599</v>
      </c>
      <c r="K538" s="6" t="s">
        <v>29</v>
      </c>
      <c r="L538" s="29" t="s">
        <v>335</v>
      </c>
      <c r="M538" s="9">
        <v>44025</v>
      </c>
      <c r="O538" s="6">
        <v>42</v>
      </c>
      <c r="P538" s="6" t="s">
        <v>4403</v>
      </c>
      <c r="S538" s="6">
        <v>112</v>
      </c>
      <c r="T538" s="6">
        <v>123</v>
      </c>
      <c r="U538" s="10">
        <f t="shared" si="16"/>
        <v>117.5</v>
      </c>
      <c r="V538" s="15">
        <v>1.4</v>
      </c>
      <c r="W538" s="8">
        <v>-1.332559165906906</v>
      </c>
      <c r="X538" s="8">
        <v>-10.263363574981689</v>
      </c>
      <c r="Y538" s="8">
        <f t="shared" si="17"/>
        <v>0.39710975227355938</v>
      </c>
      <c r="Z538" s="6" t="s">
        <v>1760</v>
      </c>
    </row>
    <row r="539" spans="1:26" s="6" customFormat="1" x14ac:dyDescent="0.35">
      <c r="A539" s="6" t="s">
        <v>25</v>
      </c>
      <c r="B539" s="6" t="s">
        <v>2189</v>
      </c>
      <c r="D539" s="6" t="s">
        <v>2190</v>
      </c>
      <c r="E539" s="6">
        <v>4</v>
      </c>
      <c r="F539" s="6">
        <v>48</v>
      </c>
      <c r="I539" s="8">
        <v>80.754295347222197</v>
      </c>
      <c r="J539" s="8">
        <v>-0.488818958333333</v>
      </c>
      <c r="K539" s="6" t="s">
        <v>29</v>
      </c>
      <c r="L539" s="29" t="s">
        <v>335</v>
      </c>
      <c r="M539" s="9">
        <v>44032</v>
      </c>
      <c r="O539" s="6">
        <v>43</v>
      </c>
      <c r="P539" s="6" t="s">
        <v>4403</v>
      </c>
      <c r="S539" s="6">
        <v>114.5</v>
      </c>
      <c r="T539" s="6">
        <v>125</v>
      </c>
      <c r="U539" s="10">
        <f t="shared" si="16"/>
        <v>119.75</v>
      </c>
      <c r="V539" s="15">
        <v>0.7</v>
      </c>
      <c r="W539" s="8">
        <v>-2.6008805880546575</v>
      </c>
      <c r="X539" s="8">
        <v>-19.479295440673827</v>
      </c>
      <c r="Y539" s="8">
        <f t="shared" si="17"/>
        <v>1.3277492637634332</v>
      </c>
      <c r="Z539" s="6" t="s">
        <v>1760</v>
      </c>
    </row>
    <row r="540" spans="1:26" s="6" customFormat="1" x14ac:dyDescent="0.35">
      <c r="A540" s="6" t="s">
        <v>25</v>
      </c>
      <c r="B540" s="7" t="s">
        <v>1666</v>
      </c>
      <c r="D540" s="6" t="s">
        <v>1667</v>
      </c>
      <c r="E540" s="6">
        <v>4</v>
      </c>
      <c r="F540" s="6">
        <v>44</v>
      </c>
      <c r="G540" s="6" t="s">
        <v>335</v>
      </c>
      <c r="I540" s="8">
        <v>81.975306180555606</v>
      </c>
      <c r="J540" s="8">
        <v>9.2425022222222193</v>
      </c>
      <c r="K540" s="6" t="s">
        <v>29</v>
      </c>
      <c r="L540" s="6" t="s">
        <v>335</v>
      </c>
      <c r="M540" s="9">
        <v>44004</v>
      </c>
      <c r="O540" s="6">
        <v>39</v>
      </c>
      <c r="P540" s="6" t="s">
        <v>4405</v>
      </c>
      <c r="R540" s="10" t="s">
        <v>1668</v>
      </c>
      <c r="S540" s="10">
        <v>120</v>
      </c>
      <c r="T540" s="10">
        <v>125</v>
      </c>
      <c r="U540" s="10">
        <f t="shared" si="16"/>
        <v>122.5</v>
      </c>
      <c r="V540" s="11"/>
      <c r="W540" s="8">
        <v>-0.12863619895875422</v>
      </c>
      <c r="X540" s="8">
        <v>-7.7475492477417418E-2</v>
      </c>
      <c r="Y540" s="8">
        <f t="shared" si="17"/>
        <v>0.9516140991926163</v>
      </c>
    </row>
    <row r="541" spans="1:26" s="6" customFormat="1" x14ac:dyDescent="0.35">
      <c r="A541" s="6" t="s">
        <v>25</v>
      </c>
      <c r="B541" s="7"/>
      <c r="D541" s="6" t="s">
        <v>1094</v>
      </c>
      <c r="E541" s="6">
        <v>3</v>
      </c>
      <c r="F541" s="6">
        <v>31</v>
      </c>
      <c r="G541" s="6" t="s">
        <v>179</v>
      </c>
      <c r="I541" s="8">
        <v>87.889566388888895</v>
      </c>
      <c r="J541" s="8">
        <v>24.107920208333301</v>
      </c>
      <c r="K541" s="6" t="s">
        <v>29</v>
      </c>
      <c r="L541" s="6" t="s">
        <v>335</v>
      </c>
      <c r="M541" s="9">
        <v>43899</v>
      </c>
      <c r="O541" s="6">
        <v>24</v>
      </c>
      <c r="P541" s="6" t="s">
        <v>4343</v>
      </c>
      <c r="S541" s="6">
        <v>120</v>
      </c>
      <c r="T541" s="6">
        <v>129</v>
      </c>
      <c r="U541" s="10">
        <f t="shared" si="16"/>
        <v>124.5</v>
      </c>
      <c r="V541" s="6">
        <v>6.9</v>
      </c>
      <c r="W541" s="8">
        <v>0.36857074862480182</v>
      </c>
      <c r="X541" s="8">
        <v>2.5426218986511246</v>
      </c>
      <c r="Y541" s="8">
        <f t="shared" si="17"/>
        <v>-0.40594409034728995</v>
      </c>
    </row>
    <row r="542" spans="1:26" s="6" customFormat="1" x14ac:dyDescent="0.35">
      <c r="A542" s="6" t="s">
        <v>25</v>
      </c>
      <c r="B542" s="6" t="s">
        <v>174</v>
      </c>
      <c r="C542" s="6">
        <v>510165</v>
      </c>
      <c r="D542" s="6" t="s">
        <v>152</v>
      </c>
      <c r="E542" s="6">
        <v>1</v>
      </c>
      <c r="F542" s="6">
        <v>3</v>
      </c>
      <c r="G542" s="6" t="s">
        <v>153</v>
      </c>
      <c r="I542" s="8">
        <v>85.348898888888897</v>
      </c>
      <c r="J542" s="8">
        <v>129.88336361111101</v>
      </c>
      <c r="K542" s="6" t="s">
        <v>29</v>
      </c>
      <c r="L542" s="6" t="s">
        <v>335</v>
      </c>
      <c r="M542" s="9">
        <v>43761</v>
      </c>
      <c r="O542" s="6">
        <v>4</v>
      </c>
      <c r="P542" s="6" t="s">
        <v>4248</v>
      </c>
      <c r="R542" s="6" t="s">
        <v>175</v>
      </c>
      <c r="S542" s="6">
        <v>120</v>
      </c>
      <c r="T542" s="6">
        <v>130</v>
      </c>
      <c r="U542" s="10">
        <f t="shared" si="16"/>
        <v>125</v>
      </c>
      <c r="V542" s="6">
        <v>3.7</v>
      </c>
      <c r="W542" s="8">
        <v>5.3400847040768383E-2</v>
      </c>
      <c r="X542" s="8">
        <v>0.48741941881179807</v>
      </c>
      <c r="Y542" s="8">
        <f t="shared" si="17"/>
        <v>6.0212642485651002E-2</v>
      </c>
    </row>
    <row r="543" spans="1:26" s="6" customFormat="1" x14ac:dyDescent="0.35">
      <c r="A543" s="6" t="s">
        <v>25</v>
      </c>
      <c r="B543" s="7" t="s">
        <v>480</v>
      </c>
      <c r="C543" s="6">
        <v>510637</v>
      </c>
      <c r="D543" s="6" t="s">
        <v>481</v>
      </c>
      <c r="E543" s="6">
        <v>1</v>
      </c>
      <c r="F543" s="6">
        <v>7</v>
      </c>
      <c r="G543" s="6" t="s">
        <v>179</v>
      </c>
      <c r="I543" s="8">
        <v>86.191348333333295</v>
      </c>
      <c r="J543" s="8">
        <v>118.623774583333</v>
      </c>
      <c r="K543" s="6" t="s">
        <v>29</v>
      </c>
      <c r="L543" s="6" t="s">
        <v>335</v>
      </c>
      <c r="M543" s="9">
        <v>43784</v>
      </c>
      <c r="O543" s="6">
        <v>7</v>
      </c>
      <c r="P543" s="6" t="s">
        <v>4260</v>
      </c>
      <c r="Q543" s="8">
        <v>-2.2000000000000002</v>
      </c>
      <c r="R543" s="10" t="s">
        <v>175</v>
      </c>
      <c r="S543" s="10">
        <v>120</v>
      </c>
      <c r="T543" s="10">
        <v>130</v>
      </c>
      <c r="U543" s="10">
        <f t="shared" si="16"/>
        <v>125</v>
      </c>
      <c r="V543" s="6">
        <v>3.7</v>
      </c>
      <c r="W543" s="8">
        <v>-2.3137565000000002</v>
      </c>
      <c r="X543" s="8">
        <v>-17.36439</v>
      </c>
      <c r="Y543" s="8">
        <f t="shared" si="17"/>
        <v>1.1456620000000015</v>
      </c>
    </row>
    <row r="544" spans="1:26" s="6" customFormat="1" x14ac:dyDescent="0.35">
      <c r="A544" s="6" t="s">
        <v>25</v>
      </c>
      <c r="B544" s="7"/>
      <c r="D544" s="6" t="s">
        <v>1044</v>
      </c>
      <c r="E544" s="6">
        <v>2</v>
      </c>
      <c r="F544" s="6">
        <v>24</v>
      </c>
      <c r="G544" s="6" t="s">
        <v>57</v>
      </c>
      <c r="I544" s="8">
        <v>87.882876180555598</v>
      </c>
      <c r="J544" s="8">
        <v>87.424340833333304</v>
      </c>
      <c r="K544" s="6" t="s">
        <v>29</v>
      </c>
      <c r="L544" s="6" t="s">
        <v>335</v>
      </c>
      <c r="M544" s="9">
        <v>43873</v>
      </c>
      <c r="O544" s="6">
        <v>20</v>
      </c>
      <c r="P544" s="6" t="s">
        <v>4313</v>
      </c>
      <c r="S544" s="6">
        <v>120</v>
      </c>
      <c r="T544" s="6">
        <v>130</v>
      </c>
      <c r="U544" s="10">
        <f t="shared" si="16"/>
        <v>125</v>
      </c>
      <c r="V544" s="30"/>
      <c r="W544" s="8">
        <v>-2.3039022780704501</v>
      </c>
      <c r="X544" s="8">
        <v>-17.688337641716004</v>
      </c>
      <c r="Y544" s="8">
        <f t="shared" si="17"/>
        <v>0.74288058284759728</v>
      </c>
    </row>
    <row r="545" spans="1:26" s="6" customFormat="1" x14ac:dyDescent="0.35">
      <c r="A545" s="6" t="s">
        <v>25</v>
      </c>
      <c r="B545" s="7"/>
      <c r="D545" s="6" t="s">
        <v>1109</v>
      </c>
      <c r="E545" s="6">
        <v>3</v>
      </c>
      <c r="F545" s="6">
        <v>31</v>
      </c>
      <c r="G545" s="6" t="s">
        <v>345</v>
      </c>
      <c r="I545" s="8">
        <v>87.660309999999996</v>
      </c>
      <c r="J545" s="8">
        <v>24.286057569444399</v>
      </c>
      <c r="K545" s="6" t="s">
        <v>29</v>
      </c>
      <c r="L545" s="6" t="s">
        <v>335</v>
      </c>
      <c r="M545" s="9">
        <v>43901</v>
      </c>
      <c r="O545" s="6">
        <v>24</v>
      </c>
      <c r="P545" s="6" t="s">
        <v>4345</v>
      </c>
      <c r="S545" s="6">
        <v>120</v>
      </c>
      <c r="T545" s="6">
        <v>130</v>
      </c>
      <c r="U545" s="10">
        <f t="shared" si="16"/>
        <v>125</v>
      </c>
      <c r="V545" s="6">
        <v>4.0999999999999996</v>
      </c>
      <c r="W545" s="8">
        <v>-0.30855770452469611</v>
      </c>
      <c r="X545" s="8">
        <v>-1.1270763444900507</v>
      </c>
      <c r="Y545" s="8">
        <f t="shared" si="17"/>
        <v>1.3413852917075182</v>
      </c>
    </row>
    <row r="546" spans="1:26" s="6" customFormat="1" x14ac:dyDescent="0.35">
      <c r="A546" s="6" t="s">
        <v>25</v>
      </c>
      <c r="B546" s="7"/>
      <c r="D546" s="6" t="s">
        <v>1168</v>
      </c>
      <c r="E546" s="6">
        <v>3</v>
      </c>
      <c r="F546" s="6">
        <v>32</v>
      </c>
      <c r="G546" s="6" t="s">
        <v>179</v>
      </c>
      <c r="I546" s="8">
        <v>86.339075833333297</v>
      </c>
      <c r="J546" s="8">
        <v>14.7309175</v>
      </c>
      <c r="K546" s="6" t="s">
        <v>29</v>
      </c>
      <c r="L546" s="6" t="s">
        <v>335</v>
      </c>
      <c r="M546" s="9">
        <v>43910</v>
      </c>
      <c r="O546" s="6">
        <v>25</v>
      </c>
      <c r="P546" s="6" t="s">
        <v>4350</v>
      </c>
      <c r="S546" s="6">
        <v>120</v>
      </c>
      <c r="T546" s="6">
        <v>130</v>
      </c>
      <c r="U546" s="10">
        <f t="shared" si="16"/>
        <v>125</v>
      </c>
      <c r="V546" s="6">
        <v>5.5</v>
      </c>
      <c r="W546" s="8">
        <v>5.4519687730074255E-2</v>
      </c>
      <c r="X546" s="8">
        <v>0.51826992988586507</v>
      </c>
      <c r="Y546" s="8">
        <f t="shared" si="17"/>
        <v>8.2112428045271024E-2</v>
      </c>
    </row>
    <row r="547" spans="1:26" s="6" customFormat="1" x14ac:dyDescent="0.35">
      <c r="A547" s="6" t="s">
        <v>25</v>
      </c>
      <c r="B547" s="7"/>
      <c r="D547" s="6" t="s">
        <v>1188</v>
      </c>
      <c r="E547" s="6">
        <v>3</v>
      </c>
      <c r="F547" s="6">
        <v>32</v>
      </c>
      <c r="G547" s="6" t="s">
        <v>202</v>
      </c>
      <c r="I547" s="8">
        <v>86.257643333333306</v>
      </c>
      <c r="J547" s="8">
        <v>15.261599722222201</v>
      </c>
      <c r="K547" s="6" t="s">
        <v>29</v>
      </c>
      <c r="L547" s="6" t="s">
        <v>335</v>
      </c>
      <c r="M547" s="9">
        <v>43911</v>
      </c>
      <c r="O547" s="6">
        <v>25</v>
      </c>
      <c r="P547" s="6" t="s">
        <v>4351</v>
      </c>
      <c r="S547" s="6">
        <v>120</v>
      </c>
      <c r="T547" s="6">
        <v>130</v>
      </c>
      <c r="U547" s="10">
        <f t="shared" si="16"/>
        <v>125</v>
      </c>
      <c r="V547" s="6">
        <v>5.5</v>
      </c>
      <c r="W547" s="8">
        <v>-0.30902020106613626</v>
      </c>
      <c r="X547" s="8">
        <v>-2.2912951683998104</v>
      </c>
      <c r="Y547" s="8">
        <f t="shared" si="17"/>
        <v>0.18086644012927966</v>
      </c>
    </row>
    <row r="548" spans="1:26" s="6" customFormat="1" x14ac:dyDescent="0.35">
      <c r="A548" s="6" t="s">
        <v>25</v>
      </c>
      <c r="B548" s="6" t="s">
        <v>1253</v>
      </c>
      <c r="D548" s="6" t="s">
        <v>1240</v>
      </c>
      <c r="E548" s="6">
        <v>3</v>
      </c>
      <c r="F548" s="6">
        <v>34</v>
      </c>
      <c r="G548" s="6" t="s">
        <v>202</v>
      </c>
      <c r="I548" s="8">
        <v>84.533711805555598</v>
      </c>
      <c r="J548" s="8">
        <v>14.277858402777801</v>
      </c>
      <c r="K548" s="6" t="s">
        <v>29</v>
      </c>
      <c r="L548" s="6" t="s">
        <v>335</v>
      </c>
      <c r="M548" s="9">
        <v>43927</v>
      </c>
      <c r="O548" s="6">
        <v>28</v>
      </c>
      <c r="P548" s="6" t="s">
        <v>4359</v>
      </c>
      <c r="R548" s="6">
        <v>120</v>
      </c>
      <c r="S548" s="6">
        <v>120</v>
      </c>
      <c r="T548" s="6">
        <v>130</v>
      </c>
      <c r="U548" s="10">
        <f t="shared" si="16"/>
        <v>125</v>
      </c>
      <c r="V548" s="6">
        <v>4.3</v>
      </c>
      <c r="W548" s="8">
        <v>-0.12746951048672239</v>
      </c>
      <c r="X548" s="8">
        <v>-0.84778154377639303</v>
      </c>
      <c r="Y548" s="8">
        <f t="shared" si="17"/>
        <v>0.17197454011738611</v>
      </c>
    </row>
    <row r="549" spans="1:26" s="6" customFormat="1" x14ac:dyDescent="0.35">
      <c r="A549" s="6" t="s">
        <v>25</v>
      </c>
      <c r="B549" s="6" t="s">
        <v>1303</v>
      </c>
      <c r="D549" s="6" t="s">
        <v>1291</v>
      </c>
      <c r="E549" s="6">
        <v>3</v>
      </c>
      <c r="F549" s="6">
        <v>35</v>
      </c>
      <c r="G549" s="6" t="s">
        <v>345</v>
      </c>
      <c r="I549" s="8">
        <v>84.322834374999999</v>
      </c>
      <c r="J549" s="8">
        <v>14.725811041666701</v>
      </c>
      <c r="K549" s="6" t="s">
        <v>29</v>
      </c>
      <c r="L549" s="6" t="s">
        <v>335</v>
      </c>
      <c r="M549" s="9">
        <v>43931</v>
      </c>
      <c r="O549" s="6">
        <v>28</v>
      </c>
      <c r="P549" s="6" t="s">
        <v>4362</v>
      </c>
      <c r="R549" s="6">
        <v>120</v>
      </c>
      <c r="S549" s="6">
        <v>120</v>
      </c>
      <c r="T549" s="6">
        <v>130</v>
      </c>
      <c r="U549" s="10">
        <f t="shared" si="16"/>
        <v>125</v>
      </c>
      <c r="V549" s="6">
        <v>5</v>
      </c>
      <c r="W549" s="8">
        <v>3.6321276409551372E-2</v>
      </c>
      <c r="X549" s="8">
        <v>0.51639738798141477</v>
      </c>
      <c r="Y549" s="8">
        <f t="shared" si="17"/>
        <v>0.2258271767050038</v>
      </c>
    </row>
    <row r="550" spans="1:26" s="6" customFormat="1" x14ac:dyDescent="0.35">
      <c r="A550" s="6" t="s">
        <v>25</v>
      </c>
      <c r="B550" s="7" t="s">
        <v>1376</v>
      </c>
      <c r="D550" s="6" t="s">
        <v>1377</v>
      </c>
      <c r="E550" s="6">
        <v>3</v>
      </c>
      <c r="F550" s="6">
        <v>36</v>
      </c>
      <c r="G550" s="6" t="s">
        <v>202</v>
      </c>
      <c r="I550" s="8">
        <v>84.331482986111098</v>
      </c>
      <c r="J550" s="8">
        <v>14.642671805555601</v>
      </c>
      <c r="K550" s="6" t="s">
        <v>29</v>
      </c>
      <c r="L550" s="6" t="s">
        <v>335</v>
      </c>
      <c r="M550" s="9">
        <v>43935</v>
      </c>
      <c r="O550" s="6">
        <v>29</v>
      </c>
      <c r="P550" s="6" t="s">
        <v>4332</v>
      </c>
      <c r="R550" s="10"/>
      <c r="S550" s="10">
        <v>120</v>
      </c>
      <c r="T550" s="10">
        <v>130</v>
      </c>
      <c r="U550" s="10">
        <f t="shared" si="16"/>
        <v>125</v>
      </c>
      <c r="V550" s="11">
        <v>5.5</v>
      </c>
      <c r="W550" s="8">
        <v>-0.32959211532592742</v>
      </c>
      <c r="X550" s="8">
        <v>-1.8460146293044088</v>
      </c>
      <c r="Y550" s="8">
        <f t="shared" si="17"/>
        <v>0.79072229330301047</v>
      </c>
    </row>
    <row r="551" spans="1:26" s="6" customFormat="1" x14ac:dyDescent="0.35">
      <c r="A551" s="6" t="s">
        <v>25</v>
      </c>
      <c r="B551" s="7" t="s">
        <v>1462</v>
      </c>
      <c r="D551" s="6" t="s">
        <v>1463</v>
      </c>
      <c r="E551" s="6">
        <v>3</v>
      </c>
      <c r="F551" s="6">
        <v>37</v>
      </c>
      <c r="G551" s="6" t="s">
        <v>28</v>
      </c>
      <c r="I551" s="8">
        <v>83.999093333333306</v>
      </c>
      <c r="J551" s="8">
        <v>15.6102103472222</v>
      </c>
      <c r="K551" s="6" t="s">
        <v>29</v>
      </c>
      <c r="L551" s="6" t="s">
        <v>335</v>
      </c>
      <c r="M551" s="9">
        <v>43946</v>
      </c>
      <c r="O551" s="6">
        <v>30</v>
      </c>
      <c r="P551" s="6" t="s">
        <v>4265</v>
      </c>
      <c r="R551" s="10"/>
      <c r="S551" s="10">
        <v>120</v>
      </c>
      <c r="T551" s="10">
        <v>130</v>
      </c>
      <c r="U551" s="10">
        <f t="shared" si="16"/>
        <v>125</v>
      </c>
      <c r="V551" s="11">
        <v>2.7</v>
      </c>
      <c r="W551" s="8">
        <v>-2.5512533187866211</v>
      </c>
      <c r="X551" s="8">
        <v>-19.447901247024536</v>
      </c>
      <c r="Y551" s="8">
        <f t="shared" si="17"/>
        <v>0.96212530326843293</v>
      </c>
    </row>
    <row r="552" spans="1:26" s="6" customFormat="1" x14ac:dyDescent="0.35">
      <c r="A552" s="6" t="s">
        <v>25</v>
      </c>
      <c r="B552" s="7" t="s">
        <v>1506</v>
      </c>
      <c r="D552" s="6" t="s">
        <v>1507</v>
      </c>
      <c r="E552" s="6">
        <v>3</v>
      </c>
      <c r="F552" s="6">
        <v>37</v>
      </c>
      <c r="G552" s="6" t="s">
        <v>28</v>
      </c>
      <c r="I552" s="8">
        <v>83.999093333333306</v>
      </c>
      <c r="J552" s="8">
        <v>15.6102103472222</v>
      </c>
      <c r="K552" s="6" t="s">
        <v>29</v>
      </c>
      <c r="L552" s="6" t="s">
        <v>335</v>
      </c>
      <c r="M552" s="9">
        <v>43946</v>
      </c>
      <c r="O552" s="6">
        <v>30</v>
      </c>
      <c r="P552" s="6" t="s">
        <v>4265</v>
      </c>
      <c r="R552" s="10"/>
      <c r="S552" s="10">
        <v>120</v>
      </c>
      <c r="T552" s="10">
        <v>130</v>
      </c>
      <c r="U552" s="10">
        <f t="shared" si="16"/>
        <v>125</v>
      </c>
      <c r="V552" s="11">
        <v>4.0999999999999996</v>
      </c>
      <c r="W552" s="8">
        <v>0.3163547935724258</v>
      </c>
      <c r="X552" s="8">
        <v>2.4209882099628448</v>
      </c>
      <c r="Y552" s="8">
        <f t="shared" si="17"/>
        <v>-0.10985013861656157</v>
      </c>
    </row>
    <row r="553" spans="1:26" s="6" customFormat="1" x14ac:dyDescent="0.35">
      <c r="A553" s="6" t="s">
        <v>25</v>
      </c>
      <c r="B553" s="7"/>
      <c r="D553" s="6" t="s">
        <v>1555</v>
      </c>
      <c r="E553" s="6">
        <v>3</v>
      </c>
      <c r="F553" s="6">
        <v>38</v>
      </c>
      <c r="G553" s="6" t="s">
        <v>202</v>
      </c>
      <c r="I553" s="8">
        <v>83.938997847222197</v>
      </c>
      <c r="J553" s="8">
        <v>15.6730686111111</v>
      </c>
      <c r="K553" s="6" t="s">
        <v>29</v>
      </c>
      <c r="L553" s="6" t="s">
        <v>335</v>
      </c>
      <c r="M553" s="9">
        <v>43948</v>
      </c>
      <c r="O553" s="6">
        <v>31</v>
      </c>
      <c r="P553" s="6" t="s">
        <v>4251</v>
      </c>
      <c r="S553" s="6">
        <v>120</v>
      </c>
      <c r="T553" s="6">
        <v>130</v>
      </c>
      <c r="U553" s="10">
        <f t="shared" si="16"/>
        <v>125</v>
      </c>
      <c r="V553" s="6">
        <v>3.4</v>
      </c>
      <c r="W553" s="8">
        <v>0.32714975141286851</v>
      </c>
      <c r="X553" s="8">
        <v>2.3178626895904539</v>
      </c>
      <c r="Y553" s="8">
        <f t="shared" si="17"/>
        <v>-0.29933532171249411</v>
      </c>
    </row>
    <row r="554" spans="1:26" s="6" customFormat="1" x14ac:dyDescent="0.35">
      <c r="A554" s="6" t="s">
        <v>25</v>
      </c>
      <c r="B554" s="6" t="s">
        <v>1632</v>
      </c>
      <c r="D554" s="6" t="s">
        <v>1619</v>
      </c>
      <c r="E554" s="6">
        <v>3</v>
      </c>
      <c r="F554" s="6">
        <v>39</v>
      </c>
      <c r="G554" s="6" t="s">
        <v>202</v>
      </c>
      <c r="I554" s="8">
        <v>83.907985999999994</v>
      </c>
      <c r="J554" s="8">
        <v>18.352126999999999</v>
      </c>
      <c r="K554" s="6" t="s">
        <v>29</v>
      </c>
      <c r="L554" s="6" t="s">
        <v>335</v>
      </c>
      <c r="M554" s="9">
        <v>43955</v>
      </c>
      <c r="O554" s="6">
        <v>32</v>
      </c>
      <c r="P554" s="6" t="s">
        <v>4374</v>
      </c>
      <c r="R554" s="6">
        <v>120</v>
      </c>
      <c r="S554" s="6">
        <v>120</v>
      </c>
      <c r="T554" s="6">
        <v>130</v>
      </c>
      <c r="U554" s="10">
        <f t="shared" si="16"/>
        <v>125</v>
      </c>
      <c r="V554" s="6">
        <v>4.5999999999999996</v>
      </c>
      <c r="W554" s="8">
        <v>0.32177618252515744</v>
      </c>
      <c r="X554" s="8">
        <v>2.0237136344909663</v>
      </c>
      <c r="Y554" s="8">
        <f t="shared" si="17"/>
        <v>-0.55049582571029321</v>
      </c>
    </row>
    <row r="555" spans="1:26" s="6" customFormat="1" x14ac:dyDescent="0.35">
      <c r="A555" s="6" t="s">
        <v>25</v>
      </c>
      <c r="B555" s="6" t="s">
        <v>1783</v>
      </c>
      <c r="D555" s="6" t="s">
        <v>1784</v>
      </c>
      <c r="E555" s="6">
        <v>4</v>
      </c>
      <c r="F555" s="6">
        <v>44</v>
      </c>
      <c r="I555" s="8">
        <v>81.975306180555606</v>
      </c>
      <c r="J555" s="8">
        <v>9.2425022222222193</v>
      </c>
      <c r="K555" s="6" t="s">
        <v>29</v>
      </c>
      <c r="L555" s="29" t="s">
        <v>335</v>
      </c>
      <c r="M555" s="9">
        <v>44004</v>
      </c>
      <c r="O555" s="6">
        <v>39</v>
      </c>
      <c r="P555" s="6" t="s">
        <v>4405</v>
      </c>
      <c r="S555" s="6">
        <v>120</v>
      </c>
      <c r="T555" s="6">
        <v>130</v>
      </c>
      <c r="U555" s="10">
        <f t="shared" si="16"/>
        <v>125</v>
      </c>
      <c r="V555" s="15">
        <v>3.1</v>
      </c>
      <c r="W555" s="8">
        <v>0.26400347266420743</v>
      </c>
      <c r="X555" s="8">
        <v>1.6131278369426725</v>
      </c>
      <c r="Y555" s="8">
        <f t="shared" si="17"/>
        <v>-0.49889994437098695</v>
      </c>
      <c r="Z555" s="6" t="s">
        <v>1760</v>
      </c>
    </row>
    <row r="556" spans="1:26" s="6" customFormat="1" x14ac:dyDescent="0.35">
      <c r="A556" s="6" t="s">
        <v>25</v>
      </c>
      <c r="B556" s="6" t="s">
        <v>1940</v>
      </c>
      <c r="D556" s="6" t="s">
        <v>1941</v>
      </c>
      <c r="E556" s="6">
        <v>4</v>
      </c>
      <c r="F556" s="6">
        <v>46</v>
      </c>
      <c r="I556" s="8">
        <v>81.685643263888906</v>
      </c>
      <c r="J556" s="8">
        <v>5.3733415277777796</v>
      </c>
      <c r="K556" s="6" t="s">
        <v>29</v>
      </c>
      <c r="L556" s="29" t="s">
        <v>335</v>
      </c>
      <c r="M556" s="9">
        <v>44018</v>
      </c>
      <c r="O556" s="6">
        <v>41</v>
      </c>
      <c r="P556" s="6" t="s">
        <v>4413</v>
      </c>
      <c r="S556" s="6">
        <v>120</v>
      </c>
      <c r="T556" s="6">
        <v>130</v>
      </c>
      <c r="U556" s="10">
        <f t="shared" si="16"/>
        <v>125</v>
      </c>
      <c r="V556" s="15">
        <v>2.2999999999999998</v>
      </c>
      <c r="W556" s="8">
        <v>0.23120763365030333</v>
      </c>
      <c r="X556" s="8">
        <v>0.42106393975019485</v>
      </c>
      <c r="Y556" s="8">
        <f t="shared" si="17"/>
        <v>-1.4285971294522319</v>
      </c>
      <c r="Z556" s="6" t="s">
        <v>1760</v>
      </c>
    </row>
    <row r="557" spans="1:26" s="6" customFormat="1" x14ac:dyDescent="0.35">
      <c r="A557" s="6" t="s">
        <v>25</v>
      </c>
      <c r="B557" s="6" t="s">
        <v>2333</v>
      </c>
      <c r="D557" s="6" t="s">
        <v>2334</v>
      </c>
      <c r="E557" s="6">
        <v>5</v>
      </c>
      <c r="F557" s="6">
        <v>59</v>
      </c>
      <c r="I557" s="8">
        <v>88.299658402777794</v>
      </c>
      <c r="J557" s="8">
        <v>114.11509069444401</v>
      </c>
      <c r="K557" s="6" t="s">
        <v>29</v>
      </c>
      <c r="L557" s="29" t="s">
        <v>335</v>
      </c>
      <c r="M557" s="9">
        <v>44074</v>
      </c>
      <c r="O557" s="6">
        <v>50</v>
      </c>
      <c r="P557" s="6" t="s">
        <v>4396</v>
      </c>
      <c r="S557" s="6">
        <v>120</v>
      </c>
      <c r="T557" s="6">
        <v>130</v>
      </c>
      <c r="U557" s="10">
        <f t="shared" si="16"/>
        <v>125</v>
      </c>
      <c r="V557" s="15">
        <v>0.4</v>
      </c>
      <c r="W557" s="8">
        <v>-1.0013023644690803E-3</v>
      </c>
      <c r="X557" s="8">
        <v>0.91188753318786619</v>
      </c>
      <c r="Y557" s="8">
        <f t="shared" si="17"/>
        <v>0.9198979521036188</v>
      </c>
      <c r="Z557" s="6" t="s">
        <v>1760</v>
      </c>
    </row>
    <row r="558" spans="1:26" s="6" customFormat="1" x14ac:dyDescent="0.35">
      <c r="A558" s="6" t="s">
        <v>25</v>
      </c>
      <c r="B558" s="6" t="s">
        <v>2400</v>
      </c>
      <c r="D558" s="6" t="s">
        <v>2401</v>
      </c>
      <c r="E558" s="6">
        <v>5</v>
      </c>
      <c r="F558" s="6">
        <v>61</v>
      </c>
      <c r="I558" s="8">
        <v>88.700402291666705</v>
      </c>
      <c r="J558" s="8">
        <v>111.973632708333</v>
      </c>
      <c r="K558" s="6" t="s">
        <v>29</v>
      </c>
      <c r="L558" s="29" t="s">
        <v>335</v>
      </c>
      <c r="M558" s="9">
        <v>44081</v>
      </c>
      <c r="O558" s="6">
        <v>51</v>
      </c>
      <c r="P558" s="6" t="s">
        <v>4434</v>
      </c>
      <c r="S558" s="6">
        <v>120</v>
      </c>
      <c r="T558" s="6">
        <v>130</v>
      </c>
      <c r="U558" s="10">
        <f t="shared" si="16"/>
        <v>125</v>
      </c>
      <c r="V558" s="15">
        <v>2.4</v>
      </c>
      <c r="W558" s="8">
        <v>0.88820762861728686</v>
      </c>
      <c r="X558" s="8">
        <v>7.4461161396026627</v>
      </c>
      <c r="Y558" s="8">
        <f t="shared" si="17"/>
        <v>0.34045511066436784</v>
      </c>
      <c r="Z558" s="6" t="s">
        <v>1760</v>
      </c>
    </row>
    <row r="559" spans="1:26" s="6" customFormat="1" x14ac:dyDescent="0.35">
      <c r="A559" s="6" t="s">
        <v>25</v>
      </c>
      <c r="B559" s="7" t="s">
        <v>1672</v>
      </c>
      <c r="D559" s="6" t="s">
        <v>1673</v>
      </c>
      <c r="E559" s="6">
        <v>4</v>
      </c>
      <c r="F559" s="6">
        <v>44</v>
      </c>
      <c r="G559" s="6" t="s">
        <v>335</v>
      </c>
      <c r="I559" s="8">
        <v>81.975306180555606</v>
      </c>
      <c r="J559" s="8">
        <v>9.2425022222222193</v>
      </c>
      <c r="K559" s="6" t="s">
        <v>29</v>
      </c>
      <c r="L559" s="6" t="s">
        <v>335</v>
      </c>
      <c r="M559" s="9">
        <v>44004</v>
      </c>
      <c r="O559" s="6">
        <v>39</v>
      </c>
      <c r="P559" s="6" t="s">
        <v>4405</v>
      </c>
      <c r="R559" s="10" t="s">
        <v>1674</v>
      </c>
      <c r="S559" s="10">
        <v>125</v>
      </c>
      <c r="T559" s="10">
        <v>130</v>
      </c>
      <c r="U559" s="10">
        <f t="shared" si="16"/>
        <v>127.5</v>
      </c>
      <c r="V559" s="11"/>
      <c r="W559" s="8">
        <v>3.9688641924411155E-2</v>
      </c>
      <c r="X559" s="8">
        <v>0.6986050937175744</v>
      </c>
      <c r="Y559" s="8">
        <f t="shared" si="17"/>
        <v>0.38109595832228516</v>
      </c>
    </row>
    <row r="560" spans="1:26" s="6" customFormat="1" x14ac:dyDescent="0.35">
      <c r="A560" s="6" t="s">
        <v>25</v>
      </c>
      <c r="B560" s="6" t="s">
        <v>1972</v>
      </c>
      <c r="D560" s="6" t="s">
        <v>1973</v>
      </c>
      <c r="E560" s="6">
        <v>4</v>
      </c>
      <c r="F560" s="6">
        <v>47</v>
      </c>
      <c r="I560" s="8">
        <v>81.417819374999993</v>
      </c>
      <c r="J560" s="8">
        <v>0.28587430555555599</v>
      </c>
      <c r="K560" s="6" t="s">
        <v>29</v>
      </c>
      <c r="L560" s="29" t="s">
        <v>335</v>
      </c>
      <c r="M560" s="9">
        <v>44025</v>
      </c>
      <c r="O560" s="6">
        <v>42</v>
      </c>
      <c r="P560" s="6" t="s">
        <v>4403</v>
      </c>
      <c r="S560" s="6">
        <v>122</v>
      </c>
      <c r="T560" s="6">
        <v>134</v>
      </c>
      <c r="U560" s="10">
        <f t="shared" si="16"/>
        <v>128</v>
      </c>
      <c r="V560" s="15">
        <v>0.8</v>
      </c>
      <c r="W560" s="8">
        <v>-5.830277789306642</v>
      </c>
      <c r="X560" s="8">
        <v>-45.405310409545898</v>
      </c>
      <c r="Y560" s="8">
        <f t="shared" si="17"/>
        <v>1.2369119049072381</v>
      </c>
      <c r="Z560" s="6" t="s">
        <v>1760</v>
      </c>
    </row>
    <row r="561" spans="1:26" s="6" customFormat="1" x14ac:dyDescent="0.35">
      <c r="A561" s="6" t="s">
        <v>25</v>
      </c>
      <c r="B561" s="6" t="s">
        <v>2191</v>
      </c>
      <c r="D561" s="6" t="s">
        <v>2192</v>
      </c>
      <c r="E561" s="6">
        <v>4</v>
      </c>
      <c r="F561" s="6">
        <v>48</v>
      </c>
      <c r="I561" s="8">
        <v>80.754295347222197</v>
      </c>
      <c r="J561" s="8">
        <v>-0.488818958333333</v>
      </c>
      <c r="K561" s="6" t="s">
        <v>29</v>
      </c>
      <c r="L561" s="29" t="s">
        <v>335</v>
      </c>
      <c r="M561" s="9">
        <v>44032</v>
      </c>
      <c r="O561" s="6">
        <v>43</v>
      </c>
      <c r="P561" s="6" t="s">
        <v>4403</v>
      </c>
      <c r="S561" s="6">
        <v>125</v>
      </c>
      <c r="T561" s="6">
        <v>136</v>
      </c>
      <c r="U561" s="10">
        <f t="shared" si="16"/>
        <v>130.5</v>
      </c>
      <c r="V561" s="15">
        <v>0.8</v>
      </c>
      <c r="W561" s="8">
        <v>-6.3768850407600404</v>
      </c>
      <c r="X561" s="8">
        <v>-49.470676574707028</v>
      </c>
      <c r="Y561" s="8">
        <f t="shared" si="17"/>
        <v>1.5444037513732951</v>
      </c>
      <c r="Z561" s="6" t="s">
        <v>1760</v>
      </c>
    </row>
    <row r="562" spans="1:26" s="6" customFormat="1" x14ac:dyDescent="0.35">
      <c r="A562" s="6" t="s">
        <v>25</v>
      </c>
      <c r="B562" s="7" t="s">
        <v>1696</v>
      </c>
      <c r="D562" s="6" t="s">
        <v>1697</v>
      </c>
      <c r="E562" s="6">
        <v>4</v>
      </c>
      <c r="F562" s="6">
        <v>44</v>
      </c>
      <c r="G562" s="6" t="s">
        <v>335</v>
      </c>
      <c r="I562" s="8">
        <v>81.975306180555606</v>
      </c>
      <c r="J562" s="8">
        <v>9.2425022222222193</v>
      </c>
      <c r="K562" s="6" t="s">
        <v>29</v>
      </c>
      <c r="L562" s="6" t="s">
        <v>335</v>
      </c>
      <c r="M562" s="9">
        <v>44004</v>
      </c>
      <c r="O562" s="6">
        <v>39</v>
      </c>
      <c r="P562" s="6" t="s">
        <v>4405</v>
      </c>
      <c r="R562" s="10" t="s">
        <v>1698</v>
      </c>
      <c r="S562" s="10">
        <v>130</v>
      </c>
      <c r="T562" s="10">
        <v>135</v>
      </c>
      <c r="U562" s="10">
        <f t="shared" si="16"/>
        <v>132.5</v>
      </c>
      <c r="V562" s="11"/>
      <c r="W562" s="8">
        <v>0.23363291364351901</v>
      </c>
      <c r="X562" s="8">
        <v>2.1256443608999249</v>
      </c>
      <c r="Y562" s="8">
        <f t="shared" si="17"/>
        <v>0.25658105175177282</v>
      </c>
    </row>
    <row r="563" spans="1:26" s="6" customFormat="1" x14ac:dyDescent="0.35">
      <c r="A563" s="6" t="s">
        <v>25</v>
      </c>
      <c r="B563" s="6" t="s">
        <v>2402</v>
      </c>
      <c r="D563" s="6" t="s">
        <v>2403</v>
      </c>
      <c r="E563" s="6">
        <v>5</v>
      </c>
      <c r="F563" s="6">
        <v>61</v>
      </c>
      <c r="I563" s="8">
        <v>88.700402291666705</v>
      </c>
      <c r="J563" s="8">
        <v>111.973632708333</v>
      </c>
      <c r="K563" s="6" t="s">
        <v>29</v>
      </c>
      <c r="L563" s="29" t="s">
        <v>335</v>
      </c>
      <c r="M563" s="9">
        <v>44081</v>
      </c>
      <c r="O563" s="6">
        <v>51</v>
      </c>
      <c r="P563" s="6" t="s">
        <v>4434</v>
      </c>
      <c r="S563" s="6">
        <v>130</v>
      </c>
      <c r="T563" s="6">
        <v>139</v>
      </c>
      <c r="U563" s="10">
        <f t="shared" si="16"/>
        <v>134.5</v>
      </c>
      <c r="V563" s="15">
        <v>3</v>
      </c>
      <c r="W563" s="8">
        <v>0.7314626279568669</v>
      </c>
      <c r="X563" s="8">
        <v>5.8479816784381873</v>
      </c>
      <c r="Y563" s="8">
        <f t="shared" si="17"/>
        <v>-3.7193452167478824E-3</v>
      </c>
      <c r="Z563" s="6" t="s">
        <v>1760</v>
      </c>
    </row>
    <row r="564" spans="1:26" s="6" customFormat="1" x14ac:dyDescent="0.35">
      <c r="A564" s="6" t="s">
        <v>25</v>
      </c>
      <c r="B564" s="7" t="s">
        <v>477</v>
      </c>
      <c r="C564" s="6">
        <v>510638</v>
      </c>
      <c r="D564" s="6" t="s">
        <v>478</v>
      </c>
      <c r="E564" s="6">
        <v>1</v>
      </c>
      <c r="F564" s="6">
        <v>7</v>
      </c>
      <c r="G564" s="6" t="s">
        <v>179</v>
      </c>
      <c r="I564" s="8">
        <v>86.191348333333295</v>
      </c>
      <c r="J564" s="8">
        <v>118.623774583333</v>
      </c>
      <c r="K564" s="6" t="s">
        <v>29</v>
      </c>
      <c r="L564" s="6" t="s">
        <v>335</v>
      </c>
      <c r="M564" s="9">
        <v>43784</v>
      </c>
      <c r="O564" s="6">
        <v>7</v>
      </c>
      <c r="P564" s="6" t="s">
        <v>4260</v>
      </c>
      <c r="Q564" s="8">
        <v>-2</v>
      </c>
      <c r="R564" s="10" t="s">
        <v>479</v>
      </c>
      <c r="S564" s="10">
        <v>130</v>
      </c>
      <c r="T564" s="10">
        <v>140</v>
      </c>
      <c r="U564" s="10">
        <f t="shared" si="16"/>
        <v>135</v>
      </c>
      <c r="V564" s="6">
        <v>3.3</v>
      </c>
      <c r="W564" s="8">
        <v>-3.0584567440261843</v>
      </c>
      <c r="X564" s="8">
        <v>-23.245142125579832</v>
      </c>
      <c r="Y564" s="8">
        <f t="shared" si="17"/>
        <v>1.222511826629642</v>
      </c>
    </row>
    <row r="565" spans="1:26" s="6" customFormat="1" x14ac:dyDescent="0.35">
      <c r="A565" s="6" t="s">
        <v>25</v>
      </c>
      <c r="B565" s="7"/>
      <c r="D565" s="6" t="s">
        <v>1045</v>
      </c>
      <c r="E565" s="6">
        <v>2</v>
      </c>
      <c r="F565" s="6">
        <v>24</v>
      </c>
      <c r="G565" s="6" t="s">
        <v>57</v>
      </c>
      <c r="I565" s="8">
        <v>87.882876180555598</v>
      </c>
      <c r="J565" s="8">
        <v>87.424340833333304</v>
      </c>
      <c r="K565" s="6" t="s">
        <v>29</v>
      </c>
      <c r="L565" s="6" t="s">
        <v>335</v>
      </c>
      <c r="M565" s="9">
        <v>43873</v>
      </c>
      <c r="O565" s="6">
        <v>20</v>
      </c>
      <c r="P565" s="6" t="s">
        <v>4313</v>
      </c>
      <c r="S565" s="6">
        <v>130</v>
      </c>
      <c r="T565" s="6">
        <v>140</v>
      </c>
      <c r="U565" s="10">
        <f t="shared" si="16"/>
        <v>135</v>
      </c>
      <c r="V565" s="30"/>
      <c r="W565" s="8">
        <v>-2.1530777877616889</v>
      </c>
      <c r="X565" s="8">
        <v>-16.353836577415464</v>
      </c>
      <c r="Y565" s="8">
        <f t="shared" si="17"/>
        <v>0.87078572467804705</v>
      </c>
    </row>
    <row r="566" spans="1:26" s="6" customFormat="1" x14ac:dyDescent="0.35">
      <c r="A566" s="6" t="s">
        <v>25</v>
      </c>
      <c r="B566" s="7"/>
      <c r="D566" s="6" t="s">
        <v>1110</v>
      </c>
      <c r="E566" s="6">
        <v>3</v>
      </c>
      <c r="F566" s="6">
        <v>31</v>
      </c>
      <c r="G566" s="6" t="s">
        <v>345</v>
      </c>
      <c r="I566" s="8">
        <v>87.660309999999996</v>
      </c>
      <c r="J566" s="8">
        <v>24.286057569444399</v>
      </c>
      <c r="K566" s="6" t="s">
        <v>29</v>
      </c>
      <c r="L566" s="6" t="s">
        <v>335</v>
      </c>
      <c r="M566" s="9">
        <v>43901</v>
      </c>
      <c r="O566" s="6">
        <v>24</v>
      </c>
      <c r="P566" s="6" t="s">
        <v>4345</v>
      </c>
      <c r="S566" s="6">
        <v>130</v>
      </c>
      <c r="T566" s="6">
        <v>140</v>
      </c>
      <c r="U566" s="10">
        <f t="shared" si="16"/>
        <v>135</v>
      </c>
      <c r="V566" s="6">
        <v>4</v>
      </c>
      <c r="W566" s="8">
        <v>-0.12362726891636845</v>
      </c>
      <c r="X566" s="8">
        <v>1.0824119377136239</v>
      </c>
      <c r="Y566" s="8">
        <f t="shared" si="17"/>
        <v>2.0714300890445716</v>
      </c>
    </row>
    <row r="567" spans="1:26" s="6" customFormat="1" x14ac:dyDescent="0.35">
      <c r="A567" s="6" t="s">
        <v>25</v>
      </c>
      <c r="B567" s="7"/>
      <c r="D567" s="6" t="s">
        <v>1169</v>
      </c>
      <c r="E567" s="6">
        <v>3</v>
      </c>
      <c r="F567" s="6">
        <v>32</v>
      </c>
      <c r="G567" s="6" t="s">
        <v>179</v>
      </c>
      <c r="I567" s="8">
        <v>86.339075833333297</v>
      </c>
      <c r="J567" s="8">
        <v>14.7309175</v>
      </c>
      <c r="K567" s="6" t="s">
        <v>29</v>
      </c>
      <c r="L567" s="6" t="s">
        <v>335</v>
      </c>
      <c r="M567" s="9">
        <v>43910</v>
      </c>
      <c r="O567" s="6">
        <v>25</v>
      </c>
      <c r="P567" s="6" t="s">
        <v>4350</v>
      </c>
      <c r="S567" s="6">
        <v>130</v>
      </c>
      <c r="T567" s="6">
        <v>140</v>
      </c>
      <c r="U567" s="10">
        <f t="shared" si="16"/>
        <v>135</v>
      </c>
      <c r="V567" s="6">
        <v>5.9</v>
      </c>
      <c r="W567" s="8">
        <v>0.29477364788353438</v>
      </c>
      <c r="X567" s="8">
        <v>1.884349364280701</v>
      </c>
      <c r="Y567" s="8">
        <f t="shared" si="17"/>
        <v>-0.47383981878757409</v>
      </c>
    </row>
    <row r="568" spans="1:26" s="6" customFormat="1" x14ac:dyDescent="0.35">
      <c r="A568" s="6" t="s">
        <v>25</v>
      </c>
      <c r="B568" s="7"/>
      <c r="D568" s="6" t="s">
        <v>1189</v>
      </c>
      <c r="E568" s="6">
        <v>3</v>
      </c>
      <c r="F568" s="6">
        <v>32</v>
      </c>
      <c r="G568" s="6" t="s">
        <v>202</v>
      </c>
      <c r="I568" s="8">
        <v>86.257643333333306</v>
      </c>
      <c r="J568" s="8">
        <v>15.261599722222201</v>
      </c>
      <c r="K568" s="6" t="s">
        <v>29</v>
      </c>
      <c r="L568" s="6" t="s">
        <v>335</v>
      </c>
      <c r="M568" s="9">
        <v>43911</v>
      </c>
      <c r="O568" s="6">
        <v>25</v>
      </c>
      <c r="P568" s="6" t="s">
        <v>4351</v>
      </c>
      <c r="S568" s="6">
        <v>130</v>
      </c>
      <c r="T568" s="6">
        <v>140</v>
      </c>
      <c r="U568" s="10">
        <f t="shared" si="16"/>
        <v>135</v>
      </c>
      <c r="V568" s="6">
        <v>4.4000000000000004</v>
      </c>
      <c r="W568" s="8">
        <v>-0.28983929967284205</v>
      </c>
      <c r="X568" s="8">
        <v>-2.669947025775909</v>
      </c>
      <c r="Y568" s="8">
        <f t="shared" si="17"/>
        <v>-0.3512326283931726</v>
      </c>
    </row>
    <row r="569" spans="1:26" s="6" customFormat="1" x14ac:dyDescent="0.35">
      <c r="A569" s="6" t="s">
        <v>25</v>
      </c>
      <c r="B569" s="6" t="s">
        <v>1254</v>
      </c>
      <c r="D569" s="6" t="s">
        <v>1240</v>
      </c>
      <c r="E569" s="6">
        <v>3</v>
      </c>
      <c r="F569" s="6">
        <v>34</v>
      </c>
      <c r="G569" s="6" t="s">
        <v>202</v>
      </c>
      <c r="I569" s="8">
        <v>84.533711805555598</v>
      </c>
      <c r="J569" s="8">
        <v>14.277858402777801</v>
      </c>
      <c r="K569" s="6" t="s">
        <v>29</v>
      </c>
      <c r="L569" s="6" t="s">
        <v>335</v>
      </c>
      <c r="M569" s="9">
        <v>43927</v>
      </c>
      <c r="O569" s="6">
        <v>28</v>
      </c>
      <c r="P569" s="6" t="s">
        <v>4359</v>
      </c>
      <c r="R569" s="6">
        <v>130</v>
      </c>
      <c r="S569" s="6">
        <v>130</v>
      </c>
      <c r="T569" s="6">
        <v>140</v>
      </c>
      <c r="U569" s="10">
        <f t="shared" si="16"/>
        <v>135</v>
      </c>
      <c r="V569" s="6">
        <v>4.3</v>
      </c>
      <c r="W569" s="8">
        <v>0.1615549732461567</v>
      </c>
      <c r="X569" s="8">
        <v>1.3553138236999511</v>
      </c>
      <c r="Y569" s="8">
        <f t="shared" si="17"/>
        <v>6.2874037730697552E-2</v>
      </c>
    </row>
    <row r="570" spans="1:26" s="6" customFormat="1" x14ac:dyDescent="0.35">
      <c r="A570" s="6" t="s">
        <v>25</v>
      </c>
      <c r="B570" s="6" t="s">
        <v>1304</v>
      </c>
      <c r="D570" s="6" t="s">
        <v>1291</v>
      </c>
      <c r="E570" s="6">
        <v>3</v>
      </c>
      <c r="F570" s="6">
        <v>35</v>
      </c>
      <c r="G570" s="6" t="s">
        <v>345</v>
      </c>
      <c r="I570" s="8">
        <v>84.322834374999999</v>
      </c>
      <c r="J570" s="8">
        <v>14.725811041666701</v>
      </c>
      <c r="K570" s="6" t="s">
        <v>29</v>
      </c>
      <c r="L570" s="6" t="s">
        <v>335</v>
      </c>
      <c r="M570" s="9">
        <v>43931</v>
      </c>
      <c r="O570" s="6">
        <v>28</v>
      </c>
      <c r="P570" s="6" t="s">
        <v>4362</v>
      </c>
      <c r="R570" s="6">
        <v>130</v>
      </c>
      <c r="S570" s="6">
        <v>130</v>
      </c>
      <c r="T570" s="6">
        <v>140</v>
      </c>
      <c r="U570" s="10">
        <f t="shared" si="16"/>
        <v>135</v>
      </c>
      <c r="V570" s="6">
        <v>5.0999999999999996</v>
      </c>
      <c r="W570" s="8">
        <v>0.38615735191106837</v>
      </c>
      <c r="X570" s="8">
        <v>2.9610918636322028</v>
      </c>
      <c r="Y570" s="8">
        <f t="shared" si="17"/>
        <v>-0.12816695165634417</v>
      </c>
    </row>
    <row r="571" spans="1:26" s="6" customFormat="1" x14ac:dyDescent="0.35">
      <c r="A571" s="6" t="s">
        <v>25</v>
      </c>
      <c r="B571" s="7" t="s">
        <v>1378</v>
      </c>
      <c r="D571" s="6" t="s">
        <v>1379</v>
      </c>
      <c r="E571" s="6">
        <v>3</v>
      </c>
      <c r="F571" s="6">
        <v>36</v>
      </c>
      <c r="G571" s="6" t="s">
        <v>202</v>
      </c>
      <c r="I571" s="8">
        <v>84.331482986111098</v>
      </c>
      <c r="J571" s="8">
        <v>14.642671805555601</v>
      </c>
      <c r="K571" s="6" t="s">
        <v>29</v>
      </c>
      <c r="L571" s="6" t="s">
        <v>335</v>
      </c>
      <c r="M571" s="9">
        <v>43935</v>
      </c>
      <c r="O571" s="6">
        <v>29</v>
      </c>
      <c r="P571" s="6" t="s">
        <v>4332</v>
      </c>
      <c r="R571" s="10"/>
      <c r="S571" s="10">
        <v>130</v>
      </c>
      <c r="T571" s="10">
        <v>140</v>
      </c>
      <c r="U571" s="10">
        <f t="shared" si="16"/>
        <v>135</v>
      </c>
      <c r="V571" s="11">
        <v>4.5</v>
      </c>
      <c r="W571" s="8">
        <v>0.30936142809867856</v>
      </c>
      <c r="X571" s="8">
        <v>3.3362662703990935</v>
      </c>
      <c r="Y571" s="8">
        <f t="shared" si="17"/>
        <v>0.86137484560966504</v>
      </c>
    </row>
    <row r="572" spans="1:26" s="6" customFormat="1" x14ac:dyDescent="0.35">
      <c r="A572" s="6" t="s">
        <v>25</v>
      </c>
      <c r="B572" s="7" t="s">
        <v>1464</v>
      </c>
      <c r="D572" s="6" t="s">
        <v>1465</v>
      </c>
      <c r="E572" s="6">
        <v>3</v>
      </c>
      <c r="F572" s="6">
        <v>37</v>
      </c>
      <c r="G572" s="6" t="s">
        <v>28</v>
      </c>
      <c r="I572" s="8">
        <v>83.999093333333306</v>
      </c>
      <c r="J572" s="8">
        <v>15.6102103472222</v>
      </c>
      <c r="K572" s="6" t="s">
        <v>29</v>
      </c>
      <c r="L572" s="6" t="s">
        <v>335</v>
      </c>
      <c r="M572" s="9">
        <v>43946</v>
      </c>
      <c r="O572" s="6">
        <v>30</v>
      </c>
      <c r="P572" s="6" t="s">
        <v>4265</v>
      </c>
      <c r="R572" s="10"/>
      <c r="S572" s="10">
        <v>130</v>
      </c>
      <c r="T572" s="10">
        <v>140</v>
      </c>
      <c r="U572" s="10">
        <f t="shared" si="16"/>
        <v>135</v>
      </c>
      <c r="V572" s="11">
        <v>2.7</v>
      </c>
      <c r="W572" s="8">
        <v>-2.4479882717132568</v>
      </c>
      <c r="X572" s="8">
        <v>-18.530100267410276</v>
      </c>
      <c r="Y572" s="8">
        <f t="shared" si="17"/>
        <v>1.0538059062957785</v>
      </c>
    </row>
    <row r="573" spans="1:26" s="6" customFormat="1" x14ac:dyDescent="0.35">
      <c r="A573" s="6" t="s">
        <v>25</v>
      </c>
      <c r="B573" s="7" t="s">
        <v>1508</v>
      </c>
      <c r="D573" s="6" t="s">
        <v>1509</v>
      </c>
      <c r="E573" s="6">
        <v>3</v>
      </c>
      <c r="F573" s="6">
        <v>37</v>
      </c>
      <c r="G573" s="6" t="s">
        <v>28</v>
      </c>
      <c r="I573" s="8">
        <v>83.999093333333306</v>
      </c>
      <c r="J573" s="8">
        <v>15.6102103472222</v>
      </c>
      <c r="K573" s="6" t="s">
        <v>29</v>
      </c>
      <c r="L573" s="6" t="s">
        <v>335</v>
      </c>
      <c r="M573" s="9">
        <v>43946</v>
      </c>
      <c r="O573" s="6">
        <v>30</v>
      </c>
      <c r="P573" s="6" t="s">
        <v>4265</v>
      </c>
      <c r="R573" s="10"/>
      <c r="S573" s="10">
        <v>130</v>
      </c>
      <c r="T573" s="10">
        <v>140</v>
      </c>
      <c r="U573" s="10">
        <f t="shared" si="16"/>
        <v>135</v>
      </c>
      <c r="V573" s="11">
        <v>4.4000000000000004</v>
      </c>
      <c r="W573" s="8">
        <v>0.58103231599330929</v>
      </c>
      <c r="X573" s="8">
        <v>4.4593173389434817</v>
      </c>
      <c r="Y573" s="8">
        <f t="shared" si="17"/>
        <v>-0.18894118900299262</v>
      </c>
    </row>
    <row r="574" spans="1:26" s="6" customFormat="1" x14ac:dyDescent="0.35">
      <c r="A574" s="6" t="s">
        <v>25</v>
      </c>
      <c r="B574" s="7"/>
      <c r="D574" s="6" t="s">
        <v>1556</v>
      </c>
      <c r="E574" s="6">
        <v>3</v>
      </c>
      <c r="F574" s="6">
        <v>38</v>
      </c>
      <c r="G574" s="6" t="s">
        <v>202</v>
      </c>
      <c r="I574" s="8">
        <v>83.938997847222197</v>
      </c>
      <c r="J574" s="8">
        <v>15.6730686111111</v>
      </c>
      <c r="K574" s="6" t="s">
        <v>29</v>
      </c>
      <c r="L574" s="6" t="s">
        <v>335</v>
      </c>
      <c r="M574" s="9">
        <v>43948</v>
      </c>
      <c r="O574" s="6">
        <v>31</v>
      </c>
      <c r="P574" s="6" t="s">
        <v>4251</v>
      </c>
      <c r="S574" s="6">
        <v>130</v>
      </c>
      <c r="T574" s="6">
        <v>140</v>
      </c>
      <c r="U574" s="10">
        <f t="shared" si="16"/>
        <v>135</v>
      </c>
      <c r="V574" s="6">
        <v>4.3</v>
      </c>
      <c r="W574" s="8">
        <v>0.54904773752689329</v>
      </c>
      <c r="X574" s="8">
        <v>3.4586581626892086</v>
      </c>
      <c r="Y574" s="8">
        <f t="shared" si="17"/>
        <v>-0.93372373752593774</v>
      </c>
    </row>
    <row r="575" spans="1:26" s="6" customFormat="1" x14ac:dyDescent="0.35">
      <c r="A575" s="6" t="s">
        <v>25</v>
      </c>
      <c r="B575" s="6" t="s">
        <v>1633</v>
      </c>
      <c r="D575" s="6" t="s">
        <v>1619</v>
      </c>
      <c r="E575" s="6">
        <v>3</v>
      </c>
      <c r="F575" s="6">
        <v>39</v>
      </c>
      <c r="G575" s="6" t="s">
        <v>202</v>
      </c>
      <c r="I575" s="8">
        <v>83.907985999999994</v>
      </c>
      <c r="J575" s="8">
        <v>18.352126999999999</v>
      </c>
      <c r="K575" s="6" t="s">
        <v>29</v>
      </c>
      <c r="L575" s="6" t="s">
        <v>335</v>
      </c>
      <c r="M575" s="9">
        <v>43955</v>
      </c>
      <c r="O575" s="6">
        <v>32</v>
      </c>
      <c r="P575" s="6" t="s">
        <v>4374</v>
      </c>
      <c r="R575" s="6">
        <v>130</v>
      </c>
      <c r="S575" s="6">
        <v>130</v>
      </c>
      <c r="T575" s="6">
        <v>140</v>
      </c>
      <c r="U575" s="10">
        <f t="shared" si="16"/>
        <v>135</v>
      </c>
      <c r="V575" s="6">
        <v>4.7</v>
      </c>
      <c r="W575" s="8">
        <v>0.4825319237041476</v>
      </c>
      <c r="X575" s="8">
        <v>3.7670308670997619</v>
      </c>
      <c r="Y575" s="8">
        <f t="shared" si="17"/>
        <v>-9.3224522533418952E-2</v>
      </c>
    </row>
    <row r="576" spans="1:26" s="6" customFormat="1" x14ac:dyDescent="0.35">
      <c r="A576" s="6" t="s">
        <v>25</v>
      </c>
      <c r="B576" s="6" t="s">
        <v>1785</v>
      </c>
      <c r="D576" s="6" t="s">
        <v>1786</v>
      </c>
      <c r="E576" s="6">
        <v>4</v>
      </c>
      <c r="F576" s="6">
        <v>44</v>
      </c>
      <c r="I576" s="8">
        <v>81.975306180555606</v>
      </c>
      <c r="J576" s="8">
        <v>9.2425022222222193</v>
      </c>
      <c r="K576" s="6" t="s">
        <v>29</v>
      </c>
      <c r="L576" s="29" t="s">
        <v>335</v>
      </c>
      <c r="M576" s="9">
        <v>44004</v>
      </c>
      <c r="O576" s="6">
        <v>39</v>
      </c>
      <c r="P576" s="6" t="s">
        <v>4405</v>
      </c>
      <c r="S576" s="6">
        <v>130</v>
      </c>
      <c r="T576" s="6">
        <v>140</v>
      </c>
      <c r="U576" s="10">
        <f t="shared" si="16"/>
        <v>135</v>
      </c>
      <c r="V576" s="15">
        <v>3.3</v>
      </c>
      <c r="W576" s="8">
        <v>0.4923219003200533</v>
      </c>
      <c r="X576" s="8">
        <v>3.2219527987241738</v>
      </c>
      <c r="Y576" s="8">
        <f t="shared" si="17"/>
        <v>-0.71662240383625253</v>
      </c>
      <c r="Z576" s="6" t="s">
        <v>1760</v>
      </c>
    </row>
    <row r="577" spans="1:26" s="6" customFormat="1" x14ac:dyDescent="0.35">
      <c r="A577" s="6" t="s">
        <v>25</v>
      </c>
      <c r="B577" s="6" t="s">
        <v>1942</v>
      </c>
      <c r="D577" s="6" t="s">
        <v>1943</v>
      </c>
      <c r="E577" s="6">
        <v>4</v>
      </c>
      <c r="F577" s="6">
        <v>46</v>
      </c>
      <c r="I577" s="8">
        <v>81.685643263888906</v>
      </c>
      <c r="J577" s="8">
        <v>5.3733415277777796</v>
      </c>
      <c r="K577" s="6" t="s">
        <v>29</v>
      </c>
      <c r="L577" s="29" t="s">
        <v>335</v>
      </c>
      <c r="M577" s="9">
        <v>44018</v>
      </c>
      <c r="O577" s="6">
        <v>41</v>
      </c>
      <c r="P577" s="6" t="s">
        <v>4413</v>
      </c>
      <c r="S577" s="6">
        <v>130</v>
      </c>
      <c r="T577" s="6">
        <v>140</v>
      </c>
      <c r="U577" s="10">
        <f t="shared" si="16"/>
        <v>135</v>
      </c>
      <c r="V577" s="15">
        <v>2.4</v>
      </c>
      <c r="W577" s="8">
        <v>0.26374779487252192</v>
      </c>
      <c r="X577" s="8">
        <v>0.81893197667598716</v>
      </c>
      <c r="Y577" s="8">
        <f t="shared" si="17"/>
        <v>-1.2910503823041881</v>
      </c>
      <c r="Z577" s="6" t="s">
        <v>1760</v>
      </c>
    </row>
    <row r="578" spans="1:26" s="6" customFormat="1" x14ac:dyDescent="0.35">
      <c r="A578" s="6" t="s">
        <v>25</v>
      </c>
      <c r="B578" s="6" t="s">
        <v>2335</v>
      </c>
      <c r="D578" s="6" t="s">
        <v>2336</v>
      </c>
      <c r="E578" s="6">
        <v>5</v>
      </c>
      <c r="F578" s="6">
        <v>59</v>
      </c>
      <c r="I578" s="8">
        <v>88.299658402777794</v>
      </c>
      <c r="J578" s="8">
        <v>114.11509069444401</v>
      </c>
      <c r="K578" s="6" t="s">
        <v>29</v>
      </c>
      <c r="L578" s="29" t="s">
        <v>335</v>
      </c>
      <c r="M578" s="9">
        <v>44074</v>
      </c>
      <c r="O578" s="6">
        <v>50</v>
      </c>
      <c r="P578" s="6" t="s">
        <v>4396</v>
      </c>
      <c r="S578" s="6">
        <v>130</v>
      </c>
      <c r="T578" s="6">
        <v>140</v>
      </c>
      <c r="U578" s="10">
        <f t="shared" ref="U578:U632" si="18">AVERAGE(S578:T578)</f>
        <v>135</v>
      </c>
      <c r="V578" s="15">
        <v>1.7</v>
      </c>
      <c r="W578" s="8">
        <v>0.43570907397270187</v>
      </c>
      <c r="X578" s="8">
        <v>3.3952688784599308</v>
      </c>
      <c r="Y578" s="8">
        <f t="shared" ref="Y578:Y632" si="19">X578-(8*W578)</f>
        <v>-9.0403713321684176E-2</v>
      </c>
      <c r="Z578" s="6" t="s">
        <v>1760</v>
      </c>
    </row>
    <row r="579" spans="1:26" s="6" customFormat="1" x14ac:dyDescent="0.35">
      <c r="A579" s="6" t="s">
        <v>25</v>
      </c>
      <c r="B579" s="6" t="s">
        <v>176</v>
      </c>
      <c r="C579" s="6">
        <v>510166</v>
      </c>
      <c r="D579" s="6" t="s">
        <v>152</v>
      </c>
      <c r="E579" s="6">
        <v>1</v>
      </c>
      <c r="F579" s="6">
        <v>3</v>
      </c>
      <c r="G579" s="6" t="s">
        <v>153</v>
      </c>
      <c r="I579" s="8">
        <v>85.348898888888897</v>
      </c>
      <c r="J579" s="8">
        <v>129.88336361111101</v>
      </c>
      <c r="K579" s="6" t="s">
        <v>29</v>
      </c>
      <c r="L579" s="6" t="s">
        <v>335</v>
      </c>
      <c r="M579" s="9">
        <v>43761</v>
      </c>
      <c r="O579" s="6">
        <v>4</v>
      </c>
      <c r="P579" s="6" t="s">
        <v>4248</v>
      </c>
      <c r="R579" s="6" t="s">
        <v>177</v>
      </c>
      <c r="S579" s="6">
        <v>130</v>
      </c>
      <c r="T579" s="6">
        <v>141</v>
      </c>
      <c r="U579" s="10">
        <f t="shared" si="18"/>
        <v>135.5</v>
      </c>
      <c r="V579" s="6">
        <v>3.9</v>
      </c>
      <c r="W579" s="8">
        <v>0.66707439486980469</v>
      </c>
      <c r="X579" s="8">
        <v>5.7219582624435423</v>
      </c>
      <c r="Y579" s="8">
        <f t="shared" si="19"/>
        <v>0.38536310348510483</v>
      </c>
    </row>
    <row r="580" spans="1:26" s="6" customFormat="1" x14ac:dyDescent="0.35">
      <c r="A580" s="6" t="s">
        <v>25</v>
      </c>
      <c r="B580" s="7" t="s">
        <v>1749</v>
      </c>
      <c r="D580" s="6" t="s">
        <v>1750</v>
      </c>
      <c r="E580" s="6">
        <v>4</v>
      </c>
      <c r="F580" s="6">
        <v>44</v>
      </c>
      <c r="G580" s="6" t="s">
        <v>335</v>
      </c>
      <c r="I580" s="8">
        <v>81.975306180555606</v>
      </c>
      <c r="J580" s="8">
        <v>9.2425022222222193</v>
      </c>
      <c r="K580" s="6" t="s">
        <v>29</v>
      </c>
      <c r="L580" s="6" t="s">
        <v>335</v>
      </c>
      <c r="M580" s="9">
        <v>44004</v>
      </c>
      <c r="O580" s="6">
        <v>39</v>
      </c>
      <c r="P580" s="6" t="s">
        <v>4405</v>
      </c>
      <c r="R580" s="10" t="s">
        <v>1751</v>
      </c>
      <c r="S580" s="10">
        <v>135</v>
      </c>
      <c r="T580" s="10">
        <v>140</v>
      </c>
      <c r="U580" s="10">
        <f t="shared" si="18"/>
        <v>137.5</v>
      </c>
      <c r="V580" s="11"/>
      <c r="W580" s="8">
        <v>0.41205237572193143</v>
      </c>
      <c r="X580" s="8">
        <v>1.6711515996456145</v>
      </c>
      <c r="Y580" s="8">
        <f t="shared" si="19"/>
        <v>-1.6252674061298369</v>
      </c>
    </row>
    <row r="581" spans="1:26" s="6" customFormat="1" x14ac:dyDescent="0.35">
      <c r="A581" s="6" t="s">
        <v>25</v>
      </c>
      <c r="B581" s="6" t="s">
        <v>1974</v>
      </c>
      <c r="D581" s="6" t="s">
        <v>1975</v>
      </c>
      <c r="E581" s="6">
        <v>4</v>
      </c>
      <c r="F581" s="6">
        <v>47</v>
      </c>
      <c r="I581" s="8">
        <v>81.417819374999993</v>
      </c>
      <c r="J581" s="8">
        <v>0.28587430555555599</v>
      </c>
      <c r="K581" s="6" t="s">
        <v>29</v>
      </c>
      <c r="L581" s="29" t="s">
        <v>335</v>
      </c>
      <c r="M581" s="9">
        <v>44025</v>
      </c>
      <c r="O581" s="6">
        <v>42</v>
      </c>
      <c r="P581" s="6" t="s">
        <v>4403</v>
      </c>
      <c r="S581" s="6">
        <v>132</v>
      </c>
      <c r="T581" s="6">
        <v>145</v>
      </c>
      <c r="U581" s="10">
        <f t="shared" si="18"/>
        <v>138.5</v>
      </c>
      <c r="V581" s="15">
        <v>1.4</v>
      </c>
      <c r="W581" s="8">
        <v>-6.7550807441711438</v>
      </c>
      <c r="X581" s="8">
        <v>-51.840629980087279</v>
      </c>
      <c r="Y581" s="8">
        <f t="shared" si="19"/>
        <v>2.2000159732818716</v>
      </c>
      <c r="Z581" s="6" t="s">
        <v>1760</v>
      </c>
    </row>
    <row r="582" spans="1:26" s="6" customFormat="1" x14ac:dyDescent="0.35">
      <c r="A582" s="6" t="s">
        <v>25</v>
      </c>
      <c r="B582" s="6" t="s">
        <v>2193</v>
      </c>
      <c r="D582" s="6" t="s">
        <v>2194</v>
      </c>
      <c r="E582" s="6">
        <v>4</v>
      </c>
      <c r="F582" s="6">
        <v>48</v>
      </c>
      <c r="I582" s="8">
        <v>80.754295347222197</v>
      </c>
      <c r="J582" s="8">
        <v>-0.488818958333333</v>
      </c>
      <c r="K582" s="6" t="s">
        <v>29</v>
      </c>
      <c r="L582" s="29" t="s">
        <v>335</v>
      </c>
      <c r="M582" s="9">
        <v>44032</v>
      </c>
      <c r="O582" s="6">
        <v>43</v>
      </c>
      <c r="P582" s="6" t="s">
        <v>4403</v>
      </c>
      <c r="S582" s="6">
        <v>136</v>
      </c>
      <c r="T582" s="6">
        <v>145</v>
      </c>
      <c r="U582" s="10">
        <f t="shared" si="18"/>
        <v>140.5</v>
      </c>
      <c r="V582" s="15">
        <v>1.3</v>
      </c>
      <c r="W582" s="8">
        <v>-5.8394105086326604</v>
      </c>
      <c r="X582" s="8">
        <v>-44.813117614746091</v>
      </c>
      <c r="Y582" s="8">
        <f t="shared" si="19"/>
        <v>1.9021664543151928</v>
      </c>
      <c r="Z582" s="6" t="s">
        <v>1760</v>
      </c>
    </row>
    <row r="583" spans="1:26" s="6" customFormat="1" x14ac:dyDescent="0.35">
      <c r="A583" s="6" t="s">
        <v>25</v>
      </c>
      <c r="B583" s="7" t="s">
        <v>1743</v>
      </c>
      <c r="D583" s="6" t="s">
        <v>1744</v>
      </c>
      <c r="E583" s="6">
        <v>4</v>
      </c>
      <c r="F583" s="6">
        <v>44</v>
      </c>
      <c r="G583" s="6" t="s">
        <v>335</v>
      </c>
      <c r="I583" s="8">
        <v>81.975306180555606</v>
      </c>
      <c r="J583" s="8">
        <v>9.2425022222222193</v>
      </c>
      <c r="K583" s="6" t="s">
        <v>29</v>
      </c>
      <c r="L583" s="6" t="s">
        <v>335</v>
      </c>
      <c r="M583" s="9">
        <v>44004</v>
      </c>
      <c r="O583" s="6">
        <v>39</v>
      </c>
      <c r="P583" s="6" t="s">
        <v>4405</v>
      </c>
      <c r="R583" s="10" t="s">
        <v>1745</v>
      </c>
      <c r="S583" s="10">
        <v>140</v>
      </c>
      <c r="T583" s="10">
        <v>145</v>
      </c>
      <c r="U583" s="10">
        <f t="shared" si="18"/>
        <v>142.5</v>
      </c>
      <c r="V583" s="11"/>
      <c r="W583" s="8">
        <v>0.43331301369071029</v>
      </c>
      <c r="X583" s="8">
        <v>3.3897416017651558</v>
      </c>
      <c r="Y583" s="8">
        <f t="shared" si="19"/>
        <v>-7.676250776052651E-2</v>
      </c>
    </row>
    <row r="584" spans="1:26" s="6" customFormat="1" x14ac:dyDescent="0.35">
      <c r="A584" s="6" t="s">
        <v>25</v>
      </c>
      <c r="B584" s="7" t="s">
        <v>474</v>
      </c>
      <c r="C584" s="6">
        <v>510639</v>
      </c>
      <c r="D584" s="6" t="s">
        <v>475</v>
      </c>
      <c r="E584" s="6">
        <v>1</v>
      </c>
      <c r="F584" s="6">
        <v>7</v>
      </c>
      <c r="G584" s="6" t="s">
        <v>179</v>
      </c>
      <c r="I584" s="8">
        <v>86.191348333333295</v>
      </c>
      <c r="J584" s="8">
        <v>118.623774583333</v>
      </c>
      <c r="K584" s="6" t="s">
        <v>29</v>
      </c>
      <c r="L584" s="6" t="s">
        <v>335</v>
      </c>
      <c r="M584" s="9">
        <v>43784</v>
      </c>
      <c r="O584" s="6">
        <v>7</v>
      </c>
      <c r="P584" s="6" t="s">
        <v>4260</v>
      </c>
      <c r="Q584" s="8">
        <v>-1.95</v>
      </c>
      <c r="R584" s="10" t="s">
        <v>476</v>
      </c>
      <c r="S584" s="10">
        <v>140</v>
      </c>
      <c r="T584" s="10">
        <v>150</v>
      </c>
      <c r="U584" s="10">
        <f t="shared" si="18"/>
        <v>145</v>
      </c>
      <c r="V584" s="6">
        <v>4.0999999999999996</v>
      </c>
      <c r="W584" s="8">
        <v>-3.3308886101226811</v>
      </c>
      <c r="X584" s="8">
        <v>-25.864500485519407</v>
      </c>
      <c r="Y584" s="8">
        <f t="shared" si="19"/>
        <v>0.78260839546204153</v>
      </c>
    </row>
    <row r="585" spans="1:26" s="6" customFormat="1" x14ac:dyDescent="0.35">
      <c r="A585" s="6" t="s">
        <v>25</v>
      </c>
      <c r="B585" s="7"/>
      <c r="D585" s="6" t="s">
        <v>1046</v>
      </c>
      <c r="E585" s="6">
        <v>2</v>
      </c>
      <c r="F585" s="6">
        <v>24</v>
      </c>
      <c r="G585" s="6" t="s">
        <v>57</v>
      </c>
      <c r="I585" s="8">
        <v>87.882876180555598</v>
      </c>
      <c r="J585" s="8">
        <v>87.424340833333304</v>
      </c>
      <c r="K585" s="6" t="s">
        <v>29</v>
      </c>
      <c r="L585" s="6" t="s">
        <v>335</v>
      </c>
      <c r="M585" s="9">
        <v>43873</v>
      </c>
      <c r="O585" s="6">
        <v>20</v>
      </c>
      <c r="P585" s="6" t="s">
        <v>4313</v>
      </c>
      <c r="S585" s="6">
        <v>140</v>
      </c>
      <c r="T585" s="6">
        <v>150</v>
      </c>
      <c r="U585" s="10">
        <f t="shared" si="18"/>
        <v>145</v>
      </c>
      <c r="V585" s="30"/>
      <c r="W585" s="8">
        <v>-1.4686916290569303</v>
      </c>
      <c r="X585" s="8">
        <v>-11.322493010520935</v>
      </c>
      <c r="Y585" s="8">
        <f t="shared" si="19"/>
        <v>0.42704002193450741</v>
      </c>
    </row>
    <row r="586" spans="1:26" s="6" customFormat="1" x14ac:dyDescent="0.35">
      <c r="A586" s="6" t="s">
        <v>25</v>
      </c>
      <c r="B586" s="7"/>
      <c r="D586" s="6" t="s">
        <v>1190</v>
      </c>
      <c r="E586" s="6">
        <v>3</v>
      </c>
      <c r="F586" s="6">
        <v>32</v>
      </c>
      <c r="G586" s="6" t="s">
        <v>202</v>
      </c>
      <c r="I586" s="8">
        <v>86.257643333333306</v>
      </c>
      <c r="J586" s="8">
        <v>15.261599722222201</v>
      </c>
      <c r="K586" s="6" t="s">
        <v>29</v>
      </c>
      <c r="L586" s="6" t="s">
        <v>335</v>
      </c>
      <c r="M586" s="9">
        <v>43911</v>
      </c>
      <c r="O586" s="6">
        <v>25</v>
      </c>
      <c r="P586" s="6" t="s">
        <v>4351</v>
      </c>
      <c r="S586" s="6">
        <v>140</v>
      </c>
      <c r="T586" s="6">
        <v>150</v>
      </c>
      <c r="U586" s="10">
        <f t="shared" si="18"/>
        <v>145</v>
      </c>
      <c r="V586" s="6">
        <v>4</v>
      </c>
      <c r="W586" s="8">
        <v>-9.3278015160095373E-2</v>
      </c>
      <c r="X586" s="8">
        <v>-0.62470502853393461</v>
      </c>
      <c r="Y586" s="8">
        <f t="shared" si="19"/>
        <v>0.12151909274682837</v>
      </c>
    </row>
    <row r="587" spans="1:26" s="6" customFormat="1" x14ac:dyDescent="0.35">
      <c r="A587" s="6" t="s">
        <v>25</v>
      </c>
      <c r="B587" s="6" t="s">
        <v>1255</v>
      </c>
      <c r="D587" s="6" t="s">
        <v>1240</v>
      </c>
      <c r="E587" s="6">
        <v>3</v>
      </c>
      <c r="F587" s="6">
        <v>34</v>
      </c>
      <c r="G587" s="6" t="s">
        <v>202</v>
      </c>
      <c r="I587" s="8">
        <v>84.533711805555598</v>
      </c>
      <c r="J587" s="8">
        <v>14.277858402777801</v>
      </c>
      <c r="K587" s="6" t="s">
        <v>29</v>
      </c>
      <c r="L587" s="6" t="s">
        <v>335</v>
      </c>
      <c r="M587" s="9">
        <v>43927</v>
      </c>
      <c r="O587" s="6">
        <v>28</v>
      </c>
      <c r="P587" s="6" t="s">
        <v>4359</v>
      </c>
      <c r="R587" s="6">
        <v>140</v>
      </c>
      <c r="S587" s="6">
        <v>140</v>
      </c>
      <c r="T587" s="6">
        <v>150</v>
      </c>
      <c r="U587" s="10">
        <f t="shared" si="18"/>
        <v>145</v>
      </c>
      <c r="V587" s="6">
        <v>4.5999999999999996</v>
      </c>
      <c r="W587" s="8">
        <v>0.4264890546739098</v>
      </c>
      <c r="X587" s="8">
        <v>3.934829404830932</v>
      </c>
      <c r="Y587" s="8">
        <f t="shared" si="19"/>
        <v>0.52291696743965366</v>
      </c>
    </row>
    <row r="588" spans="1:26" s="6" customFormat="1" x14ac:dyDescent="0.35">
      <c r="A588" s="6" t="s">
        <v>25</v>
      </c>
      <c r="B588" s="6" t="s">
        <v>1305</v>
      </c>
      <c r="D588" s="6" t="s">
        <v>1291</v>
      </c>
      <c r="E588" s="6">
        <v>3</v>
      </c>
      <c r="F588" s="6">
        <v>35</v>
      </c>
      <c r="G588" s="6" t="s">
        <v>345</v>
      </c>
      <c r="I588" s="8">
        <v>84.322834374999999</v>
      </c>
      <c r="J588" s="8">
        <v>14.725811041666701</v>
      </c>
      <c r="K588" s="6" t="s">
        <v>29</v>
      </c>
      <c r="L588" s="6" t="s">
        <v>335</v>
      </c>
      <c r="M588" s="9">
        <v>43931</v>
      </c>
      <c r="O588" s="6">
        <v>28</v>
      </c>
      <c r="P588" s="6" t="s">
        <v>4362</v>
      </c>
      <c r="R588" s="6">
        <v>140</v>
      </c>
      <c r="S588" s="6">
        <v>140</v>
      </c>
      <c r="T588" s="6">
        <v>150</v>
      </c>
      <c r="U588" s="10">
        <f t="shared" si="18"/>
        <v>145</v>
      </c>
      <c r="V588" s="6">
        <v>5.4</v>
      </c>
      <c r="W588" s="8">
        <v>0.50790722984075587</v>
      </c>
      <c r="X588" s="8">
        <v>4.0992637577056872</v>
      </c>
      <c r="Y588" s="8">
        <f t="shared" si="19"/>
        <v>3.6005918979640228E-2</v>
      </c>
    </row>
    <row r="589" spans="1:26" s="6" customFormat="1" x14ac:dyDescent="0.35">
      <c r="A589" s="6" t="s">
        <v>25</v>
      </c>
      <c r="B589" s="7" t="s">
        <v>1380</v>
      </c>
      <c r="D589" s="6" t="s">
        <v>1381</v>
      </c>
      <c r="E589" s="6">
        <v>3</v>
      </c>
      <c r="F589" s="6">
        <v>36</v>
      </c>
      <c r="G589" s="6" t="s">
        <v>202</v>
      </c>
      <c r="I589" s="8">
        <v>84.331482986111098</v>
      </c>
      <c r="J589" s="8">
        <v>14.642671805555601</v>
      </c>
      <c r="K589" s="6" t="s">
        <v>29</v>
      </c>
      <c r="L589" s="6" t="s">
        <v>335</v>
      </c>
      <c r="M589" s="9">
        <v>43935</v>
      </c>
      <c r="O589" s="6">
        <v>29</v>
      </c>
      <c r="P589" s="6" t="s">
        <v>4332</v>
      </c>
      <c r="R589" s="10"/>
      <c r="S589" s="10">
        <v>140</v>
      </c>
      <c r="T589" s="10">
        <v>150</v>
      </c>
      <c r="U589" s="10">
        <f t="shared" si="18"/>
        <v>145</v>
      </c>
      <c r="V589" s="11">
        <v>6.6</v>
      </c>
      <c r="W589" s="8">
        <v>0.29989036567688004</v>
      </c>
      <c r="X589" s="8">
        <v>2.5609793573617932</v>
      </c>
      <c r="Y589" s="8">
        <f t="shared" si="19"/>
        <v>0.16185643194675281</v>
      </c>
    </row>
    <row r="590" spans="1:26" s="6" customFormat="1" x14ac:dyDescent="0.35">
      <c r="A590" s="6" t="s">
        <v>25</v>
      </c>
      <c r="B590" s="7" t="s">
        <v>1466</v>
      </c>
      <c r="D590" s="6" t="s">
        <v>1467</v>
      </c>
      <c r="E590" s="6">
        <v>3</v>
      </c>
      <c r="F590" s="6">
        <v>37</v>
      </c>
      <c r="G590" s="6" t="s">
        <v>28</v>
      </c>
      <c r="I590" s="8">
        <v>83.999093333333306</v>
      </c>
      <c r="J590" s="8">
        <v>15.6102103472222</v>
      </c>
      <c r="K590" s="6" t="s">
        <v>29</v>
      </c>
      <c r="L590" s="6" t="s">
        <v>335</v>
      </c>
      <c r="M590" s="9">
        <v>43946</v>
      </c>
      <c r="O590" s="6">
        <v>30</v>
      </c>
      <c r="P590" s="6" t="s">
        <v>4265</v>
      </c>
      <c r="R590" s="10"/>
      <c r="S590" s="10">
        <v>140</v>
      </c>
      <c r="T590" s="10">
        <v>150</v>
      </c>
      <c r="U590" s="10">
        <f t="shared" si="18"/>
        <v>145</v>
      </c>
      <c r="V590" s="11">
        <v>3.6</v>
      </c>
      <c r="W590" s="8">
        <v>-1.3956776857376101</v>
      </c>
      <c r="X590" s="8">
        <v>-10.71567677116394</v>
      </c>
      <c r="Y590" s="8">
        <f t="shared" si="19"/>
        <v>0.44974471473694067</v>
      </c>
    </row>
    <row r="591" spans="1:26" s="6" customFormat="1" x14ac:dyDescent="0.35">
      <c r="A591" s="6" t="s">
        <v>25</v>
      </c>
      <c r="B591" s="7"/>
      <c r="D591" s="6" t="s">
        <v>1557</v>
      </c>
      <c r="E591" s="6">
        <v>3</v>
      </c>
      <c r="F591" s="6">
        <v>38</v>
      </c>
      <c r="G591" s="6" t="s">
        <v>202</v>
      </c>
      <c r="I591" s="8">
        <v>83.938997847222197</v>
      </c>
      <c r="J591" s="8">
        <v>15.6730686111111</v>
      </c>
      <c r="K591" s="6" t="s">
        <v>29</v>
      </c>
      <c r="L591" s="6" t="s">
        <v>335</v>
      </c>
      <c r="M591" s="9">
        <v>43948</v>
      </c>
      <c r="O591" s="6">
        <v>31</v>
      </c>
      <c r="P591" s="6" t="s">
        <v>4251</v>
      </c>
      <c r="S591" s="6">
        <v>140</v>
      </c>
      <c r="T591" s="6">
        <v>150</v>
      </c>
      <c r="U591" s="10">
        <f t="shared" si="18"/>
        <v>145</v>
      </c>
      <c r="V591" s="6">
        <v>4.9000000000000004</v>
      </c>
      <c r="W591" s="8">
        <v>0.7935923120498658</v>
      </c>
      <c r="X591" s="8">
        <v>7.2024998359680179</v>
      </c>
      <c r="Y591" s="8">
        <f t="shared" si="19"/>
        <v>0.8537613395690915</v>
      </c>
    </row>
    <row r="592" spans="1:26" s="6" customFormat="1" x14ac:dyDescent="0.35">
      <c r="A592" s="6" t="s">
        <v>25</v>
      </c>
      <c r="B592" s="6" t="s">
        <v>1634</v>
      </c>
      <c r="D592" s="6" t="s">
        <v>1619</v>
      </c>
      <c r="E592" s="6">
        <v>3</v>
      </c>
      <c r="F592" s="6">
        <v>39</v>
      </c>
      <c r="G592" s="6" t="s">
        <v>202</v>
      </c>
      <c r="I592" s="8">
        <v>83.907985999999994</v>
      </c>
      <c r="J592" s="8">
        <v>18.352126999999999</v>
      </c>
      <c r="K592" s="6" t="s">
        <v>29</v>
      </c>
      <c r="L592" s="6" t="s">
        <v>335</v>
      </c>
      <c r="M592" s="9">
        <v>43955</v>
      </c>
      <c r="O592" s="6">
        <v>32</v>
      </c>
      <c r="P592" s="6" t="s">
        <v>4374</v>
      </c>
      <c r="R592" s="6">
        <v>140</v>
      </c>
      <c r="S592" s="6">
        <v>140</v>
      </c>
      <c r="T592" s="6">
        <v>150</v>
      </c>
      <c r="U592" s="10">
        <f t="shared" si="18"/>
        <v>145</v>
      </c>
      <c r="V592" s="6">
        <v>4.5999999999999996</v>
      </c>
      <c r="W592" s="8">
        <v>0.85731770365714977</v>
      </c>
      <c r="X592" s="8">
        <v>6.4096787767410284</v>
      </c>
      <c r="Y592" s="8">
        <f t="shared" si="19"/>
        <v>-0.44886285251616975</v>
      </c>
    </row>
    <row r="593" spans="1:26" s="6" customFormat="1" x14ac:dyDescent="0.35">
      <c r="A593" s="6" t="s">
        <v>25</v>
      </c>
      <c r="B593" s="6" t="s">
        <v>1787</v>
      </c>
      <c r="D593" s="6" t="s">
        <v>1788</v>
      </c>
      <c r="E593" s="6">
        <v>4</v>
      </c>
      <c r="F593" s="6">
        <v>44</v>
      </c>
      <c r="I593" s="8">
        <v>81.975306180555606</v>
      </c>
      <c r="J593" s="8">
        <v>9.2425022222222193</v>
      </c>
      <c r="K593" s="6" t="s">
        <v>29</v>
      </c>
      <c r="L593" s="29" t="s">
        <v>335</v>
      </c>
      <c r="M593" s="9">
        <v>44004</v>
      </c>
      <c r="O593" s="6">
        <v>39</v>
      </c>
      <c r="P593" s="6" t="s">
        <v>4405</v>
      </c>
      <c r="S593" s="6">
        <v>140</v>
      </c>
      <c r="T593" s="6">
        <v>150</v>
      </c>
      <c r="U593" s="10">
        <f t="shared" si="18"/>
        <v>145</v>
      </c>
      <c r="V593" s="15">
        <v>3.6</v>
      </c>
      <c r="W593" s="8">
        <v>0.85418737397789946</v>
      </c>
      <c r="X593" s="8">
        <v>6.637516628742218</v>
      </c>
      <c r="Y593" s="8">
        <f t="shared" si="19"/>
        <v>-0.19598236308097761</v>
      </c>
      <c r="Z593" s="6" t="s">
        <v>1760</v>
      </c>
    </row>
    <row r="594" spans="1:26" s="6" customFormat="1" x14ac:dyDescent="0.35">
      <c r="A594" s="6" t="s">
        <v>25</v>
      </c>
      <c r="B594" s="6" t="s">
        <v>1944</v>
      </c>
      <c r="D594" s="6" t="s">
        <v>1945</v>
      </c>
      <c r="E594" s="6">
        <v>4</v>
      </c>
      <c r="F594" s="6">
        <v>46</v>
      </c>
      <c r="I594" s="8">
        <v>81.685643263888906</v>
      </c>
      <c r="J594" s="8">
        <v>5.3733415277777796</v>
      </c>
      <c r="K594" s="6" t="s">
        <v>29</v>
      </c>
      <c r="L594" s="29" t="s">
        <v>335</v>
      </c>
      <c r="M594" s="9">
        <v>44018</v>
      </c>
      <c r="O594" s="6">
        <v>41</v>
      </c>
      <c r="P594" s="6" t="s">
        <v>4413</v>
      </c>
      <c r="S594" s="6">
        <v>140</v>
      </c>
      <c r="T594" s="6">
        <v>150</v>
      </c>
      <c r="U594" s="10">
        <f t="shared" si="18"/>
        <v>145</v>
      </c>
      <c r="V594" s="15">
        <v>2.2999999999999998</v>
      </c>
      <c r="W594" s="8">
        <v>-0.60184261372089398</v>
      </c>
      <c r="X594" s="8">
        <v>-5.390049878120422</v>
      </c>
      <c r="Y594" s="8">
        <f t="shared" si="19"/>
        <v>-0.57530896835327017</v>
      </c>
      <c r="Z594" s="6" t="s">
        <v>1760</v>
      </c>
    </row>
    <row r="595" spans="1:26" s="6" customFormat="1" x14ac:dyDescent="0.35">
      <c r="A595" s="6" t="s">
        <v>25</v>
      </c>
      <c r="B595" s="6" t="s">
        <v>2337</v>
      </c>
      <c r="D595" s="6" t="s">
        <v>2338</v>
      </c>
      <c r="E595" s="6">
        <v>5</v>
      </c>
      <c r="F595" s="6">
        <v>59</v>
      </c>
      <c r="I595" s="8">
        <v>88.299658402777794</v>
      </c>
      <c r="J595" s="8">
        <v>114.11509069444401</v>
      </c>
      <c r="K595" s="6" t="s">
        <v>29</v>
      </c>
      <c r="L595" s="29" t="s">
        <v>335</v>
      </c>
      <c r="M595" s="9">
        <v>44074</v>
      </c>
      <c r="O595" s="6">
        <v>50</v>
      </c>
      <c r="P595" s="6" t="s">
        <v>4396</v>
      </c>
      <c r="S595" s="6">
        <v>140</v>
      </c>
      <c r="T595" s="6">
        <v>150</v>
      </c>
      <c r="U595" s="10">
        <f t="shared" si="18"/>
        <v>145</v>
      </c>
      <c r="V595" s="15">
        <v>1.9</v>
      </c>
      <c r="W595" s="8">
        <v>0.17208584551215206</v>
      </c>
      <c r="X595" s="8">
        <v>2.286063248634338</v>
      </c>
      <c r="Y595" s="8">
        <f t="shared" si="19"/>
        <v>0.9093764845371215</v>
      </c>
      <c r="Z595" s="6" t="s">
        <v>1760</v>
      </c>
    </row>
    <row r="596" spans="1:26" s="6" customFormat="1" x14ac:dyDescent="0.35">
      <c r="A596" s="6" t="s">
        <v>25</v>
      </c>
      <c r="B596" s="7"/>
      <c r="D596" s="6" t="s">
        <v>1111</v>
      </c>
      <c r="E596" s="6">
        <v>3</v>
      </c>
      <c r="F596" s="6">
        <v>31</v>
      </c>
      <c r="G596" s="6" t="s">
        <v>345</v>
      </c>
      <c r="I596" s="8">
        <v>87.660309999999996</v>
      </c>
      <c r="J596" s="8">
        <v>24.286057569444399</v>
      </c>
      <c r="K596" s="6" t="s">
        <v>29</v>
      </c>
      <c r="L596" s="6" t="s">
        <v>335</v>
      </c>
      <c r="M596" s="9">
        <v>43901</v>
      </c>
      <c r="O596" s="6">
        <v>24</v>
      </c>
      <c r="P596" s="6" t="s">
        <v>4345</v>
      </c>
      <c r="S596" s="6">
        <v>140</v>
      </c>
      <c r="T596" s="6">
        <v>151</v>
      </c>
      <c r="U596" s="10">
        <f t="shared" si="18"/>
        <v>145.5</v>
      </c>
      <c r="V596" s="6">
        <v>5.7</v>
      </c>
      <c r="W596" s="8">
        <v>0.29681514395475367</v>
      </c>
      <c r="X596" s="8">
        <v>2.998404674530029</v>
      </c>
      <c r="Y596" s="8">
        <f t="shared" si="19"/>
        <v>0.62388352289199966</v>
      </c>
    </row>
    <row r="597" spans="1:26" s="6" customFormat="1" x14ac:dyDescent="0.35">
      <c r="A597" s="6" t="s">
        <v>25</v>
      </c>
      <c r="B597" s="7"/>
      <c r="D597" s="6" t="s">
        <v>1170</v>
      </c>
      <c r="E597" s="6">
        <v>3</v>
      </c>
      <c r="F597" s="6">
        <v>32</v>
      </c>
      <c r="G597" s="6" t="s">
        <v>179</v>
      </c>
      <c r="I597" s="8">
        <v>86.339075833333297</v>
      </c>
      <c r="J597" s="8">
        <v>14.7309175</v>
      </c>
      <c r="K597" s="6" t="s">
        <v>29</v>
      </c>
      <c r="L597" s="6" t="s">
        <v>335</v>
      </c>
      <c r="M597" s="9">
        <v>43910</v>
      </c>
      <c r="O597" s="6">
        <v>25</v>
      </c>
      <c r="P597" s="6" t="s">
        <v>4350</v>
      </c>
      <c r="S597" s="6">
        <v>140</v>
      </c>
      <c r="T597" s="6">
        <v>151</v>
      </c>
      <c r="U597" s="10">
        <f t="shared" si="18"/>
        <v>145.5</v>
      </c>
      <c r="V597" s="6">
        <v>5.7</v>
      </c>
      <c r="W597" s="8">
        <v>0.40877219026804013</v>
      </c>
      <c r="X597" s="8">
        <v>3.9790455972671506</v>
      </c>
      <c r="Y597" s="8">
        <f t="shared" si="19"/>
        <v>0.70886807512282957</v>
      </c>
    </row>
    <row r="598" spans="1:26" s="6" customFormat="1" x14ac:dyDescent="0.35">
      <c r="A598" s="6" t="s">
        <v>25</v>
      </c>
      <c r="B598" s="7" t="s">
        <v>1737</v>
      </c>
      <c r="D598" s="6" t="s">
        <v>1738</v>
      </c>
      <c r="E598" s="6">
        <v>4</v>
      </c>
      <c r="F598" s="6">
        <v>44</v>
      </c>
      <c r="G598" s="6" t="s">
        <v>335</v>
      </c>
      <c r="I598" s="8">
        <v>81.975306180555606</v>
      </c>
      <c r="J598" s="8">
        <v>9.2425022222222193</v>
      </c>
      <c r="K598" s="6" t="s">
        <v>29</v>
      </c>
      <c r="L598" s="6" t="s">
        <v>335</v>
      </c>
      <c r="M598" s="9">
        <v>44004</v>
      </c>
      <c r="O598" s="6">
        <v>39</v>
      </c>
      <c r="P598" s="6" t="s">
        <v>4405</v>
      </c>
      <c r="R598" s="10" t="s">
        <v>1739</v>
      </c>
      <c r="S598" s="10">
        <v>145</v>
      </c>
      <c r="T598" s="10">
        <v>150</v>
      </c>
      <c r="U598" s="10">
        <f t="shared" si="18"/>
        <v>147.5</v>
      </c>
      <c r="V598" s="11"/>
      <c r="W598" s="8">
        <v>0.64898031311035176</v>
      </c>
      <c r="X598" s="8">
        <v>3.0824279322624211</v>
      </c>
      <c r="Y598" s="8">
        <f t="shared" si="19"/>
        <v>-2.109414572620393</v>
      </c>
    </row>
    <row r="599" spans="1:26" s="6" customFormat="1" x14ac:dyDescent="0.35">
      <c r="A599" s="6" t="s">
        <v>25</v>
      </c>
      <c r="B599" s="7" t="s">
        <v>1510</v>
      </c>
      <c r="D599" s="6" t="s">
        <v>1511</v>
      </c>
      <c r="E599" s="6">
        <v>3</v>
      </c>
      <c r="F599" s="6">
        <v>37</v>
      </c>
      <c r="G599" s="6" t="s">
        <v>28</v>
      </c>
      <c r="I599" s="8">
        <v>83.999093333333306</v>
      </c>
      <c r="J599" s="8">
        <v>15.6102103472222</v>
      </c>
      <c r="K599" s="6" t="s">
        <v>29</v>
      </c>
      <c r="L599" s="6" t="s">
        <v>335</v>
      </c>
      <c r="M599" s="9">
        <v>43946</v>
      </c>
      <c r="O599" s="6">
        <v>30</v>
      </c>
      <c r="P599" s="6" t="s">
        <v>4265</v>
      </c>
      <c r="R599" s="10"/>
      <c r="S599" s="10">
        <v>140</v>
      </c>
      <c r="T599" s="10">
        <v>156</v>
      </c>
      <c r="U599" s="10">
        <f t="shared" si="18"/>
        <v>148</v>
      </c>
      <c r="V599" s="11">
        <v>6</v>
      </c>
      <c r="W599" s="8">
        <v>1.3856888459563255</v>
      </c>
      <c r="X599" s="8">
        <v>11.498216110229492</v>
      </c>
      <c r="Y599" s="8">
        <f t="shared" si="19"/>
        <v>0.41270534257888869</v>
      </c>
    </row>
    <row r="600" spans="1:26" s="6" customFormat="1" x14ac:dyDescent="0.35">
      <c r="A600" s="6" t="s">
        <v>25</v>
      </c>
      <c r="B600" s="7" t="s">
        <v>1746</v>
      </c>
      <c r="D600" s="6" t="s">
        <v>1747</v>
      </c>
      <c r="E600" s="6">
        <v>4</v>
      </c>
      <c r="F600" s="6">
        <v>44</v>
      </c>
      <c r="G600" s="6" t="s">
        <v>335</v>
      </c>
      <c r="I600" s="8">
        <v>81.975306180555606</v>
      </c>
      <c r="J600" s="8">
        <v>9.2425022222222193</v>
      </c>
      <c r="K600" s="6" t="s">
        <v>29</v>
      </c>
      <c r="L600" s="6" t="s">
        <v>335</v>
      </c>
      <c r="M600" s="9">
        <v>44004</v>
      </c>
      <c r="O600" s="6">
        <v>39</v>
      </c>
      <c r="P600" s="6" t="s">
        <v>4405</v>
      </c>
      <c r="R600" s="10" t="s">
        <v>1748</v>
      </c>
      <c r="S600" s="10">
        <v>150</v>
      </c>
      <c r="T600" s="10">
        <v>156</v>
      </c>
      <c r="U600" s="10">
        <f t="shared" si="18"/>
        <v>153</v>
      </c>
      <c r="V600" s="11"/>
      <c r="W600" s="8">
        <v>1.1203876783132554</v>
      </c>
      <c r="X600" s="8">
        <v>7.5911342620849602</v>
      </c>
      <c r="Y600" s="8">
        <f t="shared" si="19"/>
        <v>-1.3719671644210827</v>
      </c>
    </row>
    <row r="601" spans="1:26" s="6" customFormat="1" x14ac:dyDescent="0.35">
      <c r="A601" s="6" t="s">
        <v>25</v>
      </c>
      <c r="B601" s="7" t="s">
        <v>471</v>
      </c>
      <c r="C601" s="6">
        <v>510640</v>
      </c>
      <c r="D601" s="6" t="s">
        <v>472</v>
      </c>
      <c r="E601" s="6">
        <v>1</v>
      </c>
      <c r="F601" s="6">
        <v>7</v>
      </c>
      <c r="G601" s="6" t="s">
        <v>179</v>
      </c>
      <c r="I601" s="8">
        <v>86.191348333333295</v>
      </c>
      <c r="J601" s="8">
        <v>118.623774583333</v>
      </c>
      <c r="K601" s="6" t="s">
        <v>29</v>
      </c>
      <c r="L601" s="6" t="s">
        <v>335</v>
      </c>
      <c r="M601" s="9">
        <v>43784</v>
      </c>
      <c r="O601" s="6">
        <v>7</v>
      </c>
      <c r="P601" s="6" t="s">
        <v>4260</v>
      </c>
      <c r="Q601" s="8">
        <v>-2.2000000000000002</v>
      </c>
      <c r="R601" s="10" t="s">
        <v>473</v>
      </c>
      <c r="S601" s="10">
        <v>150</v>
      </c>
      <c r="T601" s="10">
        <v>160</v>
      </c>
      <c r="U601" s="10">
        <f t="shared" si="18"/>
        <v>155</v>
      </c>
      <c r="V601" s="6">
        <v>4.0999999999999996</v>
      </c>
      <c r="W601" s="8">
        <v>-3.0540419417648317</v>
      </c>
      <c r="X601" s="8">
        <v>-23.534182119140624</v>
      </c>
      <c r="Y601" s="8">
        <f t="shared" si="19"/>
        <v>0.89815341497802947</v>
      </c>
    </row>
    <row r="602" spans="1:26" s="6" customFormat="1" x14ac:dyDescent="0.35">
      <c r="A602" s="6" t="s">
        <v>25</v>
      </c>
      <c r="B602" s="7"/>
      <c r="D602" s="6" t="s">
        <v>1047</v>
      </c>
      <c r="E602" s="6">
        <v>2</v>
      </c>
      <c r="F602" s="6">
        <v>24</v>
      </c>
      <c r="G602" s="6" t="s">
        <v>57</v>
      </c>
      <c r="I602" s="8">
        <v>87.882876180555598</v>
      </c>
      <c r="J602" s="8">
        <v>87.424340833333304</v>
      </c>
      <c r="K602" s="6" t="s">
        <v>29</v>
      </c>
      <c r="L602" s="6" t="s">
        <v>335</v>
      </c>
      <c r="M602" s="9">
        <v>43873</v>
      </c>
      <c r="O602" s="6">
        <v>20</v>
      </c>
      <c r="P602" s="6" t="s">
        <v>4313</v>
      </c>
      <c r="S602" s="6">
        <v>150</v>
      </c>
      <c r="T602" s="6">
        <v>160</v>
      </c>
      <c r="U602" s="10">
        <f t="shared" si="18"/>
        <v>155</v>
      </c>
      <c r="V602" s="30"/>
      <c r="W602" s="8">
        <v>-1.2615599197196956</v>
      </c>
      <c r="X602" s="8">
        <v>-9.3571058712005613</v>
      </c>
      <c r="Y602" s="8">
        <f t="shared" si="19"/>
        <v>0.73537348655700363</v>
      </c>
    </row>
    <row r="603" spans="1:26" s="6" customFormat="1" x14ac:dyDescent="0.35">
      <c r="A603" s="6" t="s">
        <v>25</v>
      </c>
      <c r="B603" s="7"/>
      <c r="D603" s="6" t="s">
        <v>1191</v>
      </c>
      <c r="E603" s="6">
        <v>3</v>
      </c>
      <c r="F603" s="6">
        <v>32</v>
      </c>
      <c r="G603" s="6" t="s">
        <v>202</v>
      </c>
      <c r="I603" s="8">
        <v>86.257643333333306</v>
      </c>
      <c r="J603" s="8">
        <v>15.261599722222201</v>
      </c>
      <c r="K603" s="6" t="s">
        <v>29</v>
      </c>
      <c r="L603" s="6" t="s">
        <v>335</v>
      </c>
      <c r="M603" s="9">
        <v>43911</v>
      </c>
      <c r="O603" s="6">
        <v>25</v>
      </c>
      <c r="P603" s="6" t="s">
        <v>4351</v>
      </c>
      <c r="S603" s="6">
        <v>150</v>
      </c>
      <c r="T603" s="6">
        <v>160</v>
      </c>
      <c r="U603" s="10">
        <f t="shared" si="18"/>
        <v>155</v>
      </c>
      <c r="V603" s="6">
        <v>5</v>
      </c>
      <c r="W603" s="8">
        <v>-0.11784142300263099</v>
      </c>
      <c r="X603" s="8">
        <v>-0.51507568359375</v>
      </c>
      <c r="Y603" s="8">
        <f t="shared" si="19"/>
        <v>0.42765570042729795</v>
      </c>
    </row>
    <row r="604" spans="1:26" s="6" customFormat="1" x14ac:dyDescent="0.35">
      <c r="A604" s="6" t="s">
        <v>25</v>
      </c>
      <c r="B604" s="6" t="s">
        <v>1256</v>
      </c>
      <c r="D604" s="6" t="s">
        <v>1240</v>
      </c>
      <c r="E604" s="6">
        <v>3</v>
      </c>
      <c r="F604" s="6">
        <v>34</v>
      </c>
      <c r="G604" s="6" t="s">
        <v>202</v>
      </c>
      <c r="I604" s="8">
        <v>84.533711805555598</v>
      </c>
      <c r="J604" s="8">
        <v>14.277858402777801</v>
      </c>
      <c r="K604" s="6" t="s">
        <v>29</v>
      </c>
      <c r="L604" s="6" t="s">
        <v>335</v>
      </c>
      <c r="M604" s="9">
        <v>43927</v>
      </c>
      <c r="O604" s="6">
        <v>28</v>
      </c>
      <c r="P604" s="6" t="s">
        <v>4359</v>
      </c>
      <c r="R604" s="6">
        <v>150</v>
      </c>
      <c r="S604" s="6">
        <v>150</v>
      </c>
      <c r="T604" s="6">
        <v>160</v>
      </c>
      <c r="U604" s="10">
        <f t="shared" si="18"/>
        <v>155</v>
      </c>
      <c r="V604" s="6">
        <v>4.8</v>
      </c>
      <c r="W604" s="8">
        <v>0.69872890641689267</v>
      </c>
      <c r="X604" s="8">
        <v>5.7196599750518802</v>
      </c>
      <c r="Y604" s="8">
        <f t="shared" si="19"/>
        <v>0.12982872371673881</v>
      </c>
    </row>
    <row r="605" spans="1:26" s="6" customFormat="1" x14ac:dyDescent="0.35">
      <c r="A605" s="6" t="s">
        <v>25</v>
      </c>
      <c r="B605" s="7" t="s">
        <v>1382</v>
      </c>
      <c r="D605" s="6" t="s">
        <v>1383</v>
      </c>
      <c r="E605" s="6">
        <v>3</v>
      </c>
      <c r="F605" s="6">
        <v>36</v>
      </c>
      <c r="G605" s="6" t="s">
        <v>202</v>
      </c>
      <c r="I605" s="8">
        <v>84.331482986111098</v>
      </c>
      <c r="J605" s="8">
        <v>14.642671805555601</v>
      </c>
      <c r="K605" s="6" t="s">
        <v>29</v>
      </c>
      <c r="L605" s="6" t="s">
        <v>335</v>
      </c>
      <c r="M605" s="9">
        <v>43935</v>
      </c>
      <c r="O605" s="6">
        <v>29</v>
      </c>
      <c r="P605" s="6" t="s">
        <v>4332</v>
      </c>
      <c r="R605" s="10"/>
      <c r="S605" s="10">
        <v>150</v>
      </c>
      <c r="T605" s="10">
        <v>160</v>
      </c>
      <c r="U605" s="10">
        <f t="shared" si="18"/>
        <v>155</v>
      </c>
      <c r="V605" s="11">
        <v>5</v>
      </c>
      <c r="W605" s="8">
        <v>0.40298590071678198</v>
      </c>
      <c r="X605" s="8">
        <v>3.936308566331864</v>
      </c>
      <c r="Y605" s="8">
        <f t="shared" si="19"/>
        <v>0.71242136059760819</v>
      </c>
    </row>
    <row r="606" spans="1:26" s="6" customFormat="1" x14ac:dyDescent="0.35">
      <c r="A606" s="6" t="s">
        <v>25</v>
      </c>
      <c r="B606" s="7" t="s">
        <v>1468</v>
      </c>
      <c r="D606" s="6" t="s">
        <v>1469</v>
      </c>
      <c r="E606" s="6">
        <v>3</v>
      </c>
      <c r="F606" s="6">
        <v>37</v>
      </c>
      <c r="G606" s="6" t="s">
        <v>28</v>
      </c>
      <c r="I606" s="8">
        <v>83.999093333333306</v>
      </c>
      <c r="J606" s="8">
        <v>15.6102103472222</v>
      </c>
      <c r="K606" s="6" t="s">
        <v>29</v>
      </c>
      <c r="L606" s="6" t="s">
        <v>335</v>
      </c>
      <c r="M606" s="9">
        <v>43946</v>
      </c>
      <c r="O606" s="6">
        <v>30</v>
      </c>
      <c r="P606" s="6" t="s">
        <v>4265</v>
      </c>
      <c r="R606" s="10"/>
      <c r="S606" s="10">
        <v>150</v>
      </c>
      <c r="T606" s="10">
        <v>160</v>
      </c>
      <c r="U606" s="10">
        <f t="shared" si="18"/>
        <v>155</v>
      </c>
      <c r="V606" s="11">
        <v>4.2</v>
      </c>
      <c r="W606" s="8">
        <v>-4.1300438344479003E-2</v>
      </c>
      <c r="X606" s="8">
        <v>0.59754814827442193</v>
      </c>
      <c r="Y606" s="8">
        <f t="shared" si="19"/>
        <v>0.92795165503025401</v>
      </c>
    </row>
    <row r="607" spans="1:26" s="6" customFormat="1" x14ac:dyDescent="0.35">
      <c r="A607" s="6" t="s">
        <v>25</v>
      </c>
      <c r="B607" s="6" t="s">
        <v>1635</v>
      </c>
      <c r="D607" s="6" t="s">
        <v>1619</v>
      </c>
      <c r="E607" s="6">
        <v>3</v>
      </c>
      <c r="F607" s="6">
        <v>39</v>
      </c>
      <c r="G607" s="6" t="s">
        <v>202</v>
      </c>
      <c r="I607" s="8">
        <v>83.907985999999994</v>
      </c>
      <c r="J607" s="8">
        <v>18.352126999999999</v>
      </c>
      <c r="K607" s="6" t="s">
        <v>29</v>
      </c>
      <c r="L607" s="6" t="s">
        <v>335</v>
      </c>
      <c r="M607" s="9">
        <v>43955</v>
      </c>
      <c r="O607" s="6">
        <v>32</v>
      </c>
      <c r="P607" s="6" t="s">
        <v>4374</v>
      </c>
      <c r="R607" s="6">
        <v>150</v>
      </c>
      <c r="S607" s="6">
        <v>150</v>
      </c>
      <c r="T607" s="6">
        <v>160</v>
      </c>
      <c r="U607" s="10">
        <f t="shared" si="18"/>
        <v>155</v>
      </c>
      <c r="V607" s="6">
        <v>6.2</v>
      </c>
      <c r="W607" s="8">
        <v>1.6040045362043387</v>
      </c>
      <c r="X607" s="8">
        <v>12.223596939086914</v>
      </c>
      <c r="Y607" s="8">
        <f t="shared" si="19"/>
        <v>-0.60843935054779585</v>
      </c>
    </row>
    <row r="608" spans="1:26" s="6" customFormat="1" x14ac:dyDescent="0.35">
      <c r="A608" s="6" t="s">
        <v>25</v>
      </c>
      <c r="B608" s="6" t="s">
        <v>1789</v>
      </c>
      <c r="D608" s="6" t="s">
        <v>1790</v>
      </c>
      <c r="E608" s="6">
        <v>4</v>
      </c>
      <c r="F608" s="6">
        <v>44</v>
      </c>
      <c r="I608" s="8">
        <v>81.975306180555606</v>
      </c>
      <c r="J608" s="8">
        <v>9.2425022222222193</v>
      </c>
      <c r="K608" s="6" t="s">
        <v>29</v>
      </c>
      <c r="L608" s="29" t="s">
        <v>335</v>
      </c>
      <c r="M608" s="9">
        <v>44004</v>
      </c>
      <c r="O608" s="6">
        <v>39</v>
      </c>
      <c r="P608" s="6" t="s">
        <v>4405</v>
      </c>
      <c r="S608" s="6">
        <v>150</v>
      </c>
      <c r="T608" s="6">
        <v>160</v>
      </c>
      <c r="U608" s="10">
        <f t="shared" si="18"/>
        <v>155</v>
      </c>
      <c r="V608" s="15">
        <v>4.3</v>
      </c>
      <c r="W608" s="8">
        <v>1.3436548459649087</v>
      </c>
      <c r="X608" s="8">
        <v>8.3211275891065597</v>
      </c>
      <c r="Y608" s="8">
        <f t="shared" si="19"/>
        <v>-2.4281111786127099</v>
      </c>
      <c r="Z608" s="6" t="s">
        <v>1760</v>
      </c>
    </row>
    <row r="609" spans="1:26" s="6" customFormat="1" x14ac:dyDescent="0.35">
      <c r="A609" s="6" t="s">
        <v>25</v>
      </c>
      <c r="B609" s="6" t="s">
        <v>2339</v>
      </c>
      <c r="D609" s="6" t="s">
        <v>2340</v>
      </c>
      <c r="E609" s="6">
        <v>5</v>
      </c>
      <c r="F609" s="6">
        <v>59</v>
      </c>
      <c r="I609" s="8">
        <v>88.299658402777794</v>
      </c>
      <c r="J609" s="8">
        <v>114.11509069444401</v>
      </c>
      <c r="K609" s="6" t="s">
        <v>29</v>
      </c>
      <c r="L609" s="29" t="s">
        <v>335</v>
      </c>
      <c r="M609" s="9">
        <v>44074</v>
      </c>
      <c r="O609" s="6">
        <v>50</v>
      </c>
      <c r="P609" s="6" t="s">
        <v>4396</v>
      </c>
      <c r="S609" s="6">
        <v>150</v>
      </c>
      <c r="T609" s="6">
        <v>160</v>
      </c>
      <c r="U609" s="10">
        <f t="shared" si="18"/>
        <v>155</v>
      </c>
      <c r="V609" s="15">
        <v>1.6</v>
      </c>
      <c r="W609" s="8">
        <v>0.6293125745773317</v>
      </c>
      <c r="X609" s="8">
        <v>5.8288054246902474</v>
      </c>
      <c r="Y609" s="8">
        <f t="shared" si="19"/>
        <v>0.79430482807159386</v>
      </c>
      <c r="Z609" s="6" t="s">
        <v>1760</v>
      </c>
    </row>
    <row r="610" spans="1:26" s="6" customFormat="1" x14ac:dyDescent="0.35">
      <c r="A610" s="6" t="s">
        <v>25</v>
      </c>
      <c r="B610" s="7"/>
      <c r="D610" s="6" t="s">
        <v>1558</v>
      </c>
      <c r="E610" s="6">
        <v>3</v>
      </c>
      <c r="F610" s="6">
        <v>38</v>
      </c>
      <c r="G610" s="6" t="s">
        <v>202</v>
      </c>
      <c r="I610" s="8">
        <v>83.938997847222197</v>
      </c>
      <c r="J610" s="8">
        <v>15.6730686111111</v>
      </c>
      <c r="K610" s="6" t="s">
        <v>29</v>
      </c>
      <c r="L610" s="6" t="s">
        <v>335</v>
      </c>
      <c r="M610" s="9">
        <v>43948</v>
      </c>
      <c r="O610" s="6">
        <v>31</v>
      </c>
      <c r="P610" s="6" t="s">
        <v>4251</v>
      </c>
      <c r="S610" s="6">
        <v>150</v>
      </c>
      <c r="T610" s="6">
        <v>161</v>
      </c>
      <c r="U610" s="10">
        <f t="shared" si="18"/>
        <v>155.5</v>
      </c>
      <c r="V610" s="6">
        <v>7</v>
      </c>
      <c r="W610" s="8">
        <v>0.95363176757097223</v>
      </c>
      <c r="X610" s="8">
        <v>11.437162087440491</v>
      </c>
      <c r="Y610" s="8">
        <f t="shared" si="19"/>
        <v>3.8081079468727133</v>
      </c>
    </row>
    <row r="611" spans="1:26" s="6" customFormat="1" x14ac:dyDescent="0.35">
      <c r="A611" s="6" t="s">
        <v>25</v>
      </c>
      <c r="B611" s="6" t="s">
        <v>1306</v>
      </c>
      <c r="D611" s="6" t="s">
        <v>1291</v>
      </c>
      <c r="E611" s="6">
        <v>3</v>
      </c>
      <c r="F611" s="6">
        <v>35</v>
      </c>
      <c r="G611" s="6" t="s">
        <v>345</v>
      </c>
      <c r="I611" s="8">
        <v>84.322834374999999</v>
      </c>
      <c r="J611" s="8">
        <v>14.725811041666701</v>
      </c>
      <c r="K611" s="6" t="s">
        <v>29</v>
      </c>
      <c r="L611" s="6" t="s">
        <v>335</v>
      </c>
      <c r="M611" s="9">
        <v>43931</v>
      </c>
      <c r="O611" s="6">
        <v>28</v>
      </c>
      <c r="P611" s="6" t="s">
        <v>4362</v>
      </c>
      <c r="R611" s="6">
        <v>150</v>
      </c>
      <c r="S611" s="6">
        <v>150</v>
      </c>
      <c r="T611" s="6">
        <v>162</v>
      </c>
      <c r="U611" s="10">
        <f t="shared" si="18"/>
        <v>156</v>
      </c>
      <c r="V611" s="6">
        <v>6.4</v>
      </c>
      <c r="W611" s="8">
        <v>1.0836366036415097</v>
      </c>
      <c r="X611" s="8">
        <v>8.5688925018310549</v>
      </c>
      <c r="Y611" s="8">
        <f t="shared" si="19"/>
        <v>-0.1002003273010228</v>
      </c>
    </row>
    <row r="612" spans="1:26" s="6" customFormat="1" x14ac:dyDescent="0.35">
      <c r="A612" s="6" t="s">
        <v>25</v>
      </c>
      <c r="B612" s="6" t="s">
        <v>1946</v>
      </c>
      <c r="D612" s="6" t="s">
        <v>1947</v>
      </c>
      <c r="E612" s="6">
        <v>4</v>
      </c>
      <c r="F612" s="6">
        <v>46</v>
      </c>
      <c r="I612" s="8">
        <v>81.685643263888906</v>
      </c>
      <c r="J612" s="8">
        <v>5.3733415277777796</v>
      </c>
      <c r="K612" s="6" t="s">
        <v>29</v>
      </c>
      <c r="L612" s="29" t="s">
        <v>335</v>
      </c>
      <c r="M612" s="9">
        <v>44018</v>
      </c>
      <c r="O612" s="6">
        <v>41</v>
      </c>
      <c r="P612" s="6" t="s">
        <v>4413</v>
      </c>
      <c r="S612" s="6">
        <v>150</v>
      </c>
      <c r="T612" s="6">
        <v>162</v>
      </c>
      <c r="U612" s="10">
        <f t="shared" si="18"/>
        <v>156</v>
      </c>
      <c r="V612" s="15">
        <v>1.8</v>
      </c>
      <c r="W612" s="8">
        <v>-5.2517720483779913</v>
      </c>
      <c r="X612" s="8">
        <v>-41.32773132324219</v>
      </c>
      <c r="Y612" s="8">
        <f t="shared" si="19"/>
        <v>0.68644506378173986</v>
      </c>
      <c r="Z612" s="6" t="s">
        <v>1760</v>
      </c>
    </row>
    <row r="613" spans="1:26" s="6" customFormat="1" x14ac:dyDescent="0.35">
      <c r="A613" s="6" t="s">
        <v>25</v>
      </c>
      <c r="B613" s="7" t="s">
        <v>1740</v>
      </c>
      <c r="D613" s="6" t="s">
        <v>1741</v>
      </c>
      <c r="E613" s="6">
        <v>4</v>
      </c>
      <c r="F613" s="6">
        <v>44</v>
      </c>
      <c r="G613" s="6" t="s">
        <v>335</v>
      </c>
      <c r="I613" s="8">
        <v>81.975306180555606</v>
      </c>
      <c r="J613" s="8">
        <v>9.2425022222222193</v>
      </c>
      <c r="K613" s="6" t="s">
        <v>29</v>
      </c>
      <c r="L613" s="6" t="s">
        <v>335</v>
      </c>
      <c r="M613" s="9">
        <v>44004</v>
      </c>
      <c r="O613" s="6">
        <v>39</v>
      </c>
      <c r="P613" s="6" t="s">
        <v>4405</v>
      </c>
      <c r="R613" s="10" t="s">
        <v>1742</v>
      </c>
      <c r="S613" s="10">
        <v>158</v>
      </c>
      <c r="T613" s="10">
        <v>163</v>
      </c>
      <c r="U613" s="10">
        <f t="shared" si="18"/>
        <v>160.5</v>
      </c>
      <c r="V613" s="11"/>
      <c r="W613" s="8">
        <v>1.2024200768351556</v>
      </c>
      <c r="X613" s="8">
        <v>9.3045168294906606</v>
      </c>
      <c r="Y613" s="8">
        <f t="shared" si="19"/>
        <v>-0.31484378519058431</v>
      </c>
    </row>
    <row r="614" spans="1:26" s="6" customFormat="1" x14ac:dyDescent="0.35">
      <c r="A614" s="6" t="s">
        <v>25</v>
      </c>
      <c r="B614" s="6" t="s">
        <v>1257</v>
      </c>
      <c r="D614" s="6" t="s">
        <v>1240</v>
      </c>
      <c r="E614" s="6">
        <v>3</v>
      </c>
      <c r="F614" s="6">
        <v>34</v>
      </c>
      <c r="G614" s="6" t="s">
        <v>202</v>
      </c>
      <c r="I614" s="8">
        <v>84.533711805555598</v>
      </c>
      <c r="J614" s="8">
        <v>14.277858402777801</v>
      </c>
      <c r="K614" s="6" t="s">
        <v>29</v>
      </c>
      <c r="L614" s="6" t="s">
        <v>335</v>
      </c>
      <c r="M614" s="9">
        <v>43927</v>
      </c>
      <c r="O614" s="6">
        <v>28</v>
      </c>
      <c r="P614" s="6" t="s">
        <v>4359</v>
      </c>
      <c r="R614" s="6">
        <v>160</v>
      </c>
      <c r="S614" s="6">
        <v>160</v>
      </c>
      <c r="T614" s="6">
        <v>163</v>
      </c>
      <c r="U614" s="10">
        <f t="shared" si="18"/>
        <v>161.5</v>
      </c>
      <c r="V614" s="6">
        <v>7.9</v>
      </c>
      <c r="W614" s="8">
        <v>1.1466270573377606</v>
      </c>
      <c r="X614" s="8">
        <v>9.479408176422119</v>
      </c>
      <c r="Y614" s="8">
        <f t="shared" si="19"/>
        <v>0.30639171772003415</v>
      </c>
    </row>
    <row r="615" spans="1:26" s="6" customFormat="1" x14ac:dyDescent="0.35">
      <c r="A615" s="6" t="s">
        <v>25</v>
      </c>
      <c r="B615" s="7" t="s">
        <v>466</v>
      </c>
      <c r="C615" s="6">
        <v>510641</v>
      </c>
      <c r="D615" s="6" t="s">
        <v>467</v>
      </c>
      <c r="E615" s="6">
        <v>1</v>
      </c>
      <c r="F615" s="6">
        <v>7</v>
      </c>
      <c r="G615" s="6" t="s">
        <v>179</v>
      </c>
      <c r="I615" s="8">
        <v>86.191348333333295</v>
      </c>
      <c r="J615" s="8">
        <v>118.623774583333</v>
      </c>
      <c r="K615" s="6" t="s">
        <v>29</v>
      </c>
      <c r="L615" s="6" t="s">
        <v>335</v>
      </c>
      <c r="M615" s="9">
        <v>43784</v>
      </c>
      <c r="O615" s="6">
        <v>7</v>
      </c>
      <c r="P615" s="6" t="s">
        <v>4260</v>
      </c>
      <c r="Q615" s="8">
        <v>-1.9</v>
      </c>
      <c r="R615" s="10" t="s">
        <v>468</v>
      </c>
      <c r="S615" s="10">
        <v>160</v>
      </c>
      <c r="T615" s="10">
        <v>169</v>
      </c>
      <c r="U615" s="10">
        <f t="shared" si="18"/>
        <v>164.5</v>
      </c>
      <c r="V615" s="6">
        <v>4</v>
      </c>
      <c r="W615" s="8">
        <v>-2.13909932847023</v>
      </c>
      <c r="X615" s="8">
        <v>-16.4258458442688</v>
      </c>
      <c r="Y615" s="8">
        <f t="shared" si="19"/>
        <v>0.68694878349304034</v>
      </c>
    </row>
    <row r="616" spans="1:26" s="6" customFormat="1" x14ac:dyDescent="0.35">
      <c r="A616" s="6" t="s">
        <v>25</v>
      </c>
      <c r="B616" s="7"/>
      <c r="D616" s="6" t="s">
        <v>1048</v>
      </c>
      <c r="E616" s="6">
        <v>2</v>
      </c>
      <c r="F616" s="6">
        <v>24</v>
      </c>
      <c r="G616" s="6" t="s">
        <v>57</v>
      </c>
      <c r="I616" s="8">
        <v>87.882876180555598</v>
      </c>
      <c r="J616" s="8">
        <v>87.424340833333304</v>
      </c>
      <c r="K616" s="6" t="s">
        <v>29</v>
      </c>
      <c r="L616" s="6" t="s">
        <v>335</v>
      </c>
      <c r="M616" s="9">
        <v>43873</v>
      </c>
      <c r="O616" s="6">
        <v>20</v>
      </c>
      <c r="P616" s="6" t="s">
        <v>4313</v>
      </c>
      <c r="S616" s="6">
        <v>160</v>
      </c>
      <c r="T616" s="6">
        <v>169</v>
      </c>
      <c r="U616" s="10">
        <f t="shared" si="18"/>
        <v>164.5</v>
      </c>
      <c r="V616" s="30"/>
      <c r="W616" s="8">
        <v>-1.0680359788584706</v>
      </c>
      <c r="X616" s="8">
        <v>-7.4261125080585479</v>
      </c>
      <c r="Y616" s="8">
        <f t="shared" si="19"/>
        <v>1.1181753228092166</v>
      </c>
    </row>
    <row r="617" spans="1:26" s="6" customFormat="1" x14ac:dyDescent="0.35">
      <c r="A617" s="6" t="s">
        <v>25</v>
      </c>
      <c r="B617" s="7"/>
      <c r="D617" s="6" t="s">
        <v>1192</v>
      </c>
      <c r="E617" s="6">
        <v>3</v>
      </c>
      <c r="F617" s="6">
        <v>32</v>
      </c>
      <c r="G617" s="6" t="s">
        <v>202</v>
      </c>
      <c r="I617" s="8">
        <v>86.257643333333306</v>
      </c>
      <c r="J617" s="8">
        <v>15.261599722222201</v>
      </c>
      <c r="K617" s="6" t="s">
        <v>29</v>
      </c>
      <c r="L617" s="6" t="s">
        <v>335</v>
      </c>
      <c r="M617" s="9">
        <v>43911</v>
      </c>
      <c r="O617" s="6">
        <v>25</v>
      </c>
      <c r="P617" s="6" t="s">
        <v>4351</v>
      </c>
      <c r="S617" s="6">
        <v>160</v>
      </c>
      <c r="T617" s="6">
        <v>170</v>
      </c>
      <c r="U617" s="10">
        <f t="shared" si="18"/>
        <v>165</v>
      </c>
      <c r="V617" s="6">
        <v>3.8</v>
      </c>
      <c r="W617" s="8">
        <v>0.17469037461876835</v>
      </c>
      <c r="X617" s="8">
        <v>1.4876390361785887</v>
      </c>
      <c r="Y617" s="8">
        <f t="shared" si="19"/>
        <v>9.0116039228441913E-2</v>
      </c>
    </row>
    <row r="618" spans="1:26" s="6" customFormat="1" x14ac:dyDescent="0.35">
      <c r="A618" s="6" t="s">
        <v>25</v>
      </c>
      <c r="B618" s="7" t="s">
        <v>1384</v>
      </c>
      <c r="D618" s="6" t="s">
        <v>1385</v>
      </c>
      <c r="E618" s="6">
        <v>3</v>
      </c>
      <c r="F618" s="6">
        <v>36</v>
      </c>
      <c r="G618" s="6" t="s">
        <v>202</v>
      </c>
      <c r="I618" s="8">
        <v>84.331482986111098</v>
      </c>
      <c r="J618" s="8">
        <v>14.642671805555601</v>
      </c>
      <c r="K618" s="6" t="s">
        <v>29</v>
      </c>
      <c r="L618" s="6" t="s">
        <v>335</v>
      </c>
      <c r="M618" s="9">
        <v>43935</v>
      </c>
      <c r="O618" s="6">
        <v>29</v>
      </c>
      <c r="P618" s="6" t="s">
        <v>4332</v>
      </c>
      <c r="R618" s="10"/>
      <c r="S618" s="10">
        <v>160</v>
      </c>
      <c r="T618" s="10">
        <v>170</v>
      </c>
      <c r="U618" s="10">
        <f t="shared" si="18"/>
        <v>165</v>
      </c>
      <c r="V618" s="11">
        <v>5.3</v>
      </c>
      <c r="W618" s="8">
        <v>0.4211810345220563</v>
      </c>
      <c r="X618" s="8">
        <v>3.8141481308937077</v>
      </c>
      <c r="Y618" s="8">
        <f t="shared" si="19"/>
        <v>0.44469985471725737</v>
      </c>
    </row>
    <row r="619" spans="1:26" s="6" customFormat="1" x14ac:dyDescent="0.35">
      <c r="A619" s="6" t="s">
        <v>25</v>
      </c>
      <c r="B619" s="7" t="s">
        <v>1470</v>
      </c>
      <c r="D619" s="6" t="s">
        <v>1471</v>
      </c>
      <c r="E619" s="6">
        <v>3</v>
      </c>
      <c r="F619" s="6">
        <v>37</v>
      </c>
      <c r="G619" s="6" t="s">
        <v>28</v>
      </c>
      <c r="I619" s="8">
        <v>83.999093333333306</v>
      </c>
      <c r="J619" s="8">
        <v>15.6102103472222</v>
      </c>
      <c r="K619" s="6" t="s">
        <v>29</v>
      </c>
      <c r="L619" s="6" t="s">
        <v>335</v>
      </c>
      <c r="M619" s="9">
        <v>43946</v>
      </c>
      <c r="O619" s="6">
        <v>30</v>
      </c>
      <c r="P619" s="6" t="s">
        <v>4265</v>
      </c>
      <c r="R619" s="10"/>
      <c r="S619" s="10">
        <v>160</v>
      </c>
      <c r="T619" s="10">
        <v>170</v>
      </c>
      <c r="U619" s="10">
        <f t="shared" si="18"/>
        <v>165</v>
      </c>
      <c r="V619" s="11">
        <v>3.8</v>
      </c>
      <c r="W619" s="8">
        <v>2.6928305625915999E-2</v>
      </c>
      <c r="X619" s="8">
        <v>1.1637408062219621</v>
      </c>
      <c r="Y619" s="8">
        <f t="shared" si="19"/>
        <v>0.94831436121463408</v>
      </c>
    </row>
    <row r="620" spans="1:26" s="6" customFormat="1" x14ac:dyDescent="0.35">
      <c r="A620" s="6" t="s">
        <v>25</v>
      </c>
      <c r="B620" s="7" t="s">
        <v>1734</v>
      </c>
      <c r="D620" s="6" t="s">
        <v>1735</v>
      </c>
      <c r="E620" s="6">
        <v>4</v>
      </c>
      <c r="F620" s="6">
        <v>44</v>
      </c>
      <c r="G620" s="6" t="s">
        <v>335</v>
      </c>
      <c r="I620" s="8">
        <v>81.975306180555606</v>
      </c>
      <c r="J620" s="8">
        <v>9.2425022222222193</v>
      </c>
      <c r="K620" s="6" t="s">
        <v>29</v>
      </c>
      <c r="L620" s="6" t="s">
        <v>335</v>
      </c>
      <c r="M620" s="9">
        <v>44004</v>
      </c>
      <c r="O620" s="6">
        <v>39</v>
      </c>
      <c r="P620" s="6" t="s">
        <v>4405</v>
      </c>
      <c r="R620" s="10" t="s">
        <v>1736</v>
      </c>
      <c r="S620" s="10">
        <v>163</v>
      </c>
      <c r="T620" s="10">
        <v>168</v>
      </c>
      <c r="U620" s="10">
        <f t="shared" si="18"/>
        <v>165.5</v>
      </c>
      <c r="V620" s="11"/>
      <c r="W620" s="8">
        <v>-0.14962770866304617</v>
      </c>
      <c r="X620" s="8">
        <v>-0.37092982292175314</v>
      </c>
      <c r="Y620" s="8">
        <f t="shared" si="19"/>
        <v>0.82609184638261624</v>
      </c>
    </row>
    <row r="621" spans="1:26" s="6" customFormat="1" x14ac:dyDescent="0.35">
      <c r="A621" s="6" t="s">
        <v>25</v>
      </c>
      <c r="B621" s="7" t="s">
        <v>463</v>
      </c>
      <c r="C621" s="6">
        <v>510642</v>
      </c>
      <c r="D621" s="6" t="s">
        <v>464</v>
      </c>
      <c r="E621" s="6">
        <v>1</v>
      </c>
      <c r="F621" s="6">
        <v>7</v>
      </c>
      <c r="G621" s="6" t="s">
        <v>179</v>
      </c>
      <c r="I621" s="8">
        <v>86.191348333333295</v>
      </c>
      <c r="J621" s="8">
        <v>118.623774583333</v>
      </c>
      <c r="K621" s="6" t="s">
        <v>29</v>
      </c>
      <c r="L621" s="6" t="s">
        <v>335</v>
      </c>
      <c r="M621" s="9">
        <v>43784</v>
      </c>
      <c r="O621" s="6">
        <v>7</v>
      </c>
      <c r="P621" s="6" t="s">
        <v>4260</v>
      </c>
      <c r="Q621" s="8">
        <v>-1.95</v>
      </c>
      <c r="R621" s="10" t="s">
        <v>465</v>
      </c>
      <c r="S621" s="10">
        <v>169</v>
      </c>
      <c r="T621" s="10">
        <v>178</v>
      </c>
      <c r="U621" s="10">
        <f t="shared" si="18"/>
        <v>173.5</v>
      </c>
      <c r="V621" s="6">
        <v>4.4000000000000004</v>
      </c>
      <c r="W621" s="8">
        <v>-1.1758525982618333</v>
      </c>
      <c r="X621" s="8">
        <v>-7.9394926357269284</v>
      </c>
      <c r="Y621" s="8">
        <f t="shared" si="19"/>
        <v>1.467328150367738</v>
      </c>
    </row>
    <row r="622" spans="1:26" s="6" customFormat="1" x14ac:dyDescent="0.35">
      <c r="A622" s="6" t="s">
        <v>25</v>
      </c>
      <c r="B622" s="7"/>
      <c r="D622" s="6" t="s">
        <v>1049</v>
      </c>
      <c r="E622" s="6">
        <v>2</v>
      </c>
      <c r="F622" s="6">
        <v>24</v>
      </c>
      <c r="G622" s="6" t="s">
        <v>57</v>
      </c>
      <c r="I622" s="8">
        <v>87.882876180555598</v>
      </c>
      <c r="J622" s="8">
        <v>87.424340833333304</v>
      </c>
      <c r="K622" s="6" t="s">
        <v>29</v>
      </c>
      <c r="L622" s="6" t="s">
        <v>335</v>
      </c>
      <c r="M622" s="9">
        <v>43873</v>
      </c>
      <c r="O622" s="6">
        <v>20</v>
      </c>
      <c r="P622" s="6" t="s">
        <v>4313</v>
      </c>
      <c r="S622" s="6">
        <v>169</v>
      </c>
      <c r="T622" s="6">
        <v>178</v>
      </c>
      <c r="U622" s="10">
        <f t="shared" si="18"/>
        <v>173.5</v>
      </c>
      <c r="V622" s="30"/>
      <c r="W622" s="8">
        <v>-0.66379213084816979</v>
      </c>
      <c r="X622" s="8">
        <v>-4.3495660486817354</v>
      </c>
      <c r="Y622" s="8">
        <f t="shared" si="19"/>
        <v>0.96077099810362299</v>
      </c>
    </row>
    <row r="623" spans="1:26" s="6" customFormat="1" x14ac:dyDescent="0.35">
      <c r="A623" s="6" t="s">
        <v>25</v>
      </c>
      <c r="B623" s="7"/>
      <c r="D623" s="6" t="s">
        <v>1193</v>
      </c>
      <c r="E623" s="6">
        <v>3</v>
      </c>
      <c r="F623" s="6">
        <v>32</v>
      </c>
      <c r="G623" s="6" t="s">
        <v>202</v>
      </c>
      <c r="I623" s="8">
        <v>86.257643333333306</v>
      </c>
      <c r="J623" s="8">
        <v>15.261599722222201</v>
      </c>
      <c r="K623" s="6" t="s">
        <v>29</v>
      </c>
      <c r="L623" s="6" t="s">
        <v>335</v>
      </c>
      <c r="M623" s="9">
        <v>43911</v>
      </c>
      <c r="O623" s="6">
        <v>25</v>
      </c>
      <c r="P623" s="6" t="s">
        <v>4351</v>
      </c>
      <c r="S623" s="6">
        <v>170</v>
      </c>
      <c r="T623" s="6">
        <v>179</v>
      </c>
      <c r="U623" s="10">
        <f t="shared" si="18"/>
        <v>174.5</v>
      </c>
      <c r="V623" s="6">
        <v>6.2</v>
      </c>
      <c r="W623" s="8">
        <v>-0.24891786401867827</v>
      </c>
      <c r="X623" s="8">
        <v>-1.4746275472640986</v>
      </c>
      <c r="Y623" s="8">
        <f t="shared" si="19"/>
        <v>0.51671536488532754</v>
      </c>
    </row>
    <row r="624" spans="1:26" s="6" customFormat="1" x14ac:dyDescent="0.35">
      <c r="A624" s="6" t="s">
        <v>25</v>
      </c>
      <c r="B624" s="7" t="s">
        <v>1386</v>
      </c>
      <c r="D624" s="6" t="s">
        <v>1387</v>
      </c>
      <c r="E624" s="6">
        <v>3</v>
      </c>
      <c r="F624" s="6">
        <v>36</v>
      </c>
      <c r="G624" s="6" t="s">
        <v>202</v>
      </c>
      <c r="I624" s="8">
        <v>84.331482986111098</v>
      </c>
      <c r="J624" s="8">
        <v>14.642671805555601</v>
      </c>
      <c r="K624" s="6" t="s">
        <v>29</v>
      </c>
      <c r="L624" s="6" t="s">
        <v>335</v>
      </c>
      <c r="M624" s="9">
        <v>43935</v>
      </c>
      <c r="O624" s="6">
        <v>29</v>
      </c>
      <c r="P624" s="6" t="s">
        <v>4332</v>
      </c>
      <c r="R624" s="10"/>
      <c r="S624" s="10">
        <v>170</v>
      </c>
      <c r="T624" s="10">
        <v>180</v>
      </c>
      <c r="U624" s="10">
        <f t="shared" si="18"/>
        <v>175</v>
      </c>
      <c r="V624" s="11">
        <v>6.5</v>
      </c>
      <c r="W624" s="8">
        <v>1.0285423775482176</v>
      </c>
      <c r="X624" s="8">
        <v>8.3350098199844371</v>
      </c>
      <c r="Y624" s="8">
        <f t="shared" si="19"/>
        <v>0.10667079959869596</v>
      </c>
    </row>
    <row r="625" spans="1:25" s="6" customFormat="1" x14ac:dyDescent="0.35">
      <c r="A625" s="6" t="s">
        <v>25</v>
      </c>
      <c r="B625" s="7" t="s">
        <v>1472</v>
      </c>
      <c r="D625" s="6" t="s">
        <v>1473</v>
      </c>
      <c r="E625" s="6">
        <v>3</v>
      </c>
      <c r="F625" s="6">
        <v>37</v>
      </c>
      <c r="G625" s="6" t="s">
        <v>28</v>
      </c>
      <c r="I625" s="8">
        <v>83.999093333333306</v>
      </c>
      <c r="J625" s="8">
        <v>15.6102103472222</v>
      </c>
      <c r="K625" s="6" t="s">
        <v>29</v>
      </c>
      <c r="L625" s="6" t="s">
        <v>335</v>
      </c>
      <c r="M625" s="9">
        <v>43946</v>
      </c>
      <c r="O625" s="6">
        <v>30</v>
      </c>
      <c r="P625" s="6" t="s">
        <v>4265</v>
      </c>
      <c r="R625" s="10"/>
      <c r="S625" s="10">
        <v>170</v>
      </c>
      <c r="T625" s="10">
        <v>180</v>
      </c>
      <c r="U625" s="10">
        <f t="shared" si="18"/>
        <v>175</v>
      </c>
      <c r="V625" s="11">
        <v>3.8</v>
      </c>
      <c r="W625" s="8">
        <v>0.20203226804733301</v>
      </c>
      <c r="X625" s="8">
        <v>2.355664878129959</v>
      </c>
      <c r="Y625" s="8">
        <f t="shared" si="19"/>
        <v>0.73940673375129484</v>
      </c>
    </row>
    <row r="626" spans="1:25" s="6" customFormat="1" x14ac:dyDescent="0.35">
      <c r="A626" s="6" t="s">
        <v>25</v>
      </c>
      <c r="B626" s="7"/>
      <c r="D626" s="6" t="s">
        <v>1050</v>
      </c>
      <c r="E626" s="6">
        <v>2</v>
      </c>
      <c r="F626" s="6">
        <v>24</v>
      </c>
      <c r="G626" s="6" t="s">
        <v>57</v>
      </c>
      <c r="I626" s="8">
        <v>87.882876180555598</v>
      </c>
      <c r="J626" s="8">
        <v>87.424340833333304</v>
      </c>
      <c r="K626" s="6" t="s">
        <v>29</v>
      </c>
      <c r="L626" s="6" t="s">
        <v>335</v>
      </c>
      <c r="M626" s="9">
        <v>43873</v>
      </c>
      <c r="O626" s="6">
        <v>20</v>
      </c>
      <c r="P626" s="6" t="s">
        <v>4313</v>
      </c>
      <c r="S626" s="6">
        <v>178</v>
      </c>
      <c r="T626" s="6">
        <v>189</v>
      </c>
      <c r="U626" s="10">
        <f t="shared" si="18"/>
        <v>183.5</v>
      </c>
      <c r="V626" s="30"/>
      <c r="W626" s="8">
        <v>-0.33724904990673077</v>
      </c>
      <c r="X626" s="8">
        <v>-1.9741882770061492</v>
      </c>
      <c r="Y626" s="8">
        <f t="shared" si="19"/>
        <v>0.72380412224769697</v>
      </c>
    </row>
    <row r="627" spans="1:25" s="6" customFormat="1" x14ac:dyDescent="0.35">
      <c r="A627" s="6" t="s">
        <v>25</v>
      </c>
      <c r="B627" s="7" t="s">
        <v>1388</v>
      </c>
      <c r="D627" s="6" t="s">
        <v>1389</v>
      </c>
      <c r="E627" s="6">
        <v>3</v>
      </c>
      <c r="F627" s="6">
        <v>36</v>
      </c>
      <c r="G627" s="6" t="s">
        <v>202</v>
      </c>
      <c r="I627" s="8">
        <v>84.331482986111098</v>
      </c>
      <c r="J627" s="8">
        <v>14.642671805555601</v>
      </c>
      <c r="K627" s="6" t="s">
        <v>29</v>
      </c>
      <c r="L627" s="6" t="s">
        <v>335</v>
      </c>
      <c r="M627" s="9">
        <v>43935</v>
      </c>
      <c r="O627" s="6">
        <v>29</v>
      </c>
      <c r="P627" s="6" t="s">
        <v>4332</v>
      </c>
      <c r="R627" s="10"/>
      <c r="S627" s="10">
        <v>180</v>
      </c>
      <c r="T627" s="10">
        <v>192</v>
      </c>
      <c r="U627" s="10">
        <f t="shared" si="18"/>
        <v>186</v>
      </c>
      <c r="V627" s="11">
        <v>8.1</v>
      </c>
      <c r="W627" s="8">
        <v>1.0502992807197571</v>
      </c>
      <c r="X627" s="8">
        <v>7.6478023300170896</v>
      </c>
      <c r="Y627" s="8">
        <f t="shared" si="19"/>
        <v>-0.75459191574096707</v>
      </c>
    </row>
    <row r="628" spans="1:25" s="6" customFormat="1" x14ac:dyDescent="0.35">
      <c r="A628" s="6" t="s">
        <v>25</v>
      </c>
      <c r="B628" s="7" t="s">
        <v>1474</v>
      </c>
      <c r="D628" s="6" t="s">
        <v>1475</v>
      </c>
      <c r="E628" s="6">
        <v>3</v>
      </c>
      <c r="F628" s="6">
        <v>37</v>
      </c>
      <c r="G628" s="6" t="s">
        <v>28</v>
      </c>
      <c r="I628" s="8">
        <v>83.999093333333306</v>
      </c>
      <c r="J628" s="8">
        <v>15.6102103472222</v>
      </c>
      <c r="K628" s="6" t="s">
        <v>29</v>
      </c>
      <c r="L628" s="6" t="s">
        <v>335</v>
      </c>
      <c r="M628" s="9">
        <v>43946</v>
      </c>
      <c r="O628" s="6">
        <v>30</v>
      </c>
      <c r="P628" s="6" t="s">
        <v>4265</v>
      </c>
      <c r="R628" s="10"/>
      <c r="S628" s="10">
        <v>180</v>
      </c>
      <c r="T628" s="10">
        <v>193</v>
      </c>
      <c r="U628" s="10">
        <f t="shared" si="18"/>
        <v>186.5</v>
      </c>
      <c r="V628" s="11">
        <v>3.7</v>
      </c>
      <c r="W628" s="8">
        <v>-0.31285810470581099</v>
      </c>
      <c r="X628" s="8">
        <v>-2.0449121832847599</v>
      </c>
      <c r="Y628" s="8">
        <f t="shared" si="19"/>
        <v>0.45795265436172805</v>
      </c>
    </row>
    <row r="629" spans="1:25" s="6" customFormat="1" x14ac:dyDescent="0.35">
      <c r="A629" s="6" t="s">
        <v>25</v>
      </c>
      <c r="B629" s="7" t="s">
        <v>1476</v>
      </c>
      <c r="D629" s="6" t="s">
        <v>1477</v>
      </c>
      <c r="E629" s="6">
        <v>3</v>
      </c>
      <c r="F629" s="6">
        <v>37</v>
      </c>
      <c r="G629" s="6" t="s">
        <v>28</v>
      </c>
      <c r="I629" s="8">
        <v>83.999093333333306</v>
      </c>
      <c r="J629" s="8">
        <v>15.6102103472222</v>
      </c>
      <c r="K629" s="6" t="s">
        <v>29</v>
      </c>
      <c r="L629" s="6" t="s">
        <v>335</v>
      </c>
      <c r="M629" s="9">
        <v>43946</v>
      </c>
      <c r="O629" s="6">
        <v>30</v>
      </c>
      <c r="P629" s="6" t="s">
        <v>4265</v>
      </c>
      <c r="R629" s="10"/>
      <c r="S629" s="10">
        <v>190</v>
      </c>
      <c r="T629" s="10">
        <v>200</v>
      </c>
      <c r="U629" s="10">
        <f t="shared" si="18"/>
        <v>195</v>
      </c>
      <c r="V629" s="11">
        <v>4</v>
      </c>
      <c r="W629" s="8">
        <v>0.58217525482177701</v>
      </c>
      <c r="X629" s="8">
        <v>4.3550744175910951</v>
      </c>
      <c r="Y629" s="8">
        <f t="shared" si="19"/>
        <v>-0.30232762098312094</v>
      </c>
    </row>
    <row r="630" spans="1:25" s="6" customFormat="1" x14ac:dyDescent="0.35">
      <c r="A630" s="6" t="s">
        <v>25</v>
      </c>
      <c r="B630" s="7" t="s">
        <v>1390</v>
      </c>
      <c r="D630" s="6" t="s">
        <v>1391</v>
      </c>
      <c r="E630" s="6">
        <v>3</v>
      </c>
      <c r="F630" s="6">
        <v>36</v>
      </c>
      <c r="G630" s="6" t="s">
        <v>202</v>
      </c>
      <c r="I630" s="8">
        <v>84.331482986111098</v>
      </c>
      <c r="J630" s="8">
        <v>14.642671805555601</v>
      </c>
      <c r="K630" s="6" t="s">
        <v>29</v>
      </c>
      <c r="L630" s="6" t="s">
        <v>335</v>
      </c>
      <c r="M630" s="9">
        <v>43935</v>
      </c>
      <c r="O630" s="6">
        <v>29</v>
      </c>
      <c r="P630" s="6" t="s">
        <v>4332</v>
      </c>
      <c r="R630" s="10"/>
      <c r="S630" s="10">
        <v>192</v>
      </c>
      <c r="T630" s="10">
        <v>211</v>
      </c>
      <c r="U630" s="10">
        <f t="shared" si="18"/>
        <v>201.5</v>
      </c>
      <c r="V630" s="11">
        <v>8.3000000000000007</v>
      </c>
      <c r="W630" s="8">
        <v>0.2911390357780454</v>
      </c>
      <c r="X630" s="8">
        <v>2.9170343849658966</v>
      </c>
      <c r="Y630" s="8">
        <f t="shared" si="19"/>
        <v>0.58792209874153345</v>
      </c>
    </row>
    <row r="631" spans="1:25" s="6" customFormat="1" x14ac:dyDescent="0.35">
      <c r="A631" s="6" t="s">
        <v>25</v>
      </c>
      <c r="B631" s="7"/>
      <c r="D631" s="6" t="s">
        <v>1194</v>
      </c>
      <c r="E631" s="6">
        <v>3</v>
      </c>
      <c r="F631" s="6">
        <v>32</v>
      </c>
      <c r="G631" s="6" t="s">
        <v>202</v>
      </c>
      <c r="I631" s="8">
        <v>86.257643333333306</v>
      </c>
      <c r="J631" s="8">
        <v>15.261599722222201</v>
      </c>
      <c r="K631" s="6" t="s">
        <v>29</v>
      </c>
      <c r="L631" s="6" t="s">
        <v>335</v>
      </c>
      <c r="M631" s="9">
        <v>43911</v>
      </c>
      <c r="O631" s="6">
        <v>25</v>
      </c>
      <c r="P631" s="6" t="s">
        <v>4351</v>
      </c>
      <c r="S631" s="6">
        <v>190.5</v>
      </c>
      <c r="T631" s="6">
        <v>220.5</v>
      </c>
      <c r="U631" s="10">
        <f t="shared" si="18"/>
        <v>205.5</v>
      </c>
      <c r="V631" s="6">
        <v>14.9</v>
      </c>
      <c r="W631" s="8">
        <v>-1.2063368366408351</v>
      </c>
      <c r="X631" s="8">
        <v>-7.4867801785945893</v>
      </c>
      <c r="Y631" s="8">
        <f t="shared" si="19"/>
        <v>2.1639145145320917</v>
      </c>
    </row>
    <row r="632" spans="1:25" s="6" customFormat="1" x14ac:dyDescent="0.35">
      <c r="A632" s="6" t="s">
        <v>25</v>
      </c>
      <c r="B632" s="7" t="s">
        <v>1478</v>
      </c>
      <c r="D632" s="6" t="s">
        <v>1479</v>
      </c>
      <c r="E632" s="6">
        <v>3</v>
      </c>
      <c r="F632" s="6">
        <v>37</v>
      </c>
      <c r="G632" s="6" t="s">
        <v>28</v>
      </c>
      <c r="I632" s="8">
        <v>83.999093333333306</v>
      </c>
      <c r="J632" s="8">
        <v>15.6102103472222</v>
      </c>
      <c r="K632" s="6" t="s">
        <v>29</v>
      </c>
      <c r="L632" s="6" t="s">
        <v>335</v>
      </c>
      <c r="M632" s="9">
        <v>43946</v>
      </c>
      <c r="O632" s="6">
        <v>30</v>
      </c>
      <c r="P632" s="6" t="s">
        <v>4265</v>
      </c>
      <c r="R632" s="10"/>
      <c r="S632" s="10">
        <v>200</v>
      </c>
      <c r="T632" s="10">
        <v>212</v>
      </c>
      <c r="U632" s="10">
        <f t="shared" si="18"/>
        <v>206</v>
      </c>
      <c r="V632" s="11">
        <v>6.1</v>
      </c>
      <c r="W632" s="8">
        <v>1.394900918006897</v>
      </c>
      <c r="X632" s="8">
        <v>11.03687138557434</v>
      </c>
      <c r="Y632" s="8">
        <f t="shared" si="19"/>
        <v>-0.12233595848083567</v>
      </c>
    </row>
  </sheetData>
  <sortState ref="A2:Z632">
    <sortCondition ref="U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EF75-2D53-448E-811B-81EB3DF01800}">
  <dimension ref="A1:Y138"/>
  <sheetViews>
    <sheetView workbookViewId="0"/>
  </sheetViews>
  <sheetFormatPr defaultRowHeight="14.5" x14ac:dyDescent="0.35"/>
  <cols>
    <col min="1" max="1" width="7.7265625" bestFit="1" customWidth="1"/>
    <col min="2" max="3" width="17" bestFit="1" customWidth="1"/>
    <col min="4" max="4" width="51" bestFit="1" customWidth="1"/>
    <col min="5" max="5" width="3.81640625" bestFit="1" customWidth="1"/>
    <col min="6" max="6" width="6" bestFit="1" customWidth="1"/>
    <col min="7" max="7" width="41.1796875" bestFit="1" customWidth="1"/>
    <col min="8" max="8" width="18.6328125" bestFit="1" customWidth="1"/>
    <col min="9" max="9" width="7.90625" bestFit="1" customWidth="1"/>
    <col min="10" max="10" width="9.36328125" bestFit="1" customWidth="1"/>
    <col min="11" max="11" width="10.90625" bestFit="1" customWidth="1"/>
    <col min="12" max="12" width="11.54296875" bestFit="1" customWidth="1"/>
    <col min="13" max="13" width="5.1796875" bestFit="1" customWidth="1"/>
    <col min="14" max="14" width="14" bestFit="1" customWidth="1"/>
    <col min="15" max="15" width="9.08984375" bestFit="1" customWidth="1"/>
    <col min="16" max="16" width="15.81640625" bestFit="1" customWidth="1"/>
    <col min="17" max="17" width="17.26953125" bestFit="1" customWidth="1"/>
    <col min="18" max="19" width="8" bestFit="1" customWidth="1"/>
    <col min="20" max="21" width="12" bestFit="1" customWidth="1"/>
    <col min="22" max="22" width="6" bestFit="1" customWidth="1"/>
    <col min="23" max="23" width="7" bestFit="1" customWidth="1"/>
    <col min="24" max="24" width="8.54296875" bestFit="1" customWidth="1"/>
    <col min="25" max="25" width="10.08984375" bestFit="1" customWidth="1"/>
  </cols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4" t="s">
        <v>16</v>
      </c>
      <c r="R1" s="4" t="s">
        <v>4241</v>
      </c>
      <c r="S1" s="4" t="s">
        <v>18</v>
      </c>
      <c r="T1" s="4" t="s">
        <v>19</v>
      </c>
      <c r="U1" s="1" t="s">
        <v>20</v>
      </c>
      <c r="V1" s="5" t="s">
        <v>21</v>
      </c>
      <c r="W1" s="5" t="s">
        <v>22</v>
      </c>
      <c r="X1" s="5" t="s">
        <v>23</v>
      </c>
      <c r="Y1" s="1" t="s">
        <v>24</v>
      </c>
    </row>
    <row r="2" spans="1:25" s="13" customFormat="1" x14ac:dyDescent="0.35">
      <c r="A2" s="6" t="s">
        <v>25</v>
      </c>
      <c r="B2" s="7" t="s">
        <v>387</v>
      </c>
      <c r="C2" s="6"/>
      <c r="D2" s="6" t="s">
        <v>388</v>
      </c>
      <c r="E2" s="6">
        <v>1</v>
      </c>
      <c r="F2" s="6">
        <v>7</v>
      </c>
      <c r="G2" s="6" t="s">
        <v>389</v>
      </c>
      <c r="H2" s="6"/>
      <c r="I2" s="8">
        <v>85.915187361111094</v>
      </c>
      <c r="J2" s="8">
        <v>116.660135</v>
      </c>
      <c r="K2" s="6" t="s">
        <v>390</v>
      </c>
      <c r="L2" s="9">
        <v>43780</v>
      </c>
      <c r="M2" s="6"/>
      <c r="N2" s="6">
        <v>7</v>
      </c>
      <c r="O2" s="6" t="s">
        <v>4259</v>
      </c>
      <c r="P2" s="6"/>
      <c r="Q2" s="10">
        <v>0.1</v>
      </c>
      <c r="R2" s="10"/>
      <c r="S2" s="10">
        <v>10</v>
      </c>
      <c r="T2" s="10">
        <f t="shared" ref="T2:T30" si="0">AVERAGE(R2:S2)</f>
        <v>10</v>
      </c>
      <c r="U2" s="11"/>
      <c r="V2" s="8">
        <v>-2.9937548718452454</v>
      </c>
      <c r="W2" s="8">
        <v>-21.407846488952639</v>
      </c>
      <c r="X2" s="8">
        <f t="shared" ref="X2:X33" si="1">W2-(8*V2)</f>
        <v>2.5421924858093234</v>
      </c>
      <c r="Y2" s="6"/>
    </row>
    <row r="3" spans="1:25" s="13" customFormat="1" x14ac:dyDescent="0.35">
      <c r="A3" s="6" t="s">
        <v>25</v>
      </c>
      <c r="B3" s="7" t="s">
        <v>391</v>
      </c>
      <c r="C3" s="6"/>
      <c r="D3" s="6" t="s">
        <v>392</v>
      </c>
      <c r="E3" s="6">
        <v>1</v>
      </c>
      <c r="F3" s="6">
        <v>7</v>
      </c>
      <c r="G3" s="6" t="s">
        <v>393</v>
      </c>
      <c r="H3" s="6"/>
      <c r="I3" s="8">
        <v>85.915187361111094</v>
      </c>
      <c r="J3" s="8">
        <v>116.660135</v>
      </c>
      <c r="K3" s="6" t="s">
        <v>390</v>
      </c>
      <c r="L3" s="9">
        <v>43780</v>
      </c>
      <c r="M3" s="6"/>
      <c r="N3" s="6">
        <v>7</v>
      </c>
      <c r="O3" s="6" t="s">
        <v>4259</v>
      </c>
      <c r="P3" s="6"/>
      <c r="Q3" s="10"/>
      <c r="R3" s="10"/>
      <c r="S3" s="10">
        <v>100</v>
      </c>
      <c r="T3" s="10">
        <f t="shared" si="0"/>
        <v>100</v>
      </c>
      <c r="U3" s="11"/>
      <c r="V3" s="8">
        <v>-1.9997978088855741</v>
      </c>
      <c r="W3" s="8">
        <v>-13.555145807266236</v>
      </c>
      <c r="X3" s="8">
        <f t="shared" si="1"/>
        <v>2.4432366638183574</v>
      </c>
      <c r="Y3" s="6"/>
    </row>
    <row r="4" spans="1:25" s="13" customFormat="1" x14ac:dyDescent="0.35">
      <c r="A4" s="6" t="s">
        <v>25</v>
      </c>
      <c r="B4" s="7" t="s">
        <v>394</v>
      </c>
      <c r="C4" s="6"/>
      <c r="D4" s="6" t="s">
        <v>395</v>
      </c>
      <c r="E4" s="6">
        <v>1</v>
      </c>
      <c r="F4" s="6">
        <v>7</v>
      </c>
      <c r="G4" s="6" t="s">
        <v>393</v>
      </c>
      <c r="H4" s="6"/>
      <c r="I4" s="8">
        <v>85.915187361111094</v>
      </c>
      <c r="J4" s="8">
        <v>116.660135</v>
      </c>
      <c r="K4" s="6" t="s">
        <v>390</v>
      </c>
      <c r="L4" s="9">
        <v>43780</v>
      </c>
      <c r="M4" s="6"/>
      <c r="N4" s="6">
        <v>7</v>
      </c>
      <c r="O4" s="6" t="s">
        <v>4259</v>
      </c>
      <c r="P4" s="6"/>
      <c r="Q4" s="10"/>
      <c r="R4" s="10"/>
      <c r="S4" s="10">
        <v>5</v>
      </c>
      <c r="T4" s="10">
        <f t="shared" si="0"/>
        <v>5</v>
      </c>
      <c r="U4" s="11"/>
      <c r="V4" s="8">
        <v>-3.8243853936195373</v>
      </c>
      <c r="W4" s="8">
        <v>-27.529077468872071</v>
      </c>
      <c r="X4" s="8">
        <f t="shared" si="1"/>
        <v>3.0660056800842277</v>
      </c>
      <c r="Y4" s="6"/>
    </row>
    <row r="5" spans="1:25" s="13" customFormat="1" x14ac:dyDescent="0.35">
      <c r="A5" s="6" t="s">
        <v>25</v>
      </c>
      <c r="B5" s="7" t="s">
        <v>396</v>
      </c>
      <c r="C5" s="6"/>
      <c r="D5" s="6" t="s">
        <v>397</v>
      </c>
      <c r="E5" s="6">
        <v>1</v>
      </c>
      <c r="F5" s="6">
        <v>7</v>
      </c>
      <c r="G5" s="6" t="s">
        <v>393</v>
      </c>
      <c r="H5" s="6"/>
      <c r="I5" s="8">
        <v>85.915187361111094</v>
      </c>
      <c r="J5" s="8">
        <v>116.660135</v>
      </c>
      <c r="K5" s="6" t="s">
        <v>390</v>
      </c>
      <c r="L5" s="9">
        <v>43780</v>
      </c>
      <c r="M5" s="6"/>
      <c r="N5" s="6">
        <v>7</v>
      </c>
      <c r="O5" s="6" t="s">
        <v>4259</v>
      </c>
      <c r="P5" s="6"/>
      <c r="Q5" s="10"/>
      <c r="R5" s="10"/>
      <c r="S5" s="10">
        <v>55</v>
      </c>
      <c r="T5" s="10">
        <f t="shared" si="0"/>
        <v>55</v>
      </c>
      <c r="U5" s="11"/>
      <c r="V5" s="8">
        <v>-3.1343555388450621</v>
      </c>
      <c r="W5" s="8">
        <v>-22.607129497528071</v>
      </c>
      <c r="X5" s="8">
        <f t="shared" si="1"/>
        <v>2.4677148132324263</v>
      </c>
      <c r="Y5" s="6"/>
    </row>
    <row r="6" spans="1:25" s="13" customFormat="1" x14ac:dyDescent="0.35">
      <c r="A6" s="6" t="s">
        <v>25</v>
      </c>
      <c r="B6" s="7" t="s">
        <v>843</v>
      </c>
      <c r="C6" s="6"/>
      <c r="D6" s="6" t="s">
        <v>844</v>
      </c>
      <c r="E6" s="6">
        <v>2</v>
      </c>
      <c r="F6" s="6">
        <v>19</v>
      </c>
      <c r="G6" s="6" t="s">
        <v>393</v>
      </c>
      <c r="H6" s="6"/>
      <c r="I6" s="8">
        <v>87.103055694444393</v>
      </c>
      <c r="J6" s="8">
        <v>115.160686597222</v>
      </c>
      <c r="K6" s="6" t="s">
        <v>390</v>
      </c>
      <c r="L6" s="9">
        <v>43836</v>
      </c>
      <c r="M6" s="6"/>
      <c r="N6" s="6">
        <v>15</v>
      </c>
      <c r="O6" s="6" t="s">
        <v>4271</v>
      </c>
      <c r="P6" s="6"/>
      <c r="Q6" s="10"/>
      <c r="R6" s="10">
        <v>7.5</v>
      </c>
      <c r="S6" s="10">
        <v>16</v>
      </c>
      <c r="T6" s="10">
        <f t="shared" si="0"/>
        <v>11.75</v>
      </c>
      <c r="U6" s="11"/>
      <c r="V6" s="8">
        <v>-0.80705701462030399</v>
      </c>
      <c r="W6" s="8">
        <v>-5.5739690093994145</v>
      </c>
      <c r="X6" s="8">
        <f t="shared" si="1"/>
        <v>0.8824871075630174</v>
      </c>
      <c r="Y6" s="6"/>
    </row>
    <row r="7" spans="1:25" s="13" customFormat="1" x14ac:dyDescent="0.35">
      <c r="A7" s="6" t="s">
        <v>25</v>
      </c>
      <c r="B7" s="7" t="s">
        <v>845</v>
      </c>
      <c r="C7" s="6"/>
      <c r="D7" s="6" t="s">
        <v>846</v>
      </c>
      <c r="E7" s="6">
        <v>2</v>
      </c>
      <c r="F7" s="6">
        <v>19</v>
      </c>
      <c r="G7" s="6" t="s">
        <v>393</v>
      </c>
      <c r="H7" s="6"/>
      <c r="I7" s="8">
        <v>87.103055694444393</v>
      </c>
      <c r="J7" s="8">
        <v>115.160686597222</v>
      </c>
      <c r="K7" s="6" t="s">
        <v>390</v>
      </c>
      <c r="L7" s="9">
        <v>43836</v>
      </c>
      <c r="M7" s="6"/>
      <c r="N7" s="6">
        <v>15</v>
      </c>
      <c r="O7" s="6" t="s">
        <v>4271</v>
      </c>
      <c r="P7" s="6"/>
      <c r="Q7" s="10"/>
      <c r="R7" s="10">
        <v>0</v>
      </c>
      <c r="S7" s="10">
        <v>7.5</v>
      </c>
      <c r="T7" s="10">
        <f t="shared" si="0"/>
        <v>3.75</v>
      </c>
      <c r="U7" s="11"/>
      <c r="V7" s="8">
        <v>-1.078891277313232</v>
      </c>
      <c r="W7" s="8">
        <v>-6.5864007472991961</v>
      </c>
      <c r="X7" s="8">
        <f t="shared" si="1"/>
        <v>2.0447294712066597</v>
      </c>
      <c r="Y7" s="6"/>
    </row>
    <row r="8" spans="1:25" s="13" customFormat="1" x14ac:dyDescent="0.35">
      <c r="A8" s="6" t="s">
        <v>25</v>
      </c>
      <c r="B8" s="7" t="s">
        <v>874</v>
      </c>
      <c r="C8" s="6"/>
      <c r="D8" s="6" t="s">
        <v>875</v>
      </c>
      <c r="E8" s="6">
        <v>2</v>
      </c>
      <c r="F8" s="6">
        <v>20</v>
      </c>
      <c r="G8" s="6" t="s">
        <v>876</v>
      </c>
      <c r="H8" s="6"/>
      <c r="I8" s="8">
        <v>87.477902013888894</v>
      </c>
      <c r="J8" s="8">
        <v>103.286648611111</v>
      </c>
      <c r="K8" s="6" t="s">
        <v>390</v>
      </c>
      <c r="L8" s="9">
        <v>43845</v>
      </c>
      <c r="M8" s="6"/>
      <c r="N8" s="6">
        <v>16</v>
      </c>
      <c r="O8" s="6" t="s">
        <v>4310</v>
      </c>
      <c r="P8" s="6"/>
      <c r="Q8" s="10"/>
      <c r="R8" s="10">
        <v>30</v>
      </c>
      <c r="S8" s="10">
        <v>40</v>
      </c>
      <c r="T8" s="10">
        <f t="shared" si="0"/>
        <v>35</v>
      </c>
      <c r="U8" s="11"/>
      <c r="V8" s="8">
        <v>-0.71515531302094471</v>
      </c>
      <c r="W8" s="8">
        <v>-6.0646081150770179</v>
      </c>
      <c r="X8" s="8">
        <f t="shared" si="1"/>
        <v>-0.34336561090946027</v>
      </c>
      <c r="Y8" s="6"/>
    </row>
    <row r="9" spans="1:25" s="13" customFormat="1" x14ac:dyDescent="0.35">
      <c r="A9" s="6" t="s">
        <v>25</v>
      </c>
      <c r="B9" s="7" t="s">
        <v>877</v>
      </c>
      <c r="C9" s="6"/>
      <c r="D9" s="6" t="s">
        <v>878</v>
      </c>
      <c r="E9" s="6">
        <v>2</v>
      </c>
      <c r="F9" s="6">
        <v>20</v>
      </c>
      <c r="G9" s="6" t="s">
        <v>876</v>
      </c>
      <c r="H9" s="6"/>
      <c r="I9" s="8">
        <v>87.477902013888894</v>
      </c>
      <c r="J9" s="8">
        <v>103.286648611111</v>
      </c>
      <c r="K9" s="6" t="s">
        <v>390</v>
      </c>
      <c r="L9" s="9">
        <v>43845</v>
      </c>
      <c r="M9" s="6"/>
      <c r="N9" s="6">
        <v>16</v>
      </c>
      <c r="O9" s="6" t="s">
        <v>4310</v>
      </c>
      <c r="P9" s="6"/>
      <c r="Q9" s="10"/>
      <c r="R9" s="10">
        <v>0</v>
      </c>
      <c r="S9" s="10">
        <v>10</v>
      </c>
      <c r="T9" s="10">
        <f t="shared" si="0"/>
        <v>5</v>
      </c>
      <c r="U9" s="11"/>
      <c r="V9" s="8">
        <v>-1.0583201913952827</v>
      </c>
      <c r="W9" s="8">
        <v>-6.4628016567230233</v>
      </c>
      <c r="X9" s="8">
        <f t="shared" si="1"/>
        <v>2.003759874439238</v>
      </c>
      <c r="Y9" s="6"/>
    </row>
    <row r="10" spans="1:25" s="13" customFormat="1" x14ac:dyDescent="0.35">
      <c r="A10" s="6" t="s">
        <v>25</v>
      </c>
      <c r="B10" s="7" t="s">
        <v>879</v>
      </c>
      <c r="C10" s="6"/>
      <c r="D10" s="6" t="s">
        <v>880</v>
      </c>
      <c r="E10" s="6">
        <v>2</v>
      </c>
      <c r="F10" s="6">
        <v>20</v>
      </c>
      <c r="G10" s="6" t="s">
        <v>876</v>
      </c>
      <c r="H10" s="6"/>
      <c r="I10" s="8">
        <v>87.477902013888894</v>
      </c>
      <c r="J10" s="8">
        <v>103.286648611111</v>
      </c>
      <c r="K10" s="6" t="s">
        <v>390</v>
      </c>
      <c r="L10" s="9">
        <v>43845</v>
      </c>
      <c r="M10" s="6"/>
      <c r="N10" s="6">
        <v>16</v>
      </c>
      <c r="O10" s="6" t="s">
        <v>4310</v>
      </c>
      <c r="P10" s="6"/>
      <c r="Q10" s="10"/>
      <c r="R10" s="10">
        <v>20</v>
      </c>
      <c r="S10" s="10">
        <v>30</v>
      </c>
      <c r="T10" s="10">
        <f t="shared" si="0"/>
        <v>25</v>
      </c>
      <c r="U10" s="11"/>
      <c r="V10" s="8">
        <v>-0.67531316019296628</v>
      </c>
      <c r="W10" s="8">
        <v>-4.3757442855834956</v>
      </c>
      <c r="X10" s="8">
        <f t="shared" si="1"/>
        <v>1.0267609959602346</v>
      </c>
      <c r="Y10" s="6"/>
    </row>
    <row r="11" spans="1:25" s="13" customFormat="1" x14ac:dyDescent="0.35">
      <c r="A11" s="6" t="s">
        <v>25</v>
      </c>
      <c r="B11" s="7" t="s">
        <v>881</v>
      </c>
      <c r="C11" s="6"/>
      <c r="D11" s="6" t="s">
        <v>882</v>
      </c>
      <c r="E11" s="6">
        <v>2</v>
      </c>
      <c r="F11" s="6">
        <v>20</v>
      </c>
      <c r="G11" s="6" t="s">
        <v>876</v>
      </c>
      <c r="H11" s="6"/>
      <c r="I11" s="8">
        <v>87.477902013888894</v>
      </c>
      <c r="J11" s="8">
        <v>103.286648611111</v>
      </c>
      <c r="K11" s="6" t="s">
        <v>390</v>
      </c>
      <c r="L11" s="9">
        <v>43845</v>
      </c>
      <c r="M11" s="6"/>
      <c r="N11" s="6">
        <v>16</v>
      </c>
      <c r="O11" s="6" t="s">
        <v>4310</v>
      </c>
      <c r="P11" s="6"/>
      <c r="Q11" s="10"/>
      <c r="R11" s="10">
        <v>10</v>
      </c>
      <c r="S11" s="10">
        <v>20</v>
      </c>
      <c r="T11" s="10">
        <f t="shared" si="0"/>
        <v>15</v>
      </c>
      <c r="U11" s="11"/>
      <c r="V11" s="8">
        <v>-0.64357637364864329</v>
      </c>
      <c r="W11" s="8">
        <v>-4.4333943862915044</v>
      </c>
      <c r="X11" s="8">
        <f t="shared" si="1"/>
        <v>0.71521660289764188</v>
      </c>
      <c r="Y11" s="6"/>
    </row>
    <row r="12" spans="1:25" s="13" customFormat="1" x14ac:dyDescent="0.35">
      <c r="A12" s="6" t="s">
        <v>25</v>
      </c>
      <c r="B12" s="7" t="s">
        <v>921</v>
      </c>
      <c r="C12" s="6"/>
      <c r="D12" s="6" t="s">
        <v>922</v>
      </c>
      <c r="E12" s="6">
        <v>2</v>
      </c>
      <c r="F12" s="6">
        <v>21</v>
      </c>
      <c r="G12" s="6" t="s">
        <v>923</v>
      </c>
      <c r="H12" s="6"/>
      <c r="I12" s="8">
        <v>87.4749859722222</v>
      </c>
      <c r="J12" s="8">
        <v>94.8952059722222</v>
      </c>
      <c r="K12" s="6" t="s">
        <v>390</v>
      </c>
      <c r="L12" s="9">
        <v>43852</v>
      </c>
      <c r="M12" s="6"/>
      <c r="N12" s="6">
        <v>17</v>
      </c>
      <c r="O12" s="6" t="s">
        <v>4258</v>
      </c>
      <c r="P12" s="6"/>
      <c r="Q12" s="10"/>
      <c r="R12" s="10">
        <v>45</v>
      </c>
      <c r="S12" s="10">
        <v>52.5</v>
      </c>
      <c r="T12" s="10">
        <f t="shared" si="0"/>
        <v>48.75</v>
      </c>
      <c r="U12" s="11"/>
      <c r="V12" s="8">
        <v>-0.62500012784004233</v>
      </c>
      <c r="W12" s="8">
        <v>-4.8583619074821467</v>
      </c>
      <c r="X12" s="8">
        <f t="shared" si="1"/>
        <v>0.14163911523819195</v>
      </c>
      <c r="Y12" s="6"/>
    </row>
    <row r="13" spans="1:25" s="13" customFormat="1" x14ac:dyDescent="0.35">
      <c r="A13" s="6" t="s">
        <v>25</v>
      </c>
      <c r="B13" s="7" t="s">
        <v>924</v>
      </c>
      <c r="C13" s="6"/>
      <c r="D13" s="6" t="s">
        <v>925</v>
      </c>
      <c r="E13" s="6">
        <v>2</v>
      </c>
      <c r="F13" s="6">
        <v>21</v>
      </c>
      <c r="G13" s="6" t="s">
        <v>923</v>
      </c>
      <c r="H13" s="6"/>
      <c r="I13" s="8">
        <v>87.4749859722222</v>
      </c>
      <c r="J13" s="8">
        <v>94.8952059722222</v>
      </c>
      <c r="K13" s="6" t="s">
        <v>390</v>
      </c>
      <c r="L13" s="9">
        <v>43852</v>
      </c>
      <c r="M13" s="6"/>
      <c r="N13" s="6">
        <v>17</v>
      </c>
      <c r="O13" s="6" t="s">
        <v>4258</v>
      </c>
      <c r="P13" s="6"/>
      <c r="Q13" s="10"/>
      <c r="R13" s="10">
        <v>37.5</v>
      </c>
      <c r="S13" s="10">
        <v>45</v>
      </c>
      <c r="T13" s="10">
        <f t="shared" si="0"/>
        <v>41.25</v>
      </c>
      <c r="U13" s="11"/>
      <c r="V13" s="8">
        <v>-0.6128005807876582</v>
      </c>
      <c r="W13" s="8">
        <v>-5.7855038542747499</v>
      </c>
      <c r="X13" s="8">
        <f t="shared" si="1"/>
        <v>-0.88309920797348429</v>
      </c>
      <c r="Y13" s="6"/>
    </row>
    <row r="14" spans="1:25" s="13" customFormat="1" x14ac:dyDescent="0.35">
      <c r="A14" s="6" t="s">
        <v>25</v>
      </c>
      <c r="B14" s="7" t="s">
        <v>926</v>
      </c>
      <c r="C14" s="6"/>
      <c r="D14" s="6" t="s">
        <v>927</v>
      </c>
      <c r="E14" s="6">
        <v>2</v>
      </c>
      <c r="F14" s="6">
        <v>21</v>
      </c>
      <c r="G14" s="6" t="s">
        <v>923</v>
      </c>
      <c r="H14" s="6"/>
      <c r="I14" s="8">
        <v>87.4749859722222</v>
      </c>
      <c r="J14" s="8">
        <v>94.8952059722222</v>
      </c>
      <c r="K14" s="6" t="s">
        <v>390</v>
      </c>
      <c r="L14" s="9">
        <v>43852</v>
      </c>
      <c r="M14" s="6"/>
      <c r="N14" s="6">
        <v>17</v>
      </c>
      <c r="O14" s="6" t="s">
        <v>4258</v>
      </c>
      <c r="P14" s="6"/>
      <c r="Q14" s="10"/>
      <c r="R14" s="10">
        <v>52.5</v>
      </c>
      <c r="S14" s="10">
        <v>60</v>
      </c>
      <c r="T14" s="10">
        <f t="shared" si="0"/>
        <v>56.25</v>
      </c>
      <c r="U14" s="11"/>
      <c r="V14" s="8">
        <v>-0.45427953748703048</v>
      </c>
      <c r="W14" s="8">
        <v>-3.6791021335124969</v>
      </c>
      <c r="X14" s="8">
        <f t="shared" si="1"/>
        <v>-4.486583361625307E-2</v>
      </c>
      <c r="Y14" s="6"/>
    </row>
    <row r="15" spans="1:25" s="13" customFormat="1" x14ac:dyDescent="0.35">
      <c r="A15" s="6" t="s">
        <v>25</v>
      </c>
      <c r="B15" s="7" t="s">
        <v>928</v>
      </c>
      <c r="C15" s="6"/>
      <c r="D15" s="6" t="s">
        <v>929</v>
      </c>
      <c r="E15" s="6">
        <v>2</v>
      </c>
      <c r="F15" s="6">
        <v>21</v>
      </c>
      <c r="G15" s="6" t="s">
        <v>923</v>
      </c>
      <c r="H15" s="6"/>
      <c r="I15" s="8">
        <v>87.4749859722222</v>
      </c>
      <c r="J15" s="8">
        <v>94.8952059722222</v>
      </c>
      <c r="K15" s="6" t="s">
        <v>390</v>
      </c>
      <c r="L15" s="9">
        <v>43852</v>
      </c>
      <c r="M15" s="6"/>
      <c r="N15" s="6">
        <v>17</v>
      </c>
      <c r="O15" s="6" t="s">
        <v>4258</v>
      </c>
      <c r="P15" s="6"/>
      <c r="Q15" s="10"/>
      <c r="R15" s="10">
        <v>0</v>
      </c>
      <c r="S15" s="10">
        <v>7.5</v>
      </c>
      <c r="T15" s="10">
        <f t="shared" si="0"/>
        <v>3.75</v>
      </c>
      <c r="U15" s="11"/>
      <c r="V15" s="8">
        <v>-1.0231332157135007</v>
      </c>
      <c r="W15" s="8">
        <v>-8.9919074888229371</v>
      </c>
      <c r="X15" s="8">
        <f t="shared" si="1"/>
        <v>-0.80684176311493161</v>
      </c>
      <c r="Y15" s="6"/>
    </row>
    <row r="16" spans="1:25" s="13" customFormat="1" x14ac:dyDescent="0.35">
      <c r="A16" s="6" t="s">
        <v>25</v>
      </c>
      <c r="B16" s="7" t="s">
        <v>930</v>
      </c>
      <c r="C16" s="6"/>
      <c r="D16" s="6" t="s">
        <v>931</v>
      </c>
      <c r="E16" s="6">
        <v>2</v>
      </c>
      <c r="F16" s="6">
        <v>21</v>
      </c>
      <c r="G16" s="6" t="s">
        <v>923</v>
      </c>
      <c r="H16" s="6"/>
      <c r="I16" s="8">
        <v>87.4749859722222</v>
      </c>
      <c r="J16" s="8">
        <v>94.8952059722222</v>
      </c>
      <c r="K16" s="6" t="s">
        <v>390</v>
      </c>
      <c r="L16" s="9">
        <v>43852</v>
      </c>
      <c r="M16" s="6"/>
      <c r="N16" s="6">
        <v>17</v>
      </c>
      <c r="O16" s="6" t="s">
        <v>4258</v>
      </c>
      <c r="P16" s="6"/>
      <c r="Q16" s="10"/>
      <c r="R16" s="10">
        <v>22.5</v>
      </c>
      <c r="S16" s="10">
        <v>30</v>
      </c>
      <c r="T16" s="10">
        <f t="shared" si="0"/>
        <v>26.25</v>
      </c>
      <c r="U16" s="11"/>
      <c r="V16" s="8">
        <v>-0.69165033965110767</v>
      </c>
      <c r="W16" s="8">
        <v>-5.3850275640487686</v>
      </c>
      <c r="X16" s="8">
        <f t="shared" si="1"/>
        <v>0.14817515316009278</v>
      </c>
      <c r="Y16" s="6"/>
    </row>
    <row r="17" spans="1:25" s="13" customFormat="1" x14ac:dyDescent="0.35">
      <c r="A17" s="6" t="s">
        <v>25</v>
      </c>
      <c r="B17" s="7" t="s">
        <v>932</v>
      </c>
      <c r="C17" s="6"/>
      <c r="D17" s="6" t="s">
        <v>933</v>
      </c>
      <c r="E17" s="6">
        <v>2</v>
      </c>
      <c r="F17" s="6">
        <v>21</v>
      </c>
      <c r="G17" s="6" t="s">
        <v>923</v>
      </c>
      <c r="H17" s="6"/>
      <c r="I17" s="8">
        <v>87.4749859722222</v>
      </c>
      <c r="J17" s="8">
        <v>94.8952059722222</v>
      </c>
      <c r="K17" s="6" t="s">
        <v>390</v>
      </c>
      <c r="L17" s="9">
        <v>43852</v>
      </c>
      <c r="M17" s="6"/>
      <c r="N17" s="6">
        <v>17</v>
      </c>
      <c r="O17" s="6" t="s">
        <v>4258</v>
      </c>
      <c r="P17" s="6"/>
      <c r="Q17" s="10"/>
      <c r="R17" s="10">
        <v>15</v>
      </c>
      <c r="S17" s="10">
        <v>22.5</v>
      </c>
      <c r="T17" s="10">
        <f t="shared" si="0"/>
        <v>18.75</v>
      </c>
      <c r="U17" s="11"/>
      <c r="V17" s="8">
        <v>-0.67362501053810153</v>
      </c>
      <c r="W17" s="8">
        <v>-5.5889973292350774</v>
      </c>
      <c r="X17" s="8">
        <f t="shared" si="1"/>
        <v>-0.19999724493026516</v>
      </c>
      <c r="Y17" s="6"/>
    </row>
    <row r="18" spans="1:25" s="13" customFormat="1" x14ac:dyDescent="0.35">
      <c r="A18" s="6" t="s">
        <v>25</v>
      </c>
      <c r="B18" s="7" t="s">
        <v>934</v>
      </c>
      <c r="C18" s="6"/>
      <c r="D18" s="6" t="s">
        <v>935</v>
      </c>
      <c r="E18" s="6">
        <v>2</v>
      </c>
      <c r="F18" s="6">
        <v>21</v>
      </c>
      <c r="G18" s="6" t="s">
        <v>923</v>
      </c>
      <c r="H18" s="6"/>
      <c r="I18" s="8">
        <v>87.4749859722222</v>
      </c>
      <c r="J18" s="8">
        <v>94.8952059722222</v>
      </c>
      <c r="K18" s="6" t="s">
        <v>390</v>
      </c>
      <c r="L18" s="9">
        <v>43852</v>
      </c>
      <c r="M18" s="6"/>
      <c r="N18" s="6">
        <v>17</v>
      </c>
      <c r="O18" s="6" t="s">
        <v>4258</v>
      </c>
      <c r="P18" s="6"/>
      <c r="Q18" s="10"/>
      <c r="R18" s="10">
        <v>7.5</v>
      </c>
      <c r="S18" s="10">
        <v>15</v>
      </c>
      <c r="T18" s="10">
        <f t="shared" si="0"/>
        <v>11.25</v>
      </c>
      <c r="U18" s="11"/>
      <c r="V18" s="8">
        <v>-0.79477914743423461</v>
      </c>
      <c r="W18" s="8">
        <v>-6.2196918210983281</v>
      </c>
      <c r="X18" s="8">
        <f t="shared" si="1"/>
        <v>0.13854135837554882</v>
      </c>
      <c r="Y18" s="6"/>
    </row>
    <row r="19" spans="1:25" s="13" customFormat="1" x14ac:dyDescent="0.35">
      <c r="A19" s="6" t="s">
        <v>25</v>
      </c>
      <c r="B19" s="7" t="s">
        <v>939</v>
      </c>
      <c r="C19" s="6"/>
      <c r="D19" s="6" t="s">
        <v>940</v>
      </c>
      <c r="E19" s="6">
        <v>2</v>
      </c>
      <c r="F19" s="6">
        <v>21</v>
      </c>
      <c r="G19" s="6" t="s">
        <v>941</v>
      </c>
      <c r="H19" s="6"/>
      <c r="I19" s="8">
        <v>87.416636944444406</v>
      </c>
      <c r="J19" s="8">
        <v>93.8729894444444</v>
      </c>
      <c r="K19" s="6" t="s">
        <v>390</v>
      </c>
      <c r="L19" s="9">
        <v>43856</v>
      </c>
      <c r="M19" s="6"/>
      <c r="N19" s="6">
        <v>18</v>
      </c>
      <c r="O19" s="6" t="s">
        <v>4315</v>
      </c>
      <c r="P19" s="6"/>
      <c r="Q19" s="10"/>
      <c r="R19" s="10">
        <v>0</v>
      </c>
      <c r="S19" s="10">
        <v>7.5</v>
      </c>
      <c r="T19" s="10">
        <f t="shared" si="0"/>
        <v>3.75</v>
      </c>
      <c r="U19" s="11"/>
      <c r="V19" s="8">
        <v>-1.210459717559814</v>
      </c>
      <c r="W19" s="8">
        <v>-10.222353589057922</v>
      </c>
      <c r="X19" s="8">
        <f t="shared" si="1"/>
        <v>-0.53867584857941075</v>
      </c>
      <c r="Y19" s="6"/>
    </row>
    <row r="20" spans="1:25" s="13" customFormat="1" x14ac:dyDescent="0.35">
      <c r="A20" s="6" t="s">
        <v>25</v>
      </c>
      <c r="B20" s="7" t="s">
        <v>942</v>
      </c>
      <c r="C20" s="6"/>
      <c r="D20" s="6" t="s">
        <v>943</v>
      </c>
      <c r="E20" s="6">
        <v>2</v>
      </c>
      <c r="F20" s="6">
        <v>21</v>
      </c>
      <c r="G20" s="6" t="s">
        <v>941</v>
      </c>
      <c r="H20" s="6"/>
      <c r="I20" s="8">
        <v>87.416636944444406</v>
      </c>
      <c r="J20" s="8">
        <v>93.8729894444444</v>
      </c>
      <c r="K20" s="6" t="s">
        <v>390</v>
      </c>
      <c r="L20" s="9">
        <v>43856</v>
      </c>
      <c r="M20" s="6"/>
      <c r="N20" s="6">
        <v>18</v>
      </c>
      <c r="O20" s="6" t="s">
        <v>4315</v>
      </c>
      <c r="P20" s="6"/>
      <c r="Q20" s="10"/>
      <c r="R20" s="10">
        <v>7.5</v>
      </c>
      <c r="S20" s="10">
        <v>15</v>
      </c>
      <c r="T20" s="10">
        <f t="shared" si="0"/>
        <v>11.25</v>
      </c>
      <c r="U20" s="11"/>
      <c r="V20" s="8">
        <v>-0.79291422932624822</v>
      </c>
      <c r="W20" s="8">
        <v>-4.8642005825042736</v>
      </c>
      <c r="X20" s="8">
        <f t="shared" si="1"/>
        <v>1.4791132521057122</v>
      </c>
      <c r="Y20" s="6"/>
    </row>
    <row r="21" spans="1:25" s="13" customFormat="1" x14ac:dyDescent="0.35">
      <c r="A21" s="6" t="s">
        <v>25</v>
      </c>
      <c r="B21" s="7" t="s">
        <v>944</v>
      </c>
      <c r="C21" s="6"/>
      <c r="D21" s="6" t="s">
        <v>945</v>
      </c>
      <c r="E21" s="6">
        <v>2</v>
      </c>
      <c r="F21" s="6">
        <v>21</v>
      </c>
      <c r="G21" s="6" t="s">
        <v>941</v>
      </c>
      <c r="H21" s="6"/>
      <c r="I21" s="8">
        <v>87.416636944444406</v>
      </c>
      <c r="J21" s="8">
        <v>93.8729894444444</v>
      </c>
      <c r="K21" s="6" t="s">
        <v>390</v>
      </c>
      <c r="L21" s="9">
        <v>43856</v>
      </c>
      <c r="M21" s="6"/>
      <c r="N21" s="6">
        <v>18</v>
      </c>
      <c r="O21" s="6" t="s">
        <v>4315</v>
      </c>
      <c r="P21" s="6"/>
      <c r="Q21" s="10"/>
      <c r="R21" s="10">
        <v>15</v>
      </c>
      <c r="S21" s="10">
        <v>22.5</v>
      </c>
      <c r="T21" s="10">
        <f t="shared" si="0"/>
        <v>18.75</v>
      </c>
      <c r="U21" s="11"/>
      <c r="V21" s="8">
        <v>-0.84523223042488094</v>
      </c>
      <c r="W21" s="8">
        <v>-4.924835909938813</v>
      </c>
      <c r="X21" s="8">
        <f t="shared" si="1"/>
        <v>1.8370219334602345</v>
      </c>
      <c r="Y21" s="6"/>
    </row>
    <row r="22" spans="1:25" s="13" customFormat="1" x14ac:dyDescent="0.35">
      <c r="A22" s="6" t="s">
        <v>25</v>
      </c>
      <c r="B22" s="7" t="s">
        <v>970</v>
      </c>
      <c r="C22" s="6"/>
      <c r="D22" s="6" t="s">
        <v>971</v>
      </c>
      <c r="E22" s="6">
        <v>2</v>
      </c>
      <c r="F22" s="6">
        <v>22</v>
      </c>
      <c r="G22" s="6" t="s">
        <v>923</v>
      </c>
      <c r="H22" s="6"/>
      <c r="I22" s="8">
        <v>87.472233819444398</v>
      </c>
      <c r="J22" s="8">
        <v>95.318004999999999</v>
      </c>
      <c r="K22" s="6" t="s">
        <v>390</v>
      </c>
      <c r="L22" s="9">
        <v>43859</v>
      </c>
      <c r="M22" s="6"/>
      <c r="N22" s="6">
        <v>18</v>
      </c>
      <c r="O22" s="6" t="s">
        <v>4317</v>
      </c>
      <c r="P22" s="6"/>
      <c r="Q22" s="10"/>
      <c r="R22" s="10">
        <v>0</v>
      </c>
      <c r="S22" s="10">
        <v>8</v>
      </c>
      <c r="T22" s="10">
        <f t="shared" si="0"/>
        <v>4</v>
      </c>
      <c r="U22" s="11"/>
      <c r="V22" s="8">
        <v>-0.96317633085250876</v>
      </c>
      <c r="W22" s="8">
        <v>-8.0730575680732723</v>
      </c>
      <c r="X22" s="8">
        <f t="shared" si="1"/>
        <v>-0.36764692125320231</v>
      </c>
      <c r="Y22" s="6"/>
    </row>
    <row r="23" spans="1:25" s="13" customFormat="1" x14ac:dyDescent="0.35">
      <c r="A23" s="6" t="s">
        <v>25</v>
      </c>
      <c r="B23" s="7" t="s">
        <v>972</v>
      </c>
      <c r="C23" s="6"/>
      <c r="D23" s="6" t="s">
        <v>973</v>
      </c>
      <c r="E23" s="6">
        <v>2</v>
      </c>
      <c r="F23" s="6">
        <v>22</v>
      </c>
      <c r="G23" s="6" t="s">
        <v>923</v>
      </c>
      <c r="H23" s="6"/>
      <c r="I23" s="8">
        <v>87.472233819444398</v>
      </c>
      <c r="J23" s="8">
        <v>95.318004999999999</v>
      </c>
      <c r="K23" s="6" t="s">
        <v>390</v>
      </c>
      <c r="L23" s="9">
        <v>43859</v>
      </c>
      <c r="M23" s="6"/>
      <c r="N23" s="6">
        <v>18</v>
      </c>
      <c r="O23" s="6" t="s">
        <v>4317</v>
      </c>
      <c r="P23" s="6"/>
      <c r="Q23" s="10"/>
      <c r="R23" s="10">
        <v>56</v>
      </c>
      <c r="S23" s="10">
        <v>64</v>
      </c>
      <c r="T23" s="10">
        <f t="shared" si="0"/>
        <v>60</v>
      </c>
      <c r="U23" s="11"/>
      <c r="V23" s="8">
        <v>-0.44590153853893261</v>
      </c>
      <c r="W23" s="8">
        <v>-3.5209688584804533</v>
      </c>
      <c r="X23" s="8">
        <f t="shared" si="1"/>
        <v>4.6243449831007588E-2</v>
      </c>
      <c r="Y23" s="6"/>
    </row>
    <row r="24" spans="1:25" s="13" customFormat="1" x14ac:dyDescent="0.35">
      <c r="A24" s="6" t="s">
        <v>25</v>
      </c>
      <c r="B24" s="7" t="s">
        <v>974</v>
      </c>
      <c r="C24" s="6"/>
      <c r="D24" s="6" t="s">
        <v>975</v>
      </c>
      <c r="E24" s="6">
        <v>2</v>
      </c>
      <c r="F24" s="6">
        <v>22</v>
      </c>
      <c r="G24" s="6" t="s">
        <v>923</v>
      </c>
      <c r="H24" s="6"/>
      <c r="I24" s="8">
        <v>87.472233819444398</v>
      </c>
      <c r="J24" s="8">
        <v>95.318004999999999</v>
      </c>
      <c r="K24" s="6" t="s">
        <v>390</v>
      </c>
      <c r="L24" s="9">
        <v>43859</v>
      </c>
      <c r="M24" s="6"/>
      <c r="N24" s="6">
        <v>18</v>
      </c>
      <c r="O24" s="6" t="s">
        <v>4317</v>
      </c>
      <c r="P24" s="6"/>
      <c r="Q24" s="10"/>
      <c r="R24" s="10">
        <v>48</v>
      </c>
      <c r="S24" s="10">
        <v>56</v>
      </c>
      <c r="T24" s="10">
        <f t="shared" si="0"/>
        <v>52</v>
      </c>
      <c r="U24" s="11"/>
      <c r="V24" s="8">
        <v>-0.51541676692962668</v>
      </c>
      <c r="W24" s="8">
        <v>-4.262842663288116</v>
      </c>
      <c r="X24" s="8">
        <f t="shared" si="1"/>
        <v>-0.13950852785110257</v>
      </c>
      <c r="Y24" s="6"/>
    </row>
    <row r="25" spans="1:25" s="13" customFormat="1" x14ac:dyDescent="0.35">
      <c r="A25" s="6" t="s">
        <v>25</v>
      </c>
      <c r="B25" s="7" t="s">
        <v>976</v>
      </c>
      <c r="C25" s="6"/>
      <c r="D25" s="6" t="s">
        <v>977</v>
      </c>
      <c r="E25" s="6">
        <v>2</v>
      </c>
      <c r="F25" s="6">
        <v>22</v>
      </c>
      <c r="G25" s="6" t="s">
        <v>923</v>
      </c>
      <c r="H25" s="6"/>
      <c r="I25" s="8">
        <v>87.472233819444398</v>
      </c>
      <c r="J25" s="8">
        <v>95.318004999999999</v>
      </c>
      <c r="K25" s="6" t="s">
        <v>390</v>
      </c>
      <c r="L25" s="9">
        <v>43859</v>
      </c>
      <c r="M25" s="6"/>
      <c r="N25" s="6">
        <v>18</v>
      </c>
      <c r="O25" s="6" t="s">
        <v>4317</v>
      </c>
      <c r="P25" s="6"/>
      <c r="Q25" s="10"/>
      <c r="R25" s="10">
        <v>42</v>
      </c>
      <c r="S25" s="10">
        <v>48</v>
      </c>
      <c r="T25" s="10">
        <f t="shared" si="0"/>
        <v>45</v>
      </c>
      <c r="U25" s="11"/>
      <c r="V25" s="8">
        <v>-0.51541129248619122</v>
      </c>
      <c r="W25" s="8">
        <v>-3.7023300647735593</v>
      </c>
      <c r="X25" s="8">
        <f t="shared" si="1"/>
        <v>0.42096027511597045</v>
      </c>
      <c r="Y25" s="6"/>
    </row>
    <row r="26" spans="1:25" s="13" customFormat="1" x14ac:dyDescent="0.35">
      <c r="A26" s="6" t="s">
        <v>25</v>
      </c>
      <c r="B26" s="7" t="s">
        <v>978</v>
      </c>
      <c r="C26" s="6"/>
      <c r="D26" s="6" t="s">
        <v>979</v>
      </c>
      <c r="E26" s="6">
        <v>2</v>
      </c>
      <c r="F26" s="6">
        <v>22</v>
      </c>
      <c r="G26" s="6" t="s">
        <v>923</v>
      </c>
      <c r="H26" s="6"/>
      <c r="I26" s="8">
        <v>87.472233819444398</v>
      </c>
      <c r="J26" s="8">
        <v>95.318004999999999</v>
      </c>
      <c r="K26" s="6" t="s">
        <v>390</v>
      </c>
      <c r="L26" s="9">
        <v>43859</v>
      </c>
      <c r="M26" s="6"/>
      <c r="N26" s="6">
        <v>18</v>
      </c>
      <c r="O26" s="6" t="s">
        <v>4317</v>
      </c>
      <c r="P26" s="6"/>
      <c r="Q26" s="10"/>
      <c r="R26" s="10">
        <v>32</v>
      </c>
      <c r="S26" s="10">
        <v>40</v>
      </c>
      <c r="T26" s="10">
        <f t="shared" si="0"/>
        <v>36</v>
      </c>
      <c r="U26" s="11"/>
      <c r="V26" s="8">
        <v>-0.78747186177253736</v>
      </c>
      <c r="W26" s="8">
        <v>-5.6972500228881842</v>
      </c>
      <c r="X26" s="8">
        <f t="shared" si="1"/>
        <v>0.60252487129211474</v>
      </c>
      <c r="Y26" s="6"/>
    </row>
    <row r="27" spans="1:25" s="13" customFormat="1" x14ac:dyDescent="0.35">
      <c r="A27" s="6" t="s">
        <v>25</v>
      </c>
      <c r="B27" s="7" t="s">
        <v>980</v>
      </c>
      <c r="C27" s="6"/>
      <c r="D27" s="6" t="s">
        <v>981</v>
      </c>
      <c r="E27" s="6">
        <v>2</v>
      </c>
      <c r="F27" s="6">
        <v>22</v>
      </c>
      <c r="G27" s="6" t="s">
        <v>923</v>
      </c>
      <c r="H27" s="6"/>
      <c r="I27" s="8">
        <v>87.472233819444398</v>
      </c>
      <c r="J27" s="8">
        <v>95.318004999999999</v>
      </c>
      <c r="K27" s="6" t="s">
        <v>390</v>
      </c>
      <c r="L27" s="9">
        <v>43859</v>
      </c>
      <c r="M27" s="6"/>
      <c r="N27" s="6">
        <v>18</v>
      </c>
      <c r="O27" s="6" t="s">
        <v>4317</v>
      </c>
      <c r="P27" s="6"/>
      <c r="Q27" s="10"/>
      <c r="R27" s="10">
        <v>24</v>
      </c>
      <c r="S27" s="10">
        <v>32</v>
      </c>
      <c r="T27" s="10">
        <f t="shared" si="0"/>
        <v>28</v>
      </c>
      <c r="U27" s="11"/>
      <c r="V27" s="8">
        <v>-0.7332262791919707</v>
      </c>
      <c r="W27" s="8">
        <v>-4.7398711013793946</v>
      </c>
      <c r="X27" s="8">
        <f t="shared" si="1"/>
        <v>1.125939132156371</v>
      </c>
      <c r="Y27" s="6"/>
    </row>
    <row r="28" spans="1:25" s="13" customFormat="1" x14ac:dyDescent="0.35">
      <c r="A28" s="6" t="s">
        <v>25</v>
      </c>
      <c r="B28" s="7" t="s">
        <v>982</v>
      </c>
      <c r="C28" s="6"/>
      <c r="D28" s="6" t="s">
        <v>983</v>
      </c>
      <c r="E28" s="6">
        <v>2</v>
      </c>
      <c r="F28" s="6">
        <v>22</v>
      </c>
      <c r="G28" s="6" t="s">
        <v>923</v>
      </c>
      <c r="H28" s="6"/>
      <c r="I28" s="8">
        <v>87.472233819444398</v>
      </c>
      <c r="J28" s="8">
        <v>95.318004999999999</v>
      </c>
      <c r="K28" s="6" t="s">
        <v>390</v>
      </c>
      <c r="L28" s="9">
        <v>43859</v>
      </c>
      <c r="M28" s="6"/>
      <c r="N28" s="6">
        <v>18</v>
      </c>
      <c r="O28" s="6" t="s">
        <v>4317</v>
      </c>
      <c r="P28" s="6"/>
      <c r="Q28" s="10"/>
      <c r="R28" s="10">
        <v>16</v>
      </c>
      <c r="S28" s="10">
        <v>24</v>
      </c>
      <c r="T28" s="10">
        <f t="shared" si="0"/>
        <v>20</v>
      </c>
      <c r="U28" s="11"/>
      <c r="V28" s="8">
        <v>-0.6808257180976871</v>
      </c>
      <c r="W28" s="8">
        <v>-4.4292607212066653</v>
      </c>
      <c r="X28" s="8">
        <f t="shared" si="1"/>
        <v>1.0173450235748316</v>
      </c>
      <c r="Y28" s="6"/>
    </row>
    <row r="29" spans="1:25" s="13" customFormat="1" x14ac:dyDescent="0.35">
      <c r="A29" s="6" t="s">
        <v>25</v>
      </c>
      <c r="B29" s="7" t="s">
        <v>984</v>
      </c>
      <c r="C29" s="6"/>
      <c r="D29" s="6" t="s">
        <v>985</v>
      </c>
      <c r="E29" s="6">
        <v>2</v>
      </c>
      <c r="F29" s="6">
        <v>22</v>
      </c>
      <c r="G29" s="6" t="s">
        <v>923</v>
      </c>
      <c r="H29" s="6"/>
      <c r="I29" s="8">
        <v>87.472233819444398</v>
      </c>
      <c r="J29" s="8">
        <v>95.318004999999999</v>
      </c>
      <c r="K29" s="6" t="s">
        <v>390</v>
      </c>
      <c r="L29" s="9">
        <v>43859</v>
      </c>
      <c r="M29" s="6"/>
      <c r="N29" s="6">
        <v>18</v>
      </c>
      <c r="O29" s="6" t="s">
        <v>4317</v>
      </c>
      <c r="P29" s="6"/>
      <c r="Q29" s="10"/>
      <c r="R29" s="10">
        <v>0</v>
      </c>
      <c r="S29" s="10">
        <v>4</v>
      </c>
      <c r="T29" s="10">
        <f t="shared" si="0"/>
        <v>2</v>
      </c>
      <c r="U29" s="11"/>
      <c r="V29" s="8">
        <v>-1.2079658627510068</v>
      </c>
      <c r="W29" s="8">
        <v>-8.4409163919448851</v>
      </c>
      <c r="X29" s="8">
        <f t="shared" si="1"/>
        <v>1.2228105100631694</v>
      </c>
      <c r="Y29" s="6"/>
    </row>
    <row r="30" spans="1:25" s="13" customFormat="1" x14ac:dyDescent="0.35">
      <c r="A30" s="6" t="s">
        <v>25</v>
      </c>
      <c r="B30" s="7" t="s">
        <v>987</v>
      </c>
      <c r="C30" s="6"/>
      <c r="D30" s="6" t="s">
        <v>988</v>
      </c>
      <c r="E30" s="6">
        <v>2</v>
      </c>
      <c r="F30" s="6">
        <v>22</v>
      </c>
      <c r="G30" s="6" t="s">
        <v>923</v>
      </c>
      <c r="H30" s="6"/>
      <c r="I30" s="8">
        <v>87.472233819444398</v>
      </c>
      <c r="J30" s="8">
        <v>95.318004999999999</v>
      </c>
      <c r="K30" s="6" t="s">
        <v>390</v>
      </c>
      <c r="L30" s="9">
        <v>43859</v>
      </c>
      <c r="M30" s="6"/>
      <c r="N30" s="6">
        <v>18</v>
      </c>
      <c r="O30" s="6" t="s">
        <v>4317</v>
      </c>
      <c r="P30" s="6"/>
      <c r="Q30" s="10"/>
      <c r="R30" s="10">
        <v>8</v>
      </c>
      <c r="S30" s="10">
        <v>16</v>
      </c>
      <c r="T30" s="10">
        <f t="shared" si="0"/>
        <v>12</v>
      </c>
      <c r="U30" s="11"/>
      <c r="V30" s="8">
        <v>-0.88900331854820247</v>
      </c>
      <c r="W30" s="8">
        <v>-5.8996184233188629</v>
      </c>
      <c r="X30" s="8">
        <f t="shared" si="1"/>
        <v>1.2124081250667569</v>
      </c>
      <c r="Y30" s="6"/>
    </row>
    <row r="31" spans="1:25" s="13" customFormat="1" x14ac:dyDescent="0.35">
      <c r="A31" s="6" t="s">
        <v>25</v>
      </c>
      <c r="B31" s="7" t="s">
        <v>989</v>
      </c>
      <c r="C31" s="6"/>
      <c r="D31" s="6" t="s">
        <v>990</v>
      </c>
      <c r="E31" s="6">
        <v>2</v>
      </c>
      <c r="F31" s="6">
        <v>22</v>
      </c>
      <c r="G31" s="6" t="s">
        <v>923</v>
      </c>
      <c r="H31" s="6"/>
      <c r="I31" s="8">
        <v>87.455539236111093</v>
      </c>
      <c r="J31" s="8">
        <v>96.352106111111098</v>
      </c>
      <c r="K31" s="6" t="s">
        <v>390</v>
      </c>
      <c r="L31" s="9">
        <v>43860</v>
      </c>
      <c r="M31" s="6"/>
      <c r="N31" s="6">
        <v>18</v>
      </c>
      <c r="O31" s="6" t="s">
        <v>4318</v>
      </c>
      <c r="P31" s="6"/>
      <c r="Q31" s="10"/>
      <c r="R31" s="10"/>
      <c r="S31" s="10"/>
      <c r="T31" s="10"/>
      <c r="U31" s="11"/>
      <c r="V31" s="8">
        <v>-3.1222373091506959</v>
      </c>
      <c r="W31" s="8">
        <v>-21.987826614379884</v>
      </c>
      <c r="X31" s="8">
        <f t="shared" si="1"/>
        <v>2.9900718588256829</v>
      </c>
      <c r="Y31" s="6"/>
    </row>
    <row r="32" spans="1:25" s="13" customFormat="1" x14ac:dyDescent="0.35">
      <c r="A32" s="6" t="s">
        <v>25</v>
      </c>
      <c r="B32" s="7"/>
      <c r="C32" s="6"/>
      <c r="D32" s="6" t="s">
        <v>994</v>
      </c>
      <c r="E32" s="6">
        <v>2</v>
      </c>
      <c r="F32" s="6">
        <v>23</v>
      </c>
      <c r="G32" s="6" t="s">
        <v>995</v>
      </c>
      <c r="H32" s="6"/>
      <c r="I32" s="8">
        <v>87.352736041666702</v>
      </c>
      <c r="J32" s="8">
        <v>94.772103819444396</v>
      </c>
      <c r="K32" s="6" t="s">
        <v>390</v>
      </c>
      <c r="L32" s="9">
        <v>43863</v>
      </c>
      <c r="M32" s="6"/>
      <c r="N32" s="6">
        <v>19</v>
      </c>
      <c r="O32" s="6" t="s">
        <v>4321</v>
      </c>
      <c r="P32" s="6"/>
      <c r="Q32" s="6"/>
      <c r="R32" s="6">
        <v>0</v>
      </c>
      <c r="S32" s="6">
        <v>8</v>
      </c>
      <c r="T32" s="10">
        <f t="shared" ref="T32:T43" si="2">AVERAGE(R32:S32)</f>
        <v>4</v>
      </c>
      <c r="U32" s="6"/>
      <c r="V32" s="8">
        <v>-0.78167376489520035</v>
      </c>
      <c r="W32" s="8">
        <v>-5.8314198630094518</v>
      </c>
      <c r="X32" s="8">
        <f t="shared" si="1"/>
        <v>0.421970256152151</v>
      </c>
      <c r="Y32" s="6"/>
    </row>
    <row r="33" spans="1:25" s="13" customFormat="1" x14ac:dyDescent="0.35">
      <c r="A33" s="6" t="s">
        <v>25</v>
      </c>
      <c r="B33" s="7"/>
      <c r="C33" s="6"/>
      <c r="D33" s="6" t="s">
        <v>1013</v>
      </c>
      <c r="E33" s="6">
        <v>2</v>
      </c>
      <c r="F33" s="6">
        <v>23</v>
      </c>
      <c r="G33" s="6" t="s">
        <v>1012</v>
      </c>
      <c r="H33" s="6"/>
      <c r="I33" s="8">
        <v>87.547686597222196</v>
      </c>
      <c r="J33" s="8">
        <v>94.790669652777794</v>
      </c>
      <c r="K33" s="6" t="s">
        <v>390</v>
      </c>
      <c r="L33" s="9">
        <v>43866</v>
      </c>
      <c r="M33" s="6"/>
      <c r="N33" s="6">
        <v>19</v>
      </c>
      <c r="O33" s="6" t="s">
        <v>4323</v>
      </c>
      <c r="P33" s="6"/>
      <c r="Q33" s="6"/>
      <c r="R33" s="6">
        <v>0</v>
      </c>
      <c r="S33" s="6">
        <v>7.5</v>
      </c>
      <c r="T33" s="10">
        <f t="shared" si="2"/>
        <v>3.75</v>
      </c>
      <c r="U33" s="6"/>
      <c r="V33" s="8">
        <v>-1.5952084239578248</v>
      </c>
      <c r="W33" s="8">
        <v>-10.531311960983277</v>
      </c>
      <c r="X33" s="8">
        <f t="shared" si="1"/>
        <v>2.230355430679321</v>
      </c>
      <c r="Y33" s="6"/>
    </row>
    <row r="34" spans="1:25" s="13" customFormat="1" x14ac:dyDescent="0.35">
      <c r="A34" s="6" t="s">
        <v>25</v>
      </c>
      <c r="B34" s="7"/>
      <c r="C34" s="6"/>
      <c r="D34" s="6" t="s">
        <v>1014</v>
      </c>
      <c r="E34" s="6">
        <v>2</v>
      </c>
      <c r="F34" s="6">
        <v>23</v>
      </c>
      <c r="G34" s="6" t="s">
        <v>1012</v>
      </c>
      <c r="H34" s="6"/>
      <c r="I34" s="8">
        <v>87.547686597222196</v>
      </c>
      <c r="J34" s="8">
        <v>94.790669652777794</v>
      </c>
      <c r="K34" s="6" t="s">
        <v>390</v>
      </c>
      <c r="L34" s="9">
        <v>43866</v>
      </c>
      <c r="M34" s="6"/>
      <c r="N34" s="6">
        <v>19</v>
      </c>
      <c r="O34" s="6" t="s">
        <v>4323</v>
      </c>
      <c r="P34" s="6"/>
      <c r="Q34" s="6"/>
      <c r="R34" s="6">
        <v>7.5</v>
      </c>
      <c r="S34" s="6">
        <v>15</v>
      </c>
      <c r="T34" s="10">
        <f t="shared" si="2"/>
        <v>11.25</v>
      </c>
      <c r="U34" s="6"/>
      <c r="V34" s="8">
        <v>-1.0713567143917087</v>
      </c>
      <c r="W34" s="8">
        <v>-6.4897803552031519</v>
      </c>
      <c r="X34" s="8">
        <f t="shared" ref="X34:X65" si="3">W34-(8*V34)</f>
        <v>2.0810733599305173</v>
      </c>
      <c r="Y34" s="6"/>
    </row>
    <row r="35" spans="1:25" s="13" customFormat="1" x14ac:dyDescent="0.35">
      <c r="A35" s="6" t="s">
        <v>25</v>
      </c>
      <c r="B35" s="7"/>
      <c r="C35" s="6"/>
      <c r="D35" s="6" t="s">
        <v>1015</v>
      </c>
      <c r="E35" s="6">
        <v>2</v>
      </c>
      <c r="F35" s="6">
        <v>23</v>
      </c>
      <c r="G35" s="6" t="s">
        <v>1016</v>
      </c>
      <c r="H35" s="6"/>
      <c r="I35" s="8">
        <v>87.547686597222196</v>
      </c>
      <c r="J35" s="8">
        <v>94.790669652777794</v>
      </c>
      <c r="K35" s="6" t="s">
        <v>390</v>
      </c>
      <c r="L35" s="9">
        <v>43866</v>
      </c>
      <c r="M35" s="6"/>
      <c r="N35" s="6">
        <v>19</v>
      </c>
      <c r="O35" s="6" t="s">
        <v>4323</v>
      </c>
      <c r="P35" s="6"/>
      <c r="Q35" s="6"/>
      <c r="R35" s="6">
        <v>0</v>
      </c>
      <c r="S35" s="6">
        <v>8</v>
      </c>
      <c r="T35" s="10">
        <f t="shared" si="2"/>
        <v>4</v>
      </c>
      <c r="U35" s="6"/>
      <c r="V35" s="8">
        <v>-0.78676166276693316</v>
      </c>
      <c r="W35" s="8">
        <v>-5.5231788335323317</v>
      </c>
      <c r="X35" s="8">
        <f t="shared" si="3"/>
        <v>0.77091446860313351</v>
      </c>
      <c r="Y35" s="6"/>
    </row>
    <row r="36" spans="1:25" s="13" customFormat="1" x14ac:dyDescent="0.35">
      <c r="A36" s="6" t="s">
        <v>25</v>
      </c>
      <c r="B36" s="7"/>
      <c r="C36" s="6"/>
      <c r="D36" s="6" t="s">
        <v>1017</v>
      </c>
      <c r="E36" s="6">
        <v>2</v>
      </c>
      <c r="F36" s="6">
        <v>23</v>
      </c>
      <c r="G36" s="6" t="s">
        <v>1016</v>
      </c>
      <c r="H36" s="6"/>
      <c r="I36" s="8">
        <v>87.547686597222196</v>
      </c>
      <c r="J36" s="8">
        <v>94.790669652777794</v>
      </c>
      <c r="K36" s="6" t="s">
        <v>390</v>
      </c>
      <c r="L36" s="9">
        <v>43866</v>
      </c>
      <c r="M36" s="6"/>
      <c r="N36" s="6">
        <v>19</v>
      </c>
      <c r="O36" s="6" t="s">
        <v>4323</v>
      </c>
      <c r="P36" s="6"/>
      <c r="Q36" s="6"/>
      <c r="R36" s="6">
        <v>8</v>
      </c>
      <c r="S36" s="6">
        <v>16</v>
      </c>
      <c r="T36" s="10">
        <f t="shared" si="2"/>
        <v>12</v>
      </c>
      <c r="U36" s="6"/>
      <c r="V36" s="8">
        <v>-0.83646438412427893</v>
      </c>
      <c r="W36" s="8">
        <v>-5.4227969666004174</v>
      </c>
      <c r="X36" s="8">
        <f t="shared" si="3"/>
        <v>1.268918106393814</v>
      </c>
      <c r="Y36" s="6"/>
    </row>
    <row r="37" spans="1:25" s="13" customFormat="1" x14ac:dyDescent="0.35">
      <c r="A37" s="6" t="s">
        <v>25</v>
      </c>
      <c r="B37" s="7"/>
      <c r="C37" s="6"/>
      <c r="D37" s="6" t="s">
        <v>1018</v>
      </c>
      <c r="E37" s="6">
        <v>2</v>
      </c>
      <c r="F37" s="6">
        <v>23</v>
      </c>
      <c r="G37" s="6" t="s">
        <v>1016</v>
      </c>
      <c r="H37" s="6"/>
      <c r="I37" s="8">
        <v>87.547686597222196</v>
      </c>
      <c r="J37" s="8">
        <v>94.790669652777794</v>
      </c>
      <c r="K37" s="6" t="s">
        <v>390</v>
      </c>
      <c r="L37" s="9">
        <v>43866</v>
      </c>
      <c r="M37" s="6"/>
      <c r="N37" s="6">
        <v>19</v>
      </c>
      <c r="O37" s="6" t="s">
        <v>4323</v>
      </c>
      <c r="P37" s="6"/>
      <c r="Q37" s="6"/>
      <c r="R37" s="6">
        <v>16</v>
      </c>
      <c r="S37" s="6">
        <v>24</v>
      </c>
      <c r="T37" s="10">
        <f t="shared" si="2"/>
        <v>20</v>
      </c>
      <c r="U37" s="6"/>
      <c r="V37" s="8">
        <v>-0.71456377796888304</v>
      </c>
      <c r="W37" s="8">
        <v>-3.8357614491462702</v>
      </c>
      <c r="X37" s="8">
        <f t="shared" si="3"/>
        <v>1.8807487746047942</v>
      </c>
      <c r="Y37" s="6"/>
    </row>
    <row r="38" spans="1:25" s="13" customFormat="1" x14ac:dyDescent="0.35">
      <c r="A38" s="6" t="s">
        <v>25</v>
      </c>
      <c r="B38" s="7"/>
      <c r="C38" s="6"/>
      <c r="D38" s="6" t="s">
        <v>1019</v>
      </c>
      <c r="E38" s="6">
        <v>2</v>
      </c>
      <c r="F38" s="6">
        <v>23</v>
      </c>
      <c r="G38" s="6" t="s">
        <v>1016</v>
      </c>
      <c r="H38" s="6"/>
      <c r="I38" s="8">
        <v>87.547686597222196</v>
      </c>
      <c r="J38" s="8">
        <v>94.790669652777794</v>
      </c>
      <c r="K38" s="6" t="s">
        <v>390</v>
      </c>
      <c r="L38" s="9">
        <v>43866</v>
      </c>
      <c r="M38" s="6"/>
      <c r="N38" s="6">
        <v>19</v>
      </c>
      <c r="O38" s="6" t="s">
        <v>4323</v>
      </c>
      <c r="P38" s="6"/>
      <c r="Q38" s="6"/>
      <c r="R38" s="6">
        <v>24</v>
      </c>
      <c r="S38" s="6">
        <v>32</v>
      </c>
      <c r="T38" s="10">
        <f t="shared" si="2"/>
        <v>28</v>
      </c>
      <c r="U38" s="6"/>
      <c r="V38" s="8">
        <v>-0.63692564989686007</v>
      </c>
      <c r="W38" s="8">
        <v>-3.520253570365905</v>
      </c>
      <c r="X38" s="8">
        <f t="shared" si="3"/>
        <v>1.5751516288089755</v>
      </c>
      <c r="Y38" s="6"/>
    </row>
    <row r="39" spans="1:25" s="13" customFormat="1" x14ac:dyDescent="0.35">
      <c r="A39" s="6" t="s">
        <v>25</v>
      </c>
      <c r="B39" s="7"/>
      <c r="C39" s="6"/>
      <c r="D39" s="6" t="s">
        <v>1020</v>
      </c>
      <c r="E39" s="6">
        <v>2</v>
      </c>
      <c r="F39" s="6">
        <v>23</v>
      </c>
      <c r="G39" s="6" t="s">
        <v>1016</v>
      </c>
      <c r="H39" s="6"/>
      <c r="I39" s="8">
        <v>87.547686597222196</v>
      </c>
      <c r="J39" s="8">
        <v>94.790669652777794</v>
      </c>
      <c r="K39" s="6" t="s">
        <v>390</v>
      </c>
      <c r="L39" s="9">
        <v>43866</v>
      </c>
      <c r="M39" s="6"/>
      <c r="N39" s="6">
        <v>19</v>
      </c>
      <c r="O39" s="6" t="s">
        <v>4323</v>
      </c>
      <c r="P39" s="6"/>
      <c r="Q39" s="6"/>
      <c r="R39" s="6">
        <v>32</v>
      </c>
      <c r="S39" s="6">
        <v>40</v>
      </c>
      <c r="T39" s="10">
        <f t="shared" si="2"/>
        <v>36</v>
      </c>
      <c r="U39" s="6"/>
      <c r="V39" s="8">
        <v>-0.87661756967067761</v>
      </c>
      <c r="W39" s="8">
        <v>-6.8542455823302264</v>
      </c>
      <c r="X39" s="8">
        <f t="shared" si="3"/>
        <v>0.15869497503519447</v>
      </c>
      <c r="Y39" s="6"/>
    </row>
    <row r="40" spans="1:25" s="13" customFormat="1" x14ac:dyDescent="0.35">
      <c r="A40" s="6" t="s">
        <v>25</v>
      </c>
      <c r="B40" s="7"/>
      <c r="C40" s="6"/>
      <c r="D40" s="6" t="s">
        <v>1021</v>
      </c>
      <c r="E40" s="6">
        <v>2</v>
      </c>
      <c r="F40" s="6">
        <v>23</v>
      </c>
      <c r="G40" s="6" t="s">
        <v>1016</v>
      </c>
      <c r="H40" s="6"/>
      <c r="I40" s="8">
        <v>87.547686597222196</v>
      </c>
      <c r="J40" s="8">
        <v>94.790669652777794</v>
      </c>
      <c r="K40" s="6" t="s">
        <v>390</v>
      </c>
      <c r="L40" s="9">
        <v>43866</v>
      </c>
      <c r="M40" s="6"/>
      <c r="N40" s="6">
        <v>19</v>
      </c>
      <c r="O40" s="6" t="s">
        <v>4323</v>
      </c>
      <c r="P40" s="6"/>
      <c r="Q40" s="6"/>
      <c r="R40" s="6">
        <v>40</v>
      </c>
      <c r="S40" s="6">
        <v>48</v>
      </c>
      <c r="T40" s="10">
        <f t="shared" si="2"/>
        <v>44</v>
      </c>
      <c r="U40" s="6"/>
      <c r="V40" s="8">
        <v>-0.64905619524478908</v>
      </c>
      <c r="W40" s="8">
        <v>-3.9280277998924245</v>
      </c>
      <c r="X40" s="8">
        <f t="shared" si="3"/>
        <v>1.2644217620658882</v>
      </c>
      <c r="Y40" s="6"/>
    </row>
    <row r="41" spans="1:25" s="13" customFormat="1" x14ac:dyDescent="0.35">
      <c r="A41" s="6" t="s">
        <v>25</v>
      </c>
      <c r="B41" s="7"/>
      <c r="C41" s="6"/>
      <c r="D41" s="6" t="s">
        <v>1022</v>
      </c>
      <c r="E41" s="6">
        <v>2</v>
      </c>
      <c r="F41" s="6">
        <v>23</v>
      </c>
      <c r="G41" s="6" t="s">
        <v>1016</v>
      </c>
      <c r="H41" s="6"/>
      <c r="I41" s="8">
        <v>87.547686597222196</v>
      </c>
      <c r="J41" s="8">
        <v>94.790669652777794</v>
      </c>
      <c r="K41" s="6" t="s">
        <v>390</v>
      </c>
      <c r="L41" s="9">
        <v>43866</v>
      </c>
      <c r="M41" s="6"/>
      <c r="N41" s="6">
        <v>19</v>
      </c>
      <c r="O41" s="6" t="s">
        <v>4323</v>
      </c>
      <c r="P41" s="6"/>
      <c r="Q41" s="6"/>
      <c r="R41" s="6">
        <v>48</v>
      </c>
      <c r="S41" s="6">
        <v>56</v>
      </c>
      <c r="T41" s="10">
        <f t="shared" si="2"/>
        <v>52</v>
      </c>
      <c r="U41" s="6"/>
      <c r="V41" s="8">
        <v>-0.48159109915852516</v>
      </c>
      <c r="W41" s="8">
        <v>-2.4551768835067747</v>
      </c>
      <c r="X41" s="8">
        <f t="shared" si="3"/>
        <v>1.3975519097614266</v>
      </c>
      <c r="Y41" s="6"/>
    </row>
    <row r="42" spans="1:25" s="13" customFormat="1" x14ac:dyDescent="0.35">
      <c r="A42" s="6" t="s">
        <v>25</v>
      </c>
      <c r="B42" s="7"/>
      <c r="C42" s="6"/>
      <c r="D42" s="6" t="s">
        <v>1023</v>
      </c>
      <c r="E42" s="6">
        <v>2</v>
      </c>
      <c r="F42" s="6">
        <v>23</v>
      </c>
      <c r="G42" s="6" t="s">
        <v>1016</v>
      </c>
      <c r="H42" s="6"/>
      <c r="I42" s="8">
        <v>87.547686597222196</v>
      </c>
      <c r="J42" s="8">
        <v>94.790669652777794</v>
      </c>
      <c r="K42" s="6" t="s">
        <v>390</v>
      </c>
      <c r="L42" s="9">
        <v>43866</v>
      </c>
      <c r="M42" s="6"/>
      <c r="N42" s="6">
        <v>19</v>
      </c>
      <c r="O42" s="6" t="s">
        <v>4323</v>
      </c>
      <c r="P42" s="6"/>
      <c r="Q42" s="6"/>
      <c r="R42" s="6">
        <v>56</v>
      </c>
      <c r="S42" s="6">
        <v>64</v>
      </c>
      <c r="T42" s="10">
        <f t="shared" si="2"/>
        <v>60</v>
      </c>
      <c r="U42" s="6"/>
      <c r="V42" s="8">
        <v>-0.65899330972194636</v>
      </c>
      <c r="W42" s="8">
        <v>-3.7422387445449825</v>
      </c>
      <c r="X42" s="8">
        <f t="shared" si="3"/>
        <v>1.5297077332305884</v>
      </c>
      <c r="Y42" s="6"/>
    </row>
    <row r="43" spans="1:25" s="13" customFormat="1" x14ac:dyDescent="0.35">
      <c r="A43" s="6" t="s">
        <v>25</v>
      </c>
      <c r="B43" s="7"/>
      <c r="C43" s="6"/>
      <c r="D43" s="6" t="s">
        <v>1024</v>
      </c>
      <c r="E43" s="6">
        <v>2</v>
      </c>
      <c r="F43" s="6">
        <v>23</v>
      </c>
      <c r="G43" s="6" t="s">
        <v>1016</v>
      </c>
      <c r="H43" s="6"/>
      <c r="I43" s="8">
        <v>87.547686597222196</v>
      </c>
      <c r="J43" s="8">
        <v>94.790669652777794</v>
      </c>
      <c r="K43" s="6" t="s">
        <v>390</v>
      </c>
      <c r="L43" s="9">
        <v>43866</v>
      </c>
      <c r="M43" s="6"/>
      <c r="N43" s="6">
        <v>19</v>
      </c>
      <c r="O43" s="6" t="s">
        <v>4323</v>
      </c>
      <c r="P43" s="6"/>
      <c r="Q43" s="6"/>
      <c r="R43" s="6">
        <v>64</v>
      </c>
      <c r="S43" s="6">
        <v>72</v>
      </c>
      <c r="T43" s="10">
        <f t="shared" si="2"/>
        <v>68</v>
      </c>
      <c r="U43" s="6"/>
      <c r="V43" s="8">
        <v>-0.35429743917346029</v>
      </c>
      <c r="W43" s="8">
        <v>-1.4901336009979247</v>
      </c>
      <c r="X43" s="8">
        <f t="shared" si="3"/>
        <v>1.3442459123897577</v>
      </c>
      <c r="Y43" s="6"/>
    </row>
    <row r="44" spans="1:25" s="13" customFormat="1" x14ac:dyDescent="0.35">
      <c r="A44" s="6" t="s">
        <v>25</v>
      </c>
      <c r="B44" s="6"/>
      <c r="C44" s="6"/>
      <c r="D44" s="6" t="s">
        <v>1064</v>
      </c>
      <c r="E44" s="6">
        <v>3</v>
      </c>
      <c r="F44" s="6">
        <v>29</v>
      </c>
      <c r="G44" s="6" t="s">
        <v>60</v>
      </c>
      <c r="H44" s="6"/>
      <c r="I44" s="8">
        <v>88.275889097222205</v>
      </c>
      <c r="J44" s="8">
        <v>31.976771041666701</v>
      </c>
      <c r="K44" s="7" t="s">
        <v>390</v>
      </c>
      <c r="L44" s="9">
        <v>43890</v>
      </c>
      <c r="M44" s="6"/>
      <c r="N44" s="6">
        <v>22</v>
      </c>
      <c r="O44" s="6" t="s">
        <v>4336</v>
      </c>
      <c r="P44" s="6"/>
      <c r="Q44" s="6"/>
      <c r="R44" s="6"/>
      <c r="S44" s="6"/>
      <c r="T44" s="10"/>
      <c r="U44" s="6"/>
      <c r="V44" s="8">
        <v>-0.19728867751210921</v>
      </c>
      <c r="W44" s="8">
        <v>-0.56277475051879866</v>
      </c>
      <c r="X44" s="8">
        <f t="shared" si="3"/>
        <v>1.0155346695780749</v>
      </c>
      <c r="Y44" s="6"/>
    </row>
    <row r="45" spans="1:25" s="13" customFormat="1" x14ac:dyDescent="0.35">
      <c r="A45" s="6" t="s">
        <v>25</v>
      </c>
      <c r="B45" s="7"/>
      <c r="C45" s="6"/>
      <c r="D45" s="6" t="s">
        <v>1071</v>
      </c>
      <c r="E45" s="6">
        <v>3</v>
      </c>
      <c r="F45" s="6">
        <v>30</v>
      </c>
      <c r="G45" s="6" t="s">
        <v>923</v>
      </c>
      <c r="H45" s="6"/>
      <c r="I45" s="8">
        <v>88.097994791666693</v>
      </c>
      <c r="J45" s="8">
        <v>29.473376875</v>
      </c>
      <c r="K45" s="6" t="s">
        <v>390</v>
      </c>
      <c r="L45" s="9">
        <v>43896</v>
      </c>
      <c r="M45" s="6"/>
      <c r="N45" s="6">
        <v>23</v>
      </c>
      <c r="O45" s="6" t="s">
        <v>4342</v>
      </c>
      <c r="P45" s="6"/>
      <c r="Q45" s="6"/>
      <c r="R45" s="6">
        <v>0</v>
      </c>
      <c r="S45" s="6">
        <v>10</v>
      </c>
      <c r="T45" s="10">
        <f t="shared" ref="T45:T66" si="4">AVERAGE(R45:S45)</f>
        <v>5</v>
      </c>
      <c r="U45" s="6"/>
      <c r="V45" s="8">
        <v>-0.82889043969154352</v>
      </c>
      <c r="W45" s="8">
        <v>-7.4022756361961362</v>
      </c>
      <c r="X45" s="8">
        <f t="shared" si="3"/>
        <v>-0.77115211866378797</v>
      </c>
      <c r="Y45" s="6"/>
    </row>
    <row r="46" spans="1:25" s="13" customFormat="1" x14ac:dyDescent="0.35">
      <c r="A46" s="6" t="s">
        <v>25</v>
      </c>
      <c r="B46" s="7"/>
      <c r="C46" s="6"/>
      <c r="D46" s="6" t="s">
        <v>1072</v>
      </c>
      <c r="E46" s="6">
        <v>3</v>
      </c>
      <c r="F46" s="6">
        <v>30</v>
      </c>
      <c r="G46" s="6" t="s">
        <v>1016</v>
      </c>
      <c r="H46" s="6"/>
      <c r="I46" s="8">
        <v>88.097994791666693</v>
      </c>
      <c r="J46" s="8">
        <v>29.473376875</v>
      </c>
      <c r="K46" s="6" t="s">
        <v>390</v>
      </c>
      <c r="L46" s="9">
        <v>43896</v>
      </c>
      <c r="M46" s="6"/>
      <c r="N46" s="6">
        <v>23</v>
      </c>
      <c r="O46" s="6" t="s">
        <v>4342</v>
      </c>
      <c r="P46" s="6"/>
      <c r="Q46" s="6"/>
      <c r="R46" s="6">
        <v>10</v>
      </c>
      <c r="S46" s="6">
        <v>20</v>
      </c>
      <c r="T46" s="10">
        <f t="shared" si="4"/>
        <v>15</v>
      </c>
      <c r="U46" s="6"/>
      <c r="V46" s="8">
        <v>-0.88232511849403383</v>
      </c>
      <c r="W46" s="8">
        <v>-4.9031359638199206</v>
      </c>
      <c r="X46" s="8">
        <f t="shared" si="3"/>
        <v>2.1554649841323501</v>
      </c>
      <c r="Y46" s="6"/>
    </row>
    <row r="47" spans="1:25" s="13" customFormat="1" x14ac:dyDescent="0.35">
      <c r="A47" s="6" t="s">
        <v>25</v>
      </c>
      <c r="B47" s="7"/>
      <c r="C47" s="6"/>
      <c r="D47" s="6" t="s">
        <v>1073</v>
      </c>
      <c r="E47" s="6">
        <v>3</v>
      </c>
      <c r="F47" s="6">
        <v>30</v>
      </c>
      <c r="G47" s="6" t="s">
        <v>1016</v>
      </c>
      <c r="H47" s="6"/>
      <c r="I47" s="8">
        <v>88.097994791666693</v>
      </c>
      <c r="J47" s="8">
        <v>29.473376875</v>
      </c>
      <c r="K47" s="6" t="s">
        <v>390</v>
      </c>
      <c r="L47" s="9">
        <v>43896</v>
      </c>
      <c r="M47" s="6"/>
      <c r="N47" s="6">
        <v>23</v>
      </c>
      <c r="O47" s="6" t="s">
        <v>4342</v>
      </c>
      <c r="P47" s="6"/>
      <c r="Q47" s="6"/>
      <c r="R47" s="6">
        <v>20</v>
      </c>
      <c r="S47" s="6">
        <v>30</v>
      </c>
      <c r="T47" s="10">
        <f t="shared" si="4"/>
        <v>25</v>
      </c>
      <c r="U47" s="6"/>
      <c r="V47" s="8">
        <v>-0.7904052822351455</v>
      </c>
      <c r="W47" s="8">
        <v>-4.6401333576738839</v>
      </c>
      <c r="X47" s="8">
        <f t="shared" si="3"/>
        <v>1.6831089002072801</v>
      </c>
      <c r="Y47" s="6"/>
    </row>
    <row r="48" spans="1:25" s="13" customFormat="1" x14ac:dyDescent="0.35">
      <c r="A48" s="6" t="s">
        <v>25</v>
      </c>
      <c r="B48" s="7"/>
      <c r="C48" s="6"/>
      <c r="D48" s="6" t="s">
        <v>1074</v>
      </c>
      <c r="E48" s="6">
        <v>3</v>
      </c>
      <c r="F48" s="6">
        <v>30</v>
      </c>
      <c r="G48" s="6" t="s">
        <v>1016</v>
      </c>
      <c r="H48" s="6"/>
      <c r="I48" s="8">
        <v>88.097994791666693</v>
      </c>
      <c r="J48" s="8">
        <v>29.473376875</v>
      </c>
      <c r="K48" s="6" t="s">
        <v>390</v>
      </c>
      <c r="L48" s="9">
        <v>43896</v>
      </c>
      <c r="M48" s="6"/>
      <c r="N48" s="6">
        <v>23</v>
      </c>
      <c r="O48" s="6" t="s">
        <v>4342</v>
      </c>
      <c r="P48" s="6"/>
      <c r="Q48" s="6"/>
      <c r="R48" s="6">
        <v>30</v>
      </c>
      <c r="S48" s="6">
        <v>40</v>
      </c>
      <c r="T48" s="10">
        <f t="shared" si="4"/>
        <v>35</v>
      </c>
      <c r="U48" s="6"/>
      <c r="V48" s="8">
        <v>-0.73871148452758806</v>
      </c>
      <c r="W48" s="8">
        <v>-4.6098189711868756</v>
      </c>
      <c r="X48" s="8">
        <f t="shared" si="3"/>
        <v>1.2998729050338289</v>
      </c>
      <c r="Y48" s="6"/>
    </row>
    <row r="49" spans="1:25" s="13" customFormat="1" x14ac:dyDescent="0.35">
      <c r="A49" s="6" t="s">
        <v>25</v>
      </c>
      <c r="B49" s="7"/>
      <c r="C49" s="6"/>
      <c r="D49" s="6" t="s">
        <v>1075</v>
      </c>
      <c r="E49" s="6">
        <v>3</v>
      </c>
      <c r="F49" s="6">
        <v>30</v>
      </c>
      <c r="G49" s="6" t="s">
        <v>1016</v>
      </c>
      <c r="H49" s="6"/>
      <c r="I49" s="8">
        <v>88.097994791666693</v>
      </c>
      <c r="J49" s="8">
        <v>29.473376875</v>
      </c>
      <c r="K49" s="6" t="s">
        <v>390</v>
      </c>
      <c r="L49" s="9">
        <v>43896</v>
      </c>
      <c r="M49" s="6"/>
      <c r="N49" s="6">
        <v>23</v>
      </c>
      <c r="O49" s="6" t="s">
        <v>4342</v>
      </c>
      <c r="P49" s="6"/>
      <c r="Q49" s="6"/>
      <c r="R49" s="6">
        <v>40</v>
      </c>
      <c r="S49" s="6">
        <v>50</v>
      </c>
      <c r="T49" s="10">
        <f t="shared" si="4"/>
        <v>45</v>
      </c>
      <c r="U49" s="6"/>
      <c r="V49" s="8">
        <v>-0.58222546100616501</v>
      </c>
      <c r="W49" s="8">
        <v>-3.5633524718284608</v>
      </c>
      <c r="X49" s="8">
        <f t="shared" si="3"/>
        <v>1.0944512162208593</v>
      </c>
      <c r="Y49" s="6"/>
    </row>
    <row r="50" spans="1:25" s="13" customFormat="1" x14ac:dyDescent="0.35">
      <c r="A50" s="6" t="s">
        <v>25</v>
      </c>
      <c r="B50" s="7"/>
      <c r="C50" s="6"/>
      <c r="D50" s="6" t="s">
        <v>1076</v>
      </c>
      <c r="E50" s="6">
        <v>3</v>
      </c>
      <c r="F50" s="6">
        <v>30</v>
      </c>
      <c r="G50" s="6" t="s">
        <v>1016</v>
      </c>
      <c r="H50" s="6"/>
      <c r="I50" s="8">
        <v>88.097994791666693</v>
      </c>
      <c r="J50" s="8">
        <v>29.473376875</v>
      </c>
      <c r="K50" s="6" t="s">
        <v>390</v>
      </c>
      <c r="L50" s="9">
        <v>43896</v>
      </c>
      <c r="M50" s="6"/>
      <c r="N50" s="6">
        <v>23</v>
      </c>
      <c r="O50" s="6" t="s">
        <v>4342</v>
      </c>
      <c r="P50" s="6"/>
      <c r="Q50" s="6"/>
      <c r="R50" s="6">
        <v>50</v>
      </c>
      <c r="S50" s="6">
        <v>60</v>
      </c>
      <c r="T50" s="10">
        <f t="shared" si="4"/>
        <v>55</v>
      </c>
      <c r="U50" s="6"/>
      <c r="V50" s="8">
        <v>-0.47143958926200902</v>
      </c>
      <c r="W50" s="8">
        <v>-2.791330916404724</v>
      </c>
      <c r="X50" s="8">
        <f t="shared" si="3"/>
        <v>0.98018579769134817</v>
      </c>
      <c r="Y50" s="6"/>
    </row>
    <row r="51" spans="1:25" s="13" customFormat="1" x14ac:dyDescent="0.35">
      <c r="A51" s="6" t="s">
        <v>25</v>
      </c>
      <c r="B51" s="7"/>
      <c r="C51" s="6"/>
      <c r="D51" s="6" t="s">
        <v>1077</v>
      </c>
      <c r="E51" s="6">
        <v>3</v>
      </c>
      <c r="F51" s="6">
        <v>30</v>
      </c>
      <c r="G51" s="6" t="s">
        <v>1016</v>
      </c>
      <c r="H51" s="6"/>
      <c r="I51" s="8">
        <v>88.097994791666693</v>
      </c>
      <c r="J51" s="8">
        <v>29.473376875</v>
      </c>
      <c r="K51" s="6" t="s">
        <v>390</v>
      </c>
      <c r="L51" s="9">
        <v>43896</v>
      </c>
      <c r="M51" s="6"/>
      <c r="N51" s="6">
        <v>23</v>
      </c>
      <c r="O51" s="6" t="s">
        <v>4342</v>
      </c>
      <c r="P51" s="6"/>
      <c r="Q51" s="6"/>
      <c r="R51" s="6">
        <v>70</v>
      </c>
      <c r="S51" s="6">
        <v>80</v>
      </c>
      <c r="T51" s="10">
        <f t="shared" si="4"/>
        <v>75</v>
      </c>
      <c r="U51" s="6"/>
      <c r="V51" s="8">
        <v>-3.8731249496341005E-2</v>
      </c>
      <c r="W51" s="8">
        <v>-0.37134383010864086</v>
      </c>
      <c r="X51" s="8">
        <f t="shared" si="3"/>
        <v>-6.1493834137912817E-2</v>
      </c>
      <c r="Y51" s="6"/>
    </row>
    <row r="52" spans="1:25" s="13" customFormat="1" x14ac:dyDescent="0.35">
      <c r="A52" s="6" t="s">
        <v>25</v>
      </c>
      <c r="B52" s="7"/>
      <c r="C52" s="6"/>
      <c r="D52" s="6" t="s">
        <v>1078</v>
      </c>
      <c r="E52" s="6">
        <v>3</v>
      </c>
      <c r="F52" s="6">
        <v>30</v>
      </c>
      <c r="G52" s="6" t="s">
        <v>1016</v>
      </c>
      <c r="H52" s="6"/>
      <c r="I52" s="8">
        <v>88.097994791666693</v>
      </c>
      <c r="J52" s="8">
        <v>29.473376875</v>
      </c>
      <c r="K52" s="6" t="s">
        <v>390</v>
      </c>
      <c r="L52" s="9">
        <v>43896</v>
      </c>
      <c r="M52" s="6"/>
      <c r="N52" s="6">
        <v>23</v>
      </c>
      <c r="O52" s="6" t="s">
        <v>4342</v>
      </c>
      <c r="P52" s="6"/>
      <c r="Q52" s="6"/>
      <c r="R52" s="6">
        <v>80</v>
      </c>
      <c r="S52" s="6">
        <v>90</v>
      </c>
      <c r="T52" s="10">
        <f t="shared" si="4"/>
        <v>85</v>
      </c>
      <c r="U52" s="6"/>
      <c r="V52" s="8">
        <v>0.186779688596725</v>
      </c>
      <c r="W52" s="8">
        <v>2.0824895324707029</v>
      </c>
      <c r="X52" s="8">
        <f t="shared" si="3"/>
        <v>0.58825202369690288</v>
      </c>
      <c r="Y52" s="6"/>
    </row>
    <row r="53" spans="1:25" s="13" customFormat="1" x14ac:dyDescent="0.35">
      <c r="A53" s="6" t="s">
        <v>25</v>
      </c>
      <c r="B53" s="7"/>
      <c r="C53" s="6"/>
      <c r="D53" s="6" t="s">
        <v>1079</v>
      </c>
      <c r="E53" s="6">
        <v>3</v>
      </c>
      <c r="F53" s="6">
        <v>30</v>
      </c>
      <c r="G53" s="6" t="s">
        <v>4467</v>
      </c>
      <c r="H53" s="6"/>
      <c r="I53" s="8">
        <v>88.066859375000007</v>
      </c>
      <c r="J53" s="8">
        <v>26.8118410416667</v>
      </c>
      <c r="K53" s="6" t="s">
        <v>390</v>
      </c>
      <c r="L53" s="9">
        <v>43897</v>
      </c>
      <c r="M53" s="6"/>
      <c r="N53" s="6">
        <v>23</v>
      </c>
      <c r="O53" s="6" t="s">
        <v>4325</v>
      </c>
      <c r="P53" s="6"/>
      <c r="Q53" s="6"/>
      <c r="R53" s="6">
        <v>0</v>
      </c>
      <c r="S53" s="6">
        <v>0</v>
      </c>
      <c r="T53" s="10">
        <f t="shared" si="4"/>
        <v>0</v>
      </c>
      <c r="U53" s="6"/>
      <c r="V53" s="8">
        <v>-1.5524504285430911</v>
      </c>
      <c r="W53" s="8">
        <v>-11.05695523262024</v>
      </c>
      <c r="X53" s="8">
        <f t="shared" si="3"/>
        <v>1.3626481957244891</v>
      </c>
      <c r="Y53" s="6"/>
    </row>
    <row r="54" spans="1:25" s="13" customFormat="1" x14ac:dyDescent="0.35">
      <c r="A54" s="6" t="s">
        <v>25</v>
      </c>
      <c r="B54" s="7"/>
      <c r="C54" s="6"/>
      <c r="D54" s="6" t="s">
        <v>1080</v>
      </c>
      <c r="E54" s="6">
        <v>3</v>
      </c>
      <c r="F54" s="6">
        <v>30</v>
      </c>
      <c r="G54" s="6" t="s">
        <v>4467</v>
      </c>
      <c r="H54" s="6"/>
      <c r="I54" s="8">
        <v>88.066859375000007</v>
      </c>
      <c r="J54" s="8">
        <v>26.8118410416667</v>
      </c>
      <c r="K54" s="6" t="s">
        <v>390</v>
      </c>
      <c r="L54" s="9">
        <v>43897</v>
      </c>
      <c r="M54" s="6"/>
      <c r="N54" s="6">
        <v>23</v>
      </c>
      <c r="O54" s="6" t="s">
        <v>4325</v>
      </c>
      <c r="P54" s="6"/>
      <c r="Q54" s="6"/>
      <c r="R54" s="6">
        <v>0</v>
      </c>
      <c r="S54" s="6">
        <v>0</v>
      </c>
      <c r="T54" s="10">
        <f t="shared" si="4"/>
        <v>0</v>
      </c>
      <c r="U54" s="6"/>
      <c r="V54" s="8">
        <v>-1.0486930919265744</v>
      </c>
      <c r="W54" s="8">
        <v>-7.6579277348518371</v>
      </c>
      <c r="X54" s="8">
        <f t="shared" si="3"/>
        <v>0.73161700056075851</v>
      </c>
      <c r="Y54" s="6"/>
    </row>
    <row r="55" spans="1:25" s="13" customFormat="1" x14ac:dyDescent="0.35">
      <c r="A55" s="6" t="s">
        <v>25</v>
      </c>
      <c r="B55" s="7"/>
      <c r="C55" s="6"/>
      <c r="D55" s="6" t="s">
        <v>1081</v>
      </c>
      <c r="E55" s="6">
        <v>3</v>
      </c>
      <c r="F55" s="6">
        <v>30</v>
      </c>
      <c r="G55" s="6" t="s">
        <v>4467</v>
      </c>
      <c r="H55" s="6"/>
      <c r="I55" s="8">
        <v>88.066859375000007</v>
      </c>
      <c r="J55" s="8">
        <v>26.8118410416667</v>
      </c>
      <c r="K55" s="6" t="s">
        <v>390</v>
      </c>
      <c r="L55" s="9">
        <v>43897</v>
      </c>
      <c r="M55" s="6"/>
      <c r="N55" s="6">
        <v>23</v>
      </c>
      <c r="O55" s="6" t="s">
        <v>4325</v>
      </c>
      <c r="P55" s="6"/>
      <c r="Q55" s="6"/>
      <c r="R55" s="6">
        <v>0</v>
      </c>
      <c r="S55" s="6">
        <v>0</v>
      </c>
      <c r="T55" s="10">
        <f t="shared" si="4"/>
        <v>0</v>
      </c>
      <c r="U55" s="6"/>
      <c r="V55" s="8">
        <v>-1.1193201413726805</v>
      </c>
      <c r="W55" s="8">
        <v>-7.4095859551429744</v>
      </c>
      <c r="X55" s="8">
        <f t="shared" si="3"/>
        <v>1.54497517583847</v>
      </c>
      <c r="Y55" s="6"/>
    </row>
    <row r="56" spans="1:25" s="13" customFormat="1" x14ac:dyDescent="0.35">
      <c r="A56" s="6" t="s">
        <v>25</v>
      </c>
      <c r="B56" s="7"/>
      <c r="C56" s="6"/>
      <c r="D56" s="6" t="s">
        <v>1112</v>
      </c>
      <c r="E56" s="6">
        <v>3</v>
      </c>
      <c r="F56" s="6">
        <v>31</v>
      </c>
      <c r="G56" s="6" t="s">
        <v>876</v>
      </c>
      <c r="H56" s="6"/>
      <c r="I56" s="8">
        <v>87.660309999999996</v>
      </c>
      <c r="J56" s="8">
        <v>24.286057569444399</v>
      </c>
      <c r="K56" s="6" t="s">
        <v>390</v>
      </c>
      <c r="L56" s="9">
        <v>43901</v>
      </c>
      <c r="M56" s="6"/>
      <c r="N56" s="6">
        <v>24</v>
      </c>
      <c r="O56" s="6" t="s">
        <v>4345</v>
      </c>
      <c r="P56" s="6"/>
      <c r="Q56" s="6"/>
      <c r="R56" s="6">
        <v>0</v>
      </c>
      <c r="S56" s="6">
        <v>0</v>
      </c>
      <c r="T56" s="10">
        <f t="shared" si="4"/>
        <v>0</v>
      </c>
      <c r="U56" s="6"/>
      <c r="V56" s="8">
        <v>-3.1067969989776612</v>
      </c>
      <c r="W56" s="8">
        <v>-26.345149269104002</v>
      </c>
      <c r="X56" s="8">
        <f t="shared" si="3"/>
        <v>-1.4907732772827131</v>
      </c>
      <c r="Y56" s="6"/>
    </row>
    <row r="57" spans="1:25" s="13" customFormat="1" x14ac:dyDescent="0.35">
      <c r="A57" s="6" t="s">
        <v>25</v>
      </c>
      <c r="B57" s="7"/>
      <c r="C57" s="6"/>
      <c r="D57" s="6" t="s">
        <v>1113</v>
      </c>
      <c r="E57" s="6">
        <v>3</v>
      </c>
      <c r="F57" s="6">
        <v>31</v>
      </c>
      <c r="G57" s="6" t="s">
        <v>876</v>
      </c>
      <c r="H57" s="6"/>
      <c r="I57" s="8">
        <v>87.660309999999996</v>
      </c>
      <c r="J57" s="8">
        <v>24.286057569444399</v>
      </c>
      <c r="K57" s="6" t="s">
        <v>390</v>
      </c>
      <c r="L57" s="9">
        <v>43901</v>
      </c>
      <c r="M57" s="6"/>
      <c r="N57" s="6">
        <v>24</v>
      </c>
      <c r="O57" s="6" t="s">
        <v>4345</v>
      </c>
      <c r="P57" s="6"/>
      <c r="Q57" s="6"/>
      <c r="R57" s="6">
        <v>0</v>
      </c>
      <c r="S57" s="6">
        <v>0</v>
      </c>
      <c r="T57" s="10">
        <f t="shared" si="4"/>
        <v>0</v>
      </c>
      <c r="U57" s="6"/>
      <c r="V57" s="8">
        <v>-0.92787053108215301</v>
      </c>
      <c r="W57" s="8">
        <v>-7.0986763401031494</v>
      </c>
      <c r="X57" s="8">
        <f t="shared" si="3"/>
        <v>0.32428790855407463</v>
      </c>
      <c r="Y57" s="6"/>
    </row>
    <row r="58" spans="1:25" s="13" customFormat="1" x14ac:dyDescent="0.35">
      <c r="A58" s="6" t="s">
        <v>25</v>
      </c>
      <c r="B58" s="7"/>
      <c r="C58" s="6"/>
      <c r="D58" s="6" t="s">
        <v>1114</v>
      </c>
      <c r="E58" s="6">
        <v>3</v>
      </c>
      <c r="F58" s="6">
        <v>31</v>
      </c>
      <c r="G58" s="6" t="s">
        <v>4468</v>
      </c>
      <c r="H58" s="6"/>
      <c r="I58" s="8">
        <v>87.5249151388889</v>
      </c>
      <c r="J58" s="8">
        <v>21.472065277777801</v>
      </c>
      <c r="K58" s="6" t="s">
        <v>390</v>
      </c>
      <c r="L58" s="9">
        <v>43902</v>
      </c>
      <c r="M58" s="6"/>
      <c r="N58" s="6">
        <v>24</v>
      </c>
      <c r="O58" s="6" t="s">
        <v>4346</v>
      </c>
      <c r="P58" s="6"/>
      <c r="Q58" s="6"/>
      <c r="R58" s="6">
        <v>0</v>
      </c>
      <c r="S58" s="6">
        <v>0</v>
      </c>
      <c r="T58" s="10">
        <f t="shared" si="4"/>
        <v>0</v>
      </c>
      <c r="U58" s="6"/>
      <c r="V58" s="8">
        <v>-0.91227724075317407</v>
      </c>
      <c r="W58" s="8">
        <v>-6.2686122364997861</v>
      </c>
      <c r="X58" s="8">
        <f t="shared" si="3"/>
        <v>1.0296056895256065</v>
      </c>
      <c r="Y58" s="6"/>
    </row>
    <row r="59" spans="1:25" s="13" customFormat="1" x14ac:dyDescent="0.35">
      <c r="A59" s="6" t="s">
        <v>25</v>
      </c>
      <c r="B59" s="7"/>
      <c r="C59" s="6"/>
      <c r="D59" s="6" t="s">
        <v>1115</v>
      </c>
      <c r="E59" s="6">
        <v>3</v>
      </c>
      <c r="F59" s="6">
        <v>31</v>
      </c>
      <c r="G59" s="6" t="s">
        <v>4468</v>
      </c>
      <c r="H59" s="6"/>
      <c r="I59" s="8">
        <v>87.5249151388889</v>
      </c>
      <c r="J59" s="8">
        <v>21.472065277777801</v>
      </c>
      <c r="K59" s="6" t="s">
        <v>390</v>
      </c>
      <c r="L59" s="9">
        <v>43902</v>
      </c>
      <c r="M59" s="6"/>
      <c r="N59" s="6">
        <v>24</v>
      </c>
      <c r="O59" s="6" t="s">
        <v>4346</v>
      </c>
      <c r="P59" s="6"/>
      <c r="Q59" s="6"/>
      <c r="R59" s="6">
        <v>0</v>
      </c>
      <c r="S59" s="6">
        <v>0</v>
      </c>
      <c r="T59" s="10">
        <f t="shared" si="4"/>
        <v>0</v>
      </c>
      <c r="U59" s="6"/>
      <c r="V59" s="8">
        <v>-0.92070414543151902</v>
      </c>
      <c r="W59" s="8">
        <v>-6.6321124978065491</v>
      </c>
      <c r="X59" s="8">
        <f t="shared" si="3"/>
        <v>0.73352066564560303</v>
      </c>
      <c r="Y59" s="6"/>
    </row>
    <row r="60" spans="1:25" s="13" customFormat="1" x14ac:dyDescent="0.35">
      <c r="A60" s="6" t="s">
        <v>25</v>
      </c>
      <c r="B60" s="7"/>
      <c r="C60" s="6"/>
      <c r="D60" s="6" t="s">
        <v>1116</v>
      </c>
      <c r="E60" s="6">
        <v>3</v>
      </c>
      <c r="F60" s="6">
        <v>31</v>
      </c>
      <c r="G60" s="6" t="s">
        <v>4468</v>
      </c>
      <c r="H60" s="6"/>
      <c r="I60" s="8">
        <v>87.5249151388889</v>
      </c>
      <c r="J60" s="8">
        <v>21.472065277777801</v>
      </c>
      <c r="K60" s="6" t="s">
        <v>390</v>
      </c>
      <c r="L60" s="9">
        <v>43902</v>
      </c>
      <c r="M60" s="6"/>
      <c r="N60" s="6">
        <v>24</v>
      </c>
      <c r="O60" s="6" t="s">
        <v>4346</v>
      </c>
      <c r="P60" s="6"/>
      <c r="Q60" s="6"/>
      <c r="R60" s="6">
        <v>0</v>
      </c>
      <c r="S60" s="6">
        <v>0</v>
      </c>
      <c r="T60" s="10">
        <f t="shared" si="4"/>
        <v>0</v>
      </c>
      <c r="U60" s="6"/>
      <c r="V60" s="8">
        <v>-0.83059300899505606</v>
      </c>
      <c r="W60" s="8">
        <v>-5.9474562621116638</v>
      </c>
      <c r="X60" s="8">
        <f t="shared" si="3"/>
        <v>0.69728780984878469</v>
      </c>
      <c r="Y60" s="6"/>
    </row>
    <row r="61" spans="1:25" s="13" customFormat="1" x14ac:dyDescent="0.35">
      <c r="A61" s="6" t="s">
        <v>25</v>
      </c>
      <c r="B61" s="7"/>
      <c r="C61" s="6"/>
      <c r="D61" s="6" t="s">
        <v>1119</v>
      </c>
      <c r="E61" s="6">
        <v>3</v>
      </c>
      <c r="F61" s="6">
        <v>31</v>
      </c>
      <c r="G61" s="6" t="s">
        <v>4468</v>
      </c>
      <c r="H61" s="6"/>
      <c r="I61" s="8">
        <v>87.306370555555603</v>
      </c>
      <c r="J61" s="8">
        <v>18.873863402777801</v>
      </c>
      <c r="K61" s="6" t="s">
        <v>390</v>
      </c>
      <c r="L61" s="9">
        <v>43903</v>
      </c>
      <c r="M61" s="6"/>
      <c r="N61" s="6">
        <v>24</v>
      </c>
      <c r="O61" s="6" t="s">
        <v>4347</v>
      </c>
      <c r="P61" s="6"/>
      <c r="Q61" s="6"/>
      <c r="R61" s="6">
        <v>0</v>
      </c>
      <c r="S61" s="6">
        <v>0</v>
      </c>
      <c r="T61" s="10">
        <f t="shared" si="4"/>
        <v>0</v>
      </c>
      <c r="U61" s="6"/>
      <c r="V61" s="8">
        <v>-0.59061776773929597</v>
      </c>
      <c r="W61" s="8">
        <v>-3.5538181245326994</v>
      </c>
      <c r="X61" s="8">
        <f t="shared" si="3"/>
        <v>1.1711240173816684</v>
      </c>
      <c r="Y61" s="6"/>
    </row>
    <row r="62" spans="1:25" s="13" customFormat="1" x14ac:dyDescent="0.35">
      <c r="A62" s="6" t="s">
        <v>25</v>
      </c>
      <c r="B62" s="7"/>
      <c r="C62" s="6"/>
      <c r="D62" s="6" t="s">
        <v>1122</v>
      </c>
      <c r="E62" s="6">
        <v>3</v>
      </c>
      <c r="F62" s="6">
        <v>31</v>
      </c>
      <c r="G62" s="6" t="s">
        <v>876</v>
      </c>
      <c r="H62" s="6"/>
      <c r="I62" s="8">
        <v>87.138459583333301</v>
      </c>
      <c r="J62" s="8">
        <v>17.1934574305556</v>
      </c>
      <c r="K62" s="6" t="s">
        <v>390</v>
      </c>
      <c r="L62" s="9">
        <v>43904</v>
      </c>
      <c r="M62" s="6"/>
      <c r="N62" s="6">
        <v>24</v>
      </c>
      <c r="O62" s="6" t="s">
        <v>4280</v>
      </c>
      <c r="P62" s="6"/>
      <c r="Q62" s="6"/>
      <c r="R62" s="6">
        <v>0</v>
      </c>
      <c r="S62" s="6">
        <v>7</v>
      </c>
      <c r="T62" s="10">
        <f t="shared" si="4"/>
        <v>3.5</v>
      </c>
      <c r="U62" s="6"/>
      <c r="V62" s="8">
        <v>-0.83434862477779403</v>
      </c>
      <c r="W62" s="8">
        <v>-6.3638717429637905</v>
      </c>
      <c r="X62" s="8">
        <f t="shared" si="3"/>
        <v>0.31091725525856173</v>
      </c>
      <c r="Y62" s="6"/>
    </row>
    <row r="63" spans="1:25" s="13" customFormat="1" x14ac:dyDescent="0.35">
      <c r="A63" s="6" t="s">
        <v>25</v>
      </c>
      <c r="B63" s="7"/>
      <c r="C63" s="6"/>
      <c r="D63" s="6" t="s">
        <v>1123</v>
      </c>
      <c r="E63" s="6">
        <v>3</v>
      </c>
      <c r="F63" s="6">
        <v>31</v>
      </c>
      <c r="G63" s="6" t="s">
        <v>876</v>
      </c>
      <c r="H63" s="6"/>
      <c r="I63" s="8">
        <v>87.138459583333301</v>
      </c>
      <c r="J63" s="8">
        <v>17.1934574305556</v>
      </c>
      <c r="K63" s="6" t="s">
        <v>390</v>
      </c>
      <c r="L63" s="9">
        <v>43904</v>
      </c>
      <c r="M63" s="6"/>
      <c r="N63" s="6">
        <v>24</v>
      </c>
      <c r="O63" s="6" t="s">
        <v>4280</v>
      </c>
      <c r="P63" s="6"/>
      <c r="Q63" s="6"/>
      <c r="R63" s="6">
        <v>7</v>
      </c>
      <c r="S63" s="6">
        <v>14</v>
      </c>
      <c r="T63" s="10">
        <f t="shared" si="4"/>
        <v>10.5</v>
      </c>
      <c r="U63" s="6"/>
      <c r="V63" s="8">
        <v>-0.27261542552411516</v>
      </c>
      <c r="W63" s="8">
        <v>-1.2377948403358459</v>
      </c>
      <c r="X63" s="8">
        <f t="shared" si="3"/>
        <v>0.94312856385707544</v>
      </c>
      <c r="Y63" s="6"/>
    </row>
    <row r="64" spans="1:25" s="13" customFormat="1" x14ac:dyDescent="0.35">
      <c r="A64" s="6" t="s">
        <v>25</v>
      </c>
      <c r="B64" s="7"/>
      <c r="C64" s="6"/>
      <c r="D64" s="6" t="s">
        <v>1128</v>
      </c>
      <c r="E64" s="6">
        <v>3</v>
      </c>
      <c r="F64" s="6">
        <v>31</v>
      </c>
      <c r="G64" s="6" t="s">
        <v>1129</v>
      </c>
      <c r="H64" s="6"/>
      <c r="I64" s="8">
        <v>87.060415347222204</v>
      </c>
      <c r="J64" s="8">
        <v>15.215135763888901</v>
      </c>
      <c r="K64" s="6" t="s">
        <v>390</v>
      </c>
      <c r="L64" s="9">
        <v>43905</v>
      </c>
      <c r="M64" s="6"/>
      <c r="N64" s="6">
        <v>24</v>
      </c>
      <c r="O64" s="6" t="s">
        <v>4348</v>
      </c>
      <c r="P64" s="6"/>
      <c r="Q64" s="6"/>
      <c r="R64" s="6">
        <v>0</v>
      </c>
      <c r="S64" s="6">
        <v>0</v>
      </c>
      <c r="T64" s="10">
        <f t="shared" si="4"/>
        <v>0</v>
      </c>
      <c r="U64" s="6"/>
      <c r="V64" s="8">
        <v>-0.80908307867050189</v>
      </c>
      <c r="W64" s="8">
        <v>-4.3091256666183471</v>
      </c>
      <c r="X64" s="8">
        <f t="shared" si="3"/>
        <v>2.163538962745668</v>
      </c>
      <c r="Y64" s="6"/>
    </row>
    <row r="65" spans="1:25" s="13" customFormat="1" x14ac:dyDescent="0.35">
      <c r="A65" s="6" t="s">
        <v>25</v>
      </c>
      <c r="B65" s="7"/>
      <c r="C65" s="6"/>
      <c r="D65" s="6" t="s">
        <v>1148</v>
      </c>
      <c r="E65" s="6">
        <v>3</v>
      </c>
      <c r="F65" s="6">
        <v>32</v>
      </c>
      <c r="G65" s="6" t="s">
        <v>1129</v>
      </c>
      <c r="H65" s="6"/>
      <c r="I65" s="8">
        <v>86.899737916666695</v>
      </c>
      <c r="J65" s="8">
        <v>12.90849375</v>
      </c>
      <c r="K65" s="6" t="s">
        <v>390</v>
      </c>
      <c r="L65" s="9">
        <v>43906</v>
      </c>
      <c r="M65" s="6"/>
      <c r="N65" s="6">
        <v>25</v>
      </c>
      <c r="O65" s="6" t="s">
        <v>4258</v>
      </c>
      <c r="P65" s="6"/>
      <c r="Q65" s="6"/>
      <c r="R65" s="6">
        <v>0</v>
      </c>
      <c r="S65" s="6">
        <v>0</v>
      </c>
      <c r="T65" s="10">
        <f t="shared" si="4"/>
        <v>0</v>
      </c>
      <c r="U65" s="6"/>
      <c r="V65" s="8">
        <v>-2.7378192367553713</v>
      </c>
      <c r="W65" s="8">
        <v>-19.766453037261961</v>
      </c>
      <c r="X65" s="8">
        <f t="shared" si="3"/>
        <v>2.1361008567810096</v>
      </c>
      <c r="Y65" s="6"/>
    </row>
    <row r="66" spans="1:25" s="13" customFormat="1" x14ac:dyDescent="0.35">
      <c r="A66" s="6" t="s">
        <v>25</v>
      </c>
      <c r="B66" s="7"/>
      <c r="C66" s="6"/>
      <c r="D66" s="6" t="s">
        <v>1154</v>
      </c>
      <c r="E66" s="6">
        <v>3</v>
      </c>
      <c r="F66" s="6">
        <v>32</v>
      </c>
      <c r="G66" s="6" t="s">
        <v>1153</v>
      </c>
      <c r="H66" s="6"/>
      <c r="I66" s="8">
        <v>86.689110833333302</v>
      </c>
      <c r="J66" s="8">
        <v>12.1494461111111</v>
      </c>
      <c r="K66" s="6" t="s">
        <v>390</v>
      </c>
      <c r="L66" s="9">
        <v>43908</v>
      </c>
      <c r="M66" s="6"/>
      <c r="N66" s="6">
        <v>25</v>
      </c>
      <c r="O66" s="6" t="s">
        <v>4298</v>
      </c>
      <c r="P66" s="6"/>
      <c r="Q66" s="6"/>
      <c r="R66" s="6">
        <v>0</v>
      </c>
      <c r="S66" s="6">
        <v>0</v>
      </c>
      <c r="T66" s="10">
        <f t="shared" si="4"/>
        <v>0</v>
      </c>
      <c r="U66" s="6"/>
      <c r="V66" s="8">
        <v>-16.955620666503908</v>
      </c>
      <c r="W66" s="8">
        <v>-120.52822059631347</v>
      </c>
      <c r="X66" s="8">
        <f t="shared" ref="X66:X97" si="5">W66-(8*V66)</f>
        <v>15.116744735717788</v>
      </c>
      <c r="Y66" s="6"/>
    </row>
    <row r="67" spans="1:25" s="13" customFormat="1" x14ac:dyDescent="0.35">
      <c r="A67" s="6" t="s">
        <v>25</v>
      </c>
      <c r="B67" s="7"/>
      <c r="C67" s="6"/>
      <c r="D67" s="6" t="s">
        <v>1155</v>
      </c>
      <c r="E67" s="6">
        <v>3</v>
      </c>
      <c r="F67" s="6">
        <v>32</v>
      </c>
      <c r="G67" s="6" t="s">
        <v>1153</v>
      </c>
      <c r="H67" s="6"/>
      <c r="I67" s="8">
        <v>86.689110833333302</v>
      </c>
      <c r="J67" s="8">
        <v>12.1494461111111</v>
      </c>
      <c r="K67" s="6" t="s">
        <v>390</v>
      </c>
      <c r="L67" s="9">
        <v>43908</v>
      </c>
      <c r="M67" s="6"/>
      <c r="N67" s="6">
        <v>25</v>
      </c>
      <c r="O67" s="6" t="s">
        <v>4298</v>
      </c>
      <c r="P67" s="6"/>
      <c r="Q67" s="6"/>
      <c r="R67" s="6">
        <v>0</v>
      </c>
      <c r="S67" s="6">
        <v>0</v>
      </c>
      <c r="T67" s="6"/>
      <c r="U67" s="6"/>
      <c r="V67" s="8">
        <v>-0.76191253280639704</v>
      </c>
      <c r="W67" s="8">
        <v>-3.9016084563732147</v>
      </c>
      <c r="X67" s="8">
        <f t="shared" si="5"/>
        <v>2.1936918060779615</v>
      </c>
      <c r="Y67" s="6"/>
    </row>
    <row r="68" spans="1:25" s="13" customFormat="1" x14ac:dyDescent="0.35">
      <c r="A68" s="6" t="s">
        <v>25</v>
      </c>
      <c r="B68" s="7"/>
      <c r="C68" s="6"/>
      <c r="D68" s="6" t="s">
        <v>1197</v>
      </c>
      <c r="E68" s="6">
        <v>3</v>
      </c>
      <c r="F68" s="6">
        <v>32</v>
      </c>
      <c r="G68" s="6" t="s">
        <v>1172</v>
      </c>
      <c r="H68" s="6"/>
      <c r="I68" s="8">
        <v>86.211634027777805</v>
      </c>
      <c r="J68" s="8">
        <v>15.8018358333333</v>
      </c>
      <c r="K68" s="6" t="s">
        <v>390</v>
      </c>
      <c r="L68" s="9">
        <v>43913</v>
      </c>
      <c r="M68" s="6"/>
      <c r="N68" s="6">
        <v>26</v>
      </c>
      <c r="O68" s="6" t="s">
        <v>4280</v>
      </c>
      <c r="P68" s="6"/>
      <c r="Q68" s="6"/>
      <c r="R68" s="6">
        <v>0</v>
      </c>
      <c r="S68" s="6">
        <v>0</v>
      </c>
      <c r="T68" s="10">
        <f>AVERAGE(R68:S68)</f>
        <v>0</v>
      </c>
      <c r="U68" s="6"/>
      <c r="V68" s="8">
        <v>-0.37029204486012474</v>
      </c>
      <c r="W68" s="8">
        <v>-2.6027993988990783</v>
      </c>
      <c r="X68" s="8">
        <f t="shared" si="5"/>
        <v>0.35953695998191959</v>
      </c>
      <c r="Y68" s="6"/>
    </row>
    <row r="69" spans="1:25" s="13" customFormat="1" x14ac:dyDescent="0.35">
      <c r="A69" s="6" t="s">
        <v>25</v>
      </c>
      <c r="B69" s="7"/>
      <c r="C69" s="6"/>
      <c r="D69" s="6" t="s">
        <v>1220</v>
      </c>
      <c r="E69" s="6">
        <v>3</v>
      </c>
      <c r="F69" s="6">
        <v>33</v>
      </c>
      <c r="G69" s="6" t="s">
        <v>1221</v>
      </c>
      <c r="H69" s="6"/>
      <c r="I69" s="8">
        <v>86.189197986111097</v>
      </c>
      <c r="J69" s="8">
        <v>15.473053055555599</v>
      </c>
      <c r="K69" s="6" t="s">
        <v>390</v>
      </c>
      <c r="L69" s="9">
        <v>43914</v>
      </c>
      <c r="M69" s="6"/>
      <c r="N69" s="6">
        <v>26</v>
      </c>
      <c r="O69" s="6" t="s">
        <v>4352</v>
      </c>
      <c r="P69" s="6"/>
      <c r="Q69" s="6"/>
      <c r="R69" s="6">
        <v>0</v>
      </c>
      <c r="S69" s="6">
        <v>0</v>
      </c>
      <c r="T69" s="10">
        <f>AVERAGE(R69:S69)</f>
        <v>0</v>
      </c>
      <c r="U69" s="6"/>
      <c r="V69" s="8">
        <v>-1.944051567053795</v>
      </c>
      <c r="W69" s="8">
        <v>-13.217919236183166</v>
      </c>
      <c r="X69" s="8">
        <f t="shared" si="5"/>
        <v>2.3344933002471944</v>
      </c>
      <c r="Y69" s="6"/>
    </row>
    <row r="70" spans="1:25" s="13" customFormat="1" x14ac:dyDescent="0.35">
      <c r="A70" s="6" t="s">
        <v>25</v>
      </c>
      <c r="B70" s="7"/>
      <c r="C70" s="6"/>
      <c r="D70" s="6" t="s">
        <v>1222</v>
      </c>
      <c r="E70" s="6">
        <v>3</v>
      </c>
      <c r="F70" s="6">
        <v>33</v>
      </c>
      <c r="G70" s="6" t="s">
        <v>1221</v>
      </c>
      <c r="H70" s="6"/>
      <c r="I70" s="8">
        <v>85.996673472222199</v>
      </c>
      <c r="J70" s="8">
        <v>13.1391688888889</v>
      </c>
      <c r="K70" s="6" t="s">
        <v>390</v>
      </c>
      <c r="L70" s="9">
        <v>43916</v>
      </c>
      <c r="M70" s="6"/>
      <c r="N70" s="6">
        <v>26</v>
      </c>
      <c r="O70" s="6" t="s">
        <v>4305</v>
      </c>
      <c r="P70" s="6"/>
      <c r="Q70" s="6"/>
      <c r="R70" s="6">
        <v>0</v>
      </c>
      <c r="S70" s="6">
        <v>0</v>
      </c>
      <c r="T70" s="10">
        <f>AVERAGE(R70:S70)</f>
        <v>0</v>
      </c>
      <c r="U70" s="6"/>
      <c r="V70" s="8">
        <v>-0.96678179862499236</v>
      </c>
      <c r="W70" s="8">
        <v>-15.43840648317337</v>
      </c>
      <c r="X70" s="8">
        <f t="shared" si="5"/>
        <v>-7.7041520941734314</v>
      </c>
      <c r="Y70" s="6"/>
    </row>
    <row r="71" spans="1:25" s="13" customFormat="1" x14ac:dyDescent="0.35">
      <c r="A71" s="6" t="s">
        <v>25</v>
      </c>
      <c r="B71" s="7"/>
      <c r="C71" s="6"/>
      <c r="D71" s="6" t="s">
        <v>1223</v>
      </c>
      <c r="E71" s="6">
        <v>3</v>
      </c>
      <c r="F71" s="6">
        <v>33</v>
      </c>
      <c r="G71" s="6" t="s">
        <v>1221</v>
      </c>
      <c r="H71" s="6"/>
      <c r="I71" s="8">
        <v>85.996673472222199</v>
      </c>
      <c r="J71" s="8">
        <v>13.1391688888889</v>
      </c>
      <c r="K71" s="6" t="s">
        <v>390</v>
      </c>
      <c r="L71" s="9">
        <v>43916</v>
      </c>
      <c r="M71" s="6"/>
      <c r="N71" s="6">
        <v>26</v>
      </c>
      <c r="O71" s="6" t="s">
        <v>4305</v>
      </c>
      <c r="P71" s="6"/>
      <c r="Q71" s="6"/>
      <c r="R71" s="6">
        <v>0</v>
      </c>
      <c r="S71" s="6">
        <v>0</v>
      </c>
      <c r="T71" s="10">
        <f>AVERAGE(R71:S71)</f>
        <v>0</v>
      </c>
      <c r="U71" s="6"/>
      <c r="V71" s="8">
        <v>-6.662277864122391</v>
      </c>
      <c r="W71" s="8">
        <v>-48.398236640930179</v>
      </c>
      <c r="X71" s="8">
        <f t="shared" si="5"/>
        <v>4.8999862720489489</v>
      </c>
      <c r="Y71" s="6"/>
    </row>
    <row r="72" spans="1:25" s="13" customFormat="1" x14ac:dyDescent="0.35">
      <c r="A72" s="6" t="s">
        <v>25</v>
      </c>
      <c r="B72" s="7" t="s">
        <v>1228</v>
      </c>
      <c r="C72" s="6">
        <v>512692</v>
      </c>
      <c r="D72" s="6" t="s">
        <v>1229</v>
      </c>
      <c r="E72" s="6">
        <v>3</v>
      </c>
      <c r="F72" s="6">
        <v>34</v>
      </c>
      <c r="G72" s="6" t="s">
        <v>4469</v>
      </c>
      <c r="H72" s="6"/>
      <c r="I72" s="8">
        <v>84.661417569444396</v>
      </c>
      <c r="J72" s="8">
        <v>12.9560586111111</v>
      </c>
      <c r="K72" s="6" t="s">
        <v>390</v>
      </c>
      <c r="L72" s="9">
        <v>43925</v>
      </c>
      <c r="M72" s="6"/>
      <c r="N72" s="6">
        <v>27</v>
      </c>
      <c r="O72" s="6" t="s">
        <v>4273</v>
      </c>
      <c r="P72" s="6"/>
      <c r="Q72" s="10"/>
      <c r="R72" s="10"/>
      <c r="S72" s="10"/>
      <c r="T72" s="10"/>
      <c r="U72" s="11"/>
      <c r="V72" s="8">
        <v>-1.9683154874801638</v>
      </c>
      <c r="W72" s="8">
        <v>-14.121195188522339</v>
      </c>
      <c r="X72" s="8">
        <f t="shared" si="5"/>
        <v>1.6253287113189714</v>
      </c>
      <c r="Y72" s="6"/>
    </row>
    <row r="73" spans="1:25" s="13" customFormat="1" x14ac:dyDescent="0.35">
      <c r="A73" s="6" t="s">
        <v>25</v>
      </c>
      <c r="B73" s="7"/>
      <c r="C73" s="6"/>
      <c r="D73" s="6" t="s">
        <v>1230</v>
      </c>
      <c r="E73" s="6">
        <v>3</v>
      </c>
      <c r="F73" s="6">
        <v>34</v>
      </c>
      <c r="G73" s="6" t="s">
        <v>1221</v>
      </c>
      <c r="H73" s="6"/>
      <c r="I73" s="8">
        <v>84.661417569444396</v>
      </c>
      <c r="J73" s="8">
        <v>12.9560586111111</v>
      </c>
      <c r="K73" s="6" t="s">
        <v>390</v>
      </c>
      <c r="L73" s="9">
        <v>43925</v>
      </c>
      <c r="M73" s="6"/>
      <c r="N73" s="6">
        <v>27</v>
      </c>
      <c r="O73" s="6" t="s">
        <v>4273</v>
      </c>
      <c r="P73" s="6"/>
      <c r="Q73" s="6"/>
      <c r="R73" s="6">
        <v>0</v>
      </c>
      <c r="S73" s="6">
        <v>3</v>
      </c>
      <c r="T73" s="10">
        <f t="shared" ref="T73:T78" si="6">AVERAGE(R73:S73)</f>
        <v>1.5</v>
      </c>
      <c r="U73" s="6"/>
      <c r="V73" s="8">
        <v>0.17442794068455655</v>
      </c>
      <c r="W73" s="8">
        <v>1.0589549846649178</v>
      </c>
      <c r="X73" s="8">
        <f t="shared" si="5"/>
        <v>-0.33646854081153466</v>
      </c>
      <c r="Y73" s="6"/>
    </row>
    <row r="74" spans="1:25" s="13" customFormat="1" x14ac:dyDescent="0.35">
      <c r="A74" s="6" t="s">
        <v>25</v>
      </c>
      <c r="B74" s="7"/>
      <c r="C74" s="6"/>
      <c r="D74" s="6" t="s">
        <v>1231</v>
      </c>
      <c r="E74" s="6">
        <v>3</v>
      </c>
      <c r="F74" s="6">
        <v>34</v>
      </c>
      <c r="G74" s="6" t="s">
        <v>1221</v>
      </c>
      <c r="H74" s="6"/>
      <c r="I74" s="8">
        <v>84.661417569444396</v>
      </c>
      <c r="J74" s="8">
        <v>12.9560586111111</v>
      </c>
      <c r="K74" s="6" t="s">
        <v>390</v>
      </c>
      <c r="L74" s="9">
        <v>43925</v>
      </c>
      <c r="M74" s="6"/>
      <c r="N74" s="6">
        <v>27</v>
      </c>
      <c r="O74" s="6" t="s">
        <v>4273</v>
      </c>
      <c r="P74" s="6"/>
      <c r="Q74" s="6"/>
      <c r="R74" s="6">
        <v>3</v>
      </c>
      <c r="S74" s="6">
        <v>5.5</v>
      </c>
      <c r="T74" s="10">
        <f t="shared" si="6"/>
        <v>4.25</v>
      </c>
      <c r="U74" s="6"/>
      <c r="V74" s="8">
        <v>0.20019227706193879</v>
      </c>
      <c r="W74" s="8">
        <v>1.1783231105804444</v>
      </c>
      <c r="X74" s="8">
        <f t="shared" si="5"/>
        <v>-0.42321510591506595</v>
      </c>
      <c r="Y74" s="6"/>
    </row>
    <row r="75" spans="1:25" s="13" customFormat="1" x14ac:dyDescent="0.35">
      <c r="A75" s="6" t="s">
        <v>25</v>
      </c>
      <c r="B75" s="7"/>
      <c r="C75" s="6"/>
      <c r="D75" s="6" t="s">
        <v>1232</v>
      </c>
      <c r="E75" s="6">
        <v>3</v>
      </c>
      <c r="F75" s="6">
        <v>34</v>
      </c>
      <c r="G75" s="6" t="s">
        <v>1221</v>
      </c>
      <c r="H75" s="6"/>
      <c r="I75" s="8">
        <v>84.661417569444396</v>
      </c>
      <c r="J75" s="8">
        <v>12.9560586111111</v>
      </c>
      <c r="K75" s="6" t="s">
        <v>390</v>
      </c>
      <c r="L75" s="9">
        <v>43925</v>
      </c>
      <c r="M75" s="6"/>
      <c r="N75" s="6">
        <v>27</v>
      </c>
      <c r="O75" s="6" t="s">
        <v>4273</v>
      </c>
      <c r="P75" s="6"/>
      <c r="Q75" s="6"/>
      <c r="R75" s="6">
        <v>0</v>
      </c>
      <c r="S75" s="6">
        <v>0</v>
      </c>
      <c r="T75" s="10">
        <f t="shared" si="6"/>
        <v>0</v>
      </c>
      <c r="U75" s="6"/>
      <c r="V75" s="8">
        <v>-1.7569364254176954E-2</v>
      </c>
      <c r="W75" s="8">
        <v>-7.0847089973688124</v>
      </c>
      <c r="X75" s="8">
        <f t="shared" si="5"/>
        <v>-6.9441540833353965</v>
      </c>
      <c r="Y75" s="6"/>
    </row>
    <row r="76" spans="1:25" s="13" customFormat="1" x14ac:dyDescent="0.35">
      <c r="A76" s="6" t="s">
        <v>25</v>
      </c>
      <c r="B76" s="7"/>
      <c r="C76" s="6"/>
      <c r="D76" s="6" t="s">
        <v>1233</v>
      </c>
      <c r="E76" s="6">
        <v>3</v>
      </c>
      <c r="F76" s="6">
        <v>34</v>
      </c>
      <c r="G76" s="6" t="s">
        <v>1234</v>
      </c>
      <c r="H76" s="6"/>
      <c r="I76" s="8">
        <v>84.661417569444396</v>
      </c>
      <c r="J76" s="8">
        <v>12.9560586111111</v>
      </c>
      <c r="K76" s="6" t="s">
        <v>390</v>
      </c>
      <c r="L76" s="9">
        <v>43925</v>
      </c>
      <c r="M76" s="6"/>
      <c r="N76" s="6">
        <v>27</v>
      </c>
      <c r="O76" s="6" t="s">
        <v>4273</v>
      </c>
      <c r="P76" s="6"/>
      <c r="Q76" s="6"/>
      <c r="R76" s="6">
        <v>0</v>
      </c>
      <c r="S76" s="6">
        <v>6</v>
      </c>
      <c r="T76" s="10">
        <f t="shared" si="6"/>
        <v>3</v>
      </c>
      <c r="U76" s="6"/>
      <c r="V76" s="8">
        <v>-2.6996242868900304</v>
      </c>
      <c r="W76" s="8">
        <v>-21.555353500366209</v>
      </c>
      <c r="X76" s="8">
        <f t="shared" si="5"/>
        <v>4.164079475403426E-2</v>
      </c>
      <c r="Y76" s="6"/>
    </row>
    <row r="77" spans="1:25" s="13" customFormat="1" x14ac:dyDescent="0.35">
      <c r="A77" s="6" t="s">
        <v>25</v>
      </c>
      <c r="B77" s="7"/>
      <c r="C77" s="6"/>
      <c r="D77" s="6" t="s">
        <v>1235</v>
      </c>
      <c r="E77" s="6">
        <v>3</v>
      </c>
      <c r="F77" s="6">
        <v>34</v>
      </c>
      <c r="G77" s="6" t="s">
        <v>1234</v>
      </c>
      <c r="H77" s="6"/>
      <c r="I77" s="8">
        <v>84.661417569444396</v>
      </c>
      <c r="J77" s="8">
        <v>12.9560586111111</v>
      </c>
      <c r="K77" s="6" t="s">
        <v>390</v>
      </c>
      <c r="L77" s="9">
        <v>43925</v>
      </c>
      <c r="M77" s="6"/>
      <c r="N77" s="6">
        <v>27</v>
      </c>
      <c r="O77" s="6" t="s">
        <v>4273</v>
      </c>
      <c r="P77" s="6"/>
      <c r="Q77" s="6"/>
      <c r="R77" s="6">
        <v>6</v>
      </c>
      <c r="S77" s="6">
        <v>12</v>
      </c>
      <c r="T77" s="10">
        <f t="shared" si="6"/>
        <v>9</v>
      </c>
      <c r="U77" s="6"/>
      <c r="V77" s="8">
        <v>-2.5927898240089418</v>
      </c>
      <c r="W77" s="8">
        <v>-21.613961029052735</v>
      </c>
      <c r="X77" s="8">
        <f t="shared" si="5"/>
        <v>-0.87164243698120103</v>
      </c>
      <c r="Y77" s="6"/>
    </row>
    <row r="78" spans="1:25" s="6" customFormat="1" x14ac:dyDescent="0.35">
      <c r="A78" s="6" t="s">
        <v>25</v>
      </c>
      <c r="B78" s="7"/>
      <c r="D78" s="6" t="s">
        <v>1236</v>
      </c>
      <c r="E78" s="6">
        <v>3</v>
      </c>
      <c r="F78" s="6">
        <v>34</v>
      </c>
      <c r="G78" s="6" t="s">
        <v>1234</v>
      </c>
      <c r="I78" s="8">
        <v>84.661417569444396</v>
      </c>
      <c r="J78" s="8">
        <v>12.9560586111111</v>
      </c>
      <c r="K78" s="6" t="s">
        <v>390</v>
      </c>
      <c r="L78" s="9">
        <v>43925</v>
      </c>
      <c r="N78" s="6">
        <v>27</v>
      </c>
      <c r="O78" s="6" t="s">
        <v>4273</v>
      </c>
      <c r="R78" s="6">
        <v>12</v>
      </c>
      <c r="S78" s="6">
        <v>16</v>
      </c>
      <c r="T78" s="10">
        <f t="shared" si="6"/>
        <v>14</v>
      </c>
      <c r="V78" s="8">
        <v>-2.348025489091873</v>
      </c>
      <c r="W78" s="8">
        <v>-18.64910838317871</v>
      </c>
      <c r="X78" s="8">
        <f t="shared" si="5"/>
        <v>0.13509552955627413</v>
      </c>
    </row>
    <row r="79" spans="1:25" s="6" customFormat="1" x14ac:dyDescent="0.35">
      <c r="A79" s="6" t="s">
        <v>25</v>
      </c>
      <c r="B79" s="7" t="s">
        <v>1258</v>
      </c>
      <c r="D79" s="6" t="s">
        <v>1259</v>
      </c>
      <c r="E79" s="6">
        <v>3</v>
      </c>
      <c r="F79" s="6">
        <v>34</v>
      </c>
      <c r="G79" s="6" t="s">
        <v>1260</v>
      </c>
      <c r="I79" s="8">
        <v>84.533711805555598</v>
      </c>
      <c r="J79" s="8">
        <v>14.277858402777801</v>
      </c>
      <c r="K79" s="6" t="s">
        <v>390</v>
      </c>
      <c r="L79" s="9">
        <v>43927</v>
      </c>
      <c r="N79" s="6">
        <v>28</v>
      </c>
      <c r="O79" s="6" t="s">
        <v>4359</v>
      </c>
      <c r="Q79" s="10"/>
      <c r="R79" s="10"/>
      <c r="S79" s="10"/>
      <c r="T79" s="10"/>
      <c r="U79" s="11"/>
      <c r="V79" s="8">
        <v>-0.53867972266077979</v>
      </c>
      <c r="W79" s="8">
        <v>-11.147708366394042</v>
      </c>
      <c r="X79" s="8">
        <f t="shared" si="5"/>
        <v>-6.8382705851078036</v>
      </c>
    </row>
    <row r="80" spans="1:25" s="6" customFormat="1" x14ac:dyDescent="0.35">
      <c r="A80" s="6" t="s">
        <v>25</v>
      </c>
      <c r="B80" s="7" t="s">
        <v>1261</v>
      </c>
      <c r="D80" s="6" t="s">
        <v>1262</v>
      </c>
      <c r="E80" s="6">
        <v>3</v>
      </c>
      <c r="F80" s="6">
        <v>34</v>
      </c>
      <c r="G80" s="6" t="s">
        <v>1260</v>
      </c>
      <c r="I80" s="8">
        <v>84.533711805555598</v>
      </c>
      <c r="J80" s="8">
        <v>14.277858402777801</v>
      </c>
      <c r="K80" s="6" t="s">
        <v>390</v>
      </c>
      <c r="L80" s="9">
        <v>43927</v>
      </c>
      <c r="N80" s="6">
        <v>28</v>
      </c>
      <c r="O80" s="6" t="s">
        <v>4359</v>
      </c>
      <c r="Q80" s="10"/>
      <c r="R80" s="10"/>
      <c r="S80" s="10"/>
      <c r="T80" s="10"/>
      <c r="U80" s="11"/>
      <c r="V80" s="8">
        <v>-6.091053958320618</v>
      </c>
      <c r="W80" s="8">
        <v>-42.939918624877926</v>
      </c>
      <c r="X80" s="8">
        <f t="shared" si="5"/>
        <v>5.7885130416870183</v>
      </c>
    </row>
    <row r="81" spans="1:24" s="6" customFormat="1" x14ac:dyDescent="0.35">
      <c r="A81" s="6" t="s">
        <v>25</v>
      </c>
      <c r="B81" s="7" t="s">
        <v>1263</v>
      </c>
      <c r="D81" s="6" t="s">
        <v>1264</v>
      </c>
      <c r="E81" s="6">
        <v>3</v>
      </c>
      <c r="F81" s="6">
        <v>34</v>
      </c>
      <c r="G81" s="6" t="s">
        <v>1260</v>
      </c>
      <c r="I81" s="8">
        <v>84.533711805555598</v>
      </c>
      <c r="J81" s="8">
        <v>14.277858402777801</v>
      </c>
      <c r="K81" s="6" t="s">
        <v>390</v>
      </c>
      <c r="L81" s="9">
        <v>43927</v>
      </c>
      <c r="N81" s="6">
        <v>28</v>
      </c>
      <c r="O81" s="6" t="s">
        <v>4359</v>
      </c>
      <c r="Q81" s="10">
        <v>4</v>
      </c>
      <c r="R81" s="10"/>
      <c r="S81" s="10">
        <v>4</v>
      </c>
      <c r="T81" s="10">
        <f>AVERAGE(R81:S81)</f>
        <v>4</v>
      </c>
      <c r="U81" s="11"/>
      <c r="V81" s="8">
        <v>0.22781978492140761</v>
      </c>
      <c r="W81" s="8">
        <v>2.8035321092605594</v>
      </c>
      <c r="X81" s="8">
        <f t="shared" si="5"/>
        <v>0.98097382988929849</v>
      </c>
    </row>
    <row r="82" spans="1:24" s="6" customFormat="1" x14ac:dyDescent="0.35">
      <c r="A82" s="6" t="s">
        <v>25</v>
      </c>
      <c r="B82" s="7" t="s">
        <v>1265</v>
      </c>
      <c r="D82" s="6" t="s">
        <v>1266</v>
      </c>
      <c r="E82" s="6">
        <v>3</v>
      </c>
      <c r="F82" s="6">
        <v>34</v>
      </c>
      <c r="G82" s="6" t="s">
        <v>1172</v>
      </c>
      <c r="I82" s="8">
        <v>84.533711805555598</v>
      </c>
      <c r="J82" s="8">
        <v>14.277858402777801</v>
      </c>
      <c r="K82" s="6" t="s">
        <v>390</v>
      </c>
      <c r="L82" s="9">
        <v>43927</v>
      </c>
      <c r="N82" s="6">
        <v>28</v>
      </c>
      <c r="O82" s="6" t="s">
        <v>4359</v>
      </c>
      <c r="Q82" s="10"/>
      <c r="R82" s="10"/>
      <c r="S82" s="10"/>
      <c r="T82" s="10"/>
      <c r="U82" s="11"/>
      <c r="V82" s="8">
        <v>-2.5946204374313364</v>
      </c>
      <c r="W82" s="8">
        <v>-19.673243480682373</v>
      </c>
      <c r="X82" s="8">
        <f t="shared" si="5"/>
        <v>1.083720018768318</v>
      </c>
    </row>
    <row r="83" spans="1:24" s="6" customFormat="1" x14ac:dyDescent="0.35">
      <c r="A83" s="6" t="s">
        <v>25</v>
      </c>
      <c r="B83" s="7" t="s">
        <v>1267</v>
      </c>
      <c r="D83" s="6" t="s">
        <v>1268</v>
      </c>
      <c r="E83" s="6">
        <v>3</v>
      </c>
      <c r="F83" s="6">
        <v>34</v>
      </c>
      <c r="G83" s="6" t="s">
        <v>1172</v>
      </c>
      <c r="I83" s="8">
        <v>84.533711805555598</v>
      </c>
      <c r="J83" s="8">
        <v>14.277858402777801</v>
      </c>
      <c r="K83" s="6" t="s">
        <v>390</v>
      </c>
      <c r="L83" s="9">
        <v>43927</v>
      </c>
      <c r="N83" s="6">
        <v>28</v>
      </c>
      <c r="O83" s="6" t="s">
        <v>4359</v>
      </c>
      <c r="Q83" s="10"/>
      <c r="R83" s="10"/>
      <c r="S83" s="10"/>
      <c r="T83" s="10"/>
      <c r="U83" s="11"/>
      <c r="V83" s="8">
        <v>-2.4127937524795535</v>
      </c>
      <c r="W83" s="8">
        <v>-18.252531792640685</v>
      </c>
      <c r="X83" s="8">
        <f t="shared" si="5"/>
        <v>1.0498182271957432</v>
      </c>
    </row>
    <row r="84" spans="1:24" s="6" customFormat="1" x14ac:dyDescent="0.35">
      <c r="A84" s="6" t="s">
        <v>25</v>
      </c>
      <c r="B84" s="7" t="s">
        <v>1269</v>
      </c>
      <c r="D84" s="6" t="s">
        <v>1270</v>
      </c>
      <c r="E84" s="6">
        <v>3</v>
      </c>
      <c r="F84" s="6">
        <v>34</v>
      </c>
      <c r="G84" s="6" t="s">
        <v>1289</v>
      </c>
      <c r="I84" s="8">
        <v>84.533711805555598</v>
      </c>
      <c r="J84" s="8">
        <v>14.277858402777801</v>
      </c>
      <c r="K84" s="6" t="s">
        <v>390</v>
      </c>
      <c r="L84" s="9">
        <v>43927</v>
      </c>
      <c r="N84" s="6">
        <v>28</v>
      </c>
      <c r="O84" s="6" t="s">
        <v>4359</v>
      </c>
      <c r="Q84" s="10"/>
      <c r="R84" s="10"/>
      <c r="S84" s="10"/>
      <c r="T84" s="10"/>
      <c r="U84" s="11"/>
      <c r="V84" s="8">
        <v>-2.4707503231048586</v>
      </c>
      <c r="W84" s="8">
        <v>-19.509173622131346</v>
      </c>
      <c r="X84" s="8">
        <f t="shared" si="5"/>
        <v>0.25682896270752309</v>
      </c>
    </row>
    <row r="85" spans="1:24" s="6" customFormat="1" x14ac:dyDescent="0.35">
      <c r="A85" s="6" t="s">
        <v>25</v>
      </c>
      <c r="B85" s="7" t="s">
        <v>1271</v>
      </c>
      <c r="D85" s="6" t="s">
        <v>1272</v>
      </c>
      <c r="E85" s="6">
        <v>3</v>
      </c>
      <c r="F85" s="6">
        <v>34</v>
      </c>
      <c r="G85" s="6" t="s">
        <v>1289</v>
      </c>
      <c r="I85" s="8">
        <v>84.533711805555598</v>
      </c>
      <c r="J85" s="8">
        <v>14.277858402777801</v>
      </c>
      <c r="K85" s="6" t="s">
        <v>390</v>
      </c>
      <c r="L85" s="9">
        <v>43927</v>
      </c>
      <c r="N85" s="6">
        <v>28</v>
      </c>
      <c r="O85" s="6" t="s">
        <v>4359</v>
      </c>
      <c r="Q85" s="10"/>
      <c r="R85" s="10"/>
      <c r="S85" s="10"/>
      <c r="T85" s="10"/>
      <c r="U85" s="11"/>
      <c r="V85" s="8">
        <v>0.35048111240565738</v>
      </c>
      <c r="W85" s="8">
        <v>2.9805546665191649</v>
      </c>
      <c r="X85" s="8">
        <f t="shared" si="5"/>
        <v>0.17670576727390586</v>
      </c>
    </row>
    <row r="86" spans="1:24" s="6" customFormat="1" x14ac:dyDescent="0.35">
      <c r="A86" s="6" t="s">
        <v>25</v>
      </c>
      <c r="B86" s="7" t="s">
        <v>1287</v>
      </c>
      <c r="D86" s="6" t="s">
        <v>1288</v>
      </c>
      <c r="E86" s="6">
        <v>3</v>
      </c>
      <c r="F86" s="6">
        <v>34</v>
      </c>
      <c r="G86" s="6" t="s">
        <v>1289</v>
      </c>
      <c r="I86" s="8">
        <v>84.378877986111107</v>
      </c>
      <c r="J86" s="8">
        <v>14.649121388888901</v>
      </c>
      <c r="K86" s="6" t="s">
        <v>390</v>
      </c>
      <c r="L86" s="9">
        <v>43931</v>
      </c>
      <c r="N86" s="6">
        <v>28</v>
      </c>
      <c r="O86" s="6" t="s">
        <v>4361</v>
      </c>
      <c r="Q86" s="10"/>
      <c r="R86" s="10"/>
      <c r="S86" s="10"/>
      <c r="T86" s="10"/>
      <c r="U86" s="11"/>
      <c r="V86" s="8">
        <v>-3.9356722193717966</v>
      </c>
      <c r="W86" s="8">
        <v>-31.147115089416502</v>
      </c>
      <c r="X86" s="8">
        <f t="shared" si="5"/>
        <v>0.33826266555787043</v>
      </c>
    </row>
    <row r="87" spans="1:24" s="6" customFormat="1" x14ac:dyDescent="0.35">
      <c r="A87" s="6" t="s">
        <v>25</v>
      </c>
      <c r="B87" s="7" t="s">
        <v>1307</v>
      </c>
      <c r="D87" s="6" t="s">
        <v>1308</v>
      </c>
      <c r="E87" s="6">
        <v>3</v>
      </c>
      <c r="F87" s="6">
        <v>35</v>
      </c>
      <c r="G87" s="6" t="s">
        <v>1199</v>
      </c>
      <c r="I87" s="8">
        <v>84.322834374999999</v>
      </c>
      <c r="J87" s="8">
        <v>14.725811041666701</v>
      </c>
      <c r="K87" s="6" t="s">
        <v>390</v>
      </c>
      <c r="L87" s="9">
        <v>43932</v>
      </c>
      <c r="N87" s="6">
        <v>28</v>
      </c>
      <c r="O87" s="6" t="s">
        <v>4362</v>
      </c>
      <c r="Q87" s="10"/>
      <c r="R87" s="10"/>
      <c r="S87" s="10"/>
      <c r="T87" s="10"/>
      <c r="U87" s="11"/>
      <c r="V87" s="8">
        <v>-7.8391235023498531</v>
      </c>
      <c r="W87" s="8">
        <v>-68.036068374633786</v>
      </c>
      <c r="X87" s="8">
        <f t="shared" si="5"/>
        <v>-5.3230803558349606</v>
      </c>
    </row>
    <row r="88" spans="1:24" s="6" customFormat="1" x14ac:dyDescent="0.35">
      <c r="A88" s="6" t="s">
        <v>25</v>
      </c>
      <c r="B88" s="7" t="s">
        <v>1309</v>
      </c>
      <c r="D88" s="6" t="s">
        <v>1310</v>
      </c>
      <c r="E88" s="6">
        <v>3</v>
      </c>
      <c r="F88" s="6">
        <v>35</v>
      </c>
      <c r="G88" s="6" t="s">
        <v>1289</v>
      </c>
      <c r="I88" s="8">
        <v>84.322834374999999</v>
      </c>
      <c r="J88" s="8">
        <v>14.725811041666701</v>
      </c>
      <c r="K88" s="6" t="s">
        <v>390</v>
      </c>
      <c r="L88" s="9">
        <v>43932</v>
      </c>
      <c r="N88" s="6">
        <v>28</v>
      </c>
      <c r="O88" s="6" t="s">
        <v>4362</v>
      </c>
      <c r="Q88" s="10"/>
      <c r="R88" s="10">
        <v>0</v>
      </c>
      <c r="S88" s="10">
        <v>10</v>
      </c>
      <c r="T88" s="10">
        <f>AVERAGE(R88:S88)</f>
        <v>5</v>
      </c>
      <c r="U88" s="11"/>
      <c r="V88" s="8">
        <v>-0.48698993544578523</v>
      </c>
      <c r="W88" s="8">
        <v>-2.7671056828498841</v>
      </c>
      <c r="X88" s="8">
        <f t="shared" si="5"/>
        <v>1.1288138007163977</v>
      </c>
    </row>
    <row r="89" spans="1:24" s="6" customFormat="1" x14ac:dyDescent="0.35">
      <c r="A89" s="6" t="s">
        <v>25</v>
      </c>
      <c r="B89" s="7" t="s">
        <v>1312</v>
      </c>
      <c r="D89" s="6" t="s">
        <v>1313</v>
      </c>
      <c r="E89" s="6">
        <v>3</v>
      </c>
      <c r="F89" s="6">
        <v>35</v>
      </c>
      <c r="G89" s="6" t="s">
        <v>1289</v>
      </c>
      <c r="I89" s="8">
        <v>84.322834374999999</v>
      </c>
      <c r="J89" s="8">
        <v>14.725811041666701</v>
      </c>
      <c r="K89" s="6" t="s">
        <v>390</v>
      </c>
      <c r="L89" s="9">
        <v>43932</v>
      </c>
      <c r="N89" s="6">
        <v>28</v>
      </c>
      <c r="O89" s="6" t="s">
        <v>4362</v>
      </c>
      <c r="Q89" s="10"/>
      <c r="R89" s="10">
        <v>10</v>
      </c>
      <c r="S89" s="10">
        <v>20</v>
      </c>
      <c r="T89" s="10">
        <f>AVERAGE(R89:S89)</f>
        <v>15</v>
      </c>
      <c r="U89" s="11"/>
      <c r="V89" s="8">
        <v>-1.7261785004615788</v>
      </c>
      <c r="W89" s="8">
        <v>-12.30702733039856</v>
      </c>
      <c r="X89" s="8">
        <f t="shared" si="5"/>
        <v>1.5024006732940709</v>
      </c>
    </row>
    <row r="90" spans="1:24" s="6" customFormat="1" x14ac:dyDescent="0.35">
      <c r="A90" s="6" t="s">
        <v>25</v>
      </c>
      <c r="B90" s="7" t="s">
        <v>1314</v>
      </c>
      <c r="D90" s="6" t="s">
        <v>1315</v>
      </c>
      <c r="E90" s="6">
        <v>3</v>
      </c>
      <c r="F90" s="6">
        <v>35</v>
      </c>
      <c r="G90" s="6" t="s">
        <v>1289</v>
      </c>
      <c r="I90" s="8">
        <v>84.322834374999999</v>
      </c>
      <c r="J90" s="8">
        <v>14.725811041666701</v>
      </c>
      <c r="K90" s="6" t="s">
        <v>390</v>
      </c>
      <c r="L90" s="9">
        <v>43932</v>
      </c>
      <c r="N90" s="6">
        <v>28</v>
      </c>
      <c r="O90" s="6" t="s">
        <v>4362</v>
      </c>
      <c r="Q90" s="10"/>
      <c r="R90" s="10">
        <v>20</v>
      </c>
      <c r="S90" s="10">
        <v>30</v>
      </c>
      <c r="T90" s="10">
        <f>AVERAGE(R90:S90)</f>
        <v>25</v>
      </c>
      <c r="U90" s="11"/>
      <c r="V90" s="8">
        <v>0.60297983140945477</v>
      </c>
      <c r="W90" s="8">
        <v>5.8228099346160889</v>
      </c>
      <c r="X90" s="8">
        <f t="shared" si="5"/>
        <v>0.99897128334045071</v>
      </c>
    </row>
    <row r="91" spans="1:24" s="6" customFormat="1" x14ac:dyDescent="0.35">
      <c r="A91" s="6" t="s">
        <v>25</v>
      </c>
      <c r="B91" s="7" t="s">
        <v>1316</v>
      </c>
      <c r="D91" s="6" t="s">
        <v>1317</v>
      </c>
      <c r="E91" s="6">
        <v>3</v>
      </c>
      <c r="F91" s="6">
        <v>35</v>
      </c>
      <c r="G91" s="6" t="s">
        <v>1289</v>
      </c>
      <c r="I91" s="8">
        <v>84.322834374999999</v>
      </c>
      <c r="J91" s="8">
        <v>14.725811041666701</v>
      </c>
      <c r="K91" s="6" t="s">
        <v>390</v>
      </c>
      <c r="L91" s="9">
        <v>43932</v>
      </c>
      <c r="N91" s="6">
        <v>28</v>
      </c>
      <c r="O91" s="6" t="s">
        <v>4362</v>
      </c>
      <c r="Q91" s="10"/>
      <c r="R91" s="10">
        <v>30</v>
      </c>
      <c r="S91" s="10">
        <v>40</v>
      </c>
      <c r="T91" s="10">
        <f>AVERAGE(R91:S91)</f>
        <v>35</v>
      </c>
      <c r="U91" s="11"/>
      <c r="V91" s="8">
        <v>0.96269085998535175</v>
      </c>
      <c r="W91" s="8">
        <v>8.4063366813659659</v>
      </c>
      <c r="X91" s="8">
        <f t="shared" si="5"/>
        <v>0.70480980148315187</v>
      </c>
    </row>
    <row r="92" spans="1:24" s="6" customFormat="1" x14ac:dyDescent="0.35">
      <c r="A92" s="6" t="s">
        <v>25</v>
      </c>
      <c r="B92" s="7" t="s">
        <v>1318</v>
      </c>
      <c r="D92" s="6" t="s">
        <v>1319</v>
      </c>
      <c r="E92" s="6">
        <v>3</v>
      </c>
      <c r="F92" s="6">
        <v>35</v>
      </c>
      <c r="G92" s="6" t="s">
        <v>1289</v>
      </c>
      <c r="I92" s="8">
        <v>84.322834374999999</v>
      </c>
      <c r="J92" s="8">
        <v>14.725811041666701</v>
      </c>
      <c r="K92" s="6" t="s">
        <v>390</v>
      </c>
      <c r="L92" s="9">
        <v>43932</v>
      </c>
      <c r="N92" s="6">
        <v>28</v>
      </c>
      <c r="O92" s="6" t="s">
        <v>4362</v>
      </c>
      <c r="Q92" s="10"/>
      <c r="R92" s="10">
        <v>40</v>
      </c>
      <c r="S92" s="10">
        <v>50</v>
      </c>
      <c r="T92" s="10">
        <f>AVERAGE(R92:S92)</f>
        <v>45</v>
      </c>
      <c r="U92" s="11"/>
      <c r="V92" s="8">
        <v>0.7694339105606085</v>
      </c>
      <c r="W92" s="8">
        <v>7.3171133475303645</v>
      </c>
      <c r="X92" s="8">
        <f t="shared" si="5"/>
        <v>1.1616420630454964</v>
      </c>
    </row>
    <row r="93" spans="1:24" s="6" customFormat="1" x14ac:dyDescent="0.35">
      <c r="A93" s="6" t="s">
        <v>25</v>
      </c>
      <c r="B93" s="7" t="s">
        <v>1425</v>
      </c>
      <c r="D93" s="6" t="s">
        <v>1426</v>
      </c>
      <c r="E93" s="6">
        <v>3</v>
      </c>
      <c r="F93" s="6">
        <v>37</v>
      </c>
      <c r="G93" s="6" t="s">
        <v>4470</v>
      </c>
      <c r="I93" s="8">
        <v>84.074120555555595</v>
      </c>
      <c r="J93" s="8">
        <v>16.034243819444399</v>
      </c>
      <c r="K93" s="6" t="s">
        <v>390</v>
      </c>
      <c r="L93" s="9">
        <v>43944</v>
      </c>
      <c r="N93" s="6">
        <v>30</v>
      </c>
      <c r="O93" s="6" t="s">
        <v>4279</v>
      </c>
      <c r="Q93" s="10"/>
      <c r="R93" s="10"/>
      <c r="S93" s="10"/>
      <c r="T93" s="10"/>
      <c r="U93" s="11"/>
      <c r="V93" s="8">
        <v>-2.986817780418396</v>
      </c>
      <c r="W93" s="8">
        <v>-22.50179027366638</v>
      </c>
      <c r="X93" s="8">
        <f t="shared" si="5"/>
        <v>1.3927519696807877</v>
      </c>
    </row>
    <row r="94" spans="1:24" s="6" customFormat="1" x14ac:dyDescent="0.35">
      <c r="A94" s="6" t="s">
        <v>25</v>
      </c>
      <c r="B94" s="7" t="s">
        <v>1427</v>
      </c>
      <c r="D94" s="6" t="s">
        <v>1428</v>
      </c>
      <c r="E94" s="6">
        <v>3</v>
      </c>
      <c r="F94" s="6">
        <v>37</v>
      </c>
      <c r="G94" s="6" t="s">
        <v>1429</v>
      </c>
      <c r="I94" s="8">
        <v>84.052059305555602</v>
      </c>
      <c r="J94" s="8">
        <v>15.898474930555601</v>
      </c>
      <c r="K94" s="6" t="s">
        <v>390</v>
      </c>
      <c r="L94" s="9">
        <v>43945</v>
      </c>
      <c r="N94" s="6">
        <v>30</v>
      </c>
      <c r="O94" s="6" t="s">
        <v>4370</v>
      </c>
      <c r="Q94" s="10"/>
      <c r="R94" s="10">
        <v>0</v>
      </c>
      <c r="S94" s="10">
        <v>10</v>
      </c>
      <c r="T94" s="10">
        <f>AVERAGE(R94:S94)</f>
        <v>5</v>
      </c>
      <c r="U94" s="11"/>
      <c r="V94" s="8">
        <v>-15.066252862854004</v>
      </c>
      <c r="W94" s="8">
        <v>-109.30051093292236</v>
      </c>
      <c r="X94" s="8">
        <f t="shared" si="5"/>
        <v>11.229511969909666</v>
      </c>
    </row>
    <row r="95" spans="1:24" s="6" customFormat="1" x14ac:dyDescent="0.35">
      <c r="A95" s="6" t="s">
        <v>25</v>
      </c>
      <c r="B95" s="7" t="s">
        <v>1430</v>
      </c>
      <c r="D95" s="6" t="s">
        <v>1431</v>
      </c>
      <c r="E95" s="6">
        <v>3</v>
      </c>
      <c r="F95" s="6">
        <v>37</v>
      </c>
      <c r="G95" s="6" t="s">
        <v>1429</v>
      </c>
      <c r="I95" s="8">
        <v>84.052059305555602</v>
      </c>
      <c r="J95" s="8">
        <v>15.898474930555601</v>
      </c>
      <c r="K95" s="6" t="s">
        <v>390</v>
      </c>
      <c r="L95" s="9">
        <v>43945</v>
      </c>
      <c r="N95" s="6">
        <v>30</v>
      </c>
      <c r="O95" s="6" t="s">
        <v>4370</v>
      </c>
      <c r="Q95" s="10"/>
      <c r="R95" s="10">
        <v>10</v>
      </c>
      <c r="S95" s="10">
        <v>20</v>
      </c>
      <c r="T95" s="10">
        <f>AVERAGE(R95:S95)</f>
        <v>15</v>
      </c>
      <c r="U95" s="11"/>
      <c r="V95" s="8">
        <v>-7.9379434413146983</v>
      </c>
      <c r="W95" s="8">
        <v>-57.826578830718994</v>
      </c>
      <c r="X95" s="8">
        <f t="shared" si="5"/>
        <v>5.6769686997985929</v>
      </c>
    </row>
    <row r="96" spans="1:24" s="6" customFormat="1" x14ac:dyDescent="0.35">
      <c r="A96" s="6" t="s">
        <v>25</v>
      </c>
      <c r="B96" s="7" t="s">
        <v>1432</v>
      </c>
      <c r="D96" s="6" t="s">
        <v>1433</v>
      </c>
      <c r="E96" s="6">
        <v>3</v>
      </c>
      <c r="F96" s="6">
        <v>37</v>
      </c>
      <c r="G96" s="6" t="s">
        <v>1429</v>
      </c>
      <c r="I96" s="8">
        <v>84.052059305555602</v>
      </c>
      <c r="J96" s="8">
        <v>15.898474930555601</v>
      </c>
      <c r="K96" s="6" t="s">
        <v>390</v>
      </c>
      <c r="L96" s="9">
        <v>43945</v>
      </c>
      <c r="N96" s="6">
        <v>30</v>
      </c>
      <c r="O96" s="6" t="s">
        <v>4370</v>
      </c>
      <c r="Q96" s="10"/>
      <c r="R96" s="10">
        <v>20</v>
      </c>
      <c r="S96" s="10">
        <v>30</v>
      </c>
      <c r="T96" s="10">
        <f>AVERAGE(R96:S96)</f>
        <v>25</v>
      </c>
      <c r="U96" s="11"/>
      <c r="V96" s="8">
        <v>-2.8731295755386363</v>
      </c>
      <c r="W96" s="8">
        <v>-20.292595508575438</v>
      </c>
      <c r="X96" s="8">
        <f t="shared" si="5"/>
        <v>2.6924410957336526</v>
      </c>
    </row>
    <row r="97" spans="1:24" s="6" customFormat="1" x14ac:dyDescent="0.35">
      <c r="A97" s="6" t="s">
        <v>25</v>
      </c>
      <c r="B97" s="7" t="s">
        <v>1434</v>
      </c>
      <c r="D97" s="6" t="s">
        <v>1435</v>
      </c>
      <c r="E97" s="6">
        <v>3</v>
      </c>
      <c r="F97" s="6">
        <v>37</v>
      </c>
      <c r="G97" s="6" t="s">
        <v>1429</v>
      </c>
      <c r="I97" s="8">
        <v>84.052059305555602</v>
      </c>
      <c r="J97" s="8">
        <v>15.898474930555601</v>
      </c>
      <c r="K97" s="6" t="s">
        <v>390</v>
      </c>
      <c r="L97" s="9">
        <v>43945</v>
      </c>
      <c r="N97" s="6">
        <v>30</v>
      </c>
      <c r="O97" s="6" t="s">
        <v>4370</v>
      </c>
      <c r="Q97" s="10"/>
      <c r="R97" s="10">
        <v>30</v>
      </c>
      <c r="S97" s="10">
        <v>40</v>
      </c>
      <c r="T97" s="10">
        <f>AVERAGE(R97:S97)</f>
        <v>35</v>
      </c>
      <c r="U97" s="11"/>
      <c r="V97" s="8">
        <v>-0.51964126830101021</v>
      </c>
      <c r="W97" s="8">
        <v>-2.8251744136810304</v>
      </c>
      <c r="X97" s="8">
        <f t="shared" si="5"/>
        <v>1.3319557327270513</v>
      </c>
    </row>
    <row r="98" spans="1:24" s="6" customFormat="1" x14ac:dyDescent="0.35">
      <c r="A98" s="6" t="s">
        <v>25</v>
      </c>
      <c r="B98" s="7" t="s">
        <v>1436</v>
      </c>
      <c r="D98" s="6" t="s">
        <v>1437</v>
      </c>
      <c r="E98" s="6">
        <v>3</v>
      </c>
      <c r="F98" s="6">
        <v>37</v>
      </c>
      <c r="G98" s="6" t="s">
        <v>1429</v>
      </c>
      <c r="I98" s="8">
        <v>84.052059305555602</v>
      </c>
      <c r="J98" s="8">
        <v>15.898474930555601</v>
      </c>
      <c r="K98" s="6" t="s">
        <v>390</v>
      </c>
      <c r="L98" s="9">
        <v>43945</v>
      </c>
      <c r="N98" s="6">
        <v>30</v>
      </c>
      <c r="O98" s="6" t="s">
        <v>4370</v>
      </c>
      <c r="Q98" s="10"/>
      <c r="R98" s="10"/>
      <c r="S98" s="10"/>
      <c r="T98" s="10"/>
      <c r="U98" s="11"/>
      <c r="V98" s="8">
        <v>0.56659333391189537</v>
      </c>
      <c r="W98" s="8">
        <v>5.2809841699600222</v>
      </c>
      <c r="X98" s="8">
        <f t="shared" ref="X98:X104" si="7">W98-(8*V98)</f>
        <v>0.74823749866485922</v>
      </c>
    </row>
    <row r="99" spans="1:24" s="6" customFormat="1" x14ac:dyDescent="0.35">
      <c r="A99" s="6" t="s">
        <v>25</v>
      </c>
      <c r="B99" s="7" t="s">
        <v>1512</v>
      </c>
      <c r="D99" s="6" t="s">
        <v>1513</v>
      </c>
      <c r="E99" s="6">
        <v>3</v>
      </c>
      <c r="F99" s="6">
        <v>37</v>
      </c>
      <c r="G99" s="6" t="s">
        <v>1514</v>
      </c>
      <c r="I99" s="8">
        <v>83.929787500000003</v>
      </c>
      <c r="J99" s="8">
        <v>15.517561875</v>
      </c>
      <c r="K99" s="6" t="s">
        <v>390</v>
      </c>
      <c r="L99" s="9">
        <v>43947</v>
      </c>
      <c r="N99" s="6">
        <v>30</v>
      </c>
      <c r="O99" s="6" t="s">
        <v>4247</v>
      </c>
      <c r="Q99" s="10"/>
      <c r="R99" s="10">
        <v>0</v>
      </c>
      <c r="S99" s="10">
        <v>10</v>
      </c>
      <c r="T99" s="10">
        <f>AVERAGE(R99:S99)</f>
        <v>5</v>
      </c>
      <c r="U99" s="11"/>
      <c r="V99" s="8">
        <v>-0.8624360991001131</v>
      </c>
      <c r="W99" s="8">
        <v>-5.7449495091438303</v>
      </c>
      <c r="X99" s="8">
        <f t="shared" si="7"/>
        <v>1.1545392836570745</v>
      </c>
    </row>
    <row r="100" spans="1:24" s="6" customFormat="1" x14ac:dyDescent="0.35">
      <c r="A100" s="6" t="s">
        <v>25</v>
      </c>
      <c r="B100" s="7" t="s">
        <v>1515</v>
      </c>
      <c r="D100" s="6" t="s">
        <v>1516</v>
      </c>
      <c r="E100" s="6">
        <v>3</v>
      </c>
      <c r="F100" s="6">
        <v>37</v>
      </c>
      <c r="G100" s="6" t="s">
        <v>1514</v>
      </c>
      <c r="I100" s="8">
        <v>83.929787500000003</v>
      </c>
      <c r="J100" s="8">
        <v>15.517561875</v>
      </c>
      <c r="K100" s="6" t="s">
        <v>390</v>
      </c>
      <c r="L100" s="9">
        <v>43947</v>
      </c>
      <c r="N100" s="6">
        <v>30</v>
      </c>
      <c r="O100" s="6" t="s">
        <v>4247</v>
      </c>
      <c r="Q100" s="10"/>
      <c r="R100" s="10">
        <v>10</v>
      </c>
      <c r="S100" s="10">
        <v>20</v>
      </c>
      <c r="T100" s="10">
        <f>AVERAGE(R100:S100)</f>
        <v>15</v>
      </c>
      <c r="U100" s="11"/>
      <c r="V100" s="8">
        <v>0.29860308034420063</v>
      </c>
      <c r="W100" s="8">
        <v>3.1562974240779882</v>
      </c>
      <c r="X100" s="8">
        <f t="shared" si="7"/>
        <v>0.76747278132438312</v>
      </c>
    </row>
    <row r="101" spans="1:24" s="6" customFormat="1" x14ac:dyDescent="0.35">
      <c r="A101" s="6" t="s">
        <v>25</v>
      </c>
      <c r="B101" s="7" t="s">
        <v>1517</v>
      </c>
      <c r="D101" s="6" t="s">
        <v>1518</v>
      </c>
      <c r="E101" s="6">
        <v>3</v>
      </c>
      <c r="F101" s="6">
        <v>37</v>
      </c>
      <c r="G101" s="6" t="s">
        <v>1514</v>
      </c>
      <c r="I101" s="8">
        <v>83.929787500000003</v>
      </c>
      <c r="J101" s="8">
        <v>15.517561875</v>
      </c>
      <c r="K101" s="6" t="s">
        <v>390</v>
      </c>
      <c r="L101" s="9">
        <v>43947</v>
      </c>
      <c r="N101" s="6">
        <v>30</v>
      </c>
      <c r="O101" s="6" t="s">
        <v>4247</v>
      </c>
      <c r="Q101" s="10"/>
      <c r="R101" s="10">
        <v>20</v>
      </c>
      <c r="S101" s="10">
        <v>30</v>
      </c>
      <c r="T101" s="10">
        <f>AVERAGE(R101:S101)</f>
        <v>25</v>
      </c>
      <c r="U101" s="11"/>
      <c r="V101" s="8">
        <v>0.80663187999725339</v>
      </c>
      <c r="W101" s="8">
        <v>7.7363819117546102</v>
      </c>
      <c r="X101" s="8">
        <f t="shared" si="7"/>
        <v>1.2833268717765831</v>
      </c>
    </row>
    <row r="102" spans="1:24" s="6" customFormat="1" x14ac:dyDescent="0.35">
      <c r="A102" s="6" t="s">
        <v>25</v>
      </c>
      <c r="B102" s="7" t="s">
        <v>1519</v>
      </c>
      <c r="D102" s="6" t="s">
        <v>1520</v>
      </c>
      <c r="E102" s="6">
        <v>3</v>
      </c>
      <c r="F102" s="6">
        <v>37</v>
      </c>
      <c r="G102" s="6" t="s">
        <v>1514</v>
      </c>
      <c r="I102" s="8">
        <v>83.929787500000003</v>
      </c>
      <c r="J102" s="8">
        <v>15.517561875</v>
      </c>
      <c r="K102" s="6" t="s">
        <v>390</v>
      </c>
      <c r="L102" s="9">
        <v>43947</v>
      </c>
      <c r="N102" s="6">
        <v>30</v>
      </c>
      <c r="O102" s="6" t="s">
        <v>4247</v>
      </c>
      <c r="Q102" s="10"/>
      <c r="R102" s="10">
        <v>30</v>
      </c>
      <c r="S102" s="10">
        <v>40</v>
      </c>
      <c r="T102" s="10">
        <f>AVERAGE(R102:S102)</f>
        <v>35</v>
      </c>
      <c r="U102" s="11"/>
      <c r="V102" s="8">
        <v>1.1639248897552492</v>
      </c>
      <c r="W102" s="8">
        <v>10.218147643089294</v>
      </c>
      <c r="X102" s="8">
        <f t="shared" si="7"/>
        <v>0.90674852504730019</v>
      </c>
    </row>
    <row r="103" spans="1:24" s="6" customFormat="1" x14ac:dyDescent="0.35">
      <c r="A103" s="6" t="s">
        <v>25</v>
      </c>
      <c r="B103" s="7" t="s">
        <v>1521</v>
      </c>
      <c r="D103" s="6" t="s">
        <v>1522</v>
      </c>
      <c r="E103" s="6">
        <v>3</v>
      </c>
      <c r="F103" s="6">
        <v>37</v>
      </c>
      <c r="G103" s="6" t="s">
        <v>1514</v>
      </c>
      <c r="I103" s="8">
        <v>83.929787500000003</v>
      </c>
      <c r="J103" s="8">
        <v>15.517561875</v>
      </c>
      <c r="K103" s="6" t="s">
        <v>390</v>
      </c>
      <c r="L103" s="9">
        <v>43947</v>
      </c>
      <c r="N103" s="6">
        <v>30</v>
      </c>
      <c r="O103" s="6" t="s">
        <v>4247</v>
      </c>
      <c r="Q103" s="10"/>
      <c r="R103" s="10"/>
      <c r="S103" s="10"/>
      <c r="T103" s="10"/>
      <c r="U103" s="11"/>
      <c r="V103" s="8">
        <v>1.3443462122678755</v>
      </c>
      <c r="W103" s="8">
        <v>11.253634528541564</v>
      </c>
      <c r="X103" s="8">
        <f t="shared" si="7"/>
        <v>0.49886483039855989</v>
      </c>
    </row>
    <row r="104" spans="1:24" s="6" customFormat="1" x14ac:dyDescent="0.35">
      <c r="A104" s="6" t="s">
        <v>25</v>
      </c>
      <c r="B104" s="7" t="s">
        <v>1523</v>
      </c>
      <c r="D104" s="6" t="s">
        <v>1522</v>
      </c>
      <c r="E104" s="6">
        <v>3</v>
      </c>
      <c r="F104" s="6">
        <v>37</v>
      </c>
      <c r="G104" s="6" t="s">
        <v>1514</v>
      </c>
      <c r="I104" s="8">
        <v>83.929787500000003</v>
      </c>
      <c r="J104" s="8">
        <v>15.517561875</v>
      </c>
      <c r="K104" s="6" t="s">
        <v>390</v>
      </c>
      <c r="L104" s="9">
        <v>43947</v>
      </c>
      <c r="N104" s="6">
        <v>30</v>
      </c>
      <c r="O104" s="6" t="s">
        <v>4247</v>
      </c>
      <c r="Q104" s="10"/>
      <c r="R104" s="10"/>
      <c r="S104" s="10"/>
      <c r="T104" s="10"/>
      <c r="U104" s="11"/>
      <c r="V104" s="8">
        <v>1.3635073691606523</v>
      </c>
      <c r="W104" s="8">
        <v>10.199855514907838</v>
      </c>
      <c r="X104" s="8">
        <f t="shared" si="7"/>
        <v>-0.70820343837737987</v>
      </c>
    </row>
    <row r="105" spans="1:24" s="6" customFormat="1" x14ac:dyDescent="0.35">
      <c r="A105" s="6" t="s">
        <v>25</v>
      </c>
      <c r="B105" s="7" t="s">
        <v>1638</v>
      </c>
      <c r="D105" s="6" t="s">
        <v>1639</v>
      </c>
      <c r="E105" s="6">
        <v>3</v>
      </c>
      <c r="F105" s="6">
        <v>39</v>
      </c>
      <c r="G105" s="6" t="s">
        <v>1640</v>
      </c>
      <c r="I105" s="8">
        <v>83.921973194444405</v>
      </c>
      <c r="J105" s="8">
        <v>17.654378611111099</v>
      </c>
      <c r="K105" s="6" t="s">
        <v>390</v>
      </c>
      <c r="L105" s="9">
        <v>43957</v>
      </c>
      <c r="N105" s="6">
        <v>32</v>
      </c>
      <c r="O105" s="6" t="s">
        <v>4376</v>
      </c>
      <c r="Q105" s="10">
        <v>40</v>
      </c>
      <c r="R105" s="10"/>
      <c r="S105" s="10">
        <v>40</v>
      </c>
      <c r="T105" s="10">
        <f t="shared" ref="T105:T111" si="8">AVERAGE(R105:S105)</f>
        <v>40</v>
      </c>
      <c r="U105" s="11"/>
      <c r="V105" s="8"/>
      <c r="W105" s="8"/>
      <c r="X105" s="8"/>
    </row>
    <row r="106" spans="1:24" s="6" customFormat="1" x14ac:dyDescent="0.35">
      <c r="A106" s="6" t="s">
        <v>25</v>
      </c>
      <c r="B106" s="7" t="s">
        <v>1641</v>
      </c>
      <c r="D106" s="6" t="s">
        <v>1642</v>
      </c>
      <c r="E106" s="6">
        <v>3</v>
      </c>
      <c r="F106" s="6">
        <v>39</v>
      </c>
      <c r="G106" s="6" t="s">
        <v>1643</v>
      </c>
      <c r="I106" s="8">
        <v>83.921973194444405</v>
      </c>
      <c r="J106" s="8">
        <v>17.654378611111099</v>
      </c>
      <c r="K106" s="6" t="s">
        <v>390</v>
      </c>
      <c r="L106" s="9">
        <v>43957</v>
      </c>
      <c r="N106" s="6">
        <v>32</v>
      </c>
      <c r="O106" s="6" t="s">
        <v>4376</v>
      </c>
      <c r="Q106" s="10">
        <v>30</v>
      </c>
      <c r="R106" s="10"/>
      <c r="S106" s="10">
        <v>30</v>
      </c>
      <c r="T106" s="10">
        <f t="shared" si="8"/>
        <v>30</v>
      </c>
      <c r="U106" s="11"/>
      <c r="V106" s="8"/>
      <c r="W106" s="8"/>
      <c r="X106" s="8"/>
    </row>
    <row r="107" spans="1:24" s="6" customFormat="1" x14ac:dyDescent="0.35">
      <c r="A107" s="6" t="s">
        <v>25</v>
      </c>
      <c r="B107" s="6" t="s">
        <v>1644</v>
      </c>
      <c r="D107" s="6" t="s">
        <v>1645</v>
      </c>
      <c r="E107" s="6">
        <v>3</v>
      </c>
      <c r="F107" s="6">
        <v>39</v>
      </c>
      <c r="G107" s="6" t="s">
        <v>4471</v>
      </c>
      <c r="I107" s="8">
        <v>83.921973194444405</v>
      </c>
      <c r="J107" s="8">
        <v>17.654378611111099</v>
      </c>
      <c r="K107" s="6" t="s">
        <v>390</v>
      </c>
      <c r="L107" s="9">
        <v>43957</v>
      </c>
      <c r="N107" s="6">
        <v>32</v>
      </c>
      <c r="O107" s="6" t="s">
        <v>4376</v>
      </c>
      <c r="Q107" s="6">
        <v>0</v>
      </c>
      <c r="R107" s="6">
        <v>0</v>
      </c>
      <c r="S107" s="6">
        <v>10</v>
      </c>
      <c r="T107" s="10">
        <f t="shared" si="8"/>
        <v>5</v>
      </c>
      <c r="V107" s="8">
        <v>-0.45645098132610351</v>
      </c>
      <c r="W107" s="8">
        <v>-3.2659236025810245</v>
      </c>
      <c r="X107" s="8">
        <f t="shared" ref="X107:X138" si="9">W107-(8*V107)</f>
        <v>0.38568424802780354</v>
      </c>
    </row>
    <row r="108" spans="1:24" s="6" customFormat="1" x14ac:dyDescent="0.35">
      <c r="A108" s="6" t="s">
        <v>25</v>
      </c>
      <c r="B108" s="6" t="s">
        <v>1647</v>
      </c>
      <c r="D108" s="6" t="s">
        <v>1645</v>
      </c>
      <c r="E108" s="6">
        <v>3</v>
      </c>
      <c r="F108" s="6">
        <v>39</v>
      </c>
      <c r="G108" s="6" t="s">
        <v>4471</v>
      </c>
      <c r="I108" s="8">
        <v>83.921973194444405</v>
      </c>
      <c r="J108" s="8">
        <v>17.654378611111099</v>
      </c>
      <c r="K108" s="6" t="s">
        <v>390</v>
      </c>
      <c r="L108" s="9">
        <v>43957</v>
      </c>
      <c r="N108" s="6">
        <v>32</v>
      </c>
      <c r="O108" s="6" t="s">
        <v>4376</v>
      </c>
      <c r="Q108" s="6">
        <v>11</v>
      </c>
      <c r="R108" s="6">
        <v>11</v>
      </c>
      <c r="S108" s="6">
        <v>22</v>
      </c>
      <c r="T108" s="10">
        <f t="shared" si="8"/>
        <v>16.5</v>
      </c>
      <c r="V108" s="8">
        <v>0.66587196599721865</v>
      </c>
      <c r="W108" s="8">
        <v>5.3734062547683719</v>
      </c>
      <c r="X108" s="8">
        <f t="shared" si="9"/>
        <v>4.643052679062265E-2</v>
      </c>
    </row>
    <row r="109" spans="1:24" s="6" customFormat="1" x14ac:dyDescent="0.35">
      <c r="A109" s="6" t="s">
        <v>25</v>
      </c>
      <c r="B109" s="6" t="s">
        <v>1648</v>
      </c>
      <c r="D109" s="6" t="s">
        <v>1645</v>
      </c>
      <c r="E109" s="6">
        <v>3</v>
      </c>
      <c r="F109" s="6">
        <v>39</v>
      </c>
      <c r="G109" s="6" t="s">
        <v>4471</v>
      </c>
      <c r="I109" s="8">
        <v>83.921973194444405</v>
      </c>
      <c r="J109" s="8">
        <v>17.654378611111099</v>
      </c>
      <c r="K109" s="6" t="s">
        <v>390</v>
      </c>
      <c r="L109" s="9">
        <v>43957</v>
      </c>
      <c r="N109" s="6">
        <v>32</v>
      </c>
      <c r="O109" s="6" t="s">
        <v>4376</v>
      </c>
      <c r="Q109" s="6">
        <v>22</v>
      </c>
      <c r="R109" s="6">
        <v>22</v>
      </c>
      <c r="S109" s="6">
        <v>33</v>
      </c>
      <c r="T109" s="10">
        <f t="shared" si="8"/>
        <v>27.5</v>
      </c>
      <c r="V109" s="8">
        <v>1.0975546418952944</v>
      </c>
      <c r="W109" s="8">
        <v>8.2675045032501213</v>
      </c>
      <c r="X109" s="8">
        <f t="shared" si="9"/>
        <v>-0.51293263191223382</v>
      </c>
    </row>
    <row r="110" spans="1:24" s="6" customFormat="1" x14ac:dyDescent="0.35">
      <c r="A110" s="6" t="s">
        <v>25</v>
      </c>
      <c r="B110" s="6" t="s">
        <v>1649</v>
      </c>
      <c r="D110" s="6" t="s">
        <v>1645</v>
      </c>
      <c r="E110" s="6">
        <v>3</v>
      </c>
      <c r="F110" s="6">
        <v>39</v>
      </c>
      <c r="G110" s="6" t="s">
        <v>4471</v>
      </c>
      <c r="I110" s="8">
        <v>83.921973194444405</v>
      </c>
      <c r="J110" s="8">
        <v>17.654378611111099</v>
      </c>
      <c r="K110" s="6" t="s">
        <v>390</v>
      </c>
      <c r="L110" s="9">
        <v>43957</v>
      </c>
      <c r="N110" s="6">
        <v>32</v>
      </c>
      <c r="O110" s="6" t="s">
        <v>4376</v>
      </c>
      <c r="Q110" s="6">
        <v>33</v>
      </c>
      <c r="R110" s="6">
        <v>33</v>
      </c>
      <c r="S110" s="6">
        <v>44</v>
      </c>
      <c r="T110" s="10">
        <f t="shared" si="8"/>
        <v>38.5</v>
      </c>
      <c r="V110" s="8">
        <v>1.3345968856143948</v>
      </c>
      <c r="W110" s="8">
        <v>10.214959213256837</v>
      </c>
      <c r="X110" s="8">
        <f t="shared" si="9"/>
        <v>-0.46181587165832205</v>
      </c>
    </row>
    <row r="111" spans="1:24" s="6" customFormat="1" x14ac:dyDescent="0.35">
      <c r="A111" s="6" t="s">
        <v>25</v>
      </c>
      <c r="B111" s="6" t="s">
        <v>1650</v>
      </c>
      <c r="D111" s="6" t="s">
        <v>1645</v>
      </c>
      <c r="E111" s="6">
        <v>3</v>
      </c>
      <c r="F111" s="6">
        <v>39</v>
      </c>
      <c r="G111" s="6" t="s">
        <v>4471</v>
      </c>
      <c r="I111" s="8">
        <v>83.921973194444405</v>
      </c>
      <c r="J111" s="8">
        <v>17.654378611111099</v>
      </c>
      <c r="K111" s="6" t="s">
        <v>390</v>
      </c>
      <c r="L111" s="9">
        <v>43957</v>
      </c>
      <c r="N111" s="6">
        <v>32</v>
      </c>
      <c r="O111" s="6" t="s">
        <v>4376</v>
      </c>
      <c r="Q111" s="6">
        <v>44</v>
      </c>
      <c r="R111" s="6">
        <v>44</v>
      </c>
      <c r="S111" s="6">
        <v>57</v>
      </c>
      <c r="T111" s="10">
        <f t="shared" si="8"/>
        <v>50.5</v>
      </c>
      <c r="V111" s="8">
        <v>1.2216771842765806</v>
      </c>
      <c r="W111" s="8">
        <v>9.5510357875823981</v>
      </c>
      <c r="X111" s="8">
        <f t="shared" si="9"/>
        <v>-0.22238168663024638</v>
      </c>
    </row>
    <row r="112" spans="1:24" s="6" customFormat="1" x14ac:dyDescent="0.35">
      <c r="A112" s="6" t="s">
        <v>25</v>
      </c>
      <c r="B112" s="7" t="s">
        <v>2210</v>
      </c>
      <c r="D112" s="6" t="s">
        <v>2211</v>
      </c>
      <c r="E112" s="6">
        <v>4</v>
      </c>
      <c r="F112" s="6">
        <v>48</v>
      </c>
      <c r="G112" s="6" t="s">
        <v>393</v>
      </c>
      <c r="I112" s="8">
        <v>80.477765486111096</v>
      </c>
      <c r="J112" s="8">
        <v>-0.53689541666666696</v>
      </c>
      <c r="K112" s="6" t="s">
        <v>390</v>
      </c>
      <c r="L112" s="9">
        <v>44034</v>
      </c>
      <c r="N112" s="6">
        <v>43</v>
      </c>
      <c r="O112" s="6" t="s">
        <v>4415</v>
      </c>
      <c r="Q112" s="10"/>
      <c r="R112" s="10"/>
      <c r="S112" s="10"/>
      <c r="T112" s="10"/>
      <c r="U112" s="11"/>
      <c r="V112" s="8">
        <v>-2.8911885738372813</v>
      </c>
      <c r="W112" s="8">
        <v>-21.277681993865968</v>
      </c>
      <c r="X112" s="8">
        <f t="shared" si="9"/>
        <v>1.8518265968322822</v>
      </c>
    </row>
    <row r="113" spans="1:24" s="6" customFormat="1" x14ac:dyDescent="0.35">
      <c r="A113" s="6" t="s">
        <v>25</v>
      </c>
      <c r="B113" s="7" t="s">
        <v>2212</v>
      </c>
      <c r="D113" s="6" t="s">
        <v>2213</v>
      </c>
      <c r="E113" s="6">
        <v>4</v>
      </c>
      <c r="F113" s="6">
        <v>48</v>
      </c>
      <c r="G113" s="6" t="s">
        <v>2214</v>
      </c>
      <c r="I113" s="8">
        <v>80.477765486111096</v>
      </c>
      <c r="J113" s="8">
        <v>-0.53689541666666696</v>
      </c>
      <c r="K113" s="6" t="s">
        <v>390</v>
      </c>
      <c r="L113" s="9">
        <v>44034</v>
      </c>
      <c r="N113" s="6">
        <v>43</v>
      </c>
      <c r="O113" s="6" t="s">
        <v>4415</v>
      </c>
      <c r="Q113" s="10"/>
      <c r="R113" s="10"/>
      <c r="S113" s="10">
        <v>80</v>
      </c>
      <c r="T113" s="10">
        <f>AVERAGE(R113:S113)</f>
        <v>80</v>
      </c>
      <c r="U113" s="11"/>
      <c r="V113" s="8">
        <v>-2.4234079908132555</v>
      </c>
      <c r="W113" s="8">
        <v>-17.194298017501829</v>
      </c>
      <c r="X113" s="8">
        <f t="shared" si="9"/>
        <v>2.1929659090042151</v>
      </c>
    </row>
    <row r="114" spans="1:24" s="6" customFormat="1" x14ac:dyDescent="0.35">
      <c r="A114" s="6" t="s">
        <v>25</v>
      </c>
      <c r="B114" s="7" t="s">
        <v>2215</v>
      </c>
      <c r="D114" s="6" t="s">
        <v>2216</v>
      </c>
      <c r="E114" s="6">
        <v>4</v>
      </c>
      <c r="F114" s="6">
        <v>48</v>
      </c>
      <c r="G114" s="6" t="s">
        <v>389</v>
      </c>
      <c r="I114" s="8">
        <v>80.477765486111096</v>
      </c>
      <c r="J114" s="8">
        <v>-0.53689541666666696</v>
      </c>
      <c r="K114" s="6" t="s">
        <v>390</v>
      </c>
      <c r="L114" s="9">
        <v>44034</v>
      </c>
      <c r="N114" s="6">
        <v>43</v>
      </c>
      <c r="O114" s="6" t="s">
        <v>4415</v>
      </c>
      <c r="Q114" s="10"/>
      <c r="R114" s="10"/>
      <c r="S114" s="10">
        <v>45</v>
      </c>
      <c r="T114" s="10">
        <f>AVERAGE(R114:S114)</f>
        <v>45</v>
      </c>
      <c r="U114" s="11"/>
      <c r="V114" s="8">
        <v>-2.8122359488010407</v>
      </c>
      <c r="W114" s="8">
        <v>-20.293448731422423</v>
      </c>
      <c r="X114" s="8">
        <f t="shared" si="9"/>
        <v>2.2044388589859025</v>
      </c>
    </row>
    <row r="115" spans="1:24" s="6" customFormat="1" x14ac:dyDescent="0.35">
      <c r="A115" s="6" t="s">
        <v>25</v>
      </c>
      <c r="B115" s="7" t="s">
        <v>2217</v>
      </c>
      <c r="D115" s="6" t="s">
        <v>2218</v>
      </c>
      <c r="E115" s="6">
        <v>4</v>
      </c>
      <c r="F115" s="6">
        <v>48</v>
      </c>
      <c r="G115" s="6" t="s">
        <v>2214</v>
      </c>
      <c r="I115" s="8">
        <v>80.477765486111096</v>
      </c>
      <c r="J115" s="8">
        <v>-0.53689541666666696</v>
      </c>
      <c r="K115" s="6" t="s">
        <v>390</v>
      </c>
      <c r="L115" s="9">
        <v>44034</v>
      </c>
      <c r="N115" s="6">
        <v>43</v>
      </c>
      <c r="O115" s="6" t="s">
        <v>4415</v>
      </c>
      <c r="Q115" s="10"/>
      <c r="R115" s="10"/>
      <c r="S115" s="10">
        <v>110</v>
      </c>
      <c r="T115" s="10">
        <f>AVERAGE(R115:S115)</f>
        <v>110</v>
      </c>
      <c r="U115" s="11"/>
      <c r="V115" s="8">
        <v>-1.9671976099014286</v>
      </c>
      <c r="W115" s="8">
        <v>-13.837016909122466</v>
      </c>
      <c r="X115" s="8">
        <f t="shared" si="9"/>
        <v>1.9005639700889621</v>
      </c>
    </row>
    <row r="116" spans="1:24" s="6" customFormat="1" x14ac:dyDescent="0.35">
      <c r="A116" s="6" t="s">
        <v>25</v>
      </c>
      <c r="B116" s="7" t="s">
        <v>2219</v>
      </c>
      <c r="D116" s="6" t="s">
        <v>2220</v>
      </c>
      <c r="E116" s="6">
        <v>4</v>
      </c>
      <c r="F116" s="6">
        <v>48</v>
      </c>
      <c r="G116" s="6" t="s">
        <v>389</v>
      </c>
      <c r="I116" s="8">
        <v>80.477765486111096</v>
      </c>
      <c r="J116" s="8">
        <v>-0.53689541666666696</v>
      </c>
      <c r="K116" s="6" t="s">
        <v>390</v>
      </c>
      <c r="L116" s="9">
        <v>44034</v>
      </c>
      <c r="N116" s="6">
        <v>43</v>
      </c>
      <c r="O116" s="6" t="s">
        <v>4415</v>
      </c>
      <c r="Q116" s="10">
        <v>1</v>
      </c>
      <c r="R116" s="10"/>
      <c r="S116" s="10">
        <v>1</v>
      </c>
      <c r="T116" s="10">
        <f>AVERAGE(R116:S116)</f>
        <v>1</v>
      </c>
      <c r="U116" s="11"/>
      <c r="V116" s="8">
        <v>-1.9525638363361355</v>
      </c>
      <c r="W116" s="8">
        <v>-13.331549797058106</v>
      </c>
      <c r="X116" s="8">
        <f t="shared" si="9"/>
        <v>2.2889608936309784</v>
      </c>
    </row>
    <row r="117" spans="1:24" s="6" customFormat="1" x14ac:dyDescent="0.35">
      <c r="A117" s="6" t="s">
        <v>25</v>
      </c>
      <c r="B117" s="7" t="s">
        <v>2221</v>
      </c>
      <c r="D117" s="6" t="s">
        <v>2222</v>
      </c>
      <c r="E117" s="6">
        <v>4</v>
      </c>
      <c r="F117" s="6">
        <v>49</v>
      </c>
      <c r="G117" s="6" t="s">
        <v>4472</v>
      </c>
      <c r="I117" s="8">
        <v>79.355558402777802</v>
      </c>
      <c r="J117" s="8">
        <v>-2.69302333333333</v>
      </c>
      <c r="K117" s="6" t="s">
        <v>390</v>
      </c>
      <c r="L117" s="9">
        <v>44040</v>
      </c>
      <c r="N117" s="6">
        <v>44</v>
      </c>
      <c r="O117" s="6" t="s">
        <v>4420</v>
      </c>
      <c r="Q117" s="10"/>
      <c r="R117" s="10"/>
      <c r="S117" s="10"/>
      <c r="T117" s="10"/>
      <c r="U117" s="11"/>
      <c r="V117" s="8">
        <v>-3.0589566786766054</v>
      </c>
      <c r="W117" s="8">
        <v>-23.03216266059875</v>
      </c>
      <c r="X117" s="8">
        <f t="shared" si="9"/>
        <v>1.4394907688140925</v>
      </c>
    </row>
    <row r="118" spans="1:24" s="6" customFormat="1" x14ac:dyDescent="0.35">
      <c r="A118" s="6" t="s">
        <v>25</v>
      </c>
      <c r="B118" s="6" t="s">
        <v>2289</v>
      </c>
      <c r="D118" s="6" t="s">
        <v>2290</v>
      </c>
      <c r="E118" s="6">
        <v>5</v>
      </c>
      <c r="F118" s="6">
        <v>59</v>
      </c>
      <c r="G118" s="6" t="s">
        <v>2291</v>
      </c>
      <c r="I118" s="8">
        <v>88.122116736111153</v>
      </c>
      <c r="J118" s="8">
        <v>109.64438479166667</v>
      </c>
      <c r="K118" s="6" t="s">
        <v>390</v>
      </c>
      <c r="L118" s="9">
        <v>44072</v>
      </c>
      <c r="N118" s="6">
        <v>49</v>
      </c>
      <c r="O118" s="6" t="s">
        <v>4412</v>
      </c>
      <c r="T118" s="10"/>
      <c r="U118" s="6">
        <v>2.5</v>
      </c>
      <c r="V118" s="8">
        <v>-2.9217555280327798</v>
      </c>
      <c r="W118" s="8">
        <v>-21.894009266853331</v>
      </c>
      <c r="X118" s="8">
        <f t="shared" si="9"/>
        <v>1.4800349574089076</v>
      </c>
    </row>
    <row r="119" spans="1:24" s="6" customFormat="1" x14ac:dyDescent="0.35">
      <c r="A119" s="6" t="s">
        <v>25</v>
      </c>
      <c r="B119" s="6" t="s">
        <v>2292</v>
      </c>
      <c r="D119" s="6" t="s">
        <v>2293</v>
      </c>
      <c r="E119" s="6">
        <v>5</v>
      </c>
      <c r="F119" s="6">
        <v>59</v>
      </c>
      <c r="G119" s="6" t="s">
        <v>2291</v>
      </c>
      <c r="I119" s="8">
        <v>88.122116736111153</v>
      </c>
      <c r="J119" s="8">
        <v>109.64438479166667</v>
      </c>
      <c r="K119" s="6" t="s">
        <v>390</v>
      </c>
      <c r="L119" s="9">
        <v>44072</v>
      </c>
      <c r="N119" s="6">
        <v>49</v>
      </c>
      <c r="O119" s="6" t="s">
        <v>4412</v>
      </c>
      <c r="T119" s="10"/>
      <c r="U119" s="6">
        <v>15.2</v>
      </c>
      <c r="V119" s="8">
        <v>-2.2163720726668839</v>
      </c>
      <c r="W119" s="8">
        <v>-17.435921283721925</v>
      </c>
      <c r="X119" s="8">
        <f t="shared" si="9"/>
        <v>0.29505529761314619</v>
      </c>
    </row>
    <row r="120" spans="1:24" s="6" customFormat="1" x14ac:dyDescent="0.35">
      <c r="A120" s="6" t="s">
        <v>25</v>
      </c>
      <c r="B120" s="6" t="s">
        <v>2294</v>
      </c>
      <c r="D120" s="6" t="s">
        <v>2295</v>
      </c>
      <c r="E120" s="6">
        <v>5</v>
      </c>
      <c r="F120" s="6">
        <v>59</v>
      </c>
      <c r="G120" s="6" t="s">
        <v>2291</v>
      </c>
      <c r="I120" s="8">
        <v>88.122116736111195</v>
      </c>
      <c r="J120" s="8">
        <v>109.64438479166699</v>
      </c>
      <c r="K120" s="6" t="s">
        <v>390</v>
      </c>
      <c r="L120" s="9">
        <v>44072</v>
      </c>
      <c r="N120" s="6">
        <v>49</v>
      </c>
      <c r="O120" s="6" t="s">
        <v>4412</v>
      </c>
      <c r="T120" s="10"/>
      <c r="U120" s="6">
        <v>29.6</v>
      </c>
      <c r="V120" s="8">
        <v>-2.5287579846382142</v>
      </c>
      <c r="W120" s="8">
        <v>-18.315175781249998</v>
      </c>
      <c r="X120" s="8">
        <f t="shared" si="9"/>
        <v>1.9148880958557157</v>
      </c>
    </row>
    <row r="121" spans="1:24" s="6" customFormat="1" x14ac:dyDescent="0.35">
      <c r="A121" s="6" t="s">
        <v>25</v>
      </c>
      <c r="B121" s="6" t="s">
        <v>2296</v>
      </c>
      <c r="D121" s="6" t="s">
        <v>2297</v>
      </c>
      <c r="E121" s="6">
        <v>5</v>
      </c>
      <c r="F121" s="6">
        <v>59</v>
      </c>
      <c r="G121" s="6" t="s">
        <v>2298</v>
      </c>
      <c r="I121" s="8">
        <v>88.122116736111195</v>
      </c>
      <c r="J121" s="8">
        <v>109.64438479166699</v>
      </c>
      <c r="K121" s="6" t="s">
        <v>390</v>
      </c>
      <c r="L121" s="9">
        <v>44072</v>
      </c>
      <c r="N121" s="6">
        <v>49</v>
      </c>
      <c r="O121" s="6" t="s">
        <v>4412</v>
      </c>
      <c r="T121" s="10"/>
      <c r="U121" s="6">
        <v>3.2</v>
      </c>
      <c r="V121" s="8">
        <v>-2.8914624445676811</v>
      </c>
      <c r="W121" s="8">
        <v>-20.33855049133301</v>
      </c>
      <c r="X121" s="8">
        <f t="shared" si="9"/>
        <v>2.7931490652084392</v>
      </c>
    </row>
    <row r="122" spans="1:24" s="6" customFormat="1" x14ac:dyDescent="0.35">
      <c r="A122" s="6" t="s">
        <v>25</v>
      </c>
      <c r="B122" s="6" t="s">
        <v>2299</v>
      </c>
      <c r="D122" s="6" t="s">
        <v>2300</v>
      </c>
      <c r="E122" s="6">
        <v>5</v>
      </c>
      <c r="F122" s="6">
        <v>59</v>
      </c>
      <c r="G122" s="6" t="s">
        <v>2298</v>
      </c>
      <c r="I122" s="8">
        <v>88.122116736111195</v>
      </c>
      <c r="J122" s="8">
        <v>109.64438479166699</v>
      </c>
      <c r="K122" s="6" t="s">
        <v>390</v>
      </c>
      <c r="L122" s="9">
        <v>44072</v>
      </c>
      <c r="N122" s="6">
        <v>49</v>
      </c>
      <c r="O122" s="6" t="s">
        <v>4412</v>
      </c>
      <c r="T122" s="10"/>
      <c r="V122" s="8">
        <v>-2.6089176903009417</v>
      </c>
      <c r="W122" s="8">
        <v>-17.914257854461667</v>
      </c>
      <c r="X122" s="8">
        <f t="shared" si="9"/>
        <v>2.9570836679458665</v>
      </c>
    </row>
    <row r="123" spans="1:24" s="6" customFormat="1" x14ac:dyDescent="0.35">
      <c r="A123" s="6" t="s">
        <v>25</v>
      </c>
      <c r="B123" s="6" t="s">
        <v>2301</v>
      </c>
      <c r="D123" s="6" t="s">
        <v>2302</v>
      </c>
      <c r="E123" s="6">
        <v>5</v>
      </c>
      <c r="F123" s="6">
        <v>59</v>
      </c>
      <c r="G123" s="6" t="s">
        <v>2298</v>
      </c>
      <c r="I123" s="8">
        <v>88.122116736111195</v>
      </c>
      <c r="J123" s="8">
        <v>109.64438479166699</v>
      </c>
      <c r="K123" s="6" t="s">
        <v>390</v>
      </c>
      <c r="L123" s="9">
        <v>44072</v>
      </c>
      <c r="N123" s="6">
        <v>49</v>
      </c>
      <c r="O123" s="6" t="s">
        <v>4412</v>
      </c>
      <c r="T123" s="10"/>
      <c r="U123" s="6">
        <v>29.8</v>
      </c>
      <c r="V123" s="8">
        <v>-2.5793154176712041</v>
      </c>
      <c r="W123" s="8">
        <v>-18.733150909423827</v>
      </c>
      <c r="X123" s="8">
        <f t="shared" si="9"/>
        <v>1.9013724319458056</v>
      </c>
    </row>
    <row r="124" spans="1:24" s="6" customFormat="1" x14ac:dyDescent="0.35">
      <c r="A124" s="6" t="s">
        <v>25</v>
      </c>
      <c r="B124" s="6" t="s">
        <v>2303</v>
      </c>
      <c r="D124" s="6" t="s">
        <v>2304</v>
      </c>
      <c r="E124" s="6">
        <v>5</v>
      </c>
      <c r="F124" s="6">
        <v>59</v>
      </c>
      <c r="G124" s="6" t="s">
        <v>2305</v>
      </c>
      <c r="I124" s="8">
        <v>88.122116736111195</v>
      </c>
      <c r="J124" s="8">
        <v>109.64438479166699</v>
      </c>
      <c r="K124" s="6" t="s">
        <v>390</v>
      </c>
      <c r="L124" s="9">
        <v>44072</v>
      </c>
      <c r="N124" s="6">
        <v>49</v>
      </c>
      <c r="O124" s="6" t="s">
        <v>4412</v>
      </c>
      <c r="T124" s="10"/>
      <c r="U124" s="6">
        <v>0</v>
      </c>
      <c r="V124" s="8">
        <v>-2.4621888425946237</v>
      </c>
      <c r="W124" s="8">
        <v>-18.592757833099366</v>
      </c>
      <c r="X124" s="8">
        <f t="shared" si="9"/>
        <v>1.1047529076576232</v>
      </c>
    </row>
    <row r="125" spans="1:24" s="6" customFormat="1" x14ac:dyDescent="0.35">
      <c r="A125" s="6" t="s">
        <v>25</v>
      </c>
      <c r="B125" s="6" t="s">
        <v>2306</v>
      </c>
      <c r="D125" s="6" t="s">
        <v>2307</v>
      </c>
      <c r="E125" s="6">
        <v>5</v>
      </c>
      <c r="F125" s="6">
        <v>59</v>
      </c>
      <c r="G125" s="6" t="s">
        <v>2308</v>
      </c>
      <c r="I125" s="8">
        <v>88.122116736111195</v>
      </c>
      <c r="J125" s="8">
        <v>109.64438479166699</v>
      </c>
      <c r="K125" s="6" t="s">
        <v>390</v>
      </c>
      <c r="L125" s="9">
        <v>44072</v>
      </c>
      <c r="N125" s="6">
        <v>49</v>
      </c>
      <c r="O125" s="6" t="s">
        <v>4412</v>
      </c>
      <c r="T125" s="10"/>
      <c r="U125" s="6">
        <v>0.3</v>
      </c>
      <c r="V125" s="8">
        <v>-3.6953062066078188</v>
      </c>
      <c r="W125" s="8">
        <v>-28.256653358459474</v>
      </c>
      <c r="X125" s="8">
        <f t="shared" si="9"/>
        <v>1.305796294403077</v>
      </c>
    </row>
    <row r="126" spans="1:24" s="6" customFormat="1" x14ac:dyDescent="0.35">
      <c r="A126" s="6" t="s">
        <v>25</v>
      </c>
      <c r="B126" s="6" t="s">
        <v>2347</v>
      </c>
      <c r="D126" s="6" t="s">
        <v>2348</v>
      </c>
      <c r="E126" s="6">
        <v>5</v>
      </c>
      <c r="F126" s="6">
        <v>60</v>
      </c>
      <c r="G126" s="6" t="s">
        <v>2349</v>
      </c>
      <c r="I126" s="8">
        <v>88.451552013888801</v>
      </c>
      <c r="J126" s="8">
        <v>117.87424222222199</v>
      </c>
      <c r="K126" s="6" t="s">
        <v>390</v>
      </c>
      <c r="L126" s="9">
        <v>44076</v>
      </c>
      <c r="N126" s="6">
        <v>50</v>
      </c>
      <c r="O126" s="6" t="s">
        <v>4398</v>
      </c>
      <c r="T126" s="10"/>
      <c r="U126" s="6">
        <v>4.4000000000000004</v>
      </c>
      <c r="V126" s="8">
        <v>-2.8772448306322103</v>
      </c>
      <c r="W126" s="8">
        <v>-21.859890762329101</v>
      </c>
      <c r="X126" s="8">
        <f t="shared" si="9"/>
        <v>1.1580678827285809</v>
      </c>
    </row>
    <row r="127" spans="1:24" s="6" customFormat="1" x14ac:dyDescent="0.35">
      <c r="A127" s="6" t="s">
        <v>25</v>
      </c>
      <c r="B127" s="6" t="s">
        <v>2350</v>
      </c>
      <c r="D127" s="6" t="s">
        <v>2351</v>
      </c>
      <c r="E127" s="6">
        <v>5</v>
      </c>
      <c r="F127" s="6">
        <v>60</v>
      </c>
      <c r="G127" s="6" t="s">
        <v>2349</v>
      </c>
      <c r="I127" s="8">
        <v>88.451552013888801</v>
      </c>
      <c r="J127" s="8">
        <v>117.87424222222199</v>
      </c>
      <c r="K127" s="6" t="s">
        <v>390</v>
      </c>
      <c r="L127" s="9">
        <v>44076</v>
      </c>
      <c r="N127" s="6">
        <v>50</v>
      </c>
      <c r="O127" s="6" t="s">
        <v>4398</v>
      </c>
      <c r="T127" s="10"/>
      <c r="V127" s="8">
        <v>-3.0882892697954181</v>
      </c>
      <c r="W127" s="8">
        <v>-22.702965839385989</v>
      </c>
      <c r="X127" s="8">
        <f t="shared" si="9"/>
        <v>2.0033483189773555</v>
      </c>
    </row>
    <row r="128" spans="1:24" s="6" customFormat="1" x14ac:dyDescent="0.35">
      <c r="A128" s="6" t="s">
        <v>25</v>
      </c>
      <c r="B128" s="6" t="s">
        <v>2352</v>
      </c>
      <c r="D128" s="6" t="s">
        <v>2353</v>
      </c>
      <c r="E128" s="6">
        <v>5</v>
      </c>
      <c r="F128" s="6">
        <v>60</v>
      </c>
      <c r="G128" s="6" t="s">
        <v>2349</v>
      </c>
      <c r="I128" s="8">
        <v>88.451552013888801</v>
      </c>
      <c r="J128" s="8">
        <v>117.87424222222199</v>
      </c>
      <c r="K128" s="6" t="s">
        <v>390</v>
      </c>
      <c r="L128" s="9">
        <v>44076</v>
      </c>
      <c r="N128" s="6">
        <v>50</v>
      </c>
      <c r="O128" s="6" t="s">
        <v>4398</v>
      </c>
      <c r="T128" s="10"/>
      <c r="U128" s="6">
        <v>28.8</v>
      </c>
      <c r="V128" s="8">
        <v>-3.2619074981117251</v>
      </c>
      <c r="W128" s="8">
        <v>-22.960830795288089</v>
      </c>
      <c r="X128" s="8">
        <f t="shared" si="9"/>
        <v>3.1344291896057115</v>
      </c>
    </row>
    <row r="129" spans="1:24" s="6" customFormat="1" x14ac:dyDescent="0.35">
      <c r="A129" s="6" t="s">
        <v>25</v>
      </c>
      <c r="B129" s="6" t="s">
        <v>2354</v>
      </c>
      <c r="D129" s="6" t="s">
        <v>2355</v>
      </c>
      <c r="E129" s="6">
        <v>5</v>
      </c>
      <c r="F129" s="6">
        <v>60</v>
      </c>
      <c r="G129" s="6" t="s">
        <v>2349</v>
      </c>
      <c r="I129" s="8">
        <v>88.451552013888801</v>
      </c>
      <c r="J129" s="8">
        <v>117.87424222222199</v>
      </c>
      <c r="K129" s="6" t="s">
        <v>390</v>
      </c>
      <c r="L129" s="9">
        <v>44076</v>
      </c>
      <c r="N129" s="6">
        <v>50</v>
      </c>
      <c r="O129" s="6" t="s">
        <v>4398</v>
      </c>
      <c r="T129" s="10"/>
      <c r="V129" s="8">
        <v>-3.2102264605665205</v>
      </c>
      <c r="W129" s="8">
        <v>-23.437177894592285</v>
      </c>
      <c r="X129" s="8">
        <f t="shared" si="9"/>
        <v>2.2446337899398792</v>
      </c>
    </row>
    <row r="130" spans="1:24" s="6" customFormat="1" x14ac:dyDescent="0.35">
      <c r="A130" s="6" t="s">
        <v>25</v>
      </c>
      <c r="B130" s="6" t="s">
        <v>2370</v>
      </c>
      <c r="D130" s="6" t="s">
        <v>2371</v>
      </c>
      <c r="E130" s="6">
        <v>5</v>
      </c>
      <c r="F130" s="6">
        <v>60</v>
      </c>
      <c r="G130" s="6" t="s">
        <v>2349</v>
      </c>
      <c r="I130" s="8">
        <v>88.74406319444445</v>
      </c>
      <c r="J130" s="8">
        <v>119.35109562499994</v>
      </c>
      <c r="K130" s="6" t="s">
        <v>390</v>
      </c>
      <c r="L130" s="9">
        <v>44079</v>
      </c>
      <c r="N130" s="6">
        <v>50</v>
      </c>
      <c r="O130" s="6" t="s">
        <v>4433</v>
      </c>
      <c r="T130" s="10"/>
      <c r="U130" s="6">
        <v>4.5999999999999996</v>
      </c>
      <c r="V130" s="8">
        <v>-3.2220278706550598</v>
      </c>
      <c r="W130" s="8">
        <v>-23.117172454833984</v>
      </c>
      <c r="X130" s="8">
        <f t="shared" si="9"/>
        <v>2.6590505104064945</v>
      </c>
    </row>
    <row r="131" spans="1:24" s="6" customFormat="1" x14ac:dyDescent="0.35">
      <c r="A131" s="6" t="s">
        <v>25</v>
      </c>
      <c r="B131" s="6" t="s">
        <v>2372</v>
      </c>
      <c r="D131" s="6" t="s">
        <v>2373</v>
      </c>
      <c r="E131" s="6">
        <v>5</v>
      </c>
      <c r="F131" s="6">
        <v>60</v>
      </c>
      <c r="G131" s="6" t="s">
        <v>2349</v>
      </c>
      <c r="I131" s="8">
        <v>88.74406319444445</v>
      </c>
      <c r="J131" s="8">
        <v>119.35109562499994</v>
      </c>
      <c r="K131" s="6" t="s">
        <v>390</v>
      </c>
      <c r="L131" s="9">
        <v>44079</v>
      </c>
      <c r="N131" s="6">
        <v>50</v>
      </c>
      <c r="O131" s="6" t="s">
        <v>4433</v>
      </c>
      <c r="T131" s="10"/>
      <c r="U131" s="6">
        <v>20</v>
      </c>
      <c r="V131" s="8">
        <v>-3.230219655275345</v>
      </c>
      <c r="W131" s="8">
        <v>-23.529979640960693</v>
      </c>
      <c r="X131" s="8">
        <f t="shared" si="9"/>
        <v>2.311777601242067</v>
      </c>
    </row>
    <row r="132" spans="1:24" s="6" customFormat="1" x14ac:dyDescent="0.35">
      <c r="A132" s="6" t="s">
        <v>25</v>
      </c>
      <c r="B132" s="6" t="s">
        <v>2374</v>
      </c>
      <c r="D132" s="6" t="s">
        <v>2375</v>
      </c>
      <c r="E132" s="6">
        <v>5</v>
      </c>
      <c r="F132" s="6">
        <v>60</v>
      </c>
      <c r="G132" s="6" t="s">
        <v>2349</v>
      </c>
      <c r="I132" s="8">
        <v>88.74406319444445</v>
      </c>
      <c r="J132" s="8">
        <v>119.35109562499994</v>
      </c>
      <c r="K132" s="6" t="s">
        <v>390</v>
      </c>
      <c r="L132" s="9">
        <v>44079</v>
      </c>
      <c r="N132" s="6">
        <v>50</v>
      </c>
      <c r="O132" s="6" t="s">
        <v>4433</v>
      </c>
      <c r="T132" s="10"/>
      <c r="U132" s="6">
        <v>1.9</v>
      </c>
      <c r="V132" s="8">
        <v>-3.0696729698181149</v>
      </c>
      <c r="W132" s="8">
        <v>-22.730184799194337</v>
      </c>
      <c r="X132" s="8">
        <f t="shared" si="9"/>
        <v>1.8271989593505822</v>
      </c>
    </row>
    <row r="133" spans="1:24" s="6" customFormat="1" x14ac:dyDescent="0.35">
      <c r="A133" s="6" t="s">
        <v>25</v>
      </c>
      <c r="B133" s="6" t="s">
        <v>2526</v>
      </c>
      <c r="D133" s="6" t="s">
        <v>2527</v>
      </c>
      <c r="E133" s="6">
        <v>5</v>
      </c>
      <c r="F133" s="6">
        <v>61</v>
      </c>
      <c r="G133" s="6" t="s">
        <v>2528</v>
      </c>
      <c r="I133" s="8">
        <v>89.069436736111101</v>
      </c>
      <c r="J133" s="8">
        <v>107.555952291667</v>
      </c>
      <c r="K133" s="6" t="s">
        <v>390</v>
      </c>
      <c r="L133" s="9">
        <v>44089</v>
      </c>
      <c r="N133" s="6">
        <v>52</v>
      </c>
      <c r="O133" s="6" t="s">
        <v>4431</v>
      </c>
      <c r="T133" s="10"/>
      <c r="U133" s="6">
        <v>4.3</v>
      </c>
      <c r="V133" s="8">
        <v>-1.7033796544313426</v>
      </c>
      <c r="W133" s="8">
        <v>-12.607147305488587</v>
      </c>
      <c r="X133" s="8">
        <f t="shared" si="9"/>
        <v>1.0198899299621544</v>
      </c>
    </row>
    <row r="134" spans="1:24" s="6" customFormat="1" x14ac:dyDescent="0.35">
      <c r="A134" s="6" t="s">
        <v>25</v>
      </c>
      <c r="B134" s="6" t="s">
        <v>2575</v>
      </c>
      <c r="D134" s="6" t="s">
        <v>2576</v>
      </c>
      <c r="E134" s="6">
        <v>5</v>
      </c>
      <c r="F134" s="6">
        <v>62</v>
      </c>
      <c r="G134" s="6" t="s">
        <v>2349</v>
      </c>
      <c r="I134" s="8">
        <v>86.937904027777805</v>
      </c>
      <c r="J134" s="8">
        <v>96.65669486111112</v>
      </c>
      <c r="K134" s="6" t="s">
        <v>390</v>
      </c>
      <c r="L134" s="9">
        <v>44096</v>
      </c>
      <c r="N134" s="6">
        <v>53</v>
      </c>
      <c r="O134" s="6" t="s">
        <v>4373</v>
      </c>
      <c r="T134" s="10"/>
      <c r="U134" s="6">
        <v>0</v>
      </c>
      <c r="V134" s="8">
        <v>-3.0393504710197452</v>
      </c>
      <c r="W134" s="8">
        <v>-21.860043209075929</v>
      </c>
      <c r="X134" s="8">
        <f t="shared" si="9"/>
        <v>2.4547605590820325</v>
      </c>
    </row>
    <row r="135" spans="1:24" s="6" customFormat="1" x14ac:dyDescent="0.35">
      <c r="A135" s="6" t="s">
        <v>25</v>
      </c>
      <c r="B135" s="6" t="s">
        <v>2577</v>
      </c>
      <c r="D135" s="6" t="s">
        <v>2578</v>
      </c>
      <c r="E135" s="6">
        <v>5</v>
      </c>
      <c r="F135" s="6">
        <v>62</v>
      </c>
      <c r="G135" s="6" t="s">
        <v>2349</v>
      </c>
      <c r="I135" s="8">
        <v>86.937904027777805</v>
      </c>
      <c r="J135" s="8">
        <v>96.65669486111112</v>
      </c>
      <c r="K135" s="6" t="s">
        <v>390</v>
      </c>
      <c r="L135" s="9">
        <v>44096</v>
      </c>
      <c r="N135" s="6">
        <v>53</v>
      </c>
      <c r="O135" s="6" t="s">
        <v>4373</v>
      </c>
      <c r="T135" s="10"/>
      <c r="U135" s="6">
        <v>12.5</v>
      </c>
      <c r="V135" s="8">
        <v>-3.2867671937942506</v>
      </c>
      <c r="W135" s="8">
        <v>-24.150442531585693</v>
      </c>
      <c r="X135" s="8">
        <f t="shared" si="9"/>
        <v>2.1436950187683124</v>
      </c>
    </row>
    <row r="136" spans="1:24" s="6" customFormat="1" x14ac:dyDescent="0.35">
      <c r="A136" s="6" t="s">
        <v>25</v>
      </c>
      <c r="B136" s="6" t="s">
        <v>2579</v>
      </c>
      <c r="D136" s="6" t="s">
        <v>2580</v>
      </c>
      <c r="E136" s="6">
        <v>5</v>
      </c>
      <c r="F136" s="6">
        <v>62</v>
      </c>
      <c r="G136" s="6" t="s">
        <v>2349</v>
      </c>
      <c r="I136" s="8">
        <v>86.937904027777805</v>
      </c>
      <c r="J136" s="8">
        <v>96.65669486111112</v>
      </c>
      <c r="K136" s="6" t="s">
        <v>390</v>
      </c>
      <c r="L136" s="9">
        <v>44096</v>
      </c>
      <c r="N136" s="6">
        <v>53</v>
      </c>
      <c r="O136" s="6" t="s">
        <v>4373</v>
      </c>
      <c r="T136" s="10"/>
      <c r="U136" s="6">
        <v>28.8</v>
      </c>
      <c r="V136" s="8">
        <v>-3.2895333824157711</v>
      </c>
      <c r="W136" s="8">
        <v>-23.808259300231935</v>
      </c>
      <c r="X136" s="8">
        <f t="shared" si="9"/>
        <v>2.5080077590942338</v>
      </c>
    </row>
    <row r="137" spans="1:24" s="6" customFormat="1" x14ac:dyDescent="0.35">
      <c r="A137" s="6" t="s">
        <v>25</v>
      </c>
      <c r="B137" s="6" t="s">
        <v>2581</v>
      </c>
      <c r="D137" s="6" t="s">
        <v>2582</v>
      </c>
      <c r="E137" s="6">
        <v>5</v>
      </c>
      <c r="F137" s="6">
        <v>62</v>
      </c>
      <c r="G137" s="6" t="s">
        <v>2349</v>
      </c>
      <c r="I137" s="8">
        <v>86.937904027777805</v>
      </c>
      <c r="J137" s="8">
        <v>96.65669486111112</v>
      </c>
      <c r="K137" s="6" t="s">
        <v>390</v>
      </c>
      <c r="L137" s="9">
        <v>44096</v>
      </c>
      <c r="N137" s="6">
        <v>53</v>
      </c>
      <c r="O137" s="6" t="s">
        <v>4373</v>
      </c>
      <c r="T137" s="10"/>
      <c r="U137" s="6">
        <v>29.1</v>
      </c>
      <c r="V137" s="8">
        <v>-3.2910169909000389</v>
      </c>
      <c r="W137" s="8">
        <v>-23.692583683013915</v>
      </c>
      <c r="X137" s="8">
        <f t="shared" si="9"/>
        <v>2.6355522441863961</v>
      </c>
    </row>
    <row r="138" spans="1:24" s="6" customFormat="1" x14ac:dyDescent="0.35">
      <c r="A138" s="6" t="s">
        <v>25</v>
      </c>
      <c r="B138" s="7"/>
      <c r="D138" s="6" t="s">
        <v>1198</v>
      </c>
      <c r="E138" s="6">
        <v>3</v>
      </c>
      <c r="F138" s="6">
        <v>32</v>
      </c>
      <c r="G138" s="6" t="s">
        <v>1172</v>
      </c>
      <c r="I138" s="8">
        <v>86.211634027777805</v>
      </c>
      <c r="J138" s="8">
        <v>15.8018358333333</v>
      </c>
      <c r="K138" s="6" t="s">
        <v>1199</v>
      </c>
      <c r="L138" s="9">
        <v>43913</v>
      </c>
      <c r="N138" s="6">
        <v>26</v>
      </c>
      <c r="O138" s="6" t="s">
        <v>4280</v>
      </c>
      <c r="R138" s="6">
        <v>0</v>
      </c>
      <c r="S138" s="6">
        <v>0</v>
      </c>
      <c r="T138" s="10">
        <f>AVERAGE(R138:S138)</f>
        <v>0</v>
      </c>
      <c r="V138" s="8">
        <v>-1.2630163822889331</v>
      </c>
      <c r="W138" s="8">
        <v>-11.5321107006073</v>
      </c>
      <c r="X138" s="8">
        <f t="shared" si="9"/>
        <v>-1.4279796422958349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994E-9E5E-4506-BD1B-2F1531CCB934}">
  <dimension ref="A1:Y110"/>
  <sheetViews>
    <sheetView zoomScaleNormal="100" workbookViewId="0"/>
  </sheetViews>
  <sheetFormatPr defaultRowHeight="14.5" x14ac:dyDescent="0.35"/>
  <cols>
    <col min="1" max="1" width="7.7265625" bestFit="1" customWidth="1"/>
    <col min="2" max="3" width="17" bestFit="1" customWidth="1"/>
    <col min="4" max="4" width="40.6328125" bestFit="1" customWidth="1"/>
    <col min="5" max="5" width="3.81640625" bestFit="1" customWidth="1"/>
    <col min="6" max="6" width="6" bestFit="1" customWidth="1"/>
    <col min="7" max="7" width="42.26953125" bestFit="1" customWidth="1"/>
    <col min="8" max="8" width="18.6328125" bestFit="1" customWidth="1"/>
    <col min="9" max="9" width="7.90625" bestFit="1" customWidth="1"/>
    <col min="10" max="10" width="9.36328125" bestFit="1" customWidth="1"/>
    <col min="11" max="11" width="10.90625" bestFit="1" customWidth="1"/>
    <col min="12" max="12" width="11.453125" bestFit="1" customWidth="1"/>
    <col min="14" max="14" width="14" bestFit="1" customWidth="1"/>
    <col min="15" max="15" width="9.08984375" bestFit="1" customWidth="1"/>
    <col min="16" max="16" width="15.81640625" bestFit="1" customWidth="1"/>
    <col min="17" max="17" width="17.36328125" bestFit="1" customWidth="1"/>
    <col min="18" max="19" width="8" bestFit="1" customWidth="1"/>
    <col min="20" max="21" width="12" bestFit="1" customWidth="1"/>
    <col min="22" max="23" width="6" bestFit="1" customWidth="1"/>
    <col min="24" max="24" width="8.54296875" bestFit="1" customWidth="1"/>
    <col min="25" max="25" width="10.08984375" bestFit="1" customWidth="1"/>
  </cols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4" t="s">
        <v>16</v>
      </c>
      <c r="R1" s="4" t="s">
        <v>4241</v>
      </c>
      <c r="S1" s="4" t="s">
        <v>18</v>
      </c>
      <c r="T1" s="4" t="s">
        <v>19</v>
      </c>
      <c r="U1" s="1" t="s">
        <v>20</v>
      </c>
      <c r="V1" s="5" t="s">
        <v>21</v>
      </c>
      <c r="W1" s="5" t="s">
        <v>22</v>
      </c>
      <c r="X1" s="5" t="s">
        <v>23</v>
      </c>
      <c r="Y1" s="1" t="s">
        <v>24</v>
      </c>
    </row>
    <row r="2" spans="1:25" s="6" customFormat="1" x14ac:dyDescent="0.35">
      <c r="A2" s="6" t="s">
        <v>25</v>
      </c>
      <c r="B2" s="7" t="s">
        <v>1976</v>
      </c>
      <c r="D2" s="6" t="s">
        <v>1977</v>
      </c>
      <c r="E2" s="6">
        <v>4</v>
      </c>
      <c r="F2" s="6">
        <v>47</v>
      </c>
      <c r="G2" s="6" t="s">
        <v>1978</v>
      </c>
      <c r="I2" s="8">
        <v>81.037749722222202</v>
      </c>
      <c r="J2" s="8">
        <v>0.36575368055555602</v>
      </c>
      <c r="K2" s="6" t="s">
        <v>4450</v>
      </c>
      <c r="L2" s="9">
        <v>44030</v>
      </c>
      <c r="N2" s="6">
        <v>42</v>
      </c>
      <c r="O2" s="6" t="s">
        <v>4417</v>
      </c>
      <c r="Q2" s="10" t="s">
        <v>1979</v>
      </c>
      <c r="R2" s="10">
        <v>25</v>
      </c>
      <c r="S2" s="10">
        <v>30</v>
      </c>
      <c r="T2" s="10">
        <f>AVERAGE(R2:S2)</f>
        <v>27.5</v>
      </c>
      <c r="U2" s="11"/>
      <c r="V2" s="8">
        <v>-7.7679000854492183E-2</v>
      </c>
      <c r="W2" s="8">
        <v>-0.27509294927120176</v>
      </c>
      <c r="X2" s="8">
        <f t="shared" ref="X2:X33" si="0">W2-(8*V2)</f>
        <v>0.34633905756473571</v>
      </c>
    </row>
    <row r="3" spans="1:25" s="6" customFormat="1" x14ac:dyDescent="0.35">
      <c r="A3" s="6" t="s">
        <v>25</v>
      </c>
      <c r="B3" s="7" t="s">
        <v>1980</v>
      </c>
      <c r="D3" s="6" t="s">
        <v>1981</v>
      </c>
      <c r="E3" s="6">
        <v>4</v>
      </c>
      <c r="F3" s="6">
        <v>47</v>
      </c>
      <c r="G3" s="6" t="s">
        <v>1978</v>
      </c>
      <c r="I3" s="8">
        <v>81.037749722222202</v>
      </c>
      <c r="J3" s="8">
        <v>0.36575368055555602</v>
      </c>
      <c r="K3" s="6" t="s">
        <v>4450</v>
      </c>
      <c r="L3" s="9">
        <v>44030</v>
      </c>
      <c r="N3" s="6">
        <v>42</v>
      </c>
      <c r="O3" s="6" t="s">
        <v>4417</v>
      </c>
      <c r="Q3" s="10" t="s">
        <v>1982</v>
      </c>
      <c r="R3" s="10">
        <v>30</v>
      </c>
      <c r="S3" s="10">
        <v>35</v>
      </c>
      <c r="T3" s="10">
        <f>AVERAGE(R3:S3)</f>
        <v>32.5</v>
      </c>
      <c r="U3" s="11"/>
      <c r="V3" s="8">
        <v>9.0234628677368159E-2</v>
      </c>
      <c r="W3" s="8">
        <v>0.501515684127808</v>
      </c>
      <c r="X3" s="8">
        <f t="shared" si="0"/>
        <v>-0.22036134529113727</v>
      </c>
    </row>
    <row r="4" spans="1:25" s="6" customFormat="1" x14ac:dyDescent="0.35">
      <c r="A4" s="6" t="s">
        <v>25</v>
      </c>
      <c r="B4" s="7" t="s">
        <v>1983</v>
      </c>
      <c r="D4" s="6" t="s">
        <v>1984</v>
      </c>
      <c r="E4" s="6">
        <v>4</v>
      </c>
      <c r="F4" s="6">
        <v>47</v>
      </c>
      <c r="G4" s="6" t="s">
        <v>1985</v>
      </c>
      <c r="I4" s="8">
        <v>81.037749722222202</v>
      </c>
      <c r="J4" s="8">
        <v>0.36575368055555602</v>
      </c>
      <c r="K4" s="6" t="s">
        <v>4450</v>
      </c>
      <c r="L4" s="9">
        <v>44030</v>
      </c>
      <c r="N4" s="6">
        <v>42</v>
      </c>
      <c r="O4" s="6" t="s">
        <v>4417</v>
      </c>
      <c r="Q4" s="10" t="s">
        <v>1986</v>
      </c>
      <c r="R4" s="10"/>
      <c r="S4" s="10"/>
      <c r="T4" s="10"/>
      <c r="U4" s="11"/>
      <c r="V4" s="8">
        <v>-6.9261123075485225</v>
      </c>
      <c r="W4" s="8">
        <v>-52.841172027587888</v>
      </c>
      <c r="X4" s="8">
        <f t="shared" si="0"/>
        <v>2.567726432800292</v>
      </c>
    </row>
    <row r="5" spans="1:25" s="6" customFormat="1" x14ac:dyDescent="0.35">
      <c r="A5" s="6" t="s">
        <v>25</v>
      </c>
      <c r="B5" s="7" t="s">
        <v>1987</v>
      </c>
      <c r="D5" s="6" t="s">
        <v>1988</v>
      </c>
      <c r="E5" s="6">
        <v>4</v>
      </c>
      <c r="F5" s="6">
        <v>47</v>
      </c>
      <c r="G5" s="6" t="s">
        <v>1978</v>
      </c>
      <c r="I5" s="8">
        <v>81.037749722222202</v>
      </c>
      <c r="J5" s="8">
        <v>0.36575368055555602</v>
      </c>
      <c r="K5" s="6" t="s">
        <v>4450</v>
      </c>
      <c r="L5" s="9">
        <v>44030</v>
      </c>
      <c r="N5" s="6">
        <v>42</v>
      </c>
      <c r="O5" s="6" t="s">
        <v>4417</v>
      </c>
      <c r="Q5" s="10" t="s">
        <v>1989</v>
      </c>
      <c r="R5" s="10">
        <v>35</v>
      </c>
      <c r="S5" s="10">
        <v>40</v>
      </c>
      <c r="T5" s="10">
        <f t="shared" ref="T5:T27" si="1">AVERAGE(R5:S5)</f>
        <v>37.5</v>
      </c>
      <c r="U5" s="11"/>
      <c r="V5" s="8">
        <v>0.25709318733215331</v>
      </c>
      <c r="W5" s="8">
        <v>2.9212715339660642</v>
      </c>
      <c r="X5" s="8">
        <f t="shared" si="0"/>
        <v>0.86452603530883776</v>
      </c>
    </row>
    <row r="6" spans="1:25" s="6" customFormat="1" x14ac:dyDescent="0.35">
      <c r="A6" s="6" t="s">
        <v>25</v>
      </c>
      <c r="B6" s="7" t="s">
        <v>1990</v>
      </c>
      <c r="D6" s="6" t="s">
        <v>1991</v>
      </c>
      <c r="E6" s="6">
        <v>4</v>
      </c>
      <c r="F6" s="6">
        <v>47</v>
      </c>
      <c r="G6" s="6" t="s">
        <v>1978</v>
      </c>
      <c r="I6" s="8">
        <v>81.037749722222202</v>
      </c>
      <c r="J6" s="8">
        <v>0.36575368055555602</v>
      </c>
      <c r="K6" s="6" t="s">
        <v>4450</v>
      </c>
      <c r="L6" s="9">
        <v>44030</v>
      </c>
      <c r="N6" s="6">
        <v>42</v>
      </c>
      <c r="O6" s="6" t="s">
        <v>4417</v>
      </c>
      <c r="Q6" s="10" t="s">
        <v>1992</v>
      </c>
      <c r="R6" s="10">
        <v>40</v>
      </c>
      <c r="S6" s="10">
        <v>45</v>
      </c>
      <c r="T6" s="10">
        <f t="shared" si="1"/>
        <v>42.5</v>
      </c>
      <c r="U6" s="11"/>
      <c r="V6" s="8">
        <v>0.39180384063720702</v>
      </c>
      <c r="W6" s="8">
        <v>3.6654612302780154</v>
      </c>
      <c r="X6" s="8">
        <f t="shared" si="0"/>
        <v>0.53103050518035921</v>
      </c>
    </row>
    <row r="7" spans="1:25" s="6" customFormat="1" x14ac:dyDescent="0.35">
      <c r="A7" s="6" t="s">
        <v>25</v>
      </c>
      <c r="B7" s="7" t="s">
        <v>1993</v>
      </c>
      <c r="D7" s="6" t="s">
        <v>1994</v>
      </c>
      <c r="E7" s="6">
        <v>4</v>
      </c>
      <c r="F7" s="6">
        <v>47</v>
      </c>
      <c r="G7" s="6" t="s">
        <v>1978</v>
      </c>
      <c r="I7" s="8">
        <v>81.037749722222202</v>
      </c>
      <c r="J7" s="8">
        <v>0.36575368055555602</v>
      </c>
      <c r="K7" s="6" t="s">
        <v>4450</v>
      </c>
      <c r="L7" s="9">
        <v>44030</v>
      </c>
      <c r="N7" s="6">
        <v>42</v>
      </c>
      <c r="O7" s="6" t="s">
        <v>4417</v>
      </c>
      <c r="Q7" s="10" t="s">
        <v>1796</v>
      </c>
      <c r="R7" s="10">
        <v>64</v>
      </c>
      <c r="S7" s="10">
        <v>69</v>
      </c>
      <c r="T7" s="10">
        <f t="shared" si="1"/>
        <v>66.5</v>
      </c>
      <c r="U7" s="11"/>
      <c r="V7" s="8">
        <v>-0.18828607177734552</v>
      </c>
      <c r="W7" s="8">
        <v>-0.9526573765277867</v>
      </c>
      <c r="X7" s="8">
        <f t="shared" si="0"/>
        <v>0.55363119769097746</v>
      </c>
    </row>
    <row r="8" spans="1:25" s="6" customFormat="1" x14ac:dyDescent="0.35">
      <c r="A8" s="6" t="s">
        <v>25</v>
      </c>
      <c r="B8" s="7" t="s">
        <v>1995</v>
      </c>
      <c r="D8" s="6" t="s">
        <v>1996</v>
      </c>
      <c r="E8" s="6">
        <v>4</v>
      </c>
      <c r="F8" s="6">
        <v>47</v>
      </c>
      <c r="G8" s="6" t="s">
        <v>1978</v>
      </c>
      <c r="I8" s="8">
        <v>81.037749722222202</v>
      </c>
      <c r="J8" s="8">
        <v>0.36575368055555602</v>
      </c>
      <c r="K8" s="6" t="s">
        <v>4450</v>
      </c>
      <c r="L8" s="9">
        <v>44030</v>
      </c>
      <c r="N8" s="6">
        <v>42</v>
      </c>
      <c r="O8" s="6" t="s">
        <v>4417</v>
      </c>
      <c r="Q8" s="10" t="s">
        <v>1877</v>
      </c>
      <c r="R8" s="10">
        <v>99</v>
      </c>
      <c r="S8" s="10">
        <v>104</v>
      </c>
      <c r="T8" s="10">
        <f t="shared" si="1"/>
        <v>101.5</v>
      </c>
      <c r="U8" s="11"/>
      <c r="V8" s="8">
        <v>-0.47990747261047184</v>
      </c>
      <c r="W8" s="8">
        <v>-2.9250351715087892</v>
      </c>
      <c r="X8" s="8">
        <f t="shared" si="0"/>
        <v>0.91422460937498551</v>
      </c>
    </row>
    <row r="9" spans="1:25" s="6" customFormat="1" x14ac:dyDescent="0.35">
      <c r="A9" s="6" t="s">
        <v>25</v>
      </c>
      <c r="B9" s="7" t="s">
        <v>1997</v>
      </c>
      <c r="D9" s="6" t="s">
        <v>1998</v>
      </c>
      <c r="E9" s="6">
        <v>4</v>
      </c>
      <c r="F9" s="6">
        <v>47</v>
      </c>
      <c r="G9" s="6" t="s">
        <v>1978</v>
      </c>
      <c r="I9" s="8">
        <v>81.037749722222202</v>
      </c>
      <c r="J9" s="8">
        <v>0.36575368055555602</v>
      </c>
      <c r="K9" s="6" t="s">
        <v>4450</v>
      </c>
      <c r="L9" s="9">
        <v>44030</v>
      </c>
      <c r="N9" s="6">
        <v>42</v>
      </c>
      <c r="O9" s="6" t="s">
        <v>4417</v>
      </c>
      <c r="Q9" s="10" t="s">
        <v>1999</v>
      </c>
      <c r="R9" s="10">
        <v>20</v>
      </c>
      <c r="S9" s="10">
        <v>25</v>
      </c>
      <c r="T9" s="10">
        <f t="shared" si="1"/>
        <v>22.5</v>
      </c>
      <c r="U9" s="11"/>
      <c r="V9" s="8">
        <v>-0.78777582740783691</v>
      </c>
      <c r="W9" s="8">
        <v>-5.3234232425689711</v>
      </c>
      <c r="X9" s="8">
        <f t="shared" si="0"/>
        <v>0.97878337669372417</v>
      </c>
    </row>
    <row r="10" spans="1:25" s="6" customFormat="1" x14ac:dyDescent="0.35">
      <c r="A10" s="6" t="s">
        <v>25</v>
      </c>
      <c r="B10" s="7" t="s">
        <v>2000</v>
      </c>
      <c r="D10" s="6" t="s">
        <v>2001</v>
      </c>
      <c r="E10" s="6">
        <v>4</v>
      </c>
      <c r="F10" s="6">
        <v>47</v>
      </c>
      <c r="G10" s="6" t="s">
        <v>1978</v>
      </c>
      <c r="I10" s="8">
        <v>81.037749722222202</v>
      </c>
      <c r="J10" s="8">
        <v>0.36575368055555602</v>
      </c>
      <c r="K10" s="6" t="s">
        <v>4450</v>
      </c>
      <c r="L10" s="9">
        <v>44030</v>
      </c>
      <c r="N10" s="6">
        <v>42</v>
      </c>
      <c r="O10" s="6" t="s">
        <v>4417</v>
      </c>
      <c r="Q10" s="10" t="s">
        <v>2002</v>
      </c>
      <c r="R10" s="10">
        <v>15</v>
      </c>
      <c r="S10" s="10">
        <v>20</v>
      </c>
      <c r="T10" s="10">
        <f t="shared" si="1"/>
        <v>17.5</v>
      </c>
      <c r="U10" s="11"/>
      <c r="V10" s="8">
        <v>-1.1552116069793701</v>
      </c>
      <c r="W10" s="8">
        <v>-8.5281540679931638</v>
      </c>
      <c r="X10" s="8">
        <f t="shared" si="0"/>
        <v>0.71353878784179692</v>
      </c>
    </row>
    <row r="11" spans="1:25" s="6" customFormat="1" x14ac:dyDescent="0.35">
      <c r="A11" s="6" t="s">
        <v>25</v>
      </c>
      <c r="B11" s="7" t="s">
        <v>2003</v>
      </c>
      <c r="D11" s="6" t="s">
        <v>2004</v>
      </c>
      <c r="E11" s="6">
        <v>4</v>
      </c>
      <c r="F11" s="6">
        <v>47</v>
      </c>
      <c r="G11" s="6" t="s">
        <v>1978</v>
      </c>
      <c r="I11" s="8">
        <v>81.037749722222202</v>
      </c>
      <c r="J11" s="8">
        <v>0.36575368055555602</v>
      </c>
      <c r="K11" s="6" t="s">
        <v>4450</v>
      </c>
      <c r="L11" s="9">
        <v>44030</v>
      </c>
      <c r="N11" s="6">
        <v>42</v>
      </c>
      <c r="O11" s="6" t="s">
        <v>4417</v>
      </c>
      <c r="Q11" s="10" t="s">
        <v>2005</v>
      </c>
      <c r="R11" s="10">
        <v>10</v>
      </c>
      <c r="S11" s="10">
        <v>15</v>
      </c>
      <c r="T11" s="10">
        <f t="shared" si="1"/>
        <v>12.5</v>
      </c>
      <c r="U11" s="11"/>
      <c r="V11" s="8">
        <v>-1.8038422603607178</v>
      </c>
      <c r="W11" s="8">
        <v>-13.740952816009521</v>
      </c>
      <c r="X11" s="8">
        <f t="shared" si="0"/>
        <v>0.68978526687622121</v>
      </c>
    </row>
    <row r="12" spans="1:25" s="6" customFormat="1" x14ac:dyDescent="0.35">
      <c r="A12" s="6" t="s">
        <v>25</v>
      </c>
      <c r="B12" s="7" t="s">
        <v>2006</v>
      </c>
      <c r="D12" s="6" t="s">
        <v>2007</v>
      </c>
      <c r="E12" s="6">
        <v>4</v>
      </c>
      <c r="F12" s="6">
        <v>47</v>
      </c>
      <c r="G12" s="6" t="s">
        <v>1978</v>
      </c>
      <c r="I12" s="8">
        <v>81.037749722222202</v>
      </c>
      <c r="J12" s="8">
        <v>0.36575368055555602</v>
      </c>
      <c r="K12" s="6" t="s">
        <v>4450</v>
      </c>
      <c r="L12" s="9">
        <v>44030</v>
      </c>
      <c r="N12" s="6">
        <v>42</v>
      </c>
      <c r="O12" s="6" t="s">
        <v>4417</v>
      </c>
      <c r="Q12" s="10" t="s">
        <v>1866</v>
      </c>
      <c r="R12" s="10">
        <v>109</v>
      </c>
      <c r="S12" s="10">
        <v>114</v>
      </c>
      <c r="T12" s="10">
        <f t="shared" si="1"/>
        <v>111.5</v>
      </c>
      <c r="U12" s="11"/>
      <c r="V12" s="8">
        <v>-5.2175055980682377</v>
      </c>
      <c r="W12" s="8">
        <v>-41.19231101989746</v>
      </c>
      <c r="X12" s="8">
        <f t="shared" si="0"/>
        <v>0.54773376464844148</v>
      </c>
    </row>
    <row r="13" spans="1:25" s="6" customFormat="1" x14ac:dyDescent="0.35">
      <c r="A13" s="6" t="s">
        <v>25</v>
      </c>
      <c r="B13" s="7" t="s">
        <v>2008</v>
      </c>
      <c r="D13" s="6" t="s">
        <v>2009</v>
      </c>
      <c r="E13" s="6">
        <v>4</v>
      </c>
      <c r="F13" s="6">
        <v>47</v>
      </c>
      <c r="G13" s="6" t="s">
        <v>1978</v>
      </c>
      <c r="I13" s="8">
        <v>81.037749722222202</v>
      </c>
      <c r="J13" s="8">
        <v>0.36575368055555602</v>
      </c>
      <c r="K13" s="6" t="s">
        <v>4450</v>
      </c>
      <c r="L13" s="9">
        <v>44030</v>
      </c>
      <c r="N13" s="6">
        <v>42</v>
      </c>
      <c r="O13" s="6" t="s">
        <v>4417</v>
      </c>
      <c r="Q13" s="10" t="s">
        <v>2010</v>
      </c>
      <c r="R13" s="10">
        <v>49</v>
      </c>
      <c r="S13" s="10">
        <v>54</v>
      </c>
      <c r="T13" s="10">
        <f t="shared" si="1"/>
        <v>51.5</v>
      </c>
      <c r="U13" s="11"/>
      <c r="V13" s="8">
        <v>-0.65716506767272953</v>
      </c>
      <c r="W13" s="8">
        <v>-4.0200550937652588</v>
      </c>
      <c r="X13" s="8">
        <f t="shared" si="0"/>
        <v>1.2372654476165774</v>
      </c>
    </row>
    <row r="14" spans="1:25" s="6" customFormat="1" x14ac:dyDescent="0.35">
      <c r="A14" s="6" t="s">
        <v>25</v>
      </c>
      <c r="B14" s="7" t="s">
        <v>2011</v>
      </c>
      <c r="D14" s="6" t="s">
        <v>2012</v>
      </c>
      <c r="E14" s="6">
        <v>4</v>
      </c>
      <c r="F14" s="6">
        <v>47</v>
      </c>
      <c r="G14" s="6" t="s">
        <v>1978</v>
      </c>
      <c r="I14" s="8">
        <v>81.037749722222202</v>
      </c>
      <c r="J14" s="8">
        <v>0.36575368055555602</v>
      </c>
      <c r="K14" s="6" t="s">
        <v>4450</v>
      </c>
      <c r="L14" s="9">
        <v>44030</v>
      </c>
      <c r="N14" s="6">
        <v>42</v>
      </c>
      <c r="O14" s="6" t="s">
        <v>4417</v>
      </c>
      <c r="Q14" s="10" t="s">
        <v>1836</v>
      </c>
      <c r="R14" s="10">
        <v>94</v>
      </c>
      <c r="S14" s="10">
        <v>99</v>
      </c>
      <c r="T14" s="10">
        <f t="shared" si="1"/>
        <v>96.5</v>
      </c>
      <c r="U14" s="11"/>
      <c r="V14" s="8">
        <v>1.4638278961181641E-2</v>
      </c>
      <c r="W14" s="8">
        <v>0.18783147484064097</v>
      </c>
      <c r="X14" s="8">
        <f t="shared" si="0"/>
        <v>7.0725243151187847E-2</v>
      </c>
    </row>
    <row r="15" spans="1:25" s="6" customFormat="1" x14ac:dyDescent="0.35">
      <c r="A15" s="6" t="s">
        <v>25</v>
      </c>
      <c r="B15" s="7" t="s">
        <v>2013</v>
      </c>
      <c r="D15" s="6" t="s">
        <v>2014</v>
      </c>
      <c r="E15" s="6">
        <v>4</v>
      </c>
      <c r="F15" s="6">
        <v>47</v>
      </c>
      <c r="G15" s="6" t="s">
        <v>1978</v>
      </c>
      <c r="I15" s="8">
        <v>81.037749722222202</v>
      </c>
      <c r="J15" s="8">
        <v>0.36575368055555602</v>
      </c>
      <c r="K15" s="6" t="s">
        <v>4450</v>
      </c>
      <c r="L15" s="9">
        <v>44030</v>
      </c>
      <c r="N15" s="6">
        <v>42</v>
      </c>
      <c r="O15" s="6" t="s">
        <v>4417</v>
      </c>
      <c r="Q15" s="10" t="s">
        <v>1845</v>
      </c>
      <c r="R15" s="10">
        <v>59</v>
      </c>
      <c r="S15" s="10">
        <v>64</v>
      </c>
      <c r="T15" s="10">
        <f t="shared" si="1"/>
        <v>61.5</v>
      </c>
      <c r="U15" s="11"/>
      <c r="V15" s="8">
        <v>-4.4142345428466796E-2</v>
      </c>
      <c r="W15" s="8">
        <v>0.24044751554727595</v>
      </c>
      <c r="X15" s="8">
        <f t="shared" si="0"/>
        <v>0.59358627897501037</v>
      </c>
    </row>
    <row r="16" spans="1:25" s="6" customFormat="1" x14ac:dyDescent="0.35">
      <c r="A16" s="6" t="s">
        <v>25</v>
      </c>
      <c r="B16" s="7" t="s">
        <v>2015</v>
      </c>
      <c r="D16" s="6" t="s">
        <v>2016</v>
      </c>
      <c r="E16" s="6">
        <v>4</v>
      </c>
      <c r="F16" s="6">
        <v>47</v>
      </c>
      <c r="G16" s="6" t="s">
        <v>1978</v>
      </c>
      <c r="I16" s="8">
        <v>81.037749722222202</v>
      </c>
      <c r="J16" s="8">
        <v>0.36575368055555602</v>
      </c>
      <c r="K16" s="6" t="s">
        <v>4450</v>
      </c>
      <c r="L16" s="9">
        <v>44030</v>
      </c>
      <c r="N16" s="6">
        <v>42</v>
      </c>
      <c r="O16" s="6" t="s">
        <v>4417</v>
      </c>
      <c r="Q16" s="10" t="s">
        <v>1799</v>
      </c>
      <c r="R16" s="10">
        <v>74</v>
      </c>
      <c r="S16" s="10">
        <v>79</v>
      </c>
      <c r="T16" s="10">
        <f t="shared" si="1"/>
        <v>76.5</v>
      </c>
      <c r="U16" s="11"/>
      <c r="V16" s="8">
        <v>-0.18355105018615722</v>
      </c>
      <c r="W16" s="8">
        <v>-0.71148842215537988</v>
      </c>
      <c r="X16" s="8">
        <f t="shared" si="0"/>
        <v>0.75691997933387789</v>
      </c>
    </row>
    <row r="17" spans="1:24" s="6" customFormat="1" x14ac:dyDescent="0.35">
      <c r="A17" s="6" t="s">
        <v>25</v>
      </c>
      <c r="B17" s="7" t="s">
        <v>2017</v>
      </c>
      <c r="D17" s="6" t="s">
        <v>2018</v>
      </c>
      <c r="E17" s="6">
        <v>4</v>
      </c>
      <c r="F17" s="6">
        <v>47</v>
      </c>
      <c r="G17" s="6" t="s">
        <v>1978</v>
      </c>
      <c r="I17" s="8">
        <v>81.037749722222202</v>
      </c>
      <c r="J17" s="8">
        <v>0.36575368055555602</v>
      </c>
      <c r="K17" s="6" t="s">
        <v>4450</v>
      </c>
      <c r="L17" s="9">
        <v>44030</v>
      </c>
      <c r="N17" s="6">
        <v>42</v>
      </c>
      <c r="O17" s="6" t="s">
        <v>4417</v>
      </c>
      <c r="Q17" s="10" t="s">
        <v>2019</v>
      </c>
      <c r="R17" s="10">
        <v>79</v>
      </c>
      <c r="S17" s="10">
        <v>89</v>
      </c>
      <c r="T17" s="10">
        <f t="shared" si="1"/>
        <v>84</v>
      </c>
      <c r="U17" s="11"/>
      <c r="V17" s="8">
        <v>-0.23874251692891124</v>
      </c>
      <c r="W17" s="8">
        <v>-1.4283228100538257</v>
      </c>
      <c r="X17" s="8">
        <f t="shared" si="0"/>
        <v>0.48161732537746427</v>
      </c>
    </row>
    <row r="18" spans="1:24" s="6" customFormat="1" x14ac:dyDescent="0.35">
      <c r="A18" s="6" t="s">
        <v>25</v>
      </c>
      <c r="B18" s="7" t="s">
        <v>2020</v>
      </c>
      <c r="D18" s="6" t="s">
        <v>2021</v>
      </c>
      <c r="E18" s="6">
        <v>4</v>
      </c>
      <c r="F18" s="6">
        <v>47</v>
      </c>
      <c r="G18" s="6" t="s">
        <v>1978</v>
      </c>
      <c r="I18" s="8">
        <v>81.037749722222202</v>
      </c>
      <c r="J18" s="8">
        <v>0.36575368055555602</v>
      </c>
      <c r="K18" s="6" t="s">
        <v>4450</v>
      </c>
      <c r="L18" s="9">
        <v>44030</v>
      </c>
      <c r="N18" s="6">
        <v>42</v>
      </c>
      <c r="O18" s="6" t="s">
        <v>4417</v>
      </c>
      <c r="Q18" s="10" t="s">
        <v>1802</v>
      </c>
      <c r="R18" s="10">
        <v>69</v>
      </c>
      <c r="S18" s="10">
        <v>74</v>
      </c>
      <c r="T18" s="10">
        <f t="shared" si="1"/>
        <v>71.5</v>
      </c>
      <c r="U18" s="11"/>
      <c r="V18" s="8">
        <v>-0.15776967759728444</v>
      </c>
      <c r="W18" s="8">
        <v>-1.9703123130798339</v>
      </c>
      <c r="X18" s="8">
        <f t="shared" si="0"/>
        <v>-0.70815489230155837</v>
      </c>
    </row>
    <row r="19" spans="1:24" s="6" customFormat="1" x14ac:dyDescent="0.35">
      <c r="A19" s="6" t="s">
        <v>25</v>
      </c>
      <c r="B19" s="7" t="s">
        <v>2022</v>
      </c>
      <c r="D19" s="6" t="s">
        <v>2023</v>
      </c>
      <c r="E19" s="6">
        <v>4</v>
      </c>
      <c r="F19" s="6">
        <v>47</v>
      </c>
      <c r="G19" s="6" t="s">
        <v>1978</v>
      </c>
      <c r="I19" s="8">
        <v>81.037749722222202</v>
      </c>
      <c r="J19" s="8">
        <v>0.36575368055555602</v>
      </c>
      <c r="K19" s="6" t="s">
        <v>4450</v>
      </c>
      <c r="L19" s="9">
        <v>44030</v>
      </c>
      <c r="N19" s="6">
        <v>42</v>
      </c>
      <c r="O19" s="6" t="s">
        <v>4417</v>
      </c>
      <c r="Q19" s="10" t="s">
        <v>2024</v>
      </c>
      <c r="R19" s="10">
        <v>124</v>
      </c>
      <c r="S19" s="10">
        <v>129</v>
      </c>
      <c r="T19" s="10">
        <f t="shared" si="1"/>
        <v>126.5</v>
      </c>
      <c r="U19" s="11"/>
      <c r="V19" s="8">
        <v>-7.1689087431907659</v>
      </c>
      <c r="W19" s="8">
        <v>-55.285185657501216</v>
      </c>
      <c r="X19" s="8">
        <f t="shared" si="0"/>
        <v>2.0660842880249106</v>
      </c>
    </row>
    <row r="20" spans="1:24" s="6" customFormat="1" x14ac:dyDescent="0.35">
      <c r="A20" s="6" t="s">
        <v>25</v>
      </c>
      <c r="B20" s="7" t="s">
        <v>2025</v>
      </c>
      <c r="D20" s="6" t="s">
        <v>2026</v>
      </c>
      <c r="E20" s="6">
        <v>4</v>
      </c>
      <c r="F20" s="6">
        <v>47</v>
      </c>
      <c r="G20" s="6" t="s">
        <v>1978</v>
      </c>
      <c r="I20" s="8">
        <v>81.037749722222202</v>
      </c>
      <c r="J20" s="8">
        <v>0.36575368055555602</v>
      </c>
      <c r="K20" s="6" t="s">
        <v>4450</v>
      </c>
      <c r="L20" s="9">
        <v>44030</v>
      </c>
      <c r="N20" s="6">
        <v>42</v>
      </c>
      <c r="O20" s="6" t="s">
        <v>4417</v>
      </c>
      <c r="Q20" s="10" t="s">
        <v>2027</v>
      </c>
      <c r="R20" s="10">
        <v>114</v>
      </c>
      <c r="S20" s="10">
        <v>119</v>
      </c>
      <c r="T20" s="10">
        <f t="shared" si="1"/>
        <v>116.5</v>
      </c>
      <c r="U20" s="11"/>
      <c r="V20" s="8">
        <v>-8.5154525070190417</v>
      </c>
      <c r="W20" s="8">
        <v>-65.459523857116693</v>
      </c>
      <c r="X20" s="8">
        <f t="shared" si="0"/>
        <v>2.6640961990356402</v>
      </c>
    </row>
    <row r="21" spans="1:24" s="6" customFormat="1" x14ac:dyDescent="0.35">
      <c r="A21" s="6" t="s">
        <v>25</v>
      </c>
      <c r="B21" s="7" t="s">
        <v>2028</v>
      </c>
      <c r="D21" s="6" t="s">
        <v>2029</v>
      </c>
      <c r="E21" s="6">
        <v>4</v>
      </c>
      <c r="F21" s="6">
        <v>47</v>
      </c>
      <c r="G21" s="6" t="s">
        <v>1978</v>
      </c>
      <c r="I21" s="8">
        <v>81.037749722222202</v>
      </c>
      <c r="J21" s="8">
        <v>0.36575368055555602</v>
      </c>
      <c r="K21" s="6" t="s">
        <v>4450</v>
      </c>
      <c r="L21" s="9">
        <v>44030</v>
      </c>
      <c r="N21" s="6">
        <v>42</v>
      </c>
      <c r="O21" s="6" t="s">
        <v>4417</v>
      </c>
      <c r="Q21" s="10" t="s">
        <v>1683</v>
      </c>
      <c r="R21" s="10">
        <v>0</v>
      </c>
      <c r="S21" s="10">
        <v>5</v>
      </c>
      <c r="T21" s="10">
        <f t="shared" si="1"/>
        <v>2.5</v>
      </c>
      <c r="U21" s="11"/>
      <c r="V21" s="8">
        <v>-4.2835922983169556</v>
      </c>
      <c r="W21" s="8">
        <v>-33.534098789215086</v>
      </c>
      <c r="X21" s="8">
        <f t="shared" si="0"/>
        <v>0.73463959732055883</v>
      </c>
    </row>
    <row r="22" spans="1:24" s="6" customFormat="1" x14ac:dyDescent="0.35">
      <c r="A22" s="6" t="s">
        <v>25</v>
      </c>
      <c r="B22" s="7" t="s">
        <v>2030</v>
      </c>
      <c r="D22" s="6" t="s">
        <v>2031</v>
      </c>
      <c r="E22" s="6">
        <v>4</v>
      </c>
      <c r="F22" s="6">
        <v>47</v>
      </c>
      <c r="G22" s="6" t="s">
        <v>1978</v>
      </c>
      <c r="I22" s="8">
        <v>81.037749722222202</v>
      </c>
      <c r="J22" s="8">
        <v>0.36575368055555602</v>
      </c>
      <c r="K22" s="6" t="s">
        <v>4450</v>
      </c>
      <c r="L22" s="9">
        <v>44030</v>
      </c>
      <c r="N22" s="6">
        <v>42</v>
      </c>
      <c r="O22" s="6" t="s">
        <v>4417</v>
      </c>
      <c r="Q22" s="10" t="s">
        <v>2032</v>
      </c>
      <c r="R22" s="10">
        <v>5</v>
      </c>
      <c r="S22" s="10">
        <v>10</v>
      </c>
      <c r="T22" s="10">
        <f t="shared" si="1"/>
        <v>7.5</v>
      </c>
      <c r="U22" s="11"/>
      <c r="V22" s="8">
        <v>-3.4106681361675264</v>
      </c>
      <c r="W22" s="8">
        <v>-25.741826374053957</v>
      </c>
      <c r="X22" s="8">
        <f t="shared" si="0"/>
        <v>1.543518715286254</v>
      </c>
    </row>
    <row r="23" spans="1:24" s="6" customFormat="1" x14ac:dyDescent="0.35">
      <c r="A23" s="6" t="s">
        <v>25</v>
      </c>
      <c r="B23" s="7" t="s">
        <v>2033</v>
      </c>
      <c r="D23" s="6" t="s">
        <v>2034</v>
      </c>
      <c r="E23" s="6">
        <v>4</v>
      </c>
      <c r="F23" s="6">
        <v>47</v>
      </c>
      <c r="G23" s="6" t="s">
        <v>1978</v>
      </c>
      <c r="I23" s="8">
        <v>81.037749722222202</v>
      </c>
      <c r="J23" s="8">
        <v>0.36575368055555602</v>
      </c>
      <c r="K23" s="6" t="s">
        <v>4450</v>
      </c>
      <c r="L23" s="9">
        <v>44030</v>
      </c>
      <c r="N23" s="6">
        <v>42</v>
      </c>
      <c r="O23" s="6" t="s">
        <v>4417</v>
      </c>
      <c r="Q23" s="10" t="s">
        <v>1848</v>
      </c>
      <c r="R23" s="10">
        <v>89</v>
      </c>
      <c r="S23" s="10">
        <v>94</v>
      </c>
      <c r="T23" s="10">
        <f t="shared" si="1"/>
        <v>91.5</v>
      </c>
      <c r="U23" s="11"/>
      <c r="V23" s="8">
        <v>-0.19143402278423294</v>
      </c>
      <c r="W23" s="8">
        <v>-1.0234285993482917</v>
      </c>
      <c r="X23" s="8">
        <f t="shared" si="0"/>
        <v>0.50804358292557183</v>
      </c>
    </row>
    <row r="24" spans="1:24" s="6" customFormat="1" x14ac:dyDescent="0.35">
      <c r="A24" s="6" t="s">
        <v>25</v>
      </c>
      <c r="B24" s="7" t="s">
        <v>2035</v>
      </c>
      <c r="D24" s="6" t="s">
        <v>2036</v>
      </c>
      <c r="E24" s="6">
        <v>4</v>
      </c>
      <c r="F24" s="6">
        <v>47</v>
      </c>
      <c r="G24" s="6" t="s">
        <v>1978</v>
      </c>
      <c r="I24" s="8">
        <v>81.037749722222202</v>
      </c>
      <c r="J24" s="8">
        <v>0.36575368055555602</v>
      </c>
      <c r="K24" s="6" t="s">
        <v>4450</v>
      </c>
      <c r="L24" s="9">
        <v>44030</v>
      </c>
      <c r="N24" s="6">
        <v>42</v>
      </c>
      <c r="O24" s="6" t="s">
        <v>4417</v>
      </c>
      <c r="Q24" s="10" t="s">
        <v>1839</v>
      </c>
      <c r="R24" s="10">
        <v>119</v>
      </c>
      <c r="S24" s="10">
        <v>124</v>
      </c>
      <c r="T24" s="10">
        <f t="shared" si="1"/>
        <v>121.5</v>
      </c>
      <c r="U24" s="11"/>
      <c r="V24" s="8">
        <v>-9.3034903972625749</v>
      </c>
      <c r="W24" s="8">
        <v>-72.76020506286622</v>
      </c>
      <c r="X24" s="8">
        <f t="shared" si="0"/>
        <v>1.6677181152343792</v>
      </c>
    </row>
    <row r="25" spans="1:24" s="6" customFormat="1" x14ac:dyDescent="0.35">
      <c r="A25" s="6" t="s">
        <v>25</v>
      </c>
      <c r="B25" s="7" t="s">
        <v>2037</v>
      </c>
      <c r="D25" s="6" t="s">
        <v>2038</v>
      </c>
      <c r="E25" s="6">
        <v>4</v>
      </c>
      <c r="F25" s="6">
        <v>47</v>
      </c>
      <c r="G25" s="6" t="s">
        <v>1978</v>
      </c>
      <c r="I25" s="8">
        <v>81.037749722222202</v>
      </c>
      <c r="J25" s="8">
        <v>0.36575368055555602</v>
      </c>
      <c r="K25" s="6" t="s">
        <v>4450</v>
      </c>
      <c r="L25" s="9">
        <v>44030</v>
      </c>
      <c r="N25" s="6">
        <v>42</v>
      </c>
      <c r="O25" s="6" t="s">
        <v>4417</v>
      </c>
      <c r="Q25" s="10" t="s">
        <v>2039</v>
      </c>
      <c r="R25" s="10">
        <v>104</v>
      </c>
      <c r="S25" s="10">
        <v>109</v>
      </c>
      <c r="T25" s="10">
        <f t="shared" si="1"/>
        <v>106.5</v>
      </c>
      <c r="U25" s="11"/>
      <c r="V25" s="8">
        <v>-2.8679890993118287</v>
      </c>
      <c r="W25" s="8">
        <v>-22.921872465133667</v>
      </c>
      <c r="X25" s="8">
        <f t="shared" si="0"/>
        <v>2.2040329360962119E-2</v>
      </c>
    </row>
    <row r="26" spans="1:24" s="6" customFormat="1" x14ac:dyDescent="0.35">
      <c r="A26" s="6" t="s">
        <v>25</v>
      </c>
      <c r="B26" s="7" t="s">
        <v>2040</v>
      </c>
      <c r="D26" s="6" t="s">
        <v>2041</v>
      </c>
      <c r="E26" s="6">
        <v>4</v>
      </c>
      <c r="F26" s="6">
        <v>47</v>
      </c>
      <c r="G26" s="6" t="s">
        <v>1978</v>
      </c>
      <c r="I26" s="8">
        <v>81.037749722222202</v>
      </c>
      <c r="J26" s="8">
        <v>0.36575368055555602</v>
      </c>
      <c r="K26" s="6" t="s">
        <v>4450</v>
      </c>
      <c r="L26" s="9">
        <v>44030</v>
      </c>
      <c r="N26" s="6">
        <v>42</v>
      </c>
      <c r="O26" s="6" t="s">
        <v>4417</v>
      </c>
      <c r="Q26" s="10" t="s">
        <v>2042</v>
      </c>
      <c r="R26" s="10">
        <v>129</v>
      </c>
      <c r="S26" s="10">
        <v>135</v>
      </c>
      <c r="T26" s="10">
        <f t="shared" si="1"/>
        <v>132</v>
      </c>
      <c r="U26" s="11"/>
      <c r="V26" s="8">
        <v>-8.2224896381378194</v>
      </c>
      <c r="W26" s="8">
        <v>-62.554859573364254</v>
      </c>
      <c r="X26" s="8">
        <f t="shared" si="0"/>
        <v>3.225057531738301</v>
      </c>
    </row>
    <row r="27" spans="1:24" s="6" customFormat="1" x14ac:dyDescent="0.35">
      <c r="A27" s="6" t="s">
        <v>25</v>
      </c>
      <c r="B27" s="7" t="s">
        <v>2043</v>
      </c>
      <c r="D27" s="6" t="s">
        <v>2044</v>
      </c>
      <c r="E27" s="6">
        <v>4</v>
      </c>
      <c r="F27" s="6">
        <v>47</v>
      </c>
      <c r="G27" s="6" t="s">
        <v>1978</v>
      </c>
      <c r="I27" s="8">
        <v>81.037749722222202</v>
      </c>
      <c r="J27" s="8">
        <v>0.36575368055555602</v>
      </c>
      <c r="K27" s="6" t="s">
        <v>4450</v>
      </c>
      <c r="L27" s="9">
        <v>44030</v>
      </c>
      <c r="N27" s="6">
        <v>42</v>
      </c>
      <c r="O27" s="6" t="s">
        <v>4417</v>
      </c>
      <c r="Q27" s="10" t="s">
        <v>2045</v>
      </c>
      <c r="R27" s="10">
        <v>45</v>
      </c>
      <c r="S27" s="10">
        <v>49</v>
      </c>
      <c r="T27" s="10">
        <f t="shared" si="1"/>
        <v>47</v>
      </c>
      <c r="U27" s="11"/>
      <c r="V27" s="8">
        <v>0.1664268161475656</v>
      </c>
      <c r="W27" s="8">
        <v>1.7896814591884618</v>
      </c>
      <c r="X27" s="8">
        <f t="shared" si="0"/>
        <v>0.45826693000793695</v>
      </c>
    </row>
    <row r="28" spans="1:24" s="6" customFormat="1" x14ac:dyDescent="0.35">
      <c r="A28" s="6" t="s">
        <v>25</v>
      </c>
      <c r="B28" s="6" t="s">
        <v>2046</v>
      </c>
      <c r="D28" s="6" t="s">
        <v>2047</v>
      </c>
      <c r="E28" s="6">
        <v>4</v>
      </c>
      <c r="F28" s="6">
        <v>47</v>
      </c>
      <c r="G28" s="6" t="s">
        <v>2048</v>
      </c>
      <c r="I28" s="8">
        <v>81.037749722222202</v>
      </c>
      <c r="J28" s="8">
        <v>0.36575368055555602</v>
      </c>
      <c r="K28" s="6" t="s">
        <v>4450</v>
      </c>
      <c r="L28" s="9">
        <v>44030</v>
      </c>
      <c r="N28" s="6">
        <v>42</v>
      </c>
      <c r="O28" s="6" t="s">
        <v>4417</v>
      </c>
      <c r="Q28" s="6" t="s">
        <v>1986</v>
      </c>
      <c r="T28" s="10"/>
      <c r="U28" s="6">
        <v>0.7</v>
      </c>
      <c r="V28" s="8">
        <v>-2.4419336992502219</v>
      </c>
      <c r="W28" s="8">
        <v>-19.837300658226013</v>
      </c>
      <c r="X28" s="8">
        <f t="shared" si="0"/>
        <v>-0.30183106422423833</v>
      </c>
    </row>
    <row r="29" spans="1:24" s="6" customFormat="1" x14ac:dyDescent="0.35">
      <c r="A29" s="6" t="s">
        <v>25</v>
      </c>
      <c r="B29" s="7" t="s">
        <v>398</v>
      </c>
      <c r="D29" s="6" t="s">
        <v>399</v>
      </c>
      <c r="E29" s="6">
        <v>4</v>
      </c>
      <c r="F29" s="6">
        <v>48</v>
      </c>
      <c r="G29" s="6" t="s">
        <v>400</v>
      </c>
      <c r="I29" s="8">
        <v>80.754295347222197</v>
      </c>
      <c r="J29" s="8">
        <v>-0.488818958333333</v>
      </c>
      <c r="K29" s="6" t="s">
        <v>4450</v>
      </c>
      <c r="L29" s="9">
        <v>44032</v>
      </c>
      <c r="N29" s="6">
        <v>43</v>
      </c>
      <c r="O29" s="6" t="s">
        <v>4403</v>
      </c>
      <c r="Q29" s="10" t="s">
        <v>401</v>
      </c>
      <c r="R29" s="10"/>
      <c r="S29" s="10"/>
      <c r="T29" s="10"/>
      <c r="U29" s="11"/>
      <c r="V29" s="8">
        <v>-6.5391321358680718</v>
      </c>
      <c r="W29" s="8">
        <v>-49.155474998474119</v>
      </c>
      <c r="X29" s="8">
        <f t="shared" si="0"/>
        <v>3.1575820884704555</v>
      </c>
    </row>
    <row r="30" spans="1:24" s="6" customFormat="1" x14ac:dyDescent="0.35">
      <c r="A30" s="6" t="s">
        <v>25</v>
      </c>
      <c r="B30" s="7" t="s">
        <v>2195</v>
      </c>
      <c r="D30" s="6" t="s">
        <v>2196</v>
      </c>
      <c r="E30" s="6">
        <v>4</v>
      </c>
      <c r="F30" s="6">
        <v>48</v>
      </c>
      <c r="G30" s="6" t="s">
        <v>2197</v>
      </c>
      <c r="I30" s="8">
        <v>80.754295347222197</v>
      </c>
      <c r="J30" s="8">
        <v>-0.488818958333333</v>
      </c>
      <c r="K30" s="6" t="s">
        <v>4450</v>
      </c>
      <c r="L30" s="9">
        <v>44032</v>
      </c>
      <c r="N30" s="6">
        <v>43</v>
      </c>
      <c r="O30" s="6" t="s">
        <v>4403</v>
      </c>
      <c r="Q30" s="10" t="s">
        <v>1986</v>
      </c>
      <c r="R30" s="10"/>
      <c r="S30" s="10"/>
      <c r="T30" s="10"/>
      <c r="U30" s="11"/>
      <c r="V30" s="8">
        <v>-6.2698060741424566</v>
      </c>
      <c r="W30" s="8">
        <v>-48.610915140151981</v>
      </c>
      <c r="X30" s="8">
        <f t="shared" si="0"/>
        <v>1.5475334529876719</v>
      </c>
    </row>
    <row r="31" spans="1:24" s="6" customFormat="1" x14ac:dyDescent="0.35">
      <c r="A31" s="6" t="s">
        <v>25</v>
      </c>
      <c r="B31" s="7" t="s">
        <v>2198</v>
      </c>
      <c r="D31" s="6" t="s">
        <v>2199</v>
      </c>
      <c r="E31" s="6">
        <v>4</v>
      </c>
      <c r="F31" s="6">
        <v>48</v>
      </c>
      <c r="G31" s="6" t="s">
        <v>2200</v>
      </c>
      <c r="I31" s="8">
        <v>80.606701388888894</v>
      </c>
      <c r="J31" s="8">
        <v>-0.56539812499999997</v>
      </c>
      <c r="K31" s="6" t="s">
        <v>4450</v>
      </c>
      <c r="L31" s="9">
        <v>44033</v>
      </c>
      <c r="N31" s="6">
        <v>43</v>
      </c>
      <c r="O31" s="6" t="s">
        <v>4395</v>
      </c>
      <c r="Q31" s="10" t="s">
        <v>401</v>
      </c>
      <c r="R31" s="10"/>
      <c r="S31" s="10"/>
      <c r="T31" s="10"/>
      <c r="U31" s="11"/>
      <c r="V31" s="8">
        <v>-5.9390551702499401</v>
      </c>
      <c r="W31" s="8">
        <v>-44.378786800384518</v>
      </c>
      <c r="X31" s="8">
        <f t="shared" si="0"/>
        <v>3.1336545616150033</v>
      </c>
    </row>
    <row r="32" spans="1:24" s="6" customFormat="1" x14ac:dyDescent="0.35">
      <c r="A32" s="6" t="s">
        <v>25</v>
      </c>
      <c r="B32" s="7" t="s">
        <v>2201</v>
      </c>
      <c r="D32" s="6" t="s">
        <v>2202</v>
      </c>
      <c r="E32" s="6">
        <v>4</v>
      </c>
      <c r="F32" s="6">
        <v>48</v>
      </c>
      <c r="G32" s="6" t="s">
        <v>1985</v>
      </c>
      <c r="I32" s="8">
        <v>80.606701388888894</v>
      </c>
      <c r="J32" s="8">
        <v>-0.56539812499999997</v>
      </c>
      <c r="K32" s="6" t="s">
        <v>4450</v>
      </c>
      <c r="L32" s="9">
        <v>44033</v>
      </c>
      <c r="N32" s="6">
        <v>43</v>
      </c>
      <c r="O32" s="6" t="s">
        <v>4395</v>
      </c>
      <c r="Q32" s="10" t="s">
        <v>1986</v>
      </c>
      <c r="R32" s="10"/>
      <c r="S32" s="10"/>
      <c r="T32" s="10"/>
      <c r="U32" s="11"/>
      <c r="V32" s="8">
        <v>-5.8798928787231448</v>
      </c>
      <c r="W32" s="8">
        <v>-45.067511764526365</v>
      </c>
      <c r="X32" s="8">
        <f t="shared" si="0"/>
        <v>1.9716312652587931</v>
      </c>
    </row>
    <row r="33" spans="1:24" s="6" customFormat="1" x14ac:dyDescent="0.35">
      <c r="A33" s="6" t="s">
        <v>25</v>
      </c>
      <c r="B33" s="7" t="s">
        <v>2203</v>
      </c>
      <c r="D33" s="6" t="s">
        <v>2204</v>
      </c>
      <c r="E33" s="6">
        <v>4</v>
      </c>
      <c r="F33" s="6">
        <v>48</v>
      </c>
      <c r="G33" s="6" t="s">
        <v>2200</v>
      </c>
      <c r="I33" s="8">
        <v>80.606701388888894</v>
      </c>
      <c r="J33" s="8">
        <v>-0.56539812499999997</v>
      </c>
      <c r="K33" s="6" t="s">
        <v>4450</v>
      </c>
      <c r="L33" s="9">
        <v>44033</v>
      </c>
      <c r="N33" s="6">
        <v>43</v>
      </c>
      <c r="O33" s="6" t="s">
        <v>4395</v>
      </c>
      <c r="Q33" s="10" t="s">
        <v>401</v>
      </c>
      <c r="R33" s="10"/>
      <c r="S33" s="10"/>
      <c r="T33" s="10"/>
      <c r="U33" s="11"/>
      <c r="V33" s="8">
        <v>-5.777852215480805</v>
      </c>
      <c r="W33" s="8">
        <v>-44.07487102508545</v>
      </c>
      <c r="X33" s="8">
        <f t="shared" si="0"/>
        <v>2.1479466987609896</v>
      </c>
    </row>
    <row r="34" spans="1:24" s="6" customFormat="1" x14ac:dyDescent="0.35">
      <c r="A34" s="6" t="s">
        <v>25</v>
      </c>
      <c r="B34" s="7" t="s">
        <v>2205</v>
      </c>
      <c r="D34" s="6" t="s">
        <v>2206</v>
      </c>
      <c r="E34" s="6">
        <v>4</v>
      </c>
      <c r="F34" s="6">
        <v>48</v>
      </c>
      <c r="G34" s="6" t="s">
        <v>2197</v>
      </c>
      <c r="I34" s="8">
        <v>80.606701388888894</v>
      </c>
      <c r="J34" s="8">
        <v>-0.56539812499999997</v>
      </c>
      <c r="K34" s="6" t="s">
        <v>4450</v>
      </c>
      <c r="L34" s="9">
        <v>44033</v>
      </c>
      <c r="N34" s="6">
        <v>43</v>
      </c>
      <c r="O34" s="6" t="s">
        <v>4395</v>
      </c>
      <c r="Q34" s="10" t="s">
        <v>1986</v>
      </c>
      <c r="R34" s="10"/>
      <c r="S34" s="10"/>
      <c r="T34" s="10"/>
      <c r="U34" s="11"/>
      <c r="V34" s="8">
        <v>-7.4216524049758901</v>
      </c>
      <c r="W34" s="8">
        <v>-57.229990478515631</v>
      </c>
      <c r="X34" s="8">
        <f t="shared" ref="X34:X65" si="2">W34-(8*V34)</f>
        <v>2.1432287612914891</v>
      </c>
    </row>
    <row r="35" spans="1:24" s="6" customFormat="1" x14ac:dyDescent="0.35">
      <c r="A35" s="6" t="s">
        <v>25</v>
      </c>
      <c r="B35" s="6" t="s">
        <v>2283</v>
      </c>
      <c r="D35" s="6" t="s">
        <v>2284</v>
      </c>
      <c r="E35" s="6">
        <v>5</v>
      </c>
      <c r="F35" s="6">
        <v>59</v>
      </c>
      <c r="G35" s="6" t="s">
        <v>2285</v>
      </c>
      <c r="I35" s="8">
        <v>88.042061249999989</v>
      </c>
      <c r="J35" s="8">
        <v>108.87760618055556</v>
      </c>
      <c r="K35" s="6" t="s">
        <v>4450</v>
      </c>
      <c r="L35" s="9">
        <v>44071</v>
      </c>
      <c r="N35" s="6">
        <v>49</v>
      </c>
      <c r="O35" s="6" t="s">
        <v>4392</v>
      </c>
      <c r="T35" s="10"/>
      <c r="U35" s="6">
        <v>0</v>
      </c>
      <c r="V35" s="8">
        <v>-4.9010649195909508</v>
      </c>
      <c r="W35" s="8">
        <v>-39.021008266448973</v>
      </c>
      <c r="X35" s="8">
        <f t="shared" si="2"/>
        <v>0.18751109027863322</v>
      </c>
    </row>
    <row r="36" spans="1:24" s="6" customFormat="1" x14ac:dyDescent="0.35">
      <c r="A36" s="6" t="s">
        <v>25</v>
      </c>
      <c r="B36" s="6" t="s">
        <v>2286</v>
      </c>
      <c r="D36" s="6" t="s">
        <v>2287</v>
      </c>
      <c r="E36" s="6">
        <v>5</v>
      </c>
      <c r="F36" s="6">
        <v>59</v>
      </c>
      <c r="G36" s="6" t="s">
        <v>2288</v>
      </c>
      <c r="I36" s="8">
        <v>88.042061249999989</v>
      </c>
      <c r="J36" s="8">
        <v>108.87760618055556</v>
      </c>
      <c r="K36" s="6" t="s">
        <v>4450</v>
      </c>
      <c r="L36" s="9">
        <v>44071</v>
      </c>
      <c r="N36" s="6">
        <v>49</v>
      </c>
      <c r="O36" s="6" t="s">
        <v>4392</v>
      </c>
      <c r="T36" s="10"/>
      <c r="U36" s="6">
        <v>0</v>
      </c>
      <c r="V36" s="8">
        <v>-5.7462437355518343</v>
      </c>
      <c r="W36" s="8">
        <v>-42.874226033020015</v>
      </c>
      <c r="X36" s="8">
        <f t="shared" si="2"/>
        <v>3.0957238513946592</v>
      </c>
    </row>
    <row r="37" spans="1:24" s="6" customFormat="1" x14ac:dyDescent="0.35">
      <c r="A37" s="6" t="s">
        <v>25</v>
      </c>
      <c r="B37" s="6" t="s">
        <v>2341</v>
      </c>
      <c r="D37" s="6" t="s">
        <v>2342</v>
      </c>
      <c r="E37" s="6">
        <v>5</v>
      </c>
      <c r="F37" s="6">
        <v>60</v>
      </c>
      <c r="G37" s="6" t="s">
        <v>2343</v>
      </c>
      <c r="I37" s="8">
        <v>88.299658402777794</v>
      </c>
      <c r="J37" s="8">
        <v>114.11509069444401</v>
      </c>
      <c r="K37" s="6" t="s">
        <v>4450</v>
      </c>
      <c r="L37" s="9">
        <v>44074</v>
      </c>
      <c r="N37" s="6">
        <v>50</v>
      </c>
      <c r="O37" s="6" t="s">
        <v>4396</v>
      </c>
      <c r="T37" s="10"/>
      <c r="U37" s="6">
        <v>3</v>
      </c>
      <c r="V37" s="8">
        <v>-3.2222785589933398</v>
      </c>
      <c r="W37" s="8">
        <v>-25.16416170501709</v>
      </c>
      <c r="X37" s="8">
        <f t="shared" si="2"/>
        <v>0.61406676692962847</v>
      </c>
    </row>
    <row r="38" spans="1:24" s="6" customFormat="1" x14ac:dyDescent="0.35">
      <c r="A38" s="6" t="s">
        <v>25</v>
      </c>
      <c r="B38" s="6" t="s">
        <v>2344</v>
      </c>
      <c r="D38" s="6" t="s">
        <v>2345</v>
      </c>
      <c r="E38" s="6">
        <v>5</v>
      </c>
      <c r="F38" s="6">
        <v>60</v>
      </c>
      <c r="G38" s="6" t="s">
        <v>2346</v>
      </c>
      <c r="I38" s="8">
        <v>88.359878750000021</v>
      </c>
      <c r="J38" s="8">
        <v>115.76352923611108</v>
      </c>
      <c r="K38" s="6" t="s">
        <v>4450</v>
      </c>
      <c r="L38" s="9">
        <v>44075</v>
      </c>
      <c r="N38" s="6">
        <v>50</v>
      </c>
      <c r="O38" s="6" t="s">
        <v>4394</v>
      </c>
      <c r="T38" s="10"/>
      <c r="U38" s="6">
        <v>0</v>
      </c>
      <c r="V38" s="8">
        <v>-2.6405577554941178</v>
      </c>
      <c r="W38" s="8">
        <v>-21.725085628509518</v>
      </c>
      <c r="X38" s="8">
        <f t="shared" si="2"/>
        <v>-0.60062358455657616</v>
      </c>
    </row>
    <row r="39" spans="1:24" s="6" customFormat="1" x14ac:dyDescent="0.35">
      <c r="A39" s="6" t="s">
        <v>25</v>
      </c>
      <c r="B39" s="6" t="s">
        <v>2356</v>
      </c>
      <c r="D39" s="6" t="s">
        <v>2357</v>
      </c>
      <c r="E39" s="6">
        <v>5</v>
      </c>
      <c r="F39" s="6">
        <v>60</v>
      </c>
      <c r="G39" s="6" t="s">
        <v>2358</v>
      </c>
      <c r="I39" s="8">
        <v>88.451552013888843</v>
      </c>
      <c r="J39" s="8">
        <v>117.87424222222229</v>
      </c>
      <c r="K39" s="6" t="s">
        <v>4450</v>
      </c>
      <c r="L39" s="9">
        <v>44076</v>
      </c>
      <c r="N39" s="6">
        <v>50</v>
      </c>
      <c r="O39" s="6" t="s">
        <v>4398</v>
      </c>
      <c r="T39" s="10"/>
      <c r="U39" s="6">
        <v>0.8</v>
      </c>
      <c r="V39" s="8">
        <v>-2.8167738999366758</v>
      </c>
      <c r="W39" s="8">
        <v>-21.632470058441164</v>
      </c>
      <c r="X39" s="8">
        <f t="shared" si="2"/>
        <v>0.9017211410522421</v>
      </c>
    </row>
    <row r="40" spans="1:24" s="6" customFormat="1" x14ac:dyDescent="0.35">
      <c r="A40" s="6" t="s">
        <v>25</v>
      </c>
      <c r="B40" s="6" t="s">
        <v>2359</v>
      </c>
      <c r="D40" s="6" t="s">
        <v>2360</v>
      </c>
      <c r="E40" s="6">
        <v>5</v>
      </c>
      <c r="F40" s="6">
        <v>60</v>
      </c>
      <c r="G40" s="6" t="s">
        <v>2358</v>
      </c>
      <c r="I40" s="8">
        <v>88.451552013888843</v>
      </c>
      <c r="J40" s="8">
        <v>117.87424222222229</v>
      </c>
      <c r="K40" s="6" t="s">
        <v>4450</v>
      </c>
      <c r="L40" s="9">
        <v>44076</v>
      </c>
      <c r="N40" s="6">
        <v>50</v>
      </c>
      <c r="O40" s="6" t="s">
        <v>4398</v>
      </c>
      <c r="T40" s="10"/>
      <c r="U40" s="6">
        <v>24.4</v>
      </c>
      <c r="V40" s="8">
        <v>-1.6404606485158202</v>
      </c>
      <c r="W40" s="8">
        <v>-11.161598630905152</v>
      </c>
      <c r="X40" s="8">
        <f t="shared" si="2"/>
        <v>1.9620865572214097</v>
      </c>
    </row>
    <row r="41" spans="1:24" s="6" customFormat="1" x14ac:dyDescent="0.35">
      <c r="A41" s="6" t="s">
        <v>25</v>
      </c>
      <c r="B41" s="6" t="s">
        <v>2361</v>
      </c>
      <c r="D41" s="6" t="s">
        <v>2362</v>
      </c>
      <c r="E41" s="6">
        <v>5</v>
      </c>
      <c r="F41" s="6">
        <v>60</v>
      </c>
      <c r="G41" s="6" t="s">
        <v>2358</v>
      </c>
      <c r="I41" s="8">
        <v>88.451552013888801</v>
      </c>
      <c r="J41" s="8">
        <v>117.87424222222199</v>
      </c>
      <c r="K41" s="6" t="s">
        <v>4450</v>
      </c>
      <c r="L41" s="9">
        <v>44076</v>
      </c>
      <c r="N41" s="6">
        <v>50</v>
      </c>
      <c r="O41" s="6" t="s">
        <v>4398</v>
      </c>
      <c r="T41" s="10"/>
      <c r="U41" s="6">
        <v>29</v>
      </c>
      <c r="V41" s="8">
        <v>-3.1770753981113438</v>
      </c>
      <c r="W41" s="8">
        <v>-23.767661624908449</v>
      </c>
      <c r="X41" s="8">
        <f t="shared" si="2"/>
        <v>1.6489415599823012</v>
      </c>
    </row>
    <row r="42" spans="1:24" s="6" customFormat="1" x14ac:dyDescent="0.35">
      <c r="A42" s="6" t="s">
        <v>25</v>
      </c>
      <c r="B42" s="6" t="s">
        <v>2363</v>
      </c>
      <c r="D42" s="6" t="s">
        <v>2364</v>
      </c>
      <c r="E42" s="6">
        <v>5</v>
      </c>
      <c r="F42" s="6">
        <v>60</v>
      </c>
      <c r="G42" s="6" t="s">
        <v>2358</v>
      </c>
      <c r="I42" s="8">
        <v>88.451552013888801</v>
      </c>
      <c r="J42" s="8">
        <v>117.87424222222199</v>
      </c>
      <c r="K42" s="6" t="s">
        <v>4450</v>
      </c>
      <c r="L42" s="9">
        <v>44076</v>
      </c>
      <c r="N42" s="6">
        <v>50</v>
      </c>
      <c r="O42" s="6" t="s">
        <v>4398</v>
      </c>
      <c r="T42" s="10"/>
      <c r="U42" s="6">
        <v>6.5</v>
      </c>
      <c r="V42" s="8">
        <v>-2.3552409799337393</v>
      </c>
      <c r="W42" s="8">
        <v>-18.620346497535706</v>
      </c>
      <c r="X42" s="8">
        <f t="shared" si="2"/>
        <v>0.22158134193420764</v>
      </c>
    </row>
    <row r="43" spans="1:24" s="6" customFormat="1" x14ac:dyDescent="0.35">
      <c r="A43" s="6" t="s">
        <v>25</v>
      </c>
      <c r="B43" s="6" t="s">
        <v>2365</v>
      </c>
      <c r="D43" s="6" t="s">
        <v>2366</v>
      </c>
      <c r="E43" s="6">
        <v>5</v>
      </c>
      <c r="F43" s="6">
        <v>60</v>
      </c>
      <c r="G43" s="6" t="s">
        <v>2358</v>
      </c>
      <c r="I43" s="8">
        <v>88.451552013888801</v>
      </c>
      <c r="J43" s="8">
        <v>117.87424222222199</v>
      </c>
      <c r="K43" s="6" t="s">
        <v>4450</v>
      </c>
      <c r="L43" s="9">
        <v>44076</v>
      </c>
      <c r="N43" s="6">
        <v>50</v>
      </c>
      <c r="O43" s="6" t="s">
        <v>4398</v>
      </c>
      <c r="T43" s="10"/>
      <c r="U43" s="6">
        <v>7.5</v>
      </c>
      <c r="V43" s="8">
        <v>-2.3328749618172644</v>
      </c>
      <c r="W43" s="8">
        <v>-18.040025223731995</v>
      </c>
      <c r="X43" s="8">
        <f t="shared" si="2"/>
        <v>0.62297447080612045</v>
      </c>
    </row>
    <row r="44" spans="1:24" s="6" customFormat="1" x14ac:dyDescent="0.35">
      <c r="A44" s="6" t="s">
        <v>25</v>
      </c>
      <c r="B44" s="6" t="s">
        <v>2367</v>
      </c>
      <c r="D44" s="6" t="s">
        <v>2368</v>
      </c>
      <c r="E44" s="6">
        <v>5</v>
      </c>
      <c r="F44" s="6">
        <v>60</v>
      </c>
      <c r="G44" s="6" t="s">
        <v>2369</v>
      </c>
      <c r="I44" s="8">
        <v>88.451552013888801</v>
      </c>
      <c r="J44" s="8">
        <v>117.87424222222199</v>
      </c>
      <c r="K44" s="6" t="s">
        <v>4450</v>
      </c>
      <c r="L44" s="9">
        <v>44076</v>
      </c>
      <c r="N44" s="6">
        <v>50</v>
      </c>
      <c r="O44" s="6" t="s">
        <v>4398</v>
      </c>
      <c r="T44" s="10"/>
      <c r="U44" s="6">
        <v>0</v>
      </c>
      <c r="V44" s="8">
        <v>-4.9379301538467413</v>
      </c>
      <c r="W44" s="8">
        <v>-36.963003845214843</v>
      </c>
      <c r="X44" s="8">
        <f t="shared" si="2"/>
        <v>2.5404373855590876</v>
      </c>
    </row>
    <row r="45" spans="1:24" s="6" customFormat="1" x14ac:dyDescent="0.35">
      <c r="A45" s="6" t="s">
        <v>25</v>
      </c>
      <c r="B45" s="6" t="s">
        <v>2407</v>
      </c>
      <c r="D45" s="6" t="s">
        <v>2408</v>
      </c>
      <c r="E45" s="6">
        <v>5</v>
      </c>
      <c r="F45" s="6">
        <v>61</v>
      </c>
      <c r="G45" s="6" t="s">
        <v>2409</v>
      </c>
      <c r="I45" s="8">
        <v>88.722359513888875</v>
      </c>
      <c r="J45" s="8">
        <v>111.1908485416667</v>
      </c>
      <c r="K45" s="6" t="s">
        <v>4450</v>
      </c>
      <c r="L45" s="9">
        <v>44083</v>
      </c>
      <c r="N45" s="6">
        <v>51</v>
      </c>
      <c r="O45" s="6" t="s">
        <v>4436</v>
      </c>
      <c r="T45" s="10"/>
      <c r="U45" s="6">
        <v>5.0999999999999996</v>
      </c>
      <c r="V45" s="8">
        <v>-2.3417473969459541</v>
      </c>
      <c r="W45" s="8">
        <v>-16.112235500335693</v>
      </c>
      <c r="X45" s="8">
        <f t="shared" si="2"/>
        <v>2.6217436752319401</v>
      </c>
    </row>
    <row r="46" spans="1:24" s="6" customFormat="1" x14ac:dyDescent="0.35">
      <c r="A46" s="6" t="s">
        <v>25</v>
      </c>
      <c r="B46" s="6" t="s">
        <v>2410</v>
      </c>
      <c r="D46" s="6" t="s">
        <v>2411</v>
      </c>
      <c r="E46" s="6">
        <v>5</v>
      </c>
      <c r="F46" s="6">
        <v>61</v>
      </c>
      <c r="G46" s="6" t="s">
        <v>2412</v>
      </c>
      <c r="I46" s="8">
        <v>88.722359513888875</v>
      </c>
      <c r="J46" s="8">
        <v>111.1908485416667</v>
      </c>
      <c r="K46" s="6" t="s">
        <v>4450</v>
      </c>
      <c r="L46" s="9">
        <v>44083</v>
      </c>
      <c r="N46" s="6">
        <v>51</v>
      </c>
      <c r="O46" s="6" t="s">
        <v>4436</v>
      </c>
      <c r="T46" s="10"/>
      <c r="U46" s="6">
        <v>2.9</v>
      </c>
      <c r="V46" s="8">
        <v>-2.5236380381584169</v>
      </c>
      <c r="W46" s="8">
        <v>-18.140043548583986</v>
      </c>
      <c r="X46" s="8">
        <f t="shared" si="2"/>
        <v>2.0490607566833496</v>
      </c>
    </row>
    <row r="47" spans="1:24" s="6" customFormat="1" x14ac:dyDescent="0.35">
      <c r="A47" s="6" t="s">
        <v>25</v>
      </c>
      <c r="B47" s="6" t="s">
        <v>2413</v>
      </c>
      <c r="D47" s="6" t="s">
        <v>2414</v>
      </c>
      <c r="E47" s="6">
        <v>5</v>
      </c>
      <c r="F47" s="6">
        <v>61</v>
      </c>
      <c r="G47" s="6" t="s">
        <v>2415</v>
      </c>
      <c r="I47" s="8">
        <v>88.722359513888904</v>
      </c>
      <c r="J47" s="8">
        <v>111.19084854166699</v>
      </c>
      <c r="K47" s="6" t="s">
        <v>4450</v>
      </c>
      <c r="L47" s="9">
        <v>44083</v>
      </c>
      <c r="N47" s="6">
        <v>51</v>
      </c>
      <c r="O47" s="6" t="s">
        <v>4436</v>
      </c>
      <c r="T47" s="10"/>
      <c r="U47" s="6">
        <v>0.2</v>
      </c>
      <c r="V47" s="8">
        <v>-1.7753955185222621</v>
      </c>
      <c r="W47" s="8">
        <v>-12.408706993103028</v>
      </c>
      <c r="X47" s="8">
        <f t="shared" si="2"/>
        <v>1.7944571550750688</v>
      </c>
    </row>
    <row r="48" spans="1:24" s="6" customFormat="1" x14ac:dyDescent="0.35">
      <c r="A48" s="6" t="s">
        <v>25</v>
      </c>
      <c r="B48" s="6" t="s">
        <v>2416</v>
      </c>
      <c r="D48" s="6" t="s">
        <v>2417</v>
      </c>
      <c r="E48" s="6">
        <v>5</v>
      </c>
      <c r="F48" s="6">
        <v>61</v>
      </c>
      <c r="G48" s="6" t="s">
        <v>2418</v>
      </c>
      <c r="I48" s="8">
        <v>88.722359513888904</v>
      </c>
      <c r="J48" s="8">
        <v>111.19084854166699</v>
      </c>
      <c r="K48" s="6" t="s">
        <v>4450</v>
      </c>
      <c r="L48" s="9">
        <v>44083</v>
      </c>
      <c r="N48" s="6">
        <v>51</v>
      </c>
      <c r="O48" s="6" t="s">
        <v>4436</v>
      </c>
      <c r="T48" s="10"/>
      <c r="U48" s="6">
        <v>4</v>
      </c>
      <c r="V48" s="8">
        <v>-3.1930734541225436</v>
      </c>
      <c r="W48" s="8">
        <v>-22.911508941650389</v>
      </c>
      <c r="X48" s="8">
        <f t="shared" si="2"/>
        <v>2.6330786913299598</v>
      </c>
    </row>
    <row r="49" spans="1:25" s="6" customFormat="1" x14ac:dyDescent="0.35">
      <c r="A49" s="6" t="s">
        <v>25</v>
      </c>
      <c r="B49" s="6" t="s">
        <v>2419</v>
      </c>
      <c r="D49" s="6" t="s">
        <v>2420</v>
      </c>
      <c r="E49" s="6">
        <v>5</v>
      </c>
      <c r="F49" s="6">
        <v>61</v>
      </c>
      <c r="G49" s="6" t="s">
        <v>2421</v>
      </c>
      <c r="I49" s="8">
        <v>88.722359513888904</v>
      </c>
      <c r="J49" s="8">
        <v>111.19084854166699</v>
      </c>
      <c r="K49" s="6" t="s">
        <v>4450</v>
      </c>
      <c r="L49" s="9">
        <v>44083</v>
      </c>
      <c r="N49" s="6">
        <v>51</v>
      </c>
      <c r="O49" s="6" t="s">
        <v>4436</v>
      </c>
      <c r="T49" s="10"/>
      <c r="U49" s="6">
        <v>3.7</v>
      </c>
      <c r="V49" s="8">
        <v>-2.2850872247028353</v>
      </c>
      <c r="W49" s="8">
        <v>-15.55744017791748</v>
      </c>
      <c r="X49" s="8">
        <f t="shared" si="2"/>
        <v>2.723257619705203</v>
      </c>
    </row>
    <row r="50" spans="1:25" s="6" customFormat="1" x14ac:dyDescent="0.35">
      <c r="A50" s="6" t="s">
        <v>25</v>
      </c>
      <c r="B50" s="6" t="s">
        <v>2422</v>
      </c>
      <c r="D50" s="6" t="s">
        <v>2423</v>
      </c>
      <c r="E50" s="6">
        <v>5</v>
      </c>
      <c r="F50" s="6">
        <v>61</v>
      </c>
      <c r="G50" s="6" t="s">
        <v>2424</v>
      </c>
      <c r="I50" s="8">
        <v>88.722359513888904</v>
      </c>
      <c r="J50" s="8">
        <v>111.19084854166699</v>
      </c>
      <c r="K50" s="6" t="s">
        <v>4450</v>
      </c>
      <c r="L50" s="9">
        <v>44083</v>
      </c>
      <c r="N50" s="6">
        <v>51</v>
      </c>
      <c r="O50" s="6" t="s">
        <v>4436</v>
      </c>
      <c r="T50" s="10"/>
      <c r="U50" s="6">
        <v>10.7</v>
      </c>
      <c r="V50" s="8">
        <v>-1.7447041061925885</v>
      </c>
      <c r="W50" s="8">
        <v>-12.14357176208496</v>
      </c>
      <c r="X50" s="8">
        <f t="shared" si="2"/>
        <v>1.8140610874557481</v>
      </c>
    </row>
    <row r="51" spans="1:25" s="6" customFormat="1" x14ac:dyDescent="0.35">
      <c r="A51" s="6" t="s">
        <v>25</v>
      </c>
      <c r="B51" s="6" t="s">
        <v>2425</v>
      </c>
      <c r="D51" s="6" t="s">
        <v>2426</v>
      </c>
      <c r="E51" s="6">
        <v>5</v>
      </c>
      <c r="F51" s="6">
        <v>61</v>
      </c>
      <c r="G51" s="6" t="s">
        <v>2427</v>
      </c>
      <c r="I51" s="8">
        <v>88.722359513888904</v>
      </c>
      <c r="J51" s="8">
        <v>111.19084854166699</v>
      </c>
      <c r="K51" s="6" t="s">
        <v>4450</v>
      </c>
      <c r="L51" s="9">
        <v>44083</v>
      </c>
      <c r="N51" s="6">
        <v>51</v>
      </c>
      <c r="O51" s="6" t="s">
        <v>4436</v>
      </c>
      <c r="T51" s="10"/>
      <c r="U51" s="6">
        <v>11.2</v>
      </c>
      <c r="V51" s="8">
        <v>-1.7637827569055557</v>
      </c>
      <c r="W51" s="8">
        <v>-11.624226333618164</v>
      </c>
      <c r="X51" s="8">
        <f t="shared" si="2"/>
        <v>2.4860357216262816</v>
      </c>
    </row>
    <row r="52" spans="1:25" s="6" customFormat="1" x14ac:dyDescent="0.35">
      <c r="A52" s="6" t="s">
        <v>25</v>
      </c>
      <c r="B52" s="6" t="s">
        <v>2428</v>
      </c>
      <c r="D52" s="6" t="s">
        <v>2429</v>
      </c>
      <c r="E52" s="6">
        <v>5</v>
      </c>
      <c r="F52" s="6">
        <v>61</v>
      </c>
      <c r="G52" s="6" t="s">
        <v>2430</v>
      </c>
      <c r="I52" s="8">
        <v>88.722359513888904</v>
      </c>
      <c r="J52" s="8">
        <v>111.19084854166699</v>
      </c>
      <c r="K52" s="6" t="s">
        <v>4450</v>
      </c>
      <c r="L52" s="9">
        <v>44083</v>
      </c>
      <c r="N52" s="6">
        <v>51</v>
      </c>
      <c r="O52" s="6" t="s">
        <v>4436</v>
      </c>
      <c r="T52" s="10"/>
      <c r="U52" s="6">
        <v>7.8</v>
      </c>
      <c r="V52" s="8">
        <v>-2.3256004626560216</v>
      </c>
      <c r="W52" s="8">
        <v>-16.41851055908203</v>
      </c>
      <c r="X52" s="8">
        <f t="shared" si="2"/>
        <v>2.1862931421661429</v>
      </c>
    </row>
    <row r="53" spans="1:25" s="6" customFormat="1" x14ac:dyDescent="0.35">
      <c r="A53" s="6" t="s">
        <v>25</v>
      </c>
      <c r="B53" s="6" t="s">
        <v>2431</v>
      </c>
      <c r="D53" s="6" t="s">
        <v>2432</v>
      </c>
      <c r="E53" s="6">
        <v>5</v>
      </c>
      <c r="F53" s="6">
        <v>61</v>
      </c>
      <c r="G53" s="6" t="s">
        <v>2433</v>
      </c>
      <c r="I53" s="8">
        <v>88.722359513888904</v>
      </c>
      <c r="J53" s="8">
        <v>111.19084854166699</v>
      </c>
      <c r="K53" s="6" t="s">
        <v>4450</v>
      </c>
      <c r="L53" s="9">
        <v>44083</v>
      </c>
      <c r="N53" s="6">
        <v>51</v>
      </c>
      <c r="O53" s="6" t="s">
        <v>4436</v>
      </c>
      <c r="T53" s="10"/>
      <c r="U53" s="6">
        <v>8.9</v>
      </c>
      <c r="V53" s="8">
        <v>-1.9449482257175441</v>
      </c>
      <c r="W53" s="8">
        <v>-13.695643478393555</v>
      </c>
      <c r="X53" s="8">
        <f t="shared" si="2"/>
        <v>1.8639423273467983</v>
      </c>
    </row>
    <row r="54" spans="1:25" s="6" customFormat="1" x14ac:dyDescent="0.35">
      <c r="A54" s="6" t="s">
        <v>25</v>
      </c>
      <c r="B54" s="6" t="s">
        <v>2434</v>
      </c>
      <c r="D54" s="6" t="s">
        <v>2435</v>
      </c>
      <c r="E54" s="6">
        <v>5</v>
      </c>
      <c r="F54" s="6">
        <v>61</v>
      </c>
      <c r="G54" s="6" t="s">
        <v>2436</v>
      </c>
      <c r="I54" s="8">
        <v>88.722359513888904</v>
      </c>
      <c r="J54" s="8">
        <v>111.19084854166699</v>
      </c>
      <c r="K54" s="6" t="s">
        <v>4450</v>
      </c>
      <c r="L54" s="9">
        <v>44083</v>
      </c>
      <c r="N54" s="6">
        <v>51</v>
      </c>
      <c r="O54" s="6" t="s">
        <v>4436</v>
      </c>
      <c r="T54" s="10"/>
      <c r="U54" s="6">
        <v>9.1</v>
      </c>
      <c r="V54" s="8">
        <v>-1.4501772098350525</v>
      </c>
      <c r="W54" s="8">
        <v>-9.3971129150390631</v>
      </c>
      <c r="X54" s="8">
        <f t="shared" si="2"/>
        <v>2.2043047636413569</v>
      </c>
    </row>
    <row r="55" spans="1:25" s="6" customFormat="1" x14ac:dyDescent="0.35">
      <c r="A55" s="6" t="s">
        <v>25</v>
      </c>
      <c r="B55" s="6" t="s">
        <v>2437</v>
      </c>
      <c r="D55" s="6" t="s">
        <v>2438</v>
      </c>
      <c r="E55" s="6">
        <v>5</v>
      </c>
      <c r="F55" s="6">
        <v>61</v>
      </c>
      <c r="G55" s="6" t="s">
        <v>2439</v>
      </c>
      <c r="I55" s="8">
        <v>88.722359513888904</v>
      </c>
      <c r="J55" s="8">
        <v>111.19084854166699</v>
      </c>
      <c r="K55" s="6" t="s">
        <v>4450</v>
      </c>
      <c r="L55" s="9">
        <v>44083</v>
      </c>
      <c r="N55" s="6">
        <v>51</v>
      </c>
      <c r="O55" s="6" t="s">
        <v>4436</v>
      </c>
      <c r="T55" s="10"/>
      <c r="U55" s="6">
        <v>8.5</v>
      </c>
      <c r="V55" s="8">
        <v>-1.7963523621368414</v>
      </c>
      <c r="W55" s="8">
        <v>-12.648750869750977</v>
      </c>
      <c r="X55" s="8">
        <f t="shared" si="2"/>
        <v>1.7220680273437541</v>
      </c>
    </row>
    <row r="56" spans="1:25" s="6" customFormat="1" x14ac:dyDescent="0.35">
      <c r="A56" s="6" t="s">
        <v>25</v>
      </c>
      <c r="B56" s="6" t="s">
        <v>2440</v>
      </c>
      <c r="D56" s="6" t="s">
        <v>2441</v>
      </c>
      <c r="E56" s="6">
        <v>5</v>
      </c>
      <c r="F56" s="6">
        <v>61</v>
      </c>
      <c r="G56" s="6" t="s">
        <v>2442</v>
      </c>
      <c r="I56" s="8">
        <v>88.722359513888904</v>
      </c>
      <c r="J56" s="8">
        <v>111.19084854166699</v>
      </c>
      <c r="K56" s="6" t="s">
        <v>4450</v>
      </c>
      <c r="L56" s="9">
        <v>44083</v>
      </c>
      <c r="N56" s="6">
        <v>51</v>
      </c>
      <c r="O56" s="6" t="s">
        <v>4436</v>
      </c>
      <c r="T56" s="10"/>
      <c r="U56" s="6">
        <v>4.0999999999999996</v>
      </c>
      <c r="V56" s="8">
        <v>-1.9230166115570064</v>
      </c>
      <c r="W56" s="8">
        <v>-13.020551101684569</v>
      </c>
      <c r="X56" s="8">
        <f t="shared" si="2"/>
        <v>2.363581790771482</v>
      </c>
    </row>
    <row r="57" spans="1:25" s="12" customFormat="1" x14ac:dyDescent="0.35">
      <c r="A57" s="6" t="s">
        <v>25</v>
      </c>
      <c r="B57" s="6" t="s">
        <v>2443</v>
      </c>
      <c r="C57" s="6"/>
      <c r="D57" s="6" t="s">
        <v>2444</v>
      </c>
      <c r="E57" s="6">
        <v>5</v>
      </c>
      <c r="F57" s="6">
        <v>61</v>
      </c>
      <c r="G57" s="6" t="s">
        <v>2445</v>
      </c>
      <c r="H57" s="6"/>
      <c r="I57" s="8">
        <v>88.778702638888888</v>
      </c>
      <c r="J57" s="8">
        <v>100.92500562499998</v>
      </c>
      <c r="K57" s="6" t="s">
        <v>4450</v>
      </c>
      <c r="L57" s="9">
        <v>44086</v>
      </c>
      <c r="M57" s="6"/>
      <c r="N57" s="6">
        <v>51</v>
      </c>
      <c r="O57" s="6" t="s">
        <v>4436</v>
      </c>
      <c r="P57" s="6"/>
      <c r="Q57" s="6"/>
      <c r="R57" s="6">
        <v>0</v>
      </c>
      <c r="S57" s="6">
        <v>10</v>
      </c>
      <c r="T57" s="10">
        <f t="shared" ref="T57:T65" si="3">AVERAGE(R57:S57)</f>
        <v>5</v>
      </c>
      <c r="U57" s="6">
        <v>3.1</v>
      </c>
      <c r="V57" s="8">
        <v>-2.7428651680755616</v>
      </c>
      <c r="W57" s="8">
        <v>-20.503425842285157</v>
      </c>
      <c r="X57" s="8">
        <f t="shared" si="2"/>
        <v>1.4394955023193354</v>
      </c>
      <c r="Y57" s="6"/>
    </row>
    <row r="58" spans="1:25" s="6" customFormat="1" x14ac:dyDescent="0.35">
      <c r="A58" s="6" t="s">
        <v>25</v>
      </c>
      <c r="B58" s="6" t="s">
        <v>2446</v>
      </c>
      <c r="D58" s="6" t="s">
        <v>2447</v>
      </c>
      <c r="E58" s="6">
        <v>5</v>
      </c>
      <c r="F58" s="6">
        <v>61</v>
      </c>
      <c r="G58" s="6" t="s">
        <v>2445</v>
      </c>
      <c r="I58" s="8">
        <v>88.778702638888888</v>
      </c>
      <c r="J58" s="8">
        <v>100.92500562499998</v>
      </c>
      <c r="K58" s="6" t="s">
        <v>4450</v>
      </c>
      <c r="L58" s="9">
        <v>44086</v>
      </c>
      <c r="N58" s="6">
        <v>51</v>
      </c>
      <c r="O58" s="6" t="s">
        <v>4436</v>
      </c>
      <c r="R58" s="6">
        <v>10</v>
      </c>
      <c r="S58" s="6">
        <v>20</v>
      </c>
      <c r="T58" s="10">
        <f t="shared" si="3"/>
        <v>15</v>
      </c>
      <c r="U58" s="6">
        <v>4.2</v>
      </c>
      <c r="V58" s="8">
        <v>-1.8530732092666626</v>
      </c>
      <c r="W58" s="8">
        <v>-13.170230255126953</v>
      </c>
      <c r="X58" s="8">
        <f t="shared" si="2"/>
        <v>1.6543554190063485</v>
      </c>
    </row>
    <row r="59" spans="1:25" s="6" customFormat="1" x14ac:dyDescent="0.35">
      <c r="A59" s="6" t="s">
        <v>25</v>
      </c>
      <c r="B59" s="6" t="s">
        <v>2448</v>
      </c>
      <c r="D59" s="6" t="s">
        <v>2449</v>
      </c>
      <c r="E59" s="6">
        <v>5</v>
      </c>
      <c r="F59" s="6">
        <v>61</v>
      </c>
      <c r="G59" s="6" t="s">
        <v>2445</v>
      </c>
      <c r="I59" s="8">
        <v>88.778702638888888</v>
      </c>
      <c r="J59" s="8">
        <v>100.92500562499998</v>
      </c>
      <c r="K59" s="6" t="s">
        <v>4450</v>
      </c>
      <c r="L59" s="9">
        <v>44086</v>
      </c>
      <c r="N59" s="6">
        <v>51</v>
      </c>
      <c r="O59" s="6" t="s">
        <v>4436</v>
      </c>
      <c r="R59" s="6">
        <v>0</v>
      </c>
      <c r="S59" s="6">
        <v>10</v>
      </c>
      <c r="T59" s="10">
        <f t="shared" si="3"/>
        <v>5</v>
      </c>
      <c r="U59" s="6">
        <v>4.2</v>
      </c>
      <c r="V59" s="8">
        <v>0.28492807017862809</v>
      </c>
      <c r="W59" s="8">
        <v>1.0836181406021113</v>
      </c>
      <c r="X59" s="8">
        <f t="shared" si="2"/>
        <v>-1.1958064208269135</v>
      </c>
    </row>
    <row r="60" spans="1:25" s="6" customFormat="1" x14ac:dyDescent="0.35">
      <c r="A60" s="6" t="s">
        <v>25</v>
      </c>
      <c r="B60" s="6" t="s">
        <v>2450</v>
      </c>
      <c r="D60" s="6" t="s">
        <v>2451</v>
      </c>
      <c r="E60" s="6">
        <v>5</v>
      </c>
      <c r="F60" s="6">
        <v>61</v>
      </c>
      <c r="G60" s="6" t="s">
        <v>2445</v>
      </c>
      <c r="I60" s="8">
        <v>88.778702638888902</v>
      </c>
      <c r="J60" s="8">
        <v>100.925005625</v>
      </c>
      <c r="K60" s="6" t="s">
        <v>4450</v>
      </c>
      <c r="L60" s="9">
        <v>44086</v>
      </c>
      <c r="N60" s="6">
        <v>51</v>
      </c>
      <c r="O60" s="6" t="s">
        <v>4436</v>
      </c>
      <c r="R60" s="6">
        <v>10</v>
      </c>
      <c r="S60" s="6">
        <v>20</v>
      </c>
      <c r="T60" s="10">
        <f t="shared" si="3"/>
        <v>15</v>
      </c>
      <c r="U60" s="6">
        <v>4.0999999999999996</v>
      </c>
      <c r="V60" s="8">
        <v>0.42490755001306535</v>
      </c>
      <c r="W60" s="8">
        <v>1.9561965631484983</v>
      </c>
      <c r="X60" s="8">
        <f t="shared" si="2"/>
        <v>-1.4430638369560245</v>
      </c>
    </row>
    <row r="61" spans="1:25" s="6" customFormat="1" x14ac:dyDescent="0.35">
      <c r="A61" s="6" t="s">
        <v>25</v>
      </c>
      <c r="B61" s="6" t="s">
        <v>2452</v>
      </c>
      <c r="D61" s="6" t="s">
        <v>2453</v>
      </c>
      <c r="E61" s="6">
        <v>5</v>
      </c>
      <c r="F61" s="6">
        <v>61</v>
      </c>
      <c r="G61" s="6" t="s">
        <v>2445</v>
      </c>
      <c r="I61" s="8">
        <v>88.778702638888902</v>
      </c>
      <c r="J61" s="8">
        <v>100.925005625</v>
      </c>
      <c r="K61" s="6" t="s">
        <v>4450</v>
      </c>
      <c r="L61" s="9">
        <v>44086</v>
      </c>
      <c r="N61" s="6">
        <v>51</v>
      </c>
      <c r="O61" s="6" t="s">
        <v>4436</v>
      </c>
      <c r="R61" s="6">
        <v>20</v>
      </c>
      <c r="S61" s="6">
        <v>30</v>
      </c>
      <c r="T61" s="10">
        <f t="shared" si="3"/>
        <v>25</v>
      </c>
      <c r="U61" s="6">
        <v>3.3</v>
      </c>
      <c r="V61" s="8">
        <v>0.49424433917403232</v>
      </c>
      <c r="W61" s="8">
        <v>3.0523560513496397</v>
      </c>
      <c r="X61" s="8">
        <f t="shared" si="2"/>
        <v>-0.90159866204261885</v>
      </c>
    </row>
    <row r="62" spans="1:25" s="6" customFormat="1" x14ac:dyDescent="0.35">
      <c r="A62" s="6" t="s">
        <v>25</v>
      </c>
      <c r="B62" s="6" t="s">
        <v>2454</v>
      </c>
      <c r="D62" s="6" t="s">
        <v>2455</v>
      </c>
      <c r="E62" s="6">
        <v>5</v>
      </c>
      <c r="F62" s="6">
        <v>61</v>
      </c>
      <c r="G62" s="6" t="s">
        <v>2445</v>
      </c>
      <c r="I62" s="8">
        <v>88.778702638888902</v>
      </c>
      <c r="J62" s="8">
        <v>100.925005625</v>
      </c>
      <c r="K62" s="6" t="s">
        <v>4450</v>
      </c>
      <c r="L62" s="9">
        <v>44086</v>
      </c>
      <c r="N62" s="6">
        <v>51</v>
      </c>
      <c r="O62" s="6" t="s">
        <v>4436</v>
      </c>
      <c r="R62" s="6">
        <v>30</v>
      </c>
      <c r="S62" s="6">
        <v>40</v>
      </c>
      <c r="T62" s="10">
        <f t="shared" si="3"/>
        <v>35</v>
      </c>
      <c r="U62" s="6">
        <v>2.1</v>
      </c>
      <c r="V62" s="8">
        <v>0.62304967466592776</v>
      </c>
      <c r="W62" s="8">
        <v>4.223219024205207</v>
      </c>
      <c r="X62" s="8">
        <f t="shared" si="2"/>
        <v>-0.76117837312221504</v>
      </c>
    </row>
    <row r="63" spans="1:25" s="6" customFormat="1" x14ac:dyDescent="0.35">
      <c r="A63" s="6" t="s">
        <v>25</v>
      </c>
      <c r="B63" s="6" t="s">
        <v>2456</v>
      </c>
      <c r="D63" s="6" t="s">
        <v>2457</v>
      </c>
      <c r="E63" s="6">
        <v>5</v>
      </c>
      <c r="F63" s="6">
        <v>61</v>
      </c>
      <c r="G63" s="6" t="s">
        <v>2445</v>
      </c>
      <c r="I63" s="8">
        <v>88.778702638888902</v>
      </c>
      <c r="J63" s="8">
        <v>100.925005625</v>
      </c>
      <c r="K63" s="6" t="s">
        <v>4450</v>
      </c>
      <c r="L63" s="9">
        <v>44086</v>
      </c>
      <c r="N63" s="6">
        <v>51</v>
      </c>
      <c r="O63" s="6" t="s">
        <v>4436</v>
      </c>
      <c r="R63" s="6">
        <v>40</v>
      </c>
      <c r="S63" s="6">
        <v>50</v>
      </c>
      <c r="T63" s="10">
        <f t="shared" si="3"/>
        <v>45</v>
      </c>
      <c r="U63" s="6">
        <v>2.1</v>
      </c>
      <c r="V63" s="8">
        <v>0.58017398736476888</v>
      </c>
      <c r="W63" s="8">
        <v>2.8108957652091977</v>
      </c>
      <c r="X63" s="8">
        <f t="shared" si="2"/>
        <v>-1.8304961337089534</v>
      </c>
    </row>
    <row r="64" spans="1:25" s="6" customFormat="1" x14ac:dyDescent="0.35">
      <c r="A64" s="6" t="s">
        <v>25</v>
      </c>
      <c r="B64" s="6" t="s">
        <v>2458</v>
      </c>
      <c r="D64" s="6" t="s">
        <v>2459</v>
      </c>
      <c r="E64" s="6">
        <v>5</v>
      </c>
      <c r="F64" s="6">
        <v>61</v>
      </c>
      <c r="G64" s="6" t="s">
        <v>2445</v>
      </c>
      <c r="I64" s="8">
        <v>88.778702638888902</v>
      </c>
      <c r="J64" s="8">
        <v>100.925005625</v>
      </c>
      <c r="K64" s="6" t="s">
        <v>4450</v>
      </c>
      <c r="L64" s="9">
        <v>44086</v>
      </c>
      <c r="N64" s="6">
        <v>51</v>
      </c>
      <c r="O64" s="6" t="s">
        <v>4436</v>
      </c>
      <c r="R64" s="6">
        <v>50</v>
      </c>
      <c r="S64" s="6">
        <v>60</v>
      </c>
      <c r="T64" s="10">
        <f t="shared" si="3"/>
        <v>55</v>
      </c>
      <c r="U64" s="6">
        <v>1.6</v>
      </c>
      <c r="V64" s="8">
        <v>0.30032487836927135</v>
      </c>
      <c r="W64" s="8">
        <v>1.9686034832954402</v>
      </c>
      <c r="X64" s="8">
        <f t="shared" si="2"/>
        <v>-0.43399554365873061</v>
      </c>
    </row>
    <row r="65" spans="1:24" s="6" customFormat="1" x14ac:dyDescent="0.35">
      <c r="A65" s="6" t="s">
        <v>25</v>
      </c>
      <c r="B65" s="6" t="s">
        <v>2460</v>
      </c>
      <c r="D65" s="6" t="s">
        <v>2461</v>
      </c>
      <c r="E65" s="6">
        <v>5</v>
      </c>
      <c r="F65" s="6">
        <v>61</v>
      </c>
      <c r="G65" s="6" t="s">
        <v>2445</v>
      </c>
      <c r="I65" s="8">
        <v>88.778702638888902</v>
      </c>
      <c r="J65" s="8">
        <v>100.925005625</v>
      </c>
      <c r="K65" s="6" t="s">
        <v>4450</v>
      </c>
      <c r="L65" s="9">
        <v>44086</v>
      </c>
      <c r="N65" s="6">
        <v>51</v>
      </c>
      <c r="O65" s="6" t="s">
        <v>4436</v>
      </c>
      <c r="R65" s="6">
        <v>60</v>
      </c>
      <c r="S65" s="6">
        <v>70</v>
      </c>
      <c r="T65" s="10">
        <f t="shared" si="3"/>
        <v>65</v>
      </c>
      <c r="U65" s="6">
        <v>1</v>
      </c>
      <c r="V65" s="8">
        <v>-3.3785387312412265</v>
      </c>
      <c r="W65" s="8">
        <v>-28.272163751220702</v>
      </c>
      <c r="X65" s="8">
        <f t="shared" si="2"/>
        <v>-1.2438539012908905</v>
      </c>
    </row>
    <row r="66" spans="1:24" s="6" customFormat="1" x14ac:dyDescent="0.35">
      <c r="A66" s="6" t="s">
        <v>25</v>
      </c>
      <c r="B66" s="6" t="s">
        <v>2462</v>
      </c>
      <c r="D66" s="6" t="s">
        <v>2463</v>
      </c>
      <c r="E66" s="6">
        <v>5</v>
      </c>
      <c r="F66" s="6">
        <v>61</v>
      </c>
      <c r="G66" s="6" t="s">
        <v>2445</v>
      </c>
      <c r="I66" s="8">
        <v>88.778702638888902</v>
      </c>
      <c r="J66" s="8">
        <v>100.925005625</v>
      </c>
      <c r="K66" s="6" t="s">
        <v>4450</v>
      </c>
      <c r="L66" s="9">
        <v>44086</v>
      </c>
      <c r="N66" s="6">
        <v>51</v>
      </c>
      <c r="O66" s="6" t="s">
        <v>4436</v>
      </c>
      <c r="T66" s="10"/>
      <c r="U66" s="6">
        <v>2.6</v>
      </c>
      <c r="V66" s="8">
        <v>-0.4405374794244768</v>
      </c>
      <c r="W66" s="8">
        <v>-5.5889369264602671</v>
      </c>
      <c r="X66" s="8">
        <f t="shared" ref="X66:X97" si="4">W66-(8*V66)</f>
        <v>-2.0646370910644527</v>
      </c>
    </row>
    <row r="67" spans="1:24" s="6" customFormat="1" x14ac:dyDescent="0.35">
      <c r="A67" s="6" t="s">
        <v>25</v>
      </c>
      <c r="B67" s="6" t="s">
        <v>2464</v>
      </c>
      <c r="D67" s="6" t="s">
        <v>2465</v>
      </c>
      <c r="E67" s="6">
        <v>5</v>
      </c>
      <c r="F67" s="6">
        <v>61</v>
      </c>
      <c r="G67" s="6" t="s">
        <v>2445</v>
      </c>
      <c r="I67" s="8">
        <v>88.778702638888902</v>
      </c>
      <c r="J67" s="8">
        <v>100.925005625</v>
      </c>
      <c r="K67" s="6" t="s">
        <v>4450</v>
      </c>
      <c r="L67" s="9">
        <v>44086</v>
      </c>
      <c r="N67" s="6">
        <v>51</v>
      </c>
      <c r="O67" s="6" t="s">
        <v>4436</v>
      </c>
      <c r="T67" s="10"/>
      <c r="U67" s="6">
        <v>2.8</v>
      </c>
      <c r="V67" s="8">
        <v>-0.90242108830213552</v>
      </c>
      <c r="W67" s="8">
        <v>-8.9138023830413822</v>
      </c>
      <c r="X67" s="8">
        <f t="shared" si="4"/>
        <v>-1.694433676624298</v>
      </c>
    </row>
    <row r="68" spans="1:24" s="6" customFormat="1" x14ac:dyDescent="0.35">
      <c r="A68" s="6" t="s">
        <v>25</v>
      </c>
      <c r="B68" s="6" t="s">
        <v>2466</v>
      </c>
      <c r="D68" s="6" t="s">
        <v>2467</v>
      </c>
      <c r="E68" s="6">
        <v>5</v>
      </c>
      <c r="F68" s="6">
        <v>61</v>
      </c>
      <c r="G68" s="6" t="s">
        <v>2445</v>
      </c>
      <c r="I68" s="8">
        <v>88.778702638888902</v>
      </c>
      <c r="J68" s="8">
        <v>100.925005625</v>
      </c>
      <c r="K68" s="6" t="s">
        <v>4450</v>
      </c>
      <c r="L68" s="9">
        <v>44086</v>
      </c>
      <c r="N68" s="6">
        <v>51</v>
      </c>
      <c r="O68" s="6" t="s">
        <v>4436</v>
      </c>
      <c r="T68" s="10"/>
      <c r="U68" s="6">
        <v>1.1000000000000001</v>
      </c>
      <c r="V68" s="8">
        <v>-1.3152130827856063</v>
      </c>
      <c r="W68" s="8">
        <v>-10.124282871818544</v>
      </c>
      <c r="X68" s="8">
        <f t="shared" si="4"/>
        <v>0.3974217904663071</v>
      </c>
    </row>
    <row r="69" spans="1:24" s="6" customFormat="1" x14ac:dyDescent="0.35">
      <c r="A69" s="6" t="s">
        <v>25</v>
      </c>
      <c r="B69" s="6" t="s">
        <v>2468</v>
      </c>
      <c r="D69" s="6" t="s">
        <v>2469</v>
      </c>
      <c r="E69" s="6">
        <v>5</v>
      </c>
      <c r="F69" s="6">
        <v>61</v>
      </c>
      <c r="G69" s="6" t="s">
        <v>2445</v>
      </c>
      <c r="I69" s="8">
        <v>88.778702638888902</v>
      </c>
      <c r="J69" s="8">
        <v>100.925005625</v>
      </c>
      <c r="K69" s="6" t="s">
        <v>4450</v>
      </c>
      <c r="L69" s="9">
        <v>44086</v>
      </c>
      <c r="N69" s="6">
        <v>51</v>
      </c>
      <c r="O69" s="6" t="s">
        <v>4436</v>
      </c>
      <c r="T69" s="10"/>
      <c r="U69" s="6">
        <v>1.2</v>
      </c>
      <c r="V69" s="8">
        <v>-1.0420535440397258</v>
      </c>
      <c r="W69" s="8">
        <v>-7.4909053979873663</v>
      </c>
      <c r="X69" s="8">
        <f t="shared" si="4"/>
        <v>0.84552295433044034</v>
      </c>
    </row>
    <row r="70" spans="1:24" s="6" customFormat="1" x14ac:dyDescent="0.35">
      <c r="A70" s="6" t="s">
        <v>25</v>
      </c>
      <c r="B70" s="6" t="s">
        <v>2470</v>
      </c>
      <c r="D70" s="6" t="s">
        <v>2471</v>
      </c>
      <c r="E70" s="6">
        <v>5</v>
      </c>
      <c r="F70" s="6">
        <v>61</v>
      </c>
      <c r="G70" s="6" t="s">
        <v>2445</v>
      </c>
      <c r="I70" s="8">
        <v>88.778702638888902</v>
      </c>
      <c r="J70" s="8">
        <v>100.925005625</v>
      </c>
      <c r="K70" s="6" t="s">
        <v>4450</v>
      </c>
      <c r="L70" s="9">
        <v>44086</v>
      </c>
      <c r="N70" s="6">
        <v>51</v>
      </c>
      <c r="O70" s="6" t="s">
        <v>4436</v>
      </c>
      <c r="T70" s="10"/>
      <c r="U70" s="6">
        <v>2.6</v>
      </c>
      <c r="V70" s="8">
        <v>-0.93721454747915223</v>
      </c>
      <c r="W70" s="8">
        <v>-9.9265109401702869</v>
      </c>
      <c r="X70" s="8">
        <f t="shared" si="4"/>
        <v>-2.4287945603370691</v>
      </c>
    </row>
    <row r="71" spans="1:24" s="6" customFormat="1" x14ac:dyDescent="0.35">
      <c r="A71" s="6" t="s">
        <v>25</v>
      </c>
      <c r="B71" s="6" t="s">
        <v>2472</v>
      </c>
      <c r="D71" s="6" t="s">
        <v>2473</v>
      </c>
      <c r="E71" s="6">
        <v>5</v>
      </c>
      <c r="F71" s="6">
        <v>61</v>
      </c>
      <c r="G71" s="6" t="s">
        <v>2445</v>
      </c>
      <c r="I71" s="8">
        <v>88.778702638888902</v>
      </c>
      <c r="J71" s="8">
        <v>100.925005625</v>
      </c>
      <c r="K71" s="6" t="s">
        <v>4450</v>
      </c>
      <c r="L71" s="9">
        <v>44086</v>
      </c>
      <c r="N71" s="6">
        <v>51</v>
      </c>
      <c r="O71" s="6" t="s">
        <v>4436</v>
      </c>
      <c r="R71" s="6">
        <v>0</v>
      </c>
      <c r="S71" s="6">
        <v>5</v>
      </c>
      <c r="T71" s="10">
        <f>AVERAGE(R71:S71)</f>
        <v>2.5</v>
      </c>
      <c r="U71" s="6">
        <v>3.2</v>
      </c>
      <c r="V71" s="8">
        <v>-0.38843078833341582</v>
      </c>
      <c r="W71" s="8">
        <v>-2.8173719658613203</v>
      </c>
      <c r="X71" s="8">
        <f t="shared" si="4"/>
        <v>0.29007434080600625</v>
      </c>
    </row>
    <row r="72" spans="1:24" s="6" customFormat="1" x14ac:dyDescent="0.35">
      <c r="A72" s="6" t="s">
        <v>25</v>
      </c>
      <c r="B72" s="6" t="s">
        <v>2474</v>
      </c>
      <c r="D72" s="6" t="s">
        <v>2475</v>
      </c>
      <c r="E72" s="6">
        <v>5</v>
      </c>
      <c r="F72" s="6">
        <v>61</v>
      </c>
      <c r="G72" s="6" t="s">
        <v>2445</v>
      </c>
      <c r="I72" s="8">
        <v>88.778702638888902</v>
      </c>
      <c r="J72" s="8">
        <v>100.925005625</v>
      </c>
      <c r="K72" s="6" t="s">
        <v>4450</v>
      </c>
      <c r="L72" s="9">
        <v>44086</v>
      </c>
      <c r="N72" s="6">
        <v>51</v>
      </c>
      <c r="O72" s="6" t="s">
        <v>4436</v>
      </c>
      <c r="R72" s="6">
        <v>5</v>
      </c>
      <c r="S72" s="6">
        <v>10</v>
      </c>
      <c r="T72" s="10">
        <f>AVERAGE(R72:S72)</f>
        <v>7.5</v>
      </c>
      <c r="U72" s="6">
        <v>1</v>
      </c>
      <c r="V72" s="8">
        <v>-1.4115506972575187</v>
      </c>
      <c r="W72" s="8">
        <v>-10.72926009016037</v>
      </c>
      <c r="X72" s="8">
        <f t="shared" si="4"/>
        <v>0.5631454878997797</v>
      </c>
    </row>
    <row r="73" spans="1:24" s="6" customFormat="1" x14ac:dyDescent="0.35">
      <c r="A73" s="6" t="s">
        <v>25</v>
      </c>
      <c r="B73" s="6" t="s">
        <v>2476</v>
      </c>
      <c r="D73" s="6" t="s">
        <v>2477</v>
      </c>
      <c r="E73" s="6">
        <v>5</v>
      </c>
      <c r="F73" s="6">
        <v>61</v>
      </c>
      <c r="G73" s="6" t="s">
        <v>2445</v>
      </c>
      <c r="I73" s="8">
        <v>88.778702638888902</v>
      </c>
      <c r="J73" s="8">
        <v>100.925005625</v>
      </c>
      <c r="K73" s="6" t="s">
        <v>4450</v>
      </c>
      <c r="L73" s="9">
        <v>44086</v>
      </c>
      <c r="N73" s="6">
        <v>51</v>
      </c>
      <c r="O73" s="6" t="s">
        <v>4436</v>
      </c>
      <c r="T73" s="10"/>
      <c r="U73" s="6">
        <v>8.1</v>
      </c>
      <c r="V73" s="8">
        <v>-2.5358551843070987</v>
      </c>
      <c r="W73" s="8">
        <v>-18.470878480720518</v>
      </c>
      <c r="X73" s="8">
        <f t="shared" si="4"/>
        <v>1.8159629937362709</v>
      </c>
    </row>
    <row r="74" spans="1:24" s="6" customFormat="1" x14ac:dyDescent="0.35">
      <c r="A74" s="6" t="s">
        <v>25</v>
      </c>
      <c r="B74" s="6" t="s">
        <v>2478</v>
      </c>
      <c r="D74" s="6" t="s">
        <v>2479</v>
      </c>
      <c r="E74" s="6">
        <v>5</v>
      </c>
      <c r="F74" s="6">
        <v>61</v>
      </c>
      <c r="G74" s="6" t="s">
        <v>2445</v>
      </c>
      <c r="I74" s="8">
        <v>88.778702638888902</v>
      </c>
      <c r="J74" s="8">
        <v>100.925005625</v>
      </c>
      <c r="K74" s="6" t="s">
        <v>4450</v>
      </c>
      <c r="L74" s="9">
        <v>44086</v>
      </c>
      <c r="N74" s="6">
        <v>51</v>
      </c>
      <c r="O74" s="6" t="s">
        <v>4436</v>
      </c>
      <c r="T74" s="10"/>
      <c r="U74" s="6">
        <v>23</v>
      </c>
      <c r="V74" s="8">
        <v>-2.0788362257480619</v>
      </c>
      <c r="W74" s="8">
        <v>-12.83668600845337</v>
      </c>
      <c r="X74" s="8">
        <f t="shared" si="4"/>
        <v>3.7940037975311256</v>
      </c>
    </row>
    <row r="75" spans="1:24" s="6" customFormat="1" x14ac:dyDescent="0.35">
      <c r="A75" s="6" t="s">
        <v>25</v>
      </c>
      <c r="B75" s="6" t="s">
        <v>2480</v>
      </c>
      <c r="D75" s="6" t="s">
        <v>2481</v>
      </c>
      <c r="E75" s="6">
        <v>5</v>
      </c>
      <c r="F75" s="6">
        <v>61</v>
      </c>
      <c r="G75" s="6" t="s">
        <v>2445</v>
      </c>
      <c r="I75" s="8">
        <v>88.778702638888902</v>
      </c>
      <c r="J75" s="8">
        <v>100.925005625</v>
      </c>
      <c r="K75" s="6" t="s">
        <v>4450</v>
      </c>
      <c r="L75" s="9">
        <v>44086</v>
      </c>
      <c r="N75" s="6">
        <v>51</v>
      </c>
      <c r="O75" s="6" t="s">
        <v>4436</v>
      </c>
      <c r="T75" s="10"/>
      <c r="U75" s="6">
        <v>29</v>
      </c>
      <c r="V75" s="8">
        <v>-3.1292336175441746</v>
      </c>
      <c r="W75" s="8">
        <v>-23.836186909675597</v>
      </c>
      <c r="X75" s="8">
        <f t="shared" si="4"/>
        <v>1.1976820306778002</v>
      </c>
    </row>
    <row r="76" spans="1:24" s="6" customFormat="1" x14ac:dyDescent="0.35">
      <c r="A76" s="6" t="s">
        <v>25</v>
      </c>
      <c r="B76" s="6" t="s">
        <v>2482</v>
      </c>
      <c r="D76" s="6" t="s">
        <v>2483</v>
      </c>
      <c r="E76" s="6">
        <v>5</v>
      </c>
      <c r="F76" s="6">
        <v>61</v>
      </c>
      <c r="G76" s="6" t="s">
        <v>2445</v>
      </c>
      <c r="I76" s="8">
        <v>88.778702638888902</v>
      </c>
      <c r="J76" s="8">
        <v>100.925005625</v>
      </c>
      <c r="K76" s="6" t="s">
        <v>4450</v>
      </c>
      <c r="L76" s="9">
        <v>44086</v>
      </c>
      <c r="N76" s="6">
        <v>51</v>
      </c>
      <c r="O76" s="6" t="s">
        <v>4436</v>
      </c>
      <c r="T76" s="10"/>
      <c r="U76" s="6">
        <v>29.2</v>
      </c>
      <c r="V76" s="8">
        <v>-3.1793396623134615</v>
      </c>
      <c r="W76" s="8">
        <v>-23.192574360847473</v>
      </c>
      <c r="X76" s="8">
        <f t="shared" si="4"/>
        <v>2.2421429376602191</v>
      </c>
    </row>
    <row r="77" spans="1:24" s="6" customFormat="1" x14ac:dyDescent="0.35">
      <c r="A77" s="6" t="s">
        <v>25</v>
      </c>
      <c r="B77" s="6" t="s">
        <v>2502</v>
      </c>
      <c r="D77" s="6" t="s">
        <v>2503</v>
      </c>
      <c r="E77" s="6">
        <v>5</v>
      </c>
      <c r="F77" s="6">
        <v>61</v>
      </c>
      <c r="G77" s="6" t="s">
        <v>2369</v>
      </c>
      <c r="I77" s="8">
        <v>89.023700416666699</v>
      </c>
      <c r="J77" s="8">
        <v>102.473466597222</v>
      </c>
      <c r="K77" s="6" t="s">
        <v>4450</v>
      </c>
      <c r="L77" s="9">
        <v>44088</v>
      </c>
      <c r="N77" s="6">
        <v>52</v>
      </c>
      <c r="O77" s="6" t="s">
        <v>4394</v>
      </c>
      <c r="T77" s="10"/>
      <c r="U77" s="6">
        <v>9.9</v>
      </c>
      <c r="V77" s="8">
        <v>-12.592798570632937</v>
      </c>
      <c r="W77" s="8">
        <v>-93.335709888458254</v>
      </c>
      <c r="X77" s="8">
        <f t="shared" si="4"/>
        <v>7.4066786766052388</v>
      </c>
    </row>
    <row r="78" spans="1:24" s="6" customFormat="1" x14ac:dyDescent="0.35">
      <c r="A78" s="6" t="s">
        <v>25</v>
      </c>
      <c r="B78" s="6" t="s">
        <v>2504</v>
      </c>
      <c r="D78" s="6" t="s">
        <v>2505</v>
      </c>
      <c r="E78" s="6">
        <v>5</v>
      </c>
      <c r="F78" s="6">
        <v>61</v>
      </c>
      <c r="G78" s="6" t="s">
        <v>2369</v>
      </c>
      <c r="I78" s="8">
        <v>89.023700416666699</v>
      </c>
      <c r="J78" s="8">
        <v>102.473466597222</v>
      </c>
      <c r="K78" s="6" t="s">
        <v>4450</v>
      </c>
      <c r="L78" s="9">
        <v>44088</v>
      </c>
      <c r="N78" s="6">
        <v>52</v>
      </c>
      <c r="O78" s="6" t="s">
        <v>4394</v>
      </c>
      <c r="T78" s="10"/>
      <c r="U78" s="6">
        <v>23</v>
      </c>
      <c r="V78" s="8">
        <v>-3.0977497487068177</v>
      </c>
      <c r="W78" s="8">
        <v>-22.711607777595518</v>
      </c>
      <c r="X78" s="8">
        <f t="shared" si="4"/>
        <v>2.0703902120590243</v>
      </c>
    </row>
    <row r="79" spans="1:24" s="6" customFormat="1" x14ac:dyDescent="0.35">
      <c r="A79" s="6" t="s">
        <v>25</v>
      </c>
      <c r="B79" s="6" t="s">
        <v>2506</v>
      </c>
      <c r="D79" s="6" t="s">
        <v>2507</v>
      </c>
      <c r="E79" s="6">
        <v>5</v>
      </c>
      <c r="F79" s="6">
        <v>61</v>
      </c>
      <c r="G79" s="6" t="s">
        <v>2369</v>
      </c>
      <c r="I79" s="8">
        <v>89.023700416666699</v>
      </c>
      <c r="J79" s="8">
        <v>102.473466597222</v>
      </c>
      <c r="K79" s="6" t="s">
        <v>4450</v>
      </c>
      <c r="L79" s="9">
        <v>44088</v>
      </c>
      <c r="N79" s="6">
        <v>52</v>
      </c>
      <c r="O79" s="6" t="s">
        <v>4394</v>
      </c>
      <c r="T79" s="10"/>
      <c r="U79" s="6">
        <v>29</v>
      </c>
      <c r="V79" s="8">
        <v>-3.0883994493484499</v>
      </c>
      <c r="W79" s="8">
        <v>-24.117668392181393</v>
      </c>
      <c r="X79" s="8">
        <f t="shared" si="4"/>
        <v>0.58952720260620595</v>
      </c>
    </row>
    <row r="80" spans="1:24" s="6" customFormat="1" x14ac:dyDescent="0.35">
      <c r="A80" s="6" t="s">
        <v>25</v>
      </c>
      <c r="B80" s="6" t="s">
        <v>2508</v>
      </c>
      <c r="D80" s="6" t="s">
        <v>2509</v>
      </c>
      <c r="E80" s="6">
        <v>5</v>
      </c>
      <c r="F80" s="6">
        <v>61</v>
      </c>
      <c r="G80" s="6" t="s">
        <v>2369</v>
      </c>
      <c r="I80" s="8">
        <v>89.023700416666699</v>
      </c>
      <c r="J80" s="8">
        <v>102.473466597222</v>
      </c>
      <c r="K80" s="6" t="s">
        <v>4450</v>
      </c>
      <c r="L80" s="9">
        <v>44088</v>
      </c>
      <c r="N80" s="6">
        <v>52</v>
      </c>
      <c r="O80" s="6" t="s">
        <v>4394</v>
      </c>
      <c r="R80" s="6">
        <v>0</v>
      </c>
      <c r="S80" s="6">
        <v>10</v>
      </c>
      <c r="T80" s="10">
        <f t="shared" ref="T80:T88" si="5">AVERAGE(R80:S80)</f>
        <v>5</v>
      </c>
      <c r="U80" s="6">
        <v>0.5</v>
      </c>
      <c r="V80" s="8">
        <v>-2.8520486111640935</v>
      </c>
      <c r="W80" s="8">
        <v>-22.180103702545168</v>
      </c>
      <c r="X80" s="8">
        <f t="shared" si="4"/>
        <v>0.63628518676758006</v>
      </c>
    </row>
    <row r="81" spans="1:25" s="6" customFormat="1" x14ac:dyDescent="0.35">
      <c r="A81" s="6" t="s">
        <v>25</v>
      </c>
      <c r="B81" s="6" t="s">
        <v>2510</v>
      </c>
      <c r="D81" s="6" t="s">
        <v>2511</v>
      </c>
      <c r="E81" s="6">
        <v>5</v>
      </c>
      <c r="F81" s="6">
        <v>61</v>
      </c>
      <c r="G81" s="6" t="s">
        <v>2369</v>
      </c>
      <c r="I81" s="8">
        <v>89.023700416666699</v>
      </c>
      <c r="J81" s="8">
        <v>102.473466597222</v>
      </c>
      <c r="K81" s="6" t="s">
        <v>4450</v>
      </c>
      <c r="L81" s="9">
        <v>44088</v>
      </c>
      <c r="N81" s="6">
        <v>52</v>
      </c>
      <c r="O81" s="6" t="s">
        <v>4394</v>
      </c>
      <c r="R81" s="6">
        <v>10</v>
      </c>
      <c r="S81" s="6">
        <v>20</v>
      </c>
      <c r="T81" s="10">
        <f t="shared" si="5"/>
        <v>15</v>
      </c>
      <c r="U81" s="6">
        <v>4.2</v>
      </c>
      <c r="V81" s="8">
        <v>-2.3936527408361434</v>
      </c>
      <c r="W81" s="8">
        <v>-18.4504605178833</v>
      </c>
      <c r="X81" s="8">
        <f t="shared" si="4"/>
        <v>0.69876140880584714</v>
      </c>
    </row>
    <row r="82" spans="1:25" s="6" customFormat="1" x14ac:dyDescent="0.35">
      <c r="A82" s="6" t="s">
        <v>25</v>
      </c>
      <c r="B82" s="6" t="s">
        <v>2512</v>
      </c>
      <c r="D82" s="6" t="s">
        <v>2513</v>
      </c>
      <c r="E82" s="6">
        <v>5</v>
      </c>
      <c r="F82" s="6">
        <v>61</v>
      </c>
      <c r="G82" s="6" t="s">
        <v>2369</v>
      </c>
      <c r="I82" s="8">
        <v>89.023700416666699</v>
      </c>
      <c r="J82" s="8">
        <v>102.473466597222</v>
      </c>
      <c r="K82" s="6" t="s">
        <v>4450</v>
      </c>
      <c r="L82" s="9">
        <v>44088</v>
      </c>
      <c r="N82" s="6">
        <v>52</v>
      </c>
      <c r="O82" s="6" t="s">
        <v>4394</v>
      </c>
      <c r="R82" s="6">
        <v>0</v>
      </c>
      <c r="S82" s="6">
        <v>10</v>
      </c>
      <c r="T82" s="10">
        <f t="shared" si="5"/>
        <v>5</v>
      </c>
      <c r="U82" s="6">
        <v>3.2</v>
      </c>
      <c r="V82" s="8">
        <v>0.42436173230409652</v>
      </c>
      <c r="W82" s="8">
        <v>1.7769805577397342</v>
      </c>
      <c r="X82" s="8">
        <f t="shared" si="4"/>
        <v>-1.617913300693038</v>
      </c>
    </row>
    <row r="83" spans="1:25" s="6" customFormat="1" x14ac:dyDescent="0.35">
      <c r="A83" s="6" t="s">
        <v>25</v>
      </c>
      <c r="B83" s="6" t="s">
        <v>2514</v>
      </c>
      <c r="D83" s="6" t="s">
        <v>2515</v>
      </c>
      <c r="E83" s="6">
        <v>5</v>
      </c>
      <c r="F83" s="6">
        <v>61</v>
      </c>
      <c r="G83" s="6" t="s">
        <v>2369</v>
      </c>
      <c r="I83" s="8">
        <v>89.023700416666699</v>
      </c>
      <c r="J83" s="8">
        <v>102.473466597222</v>
      </c>
      <c r="K83" s="6" t="s">
        <v>4450</v>
      </c>
      <c r="L83" s="9">
        <v>44088</v>
      </c>
      <c r="N83" s="6">
        <v>52</v>
      </c>
      <c r="O83" s="6" t="s">
        <v>4394</v>
      </c>
      <c r="R83" s="6">
        <v>10</v>
      </c>
      <c r="S83" s="6">
        <v>20</v>
      </c>
      <c r="T83" s="10">
        <f t="shared" si="5"/>
        <v>15</v>
      </c>
      <c r="U83" s="6">
        <v>2.2999999999999998</v>
      </c>
      <c r="V83" s="8">
        <v>0.9033321834301945</v>
      </c>
      <c r="W83" s="8">
        <v>7.9941165225982669</v>
      </c>
      <c r="X83" s="8">
        <f t="shared" si="4"/>
        <v>0.76745905515671087</v>
      </c>
    </row>
    <row r="84" spans="1:25" s="6" customFormat="1" x14ac:dyDescent="0.35">
      <c r="A84" s="6" t="s">
        <v>25</v>
      </c>
      <c r="B84" s="6" t="s">
        <v>2516</v>
      </c>
      <c r="D84" s="6" t="s">
        <v>2517</v>
      </c>
      <c r="E84" s="6">
        <v>5</v>
      </c>
      <c r="F84" s="6">
        <v>61</v>
      </c>
      <c r="G84" s="6" t="s">
        <v>2369</v>
      </c>
      <c r="I84" s="8">
        <v>89.023700416666699</v>
      </c>
      <c r="J84" s="8">
        <v>102.473466597222</v>
      </c>
      <c r="K84" s="6" t="s">
        <v>4450</v>
      </c>
      <c r="L84" s="9">
        <v>44088</v>
      </c>
      <c r="N84" s="6">
        <v>52</v>
      </c>
      <c r="O84" s="6" t="s">
        <v>4394</v>
      </c>
      <c r="R84" s="6">
        <v>20</v>
      </c>
      <c r="S84" s="6">
        <v>30</v>
      </c>
      <c r="T84" s="10">
        <f t="shared" si="5"/>
        <v>25</v>
      </c>
      <c r="U84" s="6">
        <v>2.1</v>
      </c>
      <c r="V84" s="8">
        <v>0.94443612849712422</v>
      </c>
      <c r="W84" s="8">
        <v>5.064645800113678</v>
      </c>
      <c r="X84" s="8">
        <f t="shared" si="4"/>
        <v>-2.4908432278633157</v>
      </c>
    </row>
    <row r="85" spans="1:25" s="6" customFormat="1" x14ac:dyDescent="0.35">
      <c r="A85" s="6" t="s">
        <v>25</v>
      </c>
      <c r="B85" s="6" t="s">
        <v>2518</v>
      </c>
      <c r="D85" s="6" t="s">
        <v>2519</v>
      </c>
      <c r="E85" s="6">
        <v>5</v>
      </c>
      <c r="F85" s="6">
        <v>61</v>
      </c>
      <c r="G85" s="6" t="s">
        <v>2369</v>
      </c>
      <c r="I85" s="8">
        <v>89.023700416666699</v>
      </c>
      <c r="J85" s="8">
        <v>102.473466597222</v>
      </c>
      <c r="K85" s="6" t="s">
        <v>4450</v>
      </c>
      <c r="L85" s="9">
        <v>44088</v>
      </c>
      <c r="N85" s="6">
        <v>52</v>
      </c>
      <c r="O85" s="6" t="s">
        <v>4394</v>
      </c>
      <c r="R85" s="6">
        <v>30</v>
      </c>
      <c r="S85" s="6">
        <v>40</v>
      </c>
      <c r="T85" s="10">
        <f t="shared" si="5"/>
        <v>35</v>
      </c>
      <c r="U85" s="6">
        <v>2.2000000000000002</v>
      </c>
      <c r="V85" s="8">
        <v>0.69021871243476873</v>
      </c>
      <c r="W85" s="8">
        <v>4.9086233520984646</v>
      </c>
      <c r="X85" s="8">
        <f t="shared" si="4"/>
        <v>-0.6131263473796853</v>
      </c>
    </row>
    <row r="86" spans="1:25" s="6" customFormat="1" x14ac:dyDescent="0.35">
      <c r="A86" s="6" t="s">
        <v>25</v>
      </c>
      <c r="B86" s="6" t="s">
        <v>2520</v>
      </c>
      <c r="D86" s="6" t="s">
        <v>2521</v>
      </c>
      <c r="E86" s="6">
        <v>5</v>
      </c>
      <c r="F86" s="6">
        <v>61</v>
      </c>
      <c r="G86" s="6" t="s">
        <v>2369</v>
      </c>
      <c r="I86" s="8">
        <v>89.023700416666699</v>
      </c>
      <c r="J86" s="8">
        <v>102.473466597222</v>
      </c>
      <c r="K86" s="6" t="s">
        <v>4450</v>
      </c>
      <c r="L86" s="9">
        <v>44088</v>
      </c>
      <c r="N86" s="6">
        <v>52</v>
      </c>
      <c r="O86" s="6" t="s">
        <v>4394</v>
      </c>
      <c r="R86" s="6">
        <v>40</v>
      </c>
      <c r="S86" s="6">
        <v>50</v>
      </c>
      <c r="T86" s="10">
        <f t="shared" si="5"/>
        <v>45</v>
      </c>
      <c r="U86" s="6">
        <v>2.8</v>
      </c>
      <c r="V86" s="8">
        <v>0.62139115762710584</v>
      </c>
      <c r="W86" s="8">
        <v>2.3045432552099223</v>
      </c>
      <c r="X86" s="8">
        <f t="shared" si="4"/>
        <v>-2.6665860058069244</v>
      </c>
    </row>
    <row r="87" spans="1:25" s="6" customFormat="1" x14ac:dyDescent="0.35">
      <c r="A87" s="6" t="s">
        <v>25</v>
      </c>
      <c r="B87" s="6" t="s">
        <v>2522</v>
      </c>
      <c r="D87" s="6" t="s">
        <v>2523</v>
      </c>
      <c r="E87" s="6">
        <v>5</v>
      </c>
      <c r="F87" s="6">
        <v>61</v>
      </c>
      <c r="G87" s="6" t="s">
        <v>2369</v>
      </c>
      <c r="I87" s="8">
        <v>89.023700416666699</v>
      </c>
      <c r="J87" s="8">
        <v>102.473466597222</v>
      </c>
      <c r="K87" s="6" t="s">
        <v>4450</v>
      </c>
      <c r="L87" s="9">
        <v>44088</v>
      </c>
      <c r="N87" s="6">
        <v>52</v>
      </c>
      <c r="O87" s="6" t="s">
        <v>4394</v>
      </c>
      <c r="R87" s="6">
        <v>50</v>
      </c>
      <c r="S87" s="6">
        <v>60</v>
      </c>
      <c r="T87" s="10">
        <f t="shared" si="5"/>
        <v>55</v>
      </c>
      <c r="U87" s="6">
        <v>2.7</v>
      </c>
      <c r="V87" s="8">
        <v>0.7259854542016988</v>
      </c>
      <c r="W87" s="8">
        <v>4.0139616002440448</v>
      </c>
      <c r="X87" s="8">
        <f t="shared" si="4"/>
        <v>-1.7939220333695456</v>
      </c>
    </row>
    <row r="88" spans="1:25" s="6" customFormat="1" x14ac:dyDescent="0.35">
      <c r="A88" s="6" t="s">
        <v>25</v>
      </c>
      <c r="B88" s="6" t="s">
        <v>2524</v>
      </c>
      <c r="D88" s="6" t="s">
        <v>2525</v>
      </c>
      <c r="E88" s="6">
        <v>5</v>
      </c>
      <c r="F88" s="6">
        <v>61</v>
      </c>
      <c r="G88" s="6" t="s">
        <v>2369</v>
      </c>
      <c r="I88" s="8">
        <v>89.023700416666699</v>
      </c>
      <c r="J88" s="8">
        <v>102.473466597222</v>
      </c>
      <c r="K88" s="6" t="s">
        <v>4450</v>
      </c>
      <c r="L88" s="9">
        <v>44088</v>
      </c>
      <c r="N88" s="6">
        <v>52</v>
      </c>
      <c r="O88" s="6" t="s">
        <v>4394</v>
      </c>
      <c r="R88" s="6">
        <v>60</v>
      </c>
      <c r="S88" s="6">
        <v>70</v>
      </c>
      <c r="T88" s="10">
        <f t="shared" si="5"/>
        <v>65</v>
      </c>
      <c r="U88" s="6">
        <v>2.1</v>
      </c>
      <c r="V88" s="8">
        <v>0.83349648885130889</v>
      </c>
      <c r="W88" s="8">
        <v>6.8532406790256495</v>
      </c>
      <c r="X88" s="8">
        <f t="shared" si="4"/>
        <v>0.18526876821517835</v>
      </c>
    </row>
    <row r="89" spans="1:25" s="6" customFormat="1" x14ac:dyDescent="0.35">
      <c r="A89" s="6" t="s">
        <v>25</v>
      </c>
      <c r="B89" s="6" t="s">
        <v>2529</v>
      </c>
      <c r="D89" s="6" t="s">
        <v>2530</v>
      </c>
      <c r="E89" s="6">
        <v>5</v>
      </c>
      <c r="F89" s="6">
        <v>61</v>
      </c>
      <c r="G89" s="6" t="s">
        <v>2531</v>
      </c>
      <c r="I89" s="8">
        <v>89.069436736111143</v>
      </c>
      <c r="J89" s="8">
        <v>107.55595229166673</v>
      </c>
      <c r="K89" s="6" t="s">
        <v>4450</v>
      </c>
      <c r="L89" s="9">
        <v>44089</v>
      </c>
      <c r="N89" s="6">
        <v>52</v>
      </c>
      <c r="O89" s="6" t="s">
        <v>4431</v>
      </c>
      <c r="T89" s="10"/>
      <c r="U89" s="6">
        <v>29.1</v>
      </c>
      <c r="V89" s="8">
        <v>-3.169064548182488</v>
      </c>
      <c r="W89" s="8">
        <v>-23.086050694465637</v>
      </c>
      <c r="X89" s="8">
        <f t="shared" si="4"/>
        <v>2.2664656909942664</v>
      </c>
    </row>
    <row r="90" spans="1:25" s="6" customFormat="1" x14ac:dyDescent="0.35">
      <c r="A90" s="6" t="s">
        <v>25</v>
      </c>
      <c r="B90" s="6" t="s">
        <v>2532</v>
      </c>
      <c r="D90" s="6" t="s">
        <v>2533</v>
      </c>
      <c r="E90" s="6">
        <v>5</v>
      </c>
      <c r="F90" s="6">
        <v>61</v>
      </c>
      <c r="G90" s="6" t="s">
        <v>2531</v>
      </c>
      <c r="I90" s="8">
        <v>89.069436736111143</v>
      </c>
      <c r="J90" s="8">
        <v>107.55595229166673</v>
      </c>
      <c r="K90" s="6" t="s">
        <v>4450</v>
      </c>
      <c r="L90" s="9">
        <v>44089</v>
      </c>
      <c r="N90" s="6">
        <v>52</v>
      </c>
      <c r="O90" s="6" t="s">
        <v>4431</v>
      </c>
      <c r="T90" s="10"/>
      <c r="U90" s="6">
        <v>29.2</v>
      </c>
      <c r="V90" s="8">
        <v>-3.1987159215688705</v>
      </c>
      <c r="W90" s="8">
        <v>-22.8946088514328</v>
      </c>
      <c r="X90" s="8">
        <f t="shared" si="4"/>
        <v>2.6951185211181645</v>
      </c>
    </row>
    <row r="91" spans="1:25" s="6" customFormat="1" x14ac:dyDescent="0.35">
      <c r="A91" s="6" t="s">
        <v>25</v>
      </c>
      <c r="B91" s="6" t="s">
        <v>2534</v>
      </c>
      <c r="D91" s="6" t="s">
        <v>2535</v>
      </c>
      <c r="E91" s="6">
        <v>5</v>
      </c>
      <c r="F91" s="6">
        <v>61</v>
      </c>
      <c r="G91" s="6" t="s">
        <v>2531</v>
      </c>
      <c r="I91" s="8">
        <v>89.069436736111101</v>
      </c>
      <c r="J91" s="8">
        <v>107.555952291667</v>
      </c>
      <c r="K91" s="6" t="s">
        <v>4450</v>
      </c>
      <c r="L91" s="9">
        <v>44089</v>
      </c>
      <c r="N91" s="6">
        <v>52</v>
      </c>
      <c r="O91" s="6" t="s">
        <v>4431</v>
      </c>
      <c r="T91" s="10"/>
      <c r="U91" s="6">
        <v>29.2</v>
      </c>
      <c r="V91" s="8">
        <v>-3.2296047860622403</v>
      </c>
      <c r="W91" s="8">
        <v>-23.336744136810303</v>
      </c>
      <c r="X91" s="8">
        <f t="shared" si="4"/>
        <v>2.5000941516876196</v>
      </c>
    </row>
    <row r="92" spans="1:25" s="6" customFormat="1" x14ac:dyDescent="0.35">
      <c r="A92" s="6" t="s">
        <v>25</v>
      </c>
      <c r="B92" s="6" t="s">
        <v>2536</v>
      </c>
      <c r="D92" s="6" t="s">
        <v>2537</v>
      </c>
      <c r="E92" s="6">
        <v>5</v>
      </c>
      <c r="F92" s="6">
        <v>61</v>
      </c>
      <c r="G92" s="6" t="s">
        <v>2538</v>
      </c>
      <c r="I92" s="8">
        <v>89.070619444444446</v>
      </c>
      <c r="J92" s="8">
        <v>108.96614326388897</v>
      </c>
      <c r="K92" s="6" t="s">
        <v>4450</v>
      </c>
      <c r="L92" s="9">
        <v>44090</v>
      </c>
      <c r="N92" s="6">
        <v>52</v>
      </c>
      <c r="O92" s="6" t="s">
        <v>4439</v>
      </c>
      <c r="T92" s="10"/>
      <c r="U92" s="6">
        <v>29.2</v>
      </c>
      <c r="V92" s="8">
        <v>-3.1876912690639498</v>
      </c>
      <c r="W92" s="8">
        <v>-22.993139993667601</v>
      </c>
      <c r="X92" s="8">
        <f t="shared" si="4"/>
        <v>2.5083901588439979</v>
      </c>
    </row>
    <row r="93" spans="1:25" s="6" customFormat="1" x14ac:dyDescent="0.35">
      <c r="A93" s="6" t="s">
        <v>25</v>
      </c>
      <c r="B93" s="6" t="s">
        <v>2539</v>
      </c>
      <c r="D93" s="6" t="s">
        <v>2540</v>
      </c>
      <c r="E93" s="6">
        <v>5</v>
      </c>
      <c r="F93" s="6">
        <v>61</v>
      </c>
      <c r="G93" s="6" t="s">
        <v>2285</v>
      </c>
      <c r="I93" s="8">
        <v>89.027778472222295</v>
      </c>
      <c r="J93" s="8">
        <v>107.64050576388888</v>
      </c>
      <c r="K93" s="6" t="s">
        <v>4450</v>
      </c>
      <c r="L93" s="9">
        <v>44091</v>
      </c>
      <c r="N93" s="6">
        <v>52</v>
      </c>
      <c r="O93" s="6" t="s">
        <v>4440</v>
      </c>
      <c r="T93" s="10"/>
      <c r="U93" s="6">
        <v>29</v>
      </c>
      <c r="V93" s="8">
        <v>-3.2241924933433541</v>
      </c>
      <c r="W93" s="8">
        <v>-23.966456012725828</v>
      </c>
      <c r="X93" s="8">
        <f t="shared" si="4"/>
        <v>1.8270839340210046</v>
      </c>
    </row>
    <row r="94" spans="1:25" s="6" customFormat="1" x14ac:dyDescent="0.35">
      <c r="A94" s="6" t="s">
        <v>25</v>
      </c>
      <c r="B94" s="6" t="s">
        <v>2541</v>
      </c>
      <c r="D94" s="6" t="s">
        <v>2542</v>
      </c>
      <c r="E94" s="6">
        <v>5</v>
      </c>
      <c r="F94" s="6">
        <v>61</v>
      </c>
      <c r="G94" s="6" t="s">
        <v>2285</v>
      </c>
      <c r="I94" s="8">
        <v>89.027778472222295</v>
      </c>
      <c r="J94" s="8">
        <v>107.64050576388888</v>
      </c>
      <c r="K94" s="6" t="s">
        <v>4450</v>
      </c>
      <c r="L94" s="9">
        <v>44091</v>
      </c>
      <c r="N94" s="6">
        <v>52</v>
      </c>
      <c r="O94" s="6" t="s">
        <v>4440</v>
      </c>
      <c r="T94" s="10"/>
      <c r="U94" s="6">
        <v>29.1</v>
      </c>
      <c r="V94" s="8">
        <v>-3.2038405152797695</v>
      </c>
      <c r="W94" s="8">
        <v>-23.752140983581544</v>
      </c>
      <c r="X94" s="8">
        <f t="shared" si="4"/>
        <v>1.8785831386566123</v>
      </c>
    </row>
    <row r="95" spans="1:25" s="6" customFormat="1" x14ac:dyDescent="0.35">
      <c r="A95" s="6" t="s">
        <v>25</v>
      </c>
      <c r="B95" s="6" t="s">
        <v>2543</v>
      </c>
      <c r="D95" s="6" t="s">
        <v>2544</v>
      </c>
      <c r="E95" s="6">
        <v>5</v>
      </c>
      <c r="F95" s="6">
        <v>61</v>
      </c>
      <c r="G95" s="6" t="s">
        <v>2285</v>
      </c>
      <c r="I95" s="8">
        <v>89.083823055555541</v>
      </c>
      <c r="J95" s="8">
        <v>107.19341506944446</v>
      </c>
      <c r="K95" s="6" t="s">
        <v>4450</v>
      </c>
      <c r="L95" s="9">
        <v>44092</v>
      </c>
      <c r="N95" s="6">
        <v>52</v>
      </c>
      <c r="O95" s="6" t="s">
        <v>4441</v>
      </c>
      <c r="T95" s="10"/>
      <c r="U95" s="6">
        <v>2.4</v>
      </c>
      <c r="V95" s="8">
        <v>-9.0593595050811757</v>
      </c>
      <c r="W95" s="8">
        <v>-68.654126342773438</v>
      </c>
      <c r="X95" s="8">
        <f t="shared" si="4"/>
        <v>3.8207496978759679</v>
      </c>
    </row>
    <row r="96" spans="1:25" s="12" customFormat="1" x14ac:dyDescent="0.35">
      <c r="A96" s="6" t="s">
        <v>25</v>
      </c>
      <c r="B96" s="6" t="s">
        <v>2545</v>
      </c>
      <c r="C96" s="6"/>
      <c r="D96" s="6" t="s">
        <v>2546</v>
      </c>
      <c r="E96" s="6">
        <v>5</v>
      </c>
      <c r="F96" s="6">
        <v>61</v>
      </c>
      <c r="G96" s="6" t="s">
        <v>2285</v>
      </c>
      <c r="H96" s="6"/>
      <c r="I96" s="8">
        <v>89.083823055555541</v>
      </c>
      <c r="J96" s="8">
        <v>107.19341506944446</v>
      </c>
      <c r="K96" s="6" t="s">
        <v>4450</v>
      </c>
      <c r="L96" s="9">
        <v>44092</v>
      </c>
      <c r="M96" s="6"/>
      <c r="N96" s="6">
        <v>52</v>
      </c>
      <c r="O96" s="6" t="s">
        <v>4441</v>
      </c>
      <c r="P96" s="6"/>
      <c r="Q96" s="6"/>
      <c r="R96" s="6"/>
      <c r="S96" s="6"/>
      <c r="T96" s="10"/>
      <c r="U96" s="6">
        <v>5.3</v>
      </c>
      <c r="V96" s="8">
        <v>-1.3090401221752166</v>
      </c>
      <c r="W96" s="8">
        <v>-9.3003621768951437</v>
      </c>
      <c r="X96" s="8">
        <f t="shared" si="4"/>
        <v>1.1719588005065891</v>
      </c>
      <c r="Y96" s="6"/>
    </row>
    <row r="97" spans="1:25" s="6" customFormat="1" x14ac:dyDescent="0.35">
      <c r="A97" s="6" t="s">
        <v>25</v>
      </c>
      <c r="B97" s="6" t="s">
        <v>2547</v>
      </c>
      <c r="D97" s="6" t="s">
        <v>2548</v>
      </c>
      <c r="E97" s="6">
        <v>5</v>
      </c>
      <c r="F97" s="6">
        <v>61</v>
      </c>
      <c r="G97" s="6" t="s">
        <v>2285</v>
      </c>
      <c r="I97" s="8">
        <v>89.083823055555499</v>
      </c>
      <c r="J97" s="8">
        <v>107.193415069444</v>
      </c>
      <c r="K97" s="6" t="s">
        <v>4450</v>
      </c>
      <c r="L97" s="9">
        <v>44092</v>
      </c>
      <c r="N97" s="6">
        <v>52</v>
      </c>
      <c r="O97" s="6" t="s">
        <v>4441</v>
      </c>
      <c r="T97" s="10"/>
      <c r="U97" s="6">
        <v>4.3</v>
      </c>
      <c r="V97" s="8">
        <v>-0.1599634468495843</v>
      </c>
      <c r="W97" s="8">
        <v>-1.4212953485846525</v>
      </c>
      <c r="X97" s="8">
        <f t="shared" si="4"/>
        <v>-0.14158777378797804</v>
      </c>
    </row>
    <row r="98" spans="1:25" s="6" customFormat="1" x14ac:dyDescent="0.35">
      <c r="A98" s="6" t="s">
        <v>25</v>
      </c>
      <c r="B98" s="6" t="s">
        <v>2549</v>
      </c>
      <c r="D98" s="6" t="s">
        <v>2550</v>
      </c>
      <c r="E98" s="6">
        <v>5</v>
      </c>
      <c r="F98" s="6">
        <v>61</v>
      </c>
      <c r="G98" s="6" t="s">
        <v>2285</v>
      </c>
      <c r="I98" s="8">
        <v>89.083823055555499</v>
      </c>
      <c r="J98" s="8">
        <v>107.193415069444</v>
      </c>
      <c r="K98" s="6" t="s">
        <v>4450</v>
      </c>
      <c r="L98" s="9">
        <v>44092</v>
      </c>
      <c r="N98" s="6">
        <v>52</v>
      </c>
      <c r="O98" s="6" t="s">
        <v>4441</v>
      </c>
      <c r="T98" s="10"/>
      <c r="U98" s="6">
        <v>2.6</v>
      </c>
      <c r="V98" s="8">
        <v>0.3677203878819944</v>
      </c>
      <c r="W98" s="8">
        <v>2.7266706094741826</v>
      </c>
      <c r="X98" s="8">
        <f t="shared" ref="X98:X110" si="6">W98-(8*V98)</f>
        <v>-0.21509249358177263</v>
      </c>
    </row>
    <row r="99" spans="1:25" s="6" customFormat="1" x14ac:dyDescent="0.35">
      <c r="A99" s="6" t="s">
        <v>25</v>
      </c>
      <c r="B99" s="6" t="s">
        <v>2551</v>
      </c>
      <c r="D99" s="6" t="s">
        <v>2552</v>
      </c>
      <c r="E99" s="6">
        <v>5</v>
      </c>
      <c r="F99" s="6">
        <v>61</v>
      </c>
      <c r="G99" s="6" t="s">
        <v>2285</v>
      </c>
      <c r="I99" s="8">
        <v>89.083823055555499</v>
      </c>
      <c r="J99" s="8">
        <v>107.193415069444</v>
      </c>
      <c r="K99" s="6" t="s">
        <v>4450</v>
      </c>
      <c r="L99" s="9">
        <v>44092</v>
      </c>
      <c r="N99" s="6">
        <v>52</v>
      </c>
      <c r="O99" s="6" t="s">
        <v>4441</v>
      </c>
      <c r="T99" s="10"/>
      <c r="U99" s="6">
        <v>2.4</v>
      </c>
      <c r="V99" s="8">
        <v>4.6801202753931556E-2</v>
      </c>
      <c r="W99" s="8">
        <v>1.7039541006088257</v>
      </c>
      <c r="X99" s="8">
        <f t="shared" si="6"/>
        <v>1.3295444785773731</v>
      </c>
    </row>
    <row r="100" spans="1:25" s="6" customFormat="1" x14ac:dyDescent="0.35">
      <c r="A100" s="6" t="s">
        <v>25</v>
      </c>
      <c r="B100" s="6" t="s">
        <v>2553</v>
      </c>
      <c r="D100" s="6" t="s">
        <v>2554</v>
      </c>
      <c r="E100" s="6">
        <v>5</v>
      </c>
      <c r="F100" s="6">
        <v>61</v>
      </c>
      <c r="G100" s="6" t="s">
        <v>2285</v>
      </c>
      <c r="I100" s="8">
        <v>89.083823055555499</v>
      </c>
      <c r="J100" s="8">
        <v>107.193415069444</v>
      </c>
      <c r="K100" s="6" t="s">
        <v>4450</v>
      </c>
      <c r="L100" s="9">
        <v>44092</v>
      </c>
      <c r="N100" s="6">
        <v>52</v>
      </c>
      <c r="O100" s="6" t="s">
        <v>4441</v>
      </c>
      <c r="T100" s="10"/>
      <c r="U100" s="6">
        <v>2.6</v>
      </c>
      <c r="V100" s="8">
        <v>0.44462419844269735</v>
      </c>
      <c r="W100" s="8">
        <v>3.1751750934123995</v>
      </c>
      <c r="X100" s="8">
        <f t="shared" si="6"/>
        <v>-0.38181849412917934</v>
      </c>
    </row>
    <row r="101" spans="1:25" s="6" customFormat="1" x14ac:dyDescent="0.35">
      <c r="A101" s="6" t="s">
        <v>25</v>
      </c>
      <c r="B101" s="6" t="s">
        <v>2555</v>
      </c>
      <c r="D101" s="6" t="s">
        <v>2556</v>
      </c>
      <c r="E101" s="6">
        <v>5</v>
      </c>
      <c r="F101" s="6">
        <v>61</v>
      </c>
      <c r="G101" s="6" t="s">
        <v>2285</v>
      </c>
      <c r="I101" s="8">
        <v>89.083823055555499</v>
      </c>
      <c r="J101" s="8">
        <v>107.193415069444</v>
      </c>
      <c r="K101" s="6" t="s">
        <v>4450</v>
      </c>
      <c r="L101" s="9">
        <v>44092</v>
      </c>
      <c r="N101" s="6">
        <v>52</v>
      </c>
      <c r="O101" s="6" t="s">
        <v>4441</v>
      </c>
      <c r="T101" s="10"/>
      <c r="U101" s="6">
        <v>2.2999999999999998</v>
      </c>
      <c r="V101" s="8">
        <v>0.66601516132354799</v>
      </c>
      <c r="W101" s="8">
        <v>5.0338525962829594</v>
      </c>
      <c r="X101" s="8">
        <f t="shared" si="6"/>
        <v>-0.29426869430542446</v>
      </c>
    </row>
    <row r="102" spans="1:25" s="6" customFormat="1" x14ac:dyDescent="0.35">
      <c r="A102" s="6" t="s">
        <v>25</v>
      </c>
      <c r="B102" s="6" t="s">
        <v>2557</v>
      </c>
      <c r="D102" s="6" t="s">
        <v>2558</v>
      </c>
      <c r="E102" s="6">
        <v>5</v>
      </c>
      <c r="F102" s="6">
        <v>61</v>
      </c>
      <c r="G102" s="6" t="s">
        <v>2285</v>
      </c>
      <c r="I102" s="8">
        <v>89.083823055555499</v>
      </c>
      <c r="J102" s="8">
        <v>107.193415069444</v>
      </c>
      <c r="K102" s="6" t="s">
        <v>4450</v>
      </c>
      <c r="L102" s="9">
        <v>44092</v>
      </c>
      <c r="N102" s="6">
        <v>52</v>
      </c>
      <c r="O102" s="6" t="s">
        <v>4441</v>
      </c>
      <c r="T102" s="10"/>
      <c r="U102" s="6">
        <v>2.6</v>
      </c>
      <c r="V102" s="8">
        <v>0.68566359882354799</v>
      </c>
      <c r="W102" s="8">
        <v>4.4899046325683605</v>
      </c>
      <c r="X102" s="8">
        <f t="shared" si="6"/>
        <v>-0.99540415802002347</v>
      </c>
    </row>
    <row r="103" spans="1:25" s="6" customFormat="1" x14ac:dyDescent="0.35">
      <c r="A103" s="6" t="s">
        <v>25</v>
      </c>
      <c r="B103" s="6" t="s">
        <v>2559</v>
      </c>
      <c r="D103" s="6" t="s">
        <v>2560</v>
      </c>
      <c r="E103" s="6">
        <v>5</v>
      </c>
      <c r="F103" s="6">
        <v>61</v>
      </c>
      <c r="G103" s="6" t="s">
        <v>2285</v>
      </c>
      <c r="I103" s="8">
        <v>89.083823055555499</v>
      </c>
      <c r="J103" s="8">
        <v>107.193415069444</v>
      </c>
      <c r="K103" s="6" t="s">
        <v>4450</v>
      </c>
      <c r="L103" s="9">
        <v>44092</v>
      </c>
      <c r="N103" s="6">
        <v>52</v>
      </c>
      <c r="O103" s="6" t="s">
        <v>4441</v>
      </c>
      <c r="T103" s="10"/>
      <c r="U103" s="6">
        <v>2.1</v>
      </c>
      <c r="V103" s="8">
        <v>0.77955054657459311</v>
      </c>
      <c r="W103" s="8">
        <v>5.3373455238342284</v>
      </c>
      <c r="X103" s="8">
        <f t="shared" si="6"/>
        <v>-0.8990588487625164</v>
      </c>
    </row>
    <row r="104" spans="1:25" s="6" customFormat="1" x14ac:dyDescent="0.35">
      <c r="A104" s="6" t="s">
        <v>25</v>
      </c>
      <c r="B104" s="6" t="s">
        <v>2561</v>
      </c>
      <c r="D104" s="6" t="s">
        <v>2562</v>
      </c>
      <c r="E104" s="6">
        <v>5</v>
      </c>
      <c r="F104" s="6">
        <v>61</v>
      </c>
      <c r="G104" s="6" t="s">
        <v>2285</v>
      </c>
      <c r="I104" s="8">
        <v>89.083823055555499</v>
      </c>
      <c r="J104" s="8">
        <v>107.193415069444</v>
      </c>
      <c r="K104" s="6" t="s">
        <v>4450</v>
      </c>
      <c r="L104" s="9">
        <v>44092</v>
      </c>
      <c r="N104" s="6">
        <v>52</v>
      </c>
      <c r="O104" s="6" t="s">
        <v>4441</v>
      </c>
      <c r="T104" s="10"/>
      <c r="U104" s="6">
        <v>2.1</v>
      </c>
      <c r="V104" s="8">
        <v>0.6937910651445387</v>
      </c>
      <c r="W104" s="8">
        <v>5.431420106887817</v>
      </c>
      <c r="X104" s="8">
        <f t="shared" si="6"/>
        <v>-0.11890841426849263</v>
      </c>
    </row>
    <row r="105" spans="1:25" s="12" customFormat="1" x14ac:dyDescent="0.35">
      <c r="A105" s="6" t="s">
        <v>25</v>
      </c>
      <c r="B105" s="6" t="s">
        <v>2563</v>
      </c>
      <c r="C105" s="6"/>
      <c r="D105" s="6" t="s">
        <v>2564</v>
      </c>
      <c r="E105" s="6">
        <v>5</v>
      </c>
      <c r="F105" s="6">
        <v>61</v>
      </c>
      <c r="G105" s="6" t="s">
        <v>2285</v>
      </c>
      <c r="H105" s="6"/>
      <c r="I105" s="8">
        <v>89.083823055555499</v>
      </c>
      <c r="J105" s="8">
        <v>107.193415069444</v>
      </c>
      <c r="K105" s="6" t="s">
        <v>4450</v>
      </c>
      <c r="L105" s="9">
        <v>44092</v>
      </c>
      <c r="M105" s="6"/>
      <c r="N105" s="6">
        <v>52</v>
      </c>
      <c r="O105" s="6" t="s">
        <v>4441</v>
      </c>
      <c r="P105" s="6"/>
      <c r="Q105" s="6"/>
      <c r="R105" s="6"/>
      <c r="S105" s="6"/>
      <c r="T105" s="10"/>
      <c r="U105" s="6">
        <v>2.2999999999999998</v>
      </c>
      <c r="V105" s="8">
        <v>0.65981350331306476</v>
      </c>
      <c r="W105" s="8">
        <v>5.0468271923065178</v>
      </c>
      <c r="X105" s="8">
        <f t="shared" si="6"/>
        <v>-0.23168083419800034</v>
      </c>
      <c r="Y105" s="6"/>
    </row>
    <row r="106" spans="1:25" s="6" customFormat="1" x14ac:dyDescent="0.35">
      <c r="A106" s="6" t="s">
        <v>25</v>
      </c>
      <c r="B106" s="6" t="s">
        <v>2565</v>
      </c>
      <c r="D106" s="6" t="s">
        <v>2566</v>
      </c>
      <c r="E106" s="6">
        <v>5</v>
      </c>
      <c r="F106" s="6">
        <v>61</v>
      </c>
      <c r="G106" s="6" t="s">
        <v>2285</v>
      </c>
      <c r="I106" s="8">
        <v>89.083823055555499</v>
      </c>
      <c r="J106" s="8">
        <v>107.193415069444</v>
      </c>
      <c r="K106" s="6" t="s">
        <v>4450</v>
      </c>
      <c r="L106" s="9">
        <v>44092</v>
      </c>
      <c r="N106" s="6">
        <v>52</v>
      </c>
      <c r="O106" s="6" t="s">
        <v>4441</v>
      </c>
      <c r="T106" s="10"/>
      <c r="U106" s="6">
        <v>2.2000000000000002</v>
      </c>
      <c r="V106" s="8">
        <v>0.61995106415748658</v>
      </c>
      <c r="W106" s="8">
        <v>4.5747682571411143</v>
      </c>
      <c r="X106" s="8">
        <f t="shared" si="6"/>
        <v>-0.38484025611877826</v>
      </c>
    </row>
    <row r="107" spans="1:25" s="6" customFormat="1" x14ac:dyDescent="0.35">
      <c r="A107" s="6" t="s">
        <v>25</v>
      </c>
      <c r="B107" s="6" t="s">
        <v>2567</v>
      </c>
      <c r="D107" s="6" t="s">
        <v>2568</v>
      </c>
      <c r="E107" s="6">
        <v>5</v>
      </c>
      <c r="F107" s="6">
        <v>61</v>
      </c>
      <c r="G107" s="6" t="s">
        <v>2285</v>
      </c>
      <c r="I107" s="8">
        <v>89.083823055555499</v>
      </c>
      <c r="J107" s="8">
        <v>107.193415069444</v>
      </c>
      <c r="K107" s="6" t="s">
        <v>4450</v>
      </c>
      <c r="L107" s="9">
        <v>44092</v>
      </c>
      <c r="N107" s="6">
        <v>52</v>
      </c>
      <c r="O107" s="6" t="s">
        <v>4441</v>
      </c>
      <c r="T107" s="10"/>
      <c r="U107" s="6">
        <v>1.6</v>
      </c>
      <c r="V107" s="8">
        <v>0.5900009283304215</v>
      </c>
      <c r="W107" s="8">
        <v>4.941100940704346</v>
      </c>
      <c r="X107" s="8">
        <f t="shared" si="6"/>
        <v>0.22109351406097399</v>
      </c>
    </row>
    <row r="108" spans="1:25" s="6" customFormat="1" x14ac:dyDescent="0.35">
      <c r="A108" s="6" t="s">
        <v>25</v>
      </c>
      <c r="B108" s="6" t="s">
        <v>2569</v>
      </c>
      <c r="D108" s="6" t="s">
        <v>2570</v>
      </c>
      <c r="E108" s="6">
        <v>5</v>
      </c>
      <c r="F108" s="6">
        <v>61</v>
      </c>
      <c r="G108" s="6" t="s">
        <v>2285</v>
      </c>
      <c r="I108" s="8">
        <v>89.083823055555499</v>
      </c>
      <c r="J108" s="8">
        <v>107.193415069444</v>
      </c>
      <c r="K108" s="6" t="s">
        <v>4450</v>
      </c>
      <c r="L108" s="9">
        <v>44092</v>
      </c>
      <c r="N108" s="6">
        <v>52</v>
      </c>
      <c r="O108" s="6" t="s">
        <v>4441</v>
      </c>
      <c r="T108" s="10"/>
      <c r="U108" s="6">
        <v>1.2</v>
      </c>
      <c r="V108" s="8">
        <v>0.75131858099699045</v>
      </c>
      <c r="W108" s="8">
        <v>5.8852733010649683</v>
      </c>
      <c r="X108" s="8">
        <f t="shared" si="6"/>
        <v>-0.12527534691095532</v>
      </c>
    </row>
    <row r="109" spans="1:25" s="6" customFormat="1" x14ac:dyDescent="0.35">
      <c r="A109" s="6" t="s">
        <v>25</v>
      </c>
      <c r="B109" s="6" t="s">
        <v>2571</v>
      </c>
      <c r="D109" s="6" t="s">
        <v>2572</v>
      </c>
      <c r="E109" s="6">
        <v>5</v>
      </c>
      <c r="F109" s="6">
        <v>61</v>
      </c>
      <c r="G109" s="6" t="s">
        <v>2285</v>
      </c>
      <c r="I109" s="8">
        <v>89.083823055555499</v>
      </c>
      <c r="J109" s="8">
        <v>107.193415069444</v>
      </c>
      <c r="K109" s="6" t="s">
        <v>4450</v>
      </c>
      <c r="L109" s="9">
        <v>44092</v>
      </c>
      <c r="N109" s="6">
        <v>52</v>
      </c>
      <c r="O109" s="6" t="s">
        <v>4441</v>
      </c>
      <c r="T109" s="10"/>
      <c r="U109" s="6">
        <v>1.2</v>
      </c>
      <c r="V109" s="8">
        <v>0.86138395364284548</v>
      </c>
      <c r="W109" s="8">
        <v>5.7808504782319066</v>
      </c>
      <c r="X109" s="8">
        <f t="shared" si="6"/>
        <v>-1.1102211509108573</v>
      </c>
    </row>
    <row r="110" spans="1:25" s="6" customFormat="1" x14ac:dyDescent="0.35">
      <c r="A110" s="6" t="s">
        <v>25</v>
      </c>
      <c r="B110" s="6" t="s">
        <v>2573</v>
      </c>
      <c r="D110" s="6" t="s">
        <v>2574</v>
      </c>
      <c r="E110" s="6">
        <v>5</v>
      </c>
      <c r="F110" s="6">
        <v>61</v>
      </c>
      <c r="G110" s="6" t="s">
        <v>2285</v>
      </c>
      <c r="I110" s="8">
        <v>89.083823055555499</v>
      </c>
      <c r="J110" s="8">
        <v>107.193415069444</v>
      </c>
      <c r="K110" s="6" t="s">
        <v>4450</v>
      </c>
      <c r="L110" s="9">
        <v>44092</v>
      </c>
      <c r="N110" s="6">
        <v>52</v>
      </c>
      <c r="O110" s="6" t="s">
        <v>4441</v>
      </c>
      <c r="T110" s="10"/>
      <c r="U110" s="6">
        <v>1.2</v>
      </c>
      <c r="V110" s="8">
        <v>0.71580753154754651</v>
      </c>
      <c r="W110" s="8">
        <v>4.9325473201274868</v>
      </c>
      <c r="X110" s="8">
        <f t="shared" si="6"/>
        <v>-0.79391293225288528</v>
      </c>
    </row>
  </sheetData>
  <sortState ref="A2:Y110">
    <sortCondition ref="L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4BAA-832C-4E54-8B1D-653173DDBF58}">
  <dimension ref="A1:Y22"/>
  <sheetViews>
    <sheetView workbookViewId="0"/>
  </sheetViews>
  <sheetFormatPr defaultRowHeight="14.5" x14ac:dyDescent="0.35"/>
  <cols>
    <col min="1" max="1" width="7.7265625" bestFit="1" customWidth="1"/>
    <col min="2" max="3" width="17" bestFit="1" customWidth="1"/>
    <col min="4" max="4" width="38.1796875" bestFit="1" customWidth="1"/>
    <col min="5" max="5" width="3.81640625" bestFit="1" customWidth="1"/>
    <col min="6" max="6" width="6" bestFit="1" customWidth="1"/>
    <col min="7" max="7" width="8" bestFit="1" customWidth="1"/>
    <col min="8" max="8" width="18.6328125" bestFit="1" customWidth="1"/>
    <col min="9" max="9" width="7.90625" bestFit="1" customWidth="1"/>
    <col min="10" max="10" width="9.36328125" bestFit="1" customWidth="1"/>
    <col min="11" max="11" width="10.90625" bestFit="1" customWidth="1"/>
    <col min="12" max="12" width="11.453125" bestFit="1" customWidth="1"/>
    <col min="13" max="13" width="5.1796875" bestFit="1" customWidth="1"/>
    <col min="14" max="14" width="14" bestFit="1" customWidth="1"/>
    <col min="15" max="15" width="9.08984375" bestFit="1" customWidth="1"/>
    <col min="16" max="16" width="15.81640625" bestFit="1" customWidth="1"/>
    <col min="17" max="17" width="17.26953125" bestFit="1" customWidth="1"/>
    <col min="18" max="19" width="8" bestFit="1" customWidth="1"/>
    <col min="20" max="21" width="12" bestFit="1" customWidth="1"/>
    <col min="22" max="23" width="6" bestFit="1" customWidth="1"/>
    <col min="24" max="24" width="8.54296875" bestFit="1" customWidth="1"/>
    <col min="25" max="25" width="10.08984375" bestFit="1" customWidth="1"/>
  </cols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4" t="s">
        <v>16</v>
      </c>
      <c r="R1" s="4" t="s">
        <v>4241</v>
      </c>
      <c r="S1" s="4" t="s">
        <v>18</v>
      </c>
      <c r="T1" s="4" t="s">
        <v>19</v>
      </c>
      <c r="U1" s="1" t="s">
        <v>20</v>
      </c>
      <c r="V1" s="5" t="s">
        <v>21</v>
      </c>
      <c r="W1" s="5" t="s">
        <v>22</v>
      </c>
      <c r="X1" s="5" t="s">
        <v>23</v>
      </c>
      <c r="Y1" s="1" t="s">
        <v>24</v>
      </c>
    </row>
    <row r="2" spans="1:25" s="6" customFormat="1" x14ac:dyDescent="0.35">
      <c r="A2" s="6" t="s">
        <v>25</v>
      </c>
      <c r="B2" s="6" t="s">
        <v>717</v>
      </c>
      <c r="C2" s="6">
        <v>510911</v>
      </c>
      <c r="D2" s="6" t="s">
        <v>718</v>
      </c>
      <c r="E2" s="6">
        <v>1</v>
      </c>
      <c r="F2" s="6">
        <v>9</v>
      </c>
      <c r="G2" s="6" t="s">
        <v>272</v>
      </c>
      <c r="I2" s="8">
        <v>86.038676874999993</v>
      </c>
      <c r="J2" s="8">
        <v>112.924474722222</v>
      </c>
      <c r="K2" s="6" t="s">
        <v>719</v>
      </c>
      <c r="L2" s="9">
        <v>43799</v>
      </c>
      <c r="N2" s="6">
        <v>9</v>
      </c>
      <c r="O2" s="6" t="s">
        <v>4275</v>
      </c>
      <c r="Q2" s="6" t="s">
        <v>64</v>
      </c>
      <c r="R2" s="6">
        <v>0</v>
      </c>
      <c r="S2" s="6">
        <v>10</v>
      </c>
      <c r="T2" s="10">
        <f t="shared" ref="T2:T22" si="0">AVERAGE(R2:S2)</f>
        <v>5</v>
      </c>
      <c r="U2" s="6">
        <v>0.1</v>
      </c>
      <c r="V2" s="8">
        <v>-10.212704399871825</v>
      </c>
      <c r="W2" s="8">
        <v>-78.516433563232425</v>
      </c>
      <c r="X2" s="8">
        <f t="shared" ref="X2:X22" si="1">W2-(8*V2)</f>
        <v>3.1852016357421746</v>
      </c>
    </row>
    <row r="3" spans="1:25" s="6" customFormat="1" x14ac:dyDescent="0.35">
      <c r="A3" s="6" t="s">
        <v>25</v>
      </c>
      <c r="B3" s="6" t="s">
        <v>720</v>
      </c>
      <c r="C3" s="6">
        <v>510912</v>
      </c>
      <c r="D3" s="6" t="s">
        <v>718</v>
      </c>
      <c r="E3" s="6">
        <v>1</v>
      </c>
      <c r="F3" s="6">
        <v>9</v>
      </c>
      <c r="G3" s="6" t="s">
        <v>272</v>
      </c>
      <c r="I3" s="8">
        <v>86.038676874999993</v>
      </c>
      <c r="J3" s="8">
        <v>112.924474722222</v>
      </c>
      <c r="K3" s="6" t="s">
        <v>719</v>
      </c>
      <c r="L3" s="9">
        <v>43799</v>
      </c>
      <c r="N3" s="6">
        <v>9</v>
      </c>
      <c r="O3" s="6" t="s">
        <v>4275</v>
      </c>
      <c r="Q3" s="6" t="s">
        <v>138</v>
      </c>
      <c r="R3" s="6">
        <v>10</v>
      </c>
      <c r="S3" s="6">
        <v>20</v>
      </c>
      <c r="T3" s="10">
        <f t="shared" si="0"/>
        <v>15</v>
      </c>
      <c r="U3" s="6">
        <v>0</v>
      </c>
      <c r="V3" s="8">
        <v>-6.2702534397125254</v>
      </c>
      <c r="W3" s="8">
        <v>-48.812510292053219</v>
      </c>
      <c r="X3" s="8">
        <f t="shared" si="1"/>
        <v>1.3495172256469843</v>
      </c>
    </row>
    <row r="4" spans="1:25" s="6" customFormat="1" x14ac:dyDescent="0.35">
      <c r="A4" s="6" t="s">
        <v>25</v>
      </c>
      <c r="B4" s="6" t="s">
        <v>721</v>
      </c>
      <c r="C4" s="6">
        <v>510913</v>
      </c>
      <c r="D4" s="6" t="s">
        <v>718</v>
      </c>
      <c r="E4" s="6">
        <v>1</v>
      </c>
      <c r="F4" s="6">
        <v>9</v>
      </c>
      <c r="G4" s="6" t="s">
        <v>272</v>
      </c>
      <c r="I4" s="8">
        <v>86.038676874999993</v>
      </c>
      <c r="J4" s="8">
        <v>112.924474722222</v>
      </c>
      <c r="K4" s="6" t="s">
        <v>719</v>
      </c>
      <c r="L4" s="9">
        <v>43799</v>
      </c>
      <c r="N4" s="6">
        <v>9</v>
      </c>
      <c r="O4" s="6" t="s">
        <v>4275</v>
      </c>
      <c r="Q4" s="6" t="s">
        <v>452</v>
      </c>
      <c r="R4" s="6">
        <v>20</v>
      </c>
      <c r="S4" s="6">
        <v>30.5</v>
      </c>
      <c r="T4" s="10">
        <f t="shared" si="0"/>
        <v>25.25</v>
      </c>
      <c r="U4" s="6">
        <v>0</v>
      </c>
      <c r="V4" s="8">
        <v>-5.1255710151672362</v>
      </c>
      <c r="W4" s="8">
        <v>-39.552428764343261</v>
      </c>
      <c r="X4" s="8">
        <f t="shared" si="1"/>
        <v>1.4521393569946284</v>
      </c>
    </row>
    <row r="5" spans="1:25" s="6" customFormat="1" x14ac:dyDescent="0.35">
      <c r="A5" s="6" t="s">
        <v>25</v>
      </c>
      <c r="B5" s="6" t="s">
        <v>722</v>
      </c>
      <c r="C5" s="6">
        <v>510914</v>
      </c>
      <c r="D5" s="6" t="s">
        <v>718</v>
      </c>
      <c r="E5" s="6">
        <v>1</v>
      </c>
      <c r="F5" s="6">
        <v>9</v>
      </c>
      <c r="G5" s="6" t="s">
        <v>272</v>
      </c>
      <c r="I5" s="8">
        <v>86.038676874999993</v>
      </c>
      <c r="J5" s="8">
        <v>112.924474722222</v>
      </c>
      <c r="K5" s="6" t="s">
        <v>719</v>
      </c>
      <c r="L5" s="9">
        <v>43799</v>
      </c>
      <c r="N5" s="6">
        <v>9</v>
      </c>
      <c r="O5" s="6" t="s">
        <v>4275</v>
      </c>
      <c r="Q5" s="6" t="s">
        <v>723</v>
      </c>
      <c r="R5" s="6">
        <v>30.5</v>
      </c>
      <c r="S5" s="6">
        <v>40.5</v>
      </c>
      <c r="T5" s="10">
        <f t="shared" si="0"/>
        <v>35.5</v>
      </c>
      <c r="U5" s="6">
        <v>0.1</v>
      </c>
      <c r="V5" s="8">
        <v>-5.1048868587493894</v>
      </c>
      <c r="W5" s="8">
        <v>-39.097666053771974</v>
      </c>
      <c r="X5" s="8">
        <f t="shared" si="1"/>
        <v>1.7414288162231415</v>
      </c>
    </row>
    <row r="6" spans="1:25" s="6" customFormat="1" x14ac:dyDescent="0.35">
      <c r="A6" s="6" t="s">
        <v>25</v>
      </c>
      <c r="B6" s="6" t="s">
        <v>724</v>
      </c>
      <c r="C6" s="6">
        <v>510915</v>
      </c>
      <c r="D6" s="6" t="s">
        <v>718</v>
      </c>
      <c r="E6" s="6">
        <v>1</v>
      </c>
      <c r="F6" s="6">
        <v>9</v>
      </c>
      <c r="G6" s="6" t="s">
        <v>272</v>
      </c>
      <c r="I6" s="8">
        <v>86.038676874999993</v>
      </c>
      <c r="J6" s="8">
        <v>112.924474722222</v>
      </c>
      <c r="K6" s="6" t="s">
        <v>719</v>
      </c>
      <c r="L6" s="9">
        <v>43799</v>
      </c>
      <c r="N6" s="6">
        <v>9</v>
      </c>
      <c r="O6" s="6" t="s">
        <v>4275</v>
      </c>
      <c r="Q6" s="6" t="s">
        <v>725</v>
      </c>
      <c r="R6" s="6">
        <v>40.5</v>
      </c>
      <c r="S6" s="6">
        <v>50.5</v>
      </c>
      <c r="T6" s="10">
        <f t="shared" si="0"/>
        <v>45.5</v>
      </c>
      <c r="U6" s="6">
        <v>2</v>
      </c>
      <c r="V6" s="8">
        <v>-3.4745537984848029</v>
      </c>
      <c r="W6" s="8">
        <v>-26.402368785858155</v>
      </c>
      <c r="X6" s="8">
        <f t="shared" si="1"/>
        <v>1.394061602020269</v>
      </c>
    </row>
    <row r="7" spans="1:25" s="6" customFormat="1" x14ac:dyDescent="0.35">
      <c r="A7" s="6" t="s">
        <v>25</v>
      </c>
      <c r="B7" s="6" t="s">
        <v>726</v>
      </c>
      <c r="C7" s="6">
        <v>510916</v>
      </c>
      <c r="D7" s="6" t="s">
        <v>718</v>
      </c>
      <c r="E7" s="6">
        <v>1</v>
      </c>
      <c r="F7" s="6">
        <v>9</v>
      </c>
      <c r="G7" s="6" t="s">
        <v>272</v>
      </c>
      <c r="I7" s="8">
        <v>86.038676874999993</v>
      </c>
      <c r="J7" s="8">
        <v>112.924474722222</v>
      </c>
      <c r="K7" s="6" t="s">
        <v>719</v>
      </c>
      <c r="L7" s="9">
        <v>43799</v>
      </c>
      <c r="N7" s="6">
        <v>9</v>
      </c>
      <c r="O7" s="6" t="s">
        <v>4275</v>
      </c>
      <c r="Q7" s="6" t="s">
        <v>727</v>
      </c>
      <c r="R7" s="6">
        <v>50.5</v>
      </c>
      <c r="S7" s="6">
        <v>60.5</v>
      </c>
      <c r="T7" s="10">
        <f t="shared" si="0"/>
        <v>55.5</v>
      </c>
      <c r="U7" s="6">
        <v>1.8</v>
      </c>
      <c r="V7" s="8">
        <v>-2.5404390066146854</v>
      </c>
      <c r="W7" s="8">
        <v>-18.926591289520264</v>
      </c>
      <c r="X7" s="8">
        <f t="shared" si="1"/>
        <v>1.3969207633972189</v>
      </c>
    </row>
    <row r="8" spans="1:25" s="6" customFormat="1" x14ac:dyDescent="0.35">
      <c r="A8" s="6" t="s">
        <v>25</v>
      </c>
      <c r="B8" s="6" t="s">
        <v>728</v>
      </c>
      <c r="C8" s="6">
        <v>510917</v>
      </c>
      <c r="D8" s="6" t="s">
        <v>718</v>
      </c>
      <c r="E8" s="6">
        <v>1</v>
      </c>
      <c r="F8" s="6">
        <v>9</v>
      </c>
      <c r="G8" s="6" t="s">
        <v>272</v>
      </c>
      <c r="I8" s="8">
        <v>86.038676874999993</v>
      </c>
      <c r="J8" s="8">
        <v>112.924474722222</v>
      </c>
      <c r="K8" s="6" t="s">
        <v>719</v>
      </c>
      <c r="L8" s="9">
        <v>43799</v>
      </c>
      <c r="N8" s="6">
        <v>9</v>
      </c>
      <c r="O8" s="6" t="s">
        <v>4275</v>
      </c>
      <c r="Q8" s="6" t="s">
        <v>729</v>
      </c>
      <c r="R8" s="6">
        <v>60.5</v>
      </c>
      <c r="S8" s="6">
        <v>70.5</v>
      </c>
      <c r="T8" s="10">
        <f t="shared" si="0"/>
        <v>65.5</v>
      </c>
      <c r="U8" s="6">
        <v>1.5</v>
      </c>
      <c r="V8" s="8">
        <v>-1.9465349521636965</v>
      </c>
      <c r="W8" s="8">
        <v>-14.119267061519622</v>
      </c>
      <c r="X8" s="8">
        <f t="shared" si="1"/>
        <v>1.4530125557899503</v>
      </c>
    </row>
    <row r="9" spans="1:25" s="6" customFormat="1" x14ac:dyDescent="0.35">
      <c r="A9" s="6" t="s">
        <v>25</v>
      </c>
      <c r="B9" s="6" t="s">
        <v>730</v>
      </c>
      <c r="C9" s="6">
        <v>510918</v>
      </c>
      <c r="D9" s="6" t="s">
        <v>718</v>
      </c>
      <c r="E9" s="6">
        <v>1</v>
      </c>
      <c r="F9" s="6">
        <v>9</v>
      </c>
      <c r="G9" s="6" t="s">
        <v>272</v>
      </c>
      <c r="I9" s="8">
        <v>86.038676874999993</v>
      </c>
      <c r="J9" s="8">
        <v>112.924474722222</v>
      </c>
      <c r="K9" s="6" t="s">
        <v>719</v>
      </c>
      <c r="L9" s="9">
        <v>43799</v>
      </c>
      <c r="N9" s="6">
        <v>9</v>
      </c>
      <c r="O9" s="6" t="s">
        <v>4275</v>
      </c>
      <c r="Q9" s="6" t="s">
        <v>731</v>
      </c>
      <c r="R9" s="6">
        <v>70.5</v>
      </c>
      <c r="S9" s="6">
        <v>80.5</v>
      </c>
      <c r="T9" s="10">
        <f t="shared" si="0"/>
        <v>75.5</v>
      </c>
      <c r="U9" s="6">
        <v>2</v>
      </c>
      <c r="V9" s="8">
        <v>-1.642694298043847</v>
      </c>
      <c r="W9" s="8">
        <v>-11.252418446063995</v>
      </c>
      <c r="X9" s="8">
        <f t="shared" si="1"/>
        <v>1.8891359382867812</v>
      </c>
    </row>
    <row r="10" spans="1:25" s="6" customFormat="1" x14ac:dyDescent="0.35">
      <c r="A10" s="6" t="s">
        <v>25</v>
      </c>
      <c r="B10" s="6" t="s">
        <v>732</v>
      </c>
      <c r="C10" s="6">
        <v>510919</v>
      </c>
      <c r="D10" s="6" t="s">
        <v>718</v>
      </c>
      <c r="E10" s="6">
        <v>1</v>
      </c>
      <c r="F10" s="6">
        <v>9</v>
      </c>
      <c r="G10" s="6" t="s">
        <v>272</v>
      </c>
      <c r="I10" s="8">
        <v>86.038676874999993</v>
      </c>
      <c r="J10" s="8">
        <v>112.924474722222</v>
      </c>
      <c r="K10" s="6" t="s">
        <v>719</v>
      </c>
      <c r="L10" s="9">
        <v>43799</v>
      </c>
      <c r="N10" s="6">
        <v>9</v>
      </c>
      <c r="O10" s="6" t="s">
        <v>4275</v>
      </c>
      <c r="Q10" s="6" t="s">
        <v>733</v>
      </c>
      <c r="R10" s="6">
        <v>80.5</v>
      </c>
      <c r="S10" s="6">
        <v>90.5</v>
      </c>
      <c r="T10" s="10">
        <f t="shared" si="0"/>
        <v>85.5</v>
      </c>
      <c r="U10" s="6">
        <v>2.2999999999999998</v>
      </c>
      <c r="V10" s="8">
        <v>-1.0508081239908935</v>
      </c>
      <c r="W10" s="8">
        <v>-7.5335260973453515</v>
      </c>
      <c r="X10" s="8">
        <f t="shared" si="1"/>
        <v>0.87293889458179663</v>
      </c>
    </row>
    <row r="11" spans="1:25" s="6" customFormat="1" x14ac:dyDescent="0.35">
      <c r="A11" s="6" t="s">
        <v>25</v>
      </c>
      <c r="B11" s="6" t="s">
        <v>734</v>
      </c>
      <c r="C11" s="6">
        <v>510920</v>
      </c>
      <c r="D11" s="6" t="s">
        <v>718</v>
      </c>
      <c r="E11" s="6">
        <v>1</v>
      </c>
      <c r="F11" s="6">
        <v>9</v>
      </c>
      <c r="G11" s="6" t="s">
        <v>272</v>
      </c>
      <c r="I11" s="8">
        <v>86.038676874999993</v>
      </c>
      <c r="J11" s="8">
        <v>112.924474722222</v>
      </c>
      <c r="K11" s="6" t="s">
        <v>719</v>
      </c>
      <c r="L11" s="9">
        <v>43799</v>
      </c>
      <c r="N11" s="6">
        <v>9</v>
      </c>
      <c r="O11" s="6" t="s">
        <v>4275</v>
      </c>
      <c r="Q11" s="6" t="s">
        <v>735</v>
      </c>
      <c r="R11" s="6">
        <v>90.5</v>
      </c>
      <c r="S11" s="6">
        <v>100.5</v>
      </c>
      <c r="T11" s="10">
        <f t="shared" si="0"/>
        <v>95.5</v>
      </c>
      <c r="U11" s="6">
        <v>2.5</v>
      </c>
      <c r="V11" s="8">
        <v>-0.3076630433499814</v>
      </c>
      <c r="W11" s="8">
        <v>-2.1182241737842564</v>
      </c>
      <c r="X11" s="8">
        <f t="shared" si="1"/>
        <v>0.34308017301559479</v>
      </c>
    </row>
    <row r="12" spans="1:25" s="6" customFormat="1" x14ac:dyDescent="0.35">
      <c r="A12" s="6" t="s">
        <v>25</v>
      </c>
      <c r="B12" s="6" t="s">
        <v>736</v>
      </c>
      <c r="C12" s="6">
        <v>510921</v>
      </c>
      <c r="D12" s="6" t="s">
        <v>718</v>
      </c>
      <c r="E12" s="6">
        <v>1</v>
      </c>
      <c r="F12" s="6">
        <v>9</v>
      </c>
      <c r="G12" s="6" t="s">
        <v>272</v>
      </c>
      <c r="I12" s="8">
        <v>86.038676874999993</v>
      </c>
      <c r="J12" s="8">
        <v>112.924474722222</v>
      </c>
      <c r="K12" s="6" t="s">
        <v>719</v>
      </c>
      <c r="L12" s="9">
        <v>43799</v>
      </c>
      <c r="N12" s="6">
        <v>9</v>
      </c>
      <c r="O12" s="6" t="s">
        <v>4275</v>
      </c>
      <c r="Q12" s="6" t="s">
        <v>737</v>
      </c>
      <c r="R12" s="6">
        <v>100.5</v>
      </c>
      <c r="S12" s="6">
        <v>110.5</v>
      </c>
      <c r="T12" s="10">
        <f t="shared" si="0"/>
        <v>105.5</v>
      </c>
      <c r="U12" s="6">
        <v>5.5</v>
      </c>
      <c r="V12" s="8">
        <v>8.1198934942483453E-2</v>
      </c>
      <c r="W12" s="8">
        <v>-0.34839341533184071</v>
      </c>
      <c r="X12" s="8">
        <f t="shared" si="1"/>
        <v>-0.99798489487170827</v>
      </c>
    </row>
    <row r="13" spans="1:25" s="6" customFormat="1" x14ac:dyDescent="0.35">
      <c r="A13" s="6" t="s">
        <v>25</v>
      </c>
      <c r="B13" s="6" t="s">
        <v>738</v>
      </c>
      <c r="C13" s="6">
        <v>510922</v>
      </c>
      <c r="D13" s="6" t="s">
        <v>718</v>
      </c>
      <c r="E13" s="6">
        <v>1</v>
      </c>
      <c r="F13" s="6">
        <v>9</v>
      </c>
      <c r="G13" s="6" t="s">
        <v>272</v>
      </c>
      <c r="I13" s="8">
        <v>86.038676874999993</v>
      </c>
      <c r="J13" s="8">
        <v>112.924474722222</v>
      </c>
      <c r="K13" s="6" t="s">
        <v>719</v>
      </c>
      <c r="L13" s="9">
        <v>43799</v>
      </c>
      <c r="N13" s="6">
        <v>9</v>
      </c>
      <c r="O13" s="6" t="s">
        <v>4275</v>
      </c>
      <c r="Q13" s="6" t="s">
        <v>739</v>
      </c>
      <c r="R13" s="6">
        <v>110.5</v>
      </c>
      <c r="S13" s="6">
        <v>120.5</v>
      </c>
      <c r="T13" s="10">
        <f t="shared" si="0"/>
        <v>115.5</v>
      </c>
      <c r="U13" s="6">
        <v>4.4000000000000004</v>
      </c>
      <c r="V13" s="8">
        <v>0.46495772843062871</v>
      </c>
      <c r="W13" s="8">
        <v>4.6844618048191062</v>
      </c>
      <c r="X13" s="8">
        <f t="shared" si="1"/>
        <v>0.96479997737407652</v>
      </c>
    </row>
    <row r="14" spans="1:25" s="6" customFormat="1" x14ac:dyDescent="0.35">
      <c r="A14" s="6" t="s">
        <v>25</v>
      </c>
      <c r="B14" s="6" t="s">
        <v>740</v>
      </c>
      <c r="C14" s="6">
        <v>510923</v>
      </c>
      <c r="D14" s="6" t="s">
        <v>718</v>
      </c>
      <c r="E14" s="6">
        <v>1</v>
      </c>
      <c r="F14" s="6">
        <v>9</v>
      </c>
      <c r="G14" s="6" t="s">
        <v>272</v>
      </c>
      <c r="I14" s="8">
        <v>86.038676874999993</v>
      </c>
      <c r="J14" s="8">
        <v>112.924474722222</v>
      </c>
      <c r="K14" s="6" t="s">
        <v>719</v>
      </c>
      <c r="L14" s="9">
        <v>43799</v>
      </c>
      <c r="N14" s="6">
        <v>9</v>
      </c>
      <c r="O14" s="6" t="s">
        <v>4275</v>
      </c>
      <c r="Q14" s="6" t="s">
        <v>741</v>
      </c>
      <c r="R14" s="6">
        <v>120.5</v>
      </c>
      <c r="S14" s="6">
        <v>130.5</v>
      </c>
      <c r="T14" s="10">
        <f t="shared" si="0"/>
        <v>125.5</v>
      </c>
      <c r="U14" s="6">
        <v>3.3</v>
      </c>
      <c r="V14" s="8">
        <v>0.6630171893239023</v>
      </c>
      <c r="W14" s="8">
        <v>4.9911237259626393</v>
      </c>
      <c r="X14" s="8">
        <f t="shared" si="1"/>
        <v>-0.31301378862857909</v>
      </c>
    </row>
    <row r="15" spans="1:25" s="6" customFormat="1" x14ac:dyDescent="0.35">
      <c r="A15" s="6" t="s">
        <v>25</v>
      </c>
      <c r="B15" s="6" t="s">
        <v>742</v>
      </c>
      <c r="C15" s="6">
        <v>510924</v>
      </c>
      <c r="D15" s="6" t="s">
        <v>718</v>
      </c>
      <c r="E15" s="6">
        <v>1</v>
      </c>
      <c r="F15" s="6">
        <v>9</v>
      </c>
      <c r="G15" s="6" t="s">
        <v>272</v>
      </c>
      <c r="I15" s="8">
        <v>86.038676874999993</v>
      </c>
      <c r="J15" s="8">
        <v>112.924474722222</v>
      </c>
      <c r="K15" s="6" t="s">
        <v>719</v>
      </c>
      <c r="L15" s="9">
        <v>43799</v>
      </c>
      <c r="N15" s="6">
        <v>9</v>
      </c>
      <c r="O15" s="6" t="s">
        <v>4275</v>
      </c>
      <c r="Q15" s="6" t="s">
        <v>743</v>
      </c>
      <c r="R15" s="6">
        <v>130.5</v>
      </c>
      <c r="S15" s="6">
        <v>140.5</v>
      </c>
      <c r="T15" s="10">
        <f t="shared" si="0"/>
        <v>135.5</v>
      </c>
      <c r="U15" s="6">
        <v>4.8</v>
      </c>
      <c r="V15" s="8">
        <v>0.64797364228963827</v>
      </c>
      <c r="W15" s="8">
        <v>4.5090578703403477</v>
      </c>
      <c r="X15" s="8">
        <f t="shared" si="1"/>
        <v>-0.67473126797675853</v>
      </c>
    </row>
    <row r="16" spans="1:25" s="6" customFormat="1" x14ac:dyDescent="0.35">
      <c r="A16" s="6" t="s">
        <v>25</v>
      </c>
      <c r="B16" s="6" t="s">
        <v>744</v>
      </c>
      <c r="C16" s="6">
        <v>510928</v>
      </c>
      <c r="D16" s="6" t="s">
        <v>718</v>
      </c>
      <c r="E16" s="6">
        <v>1</v>
      </c>
      <c r="F16" s="6">
        <v>9</v>
      </c>
      <c r="G16" s="6" t="s">
        <v>272</v>
      </c>
      <c r="I16" s="8">
        <v>86.038676874999993</v>
      </c>
      <c r="J16" s="8">
        <v>112.924474722222</v>
      </c>
      <c r="K16" s="6" t="s">
        <v>719</v>
      </c>
      <c r="L16" s="9">
        <v>43799</v>
      </c>
      <c r="N16" s="6">
        <v>9</v>
      </c>
      <c r="O16" s="6" t="s">
        <v>4275</v>
      </c>
      <c r="Q16" s="6" t="s">
        <v>745</v>
      </c>
      <c r="R16" s="6">
        <v>140.5</v>
      </c>
      <c r="S16" s="6">
        <v>148.5</v>
      </c>
      <c r="T16" s="10">
        <f t="shared" si="0"/>
        <v>144.5</v>
      </c>
      <c r="U16" s="6">
        <v>4.8</v>
      </c>
      <c r="V16" s="8">
        <v>0.5296225489228964</v>
      </c>
      <c r="W16" s="8">
        <v>3.4271233739972118</v>
      </c>
      <c r="X16" s="8">
        <f t="shared" si="1"/>
        <v>-0.80985701738595939</v>
      </c>
    </row>
    <row r="17" spans="1:25" s="6" customFormat="1" x14ac:dyDescent="0.35">
      <c r="A17" s="6" t="s">
        <v>25</v>
      </c>
      <c r="B17" s="7" t="s">
        <v>1273</v>
      </c>
      <c r="D17" s="6" t="s">
        <v>1274</v>
      </c>
      <c r="E17" s="6">
        <v>3</v>
      </c>
      <c r="F17" s="6">
        <v>34</v>
      </c>
      <c r="G17" s="6" t="s">
        <v>719</v>
      </c>
      <c r="I17" s="8">
        <v>84.533711805555598</v>
      </c>
      <c r="J17" s="8">
        <v>14.277858402777801</v>
      </c>
      <c r="K17" s="6" t="s">
        <v>719</v>
      </c>
      <c r="L17" s="9">
        <v>43927</v>
      </c>
      <c r="N17" s="6">
        <v>28</v>
      </c>
      <c r="O17" s="6" t="s">
        <v>4359</v>
      </c>
      <c r="Q17" s="10"/>
      <c r="R17" s="10">
        <v>10</v>
      </c>
      <c r="S17" s="10">
        <v>15</v>
      </c>
      <c r="T17" s="10">
        <f t="shared" si="0"/>
        <v>12.5</v>
      </c>
      <c r="U17" s="11"/>
      <c r="V17" s="8">
        <v>-2.9814414594173435</v>
      </c>
      <c r="W17" s="8">
        <v>-23.37803039550781</v>
      </c>
      <c r="X17" s="8">
        <f t="shared" si="1"/>
        <v>0.4735012798309377</v>
      </c>
    </row>
    <row r="18" spans="1:25" s="6" customFormat="1" x14ac:dyDescent="0.35">
      <c r="A18" s="6" t="s">
        <v>25</v>
      </c>
      <c r="B18" s="7" t="s">
        <v>1275</v>
      </c>
      <c r="D18" s="6" t="s">
        <v>1276</v>
      </c>
      <c r="E18" s="6">
        <v>3</v>
      </c>
      <c r="F18" s="6">
        <v>34</v>
      </c>
      <c r="G18" s="6" t="s">
        <v>719</v>
      </c>
      <c r="I18" s="8">
        <v>84.533711805555598</v>
      </c>
      <c r="J18" s="8">
        <v>14.277858402777801</v>
      </c>
      <c r="K18" s="6" t="s">
        <v>719</v>
      </c>
      <c r="L18" s="9">
        <v>43927</v>
      </c>
      <c r="N18" s="6">
        <v>28</v>
      </c>
      <c r="O18" s="6" t="s">
        <v>4359</v>
      </c>
      <c r="Q18" s="10"/>
      <c r="R18" s="10">
        <v>5</v>
      </c>
      <c r="S18" s="10">
        <v>10</v>
      </c>
      <c r="T18" s="10">
        <f t="shared" si="0"/>
        <v>7.5</v>
      </c>
      <c r="U18" s="11"/>
      <c r="V18" s="8">
        <v>-2.4457040610313419</v>
      </c>
      <c r="W18" s="8">
        <v>-19.159216079711914</v>
      </c>
      <c r="X18" s="8">
        <f t="shared" si="1"/>
        <v>0.40641640853882066</v>
      </c>
    </row>
    <row r="19" spans="1:25" s="12" customFormat="1" x14ac:dyDescent="0.35">
      <c r="A19" s="6" t="s">
        <v>25</v>
      </c>
      <c r="B19" s="7" t="s">
        <v>1277</v>
      </c>
      <c r="C19" s="6"/>
      <c r="D19" s="6" t="s">
        <v>1278</v>
      </c>
      <c r="E19" s="6">
        <v>3</v>
      </c>
      <c r="F19" s="6">
        <v>34</v>
      </c>
      <c r="G19" s="6" t="s">
        <v>719</v>
      </c>
      <c r="H19" s="6"/>
      <c r="I19" s="8">
        <v>84.533711805555598</v>
      </c>
      <c r="J19" s="8">
        <v>14.277858402777801</v>
      </c>
      <c r="K19" s="6" t="s">
        <v>719</v>
      </c>
      <c r="L19" s="9">
        <v>43927</v>
      </c>
      <c r="M19" s="6"/>
      <c r="N19" s="6">
        <v>28</v>
      </c>
      <c r="O19" s="6" t="s">
        <v>4359</v>
      </c>
      <c r="P19" s="6"/>
      <c r="Q19" s="10"/>
      <c r="R19" s="10">
        <v>0</v>
      </c>
      <c r="S19" s="10">
        <v>5</v>
      </c>
      <c r="T19" s="10">
        <f t="shared" si="0"/>
        <v>2.5</v>
      </c>
      <c r="U19" s="11"/>
      <c r="V19" s="8">
        <v>-2.9609249600172047</v>
      </c>
      <c r="W19" s="8">
        <v>-23.870099601745604</v>
      </c>
      <c r="X19" s="8">
        <f t="shared" si="1"/>
        <v>-0.18269992160796633</v>
      </c>
      <c r="Y19" s="6"/>
    </row>
    <row r="20" spans="1:25" s="6" customFormat="1" x14ac:dyDescent="0.35">
      <c r="A20" s="6" t="s">
        <v>25</v>
      </c>
      <c r="B20" s="7" t="s">
        <v>1279</v>
      </c>
      <c r="D20" s="6" t="s">
        <v>1280</v>
      </c>
      <c r="E20" s="6">
        <v>3</v>
      </c>
      <c r="F20" s="6">
        <v>34</v>
      </c>
      <c r="G20" s="6" t="s">
        <v>719</v>
      </c>
      <c r="I20" s="8">
        <v>84.533711805555598</v>
      </c>
      <c r="J20" s="8">
        <v>14.277858402777801</v>
      </c>
      <c r="K20" s="6" t="s">
        <v>719</v>
      </c>
      <c r="L20" s="9">
        <v>43927</v>
      </c>
      <c r="N20" s="6">
        <v>28</v>
      </c>
      <c r="O20" s="6" t="s">
        <v>4359</v>
      </c>
      <c r="Q20" s="10"/>
      <c r="R20" s="10">
        <v>0</v>
      </c>
      <c r="S20" s="10">
        <v>5</v>
      </c>
      <c r="T20" s="10">
        <f t="shared" si="0"/>
        <v>2.5</v>
      </c>
      <c r="U20" s="11"/>
      <c r="V20" s="8">
        <v>-0.59684273469448113</v>
      </c>
      <c r="W20" s="8">
        <v>-4.4265270137786867</v>
      </c>
      <c r="X20" s="8">
        <f t="shared" si="1"/>
        <v>0.34821486377716226</v>
      </c>
    </row>
    <row r="21" spans="1:25" s="6" customFormat="1" x14ac:dyDescent="0.35">
      <c r="A21" s="6" t="s">
        <v>25</v>
      </c>
      <c r="B21" s="7" t="s">
        <v>1281</v>
      </c>
      <c r="D21" s="6" t="s">
        <v>1282</v>
      </c>
      <c r="E21" s="6">
        <v>3</v>
      </c>
      <c r="F21" s="6">
        <v>34</v>
      </c>
      <c r="G21" s="6" t="s">
        <v>719</v>
      </c>
      <c r="I21" s="8">
        <v>84.533711805555598</v>
      </c>
      <c r="J21" s="8">
        <v>14.277858402777801</v>
      </c>
      <c r="K21" s="6" t="s">
        <v>719</v>
      </c>
      <c r="L21" s="9">
        <v>43927</v>
      </c>
      <c r="N21" s="6">
        <v>28</v>
      </c>
      <c r="O21" s="6" t="s">
        <v>4359</v>
      </c>
      <c r="Q21" s="10"/>
      <c r="R21" s="10">
        <v>5</v>
      </c>
      <c r="S21" s="10">
        <v>10</v>
      </c>
      <c r="T21" s="10">
        <f t="shared" si="0"/>
        <v>7.5</v>
      </c>
      <c r="U21" s="11"/>
      <c r="V21" s="8">
        <v>-0.68259917539358184</v>
      </c>
      <c r="W21" s="8">
        <v>-4.6465058803558348</v>
      </c>
      <c r="X21" s="8">
        <f t="shared" si="1"/>
        <v>0.81428752279281991</v>
      </c>
    </row>
    <row r="22" spans="1:25" s="6" customFormat="1" x14ac:dyDescent="0.35">
      <c r="A22" s="6" t="s">
        <v>25</v>
      </c>
      <c r="B22" s="7" t="s">
        <v>1283</v>
      </c>
      <c r="D22" s="6" t="s">
        <v>1284</v>
      </c>
      <c r="E22" s="6">
        <v>3</v>
      </c>
      <c r="F22" s="6">
        <v>34</v>
      </c>
      <c r="G22" s="6" t="s">
        <v>719</v>
      </c>
      <c r="I22" s="8">
        <v>84.533711805555598</v>
      </c>
      <c r="J22" s="8">
        <v>14.277858402777801</v>
      </c>
      <c r="K22" s="6" t="s">
        <v>719</v>
      </c>
      <c r="L22" s="9">
        <v>43927</v>
      </c>
      <c r="N22" s="6">
        <v>28</v>
      </c>
      <c r="O22" s="6" t="s">
        <v>4359</v>
      </c>
      <c r="Q22" s="10"/>
      <c r="R22" s="10">
        <v>10</v>
      </c>
      <c r="S22" s="10">
        <v>13</v>
      </c>
      <c r="T22" s="10">
        <f t="shared" si="0"/>
        <v>11.5</v>
      </c>
      <c r="U22" s="11"/>
      <c r="V22" s="8">
        <v>-0.26326205091178434</v>
      </c>
      <c r="W22" s="8">
        <v>-1.8046175885200497</v>
      </c>
      <c r="X22" s="8">
        <f t="shared" si="1"/>
        <v>0.301478818774225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</vt:lpstr>
      <vt:lpstr>Seawater</vt:lpstr>
      <vt:lpstr>Seawater_Continuous</vt:lpstr>
      <vt:lpstr>Snow</vt:lpstr>
      <vt:lpstr>Brine</vt:lpstr>
      <vt:lpstr>Frostflower</vt:lpstr>
      <vt:lpstr>ICE</vt:lpstr>
      <vt:lpstr>Unknown_ICE</vt:lpstr>
      <vt:lpstr>SYI</vt:lpstr>
      <vt:lpstr>FYI</vt:lpstr>
      <vt:lpstr>Lead</vt:lpstr>
      <vt:lpstr>Melt_Pond</vt:lpstr>
      <vt:lpstr>Ridge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Moein Mellat Ardakani</dc:creator>
  <cp:lastModifiedBy>Moein Mellat Ardakani</cp:lastModifiedBy>
  <cp:lastPrinted>2022-02-16T12:49:51Z</cp:lastPrinted>
  <dcterms:created xsi:type="dcterms:W3CDTF">2021-07-14T11:12:53Z</dcterms:created>
  <dcterms:modified xsi:type="dcterms:W3CDTF">2022-06-23T16:35:18Z</dcterms:modified>
</cp:coreProperties>
</file>